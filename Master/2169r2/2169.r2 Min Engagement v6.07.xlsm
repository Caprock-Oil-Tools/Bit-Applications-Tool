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69\"/>
    </mc:Choice>
  </mc:AlternateContent>
  <xr:revisionPtr revIDLastSave="0" documentId="13_ncr:1_{04BC047A-99EF-4CEE-90E9-804C903F6BC0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9" i="1" l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L6" i="1" l="1" a="1"/>
  <c r="L6" i="1" s="1"/>
  <c r="L2" i="1" a="1"/>
  <c r="L2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R109" i="1"/>
  <c r="IN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W110" i="1"/>
  <c r="IK110" i="1"/>
  <c r="IR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N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 a="1"/>
  <c r="JA9" i="1" s="1"/>
  <c r="JA23" i="1" a="1"/>
  <c r="JA23" i="1" s="1"/>
  <c r="IF85" i="1"/>
  <c r="IF129" i="1"/>
  <c r="IF73" i="1"/>
  <c r="IF49" i="1"/>
  <c r="IF138" i="1"/>
  <c r="IF10" i="1"/>
  <c r="IF150" i="1"/>
  <c r="IF48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32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JB10" i="1" l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IV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Q62" i="1" s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IQ75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P110" i="1" s="1"/>
  <c r="P101" i="1"/>
  <c r="S101" i="1" s="1"/>
  <c r="Y101" i="1" s="1"/>
  <c r="IQ110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IQ109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IQ74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IV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Q106" i="1" l="1"/>
  <c r="IQ114" i="1"/>
  <c r="IQ113" i="1"/>
  <c r="IQ97" i="1"/>
  <c r="IQ96" i="1"/>
  <c r="IQ95" i="1"/>
  <c r="IQ77" i="1"/>
  <c r="IQ76" i="1"/>
  <c r="Q98" i="1"/>
  <c r="R90" i="1"/>
  <c r="X90" i="1" s="1"/>
  <c r="AQ90" i="1" s="1"/>
  <c r="AD86" i="1"/>
  <c r="AH86" i="1" s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74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M109" i="1" s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IP109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I109" i="1"/>
  <c r="Q109" i="1"/>
  <c r="R109" i="1"/>
  <c r="X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28" i="1" l="1"/>
  <c r="AQ110" i="1"/>
  <c r="IU110" i="1"/>
  <c r="IE110" i="1" s="1"/>
  <c r="AQ109" i="1"/>
  <c r="IU109" i="1"/>
  <c r="IE109" i="1" s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IL16" i="1" s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10" i="1" l="1"/>
  <c r="IL109" i="1"/>
  <c r="IL23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IY109" i="1" s="1"/>
  <c r="AK109" i="1"/>
  <c r="T109" i="1"/>
  <c r="U109" i="1"/>
  <c r="AL100" i="1"/>
  <c r="AN100" i="1" s="1"/>
  <c r="IT109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IY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IT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111" i="1" l="1"/>
  <c r="IT114" i="1"/>
  <c r="IT113" i="1"/>
  <c r="IT112" i="1"/>
  <c r="IT96" i="1"/>
  <c r="IT98" i="1"/>
  <c r="IT97" i="1"/>
  <c r="IT95" i="1"/>
  <c r="IT93" i="1"/>
  <c r="IT94" i="1"/>
  <c r="IT78" i="1"/>
  <c r="IT77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S110" i="1" s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IX110" i="1" s="1"/>
  <c r="IF110" i="1" s="1"/>
  <c r="AP134" i="1"/>
  <c r="AO134" i="1"/>
  <c r="AO109" i="1"/>
  <c r="IX109" i="1" s="1"/>
  <c r="IF109" i="1" s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AP100" i="1"/>
  <c r="AO100" i="1"/>
  <c r="IS109" i="1" s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AP87" i="1"/>
  <c r="AO88" i="1"/>
  <c r="IS97" i="1" s="1"/>
  <c r="AP88" i="1"/>
  <c r="AP86" i="1"/>
  <c r="AO86" i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AP72" i="1"/>
  <c r="AO69" i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111" i="1" l="1"/>
  <c r="IS114" i="1"/>
  <c r="IS113" i="1"/>
  <c r="IS112" i="1"/>
  <c r="IS98" i="1"/>
  <c r="IS96" i="1"/>
  <c r="IS95" i="1"/>
  <c r="IS94" i="1"/>
  <c r="IS78" i="1"/>
  <c r="IS77" i="1"/>
  <c r="IS75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<sst xmlns="http://schemas.openxmlformats.org/spreadsheetml/2006/main" count="734" uniqueCount="391">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</sst>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3" fontId="26" fillId="63" borderId="0" xfId="0" applyNumberFormat="1" applyFont="1" applyFill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topLeftCell="W1" zoomScaleNormal="100" workbookViewId="0">
      <selection activeCell="AQ30" sqref="AQ3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3" t="s">
        <v>77</v>
      </c>
      <c r="D1" s="913"/>
      <c r="E1" s="913"/>
      <c r="F1" s="913"/>
      <c r="G1" s="913"/>
      <c r="H1" s="913"/>
      <c r="I1" s="913"/>
      <c r="J1" s="913"/>
      <c r="K1" s="91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0" t="s">
        <v>80</v>
      </c>
      <c r="B6" s="900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9" t="s">
        <v>379</v>
      </c>
      <c r="AQ7" s="899"/>
      <c r="AR7" s="899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5">
        <v>9</v>
      </c>
      <c r="D9" s="875"/>
      <c r="E9" s="875"/>
      <c r="F9" s="875"/>
      <c r="G9" s="875"/>
      <c r="H9" s="875"/>
      <c r="I9" s="875"/>
      <c r="J9" s="875"/>
      <c r="K9" s="906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4"/>
      <c r="C10" s="895"/>
      <c r="D10" s="895"/>
      <c r="E10" s="895"/>
      <c r="F10" s="895"/>
      <c r="G10" s="895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1"/>
      <c r="B11" s="901" t="s">
        <v>33</v>
      </c>
      <c r="C11" s="910" t="s">
        <v>34</v>
      </c>
      <c r="D11" s="910"/>
      <c r="E11" s="907" t="s">
        <v>39</v>
      </c>
      <c r="F11" s="901" t="s">
        <v>35</v>
      </c>
      <c r="G11" s="901" t="s">
        <v>36</v>
      </c>
      <c r="H11" s="901" t="s">
        <v>43</v>
      </c>
      <c r="I11" s="908" t="s">
        <v>67</v>
      </c>
      <c r="J11" s="910" t="s">
        <v>56</v>
      </c>
      <c r="K11" s="910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4" t="s">
        <v>347</v>
      </c>
      <c r="AN11" s="875"/>
      <c r="AO11" s="875"/>
      <c r="AP11" s="875"/>
      <c r="AQ11" s="875"/>
      <c r="AR11" s="876"/>
      <c r="AS11" s="885" t="s">
        <v>354</v>
      </c>
      <c r="AT11" s="886"/>
      <c r="AU11" s="886"/>
      <c r="AV11" s="887"/>
      <c r="BC11" s="470"/>
    </row>
    <row r="12" spans="1:55" ht="15.75" thickBot="1" x14ac:dyDescent="0.3">
      <c r="A12" s="912"/>
      <c r="B12" s="902"/>
      <c r="C12" s="48" t="s">
        <v>8</v>
      </c>
      <c r="D12" s="49" t="s">
        <v>10</v>
      </c>
      <c r="E12" s="902"/>
      <c r="F12" s="902"/>
      <c r="G12" s="902"/>
      <c r="H12" s="902"/>
      <c r="I12" s="909"/>
      <c r="J12" s="53" t="s">
        <v>8</v>
      </c>
      <c r="K12" s="54" t="s">
        <v>10</v>
      </c>
      <c r="M12" s="31"/>
      <c r="N12" s="31"/>
      <c r="O12" s="922" t="s">
        <v>46</v>
      </c>
      <c r="P12" s="923"/>
      <c r="Q12" s="903" t="s">
        <v>45</v>
      </c>
      <c r="R12" s="904"/>
      <c r="S12" s="904"/>
      <c r="T12" s="904"/>
      <c r="U12" s="904"/>
      <c r="V12" s="904"/>
      <c r="W12" s="904"/>
      <c r="X12" s="904"/>
      <c r="Y12" s="904"/>
      <c r="Z12" s="904"/>
      <c r="AA12" s="904"/>
      <c r="AB12" s="904"/>
      <c r="AC12" s="904"/>
      <c r="AD12" s="904"/>
      <c r="AE12" s="905"/>
      <c r="AF12" s="916" t="s">
        <v>56</v>
      </c>
      <c r="AG12" s="917"/>
      <c r="AH12" s="31"/>
      <c r="AK12" s="880" t="s">
        <v>355</v>
      </c>
      <c r="AL12" s="896"/>
      <c r="AM12" s="877" t="s">
        <v>352</v>
      </c>
      <c r="AN12" s="878"/>
      <c r="AO12" s="879"/>
      <c r="AP12" s="880" t="s">
        <v>380</v>
      </c>
      <c r="AQ12" s="879"/>
      <c r="AR12" s="802" t="s">
        <v>378</v>
      </c>
      <c r="AS12" s="882" t="s">
        <v>352</v>
      </c>
      <c r="AT12" s="879"/>
      <c r="AU12" s="883" t="s">
        <v>353</v>
      </c>
      <c r="AV12" s="884"/>
      <c r="AW12" s="888" t="s">
        <v>351</v>
      </c>
      <c r="AX12" s="889"/>
      <c r="AZ12" s="880" t="s">
        <v>60</v>
      </c>
      <c r="BA12" s="879"/>
      <c r="BC12" s="881" t="s">
        <v>383</v>
      </c>
    </row>
    <row r="13" spans="1:55" ht="15.75" thickBot="1" x14ac:dyDescent="0.3">
      <c r="A13" s="64" t="s">
        <v>57</v>
      </c>
      <c r="B13" s="890" t="s">
        <v>97</v>
      </c>
      <c r="C13" s="892" t="str">
        <f>SUBSTITUTE(ADDRESS(1,COLUMN(Assy.Model!X9),4),"1","")</f>
        <v>X</v>
      </c>
      <c r="D13" s="101" t="str">
        <f>SUBSTITUTE(ADDRESS(1,COLUMN(Assy.Model!Y9),4),"1","")</f>
        <v>Y</v>
      </c>
      <c r="E13" s="897" t="str">
        <f>SUBSTITUTE(ADDRESS(1,COLUMN(Assy.Model!H9),4),"1","")</f>
        <v>H</v>
      </c>
      <c r="F13" s="897" t="str">
        <f>SUBSTITUTE(ADDRESS(1,COLUMN(Assy.Model!AN9),4),"1","")</f>
        <v>AN</v>
      </c>
      <c r="G13" s="897" t="str">
        <f>SUBSTITUTE(ADDRESS(1,COLUMN(Assy.Model!AO9),4),"1","")</f>
        <v>AO</v>
      </c>
      <c r="H13" s="897" t="str">
        <f>SUBSTITUTE(ADDRESS(1,COLUMN(Assy.Model!AO9),4),"1","")</f>
        <v>AO</v>
      </c>
      <c r="I13" s="897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4"/>
      <c r="P13" s="92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1"/>
    </row>
    <row r="14" spans="1:55" x14ac:dyDescent="0.25">
      <c r="A14" s="62" t="s">
        <v>58</v>
      </c>
      <c r="B14" s="891"/>
      <c r="C14" s="893"/>
      <c r="D14" s="102" t="str">
        <f>SUBSTITUTE(ADDRESS(1,COLUMN(Assy.Model!AT9),4),"1","")</f>
        <v>AT</v>
      </c>
      <c r="E14" s="898"/>
      <c r="F14" s="898"/>
      <c r="G14" s="898"/>
      <c r="H14" s="898"/>
      <c r="I14" s="898"/>
      <c r="J14" s="91">
        <v>0</v>
      </c>
      <c r="K14" s="92">
        <v>0</v>
      </c>
      <c r="L14" s="31"/>
      <c r="M14" s="190">
        <v>6.25E-2</v>
      </c>
      <c r="N14" s="31">
        <v>32</v>
      </c>
      <c r="O14" s="92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2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2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2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2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14.75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2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5" t="s">
        <v>64</v>
      </c>
      <c r="C21" s="875"/>
      <c r="D21" s="875"/>
      <c r="E21" s="875"/>
      <c r="F21" s="906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1"/>
      <c r="C22" s="905" t="s">
        <v>63</v>
      </c>
      <c r="D22" s="906"/>
      <c r="E22" s="908" t="s">
        <v>60</v>
      </c>
      <c r="F22" s="908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6"/>
      <c r="C23" s="57" t="s">
        <v>8</v>
      </c>
      <c r="D23" s="57" t="s">
        <v>9</v>
      </c>
      <c r="E23" s="909"/>
      <c r="F23" s="909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8">
        <v>0</v>
      </c>
      <c r="E24" s="918">
        <v>2</v>
      </c>
      <c r="F24" s="91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7.375</v>
      </c>
      <c r="D25" s="919"/>
      <c r="E25" s="919"/>
      <c r="F25" s="91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4" t="s">
        <v>311</v>
      </c>
      <c r="C27" s="914"/>
      <c r="D27" s="914"/>
      <c r="E27" s="914"/>
      <c r="F27" s="91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5" t="s">
        <v>390</v>
      </c>
      <c r="C28" s="915"/>
      <c r="D28" s="915"/>
      <c r="E28" s="915"/>
      <c r="F28" s="91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5" t="s">
        <v>95</v>
      </c>
      <c r="D3" s="875"/>
      <c r="E3" s="875"/>
      <c r="F3" s="875"/>
      <c r="G3" s="875"/>
      <c r="H3" s="875"/>
      <c r="I3" s="875"/>
      <c r="J3" s="875"/>
      <c r="K3" s="876"/>
      <c r="L3" s="932"/>
      <c r="M3" s="875"/>
      <c r="N3" s="875"/>
      <c r="O3" s="875"/>
      <c r="P3" s="875"/>
      <c r="Q3" s="875"/>
      <c r="R3" s="906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4" t="s">
        <v>86</v>
      </c>
      <c r="C4" s="971" t="s">
        <v>82</v>
      </c>
      <c r="D4" s="875" t="s">
        <v>83</v>
      </c>
      <c r="E4" s="875"/>
      <c r="F4" s="875"/>
      <c r="G4" s="875"/>
      <c r="H4" s="875"/>
      <c r="I4" s="875"/>
      <c r="J4" s="875"/>
      <c r="K4" s="875"/>
      <c r="L4" s="150" t="s">
        <v>91</v>
      </c>
      <c r="M4" s="905" t="s">
        <v>94</v>
      </c>
      <c r="N4" s="875"/>
      <c r="O4" s="875"/>
      <c r="P4" s="876"/>
      <c r="Q4" s="875" t="s">
        <v>52</v>
      </c>
      <c r="R4" s="906"/>
      <c r="S4" s="107"/>
      <c r="T4" s="905">
        <v>350</v>
      </c>
      <c r="U4" s="875"/>
      <c r="V4" s="875" t="s">
        <v>76</v>
      </c>
      <c r="W4" s="875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5"/>
      <c r="C5" s="972"/>
      <c r="D5" s="960" t="s">
        <v>85</v>
      </c>
      <c r="E5" s="974" t="s">
        <v>89</v>
      </c>
      <c r="F5" s="910" t="s">
        <v>34</v>
      </c>
      <c r="G5" s="910"/>
      <c r="H5" s="907" t="s">
        <v>39</v>
      </c>
      <c r="I5" s="901" t="s">
        <v>35</v>
      </c>
      <c r="J5" s="901" t="s">
        <v>36</v>
      </c>
      <c r="K5" s="944" t="s">
        <v>67</v>
      </c>
      <c r="L5" s="151" t="s">
        <v>92</v>
      </c>
      <c r="M5" s="908" t="s">
        <v>90</v>
      </c>
      <c r="N5" s="908" t="s">
        <v>47</v>
      </c>
      <c r="O5" s="927" t="s">
        <v>84</v>
      </c>
      <c r="P5" s="928"/>
      <c r="Q5" s="929" t="s">
        <v>84</v>
      </c>
      <c r="R5" s="930"/>
      <c r="S5" s="107"/>
      <c r="T5" s="922" t="s">
        <v>46</v>
      </c>
      <c r="U5" s="933"/>
      <c r="V5" s="889" t="s">
        <v>45</v>
      </c>
      <c r="W5" s="917"/>
      <c r="X5" s="917"/>
      <c r="Y5" s="917"/>
      <c r="Z5" s="917"/>
      <c r="AA5" s="917"/>
      <c r="AB5" s="917"/>
      <c r="AC5" s="917"/>
      <c r="AD5" s="917"/>
      <c r="AE5" s="917"/>
      <c r="AF5" s="917"/>
      <c r="AG5" s="917"/>
      <c r="AH5" s="917"/>
      <c r="AI5" s="917"/>
      <c r="AJ5" s="917"/>
      <c r="AK5" s="31"/>
      <c r="AL5" s="31"/>
    </row>
    <row r="6" spans="2:38" ht="15" customHeight="1" thickBot="1" x14ac:dyDescent="0.3">
      <c r="B6" s="956"/>
      <c r="C6" s="973"/>
      <c r="D6" s="961"/>
      <c r="E6" s="975"/>
      <c r="F6" s="108" t="s">
        <v>8</v>
      </c>
      <c r="G6" s="109" t="s">
        <v>10</v>
      </c>
      <c r="H6" s="945"/>
      <c r="I6" s="945"/>
      <c r="J6" s="945"/>
      <c r="K6" s="934"/>
      <c r="L6" s="152" t="s">
        <v>93</v>
      </c>
      <c r="M6" s="931"/>
      <c r="N6" s="931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4"/>
      <c r="U6" s="935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2">
        <f>ROW(Assy.Model!B9)</f>
        <v>9</v>
      </c>
      <c r="D7" s="951" t="str">
        <f>SUBSTITUTE(ADDRESS(1,COLUMN(Assy.Model!B9),4),"1","")</f>
        <v>B</v>
      </c>
      <c r="E7" s="965" t="str">
        <f>SUBSTITUTE(ADDRESS(1,COLUMN(Assy.Model!M9),4),"1","")</f>
        <v>M</v>
      </c>
      <c r="F7" s="968" t="str">
        <f>SUBSTITUTE(ADDRESS(1,COLUMN(Assy.Model!X9),4),"1","")</f>
        <v>X</v>
      </c>
      <c r="G7" s="957" t="str">
        <f>SUBSTITUTE(ADDRESS(1,COLUMN(Assy.Model!AT9),4),"1","")</f>
        <v>AT</v>
      </c>
      <c r="H7" s="936" t="str">
        <f>SUBSTITUTE(ADDRESS(1,COLUMN(Assy.Model!H9),4),"1","")</f>
        <v>H</v>
      </c>
      <c r="I7" s="936" t="str">
        <f>SUBSTITUTE(ADDRESS(1,COLUMN(Assy.Model!AN9),4),"1","")</f>
        <v>AN</v>
      </c>
      <c r="J7" s="936" t="str">
        <f>SUBSTITUTE(ADDRESS(1,COLUMN(Assy.Model!AO9),4),"1","")</f>
        <v>AO</v>
      </c>
      <c r="K7" s="939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6" t="s">
        <v>81</v>
      </c>
      <c r="C8" s="963"/>
      <c r="D8" s="952"/>
      <c r="E8" s="966"/>
      <c r="F8" s="969"/>
      <c r="G8" s="958"/>
      <c r="H8" s="937"/>
      <c r="I8" s="937"/>
      <c r="J8" s="937"/>
      <c r="K8" s="940"/>
      <c r="L8" s="153" t="s">
        <v>93</v>
      </c>
      <c r="M8" s="942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6"/>
      <c r="C9" s="963"/>
      <c r="D9" s="952"/>
      <c r="E9" s="966"/>
      <c r="F9" s="969"/>
      <c r="G9" s="958"/>
      <c r="H9" s="937"/>
      <c r="I9" s="937"/>
      <c r="J9" s="937"/>
      <c r="K9" s="940"/>
      <c r="L9" s="153" t="s">
        <v>92</v>
      </c>
      <c r="M9" s="942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6"/>
      <c r="C10" s="963"/>
      <c r="D10" s="952"/>
      <c r="E10" s="966"/>
      <c r="F10" s="969"/>
      <c r="G10" s="958"/>
      <c r="H10" s="937"/>
      <c r="I10" s="937"/>
      <c r="J10" s="937"/>
      <c r="K10" s="940"/>
      <c r="L10" s="153" t="s">
        <v>92</v>
      </c>
      <c r="M10" s="942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6"/>
      <c r="C11" s="963"/>
      <c r="D11" s="952"/>
      <c r="E11" s="966"/>
      <c r="F11" s="969"/>
      <c r="G11" s="958"/>
      <c r="H11" s="937"/>
      <c r="I11" s="937"/>
      <c r="J11" s="937"/>
      <c r="K11" s="940"/>
      <c r="L11" s="153" t="s">
        <v>92</v>
      </c>
      <c r="M11" s="942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6"/>
      <c r="C12" s="963"/>
      <c r="D12" s="952"/>
      <c r="E12" s="966"/>
      <c r="F12" s="969"/>
      <c r="G12" s="958"/>
      <c r="H12" s="937"/>
      <c r="I12" s="937"/>
      <c r="J12" s="937"/>
      <c r="K12" s="940"/>
      <c r="L12" s="153" t="s">
        <v>92</v>
      </c>
      <c r="M12" s="942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6"/>
      <c r="C13" s="963"/>
      <c r="D13" s="952"/>
      <c r="E13" s="966"/>
      <c r="F13" s="969"/>
      <c r="G13" s="958"/>
      <c r="H13" s="937"/>
      <c r="I13" s="937"/>
      <c r="J13" s="937"/>
      <c r="K13" s="940"/>
      <c r="L13" s="153" t="s">
        <v>92</v>
      </c>
      <c r="M13" s="942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7"/>
      <c r="C14" s="964"/>
      <c r="D14" s="953"/>
      <c r="E14" s="967"/>
      <c r="F14" s="970"/>
      <c r="G14" s="959"/>
      <c r="H14" s="938"/>
      <c r="I14" s="938"/>
      <c r="J14" s="938"/>
      <c r="K14" s="941"/>
      <c r="L14" s="154" t="s">
        <v>93</v>
      </c>
      <c r="M14" s="943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5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9" t="str">
        <f>CONCATENATE(Settings!$C$19," ",Settings!$B$28)</f>
        <v>14.75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40" t="s">
        <v>315</v>
      </c>
      <c r="C2" s="1241"/>
      <c r="D2" s="1241"/>
      <c r="E2" s="1241"/>
      <c r="F2" s="1241"/>
      <c r="G2" s="1241"/>
      <c r="H2" s="1241"/>
      <c r="I2" s="1241"/>
      <c r="J2" s="1241"/>
      <c r="K2" s="1242"/>
      <c r="L2" s="984" t="str" cm="1">
        <f t="array" ref="L2">IF(OR($K$9:$K$150="Undefined"),"Undefined Element","")</f>
        <v/>
      </c>
      <c r="M2" s="1248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00" t="s">
        <v>0</v>
      </c>
      <c r="AW2" s="1142" t="s">
        <v>109</v>
      </c>
      <c r="AX2" s="1143"/>
      <c r="AY2" s="1143"/>
      <c r="AZ2" s="1143"/>
      <c r="BA2" s="1143"/>
      <c r="BB2" s="1143"/>
      <c r="BC2" s="1143"/>
      <c r="BD2" s="1143"/>
      <c r="BE2" s="1144"/>
      <c r="BF2" s="1154" t="s">
        <v>115</v>
      </c>
      <c r="BG2" s="1143"/>
      <c r="BH2" s="1143"/>
      <c r="BI2" s="1143"/>
      <c r="BJ2" s="1143"/>
      <c r="BK2" s="1143"/>
      <c r="BL2" s="1143"/>
      <c r="BM2" s="1143"/>
      <c r="BN2" s="1143"/>
      <c r="BO2" s="1143"/>
      <c r="BP2" s="1143"/>
      <c r="BQ2" s="1143"/>
      <c r="BR2" s="1143"/>
      <c r="BS2" s="1143"/>
      <c r="BT2" s="1143"/>
      <c r="BU2" s="1143"/>
      <c r="BV2" s="1143"/>
      <c r="BW2" s="1143"/>
      <c r="BX2" s="1143"/>
      <c r="BY2" s="1143"/>
      <c r="BZ2" s="1143"/>
      <c r="CA2" s="1143"/>
      <c r="CB2" s="1143"/>
      <c r="CC2" s="1143"/>
      <c r="CD2" s="1143"/>
      <c r="CE2" s="1143"/>
      <c r="CF2" s="1143"/>
      <c r="CG2" s="1143"/>
      <c r="CH2" s="1143"/>
      <c r="CI2" s="1143"/>
      <c r="CJ2" s="1143"/>
      <c r="CK2" s="1143"/>
      <c r="CL2" s="1143"/>
      <c r="CM2" s="1143"/>
      <c r="CN2" s="1143"/>
      <c r="CO2" s="1143"/>
      <c r="CP2" s="1143"/>
      <c r="CQ2" s="1143"/>
      <c r="CR2" s="1143"/>
      <c r="CS2" s="1143"/>
      <c r="CT2" s="1143"/>
      <c r="CU2" s="1143"/>
      <c r="CV2" s="1143"/>
      <c r="CW2" s="1143"/>
      <c r="CX2" s="1143"/>
      <c r="CY2" s="1143"/>
      <c r="CZ2" s="1143"/>
      <c r="DA2" s="1143"/>
      <c r="DB2" s="1143"/>
      <c r="DC2" s="1143"/>
      <c r="DD2" s="1143"/>
      <c r="DE2" s="1143"/>
      <c r="DF2" s="1143"/>
      <c r="DG2" s="1143"/>
      <c r="DH2" s="1143"/>
      <c r="DI2" s="1143"/>
      <c r="DJ2" s="1143"/>
      <c r="DK2" s="1143"/>
      <c r="DL2" s="1143"/>
      <c r="DM2" s="1143"/>
      <c r="DN2" s="1143"/>
      <c r="DO2" s="1143"/>
      <c r="DP2" s="1143"/>
      <c r="DQ2" s="1143"/>
      <c r="DR2" s="1143"/>
      <c r="DS2" s="1143"/>
      <c r="DT2" s="1143"/>
      <c r="DU2" s="1143"/>
      <c r="DV2" s="1143"/>
      <c r="DW2" s="1143"/>
      <c r="DX2" s="1143"/>
      <c r="DY2" s="1143"/>
      <c r="DZ2" s="1143"/>
      <c r="EA2" s="1143"/>
      <c r="EB2" s="1143"/>
      <c r="EC2" s="1143"/>
      <c r="ED2" s="1143"/>
      <c r="EE2" s="1143"/>
      <c r="EF2" s="1143"/>
      <c r="EG2" s="1143"/>
      <c r="EH2" s="1143"/>
      <c r="EI2" s="1143"/>
      <c r="EJ2" s="1143"/>
      <c r="EK2" s="1143"/>
      <c r="EL2" s="1143"/>
      <c r="EM2" s="1143"/>
      <c r="EN2" s="1143"/>
      <c r="EO2" s="1143"/>
      <c r="EP2" s="1143"/>
      <c r="EQ2" s="1143"/>
      <c r="ER2" s="1155"/>
      <c r="ES2" s="1045" t="s">
        <v>197</v>
      </c>
      <c r="ET2" s="1046"/>
      <c r="EU2" s="1046"/>
      <c r="EV2" s="1046"/>
      <c r="EW2" s="1046"/>
      <c r="EX2" s="1046"/>
      <c r="EY2" s="1046"/>
      <c r="EZ2" s="1046"/>
      <c r="FA2" s="1046"/>
      <c r="FB2" s="1046"/>
      <c r="FC2" s="1046"/>
      <c r="FD2" s="1046"/>
      <c r="FE2" s="1046"/>
      <c r="FF2" s="1047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2" t="s">
        <v>266</v>
      </c>
      <c r="HQ2" s="1073" t="str">
        <f>IFERROR(CONCATENATE("Sum of Lateral Forces = ",ROUND(HE3,0)," lbs @ ",ROUND(HF3,1),"° Relative to Blade 1"),"")</f>
        <v/>
      </c>
      <c r="HR2" s="1074"/>
      <c r="HS2" s="1074"/>
      <c r="HT2" s="1074"/>
      <c r="HU2" s="1074"/>
      <c r="HV2" s="1075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3"/>
      <c r="C3" s="1198"/>
      <c r="D3" s="1198"/>
      <c r="E3" s="1198"/>
      <c r="F3" s="1198"/>
      <c r="G3" s="1198"/>
      <c r="H3" s="1198"/>
      <c r="I3" s="1198"/>
      <c r="J3" s="1198"/>
      <c r="K3" s="1244"/>
      <c r="L3" s="984"/>
      <c r="M3" s="1243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145"/>
      <c r="AA3" s="1146"/>
      <c r="AB3" s="1146"/>
      <c r="AC3" s="1146"/>
      <c r="AD3" s="1146"/>
      <c r="AE3" s="1146"/>
      <c r="AF3" s="1146"/>
      <c r="AG3" s="1146"/>
      <c r="AH3" s="1146"/>
      <c r="AI3" s="1146"/>
      <c r="AJ3" s="1146"/>
      <c r="AK3" s="1146"/>
      <c r="AL3" s="1146"/>
      <c r="AM3" s="1146"/>
      <c r="AN3" s="1146"/>
      <c r="AO3" s="1146"/>
      <c r="AP3" s="1146"/>
      <c r="AQ3" s="1147"/>
      <c r="AS3" s="466">
        <v>100</v>
      </c>
      <c r="AT3" s="463" t="s">
        <v>45</v>
      </c>
      <c r="AV3" s="1201"/>
      <c r="AW3" s="1048"/>
      <c r="AX3" s="1049"/>
      <c r="AY3" s="1049"/>
      <c r="AZ3" s="1049"/>
      <c r="BA3" s="1049"/>
      <c r="BB3" s="1049"/>
      <c r="BC3" s="1049"/>
      <c r="BD3" s="1049"/>
      <c r="BE3" s="1163"/>
      <c r="BF3" s="1156"/>
      <c r="BG3" s="1049"/>
      <c r="BH3" s="1049"/>
      <c r="BI3" s="1049"/>
      <c r="BJ3" s="1049"/>
      <c r="BK3" s="1049"/>
      <c r="BL3" s="1049"/>
      <c r="BM3" s="1049"/>
      <c r="BN3" s="1049"/>
      <c r="BO3" s="1049"/>
      <c r="BP3" s="1049"/>
      <c r="BQ3" s="1049"/>
      <c r="BR3" s="1049"/>
      <c r="BS3" s="1049"/>
      <c r="BT3" s="1049"/>
      <c r="BU3" s="1049"/>
      <c r="BV3" s="1049"/>
      <c r="BW3" s="1049"/>
      <c r="BX3" s="1049"/>
      <c r="BY3" s="1049"/>
      <c r="BZ3" s="1049"/>
      <c r="CA3" s="1049"/>
      <c r="CB3" s="1049"/>
      <c r="CC3" s="1049"/>
      <c r="CD3" s="1049"/>
      <c r="CE3" s="1049"/>
      <c r="CF3" s="1049"/>
      <c r="CG3" s="1049"/>
      <c r="CH3" s="1049"/>
      <c r="CI3" s="1049"/>
      <c r="CJ3" s="1049"/>
      <c r="CK3" s="1049"/>
      <c r="CL3" s="1049"/>
      <c r="CM3" s="1049"/>
      <c r="CN3" s="1049"/>
      <c r="CO3" s="1049"/>
      <c r="CP3" s="1049"/>
      <c r="CQ3" s="1049"/>
      <c r="CR3" s="1049"/>
      <c r="CS3" s="1049"/>
      <c r="CT3" s="1049"/>
      <c r="CU3" s="1049"/>
      <c r="CV3" s="1049"/>
      <c r="CW3" s="1049"/>
      <c r="CX3" s="1049"/>
      <c r="CY3" s="1049"/>
      <c r="CZ3" s="1049"/>
      <c r="DA3" s="1049"/>
      <c r="DB3" s="1049"/>
      <c r="DC3" s="1049"/>
      <c r="DD3" s="1049"/>
      <c r="DE3" s="1049"/>
      <c r="DF3" s="1049"/>
      <c r="DG3" s="1049"/>
      <c r="DH3" s="1049"/>
      <c r="DI3" s="1049"/>
      <c r="DJ3" s="1049"/>
      <c r="DK3" s="1049"/>
      <c r="DL3" s="1049"/>
      <c r="DM3" s="1049"/>
      <c r="DN3" s="1049"/>
      <c r="DO3" s="1049"/>
      <c r="DP3" s="1049"/>
      <c r="DQ3" s="1049"/>
      <c r="DR3" s="1049"/>
      <c r="DS3" s="1049"/>
      <c r="DT3" s="1049"/>
      <c r="DU3" s="1049"/>
      <c r="DV3" s="1049"/>
      <c r="DW3" s="1049"/>
      <c r="DX3" s="1049"/>
      <c r="DY3" s="1049"/>
      <c r="DZ3" s="1049"/>
      <c r="EA3" s="1049"/>
      <c r="EB3" s="1049"/>
      <c r="EC3" s="1049"/>
      <c r="ED3" s="1049"/>
      <c r="EE3" s="1049"/>
      <c r="EF3" s="1049"/>
      <c r="EG3" s="1049"/>
      <c r="EH3" s="1049"/>
      <c r="EI3" s="1049"/>
      <c r="EJ3" s="1049"/>
      <c r="EK3" s="1049"/>
      <c r="EL3" s="1049"/>
      <c r="EM3" s="1049"/>
      <c r="EN3" s="1049"/>
      <c r="EO3" s="1049"/>
      <c r="EP3" s="1049"/>
      <c r="EQ3" s="1049"/>
      <c r="ER3" s="1050"/>
      <c r="ES3" s="1048"/>
      <c r="ET3" s="1049"/>
      <c r="EU3" s="1049"/>
      <c r="EV3" s="1049"/>
      <c r="EW3" s="1049"/>
      <c r="EX3" s="1049"/>
      <c r="EY3" s="1049"/>
      <c r="EZ3" s="1049"/>
      <c r="FA3" s="1049"/>
      <c r="FB3" s="1049"/>
      <c r="FC3" s="1049"/>
      <c r="FD3" s="1049"/>
      <c r="FE3" s="1049"/>
      <c r="FF3" s="1050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3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5"/>
      <c r="C4" s="1246"/>
      <c r="D4" s="1246"/>
      <c r="E4" s="1246"/>
      <c r="F4" s="1246"/>
      <c r="G4" s="1246"/>
      <c r="H4" s="1246"/>
      <c r="I4" s="1246"/>
      <c r="J4" s="1246"/>
      <c r="K4" s="1247"/>
      <c r="L4" s="984"/>
      <c r="M4" s="1243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$Q$4</f>
        <v>Polar XY; Cartesian Z</v>
      </c>
      <c r="X4" s="1167"/>
      <c r="Y4" s="1233"/>
      <c r="Z4" s="1186" t="s">
        <v>3</v>
      </c>
      <c r="AA4" s="1184"/>
      <c r="AB4" s="1184"/>
      <c r="AC4" s="1184"/>
      <c r="AD4" s="1184"/>
      <c r="AE4" s="1184"/>
      <c r="AF4" s="1184"/>
      <c r="AG4" s="1196" t="s">
        <v>31</v>
      </c>
      <c r="AH4" s="1184"/>
      <c r="AI4" s="1184"/>
      <c r="AJ4" s="1185"/>
      <c r="AK4" s="1148" t="s">
        <v>32</v>
      </c>
      <c r="AL4" s="1149"/>
      <c r="AM4" s="1149"/>
      <c r="AN4" s="1149"/>
      <c r="AO4" s="1149"/>
      <c r="AP4" s="1149"/>
      <c r="AQ4" s="1150"/>
      <c r="AS4" s="467">
        <v>125</v>
      </c>
      <c r="AT4" s="464" t="s">
        <v>46</v>
      </c>
      <c r="AV4" s="1201"/>
      <c r="AW4" s="1096" t="s">
        <v>112</v>
      </c>
      <c r="AX4" s="1000"/>
      <c r="AY4" s="923"/>
      <c r="AZ4" s="1161"/>
      <c r="BA4" s="1162"/>
      <c r="BB4" s="1164" t="s">
        <v>113</v>
      </c>
      <c r="BC4" s="1167" t="str">
        <f>$Q$4</f>
        <v>Polar XY; Cartesian Z</v>
      </c>
      <c r="BD4" s="1167"/>
      <c r="BE4" s="1168"/>
      <c r="BF4" s="1119" t="s">
        <v>129</v>
      </c>
      <c r="BG4" s="1120"/>
      <c r="BH4" s="1120"/>
      <c r="BI4" s="1120"/>
      <c r="BJ4" s="1120"/>
      <c r="BK4" s="1120"/>
      <c r="BL4" s="1120"/>
      <c r="BM4" s="1120"/>
      <c r="BN4" s="1120"/>
      <c r="BO4" s="1120"/>
      <c r="BP4" s="1120"/>
      <c r="BQ4" s="1120"/>
      <c r="BR4" s="1120"/>
      <c r="BS4" s="1120"/>
      <c r="BT4" s="1120"/>
      <c r="BU4" s="1120"/>
      <c r="BV4" s="1120"/>
      <c r="BW4" s="1120"/>
      <c r="BX4" s="1120"/>
      <c r="BY4" s="1120"/>
      <c r="BZ4" s="1120"/>
      <c r="CA4" s="1120"/>
      <c r="CB4" s="1120"/>
      <c r="CC4" s="1120"/>
      <c r="CD4" s="1120"/>
      <c r="CE4" s="1120"/>
      <c r="CF4" s="1120"/>
      <c r="CG4" s="1120"/>
      <c r="CH4" s="1120"/>
      <c r="CI4" s="1120"/>
      <c r="CJ4" s="1120"/>
      <c r="CK4" s="1120"/>
      <c r="CL4" s="1120"/>
      <c r="CM4" s="1120"/>
      <c r="CN4" s="1121"/>
      <c r="CO4" s="1157" t="s">
        <v>193</v>
      </c>
      <c r="CP4" s="1158"/>
      <c r="CQ4" s="1158"/>
      <c r="CR4" s="1158"/>
      <c r="CS4" s="1158"/>
      <c r="CT4" s="1158"/>
      <c r="CU4" s="1158"/>
      <c r="CV4" s="1158"/>
      <c r="CW4" s="1158"/>
      <c r="CX4" s="1158"/>
      <c r="CY4" s="1158"/>
      <c r="CZ4" s="1158"/>
      <c r="DA4" s="1159"/>
      <c r="DB4" s="1042" t="s">
        <v>162</v>
      </c>
      <c r="DC4" s="1043"/>
      <c r="DD4" s="1043"/>
      <c r="DE4" s="1043"/>
      <c r="DF4" s="1043"/>
      <c r="DG4" s="1043"/>
      <c r="DH4" s="1043"/>
      <c r="DI4" s="1043"/>
      <c r="DJ4" s="1043"/>
      <c r="DK4" s="1043"/>
      <c r="DL4" s="1043"/>
      <c r="DM4" s="1043"/>
      <c r="DN4" s="1043"/>
      <c r="DO4" s="1043"/>
      <c r="DP4" s="1043"/>
      <c r="DQ4" s="1043"/>
      <c r="DR4" s="1043"/>
      <c r="DS4" s="1043"/>
      <c r="DT4" s="1043"/>
      <c r="DU4" s="1043"/>
      <c r="DV4" s="1043"/>
      <c r="DW4" s="1043"/>
      <c r="DX4" s="1043"/>
      <c r="DY4" s="1043"/>
      <c r="DZ4" s="1043"/>
      <c r="EA4" s="1043"/>
      <c r="EB4" s="1043"/>
      <c r="EC4" s="1043"/>
      <c r="ED4" s="1043"/>
      <c r="EE4" s="1043"/>
      <c r="EF4" s="1043"/>
      <c r="EG4" s="1043"/>
      <c r="EH4" s="1043"/>
      <c r="EI4" s="1043"/>
      <c r="EJ4" s="1043"/>
      <c r="EK4" s="1043"/>
      <c r="EL4" s="1043"/>
      <c r="EM4" s="1043"/>
      <c r="EN4" s="1043"/>
      <c r="EO4" s="1043"/>
      <c r="EP4" s="1043"/>
      <c r="EQ4" s="1043"/>
      <c r="ER4" s="1044"/>
      <c r="ES4" s="1065" t="s">
        <v>196</v>
      </c>
      <c r="ET4" s="1066"/>
      <c r="EU4" s="1066"/>
      <c r="EV4" s="1066"/>
      <c r="EW4" s="1066"/>
      <c r="EX4" s="1066"/>
      <c r="EY4" s="1067"/>
      <c r="EZ4" s="1100" t="s">
        <v>201</v>
      </c>
      <c r="FA4" s="1101"/>
      <c r="FB4" s="1101"/>
      <c r="FC4" s="1101"/>
      <c r="FD4" s="1101"/>
      <c r="FE4" s="1101"/>
      <c r="FF4" s="1102"/>
      <c r="FG4" s="343"/>
      <c r="FP4" s="1032" t="s">
        <v>229</v>
      </c>
      <c r="FZ4" s="1032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3" t="s">
        <v>236</v>
      </c>
      <c r="GK4" s="904"/>
      <c r="GL4" s="904"/>
      <c r="GM4" s="904"/>
      <c r="GN4" s="990"/>
      <c r="GO4" s="992" t="s">
        <v>229</v>
      </c>
      <c r="GP4" s="996" t="s">
        <v>228</v>
      </c>
      <c r="GR4" s="1002" t="s">
        <v>261</v>
      </c>
      <c r="GS4" s="932" t="s">
        <v>259</v>
      </c>
      <c r="GT4" s="875"/>
      <c r="GU4" s="875"/>
      <c r="GV4" s="875"/>
      <c r="GW4" s="875"/>
      <c r="GX4" s="875"/>
      <c r="GY4" s="875"/>
      <c r="GZ4" s="875"/>
      <c r="HA4" s="1079" t="str">
        <f>IFERROR(CONCATENATE("Lateral Forces = ",ROUND(HE3,0)," lbs @ ",ROUND(HF3,1),"° Relative to Blade 1"),"")</f>
        <v/>
      </c>
      <c r="HB4" s="1080"/>
      <c r="HC4" s="1080"/>
      <c r="HD4" s="1080"/>
      <c r="HE4" s="1080"/>
      <c r="HF4" s="1080"/>
      <c r="HG4" s="1080"/>
      <c r="HH4" s="1081"/>
      <c r="HI4" s="1087" t="s">
        <v>0</v>
      </c>
      <c r="HO4" s="1034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0" t="s">
        <v>381</v>
      </c>
      <c r="IF4" s="900"/>
      <c r="IG4" s="767" cm="1">
        <f t="array" ref="IG4">MAX(MOD(IF($IG$9:$IG$150="",0,($IG$9:$IG$150*1000)),100))</f>
        <v>40</v>
      </c>
      <c r="IL4" s="31"/>
      <c r="IM4" s="767"/>
    </row>
    <row r="5" spans="1:283" ht="15" customHeight="1" x14ac:dyDescent="0.25">
      <c r="B5" s="1234" t="str">
        <f>CONCATENATE(B7," ; ",E7," ; ",H7)</f>
        <v>Absolute-Point ; Incremental-Vector Point ; Pocket Info.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43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about Z Axis")</f>
        <v>Relative to 1.11's θ about Z Axis</v>
      </c>
      <c r="U5" s="1137"/>
      <c r="V5" s="1138"/>
      <c r="W5" s="1137" t="str">
        <f>CONCATENATE("Relative to ",M8,"'s θ about Z Axis")</f>
        <v>Relative to 1.11's θ about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01"/>
      <c r="AW5" s="1177"/>
      <c r="AX5" s="1178"/>
      <c r="AY5" s="1179"/>
      <c r="AZ5" s="1008"/>
      <c r="BA5" s="913"/>
      <c r="BB5" s="1165"/>
      <c r="BC5" s="1173" t="str">
        <f>$W$5</f>
        <v>Relative to 1.11's θ about Z Axis</v>
      </c>
      <c r="BD5" s="1137"/>
      <c r="BE5" s="1174"/>
      <c r="BF5" s="932" t="s">
        <v>128</v>
      </c>
      <c r="BG5" s="875"/>
      <c r="BH5" s="875"/>
      <c r="BI5" s="875"/>
      <c r="BJ5" s="875"/>
      <c r="BK5" s="875"/>
      <c r="BL5" s="875"/>
      <c r="BM5" s="875"/>
      <c r="BN5" s="875"/>
      <c r="BO5" s="875"/>
      <c r="BP5" s="875"/>
      <c r="BQ5" s="875"/>
      <c r="BR5" s="876"/>
      <c r="BS5" s="932" t="s">
        <v>130</v>
      </c>
      <c r="BT5" s="875"/>
      <c r="BU5" s="875"/>
      <c r="BV5" s="875"/>
      <c r="BW5" s="875"/>
      <c r="BX5" s="875"/>
      <c r="BY5" s="875"/>
      <c r="BZ5" s="875"/>
      <c r="CA5" s="875"/>
      <c r="CB5" s="875"/>
      <c r="CC5" s="875"/>
      <c r="CD5" s="875"/>
      <c r="CE5" s="876"/>
      <c r="CF5" s="932" t="s">
        <v>138</v>
      </c>
      <c r="CG5" s="875"/>
      <c r="CH5" s="876"/>
      <c r="CI5" s="932" t="s">
        <v>139</v>
      </c>
      <c r="CJ5" s="875"/>
      <c r="CK5" s="875"/>
      <c r="CL5" s="875"/>
      <c r="CM5" s="875"/>
      <c r="CN5" s="876"/>
      <c r="CO5" s="1014" t="s">
        <v>275</v>
      </c>
      <c r="CP5" s="1014" t="s">
        <v>149</v>
      </c>
      <c r="CQ5" s="1000"/>
      <c r="CR5" s="1000"/>
      <c r="CS5" s="933"/>
      <c r="CT5" s="1000" t="s">
        <v>150</v>
      </c>
      <c r="CU5" s="923"/>
      <c r="CV5" s="932" t="s">
        <v>161</v>
      </c>
      <c r="CW5" s="875"/>
      <c r="CX5" s="875"/>
      <c r="CY5" s="875"/>
      <c r="CZ5" s="875"/>
      <c r="DA5" s="876"/>
      <c r="DB5" s="932" t="s">
        <v>163</v>
      </c>
      <c r="DC5" s="875"/>
      <c r="DD5" s="875"/>
      <c r="DE5" s="875"/>
      <c r="DF5" s="875"/>
      <c r="DG5" s="875"/>
      <c r="DH5" s="876"/>
      <c r="DI5" s="1021" t="s">
        <v>173</v>
      </c>
      <c r="DJ5" s="1021"/>
      <c r="DK5" s="1129"/>
      <c r="DL5" s="1020" t="s">
        <v>174</v>
      </c>
      <c r="DM5" s="1021"/>
      <c r="DN5" s="1022"/>
      <c r="DO5" s="1131" t="s">
        <v>175</v>
      </c>
      <c r="DP5" s="1132"/>
      <c r="DQ5" s="1132"/>
      <c r="DR5" s="1013" t="s">
        <v>187</v>
      </c>
      <c r="DS5" s="1013"/>
      <c r="DT5" s="1013"/>
      <c r="DU5" s="1013"/>
      <c r="DV5" s="1013"/>
      <c r="DW5" s="1013"/>
      <c r="DX5" s="1014" t="s">
        <v>190</v>
      </c>
      <c r="DY5" s="954" t="s">
        <v>149</v>
      </c>
      <c r="DZ5" s="1013"/>
      <c r="EA5" s="1013"/>
      <c r="EB5" s="1013"/>
      <c r="EC5" s="1013" t="s">
        <v>150</v>
      </c>
      <c r="ED5" s="1013"/>
      <c r="EE5" s="1002" t="s">
        <v>194</v>
      </c>
      <c r="EF5" s="1002"/>
      <c r="EG5" s="1010"/>
      <c r="EH5" s="1026" t="s">
        <v>195</v>
      </c>
      <c r="EI5" s="1027"/>
      <c r="EJ5" s="1028"/>
      <c r="EK5" s="1013" t="s">
        <v>188</v>
      </c>
      <c r="EL5" s="1014"/>
      <c r="EM5" s="932" t="s">
        <v>189</v>
      </c>
      <c r="EN5" s="875"/>
      <c r="EO5" s="875"/>
      <c r="EP5" s="875"/>
      <c r="EQ5" s="875"/>
      <c r="ER5" s="1122"/>
      <c r="ES5" s="1096" t="s">
        <v>202</v>
      </c>
      <c r="ET5" s="1000"/>
      <c r="EU5" s="933"/>
      <c r="EV5" s="1068" t="s">
        <v>222</v>
      </c>
      <c r="EW5" s="1069"/>
      <c r="EX5" s="1069"/>
      <c r="EY5" s="1070"/>
      <c r="EZ5" s="1057" t="s">
        <v>200</v>
      </c>
      <c r="FA5" s="927" t="s">
        <v>202</v>
      </c>
      <c r="FB5" s="1110"/>
      <c r="FC5" s="928"/>
      <c r="FD5" s="1114" t="s">
        <v>222</v>
      </c>
      <c r="FE5" s="1115"/>
      <c r="FF5" s="1116"/>
      <c r="FP5" s="1034"/>
      <c r="FQ5" s="31"/>
      <c r="FR5" s="31"/>
      <c r="FS5" s="31"/>
      <c r="FT5" s="31"/>
      <c r="FZ5" s="1034"/>
      <c r="GJ5" s="988" t="s">
        <v>269</v>
      </c>
      <c r="GK5" s="1036" t="s">
        <v>267</v>
      </c>
      <c r="GL5" s="1038" t="s">
        <v>110</v>
      </c>
      <c r="GM5" s="1038" t="s">
        <v>111</v>
      </c>
      <c r="GN5" s="1039"/>
      <c r="GO5" s="993"/>
      <c r="GP5" s="997"/>
      <c r="GQ5" s="31"/>
      <c r="GR5" s="984"/>
      <c r="GS5" s="1008" t="s">
        <v>248</v>
      </c>
      <c r="GT5" s="1009"/>
      <c r="GU5" s="1004" t="s">
        <v>249</v>
      </c>
      <c r="GV5" s="1005"/>
      <c r="GW5" s="1006"/>
      <c r="GX5" s="1007"/>
      <c r="GY5" s="991" t="s">
        <v>107</v>
      </c>
      <c r="GZ5" s="915"/>
      <c r="HA5" s="1076" t="s">
        <v>248</v>
      </c>
      <c r="HB5" s="1077"/>
      <c r="HC5" s="1077"/>
      <c r="HD5" s="1078"/>
      <c r="HE5" s="1093" t="s">
        <v>249</v>
      </c>
      <c r="HF5" s="1077"/>
      <c r="HG5" s="1077"/>
      <c r="HH5" s="1094"/>
      <c r="HI5" s="1088"/>
      <c r="HN5" s="386" t="s">
        <v>263</v>
      </c>
      <c r="HO5" s="58" t="s">
        <v>264</v>
      </c>
      <c r="HS5" s="1082" t="s">
        <v>274</v>
      </c>
      <c r="HZ5" s="383"/>
    </row>
    <row r="6" spans="1:283" ht="15" customHeight="1" thickBot="1" x14ac:dyDescent="0.4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/>
      </c>
      <c r="M6" s="1243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$Q$6</f>
        <v>Projected XY</v>
      </c>
      <c r="X6" s="1170"/>
      <c r="Y6" s="1211" t="str">
        <f>$S$6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139" t="str">
        <f>AD6</f>
        <v>Unit Vector</v>
      </c>
      <c r="AL6" s="1140"/>
      <c r="AM6" s="1141"/>
      <c r="AN6" s="34" t="s">
        <v>15</v>
      </c>
      <c r="AO6" s="35" t="s">
        <v>16</v>
      </c>
      <c r="AP6" s="737" t="s">
        <v>17</v>
      </c>
      <c r="AQ6" s="1203" t="s">
        <v>108</v>
      </c>
      <c r="AS6" s="172">
        <f>(AS5/360)</f>
        <v>6.9444444444444447E-4</v>
      </c>
      <c r="AT6" s="465" t="s">
        <v>48</v>
      </c>
      <c r="AV6" s="1201"/>
      <c r="AW6" s="1194" t="s">
        <v>105</v>
      </c>
      <c r="AX6" s="1195"/>
      <c r="AY6" s="195" t="s">
        <v>110</v>
      </c>
      <c r="AZ6" s="1175" t="s">
        <v>111</v>
      </c>
      <c r="BA6" s="1176"/>
      <c r="BB6" s="1166"/>
      <c r="BC6" s="1169" t="str">
        <f>$Q$6</f>
        <v>Projected XY</v>
      </c>
      <c r="BD6" s="1170"/>
      <c r="BE6" s="1171" t="str">
        <f>$S$6</f>
        <v>Z</v>
      </c>
      <c r="BF6" s="882" t="s">
        <v>125</v>
      </c>
      <c r="BG6" s="878"/>
      <c r="BH6" s="987"/>
      <c r="BI6" s="880" t="s">
        <v>126</v>
      </c>
      <c r="BJ6" s="878"/>
      <c r="BK6" s="879"/>
      <c r="BL6" s="883" t="s">
        <v>127</v>
      </c>
      <c r="BM6" s="878"/>
      <c r="BN6" s="884"/>
      <c r="BO6" s="882" t="s">
        <v>135</v>
      </c>
      <c r="BP6" s="878"/>
      <c r="BQ6" s="878"/>
      <c r="BR6" s="884"/>
      <c r="BS6" s="882" t="s">
        <v>125</v>
      </c>
      <c r="BT6" s="878"/>
      <c r="BU6" s="987"/>
      <c r="BV6" s="880" t="s">
        <v>126</v>
      </c>
      <c r="BW6" s="878"/>
      <c r="BX6" s="879"/>
      <c r="BY6" s="883" t="s">
        <v>127</v>
      </c>
      <c r="BZ6" s="878"/>
      <c r="CA6" s="884"/>
      <c r="CB6" s="882" t="s">
        <v>135</v>
      </c>
      <c r="CC6" s="878"/>
      <c r="CD6" s="878"/>
      <c r="CE6" s="884"/>
      <c r="CF6" s="888" t="s">
        <v>136</v>
      </c>
      <c r="CG6" s="1124"/>
      <c r="CH6" s="1124"/>
      <c r="CI6" s="1126" t="s">
        <v>137</v>
      </c>
      <c r="CJ6" s="1124"/>
      <c r="CK6" s="889"/>
      <c r="CL6" s="1123" t="s">
        <v>140</v>
      </c>
      <c r="CM6" s="1124"/>
      <c r="CN6" s="1125"/>
      <c r="CO6" s="1016"/>
      <c r="CP6" s="1016"/>
      <c r="CQ6" s="1098"/>
      <c r="CR6" s="1098"/>
      <c r="CS6" s="1099"/>
      <c r="CT6" s="1098"/>
      <c r="CU6" s="1160"/>
      <c r="CV6" s="1182" t="s">
        <v>147</v>
      </c>
      <c r="CW6" s="878"/>
      <c r="CX6" s="879"/>
      <c r="CY6" s="1117" t="s">
        <v>148</v>
      </c>
      <c r="CZ6" s="1072"/>
      <c r="DA6" s="1118"/>
      <c r="DB6" s="1127" t="s">
        <v>176</v>
      </c>
      <c r="DC6" s="1063"/>
      <c r="DD6" s="1064"/>
      <c r="DE6" s="1128" t="s">
        <v>177</v>
      </c>
      <c r="DF6" s="1063"/>
      <c r="DG6" s="1064"/>
      <c r="DH6" s="253" t="s">
        <v>29</v>
      </c>
      <c r="DI6" s="1024"/>
      <c r="DJ6" s="1024"/>
      <c r="DK6" s="1130"/>
      <c r="DL6" s="1023"/>
      <c r="DM6" s="1024"/>
      <c r="DN6" s="1025"/>
      <c r="DO6" s="1133"/>
      <c r="DP6" s="1134"/>
      <c r="DQ6" s="1134"/>
      <c r="DR6" s="1015"/>
      <c r="DS6" s="1015"/>
      <c r="DT6" s="1015"/>
      <c r="DU6" s="1015"/>
      <c r="DV6" s="1015"/>
      <c r="DW6" s="1015"/>
      <c r="DX6" s="1016"/>
      <c r="DY6" s="1135"/>
      <c r="DZ6" s="1015"/>
      <c r="EA6" s="1015"/>
      <c r="EB6" s="1015"/>
      <c r="EC6" s="1015"/>
      <c r="ED6" s="1015"/>
      <c r="EE6" s="1011"/>
      <c r="EF6" s="1011"/>
      <c r="EG6" s="1012"/>
      <c r="EH6" s="1029"/>
      <c r="EI6" s="1030"/>
      <c r="EJ6" s="1031"/>
      <c r="EK6" s="1015"/>
      <c r="EL6" s="1016"/>
      <c r="EM6" s="1017" t="s">
        <v>199</v>
      </c>
      <c r="EN6" s="1018"/>
      <c r="EO6" s="1019"/>
      <c r="EP6" s="1103" t="s">
        <v>198</v>
      </c>
      <c r="EQ6" s="1018"/>
      <c r="ER6" s="1105"/>
      <c r="ES6" s="1097"/>
      <c r="ET6" s="1098"/>
      <c r="EU6" s="1099"/>
      <c r="EV6" s="274" t="s">
        <v>221</v>
      </c>
      <c r="EW6" s="1103" t="s">
        <v>202</v>
      </c>
      <c r="EX6" s="1018"/>
      <c r="EY6" s="1104"/>
      <c r="EZ6" s="1058"/>
      <c r="FA6" s="1111"/>
      <c r="FB6" s="1112"/>
      <c r="FC6" s="1113"/>
      <c r="FD6" s="1017" t="s">
        <v>202</v>
      </c>
      <c r="FE6" s="1018"/>
      <c r="FF6" s="1105"/>
      <c r="FG6" s="1107" t="s">
        <v>224</v>
      </c>
      <c r="FH6" s="1108"/>
      <c r="FI6" s="1109"/>
      <c r="FJ6" s="1013" t="s">
        <v>203</v>
      </c>
      <c r="FK6" s="1014" t="s">
        <v>214</v>
      </c>
      <c r="FL6" s="1000"/>
      <c r="FM6" s="933"/>
      <c r="FN6" s="1053" t="s">
        <v>204</v>
      </c>
      <c r="FO6" s="1060" t="s">
        <v>227</v>
      </c>
      <c r="FP6" s="1051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4" t="s">
        <v>218</v>
      </c>
      <c r="FV6" s="1000"/>
      <c r="FW6" s="933"/>
      <c r="FX6" s="1053" t="s">
        <v>219</v>
      </c>
      <c r="FY6" s="1060" t="s">
        <v>227</v>
      </c>
      <c r="FZ6" s="1051" t="s">
        <v>225</v>
      </c>
      <c r="GA6" s="1055" t="s">
        <v>239</v>
      </c>
      <c r="GB6" s="336" t="s">
        <v>207</v>
      </c>
      <c r="GC6" s="337" t="s">
        <v>240</v>
      </c>
      <c r="GD6" s="338" t="s">
        <v>226</v>
      </c>
      <c r="GE6" s="985"/>
      <c r="GF6" s="1010" t="s">
        <v>260</v>
      </c>
      <c r="GG6" s="336" t="s">
        <v>207</v>
      </c>
      <c r="GH6" s="337" t="s">
        <v>240</v>
      </c>
      <c r="GI6" s="338" t="s">
        <v>226</v>
      </c>
      <c r="GJ6" s="989"/>
      <c r="GK6" s="1037"/>
      <c r="GL6" s="1040"/>
      <c r="GM6" s="1040"/>
      <c r="GN6" s="1041"/>
      <c r="GO6" s="994" t="s">
        <v>238</v>
      </c>
      <c r="GP6" s="998" t="s">
        <v>225</v>
      </c>
      <c r="GQ6" s="1000" t="s">
        <v>203</v>
      </c>
      <c r="GR6" s="984"/>
      <c r="GS6" s="1085" t="s">
        <v>252</v>
      </c>
      <c r="GT6" s="1086"/>
      <c r="GU6" s="1071" t="s">
        <v>251</v>
      </c>
      <c r="GV6" s="1072"/>
      <c r="GW6" s="1072"/>
      <c r="GX6" s="361" t="s">
        <v>106</v>
      </c>
      <c r="GY6" s="880" t="s">
        <v>250</v>
      </c>
      <c r="GZ6" s="987"/>
      <c r="HA6" s="1062" t="s">
        <v>252</v>
      </c>
      <c r="HB6" s="1063"/>
      <c r="HC6" s="1063"/>
      <c r="HD6" s="1064"/>
      <c r="HE6" s="880" t="s">
        <v>251</v>
      </c>
      <c r="HF6" s="878"/>
      <c r="HG6" s="878"/>
      <c r="HH6" s="884"/>
      <c r="HI6" s="1088"/>
      <c r="HN6" s="971" t="s">
        <v>238</v>
      </c>
      <c r="HO6" s="974" t="s">
        <v>265</v>
      </c>
      <c r="HP6" s="954" t="s">
        <v>203</v>
      </c>
      <c r="HQ6" s="391"/>
      <c r="HS6" s="1083"/>
      <c r="HT6" s="906" t="s">
        <v>270</v>
      </c>
      <c r="HU6" s="904"/>
      <c r="HV6" s="990"/>
      <c r="HW6" s="932" t="s">
        <v>258</v>
      </c>
      <c r="HX6" s="875"/>
      <c r="HY6" s="876"/>
      <c r="HZ6" s="932" t="s">
        <v>249</v>
      </c>
      <c r="IA6" s="906"/>
      <c r="IE6" s="853"/>
      <c r="IF6" s="853"/>
    </row>
    <row r="7" spans="1:283" ht="15" customHeight="1" thickBot="1" x14ac:dyDescent="0.4">
      <c r="A7" s="143"/>
      <c r="B7" s="1251" t="s">
        <v>40</v>
      </c>
      <c r="C7" s="1252"/>
      <c r="D7" s="1253"/>
      <c r="E7" s="1254" t="s">
        <v>41</v>
      </c>
      <c r="F7" s="1252"/>
      <c r="G7" s="1255"/>
      <c r="H7" s="1230" t="s">
        <v>98</v>
      </c>
      <c r="I7" s="1231"/>
      <c r="J7" s="1232"/>
      <c r="K7" s="173"/>
      <c r="L7" s="984"/>
      <c r="M7" s="124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$Q$7</f>
        <v>&lt; θ°</v>
      </c>
      <c r="X7" s="27" t="str">
        <f>$R$7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4"/>
      <c r="AS7" s="1209" t="s">
        <v>54</v>
      </c>
      <c r="AT7" s="1207" t="s">
        <v>53</v>
      </c>
      <c r="AV7" s="120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6"/>
      <c r="BC7" s="37" t="str">
        <f>$Q$7</f>
        <v>&lt; θ°</v>
      </c>
      <c r="BD7" s="27" t="str">
        <f>$R$7</f>
        <v>r</v>
      </c>
      <c r="BE7" s="1172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6"/>
      <c r="FK7" s="350" t="s">
        <v>211</v>
      </c>
      <c r="FL7" s="351" t="s">
        <v>212</v>
      </c>
      <c r="FM7" s="352" t="s">
        <v>213</v>
      </c>
      <c r="FN7" s="1054"/>
      <c r="FO7" s="1061"/>
      <c r="FP7" s="1052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4"/>
      <c r="FY7" s="1061"/>
      <c r="FZ7" s="1052"/>
      <c r="GA7" s="1056"/>
      <c r="GB7" s="223" t="s">
        <v>232</v>
      </c>
      <c r="GC7" s="131" t="s">
        <v>233</v>
      </c>
      <c r="GD7" s="224" t="s">
        <v>234</v>
      </c>
      <c r="GE7" s="986"/>
      <c r="GF7" s="1035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5"/>
      <c r="GP7" s="999"/>
      <c r="GQ7" s="1001"/>
      <c r="GR7" s="1003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9"/>
      <c r="HJ7" s="31"/>
      <c r="HK7" s="1032" t="s">
        <v>246</v>
      </c>
      <c r="HL7" s="1032" t="s">
        <v>237</v>
      </c>
      <c r="HM7" s="922" t="s">
        <v>245</v>
      </c>
      <c r="HN7" s="972"/>
      <c r="HO7" s="1095"/>
      <c r="HP7" s="1090"/>
      <c r="HQ7" s="392"/>
      <c r="HR7" s="412"/>
      <c r="HS7" s="1083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220" t="s">
        <v>364</v>
      </c>
      <c r="JC7" s="1220"/>
      <c r="JD7" s="1220"/>
      <c r="JE7" s="122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4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-0.26060078597197067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10"/>
      <c r="AT8" s="1208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92"/>
      <c r="HL8" s="1092"/>
      <c r="HM8" s="934"/>
      <c r="HN8" s="973"/>
      <c r="HO8" s="975"/>
      <c r="HP8" s="1091"/>
      <c r="HQ8" s="393" t="s">
        <v>49</v>
      </c>
      <c r="HR8" s="413" t="s">
        <v>51</v>
      </c>
      <c r="HS8" s="1084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1.9208306205451852E-17</v>
      </c>
      <c r="C9" s="703">
        <v>0.34010000000000001</v>
      </c>
      <c r="D9" s="704">
        <v>-0.84899999999999998</v>
      </c>
      <c r="E9" s="705">
        <v>-0.93969263802333458</v>
      </c>
      <c r="F9" s="703">
        <v>-8.8521302156295598E-2</v>
      </c>
      <c r="G9" s="706">
        <v>0.33036604714967344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1.9208306205451852E-17</v>
      </c>
      <c r="O9" s="624">
        <f t="shared" ref="O9:O40" si="3">IF(M9="","",C9)</f>
        <v>0.34010000000000001</v>
      </c>
      <c r="P9" s="625">
        <f t="shared" ref="P9:P40" si="4">IF(M9="","",D9)</f>
        <v>-0.84899999999999998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0.34010000000000001</v>
      </c>
      <c r="S9" s="626">
        <f>IF(M9="","",P9)</f>
        <v>-0.84899999999999998</v>
      </c>
      <c r="T9" s="627">
        <f>IF(M9="","",X9*COS(RADIANS(W9)))</f>
        <v>0.34010000000000001</v>
      </c>
      <c r="U9" s="624">
        <f>IF(M9="","",X9*SIN(RADIANS(W9)))</f>
        <v>0</v>
      </c>
      <c r="V9" s="628">
        <f>IF(M9="","",Y9)</f>
        <v>-0.84899999999999998</v>
      </c>
      <c r="W9" s="583">
        <f t="shared" ref="W9:W14" si="5">IF(M9="","",IF(Q9-$Q$8&lt;0,360+Q9-$Q$8,Q9-$Q$8))</f>
        <v>0</v>
      </c>
      <c r="X9" s="629">
        <f>IF(M9="","",R9)</f>
        <v>0.34010000000000001</v>
      </c>
      <c r="Y9" s="630">
        <f>IF(M9="","",S9)</f>
        <v>-0.84899999999999998</v>
      </c>
      <c r="Z9" s="623">
        <f t="shared" ref="Z9:Z40" si="6">IF(M9="","",-E9)</f>
        <v>0.93969263802333458</v>
      </c>
      <c r="AA9" s="624">
        <f t="shared" ref="AA9:AA40" si="7">IF(M9="","",-F9)</f>
        <v>8.8521302156295598E-2</v>
      </c>
      <c r="AB9" s="624">
        <f t="shared" ref="AB9:AB40" si="8">IF(M9="","",-G9)</f>
        <v>-0.33036604714967344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8.8521302156295598E-2</v>
      </c>
      <c r="AF9" s="625">
        <f>IF(M9="","",AB9*(1/SQRT(Z9^2+AA9^2+AB9^2)))</f>
        <v>-0.33036604714967344</v>
      </c>
      <c r="AG9" s="599">
        <f>IF(M9="","",DEGREES(ATAN2(-AF9,AE9)))</f>
        <v>14.999997834268267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8.8521302156295598E-2</v>
      </c>
      <c r="AM9" s="626">
        <f>IF(M9="","",AF9)</f>
        <v>-0.33036604714967344</v>
      </c>
      <c r="AN9" s="581">
        <f>IF(M9="","",DEGREES(ATAN2(-AM9,AL9)))</f>
        <v>14.999997834268267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5.3815187622394802</v>
      </c>
      <c r="AQ9" s="584">
        <f t="shared" ref="AQ9:AQ40" si="9">IF(M9="","",DEGREES(ATAN(($AS$5*SIN(RADIANS(90)))/(($X9*2*PI())-($AS$5*COS(RADIANS(90)))))))</f>
        <v>6.6727738206592093</v>
      </c>
      <c r="AS9" s="51">
        <f>IF(M9="","",W9)</f>
        <v>0</v>
      </c>
      <c r="AT9" s="71">
        <f t="shared" ref="AT9:AT40" si="10">IF(M9="","",Y9+(((AS9-$AS$9)*$AS$6)*-1))</f>
        <v>-0.84899999999999998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64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1.0777994037503538E-16</v>
      </c>
      <c r="C10" s="708">
        <v>1.0841032696554616</v>
      </c>
      <c r="D10" s="709">
        <v>-0.65820198513718708</v>
      </c>
      <c r="E10" s="710">
        <v>-0.96592583607220739</v>
      </c>
      <c r="F10" s="708">
        <v>-6.6987279208207212E-2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1.0777994037503538E-16</v>
      </c>
      <c r="O10" s="629">
        <f t="shared" si="3"/>
        <v>1.0841032696554616</v>
      </c>
      <c r="P10" s="633">
        <f t="shared" si="4"/>
        <v>-0.65820198513718708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1.0841032696554616</v>
      </c>
      <c r="S10" s="634">
        <f t="shared" ref="S10:S105" si="80">IF(M10="","",P10)</f>
        <v>-0.65820198513718708</v>
      </c>
      <c r="T10" s="635">
        <f t="shared" ref="T10:T105" si="81">IF(M10="","",X10*COS(RADIANS(W10)))</f>
        <v>1.0841032696554616</v>
      </c>
      <c r="U10" s="629">
        <f t="shared" ref="U10:U105" si="82">IF(M10="","",X10*SIN(RADIANS(W10)))</f>
        <v>0</v>
      </c>
      <c r="V10" s="636">
        <f>IF(M10="","",Y10)</f>
        <v>-0.65820198513718708</v>
      </c>
      <c r="W10" s="585">
        <f t="shared" si="5"/>
        <v>0</v>
      </c>
      <c r="X10" s="629">
        <f t="shared" ref="X10:X105" si="83">IF(M10="","",R10)</f>
        <v>1.0841032696554616</v>
      </c>
      <c r="Y10" s="630">
        <f>IF(M10="","",S10)</f>
        <v>-0.65820198513718708</v>
      </c>
      <c r="Z10" s="632">
        <f t="shared" si="6"/>
        <v>0.96592583607220739</v>
      </c>
      <c r="AA10" s="629">
        <f t="shared" si="7"/>
        <v>6.6987279208207212E-2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6.6987279208207212E-2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14.999997834268271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6.6987279208207212E-2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14.999997834268271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3.9671296450865721</v>
      </c>
      <c r="AQ10" s="586">
        <f t="shared" si="9"/>
        <v>2.10192506395162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0"/>
        <v>-0.65820198513718708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6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-4.6953637391104521E-17</v>
      </c>
      <c r="C11" s="708">
        <v>1.82600550723261</v>
      </c>
      <c r="D11" s="709">
        <v>-0.45940138555457899</v>
      </c>
      <c r="E11" s="710">
        <v>-0.96592583607220739</v>
      </c>
      <c r="F11" s="708">
        <v>-6.6987279208207226E-2</v>
      </c>
      <c r="G11" s="711">
        <v>0.24999996726497564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-4.6953637391104521E-17</v>
      </c>
      <c r="O11" s="629">
        <f t="shared" si="3"/>
        <v>1.82600550723261</v>
      </c>
      <c r="P11" s="633">
        <f t="shared" si="4"/>
        <v>-0.45940138555457899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1.82600550723261</v>
      </c>
      <c r="S11" s="634">
        <f t="shared" si="80"/>
        <v>-0.45940138555457899</v>
      </c>
      <c r="T11" s="635">
        <f t="shared" si="81"/>
        <v>1.82600550723261</v>
      </c>
      <c r="U11" s="629">
        <f t="shared" si="82"/>
        <v>0</v>
      </c>
      <c r="V11" s="636">
        <f t="shared" ref="V11:V105" si="114">IF(M11="","",Y11)</f>
        <v>-0.45940138555457899</v>
      </c>
      <c r="W11" s="585">
        <f t="shared" si="5"/>
        <v>0</v>
      </c>
      <c r="X11" s="629">
        <f>IF(M11="","",R11)</f>
        <v>1.82600550723261</v>
      </c>
      <c r="Y11" s="630">
        <f>IF(M11="","",S11)</f>
        <v>-0.45940138555457899</v>
      </c>
      <c r="Z11" s="632">
        <f t="shared" si="6"/>
        <v>0.96592583607220739</v>
      </c>
      <c r="AA11" s="629">
        <f t="shared" si="7"/>
        <v>6.6987279208207226E-2</v>
      </c>
      <c r="AB11" s="629">
        <f t="shared" si="8"/>
        <v>-0.24999996726497564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6.6987279208207226E-2</v>
      </c>
      <c r="AF11" s="633">
        <f t="shared" si="86"/>
        <v>-0.24999996726497564</v>
      </c>
      <c r="AG11" s="602">
        <f>IF(M11="","",DEGREES(ATAN2(-AF11,AE11)))</f>
        <v>14.999997834268274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6.6987279208207226E-2</v>
      </c>
      <c r="AM11" s="634">
        <f t="shared" si="92"/>
        <v>-0.24999996726497564</v>
      </c>
      <c r="AN11" s="581">
        <f>IF(M11="","",DEGREES(ATAN2(-AM11,AL11)))</f>
        <v>14.999997834268274</v>
      </c>
      <c r="AO11" s="582">
        <f>IF(ROUND(IF(M11="",0,DEGREES(ACOS(AK11))),4)=90,0,IF(M11="","",DEGREES(ACOS(AK11))))</f>
        <v>14.999997834268255</v>
      </c>
      <c r="AP11" s="585">
        <f t="shared" si="95"/>
        <v>3.9671296450865725</v>
      </c>
      <c r="AQ11" s="586">
        <f t="shared" si="9"/>
        <v>1.2482798745421499</v>
      </c>
      <c r="AS11" s="52">
        <f t="shared" ref="AS11:AS42" si="116">IF(G11="","",IF(AND(W11&lt;(AS10+180),W11&gt;(AS10-180)),W11,IF(W11&gt;(AS10+180),W11-360,IF(W11&lt;(AS10-180),W11+360,"Error"))))</f>
        <v>0</v>
      </c>
      <c r="AT11" s="72">
        <f t="shared" si="10"/>
        <v>-0.45940138555457899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1.8781454956441808E-16</v>
      </c>
      <c r="C12" s="708">
        <v>2.5679077448097587</v>
      </c>
      <c r="D12" s="709">
        <v>-0.26060078597197067</v>
      </c>
      <c r="E12" s="710">
        <v>-0.96592583607220739</v>
      </c>
      <c r="F12" s="708">
        <v>-6.6987279208207226E-2</v>
      </c>
      <c r="G12" s="711">
        <v>0.24999996726497564</v>
      </c>
      <c r="H12" s="710">
        <v>0.314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1.1100000000000001</v>
      </c>
      <c r="N12" s="632">
        <f t="shared" si="2"/>
        <v>1.8781454956441808E-16</v>
      </c>
      <c r="O12" s="629">
        <f t="shared" si="3"/>
        <v>2.5679077448097587</v>
      </c>
      <c r="P12" s="633">
        <f t="shared" si="4"/>
        <v>-0.26060078597197067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2.5679077448097587</v>
      </c>
      <c r="S12" s="634">
        <f t="shared" si="80"/>
        <v>-0.26060078597197067</v>
      </c>
      <c r="T12" s="635">
        <f>IF(M12="","",X12*COS(RADIANS(W12)))</f>
        <v>2.5679077448097587</v>
      </c>
      <c r="U12" s="629">
        <f t="shared" si="82"/>
        <v>0</v>
      </c>
      <c r="V12" s="636">
        <f t="shared" si="114"/>
        <v>-0.26060078597197067</v>
      </c>
      <c r="W12" s="585">
        <f>IF(M12="","",IF(Q12-$Q$8&lt;0,360+Q12-$Q$8,Q12-$Q$8))</f>
        <v>0</v>
      </c>
      <c r="X12" s="629">
        <f t="shared" si="83"/>
        <v>2.5679077448097587</v>
      </c>
      <c r="Y12" s="630">
        <f>IF(M12="","",S12)</f>
        <v>-0.26060078597197067</v>
      </c>
      <c r="Z12" s="632">
        <f t="shared" si="6"/>
        <v>0.96592583607220739</v>
      </c>
      <c r="AA12" s="629">
        <f t="shared" si="7"/>
        <v>6.6987279208207226E-2</v>
      </c>
      <c r="AB12" s="629">
        <f t="shared" si="8"/>
        <v>-0.24999996726497564</v>
      </c>
      <c r="AC12" s="636">
        <f t="shared" si="84"/>
        <v>1</v>
      </c>
      <c r="AD12" s="637">
        <f t="shared" si="115"/>
        <v>0.96592583607220739</v>
      </c>
      <c r="AE12" s="629">
        <f t="shared" si="85"/>
        <v>6.6987279208207226E-2</v>
      </c>
      <c r="AF12" s="633">
        <f t="shared" si="86"/>
        <v>-0.24999996726497564</v>
      </c>
      <c r="AG12" s="602">
        <f t="shared" si="87"/>
        <v>14.999997834268274</v>
      </c>
      <c r="AH12" s="603">
        <f t="shared" si="88"/>
        <v>14.999997834268255</v>
      </c>
      <c r="AI12" s="585">
        <f t="shared" si="89"/>
        <v>-75.522489751159469</v>
      </c>
      <c r="AJ12" s="586">
        <f t="shared" si="90"/>
        <v>93.967129645086573</v>
      </c>
      <c r="AK12" s="635">
        <f t="shared" ref="AK12:AK105" si="211">IF(M12="","",(COS(RADIANS((90-$Q$8)-W12))*AD12)+(-SIN(RADIANS((90-$Q$8)-W12))*AE12))</f>
        <v>0.96592583607220739</v>
      </c>
      <c r="AL12" s="629">
        <f>IF(M12="","",(SIN(RADIANS((90-$Q$8)-W12))*AD12)+(COS(RADIANS((90-$Q$8)-W12))*AE12))</f>
        <v>6.6987279208207226E-2</v>
      </c>
      <c r="AM12" s="634">
        <f t="shared" si="92"/>
        <v>-0.24999996726497564</v>
      </c>
      <c r="AN12" s="581">
        <f>IF(M12="","",DEGREES(ATAN2(-AM12,AL12)))</f>
        <v>14.999997834268274</v>
      </c>
      <c r="AO12" s="582">
        <f t="shared" si="94"/>
        <v>14.999997834268255</v>
      </c>
      <c r="AP12" s="585">
        <f t="shared" si="95"/>
        <v>3.9671296450865725</v>
      </c>
      <c r="AQ12" s="586">
        <f t="shared" si="9"/>
        <v>0.88770487242679574</v>
      </c>
      <c r="AS12" s="52">
        <f t="shared" si="116"/>
        <v>0</v>
      </c>
      <c r="AT12" s="72">
        <f>IF(M12="","",Y12+(((AS12-$AS$9)*$AS$6)*-1))</f>
        <v>-0.26060078597197067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4.9728170509669793E-16</v>
      </c>
      <c r="C13" s="708">
        <v>3.3149099977685537</v>
      </c>
      <c r="D13" s="709">
        <v>-8.9200269028011522E-2</v>
      </c>
      <c r="E13" s="710">
        <v>-0.96592583607220739</v>
      </c>
      <c r="F13" s="708">
        <v>-3.1542098106364262E-2</v>
      </c>
      <c r="G13" s="711">
        <v>0.25688981150535284</v>
      </c>
      <c r="H13" s="710">
        <v>0.314</v>
      </c>
      <c r="I13" s="708">
        <v>0.52</v>
      </c>
      <c r="J13" s="570">
        <v>1.113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220</v>
      </c>
      <c r="M13" s="168">
        <f t="shared" si="1"/>
        <v>1.113</v>
      </c>
      <c r="N13" s="632">
        <f t="shared" si="2"/>
        <v>4.9728170509669793E-16</v>
      </c>
      <c r="O13" s="629">
        <f t="shared" si="3"/>
        <v>3.3149099977685537</v>
      </c>
      <c r="P13" s="633">
        <f t="shared" si="4"/>
        <v>-8.9200269028011522E-2</v>
      </c>
      <c r="Q13" s="585">
        <f t="shared" si="113"/>
        <v>90</v>
      </c>
      <c r="R13" s="629">
        <f t="shared" si="79"/>
        <v>3.3149099977685537</v>
      </c>
      <c r="S13" s="634">
        <f t="shared" si="80"/>
        <v>-8.9200269028011522E-2</v>
      </c>
      <c r="T13" s="635">
        <f>IF(M13="","",X13*COS(RADIANS(W13)))</f>
        <v>3.3149099977685537</v>
      </c>
      <c r="U13" s="629">
        <f t="shared" si="82"/>
        <v>0</v>
      </c>
      <c r="V13" s="636">
        <f t="shared" si="114"/>
        <v>-8.9200269028011522E-2</v>
      </c>
      <c r="W13" s="585">
        <f t="shared" si="5"/>
        <v>0</v>
      </c>
      <c r="X13" s="629">
        <f t="shared" si="83"/>
        <v>3.3149099977685537</v>
      </c>
      <c r="Y13" s="630">
        <f>IF(M13="","",S13)</f>
        <v>-8.9200269028011522E-2</v>
      </c>
      <c r="Z13" s="632">
        <f t="shared" si="6"/>
        <v>0.96592583607220739</v>
      </c>
      <c r="AA13" s="629">
        <f t="shared" si="7"/>
        <v>3.1542098106364262E-2</v>
      </c>
      <c r="AB13" s="629">
        <f t="shared" si="8"/>
        <v>-0.25688981150535284</v>
      </c>
      <c r="AC13" s="636">
        <f t="shared" si="84"/>
        <v>1</v>
      </c>
      <c r="AD13" s="637">
        <f>IF(M13="","",Z13*(1/SQRT(Z13^2+AA13^2+AB13^2)))</f>
        <v>0.96592583607220739</v>
      </c>
      <c r="AE13" s="629">
        <f t="shared" si="85"/>
        <v>3.1542098106364262E-2</v>
      </c>
      <c r="AF13" s="633">
        <f t="shared" si="86"/>
        <v>-0.25688981150535284</v>
      </c>
      <c r="AG13" s="602">
        <f>IF(M13="","",DEGREES(ATAN2(-AF13,AE13)))</f>
        <v>6.9999989893251939</v>
      </c>
      <c r="AH13" s="603">
        <f t="shared" si="88"/>
        <v>14.999997834268255</v>
      </c>
      <c r="AI13" s="585">
        <f t="shared" si="89"/>
        <v>-75.114405734769164</v>
      </c>
      <c r="AJ13" s="586">
        <f t="shared" si="90"/>
        <v>91.870316613608324</v>
      </c>
      <c r="AK13" s="635">
        <f t="shared" si="211"/>
        <v>0.96592583607220739</v>
      </c>
      <c r="AL13" s="629">
        <f t="shared" si="91"/>
        <v>3.1542098106364262E-2</v>
      </c>
      <c r="AM13" s="634">
        <f t="shared" si="92"/>
        <v>-0.25688981150535284</v>
      </c>
      <c r="AN13" s="581">
        <f t="shared" si="93"/>
        <v>6.9999989893251939</v>
      </c>
      <c r="AO13" s="582">
        <f t="shared" si="94"/>
        <v>14.999997834268255</v>
      </c>
      <c r="AP13" s="585">
        <f t="shared" si="95"/>
        <v>1.87031661360833</v>
      </c>
      <c r="AQ13" s="586">
        <f t="shared" si="9"/>
        <v>0.68768598907990997</v>
      </c>
      <c r="AS13" s="52">
        <f t="shared" si="116"/>
        <v>0</v>
      </c>
      <c r="AT13" s="72">
        <f t="shared" si="10"/>
        <v>-8.9200269028011522E-2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1.113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-2.3476818695552263E-16</v>
      </c>
      <c r="C14" s="708">
        <v>4.0497122139320361</v>
      </c>
      <c r="D14" s="709">
        <v>-7.8900237963117667E-2</v>
      </c>
      <c r="E14" s="710">
        <v>-0.96592583607220739</v>
      </c>
      <c r="F14" s="708">
        <v>1.8955434839668831E-2</v>
      </c>
      <c r="G14" s="711">
        <v>0.25812394444965059</v>
      </c>
      <c r="H14" s="710">
        <v>0.314</v>
      </c>
      <c r="I14" s="708">
        <v>0.52</v>
      </c>
      <c r="J14" s="570">
        <v>1.1160000000000001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1.1160000000000001</v>
      </c>
      <c r="N14" s="632">
        <f t="shared" si="2"/>
        <v>-2.3476818695552263E-16</v>
      </c>
      <c r="O14" s="629">
        <f t="shared" si="3"/>
        <v>4.0497122139320361</v>
      </c>
      <c r="P14" s="633">
        <f t="shared" si="4"/>
        <v>-7.8900237963117667E-2</v>
      </c>
      <c r="Q14" s="585">
        <f t="shared" si="113"/>
        <v>90</v>
      </c>
      <c r="R14" s="629">
        <f t="shared" si="79"/>
        <v>4.0497122139320361</v>
      </c>
      <c r="S14" s="634">
        <f t="shared" si="80"/>
        <v>-7.8900237963117667E-2</v>
      </c>
      <c r="T14" s="635">
        <f t="shared" si="81"/>
        <v>4.0497122139320361</v>
      </c>
      <c r="U14" s="629">
        <f t="shared" si="82"/>
        <v>0</v>
      </c>
      <c r="V14" s="636">
        <f t="shared" si="114"/>
        <v>-7.8900237963117667E-2</v>
      </c>
      <c r="W14" s="585">
        <f t="shared" si="5"/>
        <v>0</v>
      </c>
      <c r="X14" s="629">
        <f t="shared" si="83"/>
        <v>4.0497122139320361</v>
      </c>
      <c r="Y14" s="630">
        <f t="shared" ref="Y14:Y75" si="223">IF(M14="","",S14)</f>
        <v>-7.8900237963117667E-2</v>
      </c>
      <c r="Z14" s="632">
        <f t="shared" si="6"/>
        <v>0.96592583607220739</v>
      </c>
      <c r="AA14" s="629">
        <f t="shared" si="7"/>
        <v>-1.8955434839668831E-2</v>
      </c>
      <c r="AB14" s="629">
        <f t="shared" si="8"/>
        <v>-0.25812394444965059</v>
      </c>
      <c r="AC14" s="636">
        <f t="shared" si="84"/>
        <v>1</v>
      </c>
      <c r="AD14" s="637">
        <f>IF(M14="","",Z14*(1/SQRT(Z14^2+AA14^2+AB14^2)))</f>
        <v>0.96592583607220739</v>
      </c>
      <c r="AE14" s="629">
        <f t="shared" si="85"/>
        <v>-1.8955434839668831E-2</v>
      </c>
      <c r="AF14" s="633">
        <f t="shared" si="86"/>
        <v>-0.25812394444965059</v>
      </c>
      <c r="AG14" s="602">
        <f t="shared" si="87"/>
        <v>-4.1999993935951112</v>
      </c>
      <c r="AH14" s="603">
        <f t="shared" si="88"/>
        <v>14.999997834268255</v>
      </c>
      <c r="AI14" s="585">
        <f t="shared" si="89"/>
        <v>-75.041227283859399</v>
      </c>
      <c r="AJ14" s="586">
        <f t="shared" si="90"/>
        <v>88.875765622976843</v>
      </c>
      <c r="AK14" s="635">
        <f>IF(M14="","",(COS(RADIANS((90-$Q$8)-W14))*AD14)+(-SIN(RADIANS((90-$Q$8)-W14))*AE14))</f>
        <v>0.96592583607220739</v>
      </c>
      <c r="AL14" s="629">
        <f t="shared" si="91"/>
        <v>-1.8955434839668831E-2</v>
      </c>
      <c r="AM14" s="634">
        <f t="shared" si="92"/>
        <v>-0.25812394444965059</v>
      </c>
      <c r="AN14" s="581">
        <f t="shared" si="93"/>
        <v>-4.1999993935951112</v>
      </c>
      <c r="AO14" s="582">
        <f t="shared" si="94"/>
        <v>14.999997834268255</v>
      </c>
      <c r="AP14" s="585">
        <f>IF(M14="","",DEGREES(ATAN2(AK14,AL14)))</f>
        <v>-1.124234377023166</v>
      </c>
      <c r="AQ14" s="586">
        <f t="shared" si="9"/>
        <v>0.56291735317004787</v>
      </c>
      <c r="AS14" s="52">
        <f t="shared" si="116"/>
        <v>0</v>
      </c>
      <c r="AT14" s="72">
        <f t="shared" si="10"/>
        <v>-7.8900237963117667E-2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1.1160000000000001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3.894731741335701E-2</v>
      </c>
      <c r="C15" s="708">
        <v>4.7988564290332354</v>
      </c>
      <c r="D15" s="709">
        <v>-0.2482007485734577</v>
      </c>
      <c r="E15" s="710">
        <v>-0.96245965650833298</v>
      </c>
      <c r="F15" s="708">
        <v>0.13901480679958703</v>
      </c>
      <c r="G15" s="711">
        <v>0.23312291411256675</v>
      </c>
      <c r="H15" s="710">
        <v>0.314</v>
      </c>
      <c r="I15" s="708">
        <v>0.52</v>
      </c>
      <c r="J15" s="570">
        <v>1.119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873">
        <f>IF($L14=$JH$22,$JH$29,IF($L14=$JI$22,$JI$29,""))</f>
        <v>210</v>
      </c>
      <c r="M15" s="168">
        <f t="shared" si="1"/>
        <v>1.119</v>
      </c>
      <c r="N15" s="632">
        <f t="shared" si="2"/>
        <v>3.894731741335701E-2</v>
      </c>
      <c r="O15" s="629">
        <f t="shared" si="3"/>
        <v>4.7988564290332354</v>
      </c>
      <c r="P15" s="633">
        <f t="shared" si="4"/>
        <v>-0.2482007485734577</v>
      </c>
      <c r="Q15" s="585">
        <f t="shared" si="113"/>
        <v>89.535000067137702</v>
      </c>
      <c r="R15" s="629">
        <f t="shared" si="79"/>
        <v>4.7990144738276541</v>
      </c>
      <c r="S15" s="634">
        <f t="shared" si="80"/>
        <v>-0.2482007485734577</v>
      </c>
      <c r="T15" s="635">
        <f t="shared" si="81"/>
        <v>4.7988564290332363</v>
      </c>
      <c r="U15" s="629">
        <f t="shared" si="82"/>
        <v>-3.8947317413353347E-2</v>
      </c>
      <c r="V15" s="636">
        <f t="shared" si="114"/>
        <v>-0.2482007485734577</v>
      </c>
      <c r="W15" s="585">
        <f t="shared" ref="W15:W78" si="224">IF(M15="","",IF(Q15-$Q$8&lt;0,360+Q15-$Q$8,Q15-$Q$8))</f>
        <v>359.53500006713773</v>
      </c>
      <c r="X15" s="629">
        <f>IF(M15="","",R15)</f>
        <v>4.7990144738276541</v>
      </c>
      <c r="Y15" s="630">
        <f>IF(M15="","",S15)</f>
        <v>-0.2482007485734577</v>
      </c>
      <c r="Z15" s="632">
        <f t="shared" si="6"/>
        <v>0.96245965650833298</v>
      </c>
      <c r="AA15" s="629">
        <f t="shared" si="7"/>
        <v>-0.13901480679958703</v>
      </c>
      <c r="AB15" s="629">
        <f t="shared" si="8"/>
        <v>-0.23312291411256675</v>
      </c>
      <c r="AC15" s="636">
        <f t="shared" si="84"/>
        <v>1</v>
      </c>
      <c r="AD15" s="637">
        <f t="shared" si="115"/>
        <v>0.96245965650833298</v>
      </c>
      <c r="AE15" s="629">
        <f t="shared" si="85"/>
        <v>-0.13901480679958703</v>
      </c>
      <c r="AF15" s="633">
        <f t="shared" si="86"/>
        <v>-0.23312291411256675</v>
      </c>
      <c r="AG15" s="602">
        <f t="shared" si="87"/>
        <v>-30.808278908953856</v>
      </c>
      <c r="AH15" s="603">
        <f t="shared" si="88"/>
        <v>15.749066985814714</v>
      </c>
      <c r="AI15" s="585">
        <f t="shared" si="89"/>
        <v>-76.51899922445358</v>
      </c>
      <c r="AJ15" s="586">
        <f t="shared" si="90"/>
        <v>81.781207321872685</v>
      </c>
      <c r="AK15" s="635">
        <f t="shared" si="211"/>
        <v>0.96355616123773713</v>
      </c>
      <c r="AL15" s="629">
        <f t="shared" si="91"/>
        <v>-0.13119920371885213</v>
      </c>
      <c r="AM15" s="634">
        <f t="shared" si="92"/>
        <v>-0.23312291411256675</v>
      </c>
      <c r="AN15" s="581">
        <f>IF(M15="","",DEGREES(ATAN2(-AM15,AL15)))</f>
        <v>-29.37036637765372</v>
      </c>
      <c r="AO15" s="582">
        <f t="shared" si="94"/>
        <v>15.51592018763629</v>
      </c>
      <c r="AP15" s="585">
        <f t="shared" si="95"/>
        <v>-7.753792745265045</v>
      </c>
      <c r="AQ15" s="586">
        <f t="shared" si="9"/>
        <v>0.47502969820273633</v>
      </c>
      <c r="AS15" s="52">
        <f t="shared" si="116"/>
        <v>-0.46499993286226982</v>
      </c>
      <c r="AT15" s="72">
        <f t="shared" si="10"/>
        <v>-0.24787783195341445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1.119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70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0.10095918597681343</v>
      </c>
      <c r="C16" s="708">
        <v>5.4750857639503359</v>
      </c>
      <c r="D16" s="709">
        <v>-0.58520176496852283</v>
      </c>
      <c r="E16" s="710">
        <v>-0.95579484932802561</v>
      </c>
      <c r="F16" s="708">
        <v>0.22512651658256408</v>
      </c>
      <c r="G16" s="711">
        <v>0.18914084045868423</v>
      </c>
      <c r="H16" s="710">
        <v>0.314</v>
      </c>
      <c r="I16" s="708">
        <v>0.52</v>
      </c>
      <c r="J16" s="570">
        <v>1.1220000000000001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1.1220000000000001</v>
      </c>
      <c r="N16" s="632">
        <f t="shared" si="2"/>
        <v>0.10095918597681343</v>
      </c>
      <c r="O16" s="629">
        <f t="shared" si="3"/>
        <v>5.4750857639503359</v>
      </c>
      <c r="P16" s="633">
        <f t="shared" si="4"/>
        <v>-0.58520176496852283</v>
      </c>
      <c r="Q16" s="585">
        <f>IF(M16="","",IF(DEGREES(ATAN2(N16,O16))&lt;0,DEGREES(ATAN2(N16,O16))+360,IF(DEGREES(ATAN2(N16,O16))&gt;360,DEGREES(ATAN2(N16,O16))-360,DEGREES(ATAN2(N16,O16)))))</f>
        <v>88.943600152525264</v>
      </c>
      <c r="R16" s="629">
        <f t="shared" si="79"/>
        <v>5.4760165156658118</v>
      </c>
      <c r="S16" s="634">
        <f t="shared" si="80"/>
        <v>-0.58520176496852283</v>
      </c>
      <c r="T16" s="635">
        <f t="shared" si="81"/>
        <v>5.4750857639503367</v>
      </c>
      <c r="U16" s="629">
        <f t="shared" si="82"/>
        <v>-0.10095918597681096</v>
      </c>
      <c r="V16" s="636">
        <f t="shared" si="114"/>
        <v>-0.58520176496852283</v>
      </c>
      <c r="W16" s="585">
        <f>IF(M16="","",IF(Q16-$Q$8&lt;0,360+Q16-$Q$8,Q16-$Q$8))</f>
        <v>358.94360015252528</v>
      </c>
      <c r="X16" s="629">
        <f t="shared" si="83"/>
        <v>5.4760165156658118</v>
      </c>
      <c r="Y16" s="630">
        <f t="shared" si="223"/>
        <v>-0.58520176496852283</v>
      </c>
      <c r="Z16" s="632">
        <f t="shared" si="6"/>
        <v>0.95579484932802561</v>
      </c>
      <c r="AA16" s="629">
        <f t="shared" si="7"/>
        <v>-0.22512651658256408</v>
      </c>
      <c r="AB16" s="629">
        <f t="shared" si="8"/>
        <v>-0.18914084045868423</v>
      </c>
      <c r="AC16" s="636">
        <f t="shared" si="84"/>
        <v>1</v>
      </c>
      <c r="AD16" s="637">
        <f t="shared" si="115"/>
        <v>0.95579484932802561</v>
      </c>
      <c r="AE16" s="629">
        <f t="shared" si="85"/>
        <v>-0.22512651658256408</v>
      </c>
      <c r="AF16" s="633">
        <f t="shared" si="86"/>
        <v>-0.18914084045868423</v>
      </c>
      <c r="AG16" s="602">
        <f t="shared" si="87"/>
        <v>-49.964583198513523</v>
      </c>
      <c r="AH16" s="603">
        <f t="shared" si="88"/>
        <v>17.099642525647717</v>
      </c>
      <c r="AI16" s="585">
        <f t="shared" si="89"/>
        <v>-79.097351115776789</v>
      </c>
      <c r="AJ16" s="586">
        <f t="shared" si="90"/>
        <v>76.746211478695031</v>
      </c>
      <c r="AK16" s="635">
        <f t="shared" si="211"/>
        <v>0.95978296406395447</v>
      </c>
      <c r="AL16" s="629">
        <f t="shared" si="91"/>
        <v>-0.20746663433716947</v>
      </c>
      <c r="AM16" s="634">
        <f t="shared" si="92"/>
        <v>-0.18914084045868423</v>
      </c>
      <c r="AN16" s="581">
        <f t="shared" si="93"/>
        <v>-47.645548595001145</v>
      </c>
      <c r="AO16" s="582">
        <f t="shared" si="94"/>
        <v>16.304557437952504</v>
      </c>
      <c r="AP16" s="585">
        <f t="shared" si="95"/>
        <v>-12.197388673830257</v>
      </c>
      <c r="AQ16" s="586">
        <f t="shared" si="9"/>
        <v>0.41630380542103346</v>
      </c>
      <c r="AS16" s="52">
        <f t="shared" si="116"/>
        <v>-1.0563998474747223</v>
      </c>
      <c r="AT16" s="72">
        <f t="shared" si="10"/>
        <v>-0.58446815396333207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1.1220000000000001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0.17706921824739083</v>
      </c>
      <c r="C17" s="708">
        <v>6.0519284412321133</v>
      </c>
      <c r="D17" s="709">
        <v>-1.0723032340665548</v>
      </c>
      <c r="E17" s="710">
        <v>-0.94695345838632006</v>
      </c>
      <c r="F17" s="708">
        <v>0.29418714149925035</v>
      </c>
      <c r="G17" s="711">
        <v>0.12935638146874776</v>
      </c>
      <c r="H17" s="710">
        <v>0.314</v>
      </c>
      <c r="I17" s="708">
        <v>0.52</v>
      </c>
      <c r="J17" s="570">
        <v>1.125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1.125</v>
      </c>
      <c r="N17" s="632">
        <f t="shared" si="2"/>
        <v>0.17706921824739083</v>
      </c>
      <c r="O17" s="629">
        <f t="shared" si="3"/>
        <v>6.0519284412321133</v>
      </c>
      <c r="P17" s="633">
        <f t="shared" si="4"/>
        <v>-1.0723032340665548</v>
      </c>
      <c r="Q17" s="585">
        <f>IF(M17="","",IF(DEGREES(ATAN2(N17,O17))&lt;0,DEGREES(ATAN2(N17,O17))+360,IF(DEGREES(ATAN2(N17,O17))&gt;360,DEGREES(ATAN2(N17,O17))-360,DEGREES(ATAN2(N17,O17)))))</f>
        <v>88.324100241969987</v>
      </c>
      <c r="R17" s="629">
        <f>IF(M17="","",SQRT(N17^2+O17^2))</f>
        <v>6.0545182604270753</v>
      </c>
      <c r="S17" s="634">
        <f>IF(M17="","",P17)</f>
        <v>-1.0723032340665548</v>
      </c>
      <c r="T17" s="635">
        <f>IF(M17="","",X17*COS(RADIANS(W17)))</f>
        <v>6.0519284412321133</v>
      </c>
      <c r="U17" s="629">
        <f>IF(M17="","",X17*SIN(RADIANS(W17)))</f>
        <v>-0.17706921824739483</v>
      </c>
      <c r="V17" s="636">
        <f>IF(M17="","",Y17)</f>
        <v>-1.0723032340665548</v>
      </c>
      <c r="W17" s="585">
        <f t="shared" si="224"/>
        <v>358.32410024196997</v>
      </c>
      <c r="X17" s="629">
        <f>IF(M17="","",R17)</f>
        <v>6.0545182604270753</v>
      </c>
      <c r="Y17" s="630">
        <f t="shared" si="223"/>
        <v>-1.0723032340665548</v>
      </c>
      <c r="Z17" s="632">
        <f t="shared" si="6"/>
        <v>0.94695345838632006</v>
      </c>
      <c r="AA17" s="629">
        <f t="shared" si="7"/>
        <v>-0.29418714149925035</v>
      </c>
      <c r="AB17" s="629">
        <f t="shared" si="8"/>
        <v>-0.12935638146874776</v>
      </c>
      <c r="AC17" s="636">
        <f>IF(M17="","",SQRT(Z17^2+AA17^2+AB17^2))</f>
        <v>1</v>
      </c>
      <c r="AD17" s="637">
        <f>IF(M17="","",Z17*(1/SQRT(Z17^2+AA17^2+AB17^2)))</f>
        <v>0.94695345838632006</v>
      </c>
      <c r="AE17" s="629">
        <f>IF(M17="","",AA17*(1/SQRT(Z17^2+AA17^2+AB17^2)))</f>
        <v>-0.29418714149925035</v>
      </c>
      <c r="AF17" s="633">
        <f>IF(M17="","",AB17*(1/SQRT(Z17^2+AA17^2+AB17^2)))</f>
        <v>-0.12935638146874776</v>
      </c>
      <c r="AG17" s="602">
        <f>IF(M17="","",DEGREES(ATAN2(-AF17,AE17)))</f>
        <v>-66.264533234346885</v>
      </c>
      <c r="AH17" s="603">
        <f>IF(M17="","",DEGREES(ACOS(AD17)))</f>
        <v>18.745841238949001</v>
      </c>
      <c r="AI17" s="585">
        <f>IF(M17="","",DEGREES(-ACOS(-AF17)))</f>
        <v>-82.567598342663032</v>
      </c>
      <c r="AJ17" s="586">
        <f>IF(M17="","",DEGREES(ATAN2(-AE17,AD17)))</f>
        <v>72.741707376485138</v>
      </c>
      <c r="AK17" s="635">
        <f>IF(M17="","",(COS(RADIANS((90-$Q$8)-W17))*AD17)+(-SIN(RADIANS((90-$Q$8)-W17))*AE17))</f>
        <v>0.95515213692444412</v>
      </c>
      <c r="AL17" s="629">
        <f>IF(M17="","",(SIN(RADIANS((90-$Q$8)-W17))*AD17)+(COS(RADIANS((90-$Q$8)-W17))*AE17))</f>
        <v>-0.26636689340452957</v>
      </c>
      <c r="AM17" s="634">
        <f>IF(M17="","",AF17)</f>
        <v>-0.12935638146874776</v>
      </c>
      <c r="AN17" s="581">
        <f>IF(M17="","",DEGREES(ATAN2(-AM17,AL17)))</f>
        <v>-64.097290385030405</v>
      </c>
      <c r="AO17" s="582">
        <f t="shared" si="94"/>
        <v>17.224440294321109</v>
      </c>
      <c r="AP17" s="585">
        <f>IF(M17="","",DEGREES(ATAN2(AK17,AL17)))</f>
        <v>-15.582392865484824</v>
      </c>
      <c r="AQ17" s="586">
        <f t="shared" si="9"/>
        <v>0.37652769649895207</v>
      </c>
      <c r="AS17" s="52">
        <f t="shared" si="116"/>
        <v>-1.6758997580300274</v>
      </c>
      <c r="AT17" s="72">
        <f t="shared" si="10"/>
        <v>-1.071139414790145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1.125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0.25061807440152312</v>
      </c>
      <c r="C18" s="708">
        <v>6.4971681970519493</v>
      </c>
      <c r="D18" s="709">
        <v>-1.6818999999999997</v>
      </c>
      <c r="E18" s="710">
        <v>-0.93825462828910411</v>
      </c>
      <c r="F18" s="708">
        <v>0.34036517560310608</v>
      </c>
      <c r="G18" s="711">
        <v>6.1885375742108555E-2</v>
      </c>
      <c r="H18" s="710">
        <v>0.314</v>
      </c>
      <c r="I18" s="708">
        <v>0.52</v>
      </c>
      <c r="J18" s="570">
        <v>1.1279999999999999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1.1279999999999999</v>
      </c>
      <c r="N18" s="632">
        <f t="shared" si="2"/>
        <v>0.25061807440152312</v>
      </c>
      <c r="O18" s="629">
        <f t="shared" si="3"/>
        <v>6.4971681970519493</v>
      </c>
      <c r="P18" s="633">
        <f t="shared" si="4"/>
        <v>-1.6818999999999997</v>
      </c>
      <c r="Q18" s="585">
        <f t="shared" si="113"/>
        <v>87.791000318940092</v>
      </c>
      <c r="R18" s="629">
        <f>IF(M18="","",SQRT(N18^2+O18^2))</f>
        <v>6.5019999999999998</v>
      </c>
      <c r="S18" s="634">
        <f>IF(M18="","",P18)</f>
        <v>-1.6818999999999997</v>
      </c>
      <c r="T18" s="635">
        <f>IF(M18="","",X18*COS(RADIANS(W18)))</f>
        <v>6.4971681970519484</v>
      </c>
      <c r="U18" s="629">
        <f>IF(M18="","",X18*SIN(RADIANS(W18)))</f>
        <v>-0.25061807440152489</v>
      </c>
      <c r="V18" s="636">
        <f>IF(M18="","",Y18)</f>
        <v>-1.6818999999999997</v>
      </c>
      <c r="W18" s="585">
        <f t="shared" si="224"/>
        <v>357.79100031894006</v>
      </c>
      <c r="X18" s="629">
        <f>IF(M18="","",R18)</f>
        <v>6.5019999999999998</v>
      </c>
      <c r="Y18" s="630">
        <f t="shared" si="223"/>
        <v>-1.6818999999999997</v>
      </c>
      <c r="Z18" s="632">
        <f t="shared" si="6"/>
        <v>0.93825462828910411</v>
      </c>
      <c r="AA18" s="629">
        <f t="shared" si="7"/>
        <v>-0.34036517560310608</v>
      </c>
      <c r="AB18" s="629">
        <f t="shared" si="8"/>
        <v>-6.1885375742108555E-2</v>
      </c>
      <c r="AC18" s="636">
        <f>IF(M18="","",SQRT(Z18^2+AA18^2+AB18^2))</f>
        <v>1</v>
      </c>
      <c r="AD18" s="637">
        <f>IF(M18="","",Z18*(1/SQRT(Z18^2+AA18^2+AB18^2)))</f>
        <v>0.93825462828910411</v>
      </c>
      <c r="AE18" s="629">
        <f>IF(M18="","",AA18*(1/SQRT(Z18^2+AA18^2+AB18^2)))</f>
        <v>-0.34036517560310608</v>
      </c>
      <c r="AF18" s="633">
        <f>IF(M18="","",AB18*(1/SQRT(Z18^2+AA18^2+AB18^2)))</f>
        <v>-6.1885375742108555E-2</v>
      </c>
      <c r="AG18" s="602">
        <f>IF(M18="","",DEGREES(ATAN2(-AF18,AE18)))</f>
        <v>-79.695023439017916</v>
      </c>
      <c r="AH18" s="603">
        <f>IF(M18="","",DEGREES(ACOS(AD18)))</f>
        <v>20.239520063723226</v>
      </c>
      <c r="AI18" s="585">
        <f>IF(M18="","",DEGREES(-ACOS(-AF18)))</f>
        <v>-86.451961981576574</v>
      </c>
      <c r="AJ18" s="586">
        <f>IF(M18="","",DEGREES(ATAN2(-AE18,AD18)))</f>
        <v>70.061041824127173</v>
      </c>
      <c r="AK18" s="635">
        <f>IF(M18="","",(COS(RADIANS((90-$Q$8)-W18))*AD18)+(-SIN(RADIANS((90-$Q$8)-W18))*AE18))</f>
        <v>0.95067668356809487</v>
      </c>
      <c r="AL18" s="629">
        <f>IF(M18="","",(SIN(RADIANS((90-$Q$8)-W18))*AD18)+(COS(RADIANS((90-$Q$8)-W18))*AE18))</f>
        <v>-0.30394743556942</v>
      </c>
      <c r="AM18" s="634">
        <f>IF(M18="","",AF18)</f>
        <v>-6.1885375742108555E-2</v>
      </c>
      <c r="AN18" s="581">
        <f>IF(M18="","",DEGREES(ATAN2(-AM18,AL18)))</f>
        <v>-78.491570286976369</v>
      </c>
      <c r="AO18" s="582">
        <f t="shared" si="94"/>
        <v>18.070293248804486</v>
      </c>
      <c r="AP18" s="585">
        <f>IF(M18="","",DEGREES(ATAN2(AK18,AL18)))</f>
        <v>-17.729958494812909</v>
      </c>
      <c r="AQ18" s="586">
        <f t="shared" si="9"/>
        <v>0.35061491474524575</v>
      </c>
      <c r="AS18" s="52">
        <f t="shared" si="116"/>
        <v>-2.2089996810599359</v>
      </c>
      <c r="AT18" s="72">
        <f t="shared" si="10"/>
        <v>-1.6803659724437081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1.1279999999999999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0.30486972768202858</v>
      </c>
      <c r="C19" s="708">
        <v>6.7837733570250958</v>
      </c>
      <c r="D19" s="709">
        <v>-2.3702071485447607</v>
      </c>
      <c r="E19" s="710">
        <v>-0.93205018625250347</v>
      </c>
      <c r="F19" s="708">
        <v>0.36229145620167635</v>
      </c>
      <c r="G19" s="711">
        <v>-5.229825039385072E-3</v>
      </c>
      <c r="H19" s="710">
        <v>0.314</v>
      </c>
      <c r="I19" s="708">
        <v>0.52</v>
      </c>
      <c r="J19" s="570">
        <v>1.131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1.131</v>
      </c>
      <c r="N19" s="632">
        <f t="shared" si="2"/>
        <v>0.30486972768202858</v>
      </c>
      <c r="O19" s="629">
        <f t="shared" si="3"/>
        <v>6.7837733570250958</v>
      </c>
      <c r="P19" s="633">
        <f t="shared" si="4"/>
        <v>-2.3702071485447607</v>
      </c>
      <c r="Q19" s="585">
        <f t="shared" si="113"/>
        <v>87.426800371524067</v>
      </c>
      <c r="R19" s="629">
        <f>IF(M19="","",SQRT(N19^2+O19^2))</f>
        <v>6.790620480511369</v>
      </c>
      <c r="S19" s="634">
        <f>IF(M19="","",P19)</f>
        <v>-2.3702071485447607</v>
      </c>
      <c r="T19" s="635">
        <f>IF(M19="","",X19*COS(RADIANS(W19)))</f>
        <v>6.7837733570250967</v>
      </c>
      <c r="U19" s="629">
        <f>IF(M19="","",X19*SIN(RADIANS(W19)))</f>
        <v>-0.30486972768202791</v>
      </c>
      <c r="V19" s="636">
        <f>IF(M19="","",Y19)</f>
        <v>-2.3702071485447607</v>
      </c>
      <c r="W19" s="585">
        <f t="shared" si="224"/>
        <v>357.42680037152405</v>
      </c>
      <c r="X19" s="629">
        <f>IF(M19="","",R19)</f>
        <v>6.790620480511369</v>
      </c>
      <c r="Y19" s="630">
        <f t="shared" si="223"/>
        <v>-2.3702071485447607</v>
      </c>
      <c r="Z19" s="632">
        <f t="shared" si="6"/>
        <v>0.93205018625250347</v>
      </c>
      <c r="AA19" s="629">
        <f t="shared" si="7"/>
        <v>-0.36229145620167635</v>
      </c>
      <c r="AB19" s="629">
        <f t="shared" si="8"/>
        <v>5.229825039385072E-3</v>
      </c>
      <c r="AC19" s="636">
        <f>IF(M19="","",SQRT(Z19^2+AA19^2+AB19^2))</f>
        <v>1</v>
      </c>
      <c r="AD19" s="637">
        <f>IF(M19="","",Z19*(1/SQRT(Z19^2+AA19^2+AB19^2)))</f>
        <v>0.93205018625250347</v>
      </c>
      <c r="AE19" s="629">
        <f>IF(M19="","",AA19*(1/SQRT(Z19^2+AA19^2+AB19^2)))</f>
        <v>-0.36229145620167635</v>
      </c>
      <c r="AF19" s="633">
        <f>IF(M19="","",AB19*(1/SQRT(Z19^2+AA19^2+AB19^2)))</f>
        <v>5.229825039385072E-3</v>
      </c>
      <c r="AG19" s="602">
        <f>IF(M19="","",DEGREES(ATAN2(-AF19,AE19)))</f>
        <v>-90.827030519894876</v>
      </c>
      <c r="AH19" s="603">
        <f>IF(M19="","",DEGREES(ACOS(AD19)))</f>
        <v>21.243309345042608</v>
      </c>
      <c r="AI19" s="585">
        <f>IF(M19="","",DEGREES(-ACOS(-AF19)))</f>
        <v>-90.299648268309312</v>
      </c>
      <c r="AJ19" s="586">
        <f>IF(M19="","",DEGREES(ATAN2(-AE19,AD19)))</f>
        <v>68.758706380868873</v>
      </c>
      <c r="AK19" s="635">
        <f>IF(M19="","",(COS(RADIANS((90-$Q$8)-W19))*AD19)+(-SIN(RADIANS((90-$Q$8)-W19))*AE19))</f>
        <v>0.94737571286258704</v>
      </c>
      <c r="AL19" s="629">
        <f>IF(M19="","",(SIN(RADIANS((90-$Q$8)-W19))*AD19)+(COS(RADIANS((90-$Q$8)-W19))*AE19))</f>
        <v>-0.32008109536203866</v>
      </c>
      <c r="AM19" s="634">
        <f>IF(M19="","",AF19)</f>
        <v>5.229825039385072E-3</v>
      </c>
      <c r="AN19" s="581">
        <f>IF(M19="","",DEGREES(ATAN2(-AM19,AL19)))</f>
        <v>-90.93607603162296</v>
      </c>
      <c r="AO19" s="582">
        <f t="shared" si="94"/>
        <v>18.670413019422668</v>
      </c>
      <c r="AP19" s="585">
        <f>IF(M19="","",DEGREES(ATAN2(AK19,AL19)))</f>
        <v>-18.668093990655191</v>
      </c>
      <c r="AQ19" s="586">
        <f t="shared" si="9"/>
        <v>0.33571314281299125</v>
      </c>
      <c r="AS19" s="52">
        <f t="shared" si="116"/>
        <v>-2.5731996284759475</v>
      </c>
      <c r="AT19" s="72">
        <f t="shared" si="10"/>
        <v>-2.3684202043583191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1.131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707">
        <v>0.34112024441270872</v>
      </c>
      <c r="C20" s="708">
        <v>6.9607675406160068</v>
      </c>
      <c r="D20" s="709">
        <v>-3.0810092923240262</v>
      </c>
      <c r="E20" s="710">
        <v>-0.8992152372517237</v>
      </c>
      <c r="F20" s="708">
        <v>0.43644825213360683</v>
      </c>
      <c r="G20" s="711">
        <v>-3.0411844795175974E-2</v>
      </c>
      <c r="H20" s="710">
        <v>0.314</v>
      </c>
      <c r="I20" s="708">
        <v>0.52</v>
      </c>
      <c r="J20" s="570">
        <v>1.1339999999999999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>
        <f>IF($L19=$JH$22,$JH$30,IF($L19=$JI$22,$JI$30,""))</f>
        <v>570</v>
      </c>
      <c r="M20" s="168">
        <f t="shared" si="1"/>
        <v>1.1339999999999999</v>
      </c>
      <c r="N20" s="632">
        <f t="shared" si="2"/>
        <v>0.34112024441270872</v>
      </c>
      <c r="O20" s="629">
        <f t="shared" si="3"/>
        <v>6.9607675406160068</v>
      </c>
      <c r="P20" s="633">
        <f t="shared" si="4"/>
        <v>-3.0810092923240262</v>
      </c>
      <c r="Q20" s="585">
        <f t="shared" si="113"/>
        <v>87.194400405078468</v>
      </c>
      <c r="R20" s="629">
        <f>IF(M20="","",SQRT(N20^2+O20^2))</f>
        <v>6.9691210188689938</v>
      </c>
      <c r="S20" s="634">
        <f>IF(M20="","",P20)</f>
        <v>-3.0810092923240262</v>
      </c>
      <c r="T20" s="635">
        <f>IF(M20="","",X20*COS(RADIANS(W20)))</f>
        <v>6.9607675406160077</v>
      </c>
      <c r="U20" s="629">
        <f>IF(M20="","",X20*SIN(RADIANS(W20)))</f>
        <v>-0.34112024441270988</v>
      </c>
      <c r="V20" s="636">
        <f>IF(M20="","",Y20)</f>
        <v>-3.0810092923240262</v>
      </c>
      <c r="W20" s="585">
        <f t="shared" si="224"/>
        <v>357.19440040507845</v>
      </c>
      <c r="X20" s="629">
        <f>IF(M20="","",R20)</f>
        <v>6.9691210188689938</v>
      </c>
      <c r="Y20" s="630">
        <f t="shared" si="223"/>
        <v>-3.0810092923240262</v>
      </c>
      <c r="Z20" s="632">
        <f t="shared" si="6"/>
        <v>0.8992152372517237</v>
      </c>
      <c r="AA20" s="629">
        <f t="shared" si="7"/>
        <v>-0.43644825213360683</v>
      </c>
      <c r="AB20" s="629">
        <f t="shared" si="8"/>
        <v>3.0411844795175974E-2</v>
      </c>
      <c r="AC20" s="636">
        <f>IF(M20="","",SQRT(Z20^2+AA20^2+AB20^2))</f>
        <v>1</v>
      </c>
      <c r="AD20" s="637">
        <f>IF(M20="","",Z20*(1/SQRT(Z20^2+AA20^2+AB20^2)))</f>
        <v>0.8992152372517237</v>
      </c>
      <c r="AE20" s="629">
        <f>IF(M20="","",AA20*(1/SQRT(Z20^2+AA20^2+AB20^2)))</f>
        <v>-0.43644825213360683</v>
      </c>
      <c r="AF20" s="633">
        <f>IF(M20="","",AB20*(1/SQRT(Z20^2+AA20^2+AB20^2)))</f>
        <v>3.0411844795175974E-2</v>
      </c>
      <c r="AG20" s="602">
        <f>IF(M20="","",DEGREES(ATAN2(-AF20,AE20)))</f>
        <v>-93.985944347106511</v>
      </c>
      <c r="AH20" s="603">
        <f>IF(M20="","",DEGREES(ACOS(AD20)))</f>
        <v>25.94489535938439</v>
      </c>
      <c r="AI20" s="585">
        <f>IF(M20="","",DEGREES(-ACOS(-AF20)))</f>
        <v>-91.742739061905795</v>
      </c>
      <c r="AJ20" s="586">
        <f>IF(M20="","",DEGREES(ATAN2(-AE20,AD20)))</f>
        <v>64.109653271555587</v>
      </c>
      <c r="AK20" s="635">
        <f>IF(M20="","",(COS(RADIANS((90-$Q$8)-W20))*AD20)+(-SIN(RADIANS((90-$Q$8)-W20))*AE20))</f>
        <v>0.91950040077943673</v>
      </c>
      <c r="AL20" s="629">
        <f>IF(M20="","",(SIN(RADIANS((90-$Q$8)-W20))*AD20)+(COS(RADIANS((90-$Q$8)-W20))*AE20))</f>
        <v>-0.39191087336613856</v>
      </c>
      <c r="AM20" s="634">
        <f>IF(M20="","",AF20)</f>
        <v>3.0411844795175974E-2</v>
      </c>
      <c r="AN20" s="581">
        <f>IF(M20="","",DEGREES(ATAN2(-AM20,AL20)))</f>
        <v>-94.437196250007091</v>
      </c>
      <c r="AO20" s="582">
        <f t="shared" si="94"/>
        <v>23.146847115865825</v>
      </c>
      <c r="AP20" s="585">
        <f>IF(M20="","",DEGREES(ATAN2(AK20,AL20)))</f>
        <v>-23.084747133522868</v>
      </c>
      <c r="AQ20" s="586">
        <f t="shared" si="9"/>
        <v>0.32711469011332461</v>
      </c>
      <c r="AS20" s="52">
        <f t="shared" si="116"/>
        <v>-2.8055995949215458</v>
      </c>
      <c r="AT20" s="72">
        <f t="shared" si="10"/>
        <v>-3.0790609592719975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1.1339999999999999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707">
        <v>0.3639005158984861</v>
      </c>
      <c r="C21" s="708">
        <v>7.0670584708866722</v>
      </c>
      <c r="D21" s="709">
        <v>-3.7827114086576086</v>
      </c>
      <c r="E21" s="710">
        <v>-0.86048887220709325</v>
      </c>
      <c r="F21" s="708">
        <v>0.50913580162916294</v>
      </c>
      <c r="G21" s="711">
        <v>-1.8429224270010675E-2</v>
      </c>
      <c r="H21" s="710">
        <v>0.314</v>
      </c>
      <c r="I21" s="708">
        <v>0.52</v>
      </c>
      <c r="J21" s="570">
        <v>1.137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1.137</v>
      </c>
      <c r="N21" s="632">
        <f t="shared" si="2"/>
        <v>0.3639005158984861</v>
      </c>
      <c r="O21" s="629">
        <f t="shared" si="3"/>
        <v>7.0670584708866722</v>
      </c>
      <c r="P21" s="633">
        <f t="shared" si="4"/>
        <v>-3.7827114086576086</v>
      </c>
      <c r="Q21" s="585">
        <f t="shared" si="113"/>
        <v>87.052300425595163</v>
      </c>
      <c r="R21" s="629">
        <f>IF(M21="","",SQRT(N21^2+O21^2))</f>
        <v>7.0764213424867703</v>
      </c>
      <c r="S21" s="634">
        <f>IF(M21="","",P21)</f>
        <v>-3.7827114086576086</v>
      </c>
      <c r="T21" s="635">
        <f>IF(M21="","",X21*COS(RADIANS(W21)))</f>
        <v>7.067058470886673</v>
      </c>
      <c r="U21" s="629">
        <f>IF(M21="","",X21*SIN(RADIANS(W21)))</f>
        <v>-0.36390051589848527</v>
      </c>
      <c r="V21" s="636">
        <f>IF(M21="","",Y21)</f>
        <v>-3.7827114086576086</v>
      </c>
      <c r="W21" s="585">
        <f t="shared" si="224"/>
        <v>357.05230042559515</v>
      </c>
      <c r="X21" s="629">
        <f>IF(M21="","",R21)</f>
        <v>7.0764213424867703</v>
      </c>
      <c r="Y21" s="630">
        <f t="shared" si="223"/>
        <v>-3.7827114086576086</v>
      </c>
      <c r="Z21" s="632">
        <f t="shared" si="6"/>
        <v>0.86048887220709325</v>
      </c>
      <c r="AA21" s="629">
        <f t="shared" si="7"/>
        <v>-0.50913580162916294</v>
      </c>
      <c r="AB21" s="629">
        <f t="shared" si="8"/>
        <v>1.8429224270010675E-2</v>
      </c>
      <c r="AC21" s="636">
        <f>IF(M21="","",SQRT(Z21^2+AA21^2+AB21^2))</f>
        <v>1</v>
      </c>
      <c r="AD21" s="637">
        <f>IF(M21="","",Z21*(1/SQRT(Z21^2+AA21^2+AB21^2)))</f>
        <v>0.86048887220709325</v>
      </c>
      <c r="AE21" s="629">
        <f>IF(M21="","",AA21*(1/SQRT(Z21^2+AA21^2+AB21^2)))</f>
        <v>-0.50913580162916294</v>
      </c>
      <c r="AF21" s="633">
        <f>IF(M21="","",AB21*(1/SQRT(Z21^2+AA21^2+AB21^2)))</f>
        <v>1.8429224270010675E-2</v>
      </c>
      <c r="AG21" s="602">
        <f>IF(M21="","",DEGREES(ATAN2(-AF21,AE21)))</f>
        <v>-92.073034277553631</v>
      </c>
      <c r="AH21" s="603">
        <f>IF(M21="","",DEGREES(ACOS(AD21)))</f>
        <v>30.628482178604767</v>
      </c>
      <c r="AI21" s="585">
        <f>IF(M21="","",DEGREES(-ACOS(-AF21)))</f>
        <v>-91.055976550787506</v>
      </c>
      <c r="AJ21" s="586">
        <f>IF(M21="","",DEGREES(ATAN2(-AE21,AD21)))</f>
        <v>59.387959643751827</v>
      </c>
      <c r="AK21" s="635">
        <f>IF(M21="","",(COS(RADIANS((90-$Q$8)-W21))*AD21)+(-SIN(RADIANS((90-$Q$8)-W21))*AE21))</f>
        <v>0.88553234057541064</v>
      </c>
      <c r="AL21" s="629">
        <f>IF(M21="","",(SIN(RADIANS((90-$Q$8)-W21))*AD21)+(COS(RADIANS((90-$Q$8)-W21))*AE21))</f>
        <v>-0.46421206090303219</v>
      </c>
      <c r="AM21" s="634">
        <f>IF(M21="","",AF21)</f>
        <v>1.8429224270010675E-2</v>
      </c>
      <c r="AN21" s="581">
        <f>IF(M21="","",DEGREES(ATAN2(-AM21,AL21)))</f>
        <v>-92.273449233609014</v>
      </c>
      <c r="AO21" s="582">
        <f>IF(ROUND(IF(M21="",0,DEGREES(ACOS(AK21))),4)=90,0,IF(M21="","",DEGREES(ACOS(AK21))))</f>
        <v>27.682897343295458</v>
      </c>
      <c r="AP21" s="585">
        <f>IF(M21="","",DEGREES(ATAN2(AK21,AL21)))</f>
        <v>-27.664340781843332</v>
      </c>
      <c r="AQ21" s="586">
        <f t="shared" si="9"/>
        <v>0.32215473013413337</v>
      </c>
      <c r="AS21" s="52">
        <f t="shared" si="116"/>
        <v>-2.9476995744048509</v>
      </c>
      <c r="AT21" s="72">
        <f t="shared" si="10"/>
        <v>-3.7806643950642718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1.137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707">
        <v>0.38076805228199512</v>
      </c>
      <c r="C22" s="708">
        <v>7.1435808997948342</v>
      </c>
      <c r="D22" s="709">
        <v>-4.4417133962076019</v>
      </c>
      <c r="E22" s="710">
        <v>-0.81561639019146948</v>
      </c>
      <c r="F22" s="708">
        <v>0.57852410483585159</v>
      </c>
      <c r="G22" s="711">
        <v>8.9310791572641546E-3</v>
      </c>
      <c r="H22" s="710">
        <v>0.26600000000000001</v>
      </c>
      <c r="I22" s="708">
        <v>0.52</v>
      </c>
      <c r="J22" s="570">
        <v>1.1399999999999999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1313</v>
      </c>
      <c r="L22" s="873">
        <f>IF($L21=$JH$22,$JH$30,IF($L21=$JI$22,$JI$30,""))</f>
        <v>730</v>
      </c>
      <c r="M22" s="168">
        <f t="shared" si="1"/>
        <v>1.1399999999999999</v>
      </c>
      <c r="N22" s="632">
        <f t="shared" si="2"/>
        <v>0.38076805228199512</v>
      </c>
      <c r="O22" s="629">
        <f t="shared" si="3"/>
        <v>7.1435808997948342</v>
      </c>
      <c r="P22" s="633">
        <f t="shared" si="4"/>
        <v>-4.4417133962076019</v>
      </c>
      <c r="Q22" s="585">
        <f t="shared" si="113"/>
        <v>86.948900440524284</v>
      </c>
      <c r="R22" s="629">
        <f t="shared" si="79"/>
        <v>7.15372157562427</v>
      </c>
      <c r="S22" s="634">
        <f t="shared" si="80"/>
        <v>-4.4417133962076019</v>
      </c>
      <c r="T22" s="635">
        <f t="shared" si="81"/>
        <v>7.1435808997948342</v>
      </c>
      <c r="U22" s="629">
        <f t="shared" si="82"/>
        <v>-0.38076805228198807</v>
      </c>
      <c r="V22" s="636">
        <f t="shared" si="114"/>
        <v>-4.4417133962076019</v>
      </c>
      <c r="W22" s="585">
        <f t="shared" si="224"/>
        <v>356.94890044052431</v>
      </c>
      <c r="X22" s="629">
        <f t="shared" si="83"/>
        <v>7.15372157562427</v>
      </c>
      <c r="Y22" s="630">
        <f t="shared" si="223"/>
        <v>-4.4417133962076019</v>
      </c>
      <c r="Z22" s="632">
        <f t="shared" si="6"/>
        <v>0.81561639019146948</v>
      </c>
      <c r="AA22" s="629">
        <f t="shared" si="7"/>
        <v>-0.57852410483585159</v>
      </c>
      <c r="AB22" s="629">
        <f t="shared" si="8"/>
        <v>-8.9310791572641546E-3</v>
      </c>
      <c r="AC22" s="636">
        <f t="shared" si="84"/>
        <v>1</v>
      </c>
      <c r="AD22" s="637">
        <f t="shared" si="115"/>
        <v>0.81561639019146948</v>
      </c>
      <c r="AE22" s="629">
        <f t="shared" si="85"/>
        <v>-0.57852410483585159</v>
      </c>
      <c r="AF22" s="633">
        <f t="shared" si="86"/>
        <v>-8.9310791572641546E-3</v>
      </c>
      <c r="AG22" s="602">
        <f t="shared" si="87"/>
        <v>-89.115555440416472</v>
      </c>
      <c r="AH22" s="603">
        <f t="shared" si="88"/>
        <v>35.351645180974074</v>
      </c>
      <c r="AI22" s="585">
        <f t="shared" si="89"/>
        <v>-89.488280054817892</v>
      </c>
      <c r="AJ22" s="586">
        <f t="shared" si="90"/>
        <v>54.651576306505028</v>
      </c>
      <c r="AK22" s="635">
        <f t="shared" si="211"/>
        <v>0.84525307550849904</v>
      </c>
      <c r="AL22" s="629">
        <f t="shared" si="91"/>
        <v>-0.53429156288351631</v>
      </c>
      <c r="AM22" s="634">
        <f t="shared" si="92"/>
        <v>-8.9310791572641546E-3</v>
      </c>
      <c r="AN22" s="581">
        <f t="shared" si="93"/>
        <v>-89.042347801341208</v>
      </c>
      <c r="AO22" s="582">
        <f t="shared" si="94"/>
        <v>32.300939031165235</v>
      </c>
      <c r="AP22" s="585">
        <f t="shared" si="95"/>
        <v>-32.297324134019306</v>
      </c>
      <c r="AQ22" s="586">
        <f t="shared" si="9"/>
        <v>0.3186737280978158</v>
      </c>
      <c r="AS22" s="52">
        <f t="shared" si="116"/>
        <v>-3.0510995594756878</v>
      </c>
      <c r="AT22" s="72">
        <f t="shared" si="10"/>
        <v>-4.4395945770690775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1.1399999999999999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1313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0.94605934602787123</v>
      </c>
      <c r="C23" s="708">
        <v>3.9406207765017833</v>
      </c>
      <c r="D23" s="709">
        <v>-7.7800000000000008E-2</v>
      </c>
      <c r="E23" s="710">
        <v>1.7096894583979502E-2</v>
      </c>
      <c r="F23" s="708">
        <v>7.1214662591585917E-2</v>
      </c>
      <c r="G23" s="711">
        <v>0.99731447799956807</v>
      </c>
      <c r="H23" s="710">
        <v>0.25700000000000001</v>
      </c>
      <c r="I23" s="708">
        <v>0.41499999999999992</v>
      </c>
      <c r="J23" s="570">
        <v>1.216</v>
      </c>
      <c r="K23" s="865" t="str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CPS-32193r1</v>
      </c>
      <c r="M23" s="168">
        <f t="shared" si="1"/>
        <v>1.216</v>
      </c>
      <c r="N23" s="632">
        <f t="shared" si="2"/>
        <v>0.94605934602787123</v>
      </c>
      <c r="O23" s="629">
        <f t="shared" si="3"/>
        <v>3.9406207765017833</v>
      </c>
      <c r="P23" s="633">
        <f t="shared" si="4"/>
        <v>-7.7800000000000008E-2</v>
      </c>
      <c r="Q23" s="585">
        <f t="shared" si="113"/>
        <v>76.5</v>
      </c>
      <c r="R23" s="629">
        <f t="shared" si="79"/>
        <v>4.0525942790272262</v>
      </c>
      <c r="S23" s="634">
        <f t="shared" si="80"/>
        <v>-7.7800000000000008E-2</v>
      </c>
      <c r="T23" s="635">
        <f t="shared" si="81"/>
        <v>3.9406207765017838</v>
      </c>
      <c r="U23" s="629">
        <f t="shared" si="82"/>
        <v>-0.94605934602787067</v>
      </c>
      <c r="V23" s="636">
        <f t="shared" si="114"/>
        <v>-7.7800000000000008E-2</v>
      </c>
      <c r="W23" s="585">
        <f t="shared" si="224"/>
        <v>346.5</v>
      </c>
      <c r="X23" s="629">
        <f t="shared" si="83"/>
        <v>4.0525942790272262</v>
      </c>
      <c r="Y23" s="630">
        <f t="shared" si="223"/>
        <v>-7.7800000000000008E-2</v>
      </c>
      <c r="Z23" s="632">
        <f t="shared" si="6"/>
        <v>-1.7096894583979502E-2</v>
      </c>
      <c r="AA23" s="629">
        <f t="shared" si="7"/>
        <v>-7.1214662591585917E-2</v>
      </c>
      <c r="AB23" s="629">
        <f t="shared" si="8"/>
        <v>-0.99731447799956807</v>
      </c>
      <c r="AC23" s="636">
        <f t="shared" si="84"/>
        <v>1</v>
      </c>
      <c r="AD23" s="637">
        <f t="shared" si="115"/>
        <v>-1.7096894583979502E-2</v>
      </c>
      <c r="AE23" s="629">
        <f t="shared" si="85"/>
        <v>-7.1214662591585917E-2</v>
      </c>
      <c r="AF23" s="633">
        <f t="shared" si="86"/>
        <v>-0.99731447799956807</v>
      </c>
      <c r="AG23" s="602">
        <f t="shared" si="87"/>
        <v>-4.0843543860408875</v>
      </c>
      <c r="AH23" s="603">
        <f t="shared" si="88"/>
        <v>90.979627631209155</v>
      </c>
      <c r="AI23" s="585">
        <f t="shared" si="89"/>
        <v>-4.1999993936151441</v>
      </c>
      <c r="AJ23" s="586">
        <f t="shared" si="90"/>
        <v>-13.499822573564369</v>
      </c>
      <c r="AK23" s="635">
        <f t="shared" si="211"/>
        <v>2.267948966752642E-7</v>
      </c>
      <c r="AL23" s="629">
        <f t="shared" si="91"/>
        <v>-7.3238186572290948E-2</v>
      </c>
      <c r="AM23" s="634">
        <f t="shared" si="92"/>
        <v>-0.99731447799956807</v>
      </c>
      <c r="AN23" s="581">
        <f t="shared" si="93"/>
        <v>-4.1999993935951183</v>
      </c>
      <c r="AO23" s="582">
        <f t="shared" si="94"/>
        <v>0</v>
      </c>
      <c r="AP23" s="585">
        <f t="shared" si="95"/>
        <v>-89.999822573564387</v>
      </c>
      <c r="AQ23" s="586">
        <f t="shared" si="9"/>
        <v>0.56251705152213105</v>
      </c>
      <c r="AS23" s="52">
        <f t="shared" si="116"/>
        <v>-13.5</v>
      </c>
      <c r="AT23" s="72">
        <f t="shared" si="10"/>
        <v>-6.8425000000000014E-2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Nose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1.216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1.1160000000000001</v>
      </c>
      <c r="II23" s="734" cm="1">
        <f t="array" ref="II23">IFERROR(ROUND(VALUE(IF($IH23&lt;1,$IH23+LARGE((IF($M$9:$M$150="",0,$M$9:$M$150)-MOD(IF($M$9:$M$150="",0,$M$9:$M$150),1)),1),$IH23)),4),"")</f>
        <v>1.1160000000000001</v>
      </c>
      <c r="IJ23" s="533">
        <f t="shared" si="112"/>
        <v>1613</v>
      </c>
      <c r="IK23" s="533" t="str">
        <f t="shared" si="66"/>
        <v>CPS-32193r1</v>
      </c>
      <c r="IL23" s="727">
        <f t="shared" si="225"/>
        <v>13.5</v>
      </c>
      <c r="IM23" s="759">
        <v>4.4837246284156501E-2</v>
      </c>
      <c r="IN23" s="5">
        <f t="shared" si="226"/>
        <v>1.1599999999999999</v>
      </c>
      <c r="IO23" s="771">
        <v>580</v>
      </c>
      <c r="IP23" s="9">
        <f t="shared" si="227"/>
        <v>-4.0497122139320361</v>
      </c>
      <c r="IQ23" s="5">
        <f t="shared" si="228"/>
        <v>-7.8900237963117667E-2</v>
      </c>
      <c r="IR23" s="5">
        <f t="shared" si="71"/>
        <v>0.314</v>
      </c>
      <c r="IS23" s="5">
        <f t="shared" si="229"/>
        <v>0.30330071252667312</v>
      </c>
      <c r="IT23" s="727">
        <f t="shared" si="230"/>
        <v>4.1999993935951112</v>
      </c>
      <c r="IU23" s="9">
        <f t="shared" si="231"/>
        <v>-4.0525942790272262</v>
      </c>
      <c r="IV23" s="5">
        <f t="shared" si="232"/>
        <v>-7.7800000000000008E-2</v>
      </c>
      <c r="IW23" s="5">
        <f t="shared" si="76"/>
        <v>0.25700000000000001</v>
      </c>
      <c r="IX23" s="5">
        <f t="shared" si="233"/>
        <v>0.25700000000000001</v>
      </c>
      <c r="IY23" s="762">
        <f t="shared" si="234"/>
        <v>4.1999993935951183</v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18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10</v>
      </c>
      <c r="JG23" s="801">
        <v>8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220</v>
      </c>
      <c r="JI23" s="801">
        <v>210</v>
      </c>
    </row>
    <row r="24" spans="1:269" ht="15" customHeight="1" x14ac:dyDescent="0.25">
      <c r="A24" s="79"/>
      <c r="B24" s="707">
        <v>0.98067413552260863</v>
      </c>
      <c r="C24" s="708">
        <v>4.7111028407233544</v>
      </c>
      <c r="D24" s="709">
        <v>-0.21174156740867942</v>
      </c>
      <c r="E24" s="710">
        <v>-0.88682837596212993</v>
      </c>
      <c r="F24" s="708">
        <v>0.33941205271893904</v>
      </c>
      <c r="G24" s="711">
        <v>0.31358394419594771</v>
      </c>
      <c r="H24" s="710">
        <v>0.26600000000000001</v>
      </c>
      <c r="I24" s="708">
        <v>0.52</v>
      </c>
      <c r="J24" s="570">
        <v>1.2190000000000001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1.2190000000000001</v>
      </c>
      <c r="N24" s="632">
        <f t="shared" si="2"/>
        <v>0.98067413552260863</v>
      </c>
      <c r="O24" s="629">
        <f t="shared" si="3"/>
        <v>4.7111028407233544</v>
      </c>
      <c r="P24" s="633">
        <f t="shared" si="4"/>
        <v>-0.21174156740867942</v>
      </c>
      <c r="Q24" s="585">
        <f t="shared" si="113"/>
        <v>78.241101697774866</v>
      </c>
      <c r="R24" s="629">
        <f t="shared" si="79"/>
        <v>4.8120901629078681</v>
      </c>
      <c r="S24" s="634">
        <f t="shared" si="80"/>
        <v>-0.21174156740867942</v>
      </c>
      <c r="T24" s="635">
        <f t="shared" si="81"/>
        <v>4.7111028407233544</v>
      </c>
      <c r="U24" s="629">
        <f t="shared" si="82"/>
        <v>-0.98067413552260707</v>
      </c>
      <c r="V24" s="636">
        <f t="shared" si="114"/>
        <v>-0.21174156740867942</v>
      </c>
      <c r="W24" s="585">
        <f t="shared" si="224"/>
        <v>348.24110169777487</v>
      </c>
      <c r="X24" s="629">
        <f t="shared" si="83"/>
        <v>4.8120901629078681</v>
      </c>
      <c r="Y24" s="630">
        <f t="shared" si="223"/>
        <v>-0.21174156740867942</v>
      </c>
      <c r="Z24" s="632">
        <f t="shared" si="6"/>
        <v>0.88682837596212993</v>
      </c>
      <c r="AA24" s="629">
        <f t="shared" si="7"/>
        <v>-0.33941205271893904</v>
      </c>
      <c r="AB24" s="629">
        <f t="shared" si="8"/>
        <v>-0.31358394419594771</v>
      </c>
      <c r="AC24" s="636">
        <f t="shared" si="84"/>
        <v>1</v>
      </c>
      <c r="AD24" s="637">
        <f t="shared" si="115"/>
        <v>0.88682837596212993</v>
      </c>
      <c r="AE24" s="629">
        <f t="shared" si="85"/>
        <v>-0.33941205271893904</v>
      </c>
      <c r="AF24" s="633">
        <f t="shared" si="86"/>
        <v>-0.31358394419594771</v>
      </c>
      <c r="AG24" s="602">
        <f t="shared" si="87"/>
        <v>-47.265053116102123</v>
      </c>
      <c r="AH24" s="603">
        <f t="shared" si="88"/>
        <v>27.522631500697411</v>
      </c>
      <c r="AI24" s="585">
        <f t="shared" si="89"/>
        <v>-71.724651051156783</v>
      </c>
      <c r="AJ24" s="586">
        <f t="shared" si="90"/>
        <v>69.05686480202661</v>
      </c>
      <c r="AK24" s="635">
        <f>IF(M24="","",(COS(RADIANS((90-$Q$8)-W24))*AD24)+(-SIN(RADIANS((90-$Q$8)-W24))*AE24))</f>
        <v>0.93738732025120031</v>
      </c>
      <c r="AL24" s="629">
        <f t="shared" si="91"/>
        <v>-0.15155897127780457</v>
      </c>
      <c r="AM24" s="634">
        <f t="shared" si="92"/>
        <v>-0.31358394419594771</v>
      </c>
      <c r="AN24" s="581">
        <f t="shared" si="93"/>
        <v>-25.795048687338607</v>
      </c>
      <c r="AO24" s="582">
        <f t="shared" si="94"/>
        <v>20.382679443426749</v>
      </c>
      <c r="AP24" s="585">
        <f t="shared" si="95"/>
        <v>-9.1842368957482812</v>
      </c>
      <c r="AQ24" s="586">
        <f t="shared" si="9"/>
        <v>0.47373897900299439</v>
      </c>
      <c r="AS24" s="52">
        <f t="shared" si="116"/>
        <v>-11.758898302225134</v>
      </c>
      <c r="AT24" s="72">
        <f t="shared" si="10"/>
        <v>-0.20357566580991196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Nose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1.2190000000000001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1.119</v>
      </c>
      <c r="II24" s="734" cm="1">
        <f t="array" ref="II24">IFERROR(ROUND(VALUE(IF($IH24&lt;1,$IH24+LARGE((IF($M$9:$M$150="",0,$M$9:$M$150)-MOD(IF($M$9:$M$150="",0,$M$9:$M$150),1)),1),$IH24)),4),"")</f>
        <v>1.119</v>
      </c>
      <c r="IJ24" s="533">
        <f t="shared" si="112"/>
        <v>1613</v>
      </c>
      <c r="IK24" s="533">
        <f t="shared" si="66"/>
        <v>1313</v>
      </c>
      <c r="IL24" s="727">
        <f t="shared" si="225"/>
        <v>11.293898369362864</v>
      </c>
      <c r="IM24" s="759">
        <v>1.4613671428494601E-2</v>
      </c>
      <c r="IN24" s="5">
        <f t="shared" si="226"/>
        <v>0.44</v>
      </c>
      <c r="IO24" s="771">
        <v>220</v>
      </c>
      <c r="IP24" s="9">
        <f t="shared" si="227"/>
        <v>-4.7990144738276541</v>
      </c>
      <c r="IQ24" s="5">
        <f t="shared" si="228"/>
        <v>-0.2482007485734577</v>
      </c>
      <c r="IR24" s="5">
        <f t="shared" si="71"/>
        <v>0.314</v>
      </c>
      <c r="IS24" s="5">
        <f t="shared" si="229"/>
        <v>0.30255663462864946</v>
      </c>
      <c r="IT24" s="727">
        <f t="shared" si="230"/>
        <v>29.37036637765372</v>
      </c>
      <c r="IU24" s="9">
        <f t="shared" si="231"/>
        <v>-4.8120901629078681</v>
      </c>
      <c r="IV24" s="5">
        <f t="shared" si="232"/>
        <v>-0.21174156740867942</v>
      </c>
      <c r="IW24" s="5">
        <f t="shared" si="76"/>
        <v>0.26600000000000001</v>
      </c>
      <c r="IX24" s="5">
        <f t="shared" si="233"/>
        <v>0.24934502718681931</v>
      </c>
      <c r="IY24" s="762">
        <f t="shared" si="234"/>
        <v>25.795048687338607</v>
      </c>
      <c r="JA24" s="798" t="str">
        <v>CPS-32193r1</v>
      </c>
      <c r="JB24" s="856" cm="1">
        <f t="array" ref="JB24">IF($JA24="","",COUNT(IF(IF($II$9:$II$150&lt;&gt;"",$IK$9:$IK$150,"")=$JA24,$IG$9:$IG$150,"")))</f>
        <v>18</v>
      </c>
      <c r="JC24" s="5"/>
      <c r="JD24" s="5"/>
      <c r="JE24" s="10"/>
      <c r="JF24" s="247">
        <v>6</v>
      </c>
      <c r="JG24" s="803">
        <v>12</v>
      </c>
      <c r="JH24" s="787">
        <v>570</v>
      </c>
      <c r="JI24" s="803">
        <v>730</v>
      </c>
    </row>
    <row r="25" spans="1:269" ht="15" customHeight="1" x14ac:dyDescent="0.25">
      <c r="A25" s="79"/>
      <c r="B25" s="707">
        <v>1.0931117215072153</v>
      </c>
      <c r="C25" s="708">
        <v>5.3879289271853805</v>
      </c>
      <c r="D25" s="709">
        <v>-0.55053438217992523</v>
      </c>
      <c r="E25" s="710">
        <v>-0.86713725243116024</v>
      </c>
      <c r="F25" s="708">
        <v>0.42193031454462415</v>
      </c>
      <c r="G25" s="711">
        <v>0.26466543996981001</v>
      </c>
      <c r="H25" s="710">
        <v>0.26600000000000001</v>
      </c>
      <c r="I25" s="708">
        <v>0.52</v>
      </c>
      <c r="J25" s="570">
        <v>1.222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1313</v>
      </c>
      <c r="L25" s="320"/>
      <c r="M25" s="168">
        <f t="shared" si="1"/>
        <v>1.222</v>
      </c>
      <c r="N25" s="632">
        <f t="shared" si="2"/>
        <v>1.0931117215072153</v>
      </c>
      <c r="O25" s="629">
        <f t="shared" si="3"/>
        <v>5.3879289271853805</v>
      </c>
      <c r="P25" s="633">
        <f t="shared" si="4"/>
        <v>-0.55053438217992523</v>
      </c>
      <c r="Q25" s="585">
        <f t="shared" si="113"/>
        <v>78.531401655860719</v>
      </c>
      <c r="R25" s="629">
        <f>IF(M25="","",SQRT(N25^2+O25^2))</f>
        <v>5.4976969141721037</v>
      </c>
      <c r="S25" s="634">
        <f>IF(M25="","",P25)</f>
        <v>-0.55053438217992523</v>
      </c>
      <c r="T25" s="635">
        <f>IF(M25="","",X25*COS(RADIANS(W25)))</f>
        <v>5.3879289271853787</v>
      </c>
      <c r="U25" s="629">
        <f>IF(M25="","",X25*SIN(RADIANS(W25)))</f>
        <v>-1.0931117215072215</v>
      </c>
      <c r="V25" s="636">
        <f>IF(M25="","",Y25)</f>
        <v>-0.55053438217992523</v>
      </c>
      <c r="W25" s="585">
        <f t="shared" si="224"/>
        <v>348.53140165586069</v>
      </c>
      <c r="X25" s="629">
        <f>IF(M25="","",R25)</f>
        <v>5.4976969141721037</v>
      </c>
      <c r="Y25" s="630">
        <f t="shared" si="223"/>
        <v>-0.55053438217992523</v>
      </c>
      <c r="Z25" s="632">
        <f t="shared" si="6"/>
        <v>0.86713725243116024</v>
      </c>
      <c r="AA25" s="629">
        <f t="shared" si="7"/>
        <v>-0.42193031454462415</v>
      </c>
      <c r="AB25" s="629">
        <f t="shared" si="8"/>
        <v>-0.26466543996981001</v>
      </c>
      <c r="AC25" s="636">
        <f>IF(M25="","",SQRT(Z25^2+AA25^2+AB25^2))</f>
        <v>1</v>
      </c>
      <c r="AD25" s="637">
        <f>IF(M25="","",Z25*(1/SQRT(Z25^2+AA25^2+AB25^2)))</f>
        <v>0.86713725243116024</v>
      </c>
      <c r="AE25" s="629">
        <f>IF(M25="","",AA25*(1/SQRT(Z25^2+AA25^2+AB25^2)))</f>
        <v>-0.42193031454462415</v>
      </c>
      <c r="AF25" s="633">
        <f>IF(M25="","",AB25*(1/SQRT(Z25^2+AA25^2+AB25^2)))</f>
        <v>-0.26466543996981001</v>
      </c>
      <c r="AG25" s="602">
        <f>IF(M25="","",DEGREES(ATAN2(-AF25,AE25)))</f>
        <v>-57.901066815708326</v>
      </c>
      <c r="AH25" s="603">
        <f>IF(M25="","",DEGREES(ACOS(AD25)))</f>
        <v>29.872345114185052</v>
      </c>
      <c r="AI25" s="585">
        <f>IF(M25="","",DEGREES(-ACOS(-AF25)))</f>
        <v>-74.652925860082675</v>
      </c>
      <c r="AJ25" s="586">
        <f>IF(M25="","",DEGREES(ATAN2(-AE25,AD25)))</f>
        <v>64.053443162735974</v>
      </c>
      <c r="AK25" s="635">
        <f>IF(M25="","",(COS(RADIANS((90-$Q$8)-W25))*AD25)+(-SIN(RADIANS((90-$Q$8)-W25))*AE25))</f>
        <v>0.93371659784829664</v>
      </c>
      <c r="AL25" s="629">
        <f>IF(M25="","",(SIN(RADIANS((90-$Q$8)-W25))*AD25)+(COS(RADIANS((90-$Q$8)-W25))*AE25))</f>
        <v>-0.2410923470129015</v>
      </c>
      <c r="AM25" s="634">
        <f>IF(M25="","",AF25)</f>
        <v>-0.26466543996981001</v>
      </c>
      <c r="AN25" s="581">
        <f>IF(M25="","",DEGREES(ATAN2(-AM25,AL25)))</f>
        <v>-42.331406489107835</v>
      </c>
      <c r="AO25" s="582">
        <f>IF(ROUND(IF(M25="",0,DEGREES(ACOS(AK25))),4)=90,0,IF(M25="","",DEGREES(ACOS(AK25))))</f>
        <v>20.978218171443839</v>
      </c>
      <c r="AP25" s="585">
        <f>IF(M25="","",DEGREES(ATAN2(AK25,AL25)))</f>
        <v>-14.477958493124692</v>
      </c>
      <c r="AQ25" s="586">
        <f t="shared" si="9"/>
        <v>0.41466215133161533</v>
      </c>
      <c r="AS25" s="52">
        <f t="shared" si="116"/>
        <v>-11.468598344139309</v>
      </c>
      <c r="AT25" s="72">
        <f t="shared" si="10"/>
        <v>-0.54257007777427291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Nose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1.222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1.1220000000000001</v>
      </c>
      <c r="II25" s="734" cm="1">
        <f t="array" ref="II25">IFERROR(ROUND(VALUE(IF($IH25&lt;1,$IH25+LARGE((IF($M$9:$M$150="",0,$M$9:$M$150)-MOD(IF($M$9:$M$150="",0,$M$9:$M$150),1)),1),$IH25)),4),"")</f>
        <v>1.1220000000000001</v>
      </c>
      <c r="IJ25" s="533">
        <f t="shared" si="112"/>
        <v>1613</v>
      </c>
      <c r="IK25" s="533">
        <f t="shared" si="66"/>
        <v>1313</v>
      </c>
      <c r="IL25" s="727">
        <f t="shared" si="225"/>
        <v>10.412198496664587</v>
      </c>
      <c r="IM25" s="759">
        <v>1.2474997386834901E-2</v>
      </c>
      <c r="IN25" s="5">
        <f t="shared" si="226"/>
        <v>0.44</v>
      </c>
      <c r="IO25" s="771">
        <v>220</v>
      </c>
      <c r="IP25" s="9">
        <f t="shared" si="227"/>
        <v>-5.4760165156658118</v>
      </c>
      <c r="IQ25" s="5">
        <f t="shared" si="228"/>
        <v>-0.58520176496852283</v>
      </c>
      <c r="IR25" s="5">
        <f t="shared" si="71"/>
        <v>0.314</v>
      </c>
      <c r="IS25" s="5">
        <f t="shared" si="229"/>
        <v>0.30137185071608169</v>
      </c>
      <c r="IT25" s="727">
        <f t="shared" si="230"/>
        <v>47.645548595001145</v>
      </c>
      <c r="IU25" s="9">
        <f t="shared" si="231"/>
        <v>-5.4976969141721037</v>
      </c>
      <c r="IV25" s="5">
        <f t="shared" si="232"/>
        <v>-0.55053438217992523</v>
      </c>
      <c r="IW25" s="5">
        <f t="shared" si="76"/>
        <v>0.26600000000000001</v>
      </c>
      <c r="IX25" s="5">
        <f t="shared" si="233"/>
        <v>0.24836861502764693</v>
      </c>
      <c r="IY25" s="762">
        <f t="shared" si="234"/>
        <v>42.331406489107835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1.2204533931617523</v>
      </c>
      <c r="C26" s="708">
        <v>5.9605843754123562</v>
      </c>
      <c r="D26" s="709">
        <v>-1.0413926012610939</v>
      </c>
      <c r="E26" s="710">
        <v>-0.8476893175877247</v>
      </c>
      <c r="F26" s="708">
        <v>0.4923003639997815</v>
      </c>
      <c r="G26" s="711">
        <v>0.19764405494054346</v>
      </c>
      <c r="H26" s="710">
        <v>0.26600000000000001</v>
      </c>
      <c r="I26" s="708">
        <v>0.52</v>
      </c>
      <c r="J26" s="570">
        <v>1.2250000000000001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320"/>
      <c r="M26" s="168">
        <f t="shared" si="1"/>
        <v>1.2250000000000001</v>
      </c>
      <c r="N26" s="632">
        <f t="shared" si="2"/>
        <v>1.2204533931617523</v>
      </c>
      <c r="O26" s="629">
        <f t="shared" si="3"/>
        <v>5.9605843754123562</v>
      </c>
      <c r="P26" s="633">
        <f t="shared" si="4"/>
        <v>-1.0413926012610939</v>
      </c>
      <c r="Q26" s="585">
        <f t="shared" si="113"/>
        <v>78.428401670732086</v>
      </c>
      <c r="R26" s="629">
        <f>IF(M26="","",SQRT(N26^2+O26^2))</f>
        <v>6.0842479059691463</v>
      </c>
      <c r="S26" s="634">
        <f>IF(M26="","",P26)</f>
        <v>-1.0413926012610939</v>
      </c>
      <c r="T26" s="635">
        <f>IF(M26="","",X26*COS(RADIANS(W26)))</f>
        <v>5.9605843754123571</v>
      </c>
      <c r="U26" s="629">
        <f>IF(M26="","",X26*SIN(RADIANS(W26)))</f>
        <v>-1.2204533931617485</v>
      </c>
      <c r="V26" s="636">
        <f>IF(M26="","",Y26)</f>
        <v>-1.0413926012610939</v>
      </c>
      <c r="W26" s="585">
        <f t="shared" si="224"/>
        <v>348.42840167073211</v>
      </c>
      <c r="X26" s="629">
        <f>IF(M26="","",R26)</f>
        <v>6.0842479059691463</v>
      </c>
      <c r="Y26" s="630">
        <f t="shared" si="223"/>
        <v>-1.0413926012610939</v>
      </c>
      <c r="Z26" s="632">
        <f t="shared" si="6"/>
        <v>0.8476893175877247</v>
      </c>
      <c r="AA26" s="629">
        <f t="shared" si="7"/>
        <v>-0.4923003639997815</v>
      </c>
      <c r="AB26" s="629">
        <f t="shared" si="8"/>
        <v>-0.19764405494054346</v>
      </c>
      <c r="AC26" s="636">
        <f>IF(M26="","",SQRT(Z26^2+AA26^2+AB26^2))</f>
        <v>1</v>
      </c>
      <c r="AD26" s="637">
        <f>IF(M26="","",Z26*(1/SQRT(Z26^2+AA26^2+AB26^2)))</f>
        <v>0.8476893175877247</v>
      </c>
      <c r="AE26" s="629">
        <f>IF(M26="","",AA26*(1/SQRT(Z26^2+AA26^2+AB26^2)))</f>
        <v>-0.4923003639997815</v>
      </c>
      <c r="AF26" s="633">
        <f>IF(M26="","",AB26*(1/SQRT(Z26^2+AA26^2+AB26^2)))</f>
        <v>-0.19764405494054346</v>
      </c>
      <c r="AG26" s="602">
        <f>IF(M26="","",DEGREES(ATAN2(-AF26,AE26)))</f>
        <v>-68.125996922953334</v>
      </c>
      <c r="AH26" s="603">
        <f>IF(M26="","",DEGREES(ACOS(AD26)))</f>
        <v>32.038770764381958</v>
      </c>
      <c r="AI26" s="585">
        <f>IF(M26="","",DEGREES(-ACOS(-AF26)))</f>
        <v>-78.600776518313936</v>
      </c>
      <c r="AJ26" s="586">
        <f>IF(M26="","",DEGREES(ATAN2(-AE26,AD26)))</f>
        <v>59.853880150220554</v>
      </c>
      <c r="AK26" s="635">
        <f>IF(M26="","",(COS(RADIANS((90-$Q$8)-W26))*AD26)+(-SIN(RADIANS((90-$Q$8)-W26))*AE26))</f>
        <v>0.92921153751296892</v>
      </c>
      <c r="AL26" s="629">
        <f>IF(M26="","",(SIN(RADIANS((90-$Q$8)-W26))*AD26)+(COS(RADIANS((90-$Q$8)-W26))*AE26))</f>
        <v>-0.31225429716729924</v>
      </c>
      <c r="AM26" s="634">
        <f>IF(M26="","",AF26)</f>
        <v>-0.19764405494054346</v>
      </c>
      <c r="AN26" s="581">
        <f>IF(M26="","",DEGREES(ATAN2(-AM26,AL26)))</f>
        <v>-57.667881511510473</v>
      </c>
      <c r="AO26" s="582">
        <f t="shared" si="94"/>
        <v>21.687760184563274</v>
      </c>
      <c r="AP26" s="585">
        <f>IF(M26="","",DEGREES(ATAN2(AK26,AL26)))</f>
        <v>-18.574521520511563</v>
      </c>
      <c r="AQ26" s="586">
        <f t="shared" si="9"/>
        <v>0.37468791034956533</v>
      </c>
      <c r="AS26" s="52">
        <f t="shared" si="116"/>
        <v>-11.571598329267886</v>
      </c>
      <c r="AT26" s="72">
        <f t="shared" si="10"/>
        <v>-1.0333567690879912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Taper</v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1.2250000000000001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1.125</v>
      </c>
      <c r="II26" s="734" cm="1">
        <f t="array" ref="II26">IFERROR(ROUND(VALUE(IF($IH26&lt;1,$IH26+LARGE((IF($M$9:$M$150="",0,$M$9:$M$150)-MOD(IF($M$9:$M$150="",0,$M$9:$M$150),1)),1),$IH26)),4),"")</f>
        <v>1.125</v>
      </c>
      <c r="IJ26" s="533">
        <f t="shared" si="112"/>
        <v>1613</v>
      </c>
      <c r="IK26" s="533">
        <f t="shared" si="66"/>
        <v>1313</v>
      </c>
      <c r="IL26" s="727">
        <f t="shared" si="225"/>
        <v>9.8956985712378582</v>
      </c>
      <c r="IM26" s="759">
        <v>1.0475218643729099E-2</v>
      </c>
      <c r="IN26" s="5">
        <f t="shared" si="226"/>
        <v>0.42</v>
      </c>
      <c r="IO26" s="771">
        <v>210</v>
      </c>
      <c r="IP26" s="9">
        <f t="shared" si="227"/>
        <v>-6.0545182604270753</v>
      </c>
      <c r="IQ26" s="5">
        <f t="shared" si="228"/>
        <v>-1.0723032340665548</v>
      </c>
      <c r="IR26" s="5">
        <f t="shared" si="71"/>
        <v>0.314</v>
      </c>
      <c r="IS26" s="5">
        <f t="shared" si="229"/>
        <v>0.29991777099427547</v>
      </c>
      <c r="IT26" s="727">
        <f t="shared" si="230"/>
        <v>64.097290385030405</v>
      </c>
      <c r="IU26" s="9">
        <f t="shared" si="231"/>
        <v>-6.0842479059691463</v>
      </c>
      <c r="IV26" s="5">
        <f t="shared" si="232"/>
        <v>-1.0413926012610939</v>
      </c>
      <c r="IW26" s="5">
        <f t="shared" si="76"/>
        <v>0.26600000000000001</v>
      </c>
      <c r="IX26" s="5">
        <f t="shared" si="233"/>
        <v>0.24717026897844974</v>
      </c>
      <c r="IY26" s="762">
        <f t="shared" si="234"/>
        <v>57.667881511510473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1.3434837866135709</v>
      </c>
      <c r="C27" s="708">
        <v>6.3894911864167252</v>
      </c>
      <c r="D27" s="709">
        <v>-1.6864763198481145</v>
      </c>
      <c r="E27" s="710">
        <v>0.14215933682289822</v>
      </c>
      <c r="F27" s="708">
        <v>0.67609845354157949</v>
      </c>
      <c r="G27" s="711">
        <v>0.72296722199056762</v>
      </c>
      <c r="H27" s="710">
        <v>0.25700000000000001</v>
      </c>
      <c r="I27" s="708">
        <v>0.41499999999999992</v>
      </c>
      <c r="J27" s="570">
        <v>1.228</v>
      </c>
      <c r="K27" s="865" t="str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CPS-32193r1</v>
      </c>
      <c r="L27" s="320"/>
      <c r="M27" s="168">
        <f t="shared" si="1"/>
        <v>1.228</v>
      </c>
      <c r="N27" s="632">
        <f t="shared" si="2"/>
        <v>1.3434837866135709</v>
      </c>
      <c r="O27" s="629">
        <f t="shared" si="3"/>
        <v>6.3894911864167252</v>
      </c>
      <c r="P27" s="633">
        <f t="shared" si="4"/>
        <v>-1.6864763198481145</v>
      </c>
      <c r="Q27" s="585">
        <f t="shared" si="113"/>
        <v>78.125701714436559</v>
      </c>
      <c r="R27" s="629">
        <f t="shared" si="79"/>
        <v>6.5292071728649068</v>
      </c>
      <c r="S27" s="634">
        <f t="shared" si="80"/>
        <v>-1.6864763198481145</v>
      </c>
      <c r="T27" s="635">
        <f t="shared" si="81"/>
        <v>6.3894911864167252</v>
      </c>
      <c r="U27" s="629">
        <f t="shared" si="82"/>
        <v>-1.3434837866135736</v>
      </c>
      <c r="V27" s="636">
        <f t="shared" si="114"/>
        <v>-1.6864763198481145</v>
      </c>
      <c r="W27" s="585">
        <f t="shared" si="224"/>
        <v>348.12570171443656</v>
      </c>
      <c r="X27" s="629">
        <f t="shared" si="83"/>
        <v>6.5292071728649068</v>
      </c>
      <c r="Y27" s="630">
        <f t="shared" si="223"/>
        <v>-1.6864763198481145</v>
      </c>
      <c r="Z27" s="632">
        <f t="shared" si="6"/>
        <v>-0.14215933682289822</v>
      </c>
      <c r="AA27" s="629">
        <f t="shared" si="7"/>
        <v>-0.67609845354157949</v>
      </c>
      <c r="AB27" s="629">
        <f t="shared" si="8"/>
        <v>-0.72296722199056762</v>
      </c>
      <c r="AC27" s="636">
        <f t="shared" si="84"/>
        <v>1</v>
      </c>
      <c r="AD27" s="637">
        <f t="shared" si="115"/>
        <v>-0.14215933682289822</v>
      </c>
      <c r="AE27" s="629">
        <f t="shared" si="85"/>
        <v>-0.67609845354157949</v>
      </c>
      <c r="AF27" s="633">
        <f t="shared" si="86"/>
        <v>-0.72296722199056762</v>
      </c>
      <c r="AG27" s="602">
        <f t="shared" si="87"/>
        <v>-43.08130612728317</v>
      </c>
      <c r="AH27" s="603">
        <f t="shared" si="88"/>
        <v>98.172817087424676</v>
      </c>
      <c r="AI27" s="585">
        <f t="shared" si="89"/>
        <v>-43.699993690503121</v>
      </c>
      <c r="AJ27" s="586">
        <f t="shared" si="90"/>
        <v>-11.874279477164675</v>
      </c>
      <c r="AK27" s="635">
        <f t="shared" si="211"/>
        <v>2.2679489689036991E-7</v>
      </c>
      <c r="AL27" s="629">
        <f t="shared" si="91"/>
        <v>-0.69088233146259448</v>
      </c>
      <c r="AM27" s="634">
        <f t="shared" si="92"/>
        <v>-0.72296722199056762</v>
      </c>
      <c r="AN27" s="581">
        <f t="shared" si="93"/>
        <v>-43.699993690501586</v>
      </c>
      <c r="AO27" s="582">
        <f t="shared" si="94"/>
        <v>0</v>
      </c>
      <c r="AP27" s="585">
        <f t="shared" si="95"/>
        <v>-89.999981191601208</v>
      </c>
      <c r="AQ27" s="586">
        <f t="shared" si="9"/>
        <v>0.34915394043596387</v>
      </c>
      <c r="AS27" s="52">
        <f t="shared" si="116"/>
        <v>-11.874298285563441</v>
      </c>
      <c r="AT27" s="72">
        <f t="shared" si="10"/>
        <v>-1.6782302793720287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Taper</v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1.228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1.1279999999999999</v>
      </c>
      <c r="II27" s="734" cm="1">
        <f t="array" ref="II27">IFERROR(ROUND(VALUE(IF($IH27&lt;1,$IH27+LARGE((IF($M$9:$M$150="",0,$M$9:$M$150)-MOD(IF($M$9:$M$150="",0,$M$9:$M$150),1)),1),$IH27)),4),"")</f>
        <v>1.1279999999999999</v>
      </c>
      <c r="IJ27" s="533">
        <f t="shared" si="112"/>
        <v>1613</v>
      </c>
      <c r="IK27" s="533" t="str">
        <f t="shared" si="66"/>
        <v>CPS-32193r1</v>
      </c>
      <c r="IL27" s="727">
        <f t="shared" si="225"/>
        <v>9.665298604503505</v>
      </c>
      <c r="IM27" s="759">
        <v>1.49266065445522E-2</v>
      </c>
      <c r="IN27" s="5">
        <f t="shared" si="226"/>
        <v>1.48</v>
      </c>
      <c r="IO27" s="771">
        <v>740</v>
      </c>
      <c r="IP27" s="9">
        <f t="shared" si="227"/>
        <v>-6.5019999999999998</v>
      </c>
      <c r="IQ27" s="5">
        <f t="shared" si="228"/>
        <v>-1.6818999999999997</v>
      </c>
      <c r="IR27" s="5">
        <f t="shared" si="71"/>
        <v>0.314</v>
      </c>
      <c r="IS27" s="5">
        <f t="shared" si="229"/>
        <v>0.29851247864038177</v>
      </c>
      <c r="IT27" s="727">
        <f t="shared" si="230"/>
        <v>78.491570286976369</v>
      </c>
      <c r="IU27" s="9">
        <f t="shared" si="231"/>
        <v>-6.5292071728649068</v>
      </c>
      <c r="IV27" s="5">
        <f t="shared" si="232"/>
        <v>-1.6864763198481145</v>
      </c>
      <c r="IW27" s="5">
        <f t="shared" si="76"/>
        <v>0.25700000000000001</v>
      </c>
      <c r="IX27" s="5">
        <f t="shared" si="233"/>
        <v>0.25700000000000001</v>
      </c>
      <c r="IY27" s="762">
        <f t="shared" si="234"/>
        <v>43.699993690501586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1.4485100826588271</v>
      </c>
      <c r="C28" s="708">
        <v>6.6666638930999387</v>
      </c>
      <c r="D28" s="709">
        <v>-2.37979289445859</v>
      </c>
      <c r="E28" s="710">
        <v>0.17045606687109707</v>
      </c>
      <c r="F28" s="708">
        <v>0.78451290551361452</v>
      </c>
      <c r="G28" s="711">
        <v>0.59622498299670634</v>
      </c>
      <c r="H28" s="710">
        <v>0.25700000000000001</v>
      </c>
      <c r="I28" s="708">
        <v>0.41499999999999992</v>
      </c>
      <c r="J28" s="570">
        <v>1.2310000000000001</v>
      </c>
      <c r="K28" s="865" t="str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CPS-32193r1</v>
      </c>
      <c r="L28" s="843"/>
      <c r="M28" s="168">
        <f t="shared" si="1"/>
        <v>1.2310000000000001</v>
      </c>
      <c r="N28" s="632">
        <f t="shared" si="2"/>
        <v>1.4485100826588271</v>
      </c>
      <c r="O28" s="629">
        <f t="shared" si="3"/>
        <v>6.6666638930999387</v>
      </c>
      <c r="P28" s="633">
        <f t="shared" si="4"/>
        <v>-2.37979289445859</v>
      </c>
      <c r="Q28" s="585">
        <f t="shared" si="113"/>
        <v>77.741501769908169</v>
      </c>
      <c r="R28" s="629">
        <f t="shared" si="79"/>
        <v>6.8222129051449798</v>
      </c>
      <c r="S28" s="634">
        <f t="shared" si="80"/>
        <v>-2.37979289445859</v>
      </c>
      <c r="T28" s="635">
        <f t="shared" si="81"/>
        <v>6.6666638930999378</v>
      </c>
      <c r="U28" s="629">
        <f t="shared" si="82"/>
        <v>-1.4485100826588275</v>
      </c>
      <c r="V28" s="636">
        <f t="shared" si="114"/>
        <v>-2.37979289445859</v>
      </c>
      <c r="W28" s="585">
        <f t="shared" si="224"/>
        <v>347.74150176990815</v>
      </c>
      <c r="X28" s="629">
        <f t="shared" si="83"/>
        <v>6.8222129051449798</v>
      </c>
      <c r="Y28" s="630">
        <f t="shared" si="223"/>
        <v>-2.37979289445859</v>
      </c>
      <c r="Z28" s="632">
        <f t="shared" si="6"/>
        <v>-0.17045606687109707</v>
      </c>
      <c r="AA28" s="629">
        <f t="shared" si="7"/>
        <v>-0.78451290551361452</v>
      </c>
      <c r="AB28" s="629">
        <f t="shared" si="8"/>
        <v>-0.59622498299670634</v>
      </c>
      <c r="AC28" s="636">
        <f t="shared" si="84"/>
        <v>1</v>
      </c>
      <c r="AD28" s="637">
        <f t="shared" si="115"/>
        <v>-0.17045606687109707</v>
      </c>
      <c r="AE28" s="629">
        <f t="shared" si="85"/>
        <v>-0.78451290551361452</v>
      </c>
      <c r="AF28" s="633">
        <f t="shared" si="86"/>
        <v>-0.59622498299670634</v>
      </c>
      <c r="AG28" s="602">
        <f t="shared" si="87"/>
        <v>-52.765389397082636</v>
      </c>
      <c r="AH28" s="603">
        <f t="shared" si="88"/>
        <v>99.814336798334693</v>
      </c>
      <c r="AI28" s="585">
        <f t="shared" si="89"/>
        <v>-53.399992289996113</v>
      </c>
      <c r="AJ28" s="586">
        <f t="shared" si="90"/>
        <v>-12.258482044106731</v>
      </c>
      <c r="AK28" s="635">
        <f t="shared" si="211"/>
        <v>2.2679489672383646E-7</v>
      </c>
      <c r="AL28" s="629">
        <f t="shared" si="91"/>
        <v>-0.80281739496010296</v>
      </c>
      <c r="AM28" s="634">
        <f t="shared" si="92"/>
        <v>-0.59622498299670634</v>
      </c>
      <c r="AN28" s="581">
        <f t="shared" si="93"/>
        <v>-53.399992289995026</v>
      </c>
      <c r="AO28" s="582">
        <f t="shared" si="94"/>
        <v>0</v>
      </c>
      <c r="AP28" s="585">
        <f t="shared" si="95"/>
        <v>-89.999983814014897</v>
      </c>
      <c r="AQ28" s="586">
        <f t="shared" si="9"/>
        <v>0.33415855176609638</v>
      </c>
      <c r="AS28" s="52">
        <f t="shared" si="116"/>
        <v>-12.258498230091845</v>
      </c>
      <c r="AT28" s="72">
        <f t="shared" si="10"/>
        <v>-2.3712800484654708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>Taper</v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1.2310000000000001</v>
      </c>
      <c r="IH28" s="731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1.131</v>
      </c>
      <c r="II28" s="734" cm="1">
        <f t="array" ref="II28">IFERROR(ROUND(VALUE(IF($IH28&lt;1,$IH28+LARGE((IF($M$9:$M$150="",0,$M$9:$M$150)-MOD(IF($M$9:$M$150="",0,$M$9:$M$150),1)),1),$IH28)),4),"")</f>
        <v>1.131</v>
      </c>
      <c r="IJ28" s="533">
        <f t="shared" si="112"/>
        <v>1613</v>
      </c>
      <c r="IK28" s="533" t="str">
        <f t="shared" si="66"/>
        <v>CPS-32193r1</v>
      </c>
      <c r="IL28" s="727">
        <f t="shared" si="225"/>
        <v>9.685298601615898</v>
      </c>
      <c r="IM28" s="759">
        <v>8.1102234617831202E-3</v>
      </c>
      <c r="IN28" s="5">
        <f t="shared" si="226"/>
        <v>1.54</v>
      </c>
      <c r="IO28" s="771">
        <v>770</v>
      </c>
      <c r="IP28" s="9">
        <f t="shared" si="227"/>
        <v>-6.790620480511369</v>
      </c>
      <c r="IQ28" s="5">
        <f t="shared" si="228"/>
        <v>-2.3702071485447607</v>
      </c>
      <c r="IR28" s="5">
        <f t="shared" si="71"/>
        <v>0.314</v>
      </c>
      <c r="IS28" s="5">
        <f t="shared" si="229"/>
        <v>0.29747597383885233</v>
      </c>
      <c r="IT28" s="727">
        <f t="shared" si="230"/>
        <v>90.93607603162296</v>
      </c>
      <c r="IU28" s="9">
        <f t="shared" si="231"/>
        <v>-6.8222129051449798</v>
      </c>
      <c r="IV28" s="5">
        <f t="shared" si="232"/>
        <v>-2.37979289445859</v>
      </c>
      <c r="IW28" s="5">
        <f t="shared" si="76"/>
        <v>0.25700000000000001</v>
      </c>
      <c r="IX28" s="5">
        <f t="shared" si="233"/>
        <v>0.25700000000000001</v>
      </c>
      <c r="IY28" s="762">
        <f t="shared" si="234"/>
        <v>53.399992289995026</v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2.5514453772248347</v>
      </c>
      <c r="C29" s="708">
        <v>1.18975851876411</v>
      </c>
      <c r="D29" s="709">
        <v>-0.19440058631216831</v>
      </c>
      <c r="E29" s="710">
        <v>-0.46892899059006471</v>
      </c>
      <c r="F29" s="708">
        <v>0.8471160594344167</v>
      </c>
      <c r="G29" s="711">
        <v>0.24999996726497567</v>
      </c>
      <c r="H29" s="710">
        <v>0.314</v>
      </c>
      <c r="I29" s="708">
        <v>0.52</v>
      </c>
      <c r="J29" s="570">
        <v>2.1110000000000002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2.1110000000000002</v>
      </c>
      <c r="N29" s="632">
        <f t="shared" si="2"/>
        <v>2.5514453772248347</v>
      </c>
      <c r="O29" s="629">
        <f t="shared" si="3"/>
        <v>1.18975851876411</v>
      </c>
      <c r="P29" s="633">
        <f t="shared" si="4"/>
        <v>-0.19440058631216831</v>
      </c>
      <c r="Q29" s="585">
        <f t="shared" si="113"/>
        <v>25.000000000000011</v>
      </c>
      <c r="R29" s="629">
        <f>IF(M29="","",SQRT(N29^2+O29^2))</f>
        <v>2.815208490668808</v>
      </c>
      <c r="S29" s="634">
        <f>IF(M29="","",P29)</f>
        <v>-0.19440058631216831</v>
      </c>
      <c r="T29" s="635">
        <f>IF(M29="","",X29*COS(RADIANS(W29)))</f>
        <v>1.1897585187641102</v>
      </c>
      <c r="U29" s="629">
        <f>IF(M29="","",X29*SIN(RADIANS(W29)))</f>
        <v>-2.5514453772248347</v>
      </c>
      <c r="V29" s="636">
        <f>IF(M29="","",Y29)</f>
        <v>-0.19440058631216831</v>
      </c>
      <c r="W29" s="585">
        <f t="shared" si="224"/>
        <v>295</v>
      </c>
      <c r="X29" s="629">
        <f>IF(M29="","",R29)</f>
        <v>2.815208490668808</v>
      </c>
      <c r="Y29" s="630">
        <f t="shared" si="223"/>
        <v>-0.19440058631216831</v>
      </c>
      <c r="Z29" s="632">
        <f t="shared" si="6"/>
        <v>0.46892899059006471</v>
      </c>
      <c r="AA29" s="629">
        <f t="shared" si="7"/>
        <v>-0.8471160594344167</v>
      </c>
      <c r="AB29" s="629">
        <f t="shared" si="8"/>
        <v>-0.24999996726497567</v>
      </c>
      <c r="AC29" s="636">
        <f>IF(M29="","",SQRT(Z29^2+AA29^2+AB29^2))</f>
        <v>1</v>
      </c>
      <c r="AD29" s="637">
        <f>IF(M29="","",Z29*(1/SQRT(Z29^2+AA29^2+AB29^2)))</f>
        <v>0.46892899059006471</v>
      </c>
      <c r="AE29" s="629">
        <f>IF(M29="","",AA29*(1/SQRT(Z29^2+AA29^2+AB29^2)))</f>
        <v>-0.8471160594344167</v>
      </c>
      <c r="AF29" s="633">
        <f>IF(M29="","",AB29*(1/SQRT(Z29^2+AA29^2+AB29^2)))</f>
        <v>-0.24999996726497567</v>
      </c>
      <c r="AG29" s="602">
        <f>IF(M29="","",DEGREES(ATAN2(-AF29,AE29)))</f>
        <v>-73.557673426835976</v>
      </c>
      <c r="AH29" s="603">
        <f>IF(M29="","",DEGREES(ACOS(AD29)))</f>
        <v>62.035202567095084</v>
      </c>
      <c r="AI29" s="585">
        <f>IF(M29="","",DEGREES(-ACOS(-AF29)))</f>
        <v>-75.522489751159455</v>
      </c>
      <c r="AJ29" s="586">
        <f>IF(M29="","",DEGREES(ATAN2(-AE29,AD29)))</f>
        <v>28.967129645086583</v>
      </c>
      <c r="AK29" s="635">
        <f>IF(M29="","",(COS(RADIANS((90-$Q$8)-W29))*AD29)+(-SIN(RADIANS((90-$Q$8)-W29))*AE29))</f>
        <v>0.9659258360722075</v>
      </c>
      <c r="AL29" s="629">
        <f>IF(M29="","",(SIN(RADIANS((90-$Q$8)-W29))*AD29)+(COS(RADIANS((90-$Q$8)-W29))*AE29))</f>
        <v>6.698727920820724E-2</v>
      </c>
      <c r="AM29" s="634">
        <f>IF(M29="","",AF29)</f>
        <v>-0.24999996726497567</v>
      </c>
      <c r="AN29" s="581">
        <f>IF(M29="","",DEGREES(ATAN2(-AM29,AL29)))</f>
        <v>14.999997834268274</v>
      </c>
      <c r="AO29" s="582">
        <f t="shared" si="94"/>
        <v>14.99999783426823</v>
      </c>
      <c r="AP29" s="585">
        <f>IF(M29="","",DEGREES(ATAN2(AK29,AL29)))</f>
        <v>3.9671296450865734</v>
      </c>
      <c r="AQ29" s="586">
        <f t="shared" si="9"/>
        <v>0.80973571285357193</v>
      </c>
      <c r="AS29" s="52">
        <f t="shared" si="116"/>
        <v>-65</v>
      </c>
      <c r="AT29" s="72">
        <f t="shared" si="10"/>
        <v>-0.14926169742327941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2.1110000000000002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18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220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210</v>
      </c>
    </row>
    <row r="30" spans="1:269" ht="15" customHeight="1" x14ac:dyDescent="0.25">
      <c r="A30" s="79"/>
      <c r="B30" s="707">
        <v>3.2258310355059514</v>
      </c>
      <c r="C30" s="708">
        <v>1.5042297157704947</v>
      </c>
      <c r="D30" s="709">
        <v>-6.6900201771008541E-2</v>
      </c>
      <c r="E30" s="710">
        <v>-0.42253803230765569</v>
      </c>
      <c r="F30" s="708">
        <v>0.86874851855065305</v>
      </c>
      <c r="G30" s="711">
        <v>0.25833625910742808</v>
      </c>
      <c r="H30" s="710">
        <v>0.314</v>
      </c>
      <c r="I30" s="708">
        <v>0.52</v>
      </c>
      <c r="J30" s="570">
        <v>2.1139999999999999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2.1139999999999999</v>
      </c>
      <c r="N30" s="632">
        <f t="shared" si="2"/>
        <v>3.2258310355059514</v>
      </c>
      <c r="O30" s="629">
        <f t="shared" si="3"/>
        <v>1.5042297157704947</v>
      </c>
      <c r="P30" s="633">
        <f t="shared" si="4"/>
        <v>-6.6900201771008541E-2</v>
      </c>
      <c r="Q30" s="585">
        <f t="shared" si="113"/>
        <v>25.000000000000007</v>
      </c>
      <c r="R30" s="629">
        <f>IF(M30="","",SQRT(N30^2+O30^2))</f>
        <v>3.5593107348811768</v>
      </c>
      <c r="S30" s="634">
        <f>IF(M30="","",P30)</f>
        <v>-6.6900201771008541E-2</v>
      </c>
      <c r="T30" s="635">
        <f>IF(M30="","",X30*COS(RADIANS(W30)))</f>
        <v>1.5042297157704951</v>
      </c>
      <c r="U30" s="629">
        <f>IF(M30="","",X30*SIN(RADIANS(W30)))</f>
        <v>-3.2258310355059514</v>
      </c>
      <c r="V30" s="636">
        <f>IF(M30="","",Y30)</f>
        <v>-6.6900201771008541E-2</v>
      </c>
      <c r="W30" s="585">
        <f t="shared" si="224"/>
        <v>295</v>
      </c>
      <c r="X30" s="629">
        <f>IF(M30="","",R30)</f>
        <v>3.5593107348811768</v>
      </c>
      <c r="Y30" s="630">
        <f t="shared" si="223"/>
        <v>-6.6900201771008541E-2</v>
      </c>
      <c r="Z30" s="632">
        <f t="shared" si="6"/>
        <v>0.42253803230765569</v>
      </c>
      <c r="AA30" s="629">
        <f t="shared" si="7"/>
        <v>-0.86874851855065305</v>
      </c>
      <c r="AB30" s="629">
        <f t="shared" si="8"/>
        <v>-0.25833625910742808</v>
      </c>
      <c r="AC30" s="636">
        <f>IF(M30="","",SQRT(Z30^2+AA30^2+AB30^2))</f>
        <v>1</v>
      </c>
      <c r="AD30" s="637">
        <f>IF(M30="","",Z30*(1/SQRT(Z30^2+AA30^2+AB30^2)))</f>
        <v>0.42253803230765569</v>
      </c>
      <c r="AE30" s="629">
        <f>IF(M30="","",AA30*(1/SQRT(Z30^2+AA30^2+AB30^2)))</f>
        <v>-0.86874851855065305</v>
      </c>
      <c r="AF30" s="633">
        <f>IF(M30="","",AB30*(1/SQRT(Z30^2+AA30^2+AB30^2)))</f>
        <v>-0.25833625910742808</v>
      </c>
      <c r="AG30" s="602">
        <f>IF(M30="","",DEGREES(ATAN2(-AF30,AE30)))</f>
        <v>-73.43931276191114</v>
      </c>
      <c r="AH30" s="603">
        <f>IF(M30="","",DEGREES(ACOS(AD30)))</f>
        <v>65.005071911668068</v>
      </c>
      <c r="AI30" s="585">
        <f>IF(M30="","",DEGREES(-ACOS(-AF30)))</f>
        <v>-75.028635479326027</v>
      </c>
      <c r="AJ30" s="586">
        <f>IF(M30="","",DEGREES(ATAN2(-AE30,AD30)))</f>
        <v>25.937155165985196</v>
      </c>
      <c r="AK30" s="635">
        <f>IF(M30="","",(COS(RADIANS((90-$Q$8)-W30))*AD30)+(-SIN(RADIANS((90-$Q$8)-W30))*AE30))</f>
        <v>0.96592583607220739</v>
      </c>
      <c r="AL30" s="629">
        <f>IF(M30="","",(SIN(RADIANS((90-$Q$8)-W30))*AD30)+(COS(RADIANS((90-$Q$8)-W30))*AE30))</f>
        <v>1.580052019988698E-2</v>
      </c>
      <c r="AM30" s="634">
        <f>IF(M30="","",AF30)</f>
        <v>-0.25833625910742808</v>
      </c>
      <c r="AN30" s="581">
        <f>IF(M30="","",DEGREES(ATAN2(-AM30,AL30)))</f>
        <v>3.4999994946626547</v>
      </c>
      <c r="AO30" s="582">
        <f>IF(ROUND(IF(M30="",0,DEGREES(ACOS(AK30))),4)=90,0,IF(M30="","",DEGREES(ACOS(AK30))))</f>
        <v>14.999997834268255</v>
      </c>
      <c r="AP30" s="585">
        <f>IF(M30="","",DEGREES(ATAN2(AK30,AL30)))</f>
        <v>0.93715516598518611</v>
      </c>
      <c r="AQ30" s="586">
        <f t="shared" si="9"/>
        <v>0.64046998052229998</v>
      </c>
      <c r="AS30" s="52">
        <f t="shared" si="116"/>
        <v>-65</v>
      </c>
      <c r="AT30" s="72">
        <f t="shared" si="10"/>
        <v>-2.1761312882119653E-2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2.1139999999999999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18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570</v>
      </c>
      <c r="JI30" s="804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>730</v>
      </c>
    </row>
    <row r="31" spans="1:269" ht="15" customHeight="1" x14ac:dyDescent="0.25">
      <c r="A31" s="79"/>
      <c r="B31" s="707">
        <v>3.9004885869432089</v>
      </c>
      <c r="C31" s="708">
        <v>1.818827698637788</v>
      </c>
      <c r="D31" s="709">
        <v>-0.115100347142647</v>
      </c>
      <c r="E31" s="710">
        <v>-0.37760041468486866</v>
      </c>
      <c r="F31" s="708">
        <v>0.88970327378739977</v>
      </c>
      <c r="G31" s="711">
        <v>0.25660477673223192</v>
      </c>
      <c r="H31" s="710">
        <v>0.314</v>
      </c>
      <c r="I31" s="708">
        <v>0.52</v>
      </c>
      <c r="J31" s="570">
        <v>2.117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2.117</v>
      </c>
      <c r="N31" s="632">
        <f t="shared" si="2"/>
        <v>3.9004885869432089</v>
      </c>
      <c r="O31" s="629">
        <f t="shared" si="3"/>
        <v>1.818827698637788</v>
      </c>
      <c r="P31" s="633">
        <f t="shared" si="4"/>
        <v>-0.115100347142647</v>
      </c>
      <c r="Q31" s="585">
        <f t="shared" si="113"/>
        <v>25.000000000000011</v>
      </c>
      <c r="R31" s="629">
        <f>IF(M31="","",SQRT(N31^2+O31^2))</f>
        <v>4.3037129799983482</v>
      </c>
      <c r="S31" s="634">
        <f>IF(M31="","",P31)</f>
        <v>-0.115100347142647</v>
      </c>
      <c r="T31" s="635">
        <f>IF(M31="","",X31*COS(RADIANS(W31)))</f>
        <v>1.8188276986377883</v>
      </c>
      <c r="U31" s="629">
        <f>IF(M31="","",X31*SIN(RADIANS(W31)))</f>
        <v>-3.9004885869432089</v>
      </c>
      <c r="V31" s="636">
        <f>IF(M31="","",Y31)</f>
        <v>-0.115100347142647</v>
      </c>
      <c r="W31" s="585">
        <f t="shared" si="224"/>
        <v>295</v>
      </c>
      <c r="X31" s="629">
        <f>IF(M31="","",R31)</f>
        <v>4.3037129799983482</v>
      </c>
      <c r="Y31" s="630">
        <f t="shared" si="223"/>
        <v>-0.115100347142647</v>
      </c>
      <c r="Z31" s="632">
        <f t="shared" si="6"/>
        <v>0.37760041468486866</v>
      </c>
      <c r="AA31" s="629">
        <f t="shared" si="7"/>
        <v>-0.88970327378739977</v>
      </c>
      <c r="AB31" s="629">
        <f t="shared" si="8"/>
        <v>-0.25660477673223192</v>
      </c>
      <c r="AC31" s="636">
        <f>IF(M31="","",SQRT(Z31^2+AA31^2+AB31^2))</f>
        <v>1</v>
      </c>
      <c r="AD31" s="637">
        <f>IF(M31="","",Z31*(1/SQRT(Z31^2+AA31^2+AB31^2)))</f>
        <v>0.37760041468486866</v>
      </c>
      <c r="AE31" s="629">
        <f>IF(M31="","",AA31*(1/SQRT(Z31^2+AA31^2+AB31^2)))</f>
        <v>-0.88970327378739977</v>
      </c>
      <c r="AF31" s="633">
        <f>IF(M31="","",AB31*(1/SQRT(Z31^2+AA31^2+AB31^2)))</f>
        <v>-0.25660477673223192</v>
      </c>
      <c r="AG31" s="602">
        <f>IF(M31="","",DEGREES(ATAN2(-AF31,AE31)))</f>
        <v>-73.911585436335642</v>
      </c>
      <c r="AH31" s="603">
        <f>IF(M31="","",DEGREES(ACOS(AD31)))</f>
        <v>67.814874194787038</v>
      </c>
      <c r="AI31" s="585">
        <f>IF(M31="","",DEGREES(-ACOS(-AF31)))</f>
        <v>-75.131303460271695</v>
      </c>
      <c r="AJ31" s="586">
        <f>IF(M31="","",DEGREES(ATAN2(-AE31,AD31)))</f>
        <v>22.996932234849119</v>
      </c>
      <c r="AK31" s="635">
        <f>IF(M31="","",(COS(RADIANS((90-$Q$8)-W31))*AD31)+(-SIN(RADIANS((90-$Q$8)-W31))*AE31))</f>
        <v>0.9659258360722075</v>
      </c>
      <c r="AL31" s="629">
        <f>IF(M31="","",(SIN(RADIANS((90-$Q$8)-W31))*AD31)+(COS(RADIANS((90-$Q$8)-W31))*AE31))</f>
        <v>-3.3782654815876001E-2</v>
      </c>
      <c r="AM31" s="634">
        <f>IF(M31="","",AF31)</f>
        <v>-0.25660477673223192</v>
      </c>
      <c r="AN31" s="581">
        <f>IF(M31="","",DEGREES(ATAN2(-AM31,AL31)))</f>
        <v>-7.4999989171341195</v>
      </c>
      <c r="AO31" s="582">
        <f t="shared" si="94"/>
        <v>14.99999783426823</v>
      </c>
      <c r="AP31" s="585">
        <f>IF(M31="","",DEGREES(ATAN2(AK31,AL31)))</f>
        <v>-2.0030677651508899</v>
      </c>
      <c r="AQ31" s="586">
        <f t="shared" si="9"/>
        <v>0.52969649543984076</v>
      </c>
      <c r="AS31" s="52">
        <f t="shared" si="116"/>
        <v>-65</v>
      </c>
      <c r="AT31" s="72">
        <f t="shared" si="10"/>
        <v>-6.9961458253758102E-2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2.117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4.5855779079233745</v>
      </c>
      <c r="C32" s="708">
        <v>2.0752679240043328</v>
      </c>
      <c r="D32" s="709">
        <v>-0.34250103298311552</v>
      </c>
      <c r="E32" s="710">
        <v>-0.25253305734616671</v>
      </c>
      <c r="F32" s="708">
        <v>0.94213687303760651</v>
      </c>
      <c r="G32" s="711">
        <v>0.22046579646357567</v>
      </c>
      <c r="H32" s="710">
        <v>0.314</v>
      </c>
      <c r="I32" s="708">
        <v>0.52</v>
      </c>
      <c r="J32" s="570">
        <v>2.12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2.12</v>
      </c>
      <c r="N32" s="632">
        <f t="shared" si="2"/>
        <v>4.5855779079233745</v>
      </c>
      <c r="O32" s="629">
        <f t="shared" si="3"/>
        <v>2.0752679240043328</v>
      </c>
      <c r="P32" s="633">
        <f t="shared" si="4"/>
        <v>-0.34250103298311552</v>
      </c>
      <c r="Q32" s="585">
        <f t="shared" si="113"/>
        <v>24.349800093877267</v>
      </c>
      <c r="R32" s="629">
        <f t="shared" si="79"/>
        <v>5.0333151804785849</v>
      </c>
      <c r="S32" s="634">
        <f t="shared" si="80"/>
        <v>-0.34250103298311552</v>
      </c>
      <c r="T32" s="635">
        <f t="shared" si="81"/>
        <v>2.0752679240043337</v>
      </c>
      <c r="U32" s="629">
        <f t="shared" si="82"/>
        <v>-4.5855779079233745</v>
      </c>
      <c r="V32" s="636">
        <f t="shared" si="114"/>
        <v>-0.34250103298311552</v>
      </c>
      <c r="W32" s="585">
        <f t="shared" si="224"/>
        <v>294.34980009387726</v>
      </c>
      <c r="X32" s="629">
        <f t="shared" si="83"/>
        <v>5.0333151804785849</v>
      </c>
      <c r="Y32" s="630">
        <f t="shared" si="223"/>
        <v>-0.34250103298311552</v>
      </c>
      <c r="Z32" s="632">
        <f t="shared" si="6"/>
        <v>0.25253305734616671</v>
      </c>
      <c r="AA32" s="629">
        <f t="shared" si="7"/>
        <v>-0.94213687303760651</v>
      </c>
      <c r="AB32" s="629">
        <f t="shared" si="8"/>
        <v>-0.22046579646357567</v>
      </c>
      <c r="AC32" s="636">
        <f t="shared" si="84"/>
        <v>1</v>
      </c>
      <c r="AD32" s="637">
        <f t="shared" si="115"/>
        <v>0.25253305734616671</v>
      </c>
      <c r="AE32" s="629">
        <f t="shared" si="85"/>
        <v>-0.94213687303760651</v>
      </c>
      <c r="AF32" s="633">
        <f t="shared" si="86"/>
        <v>-0.22046579646357567</v>
      </c>
      <c r="AG32" s="602">
        <f t="shared" si="87"/>
        <v>-76.829425523451491</v>
      </c>
      <c r="AH32" s="603">
        <f t="shared" si="88"/>
        <v>75.372543754213325</v>
      </c>
      <c r="AI32" s="585">
        <f t="shared" si="89"/>
        <v>-77.263607074145355</v>
      </c>
      <c r="AJ32" s="586">
        <f t="shared" si="90"/>
        <v>15.005006872793853</v>
      </c>
      <c r="AK32" s="635">
        <f t="shared" si="211"/>
        <v>0.96245031578608409</v>
      </c>
      <c r="AL32" s="629">
        <f t="shared" si="91"/>
        <v>-0.15837999315869611</v>
      </c>
      <c r="AM32" s="634">
        <f t="shared" si="92"/>
        <v>-0.22046579646357567</v>
      </c>
      <c r="AN32" s="581">
        <f t="shared" si="93"/>
        <v>-35.693014846641312</v>
      </c>
      <c r="AO32" s="582">
        <f t="shared" si="94"/>
        <v>15.751038623475528</v>
      </c>
      <c r="AP32" s="585">
        <f t="shared" si="95"/>
        <v>-9.3447932210834246</v>
      </c>
      <c r="AQ32" s="586">
        <f t="shared" si="9"/>
        <v>0.45291802025521277</v>
      </c>
      <c r="AS32" s="52">
        <f t="shared" si="116"/>
        <v>-65.650199906122737</v>
      </c>
      <c r="AT32" s="72">
        <f t="shared" si="10"/>
        <v>-0.2969106163816414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2.12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5.2010046144861333</v>
      </c>
      <c r="C33" s="708">
        <v>2.2867417782885919</v>
      </c>
      <c r="D33" s="709">
        <v>-0.73210220802025938</v>
      </c>
      <c r="E33" s="710">
        <v>-0.17578596375464173</v>
      </c>
      <c r="F33" s="708">
        <v>0.96953281171752004</v>
      </c>
      <c r="G33" s="711">
        <v>0.17060311236894743</v>
      </c>
      <c r="H33" s="710">
        <v>0.314</v>
      </c>
      <c r="I33" s="708">
        <v>0.52</v>
      </c>
      <c r="J33" s="570">
        <v>2.1230000000000002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2.1230000000000002</v>
      </c>
      <c r="N33" s="632">
        <f t="shared" si="2"/>
        <v>5.2010046144861333</v>
      </c>
      <c r="O33" s="629">
        <f t="shared" si="3"/>
        <v>2.2867417782885919</v>
      </c>
      <c r="P33" s="633">
        <f t="shared" si="4"/>
        <v>-0.73210220802025938</v>
      </c>
      <c r="Q33" s="585">
        <f t="shared" si="113"/>
        <v>23.733800182816644</v>
      </c>
      <c r="R33" s="629">
        <f t="shared" si="79"/>
        <v>5.6815171354556808</v>
      </c>
      <c r="S33" s="634">
        <f t="shared" si="80"/>
        <v>-0.73210220802025938</v>
      </c>
      <c r="T33" s="635">
        <f t="shared" si="81"/>
        <v>2.2867417782885928</v>
      </c>
      <c r="U33" s="629">
        <f t="shared" si="82"/>
        <v>-5.2010046144861324</v>
      </c>
      <c r="V33" s="636">
        <f t="shared" si="114"/>
        <v>-0.73210220802025938</v>
      </c>
      <c r="W33" s="585">
        <f t="shared" si="224"/>
        <v>293.73380018281665</v>
      </c>
      <c r="X33" s="629">
        <f t="shared" si="83"/>
        <v>5.6815171354556808</v>
      </c>
      <c r="Y33" s="630">
        <f t="shared" si="223"/>
        <v>-0.73210220802025938</v>
      </c>
      <c r="Z33" s="632">
        <f t="shared" si="6"/>
        <v>0.17578596375464173</v>
      </c>
      <c r="AA33" s="629">
        <f t="shared" si="7"/>
        <v>-0.96953281171752004</v>
      </c>
      <c r="AB33" s="629">
        <f t="shared" si="8"/>
        <v>-0.17060311236894743</v>
      </c>
      <c r="AC33" s="636">
        <f t="shared" si="84"/>
        <v>1</v>
      </c>
      <c r="AD33" s="637">
        <f t="shared" si="115"/>
        <v>0.17578596375464173</v>
      </c>
      <c r="AE33" s="629">
        <f t="shared" si="85"/>
        <v>-0.96953281171752004</v>
      </c>
      <c r="AF33" s="633">
        <f t="shared" si="86"/>
        <v>-0.17060311236894743</v>
      </c>
      <c r="AG33" s="602">
        <f t="shared" si="87"/>
        <v>-80.020157603140959</v>
      </c>
      <c r="AH33" s="603">
        <f t="shared" si="88"/>
        <v>79.875600423662206</v>
      </c>
      <c r="AI33" s="585">
        <f t="shared" si="89"/>
        <v>-80.177112874797174</v>
      </c>
      <c r="AJ33" s="586">
        <f t="shared" si="90"/>
        <v>10.276657274302099</v>
      </c>
      <c r="AK33" s="635">
        <f t="shared" si="211"/>
        <v>0.95828659936908334</v>
      </c>
      <c r="AL33" s="629">
        <f t="shared" si="91"/>
        <v>-0.22930628321017768</v>
      </c>
      <c r="AM33" s="634">
        <f t="shared" si="92"/>
        <v>-0.17060311236894743</v>
      </c>
      <c r="AN33" s="581">
        <f t="shared" si="93"/>
        <v>-53.350875144741032</v>
      </c>
      <c r="AO33" s="582">
        <f t="shared" si="94"/>
        <v>16.607213405448071</v>
      </c>
      <c r="AP33" s="585">
        <f t="shared" si="95"/>
        <v>-13.457142908514559</v>
      </c>
      <c r="AQ33" s="586">
        <f t="shared" si="9"/>
        <v>0.40124658770418009</v>
      </c>
      <c r="AS33" s="52">
        <f t="shared" si="116"/>
        <v>-66.266199817183349</v>
      </c>
      <c r="AT33" s="72">
        <f t="shared" si="10"/>
        <v>-0.68608401370277095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2.1230000000000002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5.7195624841246406</v>
      </c>
      <c r="C34" s="708">
        <v>2.4434120589176356</v>
      </c>
      <c r="D34" s="709">
        <v>-1.2634038104258916</v>
      </c>
      <c r="E34" s="710">
        <v>-0.11587732727317276</v>
      </c>
      <c r="F34" s="708">
        <v>0.98746020492471476</v>
      </c>
      <c r="G34" s="711">
        <v>0.10721375244839774</v>
      </c>
      <c r="H34" s="710">
        <v>0.314</v>
      </c>
      <c r="I34" s="708">
        <v>0.52</v>
      </c>
      <c r="J34" s="570">
        <v>2.1259999999999999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2.1259999999999999</v>
      </c>
      <c r="N34" s="632">
        <f t="shared" si="2"/>
        <v>5.7195624841246406</v>
      </c>
      <c r="O34" s="629">
        <f t="shared" si="3"/>
        <v>2.4434120589176356</v>
      </c>
      <c r="P34" s="633">
        <f t="shared" si="4"/>
        <v>-1.2634038104258916</v>
      </c>
      <c r="Q34" s="585">
        <f t="shared" si="113"/>
        <v>23.13230026966249</v>
      </c>
      <c r="R34" s="629">
        <f>IF(M34="","",SQRT(N34^2+O34^2))</f>
        <v>6.2196187583701743</v>
      </c>
      <c r="S34" s="634">
        <f>IF(M34="","",P34)</f>
        <v>-1.2634038104258916</v>
      </c>
      <c r="T34" s="635">
        <f>IF(M34="","",X34*COS(RADIANS(W34)))</f>
        <v>2.4434120589176369</v>
      </c>
      <c r="U34" s="629">
        <f>IF(M34="","",X34*SIN(RADIANS(W34)))</f>
        <v>-5.7195624841246406</v>
      </c>
      <c r="V34" s="636">
        <f>IF(M34="","",Y34)</f>
        <v>-1.2634038104258916</v>
      </c>
      <c r="W34" s="585">
        <f t="shared" si="224"/>
        <v>293.13230026966249</v>
      </c>
      <c r="X34" s="629">
        <f>IF(M34="","",R34)</f>
        <v>6.2196187583701743</v>
      </c>
      <c r="Y34" s="630">
        <f t="shared" si="223"/>
        <v>-1.2634038104258916</v>
      </c>
      <c r="Z34" s="632">
        <f t="shared" si="6"/>
        <v>0.11587732727317276</v>
      </c>
      <c r="AA34" s="629">
        <f t="shared" si="7"/>
        <v>-0.98746020492471476</v>
      </c>
      <c r="AB34" s="629">
        <f t="shared" si="8"/>
        <v>-0.10721375244839774</v>
      </c>
      <c r="AC34" s="636">
        <f>IF(M34="","",SQRT(Z34^2+AA34^2+AB34^2))</f>
        <v>1</v>
      </c>
      <c r="AD34" s="637">
        <f>IF(M34="","",Z34*(1/SQRT(Z34^2+AA34^2+AB34^2)))</f>
        <v>0.11587732727317276</v>
      </c>
      <c r="AE34" s="629">
        <f>IF(M34="","",AA34*(1/SQRT(Z34^2+AA34^2+AB34^2)))</f>
        <v>-0.98746020492471476</v>
      </c>
      <c r="AF34" s="633">
        <f>IF(M34="","",AB34*(1/SQRT(Z34^2+AA34^2+AB34^2)))</f>
        <v>-0.10721375244839774</v>
      </c>
      <c r="AG34" s="602">
        <f>IF(M34="","",DEGREES(ATAN2(-AF34,AE34)))</f>
        <v>-83.803369376813023</v>
      </c>
      <c r="AH34" s="603">
        <f>IF(M34="","",DEGREES(ACOS(AD34)))</f>
        <v>83.345769482277859</v>
      </c>
      <c r="AI34" s="585">
        <f>IF(M34="","",DEGREES(-ACOS(-AF34)))</f>
        <v>-83.845274636827114</v>
      </c>
      <c r="AJ34" s="586">
        <f>IF(M34="","",DEGREES(ATAN2(-AE34,AD34)))</f>
        <v>6.6929838221629225</v>
      </c>
      <c r="AK34" s="635">
        <f>IF(M34="","",(COS(RADIANS((90-$Q$8)-W34))*AD34)+(-SIN(RADIANS((90-$Q$8)-W34))*AE34))</f>
        <v>0.9535916318803489</v>
      </c>
      <c r="AL34" s="629">
        <f>IF(M34="","",(SIN(RADIANS((90-$Q$8)-W34))*AD34)+(COS(RADIANS((90-$Q$8)-W34))*AE34))</f>
        <v>-0.28136846108564995</v>
      </c>
      <c r="AM34" s="634">
        <f>IF(M34="","",AF34)</f>
        <v>-0.10721375244839774</v>
      </c>
      <c r="AN34" s="581">
        <f>IF(M34="","",DEGREES(ATAN2(-AM34,AL34)))</f>
        <v>-69.140960017719465</v>
      </c>
      <c r="AO34" s="582">
        <f t="shared" si="94"/>
        <v>17.523862204945257</v>
      </c>
      <c r="AP34" s="585">
        <f>IF(M34="","",DEGREES(ATAN2(AK34,AL34)))</f>
        <v>-16.439316447499575</v>
      </c>
      <c r="AQ34" s="586">
        <f t="shared" si="9"/>
        <v>0.36653300173528008</v>
      </c>
      <c r="AS34" s="52">
        <f t="shared" si="116"/>
        <v>-66.867699730337506</v>
      </c>
      <c r="AT34" s="72">
        <f t="shared" si="10"/>
        <v>-1.2169679078353794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2.1259999999999999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6.1059017718116779</v>
      </c>
      <c r="C35" s="708">
        <v>2.5477454350043938</v>
      </c>
      <c r="D35" s="709">
        <v>-1.9035057409733149</v>
      </c>
      <c r="E35" s="710">
        <v>-7.80066604406736E-2</v>
      </c>
      <c r="F35" s="708">
        <v>0.99619617563739038</v>
      </c>
      <c r="G35" s="711">
        <v>3.8834785596568763E-2</v>
      </c>
      <c r="H35" s="710">
        <v>0.314</v>
      </c>
      <c r="I35" s="708">
        <v>0.52</v>
      </c>
      <c r="J35" s="570">
        <v>2.129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2.129</v>
      </c>
      <c r="N35" s="632">
        <f t="shared" si="2"/>
        <v>6.1059017718116779</v>
      </c>
      <c r="O35" s="629">
        <f t="shared" si="3"/>
        <v>2.5477454350043938</v>
      </c>
      <c r="P35" s="633">
        <f t="shared" si="4"/>
        <v>-1.9035057409733149</v>
      </c>
      <c r="Q35" s="585">
        <f t="shared" si="113"/>
        <v>22.64880033947124</v>
      </c>
      <c r="R35" s="629">
        <f>IF(M35="","",SQRT(N35^2+O35^2))</f>
        <v>6.6161199542177824</v>
      </c>
      <c r="S35" s="634">
        <f>IF(M35="","",P35)</f>
        <v>-1.9035057409733149</v>
      </c>
      <c r="T35" s="635">
        <f>IF(M35="","",X35*COS(RADIANS(W35)))</f>
        <v>2.5477454350043924</v>
      </c>
      <c r="U35" s="629">
        <f>IF(M35="","",X35*SIN(RADIANS(W35)))</f>
        <v>-6.1059017718116779</v>
      </c>
      <c r="V35" s="636">
        <f>IF(M35="","",Y35)</f>
        <v>-1.9035057409733149</v>
      </c>
      <c r="W35" s="585">
        <f t="shared" si="224"/>
        <v>292.64880033947122</v>
      </c>
      <c r="X35" s="629">
        <f>IF(M35="","",R35)</f>
        <v>6.6161199542177824</v>
      </c>
      <c r="Y35" s="630">
        <f t="shared" si="223"/>
        <v>-1.9035057409733149</v>
      </c>
      <c r="Z35" s="632">
        <f t="shared" si="6"/>
        <v>7.80066604406736E-2</v>
      </c>
      <c r="AA35" s="629">
        <f t="shared" si="7"/>
        <v>-0.99619617563739038</v>
      </c>
      <c r="AB35" s="629">
        <f t="shared" si="8"/>
        <v>-3.8834785596568763E-2</v>
      </c>
      <c r="AC35" s="636">
        <f>IF(M35="","",SQRT(Z35^2+AA35^2+AB35^2))</f>
        <v>1</v>
      </c>
      <c r="AD35" s="637">
        <f>IF(M35="","",Z35*(1/SQRT(Z35^2+AA35^2+AB35^2)))</f>
        <v>7.80066604406736E-2</v>
      </c>
      <c r="AE35" s="629">
        <f>IF(M35="","",AA35*(1/SQRT(Z35^2+AA35^2+AB35^2)))</f>
        <v>-0.99619617563739038</v>
      </c>
      <c r="AF35" s="633">
        <f>IF(M35="","",AB35*(1/SQRT(Z35^2+AA35^2+AB35^2)))</f>
        <v>-3.8834785596568763E-2</v>
      </c>
      <c r="AG35" s="602">
        <f>IF(M35="","",DEGREES(ATAN2(-AF35,AE35)))</f>
        <v>-87.767565000713802</v>
      </c>
      <c r="AH35" s="603">
        <f>IF(M35="","",DEGREES(ACOS(AD35)))</f>
        <v>85.526002326913812</v>
      </c>
      <c r="AI35" s="585">
        <f>IF(M35="","",DEGREES(-ACOS(-AF35)))</f>
        <v>-87.774371020895217</v>
      </c>
      <c r="AJ35" s="586">
        <f>IF(M35="","",DEGREES(ATAN2(-AE35,AD35)))</f>
        <v>4.4773820919625749</v>
      </c>
      <c r="AK35" s="635">
        <f>IF(M35="","",(COS(RADIANS((90-$Q$8)-W35))*AD35)+(-SIN(RADIANS((90-$Q$8)-W35))*AE35))</f>
        <v>0.94941100681368606</v>
      </c>
      <c r="AL35" s="629">
        <f>IF(M35="","",(SIN(RADIANS((90-$Q$8)-W35))*AD35)+(COS(RADIANS((90-$Q$8)-W35))*AE35))</f>
        <v>-0.31162573637087776</v>
      </c>
      <c r="AM35" s="634">
        <f>IF(M35="","",AF35)</f>
        <v>-3.8834785596568763E-2</v>
      </c>
      <c r="AN35" s="581">
        <f>IF(M35="","",DEGREES(ATAN2(-AM35,AL35)))</f>
        <v>-82.896424563966704</v>
      </c>
      <c r="AO35" s="582">
        <f t="shared" si="94"/>
        <v>18.302640380702115</v>
      </c>
      <c r="AP35" s="585">
        <f>IF(M35="","",DEGREES(ATAN2(AK35,AL35)))</f>
        <v>-18.171418247508655</v>
      </c>
      <c r="AQ35" s="586">
        <f t="shared" si="9"/>
        <v>0.34456738460502989</v>
      </c>
      <c r="AS35" s="52">
        <f t="shared" si="116"/>
        <v>-67.351199660528778</v>
      </c>
      <c r="AT35" s="72">
        <f t="shared" si="10"/>
        <v>-1.8567340745423921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2.129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6.3415331832392496</v>
      </c>
      <c r="C36" s="708">
        <v>2.6062844964178806</v>
      </c>
      <c r="D36" s="709">
        <v>-2.6040078536876865</v>
      </c>
      <c r="E36" s="710">
        <v>-3.3609535601908082E-2</v>
      </c>
      <c r="F36" s="708">
        <v>0.99939864653980892</v>
      </c>
      <c r="G36" s="711">
        <v>-8.5290334166431975E-3</v>
      </c>
      <c r="H36" s="710">
        <v>0.314</v>
      </c>
      <c r="I36" s="708">
        <v>0.52</v>
      </c>
      <c r="J36" s="570">
        <v>2.1320000000000001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2.1320000000000001</v>
      </c>
      <c r="N36" s="632">
        <f t="shared" si="2"/>
        <v>6.3415331832392496</v>
      </c>
      <c r="O36" s="629">
        <f t="shared" si="3"/>
        <v>2.6062844964178806</v>
      </c>
      <c r="P36" s="633">
        <f t="shared" si="4"/>
        <v>-2.6040078536876865</v>
      </c>
      <c r="Q36" s="585">
        <f t="shared" si="113"/>
        <v>22.342000383767679</v>
      </c>
      <c r="R36" s="629">
        <f>IF(M36="","",SQRT(N36^2+O36^2))</f>
        <v>6.8562206783615665</v>
      </c>
      <c r="S36" s="634">
        <f>IF(M36="","",P36)</f>
        <v>-2.6040078536876865</v>
      </c>
      <c r="T36" s="635">
        <f>IF(M36="","",X36*COS(RADIANS(W36)))</f>
        <v>2.6062844964178837</v>
      </c>
      <c r="U36" s="629">
        <f>IF(M36="","",X36*SIN(RADIANS(W36)))</f>
        <v>-6.3415331832392487</v>
      </c>
      <c r="V36" s="636">
        <f>IF(M36="","",Y36)</f>
        <v>-2.6040078536876865</v>
      </c>
      <c r="W36" s="585">
        <f t="shared" si="224"/>
        <v>292.3420003837677</v>
      </c>
      <c r="X36" s="629">
        <f>IF(M36="","",R36)</f>
        <v>6.8562206783615665</v>
      </c>
      <c r="Y36" s="630">
        <f t="shared" si="223"/>
        <v>-2.6040078536876865</v>
      </c>
      <c r="Z36" s="632">
        <f t="shared" si="6"/>
        <v>3.3609535601908082E-2</v>
      </c>
      <c r="AA36" s="629">
        <f t="shared" si="7"/>
        <v>-0.99939864653980892</v>
      </c>
      <c r="AB36" s="629">
        <f t="shared" si="8"/>
        <v>8.5290334166431975E-3</v>
      </c>
      <c r="AC36" s="636">
        <f>IF(M36="","",SQRT(Z36^2+AA36^2+AB36^2))</f>
        <v>1</v>
      </c>
      <c r="AD36" s="637">
        <f>IF(M36="","",Z36*(1/SQRT(Z36^2+AA36^2+AB36^2)))</f>
        <v>3.3609535601908082E-2</v>
      </c>
      <c r="AE36" s="629">
        <f>IF(M36="","",AA36*(1/SQRT(Z36^2+AA36^2+AB36^2)))</f>
        <v>-0.99939864653980892</v>
      </c>
      <c r="AF36" s="633">
        <f>IF(M36="","",AB36*(1/SQRT(Z36^2+AA36^2+AB36^2)))</f>
        <v>8.5290334166431975E-3</v>
      </c>
      <c r="AG36" s="602">
        <f>IF(M36="","",DEGREES(ATAN2(-AF36,AE36)))</f>
        <v>-90.488959792495024</v>
      </c>
      <c r="AH36" s="603">
        <f>IF(M36="","",DEGREES(ACOS(AD36)))</f>
        <v>88.073952731711046</v>
      </c>
      <c r="AI36" s="585">
        <f>IF(M36="","",DEGREES(-ACOS(-AF36)))</f>
        <v>-90.488683543054577</v>
      </c>
      <c r="AJ36" s="586">
        <f>IF(M36="","",DEGREES(ATAN2(-AE36,AD36)))</f>
        <v>1.926117353100961</v>
      </c>
      <c r="AK36" s="635">
        <f>IF(M36="","",(COS(RADIANS((90-$Q$8)-W36))*AD36)+(-SIN(RADIANS((90-$Q$8)-W36))*AE36))</f>
        <v>0.93715123729405814</v>
      </c>
      <c r="AL36" s="629">
        <f>IF(M36="","",(SIN(RADIANS((90-$Q$8)-W36))*AD36)+(COS(RADIANS((90-$Q$8)-W36))*AE36))</f>
        <v>-0.34881917095709303</v>
      </c>
      <c r="AM36" s="634">
        <f>IF(M36="","",AF36)</f>
        <v>8.5290334166431975E-3</v>
      </c>
      <c r="AN36" s="581">
        <f>IF(M36="","",DEGREES(ATAN2(-AM36,AL36)))</f>
        <v>-91.400669191632119</v>
      </c>
      <c r="AO36" s="582">
        <f t="shared" si="94"/>
        <v>20.421481283471561</v>
      </c>
      <c r="AP36" s="585">
        <f>IF(M36="","",DEGREES(ATAN2(AK36,AL36)))</f>
        <v>-20.415883030666748</v>
      </c>
      <c r="AQ36" s="586">
        <f t="shared" si="9"/>
        <v>0.33250111788165254</v>
      </c>
      <c r="AS36" s="52">
        <f t="shared" si="116"/>
        <v>-67.657999616232303</v>
      </c>
      <c r="AT36" s="72">
        <f t="shared" si="10"/>
        <v>-2.5570231317319698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2.1320000000000001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6.4964809155208885</v>
      </c>
      <c r="C37" s="708">
        <v>2.6426902914078814</v>
      </c>
      <c r="D37" s="709">
        <v>-3.3171100044037733</v>
      </c>
      <c r="E37" s="710">
        <v>4.7687087658732356E-2</v>
      </c>
      <c r="F37" s="708">
        <v>0.99826433873875264</v>
      </c>
      <c r="G37" s="711">
        <v>-3.4557946598565918E-2</v>
      </c>
      <c r="H37" s="710">
        <v>0.314</v>
      </c>
      <c r="I37" s="708">
        <v>0.52</v>
      </c>
      <c r="J37" s="570">
        <v>2.1349999999999998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2.1349999999999998</v>
      </c>
      <c r="N37" s="632">
        <f t="shared" si="2"/>
        <v>6.4964809155208885</v>
      </c>
      <c r="O37" s="629">
        <f t="shared" si="3"/>
        <v>2.6426902914078814</v>
      </c>
      <c r="P37" s="633">
        <f t="shared" si="4"/>
        <v>-3.3171100044037733</v>
      </c>
      <c r="Q37" s="585">
        <f t="shared" si="113"/>
        <v>22.135900413524823</v>
      </c>
      <c r="R37" s="629">
        <f t="shared" si="79"/>
        <v>7.0134211524781964</v>
      </c>
      <c r="S37" s="634">
        <f t="shared" si="80"/>
        <v>-3.3171100044037733</v>
      </c>
      <c r="T37" s="635">
        <f t="shared" si="81"/>
        <v>2.6426902914078831</v>
      </c>
      <c r="U37" s="629">
        <f t="shared" si="82"/>
        <v>-6.4964809155208876</v>
      </c>
      <c r="V37" s="636">
        <f t="shared" si="114"/>
        <v>-3.3171100044037733</v>
      </c>
      <c r="W37" s="585">
        <f t="shared" si="224"/>
        <v>292.13590041352484</v>
      </c>
      <c r="X37" s="629">
        <f t="shared" si="83"/>
        <v>7.0134211524781964</v>
      </c>
      <c r="Y37" s="630">
        <f t="shared" si="223"/>
        <v>-3.3171100044037733</v>
      </c>
      <c r="Z37" s="632">
        <f t="shared" si="6"/>
        <v>-4.7687087658732356E-2</v>
      </c>
      <c r="AA37" s="629">
        <f t="shared" si="7"/>
        <v>-0.99826433873875264</v>
      </c>
      <c r="AB37" s="629">
        <f t="shared" si="8"/>
        <v>3.4557946598565918E-2</v>
      </c>
      <c r="AC37" s="636">
        <f t="shared" si="84"/>
        <v>1</v>
      </c>
      <c r="AD37" s="637">
        <f t="shared" si="115"/>
        <v>-4.7687087658732356E-2</v>
      </c>
      <c r="AE37" s="629">
        <f t="shared" si="85"/>
        <v>-0.99826433873875264</v>
      </c>
      <c r="AF37" s="633">
        <f t="shared" si="86"/>
        <v>3.4557946598565918E-2</v>
      </c>
      <c r="AG37" s="602">
        <f t="shared" si="87"/>
        <v>-91.982675350640434</v>
      </c>
      <c r="AH37" s="603">
        <f t="shared" si="88"/>
        <v>92.733305477724429</v>
      </c>
      <c r="AI37" s="585">
        <f t="shared" si="89"/>
        <v>-91.980418808612228</v>
      </c>
      <c r="AJ37" s="586">
        <f t="shared" si="90"/>
        <v>-2.7349403098549745</v>
      </c>
      <c r="AK37" s="635">
        <f t="shared" si="211"/>
        <v>0.90671626349333312</v>
      </c>
      <c r="AL37" s="629">
        <f t="shared" si="91"/>
        <v>-0.4203229304279974</v>
      </c>
      <c r="AM37" s="634">
        <f t="shared" si="92"/>
        <v>3.4557946598565918E-2</v>
      </c>
      <c r="AN37" s="581">
        <f t="shared" si="93"/>
        <v>-94.70015046376966</v>
      </c>
      <c r="AO37" s="582">
        <f t="shared" si="94"/>
        <v>24.944563951812899</v>
      </c>
      <c r="AP37" s="585">
        <f t="shared" si="95"/>
        <v>-24.870840723379814</v>
      </c>
      <c r="AQ37" s="586">
        <f t="shared" si="9"/>
        <v>0.32504852122874645</v>
      </c>
      <c r="AS37" s="52">
        <f t="shared" si="116"/>
        <v>-67.864099586475163</v>
      </c>
      <c r="AT37" s="72">
        <f t="shared" si="10"/>
        <v>-3.2699821574687213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2.1349999999999998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6.6352025291921466</v>
      </c>
      <c r="C38" s="708">
        <v>2.6739146916374059</v>
      </c>
      <c r="D38" s="709">
        <v>-3.9652119590792689</v>
      </c>
      <c r="E38" s="710">
        <v>0.17962652013119643</v>
      </c>
      <c r="F38" s="708">
        <v>0.98369433722607336</v>
      </c>
      <c r="G38" s="711">
        <v>8.9310791572637729E-3</v>
      </c>
      <c r="H38" s="710">
        <v>0.26600000000000001</v>
      </c>
      <c r="I38" s="708">
        <v>0.52</v>
      </c>
      <c r="J38" s="570">
        <v>2.1379999999999999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1313</v>
      </c>
      <c r="L38" s="320"/>
      <c r="M38" s="168">
        <f t="shared" si="1"/>
        <v>2.1379999999999999</v>
      </c>
      <c r="N38" s="632">
        <f t="shared" si="2"/>
        <v>6.6352025291921466</v>
      </c>
      <c r="O38" s="629">
        <f t="shared" si="3"/>
        <v>2.6739146916374059</v>
      </c>
      <c r="P38" s="633">
        <f t="shared" si="4"/>
        <v>-3.9652119590792689</v>
      </c>
      <c r="Q38" s="585">
        <f t="shared" si="113"/>
        <v>21.948900440524284</v>
      </c>
      <c r="R38" s="629">
        <f t="shared" si="79"/>
        <v>7.1537215756242727</v>
      </c>
      <c r="S38" s="634">
        <f t="shared" si="80"/>
        <v>-3.9652119590792689</v>
      </c>
      <c r="T38" s="635">
        <f t="shared" si="81"/>
        <v>2.6739146916374081</v>
      </c>
      <c r="U38" s="629">
        <f t="shared" si="82"/>
        <v>-6.6352025291921457</v>
      </c>
      <c r="V38" s="636">
        <f t="shared" si="114"/>
        <v>-3.9652119590792689</v>
      </c>
      <c r="W38" s="585">
        <f t="shared" si="224"/>
        <v>291.94890044052431</v>
      </c>
      <c r="X38" s="629">
        <f t="shared" si="83"/>
        <v>7.1537215756242727</v>
      </c>
      <c r="Y38" s="630">
        <f t="shared" si="223"/>
        <v>-3.9652119590792689</v>
      </c>
      <c r="Z38" s="632">
        <f t="shared" si="6"/>
        <v>-0.17962652013119643</v>
      </c>
      <c r="AA38" s="629">
        <f t="shared" si="7"/>
        <v>-0.98369433722607336</v>
      </c>
      <c r="AB38" s="629">
        <f t="shared" si="8"/>
        <v>-8.9310791572637729E-3</v>
      </c>
      <c r="AC38" s="636">
        <f t="shared" si="84"/>
        <v>1</v>
      </c>
      <c r="AD38" s="637">
        <f t="shared" si="115"/>
        <v>-0.17962652013119643</v>
      </c>
      <c r="AE38" s="629">
        <f t="shared" si="85"/>
        <v>-0.98369433722607336</v>
      </c>
      <c r="AF38" s="633">
        <f t="shared" si="86"/>
        <v>-8.9310791572637729E-3</v>
      </c>
      <c r="AG38" s="602">
        <f t="shared" si="87"/>
        <v>-89.479819021726826</v>
      </c>
      <c r="AH38" s="603">
        <f t="shared" si="88"/>
        <v>100.3480064215647</v>
      </c>
      <c r="AI38" s="585">
        <f t="shared" si="89"/>
        <v>-89.48828005481792</v>
      </c>
      <c r="AJ38" s="586">
        <f t="shared" si="90"/>
        <v>-10.34842369349496</v>
      </c>
      <c r="AK38" s="635">
        <f t="shared" si="211"/>
        <v>0.84525307550849949</v>
      </c>
      <c r="AL38" s="629">
        <f t="shared" si="91"/>
        <v>-0.53429156288351565</v>
      </c>
      <c r="AM38" s="634">
        <f t="shared" si="92"/>
        <v>-8.9310791572637729E-3</v>
      </c>
      <c r="AN38" s="581">
        <f t="shared" si="93"/>
        <v>-89.042347801341251</v>
      </c>
      <c r="AO38" s="582">
        <f t="shared" si="94"/>
        <v>32.3009390311652</v>
      </c>
      <c r="AP38" s="585">
        <f t="shared" si="95"/>
        <v>-32.297324134019256</v>
      </c>
      <c r="AQ38" s="586">
        <f t="shared" si="9"/>
        <v>0.31867372809781563</v>
      </c>
      <c r="AS38" s="52">
        <f t="shared" si="116"/>
        <v>-68.051099559475688</v>
      </c>
      <c r="AT38" s="72">
        <f t="shared" si="10"/>
        <v>-3.9179542510518552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2.1379999999999999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1313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4.2146907404901262</v>
      </c>
      <c r="C39" s="708">
        <v>0.89586017230106174</v>
      </c>
      <c r="D39" s="709">
        <v>-0.11359999999999996</v>
      </c>
      <c r="E39" s="710">
        <v>0.12767381627123076</v>
      </c>
      <c r="F39" s="708">
        <v>2.7138139263532573E-2</v>
      </c>
      <c r="G39" s="711">
        <v>0.99144486384067421</v>
      </c>
      <c r="H39" s="710">
        <v>0.25700000000000001</v>
      </c>
      <c r="I39" s="708">
        <v>0.41499999999999992</v>
      </c>
      <c r="J39" s="570">
        <v>2.2170000000000001</v>
      </c>
      <c r="K39" s="865" t="str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CPS-32193r1</v>
      </c>
      <c r="L39" s="320"/>
      <c r="M39" s="168">
        <f t="shared" si="1"/>
        <v>2.2170000000000001</v>
      </c>
      <c r="N39" s="632">
        <f t="shared" si="2"/>
        <v>4.2146907404901262</v>
      </c>
      <c r="O39" s="629">
        <f t="shared" si="3"/>
        <v>0.89586017230106174</v>
      </c>
      <c r="P39" s="633">
        <f t="shared" si="4"/>
        <v>-0.11359999999999996</v>
      </c>
      <c r="Q39" s="585">
        <f t="shared" si="113"/>
        <v>12.000000000000014</v>
      </c>
      <c r="R39" s="629">
        <f t="shared" si="79"/>
        <v>4.3088494388048071</v>
      </c>
      <c r="S39" s="634">
        <f t="shared" si="80"/>
        <v>-0.11359999999999996</v>
      </c>
      <c r="T39" s="635">
        <f t="shared" si="81"/>
        <v>0.8958601723010613</v>
      </c>
      <c r="U39" s="629">
        <f t="shared" si="82"/>
        <v>-4.214690740490127</v>
      </c>
      <c r="V39" s="636">
        <f t="shared" si="114"/>
        <v>-0.11359999999999996</v>
      </c>
      <c r="W39" s="585">
        <f t="shared" si="224"/>
        <v>282</v>
      </c>
      <c r="X39" s="629">
        <f t="shared" si="83"/>
        <v>4.3088494388048071</v>
      </c>
      <c r="Y39" s="630">
        <f t="shared" si="223"/>
        <v>-0.11359999999999996</v>
      </c>
      <c r="Z39" s="632">
        <f t="shared" si="6"/>
        <v>-0.12767381627123076</v>
      </c>
      <c r="AA39" s="629">
        <f t="shared" si="7"/>
        <v>-2.7138139263532573E-2</v>
      </c>
      <c r="AB39" s="629">
        <f t="shared" si="8"/>
        <v>-0.99144486384067421</v>
      </c>
      <c r="AC39" s="636">
        <f t="shared" si="84"/>
        <v>1</v>
      </c>
      <c r="AD39" s="637">
        <f t="shared" si="115"/>
        <v>-0.12767381627123076</v>
      </c>
      <c r="AE39" s="629">
        <f t="shared" si="85"/>
        <v>-2.7138139263532573E-2</v>
      </c>
      <c r="AF39" s="633">
        <f t="shared" si="86"/>
        <v>-0.99144486384067421</v>
      </c>
      <c r="AG39" s="602">
        <f t="shared" si="87"/>
        <v>-1.567926509767591</v>
      </c>
      <c r="AH39" s="603">
        <f t="shared" si="88"/>
        <v>97.335191651734633</v>
      </c>
      <c r="AI39" s="585">
        <f t="shared" si="89"/>
        <v>-7.4999989171453425</v>
      </c>
      <c r="AJ39" s="586">
        <f t="shared" si="90"/>
        <v>-77.99990044609406</v>
      </c>
      <c r="AK39" s="635">
        <f t="shared" si="211"/>
        <v>2.2679489672036701E-7</v>
      </c>
      <c r="AL39" s="629">
        <f t="shared" si="91"/>
        <v>-0.13052617348216197</v>
      </c>
      <c r="AM39" s="634">
        <f t="shared" si="92"/>
        <v>-0.99144486384067421</v>
      </c>
      <c r="AN39" s="581">
        <f t="shared" si="93"/>
        <v>-7.4999989171341337</v>
      </c>
      <c r="AO39" s="582">
        <f t="shared" si="94"/>
        <v>0</v>
      </c>
      <c r="AP39" s="585">
        <f t="shared" si="95"/>
        <v>-89.99990044609406</v>
      </c>
      <c r="AQ39" s="586">
        <f t="shared" si="9"/>
        <v>0.5290650949883583</v>
      </c>
      <c r="AS39" s="52">
        <f t="shared" si="116"/>
        <v>-78</v>
      </c>
      <c r="AT39" s="72">
        <f t="shared" si="10"/>
        <v>-5.9433333333333296E-2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>Nose</v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2.2170000000000001</v>
      </c>
      <c r="IH39" s="731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2.117</v>
      </c>
      <c r="II39" s="734" cm="1">
        <f t="array" ref="II39">IFERROR(ROUND(VALUE(IF($IH39&lt;1,$IH39+LARGE((IF($M$9:$M$150="",0,$M$9:$M$150)-MOD(IF($M$9:$M$150="",0,$M$9:$M$150),1)),1),$IH39)),4),"")</f>
        <v>2.117</v>
      </c>
      <c r="IJ39" s="533">
        <f t="shared" si="112"/>
        <v>1613</v>
      </c>
      <c r="IK39" s="533" t="str">
        <f t="shared" si="66"/>
        <v>CPS-32193r1</v>
      </c>
      <c r="IL39" s="727">
        <f t="shared" si="225"/>
        <v>13</v>
      </c>
      <c r="IM39" s="759">
        <v>4.3644193724554803E-2</v>
      </c>
      <c r="IN39" s="5">
        <f t="shared" si="226"/>
        <v>1.2</v>
      </c>
      <c r="IO39" s="771">
        <v>600</v>
      </c>
      <c r="IP39" s="9">
        <f t="shared" si="227"/>
        <v>-4.3037129799983482</v>
      </c>
      <c r="IQ39" s="5">
        <f t="shared" si="228"/>
        <v>-0.115100347142647</v>
      </c>
      <c r="IR39" s="5">
        <f t="shared" si="71"/>
        <v>0.314</v>
      </c>
      <c r="IS39" s="5">
        <f t="shared" si="229"/>
        <v>0.30330071252667318</v>
      </c>
      <c r="IT39" s="727">
        <f t="shared" si="230"/>
        <v>7.4999989171341195</v>
      </c>
      <c r="IU39" s="9">
        <f t="shared" si="231"/>
        <v>-4.3088494388048071</v>
      </c>
      <c r="IV39" s="5">
        <f t="shared" si="232"/>
        <v>-0.11359999999999996</v>
      </c>
      <c r="IW39" s="5">
        <f t="shared" si="76"/>
        <v>0.25700000000000001</v>
      </c>
      <c r="IX39" s="5">
        <f t="shared" si="233"/>
        <v>0.25700000000000001</v>
      </c>
      <c r="IY39" s="762">
        <f t="shared" si="234"/>
        <v>7.4999989171341337</v>
      </c>
    </row>
    <row r="40" spans="1:267" ht="15" customHeight="1" x14ac:dyDescent="0.25">
      <c r="A40" s="79"/>
      <c r="B40" s="707">
        <v>4.9080013449274045</v>
      </c>
      <c r="C40" s="708">
        <v>1.1863369995204849</v>
      </c>
      <c r="D40" s="709">
        <v>-0.30616255969134548</v>
      </c>
      <c r="E40" s="710">
        <v>-4.1807428707801311E-2</v>
      </c>
      <c r="F40" s="708">
        <v>0.95317027590416981</v>
      </c>
      <c r="G40" s="711">
        <v>0.29953057279284678</v>
      </c>
      <c r="H40" s="710">
        <v>0.26600000000000001</v>
      </c>
      <c r="I40" s="708">
        <v>0.52</v>
      </c>
      <c r="J40" s="570">
        <v>2.2200000000000002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2.2200000000000002</v>
      </c>
      <c r="N40" s="632">
        <f t="shared" si="2"/>
        <v>4.9080013449274045</v>
      </c>
      <c r="O40" s="629">
        <f t="shared" si="3"/>
        <v>1.1863369995204849</v>
      </c>
      <c r="P40" s="633">
        <f t="shared" si="4"/>
        <v>-0.30616255969134548</v>
      </c>
      <c r="Q40" s="585">
        <f t="shared" si="113"/>
        <v>13.588601647602093</v>
      </c>
      <c r="R40" s="629">
        <f t="shared" si="79"/>
        <v>5.049343786893548</v>
      </c>
      <c r="S40" s="634">
        <f t="shared" si="80"/>
        <v>-0.30616255969134548</v>
      </c>
      <c r="T40" s="635">
        <f t="shared" si="81"/>
        <v>1.1863369995204855</v>
      </c>
      <c r="U40" s="629">
        <f t="shared" si="82"/>
        <v>-4.9080013449274045</v>
      </c>
      <c r="V40" s="636">
        <f t="shared" si="114"/>
        <v>-0.30616255969134548</v>
      </c>
      <c r="W40" s="585">
        <f t="shared" si="224"/>
        <v>283.5886016476021</v>
      </c>
      <c r="X40" s="629">
        <f t="shared" si="83"/>
        <v>5.049343786893548</v>
      </c>
      <c r="Y40" s="630">
        <f t="shared" si="223"/>
        <v>-0.30616255969134548</v>
      </c>
      <c r="Z40" s="632">
        <f t="shared" si="6"/>
        <v>4.1807428707801311E-2</v>
      </c>
      <c r="AA40" s="629">
        <f t="shared" si="7"/>
        <v>-0.95317027590416981</v>
      </c>
      <c r="AB40" s="629">
        <f t="shared" si="8"/>
        <v>-0.29953057279284678</v>
      </c>
      <c r="AC40" s="636">
        <f t="shared" si="84"/>
        <v>1</v>
      </c>
      <c r="AD40" s="637">
        <f t="shared" si="115"/>
        <v>4.1807428707801311E-2</v>
      </c>
      <c r="AE40" s="629">
        <f t="shared" si="85"/>
        <v>-0.95317027590416981</v>
      </c>
      <c r="AF40" s="633">
        <f t="shared" si="86"/>
        <v>-0.29953057279284678</v>
      </c>
      <c r="AG40" s="602">
        <f t="shared" si="87"/>
        <v>-72.554848244183944</v>
      </c>
      <c r="AH40" s="603">
        <f t="shared" si="88"/>
        <v>87.603912432060241</v>
      </c>
      <c r="AI40" s="585">
        <f t="shared" si="89"/>
        <v>-72.570589572362437</v>
      </c>
      <c r="AJ40" s="586">
        <f t="shared" si="90"/>
        <v>2.5114661503019193</v>
      </c>
      <c r="AK40" s="635">
        <f t="shared" si="211"/>
        <v>0.93631150801913943</v>
      </c>
      <c r="AL40" s="629">
        <f t="shared" si="91"/>
        <v>-0.18330901754500289</v>
      </c>
      <c r="AM40" s="634">
        <f t="shared" si="92"/>
        <v>-0.29953057279284678</v>
      </c>
      <c r="AN40" s="581">
        <f t="shared" si="93"/>
        <v>-31.466118331841315</v>
      </c>
      <c r="AO40" s="582">
        <f t="shared" si="94"/>
        <v>20.558928315943646</v>
      </c>
      <c r="AP40" s="585">
        <f t="shared" si="95"/>
        <v>-11.07713549730018</v>
      </c>
      <c r="AQ40" s="586">
        <f t="shared" si="9"/>
        <v>0.45148033963605899</v>
      </c>
      <c r="AS40" s="52">
        <f t="shared" si="116"/>
        <v>-76.411398352397896</v>
      </c>
      <c r="AT40" s="72">
        <f t="shared" si="10"/>
        <v>-0.25309908861329139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Nose</v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2.2200000000000002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2.12</v>
      </c>
      <c r="II40" s="734" cm="1">
        <f t="array" ref="II40">IFERROR(ROUND(VALUE(IF($IH40&lt;1,$IH40+LARGE((IF($M$9:$M$150="",0,$M$9:$M$150)-MOD(IF($M$9:$M$150="",0,$M$9:$M$150),1)),1),$IH40)),4),"")</f>
        <v>2.12</v>
      </c>
      <c r="IJ40" s="533">
        <f t="shared" si="112"/>
        <v>1613</v>
      </c>
      <c r="IK40" s="533">
        <f t="shared" si="66"/>
        <v>1313</v>
      </c>
      <c r="IL40" s="727">
        <f t="shared" si="225"/>
        <v>10.761198446275159</v>
      </c>
      <c r="IM40" s="759">
        <v>1.3638190010075201E-2</v>
      </c>
      <c r="IN40" s="5">
        <f t="shared" si="226"/>
        <v>0.44</v>
      </c>
      <c r="IO40" s="771">
        <v>220</v>
      </c>
      <c r="IP40" s="9">
        <f t="shared" si="227"/>
        <v>-5.0333151804785849</v>
      </c>
      <c r="IQ40" s="5">
        <f t="shared" si="228"/>
        <v>-0.34250103298311552</v>
      </c>
      <c r="IR40" s="5">
        <f t="shared" si="71"/>
        <v>0.314</v>
      </c>
      <c r="IS40" s="5">
        <f t="shared" si="229"/>
        <v>0.30220939915683043</v>
      </c>
      <c r="IT40" s="727">
        <f t="shared" si="230"/>
        <v>35.693014846641312</v>
      </c>
      <c r="IU40" s="9">
        <f t="shared" si="231"/>
        <v>-5.049343786893548</v>
      </c>
      <c r="IV40" s="5">
        <f t="shared" si="232"/>
        <v>-0.30616255969134548</v>
      </c>
      <c r="IW40" s="5">
        <f t="shared" si="76"/>
        <v>0.26600000000000001</v>
      </c>
      <c r="IX40" s="5">
        <f t="shared" si="233"/>
        <v>0.24905886113309111</v>
      </c>
      <c r="IY40" s="762">
        <f t="shared" si="234"/>
        <v>31.466118331841315</v>
      </c>
    </row>
    <row r="41" spans="1:267" ht="15" customHeight="1" x14ac:dyDescent="0.25">
      <c r="A41" s="79"/>
      <c r="B41" s="707">
        <v>5.5437357447067566</v>
      </c>
      <c r="C41" s="708">
        <v>1.3509354993950446</v>
      </c>
      <c r="D41" s="709">
        <v>-0.69826012300697426</v>
      </c>
      <c r="E41" s="710">
        <v>3.884807748402494E-2</v>
      </c>
      <c r="F41" s="708">
        <v>0.96900882151816081</v>
      </c>
      <c r="G41" s="711">
        <v>0.24395231233948278</v>
      </c>
      <c r="H41" s="710">
        <v>0.26600000000000001</v>
      </c>
      <c r="I41" s="708">
        <v>0.52</v>
      </c>
      <c r="J41" s="570">
        <v>2.2229999999999999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2.2229999999999999</v>
      </c>
      <c r="N41" s="632">
        <f t="shared" ref="N41:N72" si="240">IF(M41="","",B41)</f>
        <v>5.5437357447067566</v>
      </c>
      <c r="O41" s="629">
        <f t="shared" ref="O41:O72" si="241">IF(M41="","",C41)</f>
        <v>1.3509354993950446</v>
      </c>
      <c r="P41" s="633">
        <f t="shared" ref="P41:P72" si="242">IF(M41="","",D41)</f>
        <v>-0.69826012300697426</v>
      </c>
      <c r="Q41" s="585">
        <f t="shared" si="113"/>
        <v>13.695301632196516</v>
      </c>
      <c r="R41" s="629">
        <f t="shared" si="79"/>
        <v>5.7059646625846812</v>
      </c>
      <c r="S41" s="634">
        <f t="shared" si="80"/>
        <v>-0.69826012300697426</v>
      </c>
      <c r="T41" s="635">
        <f t="shared" si="81"/>
        <v>1.3509354993950415</v>
      </c>
      <c r="U41" s="629">
        <f t="shared" si="82"/>
        <v>-5.5437357447067575</v>
      </c>
      <c r="V41" s="636">
        <f t="shared" si="114"/>
        <v>-0.69826012300697426</v>
      </c>
      <c r="W41" s="585">
        <f t="shared" si="224"/>
        <v>283.6953016321965</v>
      </c>
      <c r="X41" s="629">
        <f t="shared" si="83"/>
        <v>5.7059646625846812</v>
      </c>
      <c r="Y41" s="630">
        <f t="shared" si="223"/>
        <v>-0.69826012300697426</v>
      </c>
      <c r="Z41" s="632">
        <f t="shared" ref="Z41:Z72" si="243">IF(M41="","",-E41)</f>
        <v>-3.884807748402494E-2</v>
      </c>
      <c r="AA41" s="629">
        <f t="shared" ref="AA41:AA72" si="244">IF(M41="","",-F41)</f>
        <v>-0.96900882151816081</v>
      </c>
      <c r="AB41" s="629">
        <f t="shared" ref="AB41:AB72" si="245">IF(M41="","",-G41)</f>
        <v>-0.24395231233948278</v>
      </c>
      <c r="AC41" s="636">
        <f t="shared" si="84"/>
        <v>1</v>
      </c>
      <c r="AD41" s="637">
        <f t="shared" si="115"/>
        <v>-3.884807748402494E-2</v>
      </c>
      <c r="AE41" s="629">
        <f t="shared" si="85"/>
        <v>-0.96900882151816081</v>
      </c>
      <c r="AF41" s="633">
        <f t="shared" si="86"/>
        <v>-0.24395231233948278</v>
      </c>
      <c r="AG41" s="602">
        <f t="shared" si="87"/>
        <v>-75.869184533749149</v>
      </c>
      <c r="AH41" s="603">
        <f t="shared" si="88"/>
        <v>92.226391123281786</v>
      </c>
      <c r="AI41" s="585">
        <f t="shared" si="89"/>
        <v>-75.880072893727075</v>
      </c>
      <c r="AJ41" s="586">
        <f t="shared" si="90"/>
        <v>-2.2957887399340589</v>
      </c>
      <c r="AK41" s="635">
        <f t="shared" si="211"/>
        <v>0.93226087233081156</v>
      </c>
      <c r="AL41" s="629">
        <f t="shared" si="91"/>
        <v>-0.26716462195660157</v>
      </c>
      <c r="AM41" s="634">
        <f t="shared" si="92"/>
        <v>-0.24395231233948278</v>
      </c>
      <c r="AN41" s="581">
        <f t="shared" si="93"/>
        <v>-47.600293704364155</v>
      </c>
      <c r="AO41" s="582">
        <f t="shared" si="94"/>
        <v>21.209968213935866</v>
      </c>
      <c r="AP41" s="585">
        <f t="shared" si="95"/>
        <v>-15.991090372130541</v>
      </c>
      <c r="AQ41" s="586">
        <f t="shared" ref="AQ41:AQ72" si="246">IF(M41="","",DEGREES(ATAN(($AS$5*SIN(RADIANS(90)))/(($X41*2*PI())-($AS$5*COS(RADIANS(90)))))))</f>
        <v>0.39952747993626164</v>
      </c>
      <c r="AS41" s="52">
        <f t="shared" si="116"/>
        <v>-76.304698367803496</v>
      </c>
      <c r="AT41" s="72">
        <f t="shared" ref="AT41:AT72" si="247">IF(M41="","",Y41+(((AS41-$AS$9)*$AS$6)*-1))</f>
        <v>-0.64527074914044402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Taper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2.2229999999999999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2.1230000000000002</v>
      </c>
      <c r="II41" s="734" cm="1">
        <f t="array" ref="II41">IFERROR(ROUND(VALUE(IF($IH41&lt;1,$IH41+LARGE((IF($M$9:$M$150="",0,$M$9:$M$150)-MOD(IF($M$9:$M$150="",0,$M$9:$M$150),1)),1),$IH41)),4),"")</f>
        <v>2.1230000000000002</v>
      </c>
      <c r="IJ41" s="533">
        <f t="shared" si="112"/>
        <v>1613</v>
      </c>
      <c r="IK41" s="533">
        <f t="shared" ref="IK41:IK72" si="382">IF(ISNUMBER($II41),INDEX($K$9:$K$150,MATCH($IG41,$M$9:$M$150,0)),"")</f>
        <v>1313</v>
      </c>
      <c r="IL41" s="727">
        <f t="shared" si="225"/>
        <v>10.038498550620147</v>
      </c>
      <c r="IM41" s="759">
        <v>1.16105837324716E-2</v>
      </c>
      <c r="IN41" s="5">
        <f t="shared" si="226"/>
        <v>0.42</v>
      </c>
      <c r="IO41" s="771">
        <v>210</v>
      </c>
      <c r="IP41" s="9">
        <f t="shared" si="227"/>
        <v>-5.6815171354556808</v>
      </c>
      <c r="IQ41" s="5">
        <f t="shared" si="228"/>
        <v>-0.73210220802025938</v>
      </c>
      <c r="IR41" s="5">
        <f t="shared" ref="IR41:IR72" si="383">IF(ISNUMBER($II41),INDEX($H$9:$H$150,MATCH($II41,$M$9:$M$150,0)),"")</f>
        <v>0.314</v>
      </c>
      <c r="IS41" s="5">
        <f t="shared" si="229"/>
        <v>0.30090199220189218</v>
      </c>
      <c r="IT41" s="727">
        <f t="shared" si="230"/>
        <v>53.350875144741032</v>
      </c>
      <c r="IU41" s="9">
        <f t="shared" si="231"/>
        <v>-5.7059646625846812</v>
      </c>
      <c r="IV41" s="5">
        <f t="shared" si="232"/>
        <v>-0.69826012300697426</v>
      </c>
      <c r="IW41" s="5">
        <f t="shared" ref="IW41:IW72" si="384">IF(ISNUMBER($II41),$H41,"")</f>
        <v>0.26600000000000001</v>
      </c>
      <c r="IX41" s="5">
        <f t="shared" si="233"/>
        <v>0.24798139203999589</v>
      </c>
      <c r="IY41" s="762">
        <f t="shared" si="234"/>
        <v>47.600293704364155</v>
      </c>
    </row>
    <row r="42" spans="1:267" ht="15" customHeight="1" x14ac:dyDescent="0.25">
      <c r="A42" s="79"/>
      <c r="B42" s="707">
        <v>6.0792036167182921</v>
      </c>
      <c r="C42" s="708">
        <v>1.4590614267384909</v>
      </c>
      <c r="D42" s="709">
        <v>-1.2339281577736121</v>
      </c>
      <c r="E42" s="710">
        <v>0.10538224821422353</v>
      </c>
      <c r="F42" s="708">
        <v>0.97933147022136624</v>
      </c>
      <c r="G42" s="711">
        <v>0.17263966286856866</v>
      </c>
      <c r="H42" s="710">
        <v>0.26600000000000001</v>
      </c>
      <c r="I42" s="708">
        <v>0.52</v>
      </c>
      <c r="J42" s="570">
        <v>2.226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1313</v>
      </c>
      <c r="L42" s="320"/>
      <c r="M42" s="168">
        <f t="shared" si="239"/>
        <v>2.226</v>
      </c>
      <c r="N42" s="632">
        <f t="shared" si="240"/>
        <v>6.0792036167182921</v>
      </c>
      <c r="O42" s="629">
        <f t="shared" si="241"/>
        <v>1.4590614267384909</v>
      </c>
      <c r="P42" s="633">
        <f t="shared" si="242"/>
        <v>-1.2339281577736121</v>
      </c>
      <c r="Q42" s="585">
        <f t="shared" si="113"/>
        <v>13.496201660942987</v>
      </c>
      <c r="R42" s="629">
        <f t="shared" ref="R42:R47" si="385">IF(M42="","",SQRT(N42^2+O42^2))</f>
        <v>6.2518458762606199</v>
      </c>
      <c r="S42" s="634">
        <f t="shared" ref="S42:S47" si="386">IF(M42="","",P42)</f>
        <v>-1.2339281577736121</v>
      </c>
      <c r="T42" s="635">
        <f t="shared" ref="T42:T47" si="387">IF(M42="","",X42*COS(RADIANS(W42)))</f>
        <v>1.4590614267384876</v>
      </c>
      <c r="U42" s="629">
        <f t="shared" ref="U42:U47" si="388">IF(M42="","",X42*SIN(RADIANS(W42)))</f>
        <v>-6.079203616718293</v>
      </c>
      <c r="V42" s="636">
        <f t="shared" ref="V42:V47" si="389">IF(M42="","",Y42)</f>
        <v>-1.2339281577736121</v>
      </c>
      <c r="W42" s="585">
        <f t="shared" si="224"/>
        <v>283.49620166094297</v>
      </c>
      <c r="X42" s="629">
        <f t="shared" ref="X42:X47" si="390">IF(M42="","",R42)</f>
        <v>6.2518458762606199</v>
      </c>
      <c r="Y42" s="630">
        <f t="shared" si="223"/>
        <v>-1.2339281577736121</v>
      </c>
      <c r="Z42" s="632">
        <f t="shared" si="243"/>
        <v>-0.10538224821422353</v>
      </c>
      <c r="AA42" s="629">
        <f t="shared" si="244"/>
        <v>-0.97933147022136624</v>
      </c>
      <c r="AB42" s="629">
        <f t="shared" si="245"/>
        <v>-0.17263966286856866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-0.10538224821422353</v>
      </c>
      <c r="AE42" s="629">
        <f t="shared" ref="AE42:AE47" si="393">IF(M42="","",AA42*(1/SQRT(Z42^2+AA42^2+AB42^2)))</f>
        <v>-0.97933147022136624</v>
      </c>
      <c r="AF42" s="633">
        <f t="shared" ref="AF42:AF47" si="394">IF(M42="","",AB42*(1/SQRT(Z42^2+AA42^2+AB42^2)))</f>
        <v>-0.17263966286856866</v>
      </c>
      <c r="AG42" s="602">
        <f t="shared" ref="AG42:AG47" si="395">IF(M42="","",DEGREES(ATAN2(-AF42,AE42)))</f>
        <v>-80.002434109264158</v>
      </c>
      <c r="AH42" s="603">
        <f t="shared" ref="AH42:AH47" si="396">IF(M42="","",DEGREES(ACOS(AD42)))</f>
        <v>96.049189954944708</v>
      </c>
      <c r="AI42" s="585">
        <f t="shared" ref="AI42:AI47" si="397">IF(M42="","",DEGREES(-ACOS(-AF42)))</f>
        <v>-80.05866976101629</v>
      </c>
      <c r="AJ42" s="586">
        <f t="shared" ref="AJ42:AJ47" si="398">IF(M42="","",DEGREES(ATAN2(-AE42,AD42)))</f>
        <v>-6.141754941106913</v>
      </c>
      <c r="AK42" s="635">
        <f t="shared" ref="AK42:AK47" si="399">IF(M42="","",(COS(RADIANS((90-$Q$8)-W42))*AD42)+(-SIN(RADIANS((90-$Q$8)-W42))*AE42))</f>
        <v>0.92769341360865676</v>
      </c>
      <c r="AL42" s="629">
        <f t="shared" ref="AL42:AL47" si="400">IF(M42="","",(SIN(RADIANS((90-$Q$8)-W42))*AD42)+(COS(RADIANS((90-$Q$8)-W42))*AE42))</f>
        <v>-0.33102942037188299</v>
      </c>
      <c r="AM42" s="634">
        <f t="shared" ref="AM42:AM47" si="401">IF(M42="","",AF42)</f>
        <v>-0.17263966286856866</v>
      </c>
      <c r="AN42" s="581">
        <f t="shared" ref="AN42:AN47" si="402">IF(M42="","",DEGREES(ATAN2(-AM42,AL42)))</f>
        <v>-62.456894918338378</v>
      </c>
      <c r="AO42" s="582">
        <f t="shared" si="94"/>
        <v>21.921931687200022</v>
      </c>
      <c r="AP42" s="585">
        <f t="shared" ref="AP42:AP47" si="403">IF(M42="","",DEGREES(ATAN2(AK42,AL42)))</f>
        <v>-19.637956602049869</v>
      </c>
      <c r="AQ42" s="586">
        <f t="shared" si="246"/>
        <v>0.36464364254306847</v>
      </c>
      <c r="AS42" s="52">
        <f t="shared" si="116"/>
        <v>-76.503798339057028</v>
      </c>
      <c r="AT42" s="72">
        <f t="shared" si="247"/>
        <v>-1.1808005200381557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Taper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2.226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2.1259999999999999</v>
      </c>
      <c r="II42" s="734" cm="1">
        <f t="array" ref="II42">IFERROR(ROUND(VALUE(IF($IH42&lt;1,$IH42+LARGE((IF($M$9:$M$150="",0,$M$9:$M$150)-MOD(IF($M$9:$M$150="",0,$M$9:$M$150),1)),1),$IH42)),4),"")</f>
        <v>2.1259999999999999</v>
      </c>
      <c r="IJ42" s="533">
        <f t="shared" si="112"/>
        <v>1613</v>
      </c>
      <c r="IK42" s="533">
        <f t="shared" si="382"/>
        <v>1313</v>
      </c>
      <c r="IL42" s="727">
        <f t="shared" si="225"/>
        <v>9.6360986087195215</v>
      </c>
      <c r="IM42" s="759">
        <v>9.6835837243455895E-3</v>
      </c>
      <c r="IN42" s="5">
        <f t="shared" si="226"/>
        <v>0.42</v>
      </c>
      <c r="IO42" s="771">
        <v>210</v>
      </c>
      <c r="IP42" s="9">
        <f t="shared" si="227"/>
        <v>-6.2196187583701743</v>
      </c>
      <c r="IQ42" s="5">
        <f t="shared" si="228"/>
        <v>-1.2634038104258916</v>
      </c>
      <c r="IR42" s="5">
        <f t="shared" si="383"/>
        <v>0.314</v>
      </c>
      <c r="IS42" s="5">
        <f t="shared" si="229"/>
        <v>0.29942777241042956</v>
      </c>
      <c r="IT42" s="727">
        <f t="shared" si="230"/>
        <v>69.140960017719465</v>
      </c>
      <c r="IU42" s="9">
        <f t="shared" si="231"/>
        <v>-6.2518458762606199</v>
      </c>
      <c r="IV42" s="5">
        <f t="shared" si="232"/>
        <v>-1.2339281577736121</v>
      </c>
      <c r="IW42" s="5">
        <f t="shared" si="384"/>
        <v>0.26600000000000001</v>
      </c>
      <c r="IX42" s="5">
        <f t="shared" si="233"/>
        <v>0.24676644801990272</v>
      </c>
      <c r="IY42" s="762">
        <f t="shared" si="234"/>
        <v>62.456894918338378</v>
      </c>
    </row>
    <row r="43" spans="1:267" ht="15" customHeight="1" x14ac:dyDescent="0.25">
      <c r="A43" s="79"/>
      <c r="B43" s="707">
        <v>6.4707380167026223</v>
      </c>
      <c r="C43" s="708">
        <v>1.5113726873047144</v>
      </c>
      <c r="D43" s="709">
        <v>-1.9094690525986644</v>
      </c>
      <c r="E43" s="710">
        <v>0.71218486885181842</v>
      </c>
      <c r="F43" s="708">
        <v>0.16634551782893439</v>
      </c>
      <c r="G43" s="711">
        <v>0.68199844668205944</v>
      </c>
      <c r="H43" s="710">
        <v>0.25700000000000001</v>
      </c>
      <c r="I43" s="708">
        <v>0.41499999999999992</v>
      </c>
      <c r="J43" s="570">
        <v>2.2290000000000001</v>
      </c>
      <c r="K43" s="865" t="str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CPS-32193r1</v>
      </c>
      <c r="L43" s="320"/>
      <c r="M43" s="168">
        <f t="shared" si="239"/>
        <v>2.2290000000000001</v>
      </c>
      <c r="N43" s="632">
        <f t="shared" si="240"/>
        <v>6.4707380167026223</v>
      </c>
      <c r="O43" s="629">
        <f t="shared" si="241"/>
        <v>1.5113726873047144</v>
      </c>
      <c r="P43" s="633">
        <f t="shared" si="242"/>
        <v>-1.9094690525986644</v>
      </c>
      <c r="Q43" s="585">
        <f t="shared" si="113"/>
        <v>13.146901711375664</v>
      </c>
      <c r="R43" s="629">
        <f t="shared" si="385"/>
        <v>6.644900140764439</v>
      </c>
      <c r="S43" s="634">
        <f t="shared" si="386"/>
        <v>-1.9094690525986644</v>
      </c>
      <c r="T43" s="635">
        <f t="shared" si="387"/>
        <v>1.5113726873047133</v>
      </c>
      <c r="U43" s="629">
        <f t="shared" si="388"/>
        <v>-6.4707380167026232</v>
      </c>
      <c r="V43" s="636">
        <f t="shared" si="389"/>
        <v>-1.9094690525986644</v>
      </c>
      <c r="W43" s="585">
        <f t="shared" si="224"/>
        <v>283.14690171137568</v>
      </c>
      <c r="X43" s="629">
        <f t="shared" si="390"/>
        <v>6.644900140764439</v>
      </c>
      <c r="Y43" s="630">
        <f t="shared" si="223"/>
        <v>-1.9094690525986644</v>
      </c>
      <c r="Z43" s="632">
        <f t="shared" si="243"/>
        <v>-0.71218486885181842</v>
      </c>
      <c r="AA43" s="629">
        <f t="shared" si="244"/>
        <v>-0.16634551782893439</v>
      </c>
      <c r="AB43" s="629">
        <f t="shared" si="245"/>
        <v>-0.68199844668205944</v>
      </c>
      <c r="AC43" s="636">
        <f t="shared" si="391"/>
        <v>1</v>
      </c>
      <c r="AD43" s="637">
        <f t="shared" si="392"/>
        <v>-0.71218486885181842</v>
      </c>
      <c r="AE43" s="629">
        <f t="shared" si="393"/>
        <v>-0.16634551782893439</v>
      </c>
      <c r="AF43" s="633">
        <f t="shared" si="394"/>
        <v>-0.68199844668205944</v>
      </c>
      <c r="AG43" s="602">
        <f t="shared" si="395"/>
        <v>-13.707312537647384</v>
      </c>
      <c r="AH43" s="603">
        <f t="shared" si="396"/>
        <v>135.4129614526835</v>
      </c>
      <c r="AI43" s="585">
        <f t="shared" si="397"/>
        <v>-46.99999321404195</v>
      </c>
      <c r="AJ43" s="586">
        <f t="shared" si="398"/>
        <v>-76.853080521035551</v>
      </c>
      <c r="AK43" s="635">
        <f t="shared" si="399"/>
        <v>2.2679489683485876E-7</v>
      </c>
      <c r="AL43" s="629">
        <f t="shared" si="400"/>
        <v>-0.73135362084507838</v>
      </c>
      <c r="AM43" s="634">
        <f t="shared" si="401"/>
        <v>-0.68199844668205944</v>
      </c>
      <c r="AN43" s="581">
        <f t="shared" si="402"/>
        <v>-46.999993214040579</v>
      </c>
      <c r="AO43" s="582">
        <f t="shared" si="94"/>
        <v>0</v>
      </c>
      <c r="AP43" s="585">
        <f t="shared" si="403"/>
        <v>-89.999982232411199</v>
      </c>
      <c r="AQ43" s="586">
        <f t="shared" si="246"/>
        <v>0.34307504072482714</v>
      </c>
      <c r="AS43" s="52">
        <f t="shared" ref="AS43:AS74" si="406">IF(G43="","",IF(AND(W43&lt;(AS42+180),W43&gt;(AS42-180)),W43,IF(W43&gt;(AS42+180),W43-360,IF(W43&lt;(AS42-180),W43+360,"Error"))))</f>
        <v>-76.853098288624324</v>
      </c>
      <c r="AT43" s="72">
        <f t="shared" si="247"/>
        <v>-1.8560988454537863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Taper</v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2.2290000000000001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2.129</v>
      </c>
      <c r="II43" s="734" cm="1">
        <f t="array" ref="II43">IFERROR(ROUND(VALUE(IF($IH43&lt;1,$IH43+LARGE((IF($M$9:$M$150="",0,$M$9:$M$150)-MOD(IF($M$9:$M$150="",0,$M$9:$M$150),1)),1),$IH43)),4),"")</f>
        <v>2.129</v>
      </c>
      <c r="IJ43" s="533">
        <f t="shared" si="112"/>
        <v>1613</v>
      </c>
      <c r="IK43" s="533" t="str">
        <f t="shared" si="382"/>
        <v>CPS-32193r1</v>
      </c>
      <c r="IL43" s="727">
        <f t="shared" si="225"/>
        <v>9.501898628095546</v>
      </c>
      <c r="IM43" s="759">
        <v>1.25554492482836E-2</v>
      </c>
      <c r="IN43" s="5">
        <f t="shared" si="226"/>
        <v>1.52</v>
      </c>
      <c r="IO43" s="771">
        <v>760</v>
      </c>
      <c r="IP43" s="9">
        <f t="shared" si="227"/>
        <v>-6.6161199542177824</v>
      </c>
      <c r="IQ43" s="5">
        <f t="shared" si="228"/>
        <v>-1.9035057409733149</v>
      </c>
      <c r="IR43" s="5">
        <f t="shared" si="383"/>
        <v>0.314</v>
      </c>
      <c r="IS43" s="5">
        <f t="shared" si="229"/>
        <v>0.2981150561394974</v>
      </c>
      <c r="IT43" s="727">
        <f t="shared" si="230"/>
        <v>82.896424563966704</v>
      </c>
      <c r="IU43" s="9">
        <f t="shared" si="231"/>
        <v>-6.644900140764439</v>
      </c>
      <c r="IV43" s="5">
        <f t="shared" si="232"/>
        <v>-1.9094690525986644</v>
      </c>
      <c r="IW43" s="5">
        <f t="shared" si="384"/>
        <v>0.25700000000000001</v>
      </c>
      <c r="IX43" s="5">
        <f t="shared" si="233"/>
        <v>0.25700000000000001</v>
      </c>
      <c r="IY43" s="762">
        <f t="shared" si="234"/>
        <v>46.999993214040579</v>
      </c>
    </row>
    <row r="44" spans="1:267" ht="15" customHeight="1" x14ac:dyDescent="0.25">
      <c r="A44" s="79"/>
      <c r="B44" s="707">
        <v>6.7168337076390134</v>
      </c>
      <c r="C44" s="708">
        <v>1.5195071431961664</v>
      </c>
      <c r="D44" s="709">
        <v>-2.616927002608735</v>
      </c>
      <c r="E44" s="710">
        <v>0.81427164454388401</v>
      </c>
      <c r="F44" s="708">
        <v>0.1842077973162885</v>
      </c>
      <c r="G44" s="711">
        <v>0.55048085915831801</v>
      </c>
      <c r="H44" s="710">
        <v>0.25700000000000001</v>
      </c>
      <c r="I44" s="708">
        <v>0.41499999999999992</v>
      </c>
      <c r="J44" s="570">
        <v>2.2320000000000002</v>
      </c>
      <c r="K44" s="865" t="str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CPS-32193r1</v>
      </c>
      <c r="L44" s="320"/>
      <c r="M44" s="168">
        <f t="shared" si="239"/>
        <v>2.2320000000000002</v>
      </c>
      <c r="N44" s="632">
        <f t="shared" si="240"/>
        <v>6.7168337076390134</v>
      </c>
      <c r="O44" s="629">
        <f t="shared" si="241"/>
        <v>1.5195071431961664</v>
      </c>
      <c r="P44" s="633">
        <f t="shared" si="242"/>
        <v>-2.616927002608735</v>
      </c>
      <c r="Q44" s="585">
        <f t="shared" si="113"/>
        <v>12.747101769099638</v>
      </c>
      <c r="R44" s="629">
        <f t="shared" si="385"/>
        <v>6.886563512689027</v>
      </c>
      <c r="S44" s="634">
        <f t="shared" si="386"/>
        <v>-2.616927002608735</v>
      </c>
      <c r="T44" s="635">
        <f t="shared" si="387"/>
        <v>1.5195071431961642</v>
      </c>
      <c r="U44" s="629">
        <f t="shared" si="388"/>
        <v>-6.7168337076390134</v>
      </c>
      <c r="V44" s="636">
        <f t="shared" si="389"/>
        <v>-2.616927002608735</v>
      </c>
      <c r="W44" s="585">
        <f t="shared" si="224"/>
        <v>282.74710176909963</v>
      </c>
      <c r="X44" s="629">
        <f t="shared" si="390"/>
        <v>6.886563512689027</v>
      </c>
      <c r="Y44" s="630">
        <f t="shared" si="223"/>
        <v>-2.616927002608735</v>
      </c>
      <c r="Z44" s="632">
        <f t="shared" si="243"/>
        <v>-0.81427164454388401</v>
      </c>
      <c r="AA44" s="629">
        <f t="shared" si="244"/>
        <v>-0.1842077973162885</v>
      </c>
      <c r="AB44" s="629">
        <f t="shared" si="245"/>
        <v>-0.55048085915831801</v>
      </c>
      <c r="AC44" s="636">
        <f t="shared" si="391"/>
        <v>1</v>
      </c>
      <c r="AD44" s="637">
        <f t="shared" si="392"/>
        <v>-0.81427164454388401</v>
      </c>
      <c r="AE44" s="629">
        <f t="shared" si="393"/>
        <v>-0.1842077973162885</v>
      </c>
      <c r="AF44" s="633">
        <f t="shared" si="394"/>
        <v>-0.55048085915831801</v>
      </c>
      <c r="AG44" s="602">
        <f t="shared" si="395"/>
        <v>-18.501823230111903</v>
      </c>
      <c r="AH44" s="603">
        <f t="shared" si="396"/>
        <v>144.51540728893639</v>
      </c>
      <c r="AI44" s="585">
        <f t="shared" si="397"/>
        <v>-56.599991827973149</v>
      </c>
      <c r="AJ44" s="586">
        <f t="shared" si="398"/>
        <v>-77.252882665918776</v>
      </c>
      <c r="AK44" s="635">
        <f t="shared" si="399"/>
        <v>2.2679489697363664E-7</v>
      </c>
      <c r="AL44" s="629">
        <f t="shared" si="400"/>
        <v>-0.8348477847489737</v>
      </c>
      <c r="AM44" s="634">
        <f t="shared" si="401"/>
        <v>-0.55048085915831801</v>
      </c>
      <c r="AN44" s="581">
        <f t="shared" si="402"/>
        <v>-56.599991827972183</v>
      </c>
      <c r="AO44" s="582">
        <f t="shared" si="94"/>
        <v>0</v>
      </c>
      <c r="AP44" s="585">
        <f t="shared" si="403"/>
        <v>-89.999984435018391</v>
      </c>
      <c r="AQ44" s="586">
        <f t="shared" si="246"/>
        <v>0.33103611994831372</v>
      </c>
      <c r="AS44" s="52">
        <f t="shared" si="406"/>
        <v>-77.252898230900371</v>
      </c>
      <c r="AT44" s="72">
        <f t="shared" si="247"/>
        <v>-2.5632791566150543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>Taper</v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2.2320000000000002</v>
      </c>
      <c r="IH44" s="731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2.1320000000000001</v>
      </c>
      <c r="II44" s="734" cm="1">
        <f t="array" ref="II44">IFERROR(ROUND(VALUE(IF($IH44&lt;1,$IH44+LARGE((IF($M$9:$M$150="",0,$M$9:$M$150)-MOD(IF($M$9:$M$150="",0,$M$9:$M$150),1)),1),$IH44)),4),"")</f>
        <v>2.1320000000000001</v>
      </c>
      <c r="IJ44" s="533">
        <f t="shared" si="112"/>
        <v>1613</v>
      </c>
      <c r="IK44" s="533" t="str">
        <f t="shared" si="382"/>
        <v>CPS-32193r1</v>
      </c>
      <c r="IL44" s="727">
        <f t="shared" si="225"/>
        <v>9.5948986146680681</v>
      </c>
      <c r="IM44" s="759">
        <v>5.5915807470541101E-3</v>
      </c>
      <c r="IN44" s="5">
        <f t="shared" si="226"/>
        <v>1.56</v>
      </c>
      <c r="IO44" s="771">
        <v>780</v>
      </c>
      <c r="IP44" s="9">
        <f t="shared" si="227"/>
        <v>-6.8562206783615665</v>
      </c>
      <c r="IQ44" s="5">
        <f t="shared" si="228"/>
        <v>-2.6040078536876865</v>
      </c>
      <c r="IR44" s="5">
        <f t="shared" si="383"/>
        <v>0.314</v>
      </c>
      <c r="IS44" s="5">
        <f t="shared" si="229"/>
        <v>0.29426548851033424</v>
      </c>
      <c r="IT44" s="727">
        <f t="shared" si="230"/>
        <v>91.400669191632119</v>
      </c>
      <c r="IU44" s="9">
        <f t="shared" si="231"/>
        <v>-6.886563512689027</v>
      </c>
      <c r="IV44" s="5">
        <f t="shared" si="232"/>
        <v>-2.616927002608735</v>
      </c>
      <c r="IW44" s="5">
        <f t="shared" si="384"/>
        <v>0.25700000000000001</v>
      </c>
      <c r="IX44" s="5">
        <f t="shared" si="233"/>
        <v>0.25700000000000001</v>
      </c>
      <c r="IY44" s="762">
        <f t="shared" si="234"/>
        <v>56.599991827972183</v>
      </c>
    </row>
    <row r="45" spans="1:267" ht="15" customHeight="1" x14ac:dyDescent="0.25">
      <c r="A45" s="79"/>
      <c r="B45" s="707">
        <v>0.68546821380193623</v>
      </c>
      <c r="C45" s="708">
        <v>-0.47997061545393316</v>
      </c>
      <c r="D45" s="709">
        <v>-0.72450218509859055</v>
      </c>
      <c r="E45" s="710">
        <v>0.49916002344389959</v>
      </c>
      <c r="F45" s="708">
        <v>0.82966215254342945</v>
      </c>
      <c r="G45" s="711">
        <v>0.24999996726497567</v>
      </c>
      <c r="H45" s="710">
        <v>0.314</v>
      </c>
      <c r="I45" s="708">
        <v>0.52</v>
      </c>
      <c r="J45" s="570">
        <v>3.1030000000000002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3.1030000000000002</v>
      </c>
      <c r="N45" s="632">
        <f t="shared" si="240"/>
        <v>0.68546821380193623</v>
      </c>
      <c r="O45" s="629">
        <f t="shared" si="241"/>
        <v>-0.47997061545393316</v>
      </c>
      <c r="P45" s="633">
        <f t="shared" si="242"/>
        <v>-0.72450218509859055</v>
      </c>
      <c r="Q45" s="585">
        <f t="shared" si="113"/>
        <v>324.9999660702029</v>
      </c>
      <c r="R45" s="629">
        <f t="shared" si="385"/>
        <v>0.83680252379641185</v>
      </c>
      <c r="S45" s="634">
        <f t="shared" si="386"/>
        <v>-0.72450218509859055</v>
      </c>
      <c r="T45" s="635">
        <f t="shared" si="387"/>
        <v>-0.47997061545393332</v>
      </c>
      <c r="U45" s="629">
        <f t="shared" si="388"/>
        <v>-0.68546821380193612</v>
      </c>
      <c r="V45" s="636">
        <f t="shared" si="389"/>
        <v>-0.72450218509859055</v>
      </c>
      <c r="W45" s="585">
        <f t="shared" si="224"/>
        <v>234.9999660702029</v>
      </c>
      <c r="X45" s="629">
        <f t="shared" si="390"/>
        <v>0.83680252379641185</v>
      </c>
      <c r="Y45" s="630">
        <f t="shared" si="223"/>
        <v>-0.72450218509859055</v>
      </c>
      <c r="Z45" s="632">
        <f t="shared" si="243"/>
        <v>-0.49916002344389959</v>
      </c>
      <c r="AA45" s="629">
        <f t="shared" si="244"/>
        <v>-0.82966215254342945</v>
      </c>
      <c r="AB45" s="629">
        <f t="shared" si="245"/>
        <v>-0.24999996726497567</v>
      </c>
      <c r="AC45" s="636">
        <f t="shared" si="391"/>
        <v>1</v>
      </c>
      <c r="AD45" s="637">
        <f t="shared" si="392"/>
        <v>-0.49916002344389959</v>
      </c>
      <c r="AE45" s="629">
        <f t="shared" si="393"/>
        <v>-0.82966215254342945</v>
      </c>
      <c r="AF45" s="633">
        <f t="shared" si="394"/>
        <v>-0.24999996726497567</v>
      </c>
      <c r="AG45" s="602">
        <f t="shared" si="395"/>
        <v>-73.231004817230939</v>
      </c>
      <c r="AH45" s="603">
        <f t="shared" si="396"/>
        <v>119.94444314080611</v>
      </c>
      <c r="AI45" s="585">
        <f t="shared" si="397"/>
        <v>-75.522489751159455</v>
      </c>
      <c r="AJ45" s="586">
        <f t="shared" si="398"/>
        <v>-31.032904284710561</v>
      </c>
      <c r="AK45" s="635">
        <f t="shared" si="399"/>
        <v>0.96592583607220739</v>
      </c>
      <c r="AL45" s="629">
        <f t="shared" si="400"/>
        <v>6.6987279208207018E-2</v>
      </c>
      <c r="AM45" s="634">
        <f t="shared" si="401"/>
        <v>-0.24999996726497567</v>
      </c>
      <c r="AN45" s="581">
        <f t="shared" si="402"/>
        <v>14.999997834268227</v>
      </c>
      <c r="AO45" s="582">
        <f t="shared" si="94"/>
        <v>14.999997834268255</v>
      </c>
      <c r="AP45" s="585">
        <f t="shared" si="403"/>
        <v>3.967129645086561</v>
      </c>
      <c r="AQ45" s="586">
        <f t="shared" si="246"/>
        <v>2.722280160293995</v>
      </c>
      <c r="AS45" s="52">
        <f t="shared" si="406"/>
        <v>-125.0000339297971</v>
      </c>
      <c r="AT45" s="72">
        <f t="shared" si="247"/>
        <v>-0.6376966059806759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3.1030000000000002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1.2931986963780076</v>
      </c>
      <c r="C46" s="708">
        <v>-0.90550861689426898</v>
      </c>
      <c r="D46" s="709">
        <v>-0.5257015855159819</v>
      </c>
      <c r="E46" s="710">
        <v>0.49916002344389948</v>
      </c>
      <c r="F46" s="708">
        <v>0.82966215254342957</v>
      </c>
      <c r="G46" s="711">
        <v>0.24999996726497567</v>
      </c>
      <c r="H46" s="710">
        <v>0.314</v>
      </c>
      <c r="I46" s="708">
        <v>0.52</v>
      </c>
      <c r="J46" s="570">
        <v>3.1059999999999999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3.1059999999999999</v>
      </c>
      <c r="N46" s="632">
        <f t="shared" si="240"/>
        <v>1.2931986963780076</v>
      </c>
      <c r="O46" s="629">
        <f t="shared" si="241"/>
        <v>-0.90550861689426898</v>
      </c>
      <c r="P46" s="633">
        <f t="shared" si="242"/>
        <v>-0.5257015855159819</v>
      </c>
      <c r="Q46" s="585">
        <f t="shared" si="113"/>
        <v>324.9999660702029</v>
      </c>
      <c r="R46" s="629">
        <f t="shared" si="385"/>
        <v>1.5787047613735603</v>
      </c>
      <c r="S46" s="634">
        <f t="shared" si="386"/>
        <v>-0.5257015855159819</v>
      </c>
      <c r="T46" s="635">
        <f t="shared" si="387"/>
        <v>-0.9055086168942692</v>
      </c>
      <c r="U46" s="629">
        <f t="shared" si="388"/>
        <v>-1.2931986963780073</v>
      </c>
      <c r="V46" s="636">
        <f t="shared" si="389"/>
        <v>-0.5257015855159819</v>
      </c>
      <c r="W46" s="585">
        <f t="shared" si="224"/>
        <v>234.9999660702029</v>
      </c>
      <c r="X46" s="629">
        <f t="shared" si="390"/>
        <v>1.5787047613735603</v>
      </c>
      <c r="Y46" s="630">
        <f t="shared" si="223"/>
        <v>-0.5257015855159819</v>
      </c>
      <c r="Z46" s="632">
        <f t="shared" si="243"/>
        <v>-0.49916002344389948</v>
      </c>
      <c r="AA46" s="629">
        <f t="shared" si="244"/>
        <v>-0.82966215254342957</v>
      </c>
      <c r="AB46" s="629">
        <f t="shared" si="245"/>
        <v>-0.24999996726497567</v>
      </c>
      <c r="AC46" s="636">
        <f t="shared" si="391"/>
        <v>1</v>
      </c>
      <c r="AD46" s="637">
        <f t="shared" si="392"/>
        <v>-0.49916002344389948</v>
      </c>
      <c r="AE46" s="629">
        <f t="shared" si="393"/>
        <v>-0.82966215254342957</v>
      </c>
      <c r="AF46" s="633">
        <f t="shared" si="394"/>
        <v>-0.24999996726497567</v>
      </c>
      <c r="AG46" s="602">
        <f t="shared" si="395"/>
        <v>-73.231004817230939</v>
      </c>
      <c r="AH46" s="603">
        <f t="shared" si="396"/>
        <v>119.94444314080609</v>
      </c>
      <c r="AI46" s="585">
        <f t="shared" si="397"/>
        <v>-75.522489751159455</v>
      </c>
      <c r="AJ46" s="586">
        <f t="shared" si="398"/>
        <v>-31.032904284710551</v>
      </c>
      <c r="AK46" s="635">
        <f t="shared" si="399"/>
        <v>0.9659258360722075</v>
      </c>
      <c r="AL46" s="629">
        <f t="shared" si="400"/>
        <v>6.6987279208207184E-2</v>
      </c>
      <c r="AM46" s="634">
        <f t="shared" si="401"/>
        <v>-0.24999996726497567</v>
      </c>
      <c r="AN46" s="581">
        <f t="shared" si="402"/>
        <v>14.999997834268262</v>
      </c>
      <c r="AO46" s="582">
        <f t="shared" si="94"/>
        <v>14.99999783426823</v>
      </c>
      <c r="AP46" s="585">
        <f t="shared" si="403"/>
        <v>3.9671296450865703</v>
      </c>
      <c r="AQ46" s="586">
        <f t="shared" si="246"/>
        <v>1.4437431042510318</v>
      </c>
      <c r="AS46" s="52">
        <f t="shared" si="406"/>
        <v>-125.0000339297971</v>
      </c>
      <c r="AT46" s="72">
        <f t="shared" si="247"/>
        <v>-0.43889600639806725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3.1059999999999999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1.9009291789540788</v>
      </c>
      <c r="C47" s="708">
        <v>-1.3310466183346052</v>
      </c>
      <c r="D47" s="709">
        <v>-0.32690098593337363</v>
      </c>
      <c r="E47" s="710">
        <v>0.49916002344389948</v>
      </c>
      <c r="F47" s="708">
        <v>0.82966215254342957</v>
      </c>
      <c r="G47" s="711">
        <v>0.24999996726497567</v>
      </c>
      <c r="H47" s="710">
        <v>0.314</v>
      </c>
      <c r="I47" s="708">
        <v>0.52</v>
      </c>
      <c r="J47" s="570">
        <v>3.109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3.109</v>
      </c>
      <c r="N47" s="632">
        <f t="shared" si="240"/>
        <v>1.9009291789540788</v>
      </c>
      <c r="O47" s="629">
        <f t="shared" si="241"/>
        <v>-1.3310466183346052</v>
      </c>
      <c r="P47" s="633">
        <f t="shared" si="242"/>
        <v>-0.32690098593337363</v>
      </c>
      <c r="Q47" s="585">
        <f t="shared" si="113"/>
        <v>324.9999660702029</v>
      </c>
      <c r="R47" s="629">
        <f t="shared" si="385"/>
        <v>2.320606998950709</v>
      </c>
      <c r="S47" s="634">
        <f t="shared" si="386"/>
        <v>-0.32690098593337363</v>
      </c>
      <c r="T47" s="635">
        <f t="shared" si="387"/>
        <v>-1.3310466183346052</v>
      </c>
      <c r="U47" s="629">
        <f t="shared" si="388"/>
        <v>-1.9009291789540788</v>
      </c>
      <c r="V47" s="636">
        <f t="shared" si="389"/>
        <v>-0.32690098593337363</v>
      </c>
      <c r="W47" s="585">
        <f t="shared" si="224"/>
        <v>234.9999660702029</v>
      </c>
      <c r="X47" s="629">
        <f t="shared" si="390"/>
        <v>2.320606998950709</v>
      </c>
      <c r="Y47" s="630">
        <f t="shared" si="223"/>
        <v>-0.32690098593337363</v>
      </c>
      <c r="Z47" s="632">
        <f t="shared" si="243"/>
        <v>-0.49916002344389948</v>
      </c>
      <c r="AA47" s="629">
        <f t="shared" si="244"/>
        <v>-0.82966215254342957</v>
      </c>
      <c r="AB47" s="629">
        <f t="shared" si="245"/>
        <v>-0.24999996726497567</v>
      </c>
      <c r="AC47" s="636">
        <f t="shared" si="391"/>
        <v>1</v>
      </c>
      <c r="AD47" s="637">
        <f t="shared" si="392"/>
        <v>-0.49916002344389948</v>
      </c>
      <c r="AE47" s="629">
        <f t="shared" si="393"/>
        <v>-0.82966215254342957</v>
      </c>
      <c r="AF47" s="633">
        <f t="shared" si="394"/>
        <v>-0.24999996726497567</v>
      </c>
      <c r="AG47" s="602">
        <f t="shared" si="395"/>
        <v>-73.231004817230939</v>
      </c>
      <c r="AH47" s="603">
        <f t="shared" si="396"/>
        <v>119.94444314080609</v>
      </c>
      <c r="AI47" s="585">
        <f t="shared" si="397"/>
        <v>-75.522489751159455</v>
      </c>
      <c r="AJ47" s="586">
        <f t="shared" si="398"/>
        <v>-31.032904284710551</v>
      </c>
      <c r="AK47" s="635">
        <f t="shared" si="399"/>
        <v>0.9659258360722075</v>
      </c>
      <c r="AL47" s="629">
        <f t="shared" si="400"/>
        <v>6.6987279208207184E-2</v>
      </c>
      <c r="AM47" s="634">
        <f t="shared" si="401"/>
        <v>-0.24999996726497567</v>
      </c>
      <c r="AN47" s="581">
        <f t="shared" si="402"/>
        <v>14.999997834268262</v>
      </c>
      <c r="AO47" s="582">
        <f t="shared" si="94"/>
        <v>14.99999783426823</v>
      </c>
      <c r="AP47" s="585">
        <f t="shared" si="403"/>
        <v>3.9671296450865703</v>
      </c>
      <c r="AQ47" s="586">
        <f t="shared" si="246"/>
        <v>0.98228751129690284</v>
      </c>
      <c r="AS47" s="52">
        <f t="shared" si="406"/>
        <v>-125.0000339297971</v>
      </c>
      <c r="AT47" s="72">
        <f t="shared" si="247"/>
        <v>-0.24009540681545899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3.109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2.50865966153015</v>
      </c>
      <c r="C48" s="708">
        <v>-1.7565846197749408</v>
      </c>
      <c r="D48" s="709">
        <v>-0.12810038635076512</v>
      </c>
      <c r="E48" s="710">
        <v>0.49916002344389937</v>
      </c>
      <c r="F48" s="708">
        <v>0.82966215254342968</v>
      </c>
      <c r="G48" s="711">
        <v>0.24999996726497559</v>
      </c>
      <c r="H48" s="710">
        <v>0.314</v>
      </c>
      <c r="I48" s="708">
        <v>0.52</v>
      </c>
      <c r="J48" s="570">
        <v>3.1120000000000001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3.1120000000000001</v>
      </c>
      <c r="N48" s="632">
        <f t="shared" si="240"/>
        <v>2.50865966153015</v>
      </c>
      <c r="O48" s="629">
        <f t="shared" si="241"/>
        <v>-1.7565846197749408</v>
      </c>
      <c r="P48" s="633">
        <f t="shared" si="242"/>
        <v>-0.12810038635076512</v>
      </c>
      <c r="Q48" s="585">
        <f t="shared" si="113"/>
        <v>324.9999660702029</v>
      </c>
      <c r="R48" s="629">
        <f t="shared" si="79"/>
        <v>3.0625092365278577</v>
      </c>
      <c r="S48" s="634">
        <f t="shared" si="80"/>
        <v>-0.12810038635076512</v>
      </c>
      <c r="T48" s="635">
        <f t="shared" si="81"/>
        <v>-1.7565846197749413</v>
      </c>
      <c r="U48" s="629">
        <f t="shared" si="82"/>
        <v>-2.50865966153015</v>
      </c>
      <c r="V48" s="636">
        <f t="shared" si="114"/>
        <v>-0.12810038635076512</v>
      </c>
      <c r="W48" s="585">
        <f t="shared" si="224"/>
        <v>234.9999660702029</v>
      </c>
      <c r="X48" s="629">
        <f t="shared" si="83"/>
        <v>3.0625092365278577</v>
      </c>
      <c r="Y48" s="630">
        <f t="shared" si="223"/>
        <v>-0.12810038635076512</v>
      </c>
      <c r="Z48" s="632">
        <f t="shared" si="243"/>
        <v>-0.49916002344389937</v>
      </c>
      <c r="AA48" s="629">
        <f t="shared" si="244"/>
        <v>-0.82966215254342968</v>
      </c>
      <c r="AB48" s="629">
        <f t="shared" si="245"/>
        <v>-0.24999996726497559</v>
      </c>
      <c r="AC48" s="636">
        <f t="shared" si="84"/>
        <v>1</v>
      </c>
      <c r="AD48" s="637">
        <f t="shared" si="115"/>
        <v>-0.49916002344389937</v>
      </c>
      <c r="AE48" s="629">
        <f t="shared" si="85"/>
        <v>-0.82966215254342968</v>
      </c>
      <c r="AF48" s="633">
        <f t="shared" si="86"/>
        <v>-0.24999996726497559</v>
      </c>
      <c r="AG48" s="602">
        <f t="shared" si="87"/>
        <v>-73.231004817230954</v>
      </c>
      <c r="AH48" s="603">
        <f t="shared" si="88"/>
        <v>119.94444314080609</v>
      </c>
      <c r="AI48" s="585">
        <f t="shared" si="89"/>
        <v>-75.522489751159469</v>
      </c>
      <c r="AJ48" s="586">
        <f t="shared" si="90"/>
        <v>-31.032904284710543</v>
      </c>
      <c r="AK48" s="635">
        <f t="shared" si="211"/>
        <v>0.96592583607220739</v>
      </c>
      <c r="AL48" s="629">
        <f t="shared" si="91"/>
        <v>6.6987279208207295E-2</v>
      </c>
      <c r="AM48" s="634">
        <f t="shared" si="92"/>
        <v>-0.24999996726497559</v>
      </c>
      <c r="AN48" s="581">
        <f t="shared" si="93"/>
        <v>14.999997834268294</v>
      </c>
      <c r="AO48" s="582">
        <f t="shared" si="94"/>
        <v>14.999997834268255</v>
      </c>
      <c r="AP48" s="585">
        <f t="shared" si="95"/>
        <v>3.9671296450865774</v>
      </c>
      <c r="AQ48" s="586">
        <f t="shared" si="246"/>
        <v>0.74435640787438573</v>
      </c>
      <c r="AS48" s="52">
        <f t="shared" si="406"/>
        <v>-125.0000339297971</v>
      </c>
      <c r="AT48" s="72">
        <f t="shared" si="247"/>
        <v>-4.1294807232850464E-2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3.1120000000000001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3.1166358903587792</v>
      </c>
      <c r="C49" s="708">
        <v>-2.1822946948106834</v>
      </c>
      <c r="D49" s="709">
        <v>-6.3400191214976628E-2</v>
      </c>
      <c r="E49" s="710">
        <v>0.55773288701468382</v>
      </c>
      <c r="F49" s="708">
        <v>0.78864894024429322</v>
      </c>
      <c r="G49" s="711">
        <v>0.2587795892141021</v>
      </c>
      <c r="H49" s="710">
        <v>0.314</v>
      </c>
      <c r="I49" s="708">
        <v>0.52</v>
      </c>
      <c r="J49" s="570">
        <v>3.1150000000000002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3.1150000000000002</v>
      </c>
      <c r="N49" s="632">
        <f t="shared" si="240"/>
        <v>3.1166358903587792</v>
      </c>
      <c r="O49" s="629">
        <f t="shared" si="241"/>
        <v>-2.1822946948106834</v>
      </c>
      <c r="P49" s="633">
        <f t="shared" si="242"/>
        <v>-6.3400191214976628E-2</v>
      </c>
      <c r="Q49" s="585">
        <f t="shared" si="113"/>
        <v>324.9999660702029</v>
      </c>
      <c r="R49" s="629">
        <f t="shared" si="79"/>
        <v>3.8047114750098086</v>
      </c>
      <c r="S49" s="634">
        <f t="shared" si="80"/>
        <v>-6.3400191214976628E-2</v>
      </c>
      <c r="T49" s="635">
        <f t="shared" si="81"/>
        <v>-2.1822946948106834</v>
      </c>
      <c r="U49" s="629">
        <f t="shared" si="82"/>
        <v>-3.1166358903587792</v>
      </c>
      <c r="V49" s="636">
        <f t="shared" si="114"/>
        <v>-6.3400191214976628E-2</v>
      </c>
      <c r="W49" s="585">
        <f t="shared" si="224"/>
        <v>234.9999660702029</v>
      </c>
      <c r="X49" s="629">
        <f t="shared" si="83"/>
        <v>3.8047114750098086</v>
      </c>
      <c r="Y49" s="630">
        <f t="shared" si="223"/>
        <v>-6.3400191214976628E-2</v>
      </c>
      <c r="Z49" s="632">
        <f t="shared" si="243"/>
        <v>-0.55773288701468382</v>
      </c>
      <c r="AA49" s="629">
        <f t="shared" si="244"/>
        <v>-0.78864894024429322</v>
      </c>
      <c r="AB49" s="629">
        <f t="shared" si="245"/>
        <v>-0.2587795892141021</v>
      </c>
      <c r="AC49" s="636">
        <f t="shared" si="84"/>
        <v>1</v>
      </c>
      <c r="AD49" s="637">
        <f t="shared" si="115"/>
        <v>-0.55773288701468382</v>
      </c>
      <c r="AE49" s="629">
        <f t="shared" si="85"/>
        <v>-0.78864894024429322</v>
      </c>
      <c r="AF49" s="633">
        <f t="shared" si="86"/>
        <v>-0.2587795892141021</v>
      </c>
      <c r="AG49" s="602">
        <f t="shared" si="87"/>
        <v>-71.833770903811129</v>
      </c>
      <c r="AH49" s="603">
        <f t="shared" si="88"/>
        <v>123.89915632146614</v>
      </c>
      <c r="AI49" s="585">
        <f t="shared" si="89"/>
        <v>-75.002340390380908</v>
      </c>
      <c r="AJ49" s="586">
        <f t="shared" si="90"/>
        <v>-35.267967486504453</v>
      </c>
      <c r="AK49" s="635">
        <f t="shared" si="211"/>
        <v>0.9659258360722075</v>
      </c>
      <c r="AL49" s="629">
        <f t="shared" si="91"/>
        <v>-4.5170138795210812E-3</v>
      </c>
      <c r="AM49" s="634">
        <f t="shared" si="92"/>
        <v>-0.2587795892141021</v>
      </c>
      <c r="AN49" s="581">
        <f t="shared" si="93"/>
        <v>-0.99999985561789118</v>
      </c>
      <c r="AO49" s="582">
        <f t="shared" si="94"/>
        <v>14.99999783426823</v>
      </c>
      <c r="AP49" s="585">
        <f t="shared" si="95"/>
        <v>-0.26793355670733643</v>
      </c>
      <c r="AQ49" s="586">
        <f t="shared" si="246"/>
        <v>0.5991633124450525</v>
      </c>
      <c r="AS49" s="52">
        <f t="shared" si="406"/>
        <v>-125.0000339297971</v>
      </c>
      <c r="AT49" s="72">
        <f t="shared" si="247"/>
        <v>2.340538790293803E-2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3.1150000000000002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3.7168058735360385</v>
      </c>
      <c r="C50" s="708">
        <v>-2.6314245564247618</v>
      </c>
      <c r="D50" s="709">
        <v>-0.17170051784876167</v>
      </c>
      <c r="E50" s="710">
        <v>0.64093195861926433</v>
      </c>
      <c r="F50" s="708">
        <v>0.72796870285175097</v>
      </c>
      <c r="G50" s="711">
        <v>0.24344977323631412</v>
      </c>
      <c r="H50" s="710">
        <v>0.314</v>
      </c>
      <c r="I50" s="708">
        <v>0.52</v>
      </c>
      <c r="J50" s="570">
        <v>3.1179999999999999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3.1179999999999999</v>
      </c>
      <c r="N50" s="632">
        <f t="shared" si="240"/>
        <v>3.7168058735360385</v>
      </c>
      <c r="O50" s="629">
        <f t="shared" si="241"/>
        <v>-2.6314245564247618</v>
      </c>
      <c r="P50" s="633">
        <f t="shared" si="242"/>
        <v>-0.17170051784876167</v>
      </c>
      <c r="Q50" s="585">
        <f t="shared" si="113"/>
        <v>324.70226611318543</v>
      </c>
      <c r="R50" s="629">
        <f t="shared" si="79"/>
        <v>4.5540137349054239</v>
      </c>
      <c r="S50" s="634">
        <f t="shared" si="80"/>
        <v>-0.17170051784876167</v>
      </c>
      <c r="T50" s="635">
        <f t="shared" si="81"/>
        <v>-2.631424556424764</v>
      </c>
      <c r="U50" s="629">
        <f t="shared" si="82"/>
        <v>-3.7168058735360368</v>
      </c>
      <c r="V50" s="636">
        <f t="shared" si="114"/>
        <v>-0.17170051784876167</v>
      </c>
      <c r="W50" s="585">
        <f t="shared" si="224"/>
        <v>234.70226611318543</v>
      </c>
      <c r="X50" s="629">
        <f t="shared" si="83"/>
        <v>4.5540137349054239</v>
      </c>
      <c r="Y50" s="630">
        <f t="shared" si="223"/>
        <v>-0.17170051784876167</v>
      </c>
      <c r="Z50" s="632">
        <f t="shared" si="243"/>
        <v>-0.64093195861926433</v>
      </c>
      <c r="AA50" s="629">
        <f t="shared" si="244"/>
        <v>-0.72796870285175097</v>
      </c>
      <c r="AB50" s="629">
        <f t="shared" si="245"/>
        <v>-0.24344977323631412</v>
      </c>
      <c r="AC50" s="636">
        <f t="shared" si="84"/>
        <v>1</v>
      </c>
      <c r="AD50" s="637">
        <f t="shared" si="115"/>
        <v>-0.64093195861926433</v>
      </c>
      <c r="AE50" s="629">
        <f t="shared" si="85"/>
        <v>-0.72796870285175097</v>
      </c>
      <c r="AF50" s="633">
        <f t="shared" si="86"/>
        <v>-0.24344977323631412</v>
      </c>
      <c r="AG50" s="602">
        <f t="shared" si="87"/>
        <v>-71.508858652592565</v>
      </c>
      <c r="AH50" s="603">
        <f t="shared" si="88"/>
        <v>129.86134845967206</v>
      </c>
      <c r="AI50" s="585">
        <f t="shared" si="89"/>
        <v>-75.909761359065129</v>
      </c>
      <c r="AJ50" s="586">
        <f t="shared" si="90"/>
        <v>-41.361946078660083</v>
      </c>
      <c r="AK50" s="635">
        <f t="shared" si="211"/>
        <v>0.9644859899635696</v>
      </c>
      <c r="AL50" s="629">
        <f t="shared" si="91"/>
        <v>-0.10246454545441736</v>
      </c>
      <c r="AM50" s="634">
        <f t="shared" si="92"/>
        <v>-0.24344977323631412</v>
      </c>
      <c r="AN50" s="581">
        <f t="shared" si="93"/>
        <v>-22.825532960409067</v>
      </c>
      <c r="AO50" s="582">
        <f t="shared" si="94"/>
        <v>15.315501880723579</v>
      </c>
      <c r="AP50" s="585">
        <f t="shared" si="95"/>
        <v>-6.064212191845483</v>
      </c>
      <c r="AQ50" s="586">
        <f t="shared" si="246"/>
        <v>0.50058448626035235</v>
      </c>
      <c r="AS50" s="52">
        <f t="shared" si="406"/>
        <v>-125.29773388681457</v>
      </c>
      <c r="AT50" s="72">
        <f t="shared" si="247"/>
        <v>-8.4688202649584876E-2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3.1179999999999999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4.263152378115576</v>
      </c>
      <c r="C51" s="708">
        <v>-3.0802660454835351</v>
      </c>
      <c r="D51" s="709">
        <v>-0.45510137258573979</v>
      </c>
      <c r="E51" s="710">
        <v>0.7120571042337559</v>
      </c>
      <c r="F51" s="708">
        <v>0.67134063458204662</v>
      </c>
      <c r="G51" s="711">
        <v>0.20561233588774047</v>
      </c>
      <c r="H51" s="710">
        <v>0.314</v>
      </c>
      <c r="I51" s="708">
        <v>0.52</v>
      </c>
      <c r="J51" s="570">
        <v>3.121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3.121</v>
      </c>
      <c r="N51" s="632">
        <f t="shared" si="240"/>
        <v>4.263152378115576</v>
      </c>
      <c r="O51" s="629">
        <f t="shared" si="241"/>
        <v>-3.0802660454835351</v>
      </c>
      <c r="P51" s="633">
        <f t="shared" si="242"/>
        <v>-0.45510137258573979</v>
      </c>
      <c r="Q51" s="585">
        <f t="shared" si="113"/>
        <v>324.15066619282663</v>
      </c>
      <c r="R51" s="629">
        <f t="shared" si="79"/>
        <v>5.2595158626998426</v>
      </c>
      <c r="S51" s="634">
        <f t="shared" si="80"/>
        <v>-0.45510137258573979</v>
      </c>
      <c r="T51" s="635">
        <f t="shared" si="81"/>
        <v>-3.0802660454835342</v>
      </c>
      <c r="U51" s="629">
        <f t="shared" si="82"/>
        <v>-4.2631523781155769</v>
      </c>
      <c r="V51" s="636">
        <f t="shared" si="114"/>
        <v>-0.45510137258573979</v>
      </c>
      <c r="W51" s="585">
        <f t="shared" si="224"/>
        <v>234.15066619282663</v>
      </c>
      <c r="X51" s="629">
        <f t="shared" si="83"/>
        <v>5.2595158626998426</v>
      </c>
      <c r="Y51" s="630">
        <f t="shared" si="223"/>
        <v>-0.45510137258573979</v>
      </c>
      <c r="Z51" s="632">
        <f t="shared" si="243"/>
        <v>-0.7120571042337559</v>
      </c>
      <c r="AA51" s="629">
        <f t="shared" si="244"/>
        <v>-0.67134063458204662</v>
      </c>
      <c r="AB51" s="629">
        <f t="shared" si="245"/>
        <v>-0.20561233588774047</v>
      </c>
      <c r="AC51" s="636">
        <f t="shared" si="84"/>
        <v>1</v>
      </c>
      <c r="AD51" s="637">
        <f t="shared" si="115"/>
        <v>-0.7120571042337559</v>
      </c>
      <c r="AE51" s="629">
        <f t="shared" si="85"/>
        <v>-0.67134063458204662</v>
      </c>
      <c r="AF51" s="633">
        <f t="shared" si="86"/>
        <v>-0.20561233588774047</v>
      </c>
      <c r="AG51" s="602">
        <f t="shared" si="87"/>
        <v>-72.971679492607109</v>
      </c>
      <c r="AH51" s="603">
        <f t="shared" si="88"/>
        <v>135.40253441344976</v>
      </c>
      <c r="AI51" s="585">
        <f t="shared" si="89"/>
        <v>-78.134653049368168</v>
      </c>
      <c r="AJ51" s="586">
        <f t="shared" si="90"/>
        <v>-46.685855432681826</v>
      </c>
      <c r="AK51" s="635">
        <f t="shared" si="211"/>
        <v>0.96118214592960649</v>
      </c>
      <c r="AL51" s="629">
        <f t="shared" si="91"/>
        <v>-0.18399035213005999</v>
      </c>
      <c r="AM51" s="634">
        <f t="shared" si="92"/>
        <v>-0.20561233588774047</v>
      </c>
      <c r="AN51" s="581">
        <f t="shared" si="93"/>
        <v>-41.823484736386028</v>
      </c>
      <c r="AO51" s="582">
        <f t="shared" si="94"/>
        <v>16.016527471047365</v>
      </c>
      <c r="AP51" s="585">
        <f t="shared" si="95"/>
        <v>-10.836521625508446</v>
      </c>
      <c r="AQ51" s="586">
        <f t="shared" si="246"/>
        <v>0.43343973150227177</v>
      </c>
      <c r="AS51" s="52">
        <f t="shared" si="406"/>
        <v>-125.84933380717337</v>
      </c>
      <c r="AT51" s="72">
        <f t="shared" si="247"/>
        <v>-0.36770600188631386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3.121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4.7240092210252103</v>
      </c>
      <c r="C52" s="708">
        <v>-3.4922836579519592</v>
      </c>
      <c r="D52" s="709">
        <v>-0.89480269872493878</v>
      </c>
      <c r="E52" s="710">
        <v>0.7689508720653061</v>
      </c>
      <c r="F52" s="708">
        <v>0.62132077421235854</v>
      </c>
      <c r="G52" s="711">
        <v>0.15058237573554431</v>
      </c>
      <c r="H52" s="710">
        <v>0.314</v>
      </c>
      <c r="I52" s="708">
        <v>0.52</v>
      </c>
      <c r="J52" s="570">
        <v>3.1240000000000001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3.1240000000000001</v>
      </c>
      <c r="N52" s="632">
        <f t="shared" si="240"/>
        <v>4.7240092210252103</v>
      </c>
      <c r="O52" s="629">
        <f t="shared" si="241"/>
        <v>-3.4922836579519592</v>
      </c>
      <c r="P52" s="633">
        <f t="shared" si="242"/>
        <v>-0.89480269872493878</v>
      </c>
      <c r="Q52" s="585">
        <f t="shared" si="113"/>
        <v>323.52586628303658</v>
      </c>
      <c r="R52" s="629">
        <f t="shared" si="79"/>
        <v>5.8747177181486379</v>
      </c>
      <c r="S52" s="634">
        <f t="shared" si="80"/>
        <v>-0.89480269872493878</v>
      </c>
      <c r="T52" s="635">
        <f t="shared" si="81"/>
        <v>-3.4922836579519601</v>
      </c>
      <c r="U52" s="629">
        <f t="shared" si="82"/>
        <v>-4.7240092210252103</v>
      </c>
      <c r="V52" s="636">
        <f t="shared" si="114"/>
        <v>-0.89480269872493878</v>
      </c>
      <c r="W52" s="585">
        <f t="shared" si="224"/>
        <v>233.52586628303658</v>
      </c>
      <c r="X52" s="629">
        <f t="shared" si="83"/>
        <v>5.8747177181486379</v>
      </c>
      <c r="Y52" s="630">
        <f t="shared" si="223"/>
        <v>-0.89480269872493878</v>
      </c>
      <c r="Z52" s="632">
        <f t="shared" si="243"/>
        <v>-0.7689508720653061</v>
      </c>
      <c r="AA52" s="629">
        <f t="shared" si="244"/>
        <v>-0.62132077421235854</v>
      </c>
      <c r="AB52" s="629">
        <f t="shared" si="245"/>
        <v>-0.15058237573554431</v>
      </c>
      <c r="AC52" s="636">
        <f t="shared" si="84"/>
        <v>1</v>
      </c>
      <c r="AD52" s="637">
        <f t="shared" si="115"/>
        <v>-0.7689508720653061</v>
      </c>
      <c r="AE52" s="629">
        <f t="shared" si="85"/>
        <v>-0.62132077421235854</v>
      </c>
      <c r="AF52" s="633">
        <f t="shared" si="86"/>
        <v>-0.15058237573554431</v>
      </c>
      <c r="AG52" s="602">
        <f t="shared" si="87"/>
        <v>-76.376562449036001</v>
      </c>
      <c r="AH52" s="603">
        <f t="shared" si="88"/>
        <v>140.25977133385587</v>
      </c>
      <c r="AI52" s="585">
        <f t="shared" si="89"/>
        <v>-81.339322417336291</v>
      </c>
      <c r="AJ52" s="586">
        <f t="shared" si="90"/>
        <v>-51.061406979309439</v>
      </c>
      <c r="AK52" s="635">
        <f t="shared" si="211"/>
        <v>0.95673016143600098</v>
      </c>
      <c r="AL52" s="629">
        <f t="shared" si="91"/>
        <v>-0.24898262251908854</v>
      </c>
      <c r="AM52" s="634">
        <f t="shared" si="92"/>
        <v>-0.15058237573554431</v>
      </c>
      <c r="AN52" s="581">
        <f t="shared" si="93"/>
        <v>-58.834841177276317</v>
      </c>
      <c r="AO52" s="582">
        <f t="shared" si="94"/>
        <v>16.91643437554028</v>
      </c>
      <c r="AP52" s="585">
        <f t="shared" si="95"/>
        <v>-14.58727326234599</v>
      </c>
      <c r="AQ52" s="586">
        <f t="shared" si="246"/>
        <v>0.38805128754389046</v>
      </c>
      <c r="AS52" s="52">
        <f t="shared" si="406"/>
        <v>-126.47413371696342</v>
      </c>
      <c r="AT52" s="72">
        <f t="shared" si="247"/>
        <v>-0.80697343919926978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3.1240000000000001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5.0834967334584169</v>
      </c>
      <c r="C53" s="708">
        <v>-3.8371526504333104</v>
      </c>
      <c r="D53" s="709">
        <v>-1.4671044247869454</v>
      </c>
      <c r="E53" s="710">
        <v>0.80808297631902193</v>
      </c>
      <c r="F53" s="708">
        <v>0.58290959192937497</v>
      </c>
      <c r="G53" s="711">
        <v>8.4960643948364625E-2</v>
      </c>
      <c r="H53" s="710">
        <v>0.314</v>
      </c>
      <c r="I53" s="708">
        <v>0.52</v>
      </c>
      <c r="J53" s="570">
        <v>3.1269999999999998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1613</v>
      </c>
      <c r="L53" s="320"/>
      <c r="M53" s="168">
        <f t="shared" si="239"/>
        <v>3.1269999999999998</v>
      </c>
      <c r="N53" s="632">
        <f t="shared" si="240"/>
        <v>5.0834967334584169</v>
      </c>
      <c r="O53" s="629">
        <f t="shared" si="241"/>
        <v>-3.8371526504333104</v>
      </c>
      <c r="P53" s="633">
        <f t="shared" si="242"/>
        <v>-1.4671044247869454</v>
      </c>
      <c r="Q53" s="585">
        <f t="shared" si="113"/>
        <v>322.95356636566646</v>
      </c>
      <c r="R53" s="629">
        <f t="shared" ref="R53:R58" si="410">IF(M53="","",SQRT(N53^2+O53^2))</f>
        <v>6.3691192092635367</v>
      </c>
      <c r="S53" s="634">
        <f t="shared" ref="S53:S58" si="411">IF(M53="","",P53)</f>
        <v>-1.4671044247869454</v>
      </c>
      <c r="T53" s="635">
        <f t="shared" ref="T53:T58" si="412">IF(M53="","",X53*COS(RADIANS(W53)))</f>
        <v>-3.8371526504333104</v>
      </c>
      <c r="U53" s="629">
        <f t="shared" ref="U53:U58" si="413">IF(M53="","",X53*SIN(RADIANS(W53)))</f>
        <v>-5.0834967334584178</v>
      </c>
      <c r="V53" s="636">
        <f t="shared" ref="V53:V58" si="414">IF(M53="","",Y53)</f>
        <v>-1.4671044247869454</v>
      </c>
      <c r="W53" s="585">
        <f t="shared" si="224"/>
        <v>232.95356636566646</v>
      </c>
      <c r="X53" s="629">
        <f t="shared" ref="X53:X58" si="415">IF(M53="","",R53)</f>
        <v>6.3691192092635367</v>
      </c>
      <c r="Y53" s="630">
        <f t="shared" si="223"/>
        <v>-1.4671044247869454</v>
      </c>
      <c r="Z53" s="632">
        <f t="shared" si="243"/>
        <v>-0.80808297631902193</v>
      </c>
      <c r="AA53" s="629">
        <f t="shared" si="244"/>
        <v>-0.58290959192937497</v>
      </c>
      <c r="AB53" s="629">
        <f t="shared" si="245"/>
        <v>-8.4960643948364625E-2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-0.80808297631902193</v>
      </c>
      <c r="AE53" s="629">
        <f t="shared" ref="AE53:AE58" si="418">IF(M53="","",AA53*(1/SQRT(Z53^2+AA53^2+AB53^2)))</f>
        <v>-0.58290959192937497</v>
      </c>
      <c r="AF53" s="633">
        <f t="shared" ref="AF53:AF58" si="419">IF(M53="","",AB53*(1/SQRT(Z53^2+AA53^2+AB53^2)))</f>
        <v>-8.4960643948364625E-2</v>
      </c>
      <c r="AG53" s="602">
        <f t="shared" ref="AG53:AG58" si="420">IF(M53="","",DEGREES(ATAN2(-AF53,AE53)))</f>
        <v>-81.707379106008545</v>
      </c>
      <c r="AH53" s="603">
        <f t="shared" ref="AH53:AH58" si="421">IF(M53="","",DEGREES(ACOS(AD53)))</f>
        <v>143.90905365545399</v>
      </c>
      <c r="AI53" s="585">
        <f t="shared" ref="AI53:AI58" si="422">IF(M53="","",DEGREES(-ACOS(-AF53)))</f>
        <v>-85.12623825259513</v>
      </c>
      <c r="AJ53" s="586">
        <f t="shared" ref="AJ53:AJ58" si="423">IF(M53="","",DEGREES(ATAN2(-AE53,AD53)))</f>
        <v>-54.195253602935544</v>
      </c>
      <c r="AK53" s="635">
        <f t="shared" ref="AK53:AK58" si="424">IF(M53="","",(COS(RADIANS((90-$Q$8)-W53))*AD53)+(-SIN(RADIANS((90-$Q$8)-W53))*AE53))</f>
        <v>0.95208717902585893</v>
      </c>
      <c r="AL53" s="629">
        <f t="shared" ref="AL53:AL58" si="425">IF(M53="","",(SIN(RADIANS((90-$Q$8)-W53))*AD53)+(COS(RADIANS((90-$Q$8)-W53))*AE53))</f>
        <v>-0.29378851664839029</v>
      </c>
      <c r="AM53" s="634">
        <f t="shared" ref="AM53:AM58" si="426">IF(M53="","",AF53)</f>
        <v>-8.4960643948364625E-2</v>
      </c>
      <c r="AN53" s="581">
        <f t="shared" ref="AN53:AN58" si="427">IF(M53="","",DEGREES(ATAN2(-AM53,AL53)))</f>
        <v>-73.870669862897827</v>
      </c>
      <c r="AO53" s="582">
        <f t="shared" si="94"/>
        <v>17.807910320619293</v>
      </c>
      <c r="AP53" s="585">
        <f t="shared" ref="AP53:AP58" si="428">IF(M53="","",DEGREES(ATAN2(AK53,AL53)))</f>
        <v>-17.148819968601991</v>
      </c>
      <c r="AQ53" s="586">
        <f t="shared" si="246"/>
        <v>0.35792970755145154</v>
      </c>
      <c r="AS53" s="52">
        <f t="shared" si="406"/>
        <v>-127.04643363433354</v>
      </c>
      <c r="AT53" s="72">
        <f t="shared" si="247"/>
        <v>-1.3788777347631027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3.1269999999999998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1613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5.3273087531189729</v>
      </c>
      <c r="C54" s="708">
        <v>-4.0838351445613075</v>
      </c>
      <c r="D54" s="709">
        <v>-2.1334064343538066</v>
      </c>
      <c r="E54" s="710">
        <v>0.82847190085303302</v>
      </c>
      <c r="F54" s="708">
        <v>0.55978582302995139</v>
      </c>
      <c r="G54" s="711">
        <v>1.6557228984416889E-2</v>
      </c>
      <c r="H54" s="710">
        <v>0.314</v>
      </c>
      <c r="I54" s="708">
        <v>0.52</v>
      </c>
      <c r="J54" s="570">
        <v>3.13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1613</v>
      </c>
      <c r="L54" s="320"/>
      <c r="M54" s="168">
        <f t="shared" si="239"/>
        <v>3.13</v>
      </c>
      <c r="N54" s="632">
        <f t="shared" si="240"/>
        <v>5.3273087531189729</v>
      </c>
      <c r="O54" s="629">
        <f t="shared" si="241"/>
        <v>-4.0838351445613075</v>
      </c>
      <c r="P54" s="633">
        <f t="shared" si="242"/>
        <v>-2.1334064343538066</v>
      </c>
      <c r="Q54" s="585">
        <f t="shared" si="113"/>
        <v>322.52676642728875</v>
      </c>
      <c r="R54" s="629">
        <f t="shared" si="410"/>
        <v>6.7125202449610608</v>
      </c>
      <c r="S54" s="634">
        <f t="shared" si="411"/>
        <v>-2.1334064343538066</v>
      </c>
      <c r="T54" s="635">
        <f t="shared" si="412"/>
        <v>-4.0838351445613048</v>
      </c>
      <c r="U54" s="629">
        <f t="shared" si="413"/>
        <v>-5.3273087531189747</v>
      </c>
      <c r="V54" s="636">
        <f t="shared" si="414"/>
        <v>-2.1334064343538066</v>
      </c>
      <c r="W54" s="585">
        <f t="shared" si="224"/>
        <v>232.52676642728875</v>
      </c>
      <c r="X54" s="629">
        <f t="shared" si="415"/>
        <v>6.7125202449610608</v>
      </c>
      <c r="Y54" s="630">
        <f t="shared" si="223"/>
        <v>-2.1334064343538066</v>
      </c>
      <c r="Z54" s="632">
        <f t="shared" si="243"/>
        <v>-0.82847190085303302</v>
      </c>
      <c r="AA54" s="629">
        <f t="shared" si="244"/>
        <v>-0.55978582302995139</v>
      </c>
      <c r="AB54" s="629">
        <f t="shared" si="245"/>
        <v>-1.6557228984416889E-2</v>
      </c>
      <c r="AC54" s="636">
        <f t="shared" si="416"/>
        <v>1</v>
      </c>
      <c r="AD54" s="637">
        <f t="shared" si="417"/>
        <v>-0.82847190085303302</v>
      </c>
      <c r="AE54" s="629">
        <f t="shared" si="418"/>
        <v>-0.55978582302995139</v>
      </c>
      <c r="AF54" s="633">
        <f t="shared" si="419"/>
        <v>-1.6557228984416889E-2</v>
      </c>
      <c r="AG54" s="602">
        <f t="shared" si="420"/>
        <v>-88.305811251747755</v>
      </c>
      <c r="AH54" s="603">
        <f t="shared" si="421"/>
        <v>145.94208377985339</v>
      </c>
      <c r="AI54" s="585">
        <f t="shared" si="422"/>
        <v>-89.051297308878318</v>
      </c>
      <c r="AJ54" s="586">
        <f t="shared" si="423"/>
        <v>-55.953705981889343</v>
      </c>
      <c r="AK54" s="635">
        <f t="shared" si="424"/>
        <v>0.9483017328197898</v>
      </c>
      <c r="AL54" s="629">
        <f t="shared" si="425"/>
        <v>-0.31693797768544818</v>
      </c>
      <c r="AM54" s="634">
        <f t="shared" si="426"/>
        <v>-1.6557228984416889E-2</v>
      </c>
      <c r="AN54" s="581">
        <f t="shared" si="427"/>
        <v>-87.009516661023426</v>
      </c>
      <c r="AO54" s="582">
        <f t="shared" si="94"/>
        <v>18.503958122078703</v>
      </c>
      <c r="AP54" s="585">
        <f t="shared" si="428"/>
        <v>-18.480472409178105</v>
      </c>
      <c r="AQ54" s="586">
        <f t="shared" si="246"/>
        <v>0.33961907739028036</v>
      </c>
      <c r="AS54" s="52">
        <f t="shared" si="406"/>
        <v>-127.47323357271125</v>
      </c>
      <c r="AT54" s="72">
        <f t="shared" si="247"/>
        <v>-2.0448833554838681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3.13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1613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5.4693123881882988</v>
      </c>
      <c r="C55" s="708">
        <v>-4.2326010490489185</v>
      </c>
      <c r="D55" s="709">
        <v>-2.8401999999999994</v>
      </c>
      <c r="E55" s="710">
        <v>0.8575164387749874</v>
      </c>
      <c r="F55" s="708">
        <v>0.51396510824708619</v>
      </c>
      <c r="G55" s="711">
        <v>-2.2481653302734023E-2</v>
      </c>
      <c r="H55" s="710">
        <v>0.314</v>
      </c>
      <c r="I55" s="708">
        <v>0.52</v>
      </c>
      <c r="J55" s="570">
        <v>3.133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3.133</v>
      </c>
      <c r="N55" s="632">
        <f t="shared" si="240"/>
        <v>5.4693123881882988</v>
      </c>
      <c r="O55" s="629">
        <f t="shared" si="241"/>
        <v>-4.2326010490489185</v>
      </c>
      <c r="P55" s="633">
        <f t="shared" si="242"/>
        <v>-2.8401999999999994</v>
      </c>
      <c r="Q55" s="585">
        <f t="shared" si="113"/>
        <v>322.26436607020287</v>
      </c>
      <c r="R55" s="629">
        <f t="shared" si="410"/>
        <v>6.9157999999999999</v>
      </c>
      <c r="S55" s="634">
        <f t="shared" si="411"/>
        <v>-2.8401999999999994</v>
      </c>
      <c r="T55" s="635">
        <f t="shared" si="412"/>
        <v>-4.2326010490489221</v>
      </c>
      <c r="U55" s="629">
        <f t="shared" si="413"/>
        <v>-5.4693123881882961</v>
      </c>
      <c r="V55" s="636">
        <f t="shared" si="414"/>
        <v>-2.8401999999999994</v>
      </c>
      <c r="W55" s="585">
        <f t="shared" si="224"/>
        <v>232.26436607020287</v>
      </c>
      <c r="X55" s="629">
        <f t="shared" si="415"/>
        <v>6.9157999999999999</v>
      </c>
      <c r="Y55" s="630">
        <f t="shared" si="223"/>
        <v>-2.8401999999999994</v>
      </c>
      <c r="Z55" s="632">
        <f t="shared" si="243"/>
        <v>-0.8575164387749874</v>
      </c>
      <c r="AA55" s="629">
        <f t="shared" si="244"/>
        <v>-0.51396510824708619</v>
      </c>
      <c r="AB55" s="629">
        <f t="shared" si="245"/>
        <v>2.2481653302734023E-2</v>
      </c>
      <c r="AC55" s="636">
        <f t="shared" si="416"/>
        <v>1</v>
      </c>
      <c r="AD55" s="637">
        <f t="shared" si="417"/>
        <v>-0.8575164387749874</v>
      </c>
      <c r="AE55" s="629">
        <f t="shared" si="418"/>
        <v>-0.51396510824708619</v>
      </c>
      <c r="AF55" s="633">
        <f t="shared" si="419"/>
        <v>2.2481653302734023E-2</v>
      </c>
      <c r="AG55" s="602">
        <f t="shared" si="420"/>
        <v>-92.504612181949227</v>
      </c>
      <c r="AH55" s="603">
        <f t="shared" si="421"/>
        <v>149.0388620523147</v>
      </c>
      <c r="AI55" s="585">
        <f t="shared" si="422"/>
        <v>-91.28821238200058</v>
      </c>
      <c r="AJ55" s="586">
        <f t="shared" si="423"/>
        <v>-59.063014444419288</v>
      </c>
      <c r="AK55" s="635">
        <f t="shared" si="424"/>
        <v>0.93128209490847547</v>
      </c>
      <c r="AL55" s="629">
        <f t="shared" si="425"/>
        <v>-0.36360450350299162</v>
      </c>
      <c r="AM55" s="634">
        <f t="shared" si="426"/>
        <v>2.2481653302734023E-2</v>
      </c>
      <c r="AN55" s="581">
        <f t="shared" si="427"/>
        <v>-93.538091919566881</v>
      </c>
      <c r="AO55" s="582">
        <f>IF(ROUND(IF(M55="",0,DEGREES(ACOS(AK55))),4)=90,0,IF(M55="","",DEGREES(ACOS(AK55))))</f>
        <v>21.364439750553732</v>
      </c>
      <c r="AP55" s="585">
        <f t="shared" si="428"/>
        <v>-21.327380514622131</v>
      </c>
      <c r="AQ55" s="586">
        <f t="shared" si="246"/>
        <v>0.32963669843512189</v>
      </c>
      <c r="AS55" s="52">
        <f t="shared" si="406"/>
        <v>-127.73563392979713</v>
      </c>
      <c r="AT55" s="72">
        <f t="shared" si="247"/>
        <v>-2.7514946986598625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3.133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5.5600307122556014</v>
      </c>
      <c r="C56" s="708">
        <v>-4.3296959734514004</v>
      </c>
      <c r="D56" s="709">
        <v>-3.5496999505242717</v>
      </c>
      <c r="E56" s="710">
        <v>0.89630116960467221</v>
      </c>
      <c r="F56" s="708">
        <v>0.44243908994750158</v>
      </c>
      <c r="G56" s="711">
        <v>-2.986410975943132E-2</v>
      </c>
      <c r="H56" s="710">
        <v>0.314</v>
      </c>
      <c r="I56" s="708">
        <v>0.52</v>
      </c>
      <c r="J56" s="570">
        <v>3.1360000000000001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1613</v>
      </c>
      <c r="L56" s="320"/>
      <c r="M56" s="168">
        <f t="shared" si="239"/>
        <v>3.1360000000000001</v>
      </c>
      <c r="N56" s="632">
        <f t="shared" si="240"/>
        <v>5.5600307122556014</v>
      </c>
      <c r="O56" s="629">
        <f t="shared" si="241"/>
        <v>-4.3296959734514004</v>
      </c>
      <c r="P56" s="633">
        <f t="shared" si="242"/>
        <v>-3.5496999505242717</v>
      </c>
      <c r="Q56" s="585">
        <f t="shared" si="113"/>
        <v>322.09146615507791</v>
      </c>
      <c r="R56" s="629">
        <f t="shared" si="410"/>
        <v>7.0469999818182769</v>
      </c>
      <c r="S56" s="634">
        <f t="shared" si="411"/>
        <v>-3.5496999505242717</v>
      </c>
      <c r="T56" s="635">
        <f t="shared" si="412"/>
        <v>-4.3296959734513996</v>
      </c>
      <c r="U56" s="629">
        <f t="shared" si="413"/>
        <v>-5.5600307122556014</v>
      </c>
      <c r="V56" s="636">
        <f t="shared" si="414"/>
        <v>-3.5496999505242717</v>
      </c>
      <c r="W56" s="585">
        <f t="shared" si="224"/>
        <v>232.09146615507791</v>
      </c>
      <c r="X56" s="629">
        <f t="shared" si="415"/>
        <v>7.0469999818182769</v>
      </c>
      <c r="Y56" s="630">
        <f t="shared" si="223"/>
        <v>-3.5496999505242717</v>
      </c>
      <c r="Z56" s="632">
        <f t="shared" si="243"/>
        <v>-0.89630116960467221</v>
      </c>
      <c r="AA56" s="629">
        <f t="shared" si="244"/>
        <v>-0.44243908994750158</v>
      </c>
      <c r="AB56" s="629">
        <f t="shared" si="245"/>
        <v>2.986410975943132E-2</v>
      </c>
      <c r="AC56" s="636">
        <f t="shared" si="416"/>
        <v>1</v>
      </c>
      <c r="AD56" s="637">
        <f t="shared" si="417"/>
        <v>-0.89630116960467221</v>
      </c>
      <c r="AE56" s="629">
        <f t="shared" si="418"/>
        <v>-0.44243908994750158</v>
      </c>
      <c r="AF56" s="633">
        <f t="shared" si="419"/>
        <v>2.986410975943132E-2</v>
      </c>
      <c r="AG56" s="602">
        <f t="shared" si="420"/>
        <v>-93.86153923921276</v>
      </c>
      <c r="AH56" s="603">
        <f t="shared" si="421"/>
        <v>153.6760531152716</v>
      </c>
      <c r="AI56" s="585">
        <f t="shared" si="422"/>
        <v>-91.711341893445578</v>
      </c>
      <c r="AJ56" s="586">
        <f t="shared" si="423"/>
        <v>-63.727777131479655</v>
      </c>
      <c r="AK56" s="635">
        <f t="shared" si="424"/>
        <v>0.89977103871250796</v>
      </c>
      <c r="AL56" s="629">
        <f t="shared" si="425"/>
        <v>-0.43533919286286532</v>
      </c>
      <c r="AM56" s="634">
        <f t="shared" si="426"/>
        <v>2.986410975943132E-2</v>
      </c>
      <c r="AN56" s="581">
        <f t="shared" si="427"/>
        <v>-93.92432143692487</v>
      </c>
      <c r="AO56" s="582">
        <f t="shared" ref="AO56:AO119" si="461">IF(ROUND(IF(M56="",0,DEGREES(ACOS(AK56))),4)=90,0,IF(M56="","",DEGREES(ACOS(AK56))))</f>
        <v>25.872012400378296</v>
      </c>
      <c r="AP56" s="585">
        <f t="shared" si="428"/>
        <v>-25.819243286557562</v>
      </c>
      <c r="AQ56" s="586">
        <f t="shared" si="246"/>
        <v>0.32349970381288301</v>
      </c>
      <c r="AS56" s="52">
        <f t="shared" si="406"/>
        <v>-127.90853384492209</v>
      </c>
      <c r="AT56" s="72">
        <f t="shared" si="247"/>
        <v>-3.4608745797986313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3.1360000000000001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1613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5.6332766700774819</v>
      </c>
      <c r="C57" s="708">
        <v>-4.4092999829806301</v>
      </c>
      <c r="D57" s="709">
        <v>-4.2023999999999999</v>
      </c>
      <c r="E57" s="710">
        <v>0.94171774739178438</v>
      </c>
      <c r="F57" s="708">
        <v>0.33628547407289289</v>
      </c>
      <c r="G57" s="711">
        <v>8.9310791572637799E-3</v>
      </c>
      <c r="H57" s="710">
        <v>0.26600000000000001</v>
      </c>
      <c r="I57" s="708">
        <v>0.52</v>
      </c>
      <c r="J57" s="570">
        <v>3.1389999999999998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1313</v>
      </c>
      <c r="L57" s="320"/>
      <c r="M57" s="168">
        <f t="shared" si="239"/>
        <v>3.1389999999999998</v>
      </c>
      <c r="N57" s="632">
        <f t="shared" si="240"/>
        <v>5.6332766700774819</v>
      </c>
      <c r="O57" s="629">
        <f t="shared" si="241"/>
        <v>-4.4092999829806301</v>
      </c>
      <c r="P57" s="633">
        <f t="shared" si="242"/>
        <v>-4.2023999999999999</v>
      </c>
      <c r="Q57" s="585">
        <f t="shared" si="113"/>
        <v>321.94886607020288</v>
      </c>
      <c r="R57" s="629">
        <f t="shared" si="410"/>
        <v>7.1537215756242727</v>
      </c>
      <c r="S57" s="634">
        <f t="shared" si="411"/>
        <v>-4.2023999999999999</v>
      </c>
      <c r="T57" s="635">
        <f t="shared" si="412"/>
        <v>-4.4092999829806292</v>
      </c>
      <c r="U57" s="629">
        <f t="shared" si="413"/>
        <v>-5.6332766700774819</v>
      </c>
      <c r="V57" s="636">
        <f t="shared" si="414"/>
        <v>-4.2023999999999999</v>
      </c>
      <c r="W57" s="585">
        <f t="shared" si="224"/>
        <v>231.94886607020288</v>
      </c>
      <c r="X57" s="629">
        <f t="shared" si="415"/>
        <v>7.1537215756242727</v>
      </c>
      <c r="Y57" s="630">
        <f t="shared" si="223"/>
        <v>-4.2023999999999999</v>
      </c>
      <c r="Z57" s="632">
        <f t="shared" si="243"/>
        <v>-0.94171774739178438</v>
      </c>
      <c r="AA57" s="629">
        <f t="shared" si="244"/>
        <v>-0.33628547407289289</v>
      </c>
      <c r="AB57" s="629">
        <f t="shared" si="245"/>
        <v>-8.9310791572637799E-3</v>
      </c>
      <c r="AC57" s="636">
        <f t="shared" si="416"/>
        <v>1</v>
      </c>
      <c r="AD57" s="637">
        <f t="shared" si="417"/>
        <v>-0.94171774739178438</v>
      </c>
      <c r="AE57" s="629">
        <f t="shared" si="418"/>
        <v>-0.33628547407289289</v>
      </c>
      <c r="AF57" s="633">
        <f t="shared" si="419"/>
        <v>-8.9310791572637799E-3</v>
      </c>
      <c r="AG57" s="602">
        <f t="shared" si="420"/>
        <v>-88.47869466909512</v>
      </c>
      <c r="AH57" s="603">
        <f t="shared" si="421"/>
        <v>160.34205992110185</v>
      </c>
      <c r="AI57" s="585">
        <f t="shared" si="422"/>
        <v>-89.48828005481792</v>
      </c>
      <c r="AJ57" s="586">
        <f t="shared" si="423"/>
        <v>-70.348458063816366</v>
      </c>
      <c r="AK57" s="635">
        <f t="shared" si="424"/>
        <v>0.84525307550849937</v>
      </c>
      <c r="AL57" s="629">
        <f t="shared" si="425"/>
        <v>-0.53429156288351576</v>
      </c>
      <c r="AM57" s="634">
        <f t="shared" si="426"/>
        <v>-8.9310791572637799E-3</v>
      </c>
      <c r="AN57" s="581">
        <f t="shared" si="427"/>
        <v>-89.042347801341251</v>
      </c>
      <c r="AO57" s="582">
        <f t="shared" si="461"/>
        <v>32.300939031165214</v>
      </c>
      <c r="AP57" s="585">
        <f t="shared" si="428"/>
        <v>-32.29732413401927</v>
      </c>
      <c r="AQ57" s="586">
        <f t="shared" si="246"/>
        <v>0.31867372809781563</v>
      </c>
      <c r="AS57" s="52">
        <f t="shared" si="406"/>
        <v>-128.05113392979712</v>
      </c>
      <c r="AT57" s="72">
        <f t="shared" si="247"/>
        <v>-4.1134756014376403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3.1389999999999998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1313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2.4840091197275052</v>
      </c>
      <c r="C58" s="708">
        <v>-2.8828379452052846</v>
      </c>
      <c r="D58" s="709">
        <v>-6.3300000000000051E-2</v>
      </c>
      <c r="E58" s="710">
        <v>1.1392390843675217E-2</v>
      </c>
      <c r="F58" s="708">
        <v>-1.3221188805238095E-2</v>
      </c>
      <c r="G58" s="711">
        <v>0.99984769520034467</v>
      </c>
      <c r="H58" s="710">
        <v>0.25700000000000001</v>
      </c>
      <c r="I58" s="708">
        <v>0.41499999999999992</v>
      </c>
      <c r="J58" s="570">
        <v>3.2149999999999999</v>
      </c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CPS-32193r1</v>
      </c>
      <c r="L58" s="320"/>
      <c r="M58" s="168">
        <f t="shared" si="239"/>
        <v>3.2149999999999999</v>
      </c>
      <c r="N58" s="632">
        <f t="shared" si="240"/>
        <v>2.4840091197275052</v>
      </c>
      <c r="O58" s="629">
        <f t="shared" si="241"/>
        <v>-2.8828379452052846</v>
      </c>
      <c r="P58" s="633">
        <f t="shared" si="242"/>
        <v>-6.3300000000000051E-2</v>
      </c>
      <c r="Q58" s="585">
        <f t="shared" si="113"/>
        <v>310.7499660702029</v>
      </c>
      <c r="R58" s="629">
        <f t="shared" si="410"/>
        <v>3.8053982610503256</v>
      </c>
      <c r="S58" s="634">
        <f t="shared" si="411"/>
        <v>-6.3300000000000051E-2</v>
      </c>
      <c r="T58" s="635">
        <f t="shared" si="412"/>
        <v>-2.8828379452052837</v>
      </c>
      <c r="U58" s="629">
        <f t="shared" si="413"/>
        <v>-2.4840091197275065</v>
      </c>
      <c r="V58" s="636">
        <f t="shared" si="414"/>
        <v>-6.3300000000000051E-2</v>
      </c>
      <c r="W58" s="585">
        <f t="shared" si="224"/>
        <v>220.7499660702029</v>
      </c>
      <c r="X58" s="629">
        <f t="shared" si="415"/>
        <v>3.8053982610503256</v>
      </c>
      <c r="Y58" s="630">
        <f t="shared" si="223"/>
        <v>-6.3300000000000051E-2</v>
      </c>
      <c r="Z58" s="632">
        <f t="shared" si="243"/>
        <v>-1.1392390843675217E-2</v>
      </c>
      <c r="AA58" s="629">
        <f t="shared" si="244"/>
        <v>1.3221188805238095E-2</v>
      </c>
      <c r="AB58" s="629">
        <f t="shared" si="245"/>
        <v>-0.99984769520034467</v>
      </c>
      <c r="AC58" s="636">
        <f t="shared" si="416"/>
        <v>1</v>
      </c>
      <c r="AD58" s="637">
        <f t="shared" si="417"/>
        <v>-1.1392390843675217E-2</v>
      </c>
      <c r="AE58" s="629">
        <f t="shared" si="418"/>
        <v>1.3221188805238095E-2</v>
      </c>
      <c r="AF58" s="633">
        <f t="shared" si="419"/>
        <v>-0.99984769520034467</v>
      </c>
      <c r="AG58" s="602">
        <f t="shared" si="420"/>
        <v>0.75758955636954695</v>
      </c>
      <c r="AH58" s="603">
        <f t="shared" si="421"/>
        <v>90.65275003412323</v>
      </c>
      <c r="AI58" s="585">
        <f t="shared" si="422"/>
        <v>-0.99999985570207761</v>
      </c>
      <c r="AJ58" s="586">
        <f t="shared" si="423"/>
        <v>-139.24928936816212</v>
      </c>
      <c r="AK58" s="635">
        <f t="shared" si="424"/>
        <v>2.2679489669781561E-7</v>
      </c>
      <c r="AL58" s="629">
        <f t="shared" si="425"/>
        <v>-1.7452403917723545E-2</v>
      </c>
      <c r="AM58" s="634">
        <f t="shared" si="426"/>
        <v>-0.99984769520034467</v>
      </c>
      <c r="AN58" s="581">
        <f t="shared" si="427"/>
        <v>-0.99999985561788318</v>
      </c>
      <c r="AO58" s="582">
        <f t="shared" si="461"/>
        <v>0</v>
      </c>
      <c r="AP58" s="585">
        <f t="shared" si="428"/>
        <v>-89.999255438365026</v>
      </c>
      <c r="AQ58" s="586">
        <f t="shared" si="246"/>
        <v>0.59905518525846813</v>
      </c>
      <c r="AS58" s="52">
        <f t="shared" si="406"/>
        <v>-139.2500339297971</v>
      </c>
      <c r="AT58" s="72">
        <f t="shared" si="247"/>
        <v>3.3401412451247933E-2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>Nose</v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3.2149999999999999</v>
      </c>
      <c r="IH58" s="731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3.1150000000000002</v>
      </c>
      <c r="II58" s="734" cm="1">
        <f t="array" ref="II58">IFERROR(ROUND(VALUE(IF($IH58&lt;1,$IH58+LARGE((IF($M$9:$M$150="",0,$M$9:$M$150)-MOD(IF($M$9:$M$150="",0,$M$9:$M$150),1)),1),$IH58)),4),"")</f>
        <v>3.1150000000000002</v>
      </c>
      <c r="IJ58" s="533">
        <f t="shared" si="112"/>
        <v>1613</v>
      </c>
      <c r="IK58" s="533" t="str">
        <f t="shared" si="382"/>
        <v>CPS-32193r1</v>
      </c>
      <c r="IL58" s="727">
        <f t="shared" si="225"/>
        <v>14.25</v>
      </c>
      <c r="IM58" s="759">
        <v>4.6178769825803601E-2</v>
      </c>
      <c r="IN58" s="5">
        <f t="shared" si="226"/>
        <v>1.1399999999999999</v>
      </c>
      <c r="IO58" s="771">
        <v>570</v>
      </c>
      <c r="IP58" s="9">
        <f t="shared" si="227"/>
        <v>-3.8047114750098086</v>
      </c>
      <c r="IQ58" s="5">
        <f t="shared" si="228"/>
        <v>-6.3400191214976628E-2</v>
      </c>
      <c r="IR58" s="5">
        <f t="shared" si="383"/>
        <v>0.314</v>
      </c>
      <c r="IS58" s="5">
        <f t="shared" si="229"/>
        <v>0.30330071252667318</v>
      </c>
      <c r="IT58" s="727">
        <f t="shared" si="230"/>
        <v>0.99999985561789118</v>
      </c>
      <c r="IU58" s="9">
        <f t="shared" si="231"/>
        <v>-3.8053982610503256</v>
      </c>
      <c r="IV58" s="5">
        <f t="shared" si="232"/>
        <v>-6.3300000000000051E-2</v>
      </c>
      <c r="IW58" s="5">
        <f t="shared" si="384"/>
        <v>0.25700000000000001</v>
      </c>
      <c r="IX58" s="5">
        <f t="shared" si="233"/>
        <v>0.25700000000000001</v>
      </c>
      <c r="IY58" s="762">
        <f t="shared" si="234"/>
        <v>0.99999985561788318</v>
      </c>
    </row>
    <row r="59" spans="1:259" ht="15" customHeight="1" x14ac:dyDescent="0.25">
      <c r="A59" s="79"/>
      <c r="B59" s="707">
        <v>3.1000611538497918</v>
      </c>
      <c r="C59" s="708">
        <v>-3.3497114889472801</v>
      </c>
      <c r="D59" s="709">
        <v>-0.1354163497902087</v>
      </c>
      <c r="E59" s="710">
        <v>0.7689049670553384</v>
      </c>
      <c r="F59" s="708">
        <v>0.55058326992883833</v>
      </c>
      <c r="G59" s="711">
        <v>0.32502802111832912</v>
      </c>
      <c r="H59" s="710">
        <v>0.26600000000000001</v>
      </c>
      <c r="I59" s="708">
        <v>0.52</v>
      </c>
      <c r="J59" s="570">
        <v>3.218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1313</v>
      </c>
      <c r="L59" s="320"/>
      <c r="M59" s="168">
        <f t="shared" si="239"/>
        <v>3.218</v>
      </c>
      <c r="N59" s="632">
        <f t="shared" si="240"/>
        <v>3.1000611538497918</v>
      </c>
      <c r="O59" s="629">
        <f t="shared" si="241"/>
        <v>-3.3497114889472801</v>
      </c>
      <c r="P59" s="633">
        <f t="shared" si="242"/>
        <v>-0.1354163497902087</v>
      </c>
      <c r="Q59" s="585">
        <f t="shared" si="113"/>
        <v>312.78336783406144</v>
      </c>
      <c r="R59" s="629">
        <f t="shared" si="79"/>
        <v>4.5640931428701039</v>
      </c>
      <c r="S59" s="634">
        <f t="shared" si="80"/>
        <v>-0.1354163497902087</v>
      </c>
      <c r="T59" s="635">
        <f t="shared" si="81"/>
        <v>-3.3497114889472792</v>
      </c>
      <c r="U59" s="629">
        <f t="shared" si="82"/>
        <v>-3.1000611538497922</v>
      </c>
      <c r="V59" s="636">
        <f t="shared" si="114"/>
        <v>-0.1354163497902087</v>
      </c>
      <c r="W59" s="585">
        <f t="shared" si="224"/>
        <v>222.78336783406144</v>
      </c>
      <c r="X59" s="629">
        <f t="shared" si="83"/>
        <v>4.5640931428701039</v>
      </c>
      <c r="Y59" s="630">
        <f t="shared" si="223"/>
        <v>-0.1354163497902087</v>
      </c>
      <c r="Z59" s="632">
        <f t="shared" si="243"/>
        <v>-0.7689049670553384</v>
      </c>
      <c r="AA59" s="629">
        <f t="shared" si="244"/>
        <v>-0.55058326992883833</v>
      </c>
      <c r="AB59" s="629">
        <f t="shared" si="245"/>
        <v>-0.32502802111832912</v>
      </c>
      <c r="AC59" s="636">
        <f t="shared" si="84"/>
        <v>1</v>
      </c>
      <c r="AD59" s="637">
        <f t="shared" si="115"/>
        <v>-0.7689049670553384</v>
      </c>
      <c r="AE59" s="629">
        <f t="shared" si="85"/>
        <v>-0.55058326992883833</v>
      </c>
      <c r="AF59" s="633">
        <f t="shared" si="86"/>
        <v>-0.32502802111832912</v>
      </c>
      <c r="AG59" s="602">
        <f t="shared" si="87"/>
        <v>-59.445202074179178</v>
      </c>
      <c r="AH59" s="603">
        <f t="shared" si="88"/>
        <v>140.25565743212564</v>
      </c>
      <c r="AI59" s="585">
        <f t="shared" si="89"/>
        <v>-71.032727352065734</v>
      </c>
      <c r="AJ59" s="586">
        <f t="shared" si="90"/>
        <v>-54.395005796096086</v>
      </c>
      <c r="AK59" s="635">
        <f t="shared" si="211"/>
        <v>0.93829189612613539</v>
      </c>
      <c r="AL59" s="629">
        <f t="shared" si="91"/>
        <v>-0.11817403755446731</v>
      </c>
      <c r="AM59" s="634">
        <f t="shared" si="92"/>
        <v>-0.32502802111832912</v>
      </c>
      <c r="AN59" s="581">
        <f t="shared" si="93"/>
        <v>-19.980308665378196</v>
      </c>
      <c r="AO59" s="582">
        <f t="shared" si="461"/>
        <v>20.23334683085579</v>
      </c>
      <c r="AP59" s="585">
        <f t="shared" si="95"/>
        <v>-7.178373630157532</v>
      </c>
      <c r="AQ59" s="586">
        <f t="shared" si="246"/>
        <v>0.49947904445806851</v>
      </c>
      <c r="AS59" s="52">
        <f t="shared" si="406"/>
        <v>-137.21663216593856</v>
      </c>
      <c r="AT59" s="72">
        <f t="shared" si="247"/>
        <v>-4.0127021897195803E-2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>Nose</v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3.218</v>
      </c>
      <c r="IH59" s="731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3.1179999999999999</v>
      </c>
      <c r="II59" s="734" cm="1">
        <f t="array" ref="II59">IFERROR(ROUND(VALUE(IF($IH59&lt;1,$IH59+LARGE((IF($M$9:$M$150="",0,$M$9:$M$150)-MOD(IF($M$9:$M$150="",0,$M$9:$M$150),1)),1),$IH59)),4),"")</f>
        <v>3.1179999999999999</v>
      </c>
      <c r="IJ59" s="533">
        <f t="shared" si="112"/>
        <v>1613</v>
      </c>
      <c r="IK59" s="533">
        <f>IF(ISNUMBER($II59),INDEX($K$9:$K$150,MATCH($IG59,$M$9:$M$150,0)),"")</f>
        <v>1313</v>
      </c>
      <c r="IL59" s="727">
        <f t="shared" si="225"/>
        <v>11.918898279123994</v>
      </c>
      <c r="IM59" s="759">
        <v>1.5690464313147599E-2</v>
      </c>
      <c r="IN59" s="5">
        <f t="shared" si="226"/>
        <v>0.44</v>
      </c>
      <c r="IO59" s="771">
        <v>220</v>
      </c>
      <c r="IP59" s="9">
        <f t="shared" si="227"/>
        <v>-4.5540137349054239</v>
      </c>
      <c r="IQ59" s="5">
        <f t="shared" si="228"/>
        <v>-0.17170051784876167</v>
      </c>
      <c r="IR59" s="5">
        <f t="shared" si="383"/>
        <v>0.314</v>
      </c>
      <c r="IS59" s="5">
        <f t="shared" si="229"/>
        <v>0.30284860084856086</v>
      </c>
      <c r="IT59" s="727">
        <f t="shared" si="230"/>
        <v>22.825532960409067</v>
      </c>
      <c r="IU59" s="9">
        <f t="shared" si="231"/>
        <v>-4.5640931428701039</v>
      </c>
      <c r="IV59" s="5">
        <f t="shared" si="232"/>
        <v>-0.1354163497902087</v>
      </c>
      <c r="IW59" s="5">
        <f t="shared" si="384"/>
        <v>0.26600000000000001</v>
      </c>
      <c r="IX59" s="5">
        <f t="shared" si="233"/>
        <v>0.24958564436955202</v>
      </c>
      <c r="IY59" s="762">
        <f t="shared" si="234"/>
        <v>19.980308665378196</v>
      </c>
    </row>
    <row r="60" spans="1:259" ht="15" customHeight="1" x14ac:dyDescent="0.25">
      <c r="A60" s="79"/>
      <c r="B60" s="707">
        <v>3.6205948104295191</v>
      </c>
      <c r="C60" s="708">
        <v>-3.8409981391389758</v>
      </c>
      <c r="D60" s="709">
        <v>-0.41987953046192555</v>
      </c>
      <c r="E60" s="710">
        <v>0.82680283977175517</v>
      </c>
      <c r="F60" s="708">
        <v>0.48611011027973478</v>
      </c>
      <c r="G60" s="711">
        <v>0.28300887765083566</v>
      </c>
      <c r="H60" s="710">
        <v>0.26600000000000001</v>
      </c>
      <c r="I60" s="708">
        <v>0.52</v>
      </c>
      <c r="J60" s="570">
        <v>3.2210000000000001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1313</v>
      </c>
      <c r="L60" s="320"/>
      <c r="M60" s="168">
        <f t="shared" si="239"/>
        <v>3.2210000000000001</v>
      </c>
      <c r="N60" s="632">
        <f t="shared" si="240"/>
        <v>3.6205948104295191</v>
      </c>
      <c r="O60" s="629">
        <f t="shared" si="241"/>
        <v>-3.8409981391389758</v>
      </c>
      <c r="P60" s="633">
        <f t="shared" si="242"/>
        <v>-0.41987953046192555</v>
      </c>
      <c r="Q60" s="585">
        <f t="shared" si="113"/>
        <v>313.30806775830416</v>
      </c>
      <c r="R60" s="629">
        <f t="shared" si="79"/>
        <v>5.2784442297118419</v>
      </c>
      <c r="S60" s="634">
        <f t="shared" si="80"/>
        <v>-0.41987953046192555</v>
      </c>
      <c r="T60" s="635">
        <f t="shared" si="81"/>
        <v>-3.8409981391389736</v>
      </c>
      <c r="U60" s="629">
        <f t="shared" si="82"/>
        <v>-3.6205948104295214</v>
      </c>
      <c r="V60" s="636">
        <f t="shared" si="114"/>
        <v>-0.41987953046192555</v>
      </c>
      <c r="W60" s="585">
        <f t="shared" si="224"/>
        <v>223.30806775830416</v>
      </c>
      <c r="X60" s="629">
        <f t="shared" si="83"/>
        <v>5.2784442297118419</v>
      </c>
      <c r="Y60" s="630">
        <f t="shared" si="223"/>
        <v>-0.41987953046192555</v>
      </c>
      <c r="Z60" s="632">
        <f t="shared" si="243"/>
        <v>-0.82680283977175517</v>
      </c>
      <c r="AA60" s="629">
        <f t="shared" si="244"/>
        <v>-0.48611011027973478</v>
      </c>
      <c r="AB60" s="629">
        <f t="shared" si="245"/>
        <v>-0.28300887765083566</v>
      </c>
      <c r="AC60" s="636">
        <f t="shared" si="84"/>
        <v>1</v>
      </c>
      <c r="AD60" s="637">
        <f t="shared" si="115"/>
        <v>-0.82680283977175517</v>
      </c>
      <c r="AE60" s="629">
        <f t="shared" si="85"/>
        <v>-0.48611011027973478</v>
      </c>
      <c r="AF60" s="633">
        <f t="shared" si="86"/>
        <v>-0.28300887765083566</v>
      </c>
      <c r="AG60" s="602">
        <f t="shared" si="87"/>
        <v>-59.79242564736257</v>
      </c>
      <c r="AH60" s="603">
        <f t="shared" si="88"/>
        <v>145.77169951047412</v>
      </c>
      <c r="AI60" s="585">
        <f t="shared" si="89"/>
        <v>-73.560133683569816</v>
      </c>
      <c r="AJ60" s="586">
        <f t="shared" si="90"/>
        <v>-59.547044517264808</v>
      </c>
      <c r="AK60" s="635">
        <f t="shared" si="211"/>
        <v>0.93507777988661456</v>
      </c>
      <c r="AL60" s="629">
        <f t="shared" si="91"/>
        <v>-0.2133905357159368</v>
      </c>
      <c r="AM60" s="634">
        <f t="shared" si="92"/>
        <v>-0.28300887765083566</v>
      </c>
      <c r="AN60" s="581">
        <f t="shared" si="93"/>
        <v>-37.016531188788008</v>
      </c>
      <c r="AO60" s="582">
        <f t="shared" si="461"/>
        <v>20.759285534121798</v>
      </c>
      <c r="AP60" s="585">
        <f t="shared" si="95"/>
        <v>-12.855112275568978</v>
      </c>
      <c r="AQ60" s="586">
        <f t="shared" si="246"/>
        <v>0.43188548660921283</v>
      </c>
      <c r="AS60" s="52">
        <f t="shared" si="406"/>
        <v>-136.69193224169584</v>
      </c>
      <c r="AT60" s="72">
        <f t="shared" si="247"/>
        <v>-0.32495457751630341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>Nose</v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3.2210000000000001</v>
      </c>
      <c r="IH60" s="731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3.121</v>
      </c>
      <c r="II60" s="734" cm="1">
        <f t="array" ref="II60">IFERROR(ROUND(VALUE(IF($IH60&lt;1,$IH60+LARGE((IF($M$9:$M$150="",0,$M$9:$M$150)-MOD(IF($M$9:$M$150="",0,$M$9:$M$150),1)),1),$IH60)),4),"")</f>
        <v>3.121</v>
      </c>
      <c r="IJ60" s="533">
        <f t="shared" si="112"/>
        <v>1613</v>
      </c>
      <c r="IK60" s="533">
        <f t="shared" si="382"/>
        <v>1313</v>
      </c>
      <c r="IL60" s="727">
        <f t="shared" si="225"/>
        <v>10.842598434522472</v>
      </c>
      <c r="IM60" s="759">
        <v>1.33751905717842E-2</v>
      </c>
      <c r="IN60" s="5">
        <f t="shared" si="226"/>
        <v>0.44</v>
      </c>
      <c r="IO60" s="771">
        <v>220</v>
      </c>
      <c r="IP60" s="9">
        <f t="shared" si="227"/>
        <v>-5.2595158626998426</v>
      </c>
      <c r="IQ60" s="5">
        <f t="shared" si="228"/>
        <v>-0.45510137258573979</v>
      </c>
      <c r="IR60" s="5">
        <f t="shared" si="383"/>
        <v>0.314</v>
      </c>
      <c r="IS60" s="5">
        <f t="shared" si="229"/>
        <v>0.30181119382189642</v>
      </c>
      <c r="IT60" s="727">
        <f t="shared" si="230"/>
        <v>41.823484736386028</v>
      </c>
      <c r="IU60" s="9">
        <f t="shared" si="231"/>
        <v>-5.2784442297118419</v>
      </c>
      <c r="IV60" s="5">
        <f t="shared" si="232"/>
        <v>-0.41987953046192555</v>
      </c>
      <c r="IW60" s="5">
        <f t="shared" si="384"/>
        <v>0.26600000000000001</v>
      </c>
      <c r="IX60" s="5">
        <f t="shared" si="233"/>
        <v>0.24873068944983948</v>
      </c>
      <c r="IY60" s="762">
        <f t="shared" si="234"/>
        <v>37.016531188788008</v>
      </c>
    </row>
    <row r="61" spans="1:259" ht="15" customHeight="1" x14ac:dyDescent="0.25">
      <c r="A61" s="79"/>
      <c r="B61" s="707">
        <v>4.0498364367417894</v>
      </c>
      <c r="C61" s="708">
        <v>-4.2930960351192615</v>
      </c>
      <c r="D61" s="709">
        <v>-0.86265864183492247</v>
      </c>
      <c r="E61" s="710">
        <v>0.87667625192386289</v>
      </c>
      <c r="F61" s="708">
        <v>0.42704769298527512</v>
      </c>
      <c r="G61" s="711">
        <v>0.22151527538452506</v>
      </c>
      <c r="H61" s="710">
        <v>0.26600000000000001</v>
      </c>
      <c r="I61" s="708">
        <v>0.52</v>
      </c>
      <c r="J61" s="570">
        <v>3.2240000000000002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1313</v>
      </c>
      <c r="L61" s="320"/>
      <c r="M61" s="168">
        <f t="shared" si="239"/>
        <v>3.2240000000000002</v>
      </c>
      <c r="N61" s="632">
        <f t="shared" si="240"/>
        <v>4.0498364367417894</v>
      </c>
      <c r="O61" s="629">
        <f t="shared" si="241"/>
        <v>-4.2930960351192615</v>
      </c>
      <c r="P61" s="633">
        <f t="shared" si="242"/>
        <v>-0.86265864183492247</v>
      </c>
      <c r="Q61" s="585">
        <f t="shared" si="113"/>
        <v>313.32986775515661</v>
      </c>
      <c r="R61" s="629">
        <f t="shared" si="79"/>
        <v>5.9018512969337138</v>
      </c>
      <c r="S61" s="634">
        <f t="shared" si="80"/>
        <v>-0.86265864183492247</v>
      </c>
      <c r="T61" s="635">
        <f t="shared" si="81"/>
        <v>-4.2930960351192615</v>
      </c>
      <c r="U61" s="629">
        <f t="shared" si="82"/>
        <v>-4.0498364367417894</v>
      </c>
      <c r="V61" s="636">
        <f t="shared" si="114"/>
        <v>-0.86265864183492247</v>
      </c>
      <c r="W61" s="585">
        <f t="shared" si="224"/>
        <v>223.32986775515661</v>
      </c>
      <c r="X61" s="629">
        <f t="shared" si="83"/>
        <v>5.9018512969337138</v>
      </c>
      <c r="Y61" s="630">
        <f t="shared" si="223"/>
        <v>-0.86265864183492247</v>
      </c>
      <c r="Z61" s="632">
        <f t="shared" si="243"/>
        <v>-0.87667625192386289</v>
      </c>
      <c r="AA61" s="629">
        <f t="shared" si="244"/>
        <v>-0.42704769298527512</v>
      </c>
      <c r="AB61" s="629">
        <f t="shared" si="245"/>
        <v>-0.22151527538452506</v>
      </c>
      <c r="AC61" s="636">
        <f t="shared" si="84"/>
        <v>1</v>
      </c>
      <c r="AD61" s="637">
        <f t="shared" si="115"/>
        <v>-0.87667625192386289</v>
      </c>
      <c r="AE61" s="629">
        <f t="shared" si="85"/>
        <v>-0.42704769298527512</v>
      </c>
      <c r="AF61" s="633">
        <f t="shared" si="86"/>
        <v>-0.22151527538452506</v>
      </c>
      <c r="AG61" s="602">
        <f t="shared" si="87"/>
        <v>-62.58363436664677</v>
      </c>
      <c r="AH61" s="603">
        <f t="shared" si="88"/>
        <v>151.24398452315322</v>
      </c>
      <c r="AI61" s="585">
        <f t="shared" si="89"/>
        <v>-77.201951994813342</v>
      </c>
      <c r="AJ61" s="586">
        <f t="shared" si="90"/>
        <v>-64.028299560817814</v>
      </c>
      <c r="AK61" s="635">
        <f t="shared" si="211"/>
        <v>0.93074670508045076</v>
      </c>
      <c r="AL61" s="629">
        <f t="shared" si="91"/>
        <v>-0.2909322150488024</v>
      </c>
      <c r="AM61" s="634">
        <f t="shared" si="92"/>
        <v>-0.22151527538452506</v>
      </c>
      <c r="AN61" s="581">
        <f t="shared" si="93"/>
        <v>-52.714418627818588</v>
      </c>
      <c r="AO61" s="582">
        <f t="shared" si="461"/>
        <v>21.44848662509629</v>
      </c>
      <c r="AP61" s="585">
        <f t="shared" si="95"/>
        <v>-17.358167315974416</v>
      </c>
      <c r="AQ61" s="586">
        <f t="shared" si="246"/>
        <v>0.38626728793313742</v>
      </c>
      <c r="AS61" s="52">
        <f t="shared" si="406"/>
        <v>-136.67013224484339</v>
      </c>
      <c r="AT61" s="72">
        <f t="shared" si="247"/>
        <v>-0.7677488277760034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>Taper</v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3.2240000000000002</v>
      </c>
      <c r="IH61" s="731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3.1240000000000001</v>
      </c>
      <c r="II61" s="734" cm="1">
        <f t="array" ref="II61">IFERROR(ROUND(VALUE(IF($IH61&lt;1,$IH61+LARGE((IF($M$9:$M$150="",0,$M$9:$M$150)-MOD(IF($M$9:$M$150="",0,$M$9:$M$150),1)),1),$IH61)),4),"")</f>
        <v>3.1240000000000001</v>
      </c>
      <c r="IJ61" s="533">
        <f t="shared" si="112"/>
        <v>1613</v>
      </c>
      <c r="IK61" s="533">
        <f t="shared" si="382"/>
        <v>1313</v>
      </c>
      <c r="IL61" s="727">
        <f t="shared" si="225"/>
        <v>10.195998527879965</v>
      </c>
      <c r="IM61" s="759">
        <v>1.12880320796438E-2</v>
      </c>
      <c r="IN61" s="5">
        <f t="shared" si="226"/>
        <v>0.42</v>
      </c>
      <c r="IO61" s="771">
        <v>210</v>
      </c>
      <c r="IP61" s="9">
        <f t="shared" si="227"/>
        <v>-5.8747177181486379</v>
      </c>
      <c r="IQ61" s="5">
        <f t="shared" si="228"/>
        <v>-0.89480269872493878</v>
      </c>
      <c r="IR61" s="5">
        <f t="shared" si="383"/>
        <v>0.314</v>
      </c>
      <c r="IS61" s="5">
        <f t="shared" si="229"/>
        <v>0.30041327069090429</v>
      </c>
      <c r="IT61" s="727">
        <f t="shared" si="230"/>
        <v>58.834841177276317</v>
      </c>
      <c r="IU61" s="9">
        <f t="shared" si="231"/>
        <v>-5.9018512969337138</v>
      </c>
      <c r="IV61" s="5">
        <f t="shared" si="232"/>
        <v>-0.86265864183492247</v>
      </c>
      <c r="IW61" s="5">
        <f t="shared" si="384"/>
        <v>0.26600000000000001</v>
      </c>
      <c r="IX61" s="5">
        <f t="shared" si="233"/>
        <v>0.24757862355139992</v>
      </c>
      <c r="IY61" s="762">
        <f t="shared" si="234"/>
        <v>52.714418627818588</v>
      </c>
    </row>
    <row r="62" spans="1:259" ht="15" customHeight="1" x14ac:dyDescent="0.25">
      <c r="A62" s="79"/>
      <c r="B62" s="707">
        <v>4.3684775561531417</v>
      </c>
      <c r="C62" s="708">
        <v>-4.6698629254415751</v>
      </c>
      <c r="D62" s="709">
        <v>-1.4704247075215391</v>
      </c>
      <c r="E62" s="710">
        <v>0.44276222790332159</v>
      </c>
      <c r="F62" s="708">
        <v>-0.4733084778451509</v>
      </c>
      <c r="G62" s="711">
        <v>0.76153837351901932</v>
      </c>
      <c r="H62" s="710">
        <v>0.25700000000000001</v>
      </c>
      <c r="I62" s="708">
        <v>0.41499999999999992</v>
      </c>
      <c r="J62" s="570">
        <v>3.2269999999999999</v>
      </c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CPS-32193r1</v>
      </c>
      <c r="L62" s="320"/>
      <c r="M62" s="168">
        <f t="shared" si="239"/>
        <v>3.2269999999999999</v>
      </c>
      <c r="N62" s="632">
        <f t="shared" si="240"/>
        <v>4.3684775561531417</v>
      </c>
      <c r="O62" s="629">
        <f t="shared" si="241"/>
        <v>-4.6698629254415751</v>
      </c>
      <c r="P62" s="633">
        <f t="shared" si="242"/>
        <v>-1.4704247075215391</v>
      </c>
      <c r="Q62" s="585">
        <f t="shared" si="113"/>
        <v>313.09016778976502</v>
      </c>
      <c r="R62" s="629">
        <f t="shared" si="79"/>
        <v>6.3946239843346122</v>
      </c>
      <c r="S62" s="634">
        <f t="shared" si="80"/>
        <v>-1.4704247075215391</v>
      </c>
      <c r="T62" s="635">
        <f t="shared" si="81"/>
        <v>-4.6698629254415742</v>
      </c>
      <c r="U62" s="629">
        <f t="shared" si="82"/>
        <v>-4.3684775561531426</v>
      </c>
      <c r="V62" s="636">
        <f t="shared" si="114"/>
        <v>-1.4704247075215391</v>
      </c>
      <c r="W62" s="585">
        <f t="shared" si="224"/>
        <v>223.09016778976502</v>
      </c>
      <c r="X62" s="629">
        <f t="shared" si="83"/>
        <v>6.3946239843346122</v>
      </c>
      <c r="Y62" s="630">
        <f t="shared" si="223"/>
        <v>-1.4704247075215391</v>
      </c>
      <c r="Z62" s="632">
        <f t="shared" si="243"/>
        <v>-0.44276222790332159</v>
      </c>
      <c r="AA62" s="629">
        <f t="shared" si="244"/>
        <v>0.4733084778451509</v>
      </c>
      <c r="AB62" s="629">
        <f t="shared" si="245"/>
        <v>-0.76153837351901932</v>
      </c>
      <c r="AC62" s="636">
        <f t="shared" si="84"/>
        <v>1</v>
      </c>
      <c r="AD62" s="637">
        <f t="shared" si="115"/>
        <v>-0.44276222790332159</v>
      </c>
      <c r="AE62" s="629">
        <f t="shared" si="85"/>
        <v>0.4733084778451509</v>
      </c>
      <c r="AF62" s="633">
        <f t="shared" si="86"/>
        <v>-0.76153837351901932</v>
      </c>
      <c r="AG62" s="602">
        <f t="shared" si="87"/>
        <v>31.86162303609812</v>
      </c>
      <c r="AH62" s="603">
        <f t="shared" si="88"/>
        <v>116.28025540177752</v>
      </c>
      <c r="AI62" s="585">
        <f t="shared" si="89"/>
        <v>-40.399994166964269</v>
      </c>
      <c r="AJ62" s="586">
        <f t="shared" si="90"/>
        <v>-136.90981216087079</v>
      </c>
      <c r="AK62" s="635">
        <f t="shared" si="211"/>
        <v>2.2679489664056973E-7</v>
      </c>
      <c r="AL62" s="629">
        <f t="shared" si="91"/>
        <v>-0.64811982353416342</v>
      </c>
      <c r="AM62" s="634">
        <f t="shared" si="92"/>
        <v>-0.76153837351901932</v>
      </c>
      <c r="AN62" s="581">
        <f t="shared" si="93"/>
        <v>-40.399994166962536</v>
      </c>
      <c r="AO62" s="582">
        <f t="shared" si="461"/>
        <v>0</v>
      </c>
      <c r="AP62" s="585">
        <f t="shared" si="95"/>
        <v>-89.99997995063579</v>
      </c>
      <c r="AQ62" s="586">
        <f t="shared" si="246"/>
        <v>0.35650215205833941</v>
      </c>
      <c r="AS62" s="52">
        <f t="shared" si="406"/>
        <v>-136.90983221023498</v>
      </c>
      <c r="AT62" s="72">
        <f t="shared" si="247"/>
        <v>-1.3753484351533203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>Taper</v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3.2269999999999999</v>
      </c>
      <c r="IH62" s="731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3.1269999999999998</v>
      </c>
      <c r="II62" s="734" cm="1">
        <f t="array" ref="II62">IFERROR(ROUND(VALUE(IF($IH62&lt;1,$IH62+LARGE((IF($M$9:$M$150="",0,$M$9:$M$150)-MOD(IF($M$9:$M$150="",0,$M$9:$M$150),1)),1),$IH62)),4),"")</f>
        <v>3.1269999999999998</v>
      </c>
      <c r="IJ62" s="533">
        <f t="shared" si="112"/>
        <v>1613</v>
      </c>
      <c r="IK62" s="533" t="str">
        <f t="shared" si="382"/>
        <v>CPS-32193r1</v>
      </c>
      <c r="IL62" s="727">
        <f t="shared" si="225"/>
        <v>9.8633985759014422</v>
      </c>
      <c r="IM62" s="759">
        <v>1.7411335369774801E-2</v>
      </c>
      <c r="IN62" s="5">
        <f t="shared" si="226"/>
        <v>1.46</v>
      </c>
      <c r="IO62" s="771">
        <v>730</v>
      </c>
      <c r="IP62" s="9">
        <f t="shared" si="227"/>
        <v>-6.3691192092635367</v>
      </c>
      <c r="IQ62" s="5">
        <f t="shared" si="228"/>
        <v>-1.4671044247869454</v>
      </c>
      <c r="IR62" s="5">
        <f t="shared" si="383"/>
        <v>0.314</v>
      </c>
      <c r="IS62" s="5">
        <f t="shared" si="229"/>
        <v>0.29895537421411972</v>
      </c>
      <c r="IT62" s="727">
        <f t="shared" si="230"/>
        <v>73.870669862897827</v>
      </c>
      <c r="IU62" s="9">
        <f t="shared" si="231"/>
        <v>-6.3946239843346122</v>
      </c>
      <c r="IV62" s="5">
        <f t="shared" si="232"/>
        <v>-1.4704247075215391</v>
      </c>
      <c r="IW62" s="5">
        <f t="shared" si="384"/>
        <v>0.25700000000000001</v>
      </c>
      <c r="IX62" s="5">
        <f t="shared" si="233"/>
        <v>0.25700000000000001</v>
      </c>
      <c r="IY62" s="762">
        <f t="shared" si="234"/>
        <v>40.399994166962536</v>
      </c>
    </row>
    <row r="63" spans="1:259" ht="15" customHeight="1" x14ac:dyDescent="0.25">
      <c r="A63" s="79"/>
      <c r="B63" s="707">
        <v>4.5753844913435442</v>
      </c>
      <c r="C63" s="708">
        <v>-4.9528359656144323</v>
      </c>
      <c r="D63" s="709">
        <v>-2.1414134222039372</v>
      </c>
      <c r="E63" s="710">
        <v>0.52132903445056389</v>
      </c>
      <c r="F63" s="708">
        <v>-0.56433632351747132</v>
      </c>
      <c r="G63" s="711">
        <v>0.6401097966736855</v>
      </c>
      <c r="H63" s="710">
        <v>0.25700000000000001</v>
      </c>
      <c r="I63" s="708">
        <v>0.41499999999999992</v>
      </c>
      <c r="J63" s="570">
        <v>3.23</v>
      </c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CPS-32193r1</v>
      </c>
      <c r="L63" s="320"/>
      <c r="M63" s="168">
        <f t="shared" si="239"/>
        <v>3.23</v>
      </c>
      <c r="N63" s="632">
        <f t="shared" si="240"/>
        <v>4.5753844913435442</v>
      </c>
      <c r="O63" s="629">
        <f t="shared" si="241"/>
        <v>-4.9528359656144323</v>
      </c>
      <c r="P63" s="633">
        <f t="shared" si="242"/>
        <v>-2.1414134222039372</v>
      </c>
      <c r="Q63" s="585">
        <f t="shared" si="113"/>
        <v>312.73146784155489</v>
      </c>
      <c r="R63" s="629">
        <f t="shared" si="79"/>
        <v>6.7427536916241326</v>
      </c>
      <c r="S63" s="634">
        <f t="shared" si="80"/>
        <v>-2.1414134222039372</v>
      </c>
      <c r="T63" s="635">
        <f t="shared" si="81"/>
        <v>-4.9528359656144323</v>
      </c>
      <c r="U63" s="629">
        <f t="shared" si="82"/>
        <v>-4.5753844913435442</v>
      </c>
      <c r="V63" s="636">
        <f t="shared" si="114"/>
        <v>-2.1414134222039372</v>
      </c>
      <c r="W63" s="585">
        <f t="shared" si="224"/>
        <v>222.73146784155489</v>
      </c>
      <c r="X63" s="629">
        <f t="shared" si="83"/>
        <v>6.7427536916241326</v>
      </c>
      <c r="Y63" s="630">
        <f t="shared" si="223"/>
        <v>-2.1414134222039372</v>
      </c>
      <c r="Z63" s="632">
        <f t="shared" si="243"/>
        <v>-0.52132903445056389</v>
      </c>
      <c r="AA63" s="629">
        <f t="shared" si="244"/>
        <v>0.56433632351747132</v>
      </c>
      <c r="AB63" s="629">
        <f t="shared" si="245"/>
        <v>-0.6401097966736855</v>
      </c>
      <c r="AC63" s="636">
        <f t="shared" si="84"/>
        <v>1</v>
      </c>
      <c r="AD63" s="637">
        <f t="shared" si="115"/>
        <v>-0.52132903445056389</v>
      </c>
      <c r="AE63" s="629">
        <f t="shared" si="85"/>
        <v>0.56433632351747132</v>
      </c>
      <c r="AF63" s="633">
        <f t="shared" si="86"/>
        <v>-0.6401097966736855</v>
      </c>
      <c r="AG63" s="602">
        <f t="shared" si="87"/>
        <v>41.400182599636025</v>
      </c>
      <c r="AH63" s="603">
        <f t="shared" si="88"/>
        <v>121.42144279231007</v>
      </c>
      <c r="AI63" s="585">
        <f t="shared" si="89"/>
        <v>-50.19999275201905</v>
      </c>
      <c r="AJ63" s="586">
        <f t="shared" si="90"/>
        <v>-137.26851524490817</v>
      </c>
      <c r="AK63" s="635">
        <f t="shared" si="211"/>
        <v>2.2679489664056973E-7</v>
      </c>
      <c r="AL63" s="629">
        <f t="shared" si="91"/>
        <v>-0.76828344261888248</v>
      </c>
      <c r="AM63" s="634">
        <f t="shared" si="92"/>
        <v>-0.6401097966736855</v>
      </c>
      <c r="AN63" s="581">
        <f t="shared" si="93"/>
        <v>-50.199992752017828</v>
      </c>
      <c r="AO63" s="582">
        <f t="shared" si="461"/>
        <v>0</v>
      </c>
      <c r="AP63" s="585">
        <f t="shared" si="95"/>
        <v>-89.999983086463061</v>
      </c>
      <c r="AQ63" s="586">
        <f t="shared" si="246"/>
        <v>0.33809631431133269</v>
      </c>
      <c r="AS63" s="52">
        <f t="shared" si="406"/>
        <v>-137.26853215844511</v>
      </c>
      <c r="AT63" s="72">
        <f t="shared" si="247"/>
        <v>-2.0460880526494614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>Taper</v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3.23</v>
      </c>
      <c r="IH63" s="731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3.13</v>
      </c>
      <c r="II63" s="734" cm="1">
        <f t="array" ref="II63">IFERROR(ROUND(VALUE(IF($IH63&lt;1,$IH63+LARGE((IF($M$9:$M$150="",0,$M$9:$M$150)-MOD(IF($M$9:$M$150="",0,$M$9:$M$150),1)),1),$IH63)),4),"")</f>
        <v>3.13</v>
      </c>
      <c r="IJ63" s="533">
        <f t="shared" si="112"/>
        <v>1613</v>
      </c>
      <c r="IK63" s="533" t="str">
        <f t="shared" si="382"/>
        <v>CPS-32193r1</v>
      </c>
      <c r="IL63" s="727">
        <f t="shared" si="225"/>
        <v>9.7952985857338604</v>
      </c>
      <c r="IM63" s="759">
        <v>1.02758045032975E-2</v>
      </c>
      <c r="IN63" s="5">
        <f t="shared" si="226"/>
        <v>1.5</v>
      </c>
      <c r="IO63" s="771">
        <v>750</v>
      </c>
      <c r="IP63" s="9">
        <f t="shared" si="227"/>
        <v>-6.7125202449610608</v>
      </c>
      <c r="IQ63" s="5">
        <f t="shared" si="228"/>
        <v>-2.1334064343538066</v>
      </c>
      <c r="IR63" s="5">
        <f t="shared" si="383"/>
        <v>0.314</v>
      </c>
      <c r="IS63" s="5">
        <f t="shared" si="229"/>
        <v>0.29776674410541398</v>
      </c>
      <c r="IT63" s="727">
        <f t="shared" si="230"/>
        <v>87.009516661023426</v>
      </c>
      <c r="IU63" s="9">
        <f t="shared" si="231"/>
        <v>-6.7427536916241326</v>
      </c>
      <c r="IV63" s="5">
        <f t="shared" si="232"/>
        <v>-2.1414134222039372</v>
      </c>
      <c r="IW63" s="5">
        <f t="shared" si="384"/>
        <v>0.25700000000000001</v>
      </c>
      <c r="IX63" s="5">
        <f t="shared" si="233"/>
        <v>0.25700000000000001</v>
      </c>
      <c r="IY63" s="762">
        <f t="shared" si="234"/>
        <v>50.199992752017828</v>
      </c>
    </row>
    <row r="64" spans="1:259" ht="15" customHeight="1" x14ac:dyDescent="0.25">
      <c r="A64" s="79"/>
      <c r="B64" s="707">
        <v>-0.57562808024239731</v>
      </c>
      <c r="C64" s="708">
        <v>-3.2645490663401526</v>
      </c>
      <c r="D64" s="709">
        <v>-8.9200269028011397E-2</v>
      </c>
      <c r="E64" s="710">
        <v>0.9567284800546707</v>
      </c>
      <c r="F64" s="708">
        <v>-0.13666835843392561</v>
      </c>
      <c r="G64" s="711">
        <v>0.25688981150535284</v>
      </c>
      <c r="H64" s="710">
        <v>0.314</v>
      </c>
      <c r="I64" s="708">
        <v>0.52</v>
      </c>
      <c r="J64" s="570">
        <v>4.1130000000000004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4.1130000000000004</v>
      </c>
      <c r="N64" s="632">
        <f t="shared" si="240"/>
        <v>-0.57562808024239731</v>
      </c>
      <c r="O64" s="629">
        <f t="shared" si="241"/>
        <v>-3.2645490663401526</v>
      </c>
      <c r="P64" s="633">
        <f t="shared" si="242"/>
        <v>-8.9200269028011397E-2</v>
      </c>
      <c r="Q64" s="585">
        <f t="shared" si="113"/>
        <v>260</v>
      </c>
      <c r="R64" s="629">
        <f t="shared" si="79"/>
        <v>3.3149099977685537</v>
      </c>
      <c r="S64" s="634">
        <f t="shared" si="80"/>
        <v>-8.9200269028011397E-2</v>
      </c>
      <c r="T64" s="635">
        <f t="shared" si="81"/>
        <v>-3.2645490663401526</v>
      </c>
      <c r="U64" s="629">
        <f t="shared" si="82"/>
        <v>0.5756280802423972</v>
      </c>
      <c r="V64" s="636">
        <f t="shared" si="114"/>
        <v>-8.9200269028011397E-2</v>
      </c>
      <c r="W64" s="585">
        <f t="shared" si="224"/>
        <v>170</v>
      </c>
      <c r="X64" s="629">
        <f t="shared" si="83"/>
        <v>3.3149099977685537</v>
      </c>
      <c r="Y64" s="630">
        <f t="shared" si="223"/>
        <v>-8.9200269028011397E-2</v>
      </c>
      <c r="Z64" s="632">
        <f t="shared" si="243"/>
        <v>-0.9567284800546707</v>
      </c>
      <c r="AA64" s="629">
        <f t="shared" si="244"/>
        <v>0.13666835843392561</v>
      </c>
      <c r="AB64" s="629">
        <f t="shared" si="245"/>
        <v>-0.25688981150535284</v>
      </c>
      <c r="AC64" s="636">
        <f t="shared" si="84"/>
        <v>1</v>
      </c>
      <c r="AD64" s="637">
        <f t="shared" si="115"/>
        <v>-0.9567284800546707</v>
      </c>
      <c r="AE64" s="629">
        <f t="shared" si="85"/>
        <v>0.13666835843392561</v>
      </c>
      <c r="AF64" s="633">
        <f t="shared" si="86"/>
        <v>-0.25688981150535284</v>
      </c>
      <c r="AG64" s="602">
        <f t="shared" si="87"/>
        <v>28.013495229636739</v>
      </c>
      <c r="AH64" s="603">
        <f t="shared" si="88"/>
        <v>163.08323454928231</v>
      </c>
      <c r="AI64" s="585">
        <f t="shared" si="89"/>
        <v>-75.114405734769164</v>
      </c>
      <c r="AJ64" s="586">
        <f t="shared" si="90"/>
        <v>-98.129683386391662</v>
      </c>
      <c r="AK64" s="635">
        <f t="shared" si="211"/>
        <v>0.96592583607220739</v>
      </c>
      <c r="AL64" s="629">
        <f t="shared" si="91"/>
        <v>3.1542098106364297E-2</v>
      </c>
      <c r="AM64" s="634">
        <f t="shared" si="92"/>
        <v>-0.25688981150535284</v>
      </c>
      <c r="AN64" s="581">
        <f t="shared" si="93"/>
        <v>6.9999989893252019</v>
      </c>
      <c r="AO64" s="582">
        <f t="shared" si="461"/>
        <v>14.999997834268255</v>
      </c>
      <c r="AP64" s="585">
        <f t="shared" si="95"/>
        <v>1.8703166136083318</v>
      </c>
      <c r="AQ64" s="586">
        <f t="shared" si="246"/>
        <v>0.68768598907990997</v>
      </c>
      <c r="AS64" s="52">
        <f t="shared" si="406"/>
        <v>-190</v>
      </c>
      <c r="AT64" s="72">
        <f t="shared" si="247"/>
        <v>4.274417541643305E-2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4.1130000000000004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-0.7032251460248079</v>
      </c>
      <c r="C65" s="708">
        <v>-3.9881879857485032</v>
      </c>
      <c r="D65" s="709">
        <v>-7.8900237963117695E-2</v>
      </c>
      <c r="E65" s="710">
        <v>0.94795967548191629</v>
      </c>
      <c r="F65" s="708">
        <v>-0.18639872038716832</v>
      </c>
      <c r="G65" s="711">
        <v>0.25812394444965064</v>
      </c>
      <c r="H65" s="710">
        <v>0.314</v>
      </c>
      <c r="I65" s="708">
        <v>0.52</v>
      </c>
      <c r="J65" s="570">
        <v>4.1159999999999997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1613</v>
      </c>
      <c r="L65" s="320"/>
      <c r="M65" s="168">
        <f t="shared" si="239"/>
        <v>4.1159999999999997</v>
      </c>
      <c r="N65" s="632">
        <f t="shared" si="240"/>
        <v>-0.7032251460248079</v>
      </c>
      <c r="O65" s="629">
        <f t="shared" si="241"/>
        <v>-3.9881879857485032</v>
      </c>
      <c r="P65" s="633">
        <f t="shared" si="242"/>
        <v>-7.8900237963117695E-2</v>
      </c>
      <c r="Q65" s="585">
        <f t="shared" si="113"/>
        <v>260</v>
      </c>
      <c r="R65" s="629">
        <f t="shared" si="79"/>
        <v>4.0497122139320361</v>
      </c>
      <c r="S65" s="634">
        <f t="shared" si="80"/>
        <v>-7.8900237963117695E-2</v>
      </c>
      <c r="T65" s="635">
        <f t="shared" si="81"/>
        <v>-3.9881879857485028</v>
      </c>
      <c r="U65" s="629">
        <f t="shared" si="82"/>
        <v>0.70322514602480779</v>
      </c>
      <c r="V65" s="636">
        <f t="shared" si="114"/>
        <v>-7.8900237963117695E-2</v>
      </c>
      <c r="W65" s="585">
        <f t="shared" si="224"/>
        <v>170</v>
      </c>
      <c r="X65" s="629">
        <f t="shared" si="83"/>
        <v>4.0497122139320361</v>
      </c>
      <c r="Y65" s="630">
        <f t="shared" si="223"/>
        <v>-7.8900237963117695E-2</v>
      </c>
      <c r="Z65" s="632">
        <f t="shared" si="243"/>
        <v>-0.94795967548191629</v>
      </c>
      <c r="AA65" s="629">
        <f t="shared" si="244"/>
        <v>0.18639872038716832</v>
      </c>
      <c r="AB65" s="629">
        <f t="shared" si="245"/>
        <v>-0.25812394444965064</v>
      </c>
      <c r="AC65" s="636">
        <f t="shared" si="84"/>
        <v>1</v>
      </c>
      <c r="AD65" s="637">
        <f t="shared" si="115"/>
        <v>-0.94795967548191629</v>
      </c>
      <c r="AE65" s="629">
        <f t="shared" si="85"/>
        <v>0.18639872038716832</v>
      </c>
      <c r="AF65" s="633">
        <f t="shared" si="86"/>
        <v>-0.25812394444965064</v>
      </c>
      <c r="AG65" s="602">
        <f t="shared" si="87"/>
        <v>35.834132976681929</v>
      </c>
      <c r="AH65" s="603">
        <f t="shared" si="88"/>
        <v>161.43438835432843</v>
      </c>
      <c r="AI65" s="585">
        <f t="shared" si="89"/>
        <v>-75.041227283859399</v>
      </c>
      <c r="AJ65" s="586">
        <f t="shared" si="90"/>
        <v>-101.12423437702314</v>
      </c>
      <c r="AK65" s="635">
        <f t="shared" si="211"/>
        <v>0.96592583607220739</v>
      </c>
      <c r="AL65" s="629">
        <f t="shared" si="91"/>
        <v>-1.8955434839668689E-2</v>
      </c>
      <c r="AM65" s="634">
        <f t="shared" si="92"/>
        <v>-0.25812394444965064</v>
      </c>
      <c r="AN65" s="581">
        <f t="shared" si="93"/>
        <v>-4.1999993935950801</v>
      </c>
      <c r="AO65" s="582">
        <f t="shared" si="461"/>
        <v>14.999997834268255</v>
      </c>
      <c r="AP65" s="585">
        <f t="shared" si="95"/>
        <v>-1.1242343770231573</v>
      </c>
      <c r="AQ65" s="586">
        <f t="shared" si="246"/>
        <v>0.56291735317004787</v>
      </c>
      <c r="AS65" s="52">
        <f t="shared" si="406"/>
        <v>-190</v>
      </c>
      <c r="AT65" s="72">
        <f t="shared" si="247"/>
        <v>5.3044206481326753E-2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4.1159999999999997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>
        <f t="shared" si="112"/>
        <v>1613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-0.87166829393455558</v>
      </c>
      <c r="C66" s="708">
        <v>-4.7191878862105643</v>
      </c>
      <c r="D66" s="709">
        <v>-0.2482007485734577</v>
      </c>
      <c r="E66" s="710">
        <v>0.9236980638214044</v>
      </c>
      <c r="F66" s="708">
        <v>-0.30403222495033944</v>
      </c>
      <c r="G66" s="711">
        <v>0.23312291411256678</v>
      </c>
      <c r="H66" s="710">
        <v>0.314</v>
      </c>
      <c r="I66" s="708">
        <v>0.52</v>
      </c>
      <c r="J66" s="570">
        <v>4.1189999999999998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1613</v>
      </c>
      <c r="L66" s="320"/>
      <c r="M66" s="168">
        <f t="shared" si="239"/>
        <v>4.1189999999999998</v>
      </c>
      <c r="N66" s="632">
        <f t="shared" si="240"/>
        <v>-0.87166829393455558</v>
      </c>
      <c r="O66" s="629">
        <f t="shared" si="241"/>
        <v>-4.7191878862105643</v>
      </c>
      <c r="P66" s="633">
        <f t="shared" si="242"/>
        <v>-0.2482007485734577</v>
      </c>
      <c r="Q66" s="585">
        <f t="shared" si="113"/>
        <v>259.53500006713773</v>
      </c>
      <c r="R66" s="629">
        <f t="shared" si="79"/>
        <v>4.7990144738276541</v>
      </c>
      <c r="S66" s="634">
        <f t="shared" si="80"/>
        <v>-0.2482007485734577</v>
      </c>
      <c r="T66" s="635">
        <f t="shared" si="81"/>
        <v>-4.7191878862105652</v>
      </c>
      <c r="U66" s="629">
        <f t="shared" si="82"/>
        <v>0.87166829393455247</v>
      </c>
      <c r="V66" s="636">
        <f t="shared" si="114"/>
        <v>-0.2482007485734577</v>
      </c>
      <c r="W66" s="585">
        <f t="shared" si="224"/>
        <v>169.53500006713773</v>
      </c>
      <c r="X66" s="629">
        <f t="shared" si="83"/>
        <v>4.7990144738276541</v>
      </c>
      <c r="Y66" s="630">
        <f t="shared" si="223"/>
        <v>-0.2482007485734577</v>
      </c>
      <c r="Z66" s="632">
        <f t="shared" si="243"/>
        <v>-0.9236980638214044</v>
      </c>
      <c r="AA66" s="629">
        <f t="shared" si="244"/>
        <v>0.30403222495033944</v>
      </c>
      <c r="AB66" s="629">
        <f t="shared" si="245"/>
        <v>-0.23312291411256678</v>
      </c>
      <c r="AC66" s="636">
        <f t="shared" si="84"/>
        <v>1</v>
      </c>
      <c r="AD66" s="637">
        <f t="shared" si="115"/>
        <v>-0.9236980638214044</v>
      </c>
      <c r="AE66" s="629">
        <f t="shared" si="85"/>
        <v>0.30403222495033944</v>
      </c>
      <c r="AF66" s="633">
        <f t="shared" si="86"/>
        <v>-0.23312291411256678</v>
      </c>
      <c r="AG66" s="602">
        <f t="shared" si="87"/>
        <v>52.520076954847553</v>
      </c>
      <c r="AH66" s="603">
        <f t="shared" si="88"/>
        <v>157.47284584390013</v>
      </c>
      <c r="AI66" s="585">
        <f t="shared" si="89"/>
        <v>-76.51899922445358</v>
      </c>
      <c r="AJ66" s="586">
        <f t="shared" si="90"/>
        <v>-108.21879267812731</v>
      </c>
      <c r="AK66" s="635">
        <f t="shared" si="211"/>
        <v>0.96355616123773713</v>
      </c>
      <c r="AL66" s="629">
        <f t="shared" si="91"/>
        <v>-0.13119920371885213</v>
      </c>
      <c r="AM66" s="634">
        <f t="shared" si="92"/>
        <v>-0.23312291411256678</v>
      </c>
      <c r="AN66" s="581">
        <f t="shared" si="93"/>
        <v>-29.37036637765372</v>
      </c>
      <c r="AO66" s="582">
        <f t="shared" si="461"/>
        <v>15.51592018763629</v>
      </c>
      <c r="AP66" s="585">
        <f t="shared" si="95"/>
        <v>-7.753792745265045</v>
      </c>
      <c r="AQ66" s="586">
        <f t="shared" si="246"/>
        <v>0.47502969820273633</v>
      </c>
      <c r="AS66" s="52">
        <f t="shared" si="406"/>
        <v>-190.46499993286227</v>
      </c>
      <c r="AT66" s="72">
        <f t="shared" si="247"/>
        <v>-0.11593338750897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4.1189999999999998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>
        <f t="shared" si="112"/>
        <v>1613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-1.0501640545678959</v>
      </c>
      <c r="C67" s="708">
        <v>-5.3743755300814486</v>
      </c>
      <c r="D67" s="709">
        <v>-0.58520176496852316</v>
      </c>
      <c r="E67" s="710">
        <v>0.90218136855830866</v>
      </c>
      <c r="F67" s="708">
        <v>-0.38767837274839029</v>
      </c>
      <c r="G67" s="711">
        <v>0.18914084045868415</v>
      </c>
      <c r="H67" s="710">
        <v>0.314</v>
      </c>
      <c r="I67" s="708">
        <v>0.52</v>
      </c>
      <c r="J67" s="570">
        <v>4.1219999999999999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1613</v>
      </c>
      <c r="L67" s="320"/>
      <c r="M67" s="168">
        <f t="shared" si="239"/>
        <v>4.1219999999999999</v>
      </c>
      <c r="N67" s="632">
        <f t="shared" si="240"/>
        <v>-1.0501640545678959</v>
      </c>
      <c r="O67" s="629">
        <f t="shared" si="241"/>
        <v>-5.3743755300814486</v>
      </c>
      <c r="P67" s="633">
        <f t="shared" si="242"/>
        <v>-0.58520176496852316</v>
      </c>
      <c r="Q67" s="585">
        <f t="shared" si="113"/>
        <v>258.94360015252528</v>
      </c>
      <c r="R67" s="629">
        <f>IF(M67="","",SQRT(N67^2+O67^2))</f>
        <v>5.4760165156658118</v>
      </c>
      <c r="S67" s="634">
        <f>IF(M67="","",P67)</f>
        <v>-0.58520176496852316</v>
      </c>
      <c r="T67" s="635">
        <f>IF(M67="","",X67*COS(RADIANS(W67)))</f>
        <v>-5.3743755300814495</v>
      </c>
      <c r="U67" s="629">
        <f>IF(M67="","",X67*SIN(RADIANS(W67)))</f>
        <v>1.0501640545678945</v>
      </c>
      <c r="V67" s="636">
        <f>IF(M67="","",Y67)</f>
        <v>-0.58520176496852316</v>
      </c>
      <c r="W67" s="585">
        <f t="shared" si="224"/>
        <v>168.94360015252528</v>
      </c>
      <c r="X67" s="629">
        <f>IF(M67="","",R67)</f>
        <v>5.4760165156658118</v>
      </c>
      <c r="Y67" s="630">
        <f t="shared" si="223"/>
        <v>-0.58520176496852316</v>
      </c>
      <c r="Z67" s="632">
        <f t="shared" si="243"/>
        <v>-0.90218136855830866</v>
      </c>
      <c r="AA67" s="629">
        <f t="shared" si="244"/>
        <v>0.38767837274839029</v>
      </c>
      <c r="AB67" s="629">
        <f t="shared" si="245"/>
        <v>-0.18914084045868415</v>
      </c>
      <c r="AC67" s="636">
        <f>IF(M67="","",SQRT(Z67^2+AA67^2+AB67^2))</f>
        <v>1</v>
      </c>
      <c r="AD67" s="637">
        <f>IF(M67="","",Z67*(1/SQRT(Z67^2+AA67^2+AB67^2)))</f>
        <v>-0.90218136855830866</v>
      </c>
      <c r="AE67" s="629">
        <f>IF(M67="","",AA67*(1/SQRT(Z67^2+AA67^2+AB67^2)))</f>
        <v>0.38767837274839029</v>
      </c>
      <c r="AF67" s="633">
        <f>IF(M67="","",AB67*(1/SQRT(Z67^2+AA67^2+AB67^2)))</f>
        <v>-0.18914084045868415</v>
      </c>
      <c r="AG67" s="602">
        <f>IF(M67="","",DEGREES(ATAN2(-AF67,AE67)))</f>
        <v>63.993139696411021</v>
      </c>
      <c r="AH67" s="603">
        <f>IF(M67="","",DEGREES(ACOS(AD67)))</f>
        <v>154.44629648987754</v>
      </c>
      <c r="AI67" s="585">
        <f>IF(M67="","",DEGREES(-ACOS(-AF67)))</f>
        <v>-79.097351115776803</v>
      </c>
      <c r="AJ67" s="586">
        <f>IF(M67="","",DEGREES(ATAN2(-AE67,AD67)))</f>
        <v>-113.25378852130495</v>
      </c>
      <c r="AK67" s="635">
        <f>IF(M67="","",(COS(RADIANS((90-$Q$8)-W67))*AD67)+(-SIN(RADIANS((90-$Q$8)-W67))*AE67))</f>
        <v>0.95978296406395436</v>
      </c>
      <c r="AL67" s="629">
        <f>IF(M67="","",(SIN(RADIANS((90-$Q$8)-W67))*AD67)+(COS(RADIANS((90-$Q$8)-W67))*AE67))</f>
        <v>-0.20746663433716916</v>
      </c>
      <c r="AM67" s="634">
        <f>IF(M67="","",AF67)</f>
        <v>-0.18914084045868415</v>
      </c>
      <c r="AN67" s="581">
        <f>IF(M67="","",DEGREES(ATAN2(-AM67,AL67)))</f>
        <v>-47.645548595001117</v>
      </c>
      <c r="AO67" s="582">
        <f t="shared" si="461"/>
        <v>16.304557437952528</v>
      </c>
      <c r="AP67" s="585">
        <f>IF(M67="","",DEGREES(ATAN2(AK67,AL67)))</f>
        <v>-12.197388673830242</v>
      </c>
      <c r="AQ67" s="586">
        <f t="shared" si="246"/>
        <v>0.41630380542103346</v>
      </c>
      <c r="AS67" s="52">
        <f t="shared" si="406"/>
        <v>-191.05639984747472</v>
      </c>
      <c r="AT67" s="72">
        <f t="shared" si="247"/>
        <v>-0.45252370951888793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4.1219999999999999</v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>
        <f t="shared" si="112"/>
        <v>1613</v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>
        <v>-1.2252854841404637</v>
      </c>
      <c r="C68" s="708">
        <v>-5.9292383025309041</v>
      </c>
      <c r="D68" s="709">
        <v>-1.0723032340665541</v>
      </c>
      <c r="E68" s="710">
        <v>0.88148204654618323</v>
      </c>
      <c r="F68" s="708">
        <v>-0.45415452016914304</v>
      </c>
      <c r="G68" s="711">
        <v>0.12935638146874781</v>
      </c>
      <c r="H68" s="710">
        <v>0.314</v>
      </c>
      <c r="I68" s="708">
        <v>0.52</v>
      </c>
      <c r="J68" s="570">
        <v>4.125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1613</v>
      </c>
      <c r="L68" s="320"/>
      <c r="M68" s="168">
        <f t="shared" si="239"/>
        <v>4.125</v>
      </c>
      <c r="N68" s="632">
        <f t="shared" si="240"/>
        <v>-1.2252854841404637</v>
      </c>
      <c r="O68" s="629">
        <f t="shared" si="241"/>
        <v>-5.9292383025309041</v>
      </c>
      <c r="P68" s="633">
        <f t="shared" si="242"/>
        <v>-1.0723032340665541</v>
      </c>
      <c r="Q68" s="585">
        <f t="shared" si="113"/>
        <v>258.32410024196997</v>
      </c>
      <c r="R68" s="629">
        <f>IF(M68="","",SQRT(N68^2+O68^2))</f>
        <v>6.0545182604270744</v>
      </c>
      <c r="S68" s="634">
        <f>IF(M68="","",P68)</f>
        <v>-1.0723032340665541</v>
      </c>
      <c r="T68" s="635">
        <f>IF(M68="","",X68*COS(RADIANS(W68)))</f>
        <v>-5.9292383025309032</v>
      </c>
      <c r="U68" s="629">
        <f>IF(M68="","",X68*SIN(RADIANS(W68)))</f>
        <v>1.2252854841404659</v>
      </c>
      <c r="V68" s="636">
        <f>IF(M68="","",Y68)</f>
        <v>-1.0723032340665541</v>
      </c>
      <c r="W68" s="585">
        <f t="shared" si="224"/>
        <v>168.32410024196997</v>
      </c>
      <c r="X68" s="629">
        <f>IF(M68="","",R68)</f>
        <v>6.0545182604270744</v>
      </c>
      <c r="Y68" s="630">
        <f t="shared" si="223"/>
        <v>-1.0723032340665541</v>
      </c>
      <c r="Z68" s="632">
        <f t="shared" si="243"/>
        <v>-0.88148204654618323</v>
      </c>
      <c r="AA68" s="629">
        <f t="shared" si="244"/>
        <v>0.45415452016914304</v>
      </c>
      <c r="AB68" s="629">
        <f t="shared" si="245"/>
        <v>-0.12935638146874781</v>
      </c>
      <c r="AC68" s="636">
        <f>IF(M68="","",SQRT(Z68^2+AA68^2+AB68^2))</f>
        <v>1</v>
      </c>
      <c r="AD68" s="637">
        <f>IF(M68="","",Z68*(1/SQRT(Z68^2+AA68^2+AB68^2)))</f>
        <v>-0.88148204654618323</v>
      </c>
      <c r="AE68" s="629">
        <f>IF(M68="","",AA68*(1/SQRT(Z68^2+AA68^2+AB68^2)))</f>
        <v>0.45415452016914304</v>
      </c>
      <c r="AF68" s="633">
        <f>IF(M68="","",AB68*(1/SQRT(Z68^2+AA68^2+AB68^2)))</f>
        <v>-0.12935638146874781</v>
      </c>
      <c r="AG68" s="602">
        <f>IF(M68="","",DEGREES(ATAN2(-AF68,AE68)))</f>
        <v>74.1015096062943</v>
      </c>
      <c r="AH68" s="603">
        <f>IF(M68="","",DEGREES(ACOS(AD68)))</f>
        <v>151.82166184001244</v>
      </c>
      <c r="AI68" s="585">
        <f>IF(M68="","",DEGREES(-ACOS(-AF68)))</f>
        <v>-82.567598342663018</v>
      </c>
      <c r="AJ68" s="586">
        <f>IF(M68="","",DEGREES(ATAN2(-AE68,AD68)))</f>
        <v>-117.25829262351488</v>
      </c>
      <c r="AK68" s="635">
        <f>IF(M68="","",(COS(RADIANS((90-$Q$8)-W68))*AD68)+(-SIN(RADIANS((90-$Q$8)-W68))*AE68))</f>
        <v>0.95515213692444401</v>
      </c>
      <c r="AL68" s="629">
        <f>IF(M68="","",(SIN(RADIANS((90-$Q$8)-W68))*AD68)+(COS(RADIANS((90-$Q$8)-W68))*AE68))</f>
        <v>-0.26636689340452979</v>
      </c>
      <c r="AM68" s="634">
        <f>IF(M68="","",AF68)</f>
        <v>-0.12935638146874781</v>
      </c>
      <c r="AN68" s="581">
        <f>IF(M68="","",DEGREES(ATAN2(-AM68,AL68)))</f>
        <v>-64.097290385030405</v>
      </c>
      <c r="AO68" s="582">
        <f t="shared" si="461"/>
        <v>17.224440294321123</v>
      </c>
      <c r="AP68" s="585">
        <f>IF(M68="","",DEGREES(ATAN2(AK68,AL68)))</f>
        <v>-15.58239286548484</v>
      </c>
      <c r="AQ68" s="586">
        <f t="shared" si="246"/>
        <v>0.37652769649895212</v>
      </c>
      <c r="AS68" s="52">
        <f t="shared" si="406"/>
        <v>-191.67589975803003</v>
      </c>
      <c r="AT68" s="72">
        <f t="shared" si="247"/>
        <v>-0.93919497034569999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4.125</v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>
        <f t="shared" si="112"/>
        <v>1613</v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>
        <v>-1.3750361872383572</v>
      </c>
      <c r="C69" s="708">
        <v>-6.3549614077344962</v>
      </c>
      <c r="D69" s="709">
        <v>-1.6819050726257001</v>
      </c>
      <c r="E69" s="710">
        <v>0.86489663975393305</v>
      </c>
      <c r="F69" s="708">
        <v>-0.49812047017926647</v>
      </c>
      <c r="G69" s="711">
        <v>6.1885375742108673E-2</v>
      </c>
      <c r="H69" s="710">
        <v>0.314</v>
      </c>
      <c r="I69" s="708">
        <v>0.52</v>
      </c>
      <c r="J69" s="570">
        <v>4.1280000000000001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1613</v>
      </c>
      <c r="L69" s="320"/>
      <c r="M69" s="168">
        <f t="shared" si="239"/>
        <v>4.1280000000000001</v>
      </c>
      <c r="N69" s="632">
        <f t="shared" si="240"/>
        <v>-1.3750361872383572</v>
      </c>
      <c r="O69" s="629">
        <f t="shared" si="241"/>
        <v>-6.3549614077344962</v>
      </c>
      <c r="P69" s="633">
        <f t="shared" si="242"/>
        <v>-1.6819050726257001</v>
      </c>
      <c r="Q69" s="585">
        <f t="shared" si="113"/>
        <v>257.79100031894012</v>
      </c>
      <c r="R69" s="629">
        <f t="shared" si="79"/>
        <v>6.5020196100911454</v>
      </c>
      <c r="S69" s="634">
        <f t="shared" si="80"/>
        <v>-1.6819050726257001</v>
      </c>
      <c r="T69" s="635">
        <f t="shared" si="81"/>
        <v>-6.3549614077344971</v>
      </c>
      <c r="U69" s="629">
        <f t="shared" si="82"/>
        <v>1.3750361872383545</v>
      </c>
      <c r="V69" s="636">
        <f t="shared" si="114"/>
        <v>-1.6819050726257001</v>
      </c>
      <c r="W69" s="585">
        <f t="shared" si="224"/>
        <v>167.79100031894012</v>
      </c>
      <c r="X69" s="629">
        <f t="shared" si="83"/>
        <v>6.5020196100911454</v>
      </c>
      <c r="Y69" s="630">
        <f t="shared" si="223"/>
        <v>-1.6819050726257001</v>
      </c>
      <c r="Z69" s="632">
        <f t="shared" si="243"/>
        <v>-0.86489663975393305</v>
      </c>
      <c r="AA69" s="629">
        <f t="shared" si="244"/>
        <v>0.49812047017926647</v>
      </c>
      <c r="AB69" s="629">
        <f t="shared" si="245"/>
        <v>-6.1885375742108673E-2</v>
      </c>
      <c r="AC69" s="636">
        <f t="shared" si="84"/>
        <v>1</v>
      </c>
      <c r="AD69" s="637">
        <f t="shared" si="115"/>
        <v>-0.86489663975393305</v>
      </c>
      <c r="AE69" s="629">
        <f t="shared" si="85"/>
        <v>0.49812047017926647</v>
      </c>
      <c r="AF69" s="633">
        <f t="shared" si="86"/>
        <v>-6.1885375742108673E-2</v>
      </c>
      <c r="AG69" s="602">
        <f t="shared" si="87"/>
        <v>82.917988429119475</v>
      </c>
      <c r="AH69" s="603">
        <f t="shared" si="88"/>
        <v>149.8709049600254</v>
      </c>
      <c r="AI69" s="585">
        <f t="shared" si="89"/>
        <v>-86.451961981576574</v>
      </c>
      <c r="AJ69" s="586">
        <f t="shared" si="90"/>
        <v>-119.93895817587284</v>
      </c>
      <c r="AK69" s="635">
        <f t="shared" si="211"/>
        <v>0.95067668356809465</v>
      </c>
      <c r="AL69" s="629">
        <f t="shared" si="91"/>
        <v>-0.30394743556942067</v>
      </c>
      <c r="AM69" s="634">
        <f t="shared" si="92"/>
        <v>-6.1885375742108673E-2</v>
      </c>
      <c r="AN69" s="581">
        <f t="shared" si="93"/>
        <v>-78.491570286976369</v>
      </c>
      <c r="AO69" s="582">
        <f t="shared" si="461"/>
        <v>18.070293248804521</v>
      </c>
      <c r="AP69" s="585">
        <f t="shared" si="95"/>
        <v>-17.729958494812948</v>
      </c>
      <c r="AQ69" s="586">
        <f t="shared" si="246"/>
        <v>0.35061385731706135</v>
      </c>
      <c r="AS69" s="52">
        <f t="shared" si="406"/>
        <v>-192.20899968105988</v>
      </c>
      <c r="AT69" s="72">
        <f t="shared" si="247"/>
        <v>-1.5484266006249641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4.1280000000000001</v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>
        <f t="shared" si="112"/>
        <v>1613</v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>
        <v>-1.4782279526328646</v>
      </c>
      <c r="C70" s="708">
        <v>-6.6277725240381713</v>
      </c>
      <c r="D70" s="709">
        <v>-2.3702071485447602</v>
      </c>
      <c r="E70" s="710">
        <v>0.85497899846421832</v>
      </c>
      <c r="F70" s="708">
        <v>-0.51863625125436397</v>
      </c>
      <c r="G70" s="711">
        <v>-5.2298250393851831E-3</v>
      </c>
      <c r="H70" s="710">
        <v>0.314</v>
      </c>
      <c r="I70" s="708">
        <v>0.52</v>
      </c>
      <c r="J70" s="570">
        <v>4.1310000000000002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1613</v>
      </c>
      <c r="L70" s="320"/>
      <c r="M70" s="168">
        <f t="shared" si="239"/>
        <v>4.1310000000000002</v>
      </c>
      <c r="N70" s="632">
        <f t="shared" si="240"/>
        <v>-1.4782279526328646</v>
      </c>
      <c r="O70" s="629">
        <f t="shared" si="241"/>
        <v>-6.6277725240381713</v>
      </c>
      <c r="P70" s="633">
        <f t="shared" si="242"/>
        <v>-2.3702071485447602</v>
      </c>
      <c r="Q70" s="585">
        <f t="shared" si="113"/>
        <v>257.42680037152405</v>
      </c>
      <c r="R70" s="629">
        <f t="shared" si="79"/>
        <v>6.7906204805113699</v>
      </c>
      <c r="S70" s="634">
        <f t="shared" si="80"/>
        <v>-2.3702071485447602</v>
      </c>
      <c r="T70" s="635">
        <f t="shared" si="81"/>
        <v>-6.6277725240381713</v>
      </c>
      <c r="U70" s="629">
        <f t="shared" si="82"/>
        <v>1.4782279526328652</v>
      </c>
      <c r="V70" s="636">
        <f t="shared" si="114"/>
        <v>-2.3702071485447602</v>
      </c>
      <c r="W70" s="585">
        <f t="shared" si="224"/>
        <v>167.42680037152405</v>
      </c>
      <c r="X70" s="629">
        <f t="shared" si="83"/>
        <v>6.7906204805113699</v>
      </c>
      <c r="Y70" s="630">
        <f t="shared" si="223"/>
        <v>-2.3702071485447602</v>
      </c>
      <c r="Z70" s="632">
        <f t="shared" si="243"/>
        <v>-0.85497899846421832</v>
      </c>
      <c r="AA70" s="629">
        <f t="shared" si="244"/>
        <v>0.51863625125436397</v>
      </c>
      <c r="AB70" s="629">
        <f t="shared" si="245"/>
        <v>5.2298250393851831E-3</v>
      </c>
      <c r="AC70" s="636">
        <f t="shared" si="84"/>
        <v>1</v>
      </c>
      <c r="AD70" s="637">
        <f t="shared" si="115"/>
        <v>-0.85497899846421832</v>
      </c>
      <c r="AE70" s="629">
        <f t="shared" si="85"/>
        <v>0.51863625125436397</v>
      </c>
      <c r="AF70" s="633">
        <f t="shared" si="86"/>
        <v>5.2298250393851831E-3</v>
      </c>
      <c r="AG70" s="602">
        <f t="shared" si="87"/>
        <v>90.577739689244879</v>
      </c>
      <c r="AH70" s="603">
        <f t="shared" si="88"/>
        <v>148.75741470235954</v>
      </c>
      <c r="AI70" s="585">
        <f t="shared" si="89"/>
        <v>-90.299648268309312</v>
      </c>
      <c r="AJ70" s="586">
        <f t="shared" si="90"/>
        <v>-121.24129361913114</v>
      </c>
      <c r="AK70" s="635">
        <f t="shared" si="211"/>
        <v>0.94737571286258715</v>
      </c>
      <c r="AL70" s="629">
        <f t="shared" si="91"/>
        <v>-0.3200810953620386</v>
      </c>
      <c r="AM70" s="634">
        <f t="shared" si="92"/>
        <v>5.2298250393851831E-3</v>
      </c>
      <c r="AN70" s="581">
        <f t="shared" si="93"/>
        <v>-90.936076031622974</v>
      </c>
      <c r="AO70" s="582">
        <f t="shared" si="461"/>
        <v>18.670413019422657</v>
      </c>
      <c r="AP70" s="585">
        <f t="shared" si="95"/>
        <v>-18.668093990655187</v>
      </c>
      <c r="AQ70" s="586">
        <f t="shared" si="246"/>
        <v>0.33571314281299119</v>
      </c>
      <c r="AS70" s="52">
        <f t="shared" si="406"/>
        <v>-192.57319962847595</v>
      </c>
      <c r="AT70" s="72">
        <f t="shared" si="247"/>
        <v>-2.236475759913874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4.1310000000000002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>
        <f t="shared" si="112"/>
        <v>1613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-1.5446624599981438</v>
      </c>
      <c r="C71" s="708">
        <v>-6.7957829321067988</v>
      </c>
      <c r="D71" s="709">
        <v>-3.0810092923240258</v>
      </c>
      <c r="E71" s="710">
        <v>0.80976569364329187</v>
      </c>
      <c r="F71" s="708">
        <v>-0.58596470976890125</v>
      </c>
      <c r="G71" s="711">
        <v>-3.0411844795176082E-2</v>
      </c>
      <c r="H71" s="710">
        <v>0.314</v>
      </c>
      <c r="I71" s="708">
        <v>0.52</v>
      </c>
      <c r="J71" s="570">
        <v>4.1340000000000003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1613</v>
      </c>
      <c r="L71" s="320"/>
      <c r="M71" s="168">
        <f t="shared" si="239"/>
        <v>4.1340000000000003</v>
      </c>
      <c r="N71" s="632">
        <f t="shared" si="240"/>
        <v>-1.5446624599981438</v>
      </c>
      <c r="O71" s="629">
        <f t="shared" si="241"/>
        <v>-6.7957829321067988</v>
      </c>
      <c r="P71" s="633">
        <f t="shared" si="242"/>
        <v>-3.0810092923240258</v>
      </c>
      <c r="Q71" s="585">
        <f t="shared" si="113"/>
        <v>257.19440040507845</v>
      </c>
      <c r="R71" s="629">
        <f t="shared" si="79"/>
        <v>6.9691210188689929</v>
      </c>
      <c r="S71" s="634">
        <f t="shared" si="80"/>
        <v>-3.0810092923240258</v>
      </c>
      <c r="T71" s="635">
        <f t="shared" si="81"/>
        <v>-6.795782932106798</v>
      </c>
      <c r="U71" s="629">
        <f t="shared" si="82"/>
        <v>1.5446624599981469</v>
      </c>
      <c r="V71" s="636">
        <f t="shared" si="114"/>
        <v>-3.0810092923240258</v>
      </c>
      <c r="W71" s="585">
        <f t="shared" si="224"/>
        <v>167.19440040507845</v>
      </c>
      <c r="X71" s="629">
        <f t="shared" si="83"/>
        <v>6.9691210188689929</v>
      </c>
      <c r="Y71" s="630">
        <f t="shared" si="223"/>
        <v>-3.0810092923240258</v>
      </c>
      <c r="Z71" s="632">
        <f t="shared" si="243"/>
        <v>-0.80976569364329187</v>
      </c>
      <c r="AA71" s="629">
        <f t="shared" si="244"/>
        <v>0.58596470976890125</v>
      </c>
      <c r="AB71" s="629">
        <f t="shared" si="245"/>
        <v>3.0411844795176082E-2</v>
      </c>
      <c r="AC71" s="636">
        <f t="shared" si="84"/>
        <v>1</v>
      </c>
      <c r="AD71" s="637">
        <f t="shared" si="115"/>
        <v>-0.80976569364329187</v>
      </c>
      <c r="AE71" s="629">
        <f t="shared" si="85"/>
        <v>0.58596470976890125</v>
      </c>
      <c r="AF71" s="633">
        <f t="shared" si="86"/>
        <v>3.0411844795176082E-2</v>
      </c>
      <c r="AG71" s="602">
        <f t="shared" si="87"/>
        <v>92.971012261325015</v>
      </c>
      <c r="AH71" s="603">
        <f t="shared" si="88"/>
        <v>144.07304536682889</v>
      </c>
      <c r="AI71" s="585">
        <f t="shared" si="89"/>
        <v>-91.742739061905795</v>
      </c>
      <c r="AJ71" s="586">
        <f t="shared" si="90"/>
        <v>-125.89034672844443</v>
      </c>
      <c r="AK71" s="635">
        <f t="shared" si="211"/>
        <v>0.91950040077943673</v>
      </c>
      <c r="AL71" s="629">
        <f t="shared" si="91"/>
        <v>-0.39191087336613839</v>
      </c>
      <c r="AM71" s="634">
        <f t="shared" si="92"/>
        <v>3.0411844795176082E-2</v>
      </c>
      <c r="AN71" s="581">
        <f t="shared" si="93"/>
        <v>-94.437196250007119</v>
      </c>
      <c r="AO71" s="582">
        <f t="shared" si="461"/>
        <v>23.146847115865825</v>
      </c>
      <c r="AP71" s="585">
        <f t="shared" si="95"/>
        <v>-23.08474713352286</v>
      </c>
      <c r="AQ71" s="586">
        <f t="shared" si="246"/>
        <v>0.32711469011332467</v>
      </c>
      <c r="AS71" s="52">
        <f t="shared" si="406"/>
        <v>-192.80559959492155</v>
      </c>
      <c r="AT71" s="72">
        <f t="shared" si="247"/>
        <v>-2.9471165148275524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4.1340000000000003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>
        <f t="shared" si="112"/>
        <v>1613</v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-1.5855538743170845</v>
      </c>
      <c r="C72" s="708">
        <v>-6.8965033116819665</v>
      </c>
      <c r="D72" s="709">
        <v>-3.782711408657609</v>
      </c>
      <c r="E72" s="710">
        <v>0.75900560859238064</v>
      </c>
      <c r="F72" s="708">
        <v>-0.65082320934191917</v>
      </c>
      <c r="G72" s="711">
        <v>-1.8429224270010727E-2</v>
      </c>
      <c r="H72" s="710">
        <v>0.314</v>
      </c>
      <c r="I72" s="708">
        <v>0.52</v>
      </c>
      <c r="J72" s="570">
        <v>4.1369999999999996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1613</v>
      </c>
      <c r="L72" s="320"/>
      <c r="M72" s="168">
        <f t="shared" si="239"/>
        <v>4.1369999999999996</v>
      </c>
      <c r="N72" s="632">
        <f t="shared" si="240"/>
        <v>-1.5855538743170845</v>
      </c>
      <c r="O72" s="629">
        <f t="shared" si="241"/>
        <v>-6.8965033116819665</v>
      </c>
      <c r="P72" s="633">
        <f t="shared" si="242"/>
        <v>-3.782711408657609</v>
      </c>
      <c r="Q72" s="585">
        <f t="shared" si="113"/>
        <v>257.05230042559515</v>
      </c>
      <c r="R72" s="629">
        <f t="shared" si="79"/>
        <v>7.0764213424867686</v>
      </c>
      <c r="S72" s="634">
        <f t="shared" si="80"/>
        <v>-3.782711408657609</v>
      </c>
      <c r="T72" s="635">
        <f t="shared" si="81"/>
        <v>-6.8965033116819656</v>
      </c>
      <c r="U72" s="629">
        <f t="shared" si="82"/>
        <v>1.5855538743170852</v>
      </c>
      <c r="V72" s="636">
        <f t="shared" si="114"/>
        <v>-3.782711408657609</v>
      </c>
      <c r="W72" s="585">
        <f t="shared" si="224"/>
        <v>167.05230042559515</v>
      </c>
      <c r="X72" s="629">
        <f t="shared" si="83"/>
        <v>7.0764213424867686</v>
      </c>
      <c r="Y72" s="630">
        <f t="shared" si="223"/>
        <v>-3.782711408657609</v>
      </c>
      <c r="Z72" s="632">
        <f t="shared" si="243"/>
        <v>-0.75900560859238064</v>
      </c>
      <c r="AA72" s="629">
        <f t="shared" si="244"/>
        <v>0.65082320934191917</v>
      </c>
      <c r="AB72" s="629">
        <f t="shared" si="245"/>
        <v>1.8429224270010727E-2</v>
      </c>
      <c r="AC72" s="636">
        <f t="shared" si="84"/>
        <v>1</v>
      </c>
      <c r="AD72" s="637">
        <f t="shared" si="115"/>
        <v>-0.75900560859238064</v>
      </c>
      <c r="AE72" s="629">
        <f t="shared" si="85"/>
        <v>0.65082320934191917</v>
      </c>
      <c r="AF72" s="633">
        <f t="shared" si="86"/>
        <v>1.8429224270010727E-2</v>
      </c>
      <c r="AG72" s="602">
        <f t="shared" si="87"/>
        <v>91.621999131674229</v>
      </c>
      <c r="AH72" s="603">
        <f t="shared" si="88"/>
        <v>139.37661279061498</v>
      </c>
      <c r="AI72" s="585">
        <f t="shared" si="89"/>
        <v>-91.05597655078752</v>
      </c>
      <c r="AJ72" s="586">
        <f t="shared" si="90"/>
        <v>-130.61204035624817</v>
      </c>
      <c r="AK72" s="635">
        <f t="shared" si="211"/>
        <v>0.88553234057541075</v>
      </c>
      <c r="AL72" s="629">
        <f t="shared" si="91"/>
        <v>-0.46421206090303213</v>
      </c>
      <c r="AM72" s="634">
        <f t="shared" si="92"/>
        <v>1.8429224270010727E-2</v>
      </c>
      <c r="AN72" s="581">
        <f t="shared" si="93"/>
        <v>-92.273449233609028</v>
      </c>
      <c r="AO72" s="582">
        <f t="shared" si="461"/>
        <v>27.682897343295448</v>
      </c>
      <c r="AP72" s="585">
        <f t="shared" si="95"/>
        <v>-27.664340781843329</v>
      </c>
      <c r="AQ72" s="586">
        <f t="shared" si="246"/>
        <v>0.32215473013413348</v>
      </c>
      <c r="AS72" s="52">
        <f t="shared" si="406"/>
        <v>-192.94769957440485</v>
      </c>
      <c r="AT72" s="72">
        <f t="shared" si="247"/>
        <v>-3.648719950619828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4.1369999999999996</v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>
        <f t="shared" si="112"/>
        <v>1613</v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>
        <v>-1.6154531352523303</v>
      </c>
      <c r="C73" s="708">
        <v>-6.9689341759953258</v>
      </c>
      <c r="D73" s="709">
        <v>-4.4417133962076027</v>
      </c>
      <c r="E73" s="710">
        <v>0.70276568800325157</v>
      </c>
      <c r="F73" s="708">
        <v>-0.71136532357882287</v>
      </c>
      <c r="G73" s="711">
        <v>8.9310791572639325E-3</v>
      </c>
      <c r="H73" s="710">
        <v>0.26600000000000001</v>
      </c>
      <c r="I73" s="708">
        <v>0.52</v>
      </c>
      <c r="J73" s="570">
        <v>4.1399999999999997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1313</v>
      </c>
      <c r="L73" s="320"/>
      <c r="M73" s="168">
        <f t="shared" ref="M73:M104" si="464">IF(J73="","",VALUE(J73))</f>
        <v>4.1399999999999997</v>
      </c>
      <c r="N73" s="632">
        <f t="shared" ref="N73:N104" si="465">IF(M73="","",B73)</f>
        <v>-1.6154531352523303</v>
      </c>
      <c r="O73" s="629">
        <f t="shared" ref="O73:O104" si="466">IF(M73="","",C73)</f>
        <v>-6.9689341759953258</v>
      </c>
      <c r="P73" s="633">
        <f t="shared" ref="P73:P104" si="467">IF(M73="","",D73)</f>
        <v>-4.4417133962076027</v>
      </c>
      <c r="Q73" s="585">
        <f t="shared" si="113"/>
        <v>256.94890044052431</v>
      </c>
      <c r="R73" s="629">
        <f>IF(M73="","",SQRT(N73^2+O73^2))</f>
        <v>7.1537215756242727</v>
      </c>
      <c r="S73" s="634">
        <f>IF(M73="","",P73)</f>
        <v>-4.4417133962076027</v>
      </c>
      <c r="T73" s="635">
        <f>IF(M73="","",X73*COS(RADIANS(W73)))</f>
        <v>-6.9689341759953267</v>
      </c>
      <c r="U73" s="629">
        <f>IF(M73="","",X73*SIN(RADIANS(W73)))</f>
        <v>1.6154531352523245</v>
      </c>
      <c r="V73" s="636">
        <f>IF(M73="","",Y73)</f>
        <v>-4.4417133962076027</v>
      </c>
      <c r="W73" s="585">
        <f t="shared" si="224"/>
        <v>166.94890044052431</v>
      </c>
      <c r="X73" s="629">
        <f>IF(M73="","",R73)</f>
        <v>7.1537215756242727</v>
      </c>
      <c r="Y73" s="630">
        <f t="shared" si="223"/>
        <v>-4.4417133962076027</v>
      </c>
      <c r="Z73" s="632">
        <f t="shared" ref="Z73:Z104" si="468">IF(M73="","",-E73)</f>
        <v>-0.70276568800325157</v>
      </c>
      <c r="AA73" s="629">
        <f t="shared" ref="AA73:AA104" si="469">IF(M73="","",-F73)</f>
        <v>0.71136532357882287</v>
      </c>
      <c r="AB73" s="629">
        <f t="shared" ref="AB73:AB104" si="470">IF(M73="","",-G73)</f>
        <v>-8.9310791572639325E-3</v>
      </c>
      <c r="AC73" s="636">
        <f>IF(M73="","",SQRT(Z73^2+AA73^2+AB73^2))</f>
        <v>1</v>
      </c>
      <c r="AD73" s="637">
        <f>IF(M73="","",Z73*(1/SQRT(Z73^2+AA73^2+AB73^2)))</f>
        <v>-0.70276568800325157</v>
      </c>
      <c r="AE73" s="629">
        <f>IF(M73="","",AA73*(1/SQRT(Z73^2+AA73^2+AB73^2)))</f>
        <v>0.71136532357882287</v>
      </c>
      <c r="AF73" s="633">
        <f>IF(M73="","",AB73*(1/SQRT(Z73^2+AA73^2+AB73^2)))</f>
        <v>-8.9310791572639325E-3</v>
      </c>
      <c r="AG73" s="602">
        <f>IF(M73="","",DEGREES(ATAN2(-AF73,AE73)))</f>
        <v>89.280698339249128</v>
      </c>
      <c r="AH73" s="603">
        <f>IF(M73="","",DEGREES(ACOS(AD73)))</f>
        <v>134.64931885421447</v>
      </c>
      <c r="AI73" s="585">
        <f>IF(M73="","",DEGREES(-ACOS(-AF73)))</f>
        <v>-89.488280054817906</v>
      </c>
      <c r="AJ73" s="586">
        <f>IF(M73="","",DEGREES(ATAN2(-AE73,AD73)))</f>
        <v>-135.34842369349499</v>
      </c>
      <c r="AK73" s="635">
        <f>IF(M73="","",(COS(RADIANS((90-$Q$8)-W73))*AD73)+(-SIN(RADIANS((90-$Q$8)-W73))*AE73))</f>
        <v>0.84525307550849904</v>
      </c>
      <c r="AL73" s="629">
        <f>IF(M73="","",(SIN(RADIANS((90-$Q$8)-W73))*AD73)+(COS(RADIANS((90-$Q$8)-W73))*AE73))</f>
        <v>-0.53429156288351631</v>
      </c>
      <c r="AM73" s="634">
        <f>IF(M73="","",AF73)</f>
        <v>-8.9310791572639325E-3</v>
      </c>
      <c r="AN73" s="581">
        <f>IF(M73="","",DEGREES(ATAN2(-AM73,AL73)))</f>
        <v>-89.042347801341236</v>
      </c>
      <c r="AO73" s="582">
        <f t="shared" si="461"/>
        <v>32.300939031165235</v>
      </c>
      <c r="AP73" s="585">
        <f>IF(M73="","",DEGREES(ATAN2(AK73,AL73)))</f>
        <v>-32.297324134019306</v>
      </c>
      <c r="AQ73" s="586">
        <f t="shared" ref="AQ73:AQ104" si="471">IF(M73="","",DEGREES(ATAN(($AS$5*SIN(RADIANS(90)))/(($X73*2*PI())-($AS$5*COS(RADIANS(90)))))))</f>
        <v>0.31867372809781563</v>
      </c>
      <c r="AS73" s="52">
        <f t="shared" si="406"/>
        <v>-193.05109955947569</v>
      </c>
      <c r="AT73" s="72">
        <f t="shared" ref="AT73:AT104" si="472">IF(M73="","",Y73+(((AS73-$AS$9)*$AS$6)*-1))</f>
        <v>-4.3076501326246337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4.1399999999999997</v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>
        <f t="shared" si="112"/>
        <v>1313</v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>
        <v>-1.6159681954938854</v>
      </c>
      <c r="C74" s="708">
        <v>-3.716472410977437</v>
      </c>
      <c r="D74" s="709">
        <v>-7.779999999999998E-2</v>
      </c>
      <c r="E74" s="710">
        <v>-2.9203450720929645E-2</v>
      </c>
      <c r="F74" s="708">
        <v>-6.716390726007071E-2</v>
      </c>
      <c r="G74" s="711">
        <v>0.99731447799956818</v>
      </c>
      <c r="H74" s="710">
        <v>0.25700000000000001</v>
      </c>
      <c r="I74" s="708">
        <v>0.41499999999999992</v>
      </c>
      <c r="J74" s="570">
        <v>4.2160000000000002</v>
      </c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CPS-32193r1</v>
      </c>
      <c r="L74" s="320"/>
      <c r="M74" s="168">
        <f t="shared" si="464"/>
        <v>4.2160000000000002</v>
      </c>
      <c r="N74" s="632">
        <f t="shared" si="465"/>
        <v>-1.6159681954938854</v>
      </c>
      <c r="O74" s="629">
        <f t="shared" si="466"/>
        <v>-3.716472410977437</v>
      </c>
      <c r="P74" s="633">
        <f t="shared" si="467"/>
        <v>-7.779999999999998E-2</v>
      </c>
      <c r="Q74" s="585">
        <f t="shared" ref="Q74:Q129" si="520">IF(M74="","",IF(DEGREES(ATAN2(N74,O74))&lt;0,DEGREES(ATAN2(N74,O74))+360,IF(DEGREES(ATAN2(N74,O74))&gt;360,DEGREES(ATAN2(N74,O74))-360,DEGREES(ATAN2(N74,O74)))))</f>
        <v>246.5</v>
      </c>
      <c r="R74" s="629">
        <f>IF(M74="","",SQRT(N74^2+O74^2))</f>
        <v>4.0525942790272262</v>
      </c>
      <c r="S74" s="634">
        <f>IF(M74="","",P74)</f>
        <v>-7.779999999999998E-2</v>
      </c>
      <c r="T74" s="635">
        <f>IF(M74="","",X74*COS(RADIANS(W74)))</f>
        <v>-3.7164724109774361</v>
      </c>
      <c r="U74" s="629">
        <f>IF(M74="","",X74*SIN(RADIANS(W74)))</f>
        <v>1.6159681954938856</v>
      </c>
      <c r="V74" s="636">
        <f>IF(M74="","",Y74)</f>
        <v>-7.779999999999998E-2</v>
      </c>
      <c r="W74" s="585">
        <f t="shared" si="224"/>
        <v>156.5</v>
      </c>
      <c r="X74" s="629">
        <f>IF(M74="","",R74)</f>
        <v>4.0525942790272262</v>
      </c>
      <c r="Y74" s="630">
        <f t="shared" si="223"/>
        <v>-7.779999999999998E-2</v>
      </c>
      <c r="Z74" s="632">
        <f t="shared" si="468"/>
        <v>2.9203450720929645E-2</v>
      </c>
      <c r="AA74" s="629">
        <f t="shared" si="469"/>
        <v>6.716390726007071E-2</v>
      </c>
      <c r="AB74" s="629">
        <f t="shared" si="470"/>
        <v>-0.99731447799956818</v>
      </c>
      <c r="AC74" s="636">
        <f>IF(M74="","",SQRT(Z74^2+AA74^2+AB74^2))</f>
        <v>1</v>
      </c>
      <c r="AD74" s="637">
        <f>IF(M74="","",Z74*(1/SQRT(Z74^2+AA74^2+AB74^2)))</f>
        <v>2.9203450720929645E-2</v>
      </c>
      <c r="AE74" s="629">
        <f>IF(M74="","",AA74*(1/SQRT(Z74^2+AA74^2+AB74^2)))</f>
        <v>6.716390726007071E-2</v>
      </c>
      <c r="AF74" s="633">
        <f>IF(M74="","",AB74*(1/SQRT(Z74^2+AA74^2+AB74^2)))</f>
        <v>-0.99731447799956818</v>
      </c>
      <c r="AG74" s="602">
        <f>IF(M74="","",DEGREES(ATAN2(-AF74,AE74)))</f>
        <v>3.8527532397562929</v>
      </c>
      <c r="AH74" s="603">
        <f>IF(M74="","",DEGREES(ACOS(AD74)))</f>
        <v>88.326527601174618</v>
      </c>
      <c r="AI74" s="585">
        <f>IF(M74="","",DEGREES(-ACOS(-AF74)))</f>
        <v>-4.1999993936150553</v>
      </c>
      <c r="AJ74" s="586">
        <f>IF(M74="","",DEGREES(ATAN2(-AE74,AD74)))</f>
        <v>156.50017742643567</v>
      </c>
      <c r="AK74" s="635">
        <f>IF(M74="","",(COS(RADIANS((90-$Q$8)-W74))*AD74)+(-SIN(RADIANS((90-$Q$8)-W74))*AE74))</f>
        <v>2.2679489673077535E-7</v>
      </c>
      <c r="AL74" s="629">
        <f>IF(M74="","",(SIN(RADIANS((90-$Q$8)-W74))*AD74)+(COS(RADIANS((90-$Q$8)-W74))*AE74))</f>
        <v>-7.3238186572291017E-2</v>
      </c>
      <c r="AM74" s="634">
        <f>IF(M74="","",AF74)</f>
        <v>-0.99731447799956818</v>
      </c>
      <c r="AN74" s="581">
        <f>IF(M74="","",DEGREES(ATAN2(-AM74,AL74)))</f>
        <v>-4.199999393595121</v>
      </c>
      <c r="AO74" s="582">
        <f t="shared" si="461"/>
        <v>0</v>
      </c>
      <c r="AP74" s="585">
        <f>IF(M74="","",DEGREES(ATAN2(AK74,AL74)))</f>
        <v>-89.999822573564344</v>
      </c>
      <c r="AQ74" s="586">
        <f t="shared" si="471"/>
        <v>0.56251705152213105</v>
      </c>
      <c r="AS74" s="52">
        <f t="shared" si="406"/>
        <v>-203.5</v>
      </c>
      <c r="AT74" s="72">
        <f t="shared" si="472"/>
        <v>6.3519444444444462E-2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>Nose</v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4.2160000000000002</v>
      </c>
      <c r="IH74" s="731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4.1159999999999997</v>
      </c>
      <c r="II74" s="734" cm="1">
        <f t="array" ref="II74">IFERROR(ROUND(VALUE(IF($IH74&lt;1,$IH74+LARGE((IF($M$9:$M$150="",0,$M$9:$M$150)-MOD(IF($M$9:$M$150="",0,$M$9:$M$150),1)),1),$IH74)),4),"")</f>
        <v>4.1159999999999997</v>
      </c>
      <c r="IJ74" s="533">
        <f t="shared" ref="IJ74:IJ137" si="542">IF(ISNUMBER($II74),INDEX($K$9:$K$150,MATCH($II74,$M$9:$M$150,0)),$K74)</f>
        <v>1613</v>
      </c>
      <c r="IK74" s="533" t="str">
        <f t="shared" si="517"/>
        <v>CPS-32193r1</v>
      </c>
      <c r="IL74" s="727">
        <f t="shared" si="225"/>
        <v>13.5</v>
      </c>
      <c r="IM74" s="759">
        <v>4.4837246284156501E-2</v>
      </c>
      <c r="IN74" s="5">
        <f t="shared" si="226"/>
        <v>1.1599999999999999</v>
      </c>
      <c r="IO74" s="771">
        <v>580</v>
      </c>
      <c r="IP74" s="9">
        <f t="shared" si="227"/>
        <v>-4.0497122139320361</v>
      </c>
      <c r="IQ74" s="5">
        <f t="shared" si="228"/>
        <v>-7.8900237963117695E-2</v>
      </c>
      <c r="IR74" s="5">
        <f t="shared" si="518"/>
        <v>0.314</v>
      </c>
      <c r="IS74" s="5">
        <f t="shared" si="229"/>
        <v>0.30330071252667312</v>
      </c>
      <c r="IT74" s="727">
        <f t="shared" si="230"/>
        <v>4.1999993935950801</v>
      </c>
      <c r="IU74" s="9">
        <f t="shared" si="231"/>
        <v>-4.0525942790272262</v>
      </c>
      <c r="IV74" s="5">
        <f t="shared" si="232"/>
        <v>-7.779999999999998E-2</v>
      </c>
      <c r="IW74" s="5">
        <f t="shared" si="519"/>
        <v>0.25700000000000001</v>
      </c>
      <c r="IX74" s="5">
        <f t="shared" si="233"/>
        <v>0.25700000000000001</v>
      </c>
      <c r="IY74" s="762">
        <f t="shared" si="234"/>
        <v>4.199999393595121</v>
      </c>
    </row>
    <row r="75" spans="1:259" ht="15" customHeight="1" x14ac:dyDescent="0.25">
      <c r="A75" s="79"/>
      <c r="B75" s="707">
        <v>-1.7838499149343181</v>
      </c>
      <c r="C75" s="708">
        <v>-4.4692383262636026</v>
      </c>
      <c r="D75" s="709">
        <v>-0.211741567408679</v>
      </c>
      <c r="E75" s="710">
        <v>0.81441717580589501</v>
      </c>
      <c r="F75" s="708">
        <v>-0.48825175237254681</v>
      </c>
      <c r="G75" s="711">
        <v>0.31358394419594759</v>
      </c>
      <c r="H75" s="710">
        <v>0.26600000000000001</v>
      </c>
      <c r="I75" s="708">
        <v>0.52</v>
      </c>
      <c r="J75" s="570">
        <v>4.2190000000000003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1313</v>
      </c>
      <c r="L75" s="320"/>
      <c r="M75" s="168">
        <f t="shared" si="464"/>
        <v>4.2190000000000003</v>
      </c>
      <c r="N75" s="632">
        <f t="shared" si="465"/>
        <v>-1.7838499149343181</v>
      </c>
      <c r="O75" s="629">
        <f t="shared" si="466"/>
        <v>-4.4692383262636026</v>
      </c>
      <c r="P75" s="633">
        <f t="shared" si="467"/>
        <v>-0.211741567408679</v>
      </c>
      <c r="Q75" s="585">
        <f t="shared" si="520"/>
        <v>248.24110169777487</v>
      </c>
      <c r="R75" s="629">
        <f>IF(M75="","",SQRT(N75^2+O75^2))</f>
        <v>4.8120901629078672</v>
      </c>
      <c r="S75" s="634">
        <f>IF(M75="","",P75)</f>
        <v>-0.211741567408679</v>
      </c>
      <c r="T75" s="635">
        <f>IF(M75="","",X75*COS(RADIANS(W75)))</f>
        <v>-4.4692383262636035</v>
      </c>
      <c r="U75" s="629">
        <f>IF(M75="","",X75*SIN(RADIANS(W75)))</f>
        <v>1.7838499149343177</v>
      </c>
      <c r="V75" s="636">
        <f>IF(M75="","",Y75)</f>
        <v>-0.211741567408679</v>
      </c>
      <c r="W75" s="585">
        <f t="shared" si="224"/>
        <v>158.24110169777487</v>
      </c>
      <c r="X75" s="629">
        <f>IF(M75="","",R75)</f>
        <v>4.8120901629078672</v>
      </c>
      <c r="Y75" s="630">
        <f t="shared" si="223"/>
        <v>-0.211741567408679</v>
      </c>
      <c r="Z75" s="632">
        <f t="shared" si="468"/>
        <v>-0.81441717580589501</v>
      </c>
      <c r="AA75" s="629">
        <f t="shared" si="469"/>
        <v>0.48825175237254681</v>
      </c>
      <c r="AB75" s="629">
        <f t="shared" si="470"/>
        <v>-0.31358394419594759</v>
      </c>
      <c r="AC75" s="636">
        <f>IF(M75="","",SQRT(Z75^2+AA75^2+AB75^2))</f>
        <v>1</v>
      </c>
      <c r="AD75" s="637">
        <f>IF(M75="","",Z75*(1/SQRT(Z75^2+AA75^2+AB75^2)))</f>
        <v>-0.81441717580589501</v>
      </c>
      <c r="AE75" s="629">
        <f>IF(M75="","",AA75*(1/SQRT(Z75^2+AA75^2+AB75^2)))</f>
        <v>0.48825175237254681</v>
      </c>
      <c r="AF75" s="633">
        <f>IF(M75="","",AB75*(1/SQRT(Z75^2+AA75^2+AB75^2)))</f>
        <v>-0.31358394419594759</v>
      </c>
      <c r="AG75" s="602">
        <f>IF(M75="","",DEGREES(ATAN2(-AF75,AE75)))</f>
        <v>57.289041353127466</v>
      </c>
      <c r="AH75" s="603">
        <f>IF(M75="","",DEGREES(ACOS(AD75)))</f>
        <v>144.52977425464999</v>
      </c>
      <c r="AI75" s="585">
        <f>IF(M75="","",DEGREES(-ACOS(-AF75)))</f>
        <v>-71.724651051156798</v>
      </c>
      <c r="AJ75" s="586">
        <f>IF(M75="","",DEGREES(ATAN2(-AE75,AD75)))</f>
        <v>-120.9431351979734</v>
      </c>
      <c r="AK75" s="635">
        <f>IF(M75="","",(COS(RADIANS((90-$Q$8)-W75))*AD75)+(-SIN(RADIANS((90-$Q$8)-W75))*AE75))</f>
        <v>0.93738732025120042</v>
      </c>
      <c r="AL75" s="629">
        <f>IF(M75="","",(SIN(RADIANS((90-$Q$8)-W75))*AD75)+(COS(RADIANS((90-$Q$8)-W75))*AE75))</f>
        <v>-0.15155897127780454</v>
      </c>
      <c r="AM75" s="634">
        <f>IF(M75="","",AF75)</f>
        <v>-0.31358394419594759</v>
      </c>
      <c r="AN75" s="581">
        <f>IF(M75="","",DEGREES(ATAN2(-AM75,AL75)))</f>
        <v>-25.79504868733861</v>
      </c>
      <c r="AO75" s="582">
        <f t="shared" si="461"/>
        <v>20.382679443426724</v>
      </c>
      <c r="AP75" s="585">
        <f>IF(M75="","",DEGREES(ATAN2(AK75,AL75)))</f>
        <v>-9.1842368957482776</v>
      </c>
      <c r="AQ75" s="586">
        <f t="shared" si="471"/>
        <v>0.47373897900299444</v>
      </c>
      <c r="AS75" s="52">
        <f t="shared" ref="AS75:AS106" si="543">IF(G75="","",IF(AND(W75&lt;(AS74+180),W75&gt;(AS74-180)),W75,IF(W75&gt;(AS74+180),W75-360,IF(W75&lt;(AS74-180),W75+360,"Error"))))</f>
        <v>-201.75889830222513</v>
      </c>
      <c r="AT75" s="72">
        <f t="shared" si="472"/>
        <v>-7.1631221365467096E-2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>Nose</v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4.2190000000000003</v>
      </c>
      <c r="IH75" s="731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4.1189999999999998</v>
      </c>
      <c r="II75" s="734" cm="1">
        <f t="array" ref="II75">IFERROR(ROUND(VALUE(IF($IH75&lt;1,$IH75+LARGE((IF($M$9:$M$150="",0,$M$9:$M$150)-MOD(IF($M$9:$M$150="",0,$M$9:$M$150),1)),1),$IH75)),4),"")</f>
        <v>4.1189999999999998</v>
      </c>
      <c r="IJ75" s="533">
        <f t="shared" si="542"/>
        <v>1613</v>
      </c>
      <c r="IK75" s="533">
        <f t="shared" si="517"/>
        <v>1313</v>
      </c>
      <c r="IL75" s="727">
        <f t="shared" si="225"/>
        <v>11.293898369362864</v>
      </c>
      <c r="IM75" s="759">
        <v>1.4613671428494601E-2</v>
      </c>
      <c r="IN75" s="5">
        <f t="shared" si="226"/>
        <v>0.44</v>
      </c>
      <c r="IO75" s="771">
        <v>220</v>
      </c>
      <c r="IP75" s="9">
        <f t="shared" si="227"/>
        <v>-4.7990144738276541</v>
      </c>
      <c r="IQ75" s="5">
        <f t="shared" si="228"/>
        <v>-0.2482007485734577</v>
      </c>
      <c r="IR75" s="5">
        <f t="shared" si="518"/>
        <v>0.314</v>
      </c>
      <c r="IS75" s="5">
        <f t="shared" si="229"/>
        <v>0.30255663462864946</v>
      </c>
      <c r="IT75" s="727">
        <f t="shared" si="230"/>
        <v>29.37036637765372</v>
      </c>
      <c r="IU75" s="9">
        <f t="shared" si="231"/>
        <v>-4.8120901629078672</v>
      </c>
      <c r="IV75" s="5">
        <f t="shared" si="232"/>
        <v>-0.211741567408679</v>
      </c>
      <c r="IW75" s="5">
        <f t="shared" si="519"/>
        <v>0.26600000000000001</v>
      </c>
      <c r="IX75" s="5">
        <f t="shared" si="233"/>
        <v>0.24934502718681933</v>
      </c>
      <c r="IY75" s="762">
        <f t="shared" si="234"/>
        <v>25.79504868733861</v>
      </c>
    </row>
    <row r="76" spans="1:259" ht="15" customHeight="1" x14ac:dyDescent="0.25">
      <c r="A76" s="79"/>
      <c r="B76" s="707">
        <v>-2.0121089378535086</v>
      </c>
      <c r="C76" s="708">
        <v>-5.1162573217448202</v>
      </c>
      <c r="D76" s="709">
        <v>-0.55053438217992567</v>
      </c>
      <c r="E76" s="710">
        <v>0.78069605889680194</v>
      </c>
      <c r="F76" s="708">
        <v>-0.56609704866620536</v>
      </c>
      <c r="G76" s="711">
        <v>0.26466543996981001</v>
      </c>
      <c r="H76" s="710">
        <v>0.26600000000000001</v>
      </c>
      <c r="I76" s="708">
        <v>0.52</v>
      </c>
      <c r="J76" s="570">
        <v>4.2220000000000004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1313</v>
      </c>
      <c r="L76" s="320"/>
      <c r="M76" s="168">
        <f t="shared" si="464"/>
        <v>4.2220000000000004</v>
      </c>
      <c r="N76" s="632">
        <f t="shared" si="465"/>
        <v>-2.0121089378535086</v>
      </c>
      <c r="O76" s="629">
        <f t="shared" si="466"/>
        <v>-5.1162573217448202</v>
      </c>
      <c r="P76" s="633">
        <f t="shared" si="467"/>
        <v>-0.55053438217992567</v>
      </c>
      <c r="Q76" s="585">
        <f t="shared" si="520"/>
        <v>248.53140165586069</v>
      </c>
      <c r="R76" s="629">
        <f t="shared" si="79"/>
        <v>5.4976969141721019</v>
      </c>
      <c r="S76" s="634">
        <f t="shared" si="80"/>
        <v>-0.55053438217992567</v>
      </c>
      <c r="T76" s="635">
        <f t="shared" si="81"/>
        <v>-5.1162573217448184</v>
      </c>
      <c r="U76" s="629">
        <f t="shared" si="82"/>
        <v>2.0121089378535113</v>
      </c>
      <c r="V76" s="636">
        <f t="shared" si="114"/>
        <v>-0.55053438217992567</v>
      </c>
      <c r="W76" s="585">
        <f t="shared" si="224"/>
        <v>158.53140165586069</v>
      </c>
      <c r="X76" s="629">
        <f t="shared" si="83"/>
        <v>5.4976969141721019</v>
      </c>
      <c r="Y76" s="630">
        <f t="shared" ref="Y76:Y129" si="644">IF(M76="","",S76)</f>
        <v>-0.55053438217992567</v>
      </c>
      <c r="Z76" s="632">
        <f t="shared" si="468"/>
        <v>-0.78069605889680194</v>
      </c>
      <c r="AA76" s="629">
        <f t="shared" si="469"/>
        <v>0.56609704866620536</v>
      </c>
      <c r="AB76" s="629">
        <f t="shared" si="470"/>
        <v>-0.26466543996981001</v>
      </c>
      <c r="AC76" s="636">
        <f t="shared" si="84"/>
        <v>1</v>
      </c>
      <c r="AD76" s="637">
        <f t="shared" si="115"/>
        <v>-0.78069605889680194</v>
      </c>
      <c r="AE76" s="629">
        <f t="shared" si="85"/>
        <v>0.56609704866620536</v>
      </c>
      <c r="AF76" s="633">
        <f t="shared" si="86"/>
        <v>-0.26466543996981001</v>
      </c>
      <c r="AG76" s="602">
        <f t="shared" si="87"/>
        <v>64.942659505061016</v>
      </c>
      <c r="AH76" s="603">
        <f t="shared" si="88"/>
        <v>141.32435014885394</v>
      </c>
      <c r="AI76" s="585">
        <f t="shared" si="89"/>
        <v>-74.652925860082675</v>
      </c>
      <c r="AJ76" s="586">
        <f t="shared" si="90"/>
        <v>-125.94655683726404</v>
      </c>
      <c r="AK76" s="635">
        <f t="shared" si="211"/>
        <v>0.93371659784829641</v>
      </c>
      <c r="AL76" s="629">
        <f t="shared" si="91"/>
        <v>-0.24109234701290172</v>
      </c>
      <c r="AM76" s="634">
        <f t="shared" si="92"/>
        <v>-0.26466543996981001</v>
      </c>
      <c r="AN76" s="581">
        <f t="shared" si="93"/>
        <v>-42.33140648910787</v>
      </c>
      <c r="AO76" s="582">
        <f t="shared" si="461"/>
        <v>20.978218171443878</v>
      </c>
      <c r="AP76" s="585">
        <f t="shared" si="95"/>
        <v>-14.477958493124712</v>
      </c>
      <c r="AQ76" s="586">
        <f t="shared" si="471"/>
        <v>0.41466215133161544</v>
      </c>
      <c r="AS76" s="52">
        <f t="shared" si="543"/>
        <v>-201.46859834413931</v>
      </c>
      <c r="AT76" s="72">
        <f t="shared" si="472"/>
        <v>-0.41062563332982893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>Nose</v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4.2220000000000004</v>
      </c>
      <c r="IH76" s="731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4.1219999999999999</v>
      </c>
      <c r="II76" s="734" cm="1">
        <f t="array" ref="II76">IFERROR(ROUND(VALUE(IF($IH76&lt;1,$IH76+LARGE((IF($M$9:$M$150="",0,$M$9:$M$150)-MOD(IF($M$9:$M$150="",0,$M$9:$M$150),1)),1),$IH76)),4),"")</f>
        <v>4.1219999999999999</v>
      </c>
      <c r="IJ76" s="533">
        <f t="shared" si="542"/>
        <v>1613</v>
      </c>
      <c r="IK76" s="533">
        <f t="shared" si="517"/>
        <v>1313</v>
      </c>
      <c r="IL76" s="727">
        <f t="shared" si="225"/>
        <v>10.412198496664587</v>
      </c>
      <c r="IM76" s="759">
        <v>1.24749973868359E-2</v>
      </c>
      <c r="IN76" s="5">
        <f t="shared" si="226"/>
        <v>0.44</v>
      </c>
      <c r="IO76" s="771">
        <v>220</v>
      </c>
      <c r="IP76" s="9">
        <f t="shared" si="227"/>
        <v>-5.4760165156658118</v>
      </c>
      <c r="IQ76" s="5">
        <f t="shared" si="228"/>
        <v>-0.58520176496852316</v>
      </c>
      <c r="IR76" s="5">
        <f t="shared" si="518"/>
        <v>0.314</v>
      </c>
      <c r="IS76" s="5">
        <f t="shared" si="229"/>
        <v>0.30137185071608169</v>
      </c>
      <c r="IT76" s="727">
        <f t="shared" si="230"/>
        <v>47.645548595001117</v>
      </c>
      <c r="IU76" s="9">
        <f t="shared" si="231"/>
        <v>-5.4976969141721019</v>
      </c>
      <c r="IV76" s="5">
        <f t="shared" si="232"/>
        <v>-0.55053438217992567</v>
      </c>
      <c r="IW76" s="5">
        <f t="shared" si="519"/>
        <v>0.26600000000000001</v>
      </c>
      <c r="IX76" s="5">
        <f t="shared" si="233"/>
        <v>0.24836861502764687</v>
      </c>
      <c r="IY76" s="762">
        <f t="shared" si="234"/>
        <v>42.33140648910787</v>
      </c>
    </row>
    <row r="77" spans="1:259" ht="15" customHeight="1" x14ac:dyDescent="0.25">
      <c r="A77" s="79"/>
      <c r="B77" s="707">
        <v>-2.2369565783960819</v>
      </c>
      <c r="C77" s="708">
        <v>-5.6581001977395582</v>
      </c>
      <c r="D77" s="709">
        <v>-1.041392601261093</v>
      </c>
      <c r="E77" s="710">
        <v>0.74932395103269056</v>
      </c>
      <c r="F77" s="708">
        <v>-0.63202092050454906</v>
      </c>
      <c r="G77" s="711">
        <v>0.19764405494054335</v>
      </c>
      <c r="H77" s="710">
        <v>0.26600000000000001</v>
      </c>
      <c r="I77" s="708">
        <v>0.52</v>
      </c>
      <c r="J77" s="570">
        <v>4.2249999999999996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1313</v>
      </c>
      <c r="L77" s="320"/>
      <c r="M77" s="168">
        <f t="shared" si="464"/>
        <v>4.2249999999999996</v>
      </c>
      <c r="N77" s="632">
        <f t="shared" si="465"/>
        <v>-2.2369565783960819</v>
      </c>
      <c r="O77" s="629">
        <f t="shared" si="466"/>
        <v>-5.6581001977395582</v>
      </c>
      <c r="P77" s="633">
        <f t="shared" si="467"/>
        <v>-1.041392601261093</v>
      </c>
      <c r="Q77" s="585">
        <f t="shared" si="520"/>
        <v>248.42840167073211</v>
      </c>
      <c r="R77" s="629">
        <f t="shared" si="79"/>
        <v>6.0842479059691454</v>
      </c>
      <c r="S77" s="634">
        <f t="shared" si="80"/>
        <v>-1.041392601261093</v>
      </c>
      <c r="T77" s="635">
        <f t="shared" si="81"/>
        <v>-5.6581001977395582</v>
      </c>
      <c r="U77" s="629">
        <f t="shared" si="82"/>
        <v>2.236956578396081</v>
      </c>
      <c r="V77" s="636">
        <f t="shared" si="114"/>
        <v>-1.041392601261093</v>
      </c>
      <c r="W77" s="585">
        <f t="shared" si="224"/>
        <v>158.42840167073211</v>
      </c>
      <c r="X77" s="629">
        <f t="shared" si="83"/>
        <v>6.0842479059691454</v>
      </c>
      <c r="Y77" s="630">
        <f t="shared" si="644"/>
        <v>-1.041392601261093</v>
      </c>
      <c r="Z77" s="632">
        <f t="shared" si="468"/>
        <v>-0.74932395103269056</v>
      </c>
      <c r="AA77" s="629">
        <f t="shared" si="469"/>
        <v>0.63202092050454906</v>
      </c>
      <c r="AB77" s="629">
        <f t="shared" si="470"/>
        <v>-0.19764405494054335</v>
      </c>
      <c r="AC77" s="636">
        <f t="shared" si="84"/>
        <v>1</v>
      </c>
      <c r="AD77" s="637">
        <f t="shared" si="115"/>
        <v>-0.74932395103269056</v>
      </c>
      <c r="AE77" s="629">
        <f t="shared" si="85"/>
        <v>0.63202092050454906</v>
      </c>
      <c r="AF77" s="633">
        <f t="shared" si="86"/>
        <v>-0.19764405494054335</v>
      </c>
      <c r="AG77" s="602">
        <f t="shared" si="87"/>
        <v>72.634618584098746</v>
      </c>
      <c r="AH77" s="603">
        <f t="shared" si="88"/>
        <v>138.53185033454776</v>
      </c>
      <c r="AI77" s="585">
        <f t="shared" si="89"/>
        <v>-78.600776518313936</v>
      </c>
      <c r="AJ77" s="586">
        <f t="shared" si="90"/>
        <v>-130.14611984977944</v>
      </c>
      <c r="AK77" s="635">
        <f t="shared" si="211"/>
        <v>0.92921153751296903</v>
      </c>
      <c r="AL77" s="629">
        <f t="shared" si="91"/>
        <v>-0.31225429716729908</v>
      </c>
      <c r="AM77" s="634">
        <f t="shared" si="92"/>
        <v>-0.19764405494054335</v>
      </c>
      <c r="AN77" s="581">
        <f t="shared" si="93"/>
        <v>-57.667881511510473</v>
      </c>
      <c r="AO77" s="582">
        <f t="shared" si="461"/>
        <v>21.687760184563246</v>
      </c>
      <c r="AP77" s="585">
        <f t="shared" si="95"/>
        <v>-18.574521520511553</v>
      </c>
      <c r="AQ77" s="586">
        <f t="shared" si="471"/>
        <v>0.37468791034956539</v>
      </c>
      <c r="AS77" s="52">
        <f t="shared" si="543"/>
        <v>-201.57159832926789</v>
      </c>
      <c r="AT77" s="72">
        <f t="shared" si="472"/>
        <v>-0.90141232464354593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>Taper</v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4.2249999999999996</v>
      </c>
      <c r="IH77" s="731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4.125</v>
      </c>
      <c r="II77" s="734" cm="1">
        <f t="array" ref="II77">IFERROR(ROUND(VALUE(IF($IH77&lt;1,$IH77+LARGE((IF($M$9:$M$150="",0,$M$9:$M$150)-MOD(IF($M$9:$M$150="",0,$M$9:$M$150),1)),1),$IH77)),4),"")</f>
        <v>4.125</v>
      </c>
      <c r="IJ77" s="533">
        <f t="shared" si="542"/>
        <v>1613</v>
      </c>
      <c r="IK77" s="533">
        <f t="shared" si="517"/>
        <v>1313</v>
      </c>
      <c r="IL77" s="727">
        <f t="shared" si="225"/>
        <v>9.8956985712378582</v>
      </c>
      <c r="IM77" s="759">
        <v>1.04752186437222E-2</v>
      </c>
      <c r="IN77" s="5">
        <f t="shared" si="226"/>
        <v>0.42</v>
      </c>
      <c r="IO77" s="771">
        <v>210</v>
      </c>
      <c r="IP77" s="9">
        <f t="shared" si="227"/>
        <v>-6.0545182604270744</v>
      </c>
      <c r="IQ77" s="5">
        <f t="shared" si="228"/>
        <v>-1.0723032340665541</v>
      </c>
      <c r="IR77" s="5">
        <f t="shared" si="518"/>
        <v>0.314</v>
      </c>
      <c r="IS77" s="5">
        <f t="shared" si="229"/>
        <v>0.29991777099427547</v>
      </c>
      <c r="IT77" s="727">
        <f t="shared" si="230"/>
        <v>64.097290385030405</v>
      </c>
      <c r="IU77" s="9">
        <f t="shared" si="231"/>
        <v>-6.0842479059691454</v>
      </c>
      <c r="IV77" s="5">
        <f t="shared" si="232"/>
        <v>-1.041392601261093</v>
      </c>
      <c r="IW77" s="5">
        <f t="shared" si="519"/>
        <v>0.26600000000000001</v>
      </c>
      <c r="IX77" s="5">
        <f t="shared" si="233"/>
        <v>0.24717026897844979</v>
      </c>
      <c r="IY77" s="762">
        <f t="shared" si="234"/>
        <v>57.667881511510473</v>
      </c>
    </row>
    <row r="78" spans="1:259" ht="15" customHeight="1" x14ac:dyDescent="0.25">
      <c r="A78" s="79"/>
      <c r="B78" s="707">
        <v>-2.43259674984342</v>
      </c>
      <c r="C78" s="708">
        <v>-6.059126946915848</v>
      </c>
      <c r="D78" s="709">
        <v>-1.6864763198481161</v>
      </c>
      <c r="E78" s="710">
        <v>-0.25740288144718876</v>
      </c>
      <c r="F78" s="708">
        <v>-0.64114128906967538</v>
      </c>
      <c r="G78" s="711">
        <v>0.72296722199056818</v>
      </c>
      <c r="H78" s="710">
        <v>0.25700000000000001</v>
      </c>
      <c r="I78" s="708">
        <v>0.41499999999999992</v>
      </c>
      <c r="J78" s="570">
        <v>4.2279999999999998</v>
      </c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CPS-32193r1</v>
      </c>
      <c r="L78" s="320"/>
      <c r="M78" s="168">
        <f t="shared" si="464"/>
        <v>4.2279999999999998</v>
      </c>
      <c r="N78" s="632">
        <f t="shared" si="465"/>
        <v>-2.43259674984342</v>
      </c>
      <c r="O78" s="629">
        <f t="shared" si="466"/>
        <v>-6.059126946915848</v>
      </c>
      <c r="P78" s="633">
        <f t="shared" si="467"/>
        <v>-1.6864763198481161</v>
      </c>
      <c r="Q78" s="585">
        <f t="shared" si="520"/>
        <v>248.12570171443656</v>
      </c>
      <c r="R78" s="629">
        <f>IF(M78="","",SQRT(N78^2+O78^2))</f>
        <v>6.529207172864905</v>
      </c>
      <c r="S78" s="634">
        <f>IF(M78="","",P78)</f>
        <v>-1.6864763198481161</v>
      </c>
      <c r="T78" s="635">
        <f>IF(M78="","",X78*COS(RADIANS(W78)))</f>
        <v>-6.0591269469158471</v>
      </c>
      <c r="U78" s="629">
        <f>IF(M78="","",X78*SIN(RADIANS(W78)))</f>
        <v>2.4325967498434204</v>
      </c>
      <c r="V78" s="636">
        <f>IF(M78="","",Y78)</f>
        <v>-1.6864763198481161</v>
      </c>
      <c r="W78" s="585">
        <f t="shared" si="224"/>
        <v>158.12570171443656</v>
      </c>
      <c r="X78" s="629">
        <f>IF(M78="","",R78)</f>
        <v>6.529207172864905</v>
      </c>
      <c r="Y78" s="630">
        <f t="shared" si="644"/>
        <v>-1.6864763198481161</v>
      </c>
      <c r="Z78" s="632">
        <f t="shared" si="468"/>
        <v>0.25740288144718876</v>
      </c>
      <c r="AA78" s="629">
        <f t="shared" si="469"/>
        <v>0.64114128906967538</v>
      </c>
      <c r="AB78" s="629">
        <f t="shared" si="470"/>
        <v>-0.72296722199056818</v>
      </c>
      <c r="AC78" s="636">
        <f>IF(M78="","",SQRT(Z78^2+AA78^2+AB78^2))</f>
        <v>1</v>
      </c>
      <c r="AD78" s="637">
        <f>IF(M78="","",Z78*(1/SQRT(Z78^2+AA78^2+AB78^2)))</f>
        <v>0.25740288144718876</v>
      </c>
      <c r="AE78" s="629">
        <f>IF(M78="","",AA78*(1/SQRT(Z78^2+AA78^2+AB78^2)))</f>
        <v>0.64114128906967538</v>
      </c>
      <c r="AF78" s="633">
        <f>IF(M78="","",AB78*(1/SQRT(Z78^2+AA78^2+AB78^2)))</f>
        <v>-0.72296722199056818</v>
      </c>
      <c r="AG78" s="602">
        <f>IF(M78="","",DEGREES(ATAN2(-AF78,AE78)))</f>
        <v>41.567230851757067</v>
      </c>
      <c r="AH78" s="603">
        <f>IF(M78="","",DEGREES(ACOS(AD78)))</f>
        <v>75.083986053431587</v>
      </c>
      <c r="AI78" s="585">
        <f>IF(M78="","",DEGREES(-ACOS(-AF78)))</f>
        <v>-43.699993690503071</v>
      </c>
      <c r="AJ78" s="586">
        <f>IF(M78="","",DEGREES(ATAN2(-AE78,AD78)))</f>
        <v>158.12572052283534</v>
      </c>
      <c r="AK78" s="635">
        <f>IF(M78="","",(COS(RADIANS((90-$Q$8)-W78))*AD78)+(-SIN(RADIANS((90-$Q$8)-W78))*AE78))</f>
        <v>2.2679489677934761E-7</v>
      </c>
      <c r="AL78" s="629">
        <f>IF(M78="","",(SIN(RADIANS((90-$Q$8)-W78))*AD78)+(COS(RADIANS((90-$Q$8)-W78))*AE78))</f>
        <v>-0.6908823314625937</v>
      </c>
      <c r="AM78" s="634">
        <f>IF(M78="","",AF78)</f>
        <v>-0.72296722199056818</v>
      </c>
      <c r="AN78" s="581">
        <f>IF(M78="","",DEGREES(ATAN2(-AM78,AL78)))</f>
        <v>-43.699993690501536</v>
      </c>
      <c r="AO78" s="582">
        <f t="shared" si="461"/>
        <v>0</v>
      </c>
      <c r="AP78" s="585">
        <f>IF(M78="","",DEGREES(ATAN2(AK78,AL78)))</f>
        <v>-89.999981191601222</v>
      </c>
      <c r="AQ78" s="586">
        <f t="shared" si="471"/>
        <v>0.34915394043596398</v>
      </c>
      <c r="AS78" s="52">
        <f t="shared" si="543"/>
        <v>-201.87429828556344</v>
      </c>
      <c r="AT78" s="72">
        <f t="shared" si="472"/>
        <v>-1.5462858349275859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>Taper</v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4.2279999999999998</v>
      </c>
      <c r="IH78" s="731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>4.1280000000000001</v>
      </c>
      <c r="II78" s="734" cm="1">
        <f t="array" ref="II78">IFERROR(ROUND(VALUE(IF($IH78&lt;1,$IH78+LARGE((IF($M$9:$M$150="",0,$M$9:$M$150)-MOD(IF($M$9:$M$150="",0,$M$9:$M$150),1)),1),$IH78)),4),"")</f>
        <v>4.1280000000000001</v>
      </c>
      <c r="IJ78" s="533">
        <f t="shared" si="542"/>
        <v>1613</v>
      </c>
      <c r="IK78" s="533" t="str">
        <f t="shared" si="517"/>
        <v>CPS-32193r1</v>
      </c>
      <c r="IL78" s="727">
        <f t="shared" si="225"/>
        <v>9.6652986045035618</v>
      </c>
      <c r="IM78" s="759">
        <v>1.4945941791980499E-2</v>
      </c>
      <c r="IN78" s="5">
        <f t="shared" si="226"/>
        <v>1.48</v>
      </c>
      <c r="IO78" s="771">
        <v>740</v>
      </c>
      <c r="IP78" s="9">
        <f t="shared" si="227"/>
        <v>-6.5020196100911454</v>
      </c>
      <c r="IQ78" s="5">
        <f t="shared" si="228"/>
        <v>-1.6819050726257001</v>
      </c>
      <c r="IR78" s="5">
        <f t="shared" si="518"/>
        <v>0.314</v>
      </c>
      <c r="IS78" s="5">
        <f t="shared" si="229"/>
        <v>0.29851247864038172</v>
      </c>
      <c r="IT78" s="727">
        <f t="shared" si="230"/>
        <v>78.491570286976369</v>
      </c>
      <c r="IU78" s="9">
        <f t="shared" si="231"/>
        <v>-6.529207172864905</v>
      </c>
      <c r="IV78" s="5">
        <f t="shared" si="232"/>
        <v>-1.6864763198481161</v>
      </c>
      <c r="IW78" s="5">
        <f t="shared" si="519"/>
        <v>0.25700000000000001</v>
      </c>
      <c r="IX78" s="5">
        <f t="shared" si="233"/>
        <v>0.25700000000000001</v>
      </c>
      <c r="IY78" s="762">
        <f t="shared" si="234"/>
        <v>43.699993690501536</v>
      </c>
    </row>
    <row r="79" spans="1:259" ht="15" customHeight="1" x14ac:dyDescent="0.25">
      <c r="A79" s="79"/>
      <c r="B79" s="707">
        <v>-2.584157995873495</v>
      </c>
      <c r="C79" s="708">
        <v>-6.3138511524654906</v>
      </c>
      <c r="D79" s="709">
        <v>-2.3797928944585891</v>
      </c>
      <c r="E79" s="710">
        <v>-0.3040956926012518</v>
      </c>
      <c r="F79" s="708">
        <v>-0.74299500630350346</v>
      </c>
      <c r="G79" s="711">
        <v>0.59622498299670568</v>
      </c>
      <c r="H79" s="710">
        <v>0.25700000000000001</v>
      </c>
      <c r="I79" s="708">
        <v>0.41499999999999992</v>
      </c>
      <c r="J79" s="570">
        <v>4.2309999999999999</v>
      </c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CPS-32193r1</v>
      </c>
      <c r="L79" s="320"/>
      <c r="M79" s="168">
        <f>IF(J79="","",VALUE(J79))</f>
        <v>4.2309999999999999</v>
      </c>
      <c r="N79" s="632">
        <f t="shared" si="465"/>
        <v>-2.584157995873495</v>
      </c>
      <c r="O79" s="629">
        <f t="shared" si="466"/>
        <v>-6.3138511524654906</v>
      </c>
      <c r="P79" s="633">
        <f t="shared" si="467"/>
        <v>-2.3797928944585891</v>
      </c>
      <c r="Q79" s="585">
        <f t="shared" si="520"/>
        <v>247.74150176990815</v>
      </c>
      <c r="R79" s="629">
        <f>IF(M79="","",SQRT(N79^2+O79^2))</f>
        <v>6.8222129051449807</v>
      </c>
      <c r="S79" s="634">
        <f>IF(M79="","",P79)</f>
        <v>-2.3797928944585891</v>
      </c>
      <c r="T79" s="635">
        <f>IF(M79="","",X79*COS(RADIANS(W79)))</f>
        <v>-6.3138511524654897</v>
      </c>
      <c r="U79" s="629">
        <f>IF(M79="","",X79*SIN(RADIANS(W79)))</f>
        <v>2.5841579958734964</v>
      </c>
      <c r="V79" s="636">
        <f>IF(M79="","",Y79)</f>
        <v>-2.3797928944585891</v>
      </c>
      <c r="W79" s="585">
        <f t="shared" ref="W79:W129" si="645">IF(M79="","",IF(Q79-$Q$8&lt;0,360+Q79-$Q$8,Q79-$Q$8))</f>
        <v>157.74150176990815</v>
      </c>
      <c r="X79" s="629">
        <f>IF(M79="","",R79)</f>
        <v>6.8222129051449807</v>
      </c>
      <c r="Y79" s="630">
        <f t="shared" si="644"/>
        <v>-2.3797928944585891</v>
      </c>
      <c r="Z79" s="632">
        <f t="shared" si="468"/>
        <v>0.3040956926012518</v>
      </c>
      <c r="AA79" s="629">
        <f t="shared" si="469"/>
        <v>0.74299500630350346</v>
      </c>
      <c r="AB79" s="629">
        <f t="shared" si="470"/>
        <v>-0.59622498299670568</v>
      </c>
      <c r="AC79" s="636">
        <f>IF(M79="","",SQRT(Z79^2+AA79^2+AB79^2))</f>
        <v>1</v>
      </c>
      <c r="AD79" s="637">
        <f>IF(M79="","",Z79*(1/SQRT(Z79^2+AA79^2+AB79^2)))</f>
        <v>0.3040956926012518</v>
      </c>
      <c r="AE79" s="629">
        <f>IF(M79="","",AA79*(1/SQRT(Z79^2+AA79^2+AB79^2)))</f>
        <v>0.74299500630350346</v>
      </c>
      <c r="AF79" s="633">
        <f>IF(M79="","",AB79*(1/SQRT(Z79^2+AA79^2+AB79^2)))</f>
        <v>-0.59622498299670568</v>
      </c>
      <c r="AG79" s="602">
        <f>IF(M79="","",DEGREES(ATAN2(-AF79,AE79)))</f>
        <v>51.254294379407973</v>
      </c>
      <c r="AH79" s="603">
        <f>IF(M79="","",DEGREES(ACOS(AD79)))</f>
        <v>72.296233112805083</v>
      </c>
      <c r="AI79" s="585">
        <f>IF(M79="","",DEGREES(-ACOS(-AF79)))</f>
        <v>-53.399992289996163</v>
      </c>
      <c r="AJ79" s="586">
        <f>IF(M79="","",DEGREES(ATAN2(-AE79,AD79)))</f>
        <v>157.74151795589327</v>
      </c>
      <c r="AK79" s="635">
        <f>IF(M79="","",(COS(RADIANS((90-$Q$8)-W79))*AD79)+(-SIN(RADIANS((90-$Q$8)-W79))*AE79))</f>
        <v>2.2679489686261434E-7</v>
      </c>
      <c r="AL79" s="629">
        <f>IF(M79="","",(SIN(RADIANS((90-$Q$8)-W79))*AD79)+(COS(RADIANS((90-$Q$8)-W79))*AE79))</f>
        <v>-0.8028173949601034</v>
      </c>
      <c r="AM79" s="634">
        <f>IF(M79="","",AF79)</f>
        <v>-0.59622498299670568</v>
      </c>
      <c r="AN79" s="581">
        <f>IF(M79="","",DEGREES(ATAN2(-AM79,AL79)))</f>
        <v>-53.399992289995069</v>
      </c>
      <c r="AO79" s="582">
        <f t="shared" si="461"/>
        <v>0</v>
      </c>
      <c r="AP79" s="585">
        <f>IF(M79="","",DEGREES(ATAN2(AK79,AL79)))</f>
        <v>-89.999983814014882</v>
      </c>
      <c r="AQ79" s="586">
        <f t="shared" si="471"/>
        <v>0.33415855176609632</v>
      </c>
      <c r="AS79" s="52">
        <f t="shared" si="543"/>
        <v>-202.25849823009185</v>
      </c>
      <c r="AT79" s="72">
        <f t="shared" si="472"/>
        <v>-2.2393356040210253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>Taper</v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4.2309999999999999</v>
      </c>
      <c r="IH79" s="731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>4.1310000000000002</v>
      </c>
      <c r="II79" s="734" cm="1">
        <f t="array" ref="II79">IFERROR(ROUND(VALUE(IF($IH79&lt;1,$IH79+LARGE((IF($M$9:$M$150="",0,$M$9:$M$150)-MOD(IF($M$9:$M$150="",0,$M$9:$M$150),1)),1),$IH79)),4),"")</f>
        <v>4.1310000000000002</v>
      </c>
      <c r="IJ79" s="533">
        <f t="shared" si="542"/>
        <v>1613</v>
      </c>
      <c r="IK79" s="533" t="str">
        <f t="shared" si="517"/>
        <v>CPS-32193r1</v>
      </c>
      <c r="IL79" s="727">
        <f t="shared" si="225"/>
        <v>9.685298601615898</v>
      </c>
      <c r="IM79" s="759">
        <v>8.1102234617830404E-3</v>
      </c>
      <c r="IN79" s="5">
        <f t="shared" si="226"/>
        <v>1.54</v>
      </c>
      <c r="IO79" s="771">
        <v>770</v>
      </c>
      <c r="IP79" s="9">
        <f t="shared" si="227"/>
        <v>-6.7906204805113699</v>
      </c>
      <c r="IQ79" s="5">
        <f t="shared" si="228"/>
        <v>-2.3702071485447602</v>
      </c>
      <c r="IR79" s="5">
        <f t="shared" si="518"/>
        <v>0.314</v>
      </c>
      <c r="IS79" s="5">
        <f t="shared" si="229"/>
        <v>0.29747597383885238</v>
      </c>
      <c r="IT79" s="727">
        <f t="shared" si="230"/>
        <v>90.936076031622974</v>
      </c>
      <c r="IU79" s="9">
        <f t="shared" si="231"/>
        <v>-6.8222129051449807</v>
      </c>
      <c r="IV79" s="5">
        <f t="shared" si="232"/>
        <v>-2.3797928944585891</v>
      </c>
      <c r="IW79" s="5">
        <f t="shared" si="519"/>
        <v>0.25700000000000001</v>
      </c>
      <c r="IX79" s="5">
        <f t="shared" si="233"/>
        <v>0.25700000000000001</v>
      </c>
      <c r="IY79" s="762">
        <f t="shared" si="234"/>
        <v>53.399992289995069</v>
      </c>
    </row>
    <row r="80" spans="1:259" ht="15" customHeight="1" x14ac:dyDescent="0.25">
      <c r="A80" s="79"/>
      <c r="B80" s="707">
        <v>-0.53427012401403018</v>
      </c>
      <c r="C80" s="708">
        <v>-0.24913406185695275</v>
      </c>
      <c r="D80" s="709">
        <v>-0.7907023847583925</v>
      </c>
      <c r="E80" s="710">
        <v>0.46892874510133481</v>
      </c>
      <c r="F80" s="708">
        <v>-0.84711619532694482</v>
      </c>
      <c r="G80" s="711">
        <v>0.24999996726497564</v>
      </c>
      <c r="H80" s="710">
        <v>0.314</v>
      </c>
      <c r="I80" s="708">
        <v>0.52</v>
      </c>
      <c r="J80" s="570">
        <v>5.1020000000000003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1613</v>
      </c>
      <c r="L80" s="320"/>
      <c r="M80" s="168">
        <f t="shared" si="464"/>
        <v>5.1020000000000003</v>
      </c>
      <c r="N80" s="632">
        <f t="shared" si="465"/>
        <v>-0.53427012401403018</v>
      </c>
      <c r="O80" s="629">
        <f t="shared" si="466"/>
        <v>-0.24913406185695275</v>
      </c>
      <c r="P80" s="633">
        <f t="shared" si="467"/>
        <v>-0.7907023847583925</v>
      </c>
      <c r="Q80" s="585">
        <f t="shared" si="520"/>
        <v>204.99998339605676</v>
      </c>
      <c r="R80" s="629">
        <f t="shared" si="79"/>
        <v>0.58950177793736225</v>
      </c>
      <c r="S80" s="634">
        <f t="shared" si="80"/>
        <v>-0.7907023847583925</v>
      </c>
      <c r="T80" s="635">
        <f t="shared" si="81"/>
        <v>-0.24913406185695275</v>
      </c>
      <c r="U80" s="629">
        <f t="shared" si="82"/>
        <v>0.53427012401403018</v>
      </c>
      <c r="V80" s="636">
        <f t="shared" si="114"/>
        <v>-0.7907023847583925</v>
      </c>
      <c r="W80" s="585">
        <f t="shared" si="645"/>
        <v>114.99998339605676</v>
      </c>
      <c r="X80" s="629">
        <f t="shared" si="83"/>
        <v>0.58950177793736225</v>
      </c>
      <c r="Y80" s="630">
        <f t="shared" si="644"/>
        <v>-0.7907023847583925</v>
      </c>
      <c r="Z80" s="632">
        <f t="shared" si="468"/>
        <v>-0.46892874510133481</v>
      </c>
      <c r="AA80" s="629">
        <f t="shared" si="469"/>
        <v>0.84711619532694482</v>
      </c>
      <c r="AB80" s="629">
        <f t="shared" si="470"/>
        <v>-0.24999996726497564</v>
      </c>
      <c r="AC80" s="636">
        <f t="shared" si="84"/>
        <v>1</v>
      </c>
      <c r="AD80" s="637">
        <f t="shared" si="115"/>
        <v>-0.46892874510133481</v>
      </c>
      <c r="AE80" s="629">
        <f t="shared" si="85"/>
        <v>0.84711619532694482</v>
      </c>
      <c r="AF80" s="633">
        <f t="shared" si="86"/>
        <v>-0.24999996726497564</v>
      </c>
      <c r="AG80" s="602">
        <f t="shared" si="87"/>
        <v>73.557675922032189</v>
      </c>
      <c r="AH80" s="603">
        <f t="shared" si="88"/>
        <v>117.96478150797752</v>
      </c>
      <c r="AI80" s="585">
        <f t="shared" si="89"/>
        <v>-75.522489751159469</v>
      </c>
      <c r="AJ80" s="586">
        <f t="shared" si="90"/>
        <v>-151.03288695885672</v>
      </c>
      <c r="AK80" s="635">
        <f t="shared" si="211"/>
        <v>0.9659258360722075</v>
      </c>
      <c r="AL80" s="629">
        <f t="shared" si="91"/>
        <v>6.6987279208206352E-2</v>
      </c>
      <c r="AM80" s="634">
        <f t="shared" si="92"/>
        <v>-0.24999996726497564</v>
      </c>
      <c r="AN80" s="581">
        <f t="shared" si="93"/>
        <v>14.999997834268086</v>
      </c>
      <c r="AO80" s="582">
        <f t="shared" si="461"/>
        <v>14.99999783426823</v>
      </c>
      <c r="AP80" s="585">
        <f t="shared" si="95"/>
        <v>3.967129645086521</v>
      </c>
      <c r="AQ80" s="586">
        <f t="shared" si="471"/>
        <v>3.8613525398853903</v>
      </c>
      <c r="AS80" s="52">
        <f t="shared" si="543"/>
        <v>-245.00001660394324</v>
      </c>
      <c r="AT80" s="72">
        <f t="shared" si="472"/>
        <v>-0.62056348433898745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5.1020000000000003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>
        <f t="shared" si="542"/>
        <v>1613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-1.2066619900123499</v>
      </c>
      <c r="C81" s="708">
        <v>-0.56267530102857677</v>
      </c>
      <c r="D81" s="709">
        <v>-0.59190178517578407</v>
      </c>
      <c r="E81" s="710">
        <v>0.46892874510133487</v>
      </c>
      <c r="F81" s="708">
        <v>-0.84711619532694482</v>
      </c>
      <c r="G81" s="711">
        <v>0.24999996726497561</v>
      </c>
      <c r="H81" s="710">
        <v>0.314</v>
      </c>
      <c r="I81" s="708">
        <v>0.52</v>
      </c>
      <c r="J81" s="570">
        <v>5.1050000000000004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1613</v>
      </c>
      <c r="L81" s="320"/>
      <c r="M81" s="168">
        <f t="shared" si="464"/>
        <v>5.1050000000000004</v>
      </c>
      <c r="N81" s="632">
        <f t="shared" si="465"/>
        <v>-1.2066619900123499</v>
      </c>
      <c r="O81" s="629">
        <f t="shared" si="466"/>
        <v>-0.56267530102857677</v>
      </c>
      <c r="P81" s="633">
        <f t="shared" si="467"/>
        <v>-0.59190178517578407</v>
      </c>
      <c r="Q81" s="585">
        <f t="shared" si="520"/>
        <v>204.99998339605671</v>
      </c>
      <c r="R81" s="629">
        <f t="shared" si="79"/>
        <v>1.3314040155145108</v>
      </c>
      <c r="S81" s="634">
        <f t="shared" si="80"/>
        <v>-0.59190178517578407</v>
      </c>
      <c r="T81" s="635">
        <f t="shared" si="81"/>
        <v>-0.56267530102857721</v>
      </c>
      <c r="U81" s="629">
        <f t="shared" si="82"/>
        <v>1.2066619900123496</v>
      </c>
      <c r="V81" s="636">
        <f t="shared" si="114"/>
        <v>-0.59190178517578407</v>
      </c>
      <c r="W81" s="585">
        <f t="shared" si="645"/>
        <v>114.99998339605671</v>
      </c>
      <c r="X81" s="629">
        <f t="shared" si="83"/>
        <v>1.3314040155145108</v>
      </c>
      <c r="Y81" s="630">
        <f t="shared" si="644"/>
        <v>-0.59190178517578407</v>
      </c>
      <c r="Z81" s="632">
        <f t="shared" si="468"/>
        <v>-0.46892874510133487</v>
      </c>
      <c r="AA81" s="629">
        <f t="shared" si="469"/>
        <v>0.84711619532694482</v>
      </c>
      <c r="AB81" s="629">
        <f t="shared" si="470"/>
        <v>-0.24999996726497561</v>
      </c>
      <c r="AC81" s="636">
        <f t="shared" si="84"/>
        <v>1</v>
      </c>
      <c r="AD81" s="637">
        <f t="shared" si="115"/>
        <v>-0.46892874510133487</v>
      </c>
      <c r="AE81" s="629">
        <f t="shared" si="85"/>
        <v>0.84711619532694482</v>
      </c>
      <c r="AF81" s="633">
        <f t="shared" si="86"/>
        <v>-0.24999996726497561</v>
      </c>
      <c r="AG81" s="602">
        <f t="shared" si="87"/>
        <v>73.557675922032189</v>
      </c>
      <c r="AH81" s="603">
        <f t="shared" si="88"/>
        <v>117.96478150797752</v>
      </c>
      <c r="AI81" s="585">
        <f t="shared" si="89"/>
        <v>-75.522489751159469</v>
      </c>
      <c r="AJ81" s="586">
        <f t="shared" si="90"/>
        <v>-151.03288695885672</v>
      </c>
      <c r="AK81" s="635">
        <f t="shared" si="211"/>
        <v>0.96592583607220739</v>
      </c>
      <c r="AL81" s="629">
        <f t="shared" si="91"/>
        <v>6.6987279208207295E-2</v>
      </c>
      <c r="AM81" s="634">
        <f t="shared" si="92"/>
        <v>-0.24999996726497561</v>
      </c>
      <c r="AN81" s="581">
        <f t="shared" si="93"/>
        <v>14.99999783426829</v>
      </c>
      <c r="AO81" s="582">
        <f t="shared" si="461"/>
        <v>14.999997834268255</v>
      </c>
      <c r="AP81" s="585">
        <f t="shared" si="95"/>
        <v>3.9671296450865774</v>
      </c>
      <c r="AQ81" s="586">
        <f t="shared" si="471"/>
        <v>1.711763141384461</v>
      </c>
      <c r="AS81" s="52">
        <f t="shared" si="543"/>
        <v>-245.00001660394329</v>
      </c>
      <c r="AT81" s="72">
        <f t="shared" si="472"/>
        <v>-0.42176288475637902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5.1050000000000004</v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>
        <f t="shared" si="542"/>
        <v>1613</v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>
        <v>-1.8790538560106693</v>
      </c>
      <c r="C82" s="708">
        <v>-0.87621654020020268</v>
      </c>
      <c r="D82" s="709">
        <v>-0.39320118589477659</v>
      </c>
      <c r="E82" s="710">
        <v>0.46892874510133487</v>
      </c>
      <c r="F82" s="708">
        <v>-0.84711619532694493</v>
      </c>
      <c r="G82" s="711">
        <v>0.24999996726497564</v>
      </c>
      <c r="H82" s="710">
        <v>0.314</v>
      </c>
      <c r="I82" s="708">
        <v>0.52</v>
      </c>
      <c r="J82" s="570">
        <v>5.1079999999999997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1613</v>
      </c>
      <c r="L82" s="320"/>
      <c r="M82" s="168">
        <f t="shared" si="464"/>
        <v>5.1079999999999997</v>
      </c>
      <c r="N82" s="632">
        <f t="shared" si="465"/>
        <v>-1.8790538560106693</v>
      </c>
      <c r="O82" s="629">
        <f t="shared" si="466"/>
        <v>-0.87621654020020268</v>
      </c>
      <c r="P82" s="633">
        <f t="shared" si="467"/>
        <v>-0.39320118589477659</v>
      </c>
      <c r="Q82" s="585">
        <f t="shared" si="520"/>
        <v>204.99998339605673</v>
      </c>
      <c r="R82" s="629">
        <f t="shared" si="79"/>
        <v>2.0733062530916602</v>
      </c>
      <c r="S82" s="634">
        <f t="shared" si="80"/>
        <v>-0.39320118589477659</v>
      </c>
      <c r="T82" s="635">
        <f t="shared" si="81"/>
        <v>-0.87621654020020323</v>
      </c>
      <c r="U82" s="629">
        <f t="shared" si="82"/>
        <v>1.8790538560106693</v>
      </c>
      <c r="V82" s="636">
        <f t="shared" si="114"/>
        <v>-0.39320118589477659</v>
      </c>
      <c r="W82" s="585">
        <f t="shared" si="645"/>
        <v>114.99998339605673</v>
      </c>
      <c r="X82" s="629">
        <f t="shared" si="83"/>
        <v>2.0733062530916602</v>
      </c>
      <c r="Y82" s="630">
        <f t="shared" si="644"/>
        <v>-0.39320118589477659</v>
      </c>
      <c r="Z82" s="632">
        <f t="shared" si="468"/>
        <v>-0.46892874510133487</v>
      </c>
      <c r="AA82" s="629">
        <f t="shared" si="469"/>
        <v>0.84711619532694493</v>
      </c>
      <c r="AB82" s="629">
        <f t="shared" si="470"/>
        <v>-0.24999996726497564</v>
      </c>
      <c r="AC82" s="636">
        <f t="shared" si="84"/>
        <v>1</v>
      </c>
      <c r="AD82" s="637">
        <f t="shared" si="115"/>
        <v>-0.46892874510133487</v>
      </c>
      <c r="AE82" s="629">
        <f t="shared" si="85"/>
        <v>0.84711619532694493</v>
      </c>
      <c r="AF82" s="633">
        <f t="shared" si="86"/>
        <v>-0.24999996726497564</v>
      </c>
      <c r="AG82" s="602">
        <f t="shared" si="87"/>
        <v>73.557675922032189</v>
      </c>
      <c r="AH82" s="603">
        <f t="shared" si="88"/>
        <v>117.96478150797752</v>
      </c>
      <c r="AI82" s="585">
        <f t="shared" si="89"/>
        <v>-75.522489751159469</v>
      </c>
      <c r="AJ82" s="586">
        <f t="shared" si="90"/>
        <v>-151.03288695885672</v>
      </c>
      <c r="AK82" s="635">
        <f t="shared" si="211"/>
        <v>0.9659258360722075</v>
      </c>
      <c r="AL82" s="629">
        <f t="shared" si="91"/>
        <v>6.6987279208206851E-2</v>
      </c>
      <c r="AM82" s="634">
        <f t="shared" si="92"/>
        <v>-0.24999996726497564</v>
      </c>
      <c r="AN82" s="581">
        <f t="shared" si="93"/>
        <v>14.999997834268195</v>
      </c>
      <c r="AO82" s="582">
        <f t="shared" si="461"/>
        <v>14.99999783426823</v>
      </c>
      <c r="AP82" s="585">
        <f t="shared" si="95"/>
        <v>3.9671296450865503</v>
      </c>
      <c r="AQ82" s="586">
        <f t="shared" si="471"/>
        <v>1.0994260116300374</v>
      </c>
      <c r="AS82" s="52">
        <f t="shared" si="543"/>
        <v>-245.00001660394327</v>
      </c>
      <c r="AT82" s="72">
        <f t="shared" si="472"/>
        <v>-0.22306228547537155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5.1079999999999997</v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>
        <f t="shared" si="542"/>
        <v>1613</v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>
        <v>-2.5514457220089879</v>
      </c>
      <c r="C83" s="708">
        <v>-1.189757779371827</v>
      </c>
      <c r="D83" s="709">
        <v>-0.19440058631216828</v>
      </c>
      <c r="E83" s="710">
        <v>0.46892874510133509</v>
      </c>
      <c r="F83" s="708">
        <v>-0.84711619532694471</v>
      </c>
      <c r="G83" s="711">
        <v>0.24999996726497556</v>
      </c>
      <c r="H83" s="710">
        <v>0.314</v>
      </c>
      <c r="I83" s="708">
        <v>0.52</v>
      </c>
      <c r="J83" s="570">
        <v>5.1109999999999998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1613</v>
      </c>
      <c r="L83" s="320"/>
      <c r="M83" s="168">
        <f t="shared" si="464"/>
        <v>5.1109999999999998</v>
      </c>
      <c r="N83" s="632">
        <f t="shared" si="465"/>
        <v>-2.5514457220089879</v>
      </c>
      <c r="O83" s="629">
        <f t="shared" si="466"/>
        <v>-1.189757779371827</v>
      </c>
      <c r="P83" s="633">
        <f t="shared" si="467"/>
        <v>-0.19440058631216828</v>
      </c>
      <c r="Q83" s="585">
        <f t="shared" si="520"/>
        <v>204.99998339605673</v>
      </c>
      <c r="R83" s="629">
        <f t="shared" si="79"/>
        <v>2.8152084906688075</v>
      </c>
      <c r="S83" s="634">
        <f t="shared" si="80"/>
        <v>-0.19440058631216828</v>
      </c>
      <c r="T83" s="635">
        <f t="shared" si="81"/>
        <v>-1.1897577793718279</v>
      </c>
      <c r="U83" s="629">
        <f t="shared" si="82"/>
        <v>2.5514457220089874</v>
      </c>
      <c r="V83" s="636">
        <f t="shared" si="114"/>
        <v>-0.19440058631216828</v>
      </c>
      <c r="W83" s="585">
        <f t="shared" si="645"/>
        <v>114.99998339605673</v>
      </c>
      <c r="X83" s="629">
        <f t="shared" si="83"/>
        <v>2.8152084906688075</v>
      </c>
      <c r="Y83" s="630">
        <f t="shared" si="644"/>
        <v>-0.19440058631216828</v>
      </c>
      <c r="Z83" s="632">
        <f t="shared" si="468"/>
        <v>-0.46892874510133509</v>
      </c>
      <c r="AA83" s="629">
        <f t="shared" si="469"/>
        <v>0.84711619532694471</v>
      </c>
      <c r="AB83" s="629">
        <f t="shared" si="470"/>
        <v>-0.24999996726497556</v>
      </c>
      <c r="AC83" s="636">
        <f t="shared" si="84"/>
        <v>1</v>
      </c>
      <c r="AD83" s="637">
        <f t="shared" si="115"/>
        <v>-0.46892874510133509</v>
      </c>
      <c r="AE83" s="629">
        <f t="shared" si="85"/>
        <v>0.84711619532694471</v>
      </c>
      <c r="AF83" s="633">
        <f t="shared" si="86"/>
        <v>-0.24999996726497556</v>
      </c>
      <c r="AG83" s="602">
        <f t="shared" si="87"/>
        <v>73.557675922032189</v>
      </c>
      <c r="AH83" s="603">
        <f t="shared" si="88"/>
        <v>117.96478150797755</v>
      </c>
      <c r="AI83" s="585">
        <f t="shared" si="89"/>
        <v>-75.522489751159469</v>
      </c>
      <c r="AJ83" s="586">
        <f t="shared" si="90"/>
        <v>-151.03288695885669</v>
      </c>
      <c r="AK83" s="635">
        <f t="shared" si="211"/>
        <v>0.9659258360722075</v>
      </c>
      <c r="AL83" s="629">
        <f t="shared" si="91"/>
        <v>6.6987279208207129E-2</v>
      </c>
      <c r="AM83" s="634">
        <f t="shared" si="92"/>
        <v>-0.24999996726497556</v>
      </c>
      <c r="AN83" s="581">
        <f t="shared" si="93"/>
        <v>14.999997834268262</v>
      </c>
      <c r="AO83" s="582">
        <f t="shared" si="461"/>
        <v>14.99999783426823</v>
      </c>
      <c r="AP83" s="585">
        <f t="shared" si="95"/>
        <v>3.9671296450865672</v>
      </c>
      <c r="AQ83" s="586">
        <f t="shared" si="471"/>
        <v>0.80973571285357193</v>
      </c>
      <c r="AS83" s="52">
        <f t="shared" si="543"/>
        <v>-245.00001660394327</v>
      </c>
      <c r="AT83" s="72">
        <f t="shared" si="472"/>
        <v>-2.426168589276323E-2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5.1109999999999998</v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>
        <f t="shared" si="542"/>
        <v>1613</v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>
        <v>-3.2258314714217793</v>
      </c>
      <c r="C84" s="708">
        <v>-1.5042287809456318</v>
      </c>
      <c r="D84" s="709">
        <v>-6.6900201771008846E-2</v>
      </c>
      <c r="E84" s="710">
        <v>0.42253778054998192</v>
      </c>
      <c r="F84" s="708">
        <v>-0.8687486409993832</v>
      </c>
      <c r="G84" s="711">
        <v>0.25833625910742808</v>
      </c>
      <c r="H84" s="710">
        <v>0.314</v>
      </c>
      <c r="I84" s="708">
        <v>0.52</v>
      </c>
      <c r="J84" s="570">
        <v>5.1139999999999999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1613</v>
      </c>
      <c r="L84" s="320"/>
      <c r="M84" s="168">
        <f t="shared" si="464"/>
        <v>5.1139999999999999</v>
      </c>
      <c r="N84" s="632">
        <f t="shared" si="465"/>
        <v>-3.2258314714217793</v>
      </c>
      <c r="O84" s="629">
        <f t="shared" si="466"/>
        <v>-1.5042287809456318</v>
      </c>
      <c r="P84" s="633">
        <f t="shared" si="467"/>
        <v>-6.6900201771008846E-2</v>
      </c>
      <c r="Q84" s="585">
        <f t="shared" si="520"/>
        <v>204.99998339605671</v>
      </c>
      <c r="R84" s="629">
        <f t="shared" si="79"/>
        <v>3.5593107348811768</v>
      </c>
      <c r="S84" s="634">
        <f t="shared" si="80"/>
        <v>-6.6900201771008846E-2</v>
      </c>
      <c r="T84" s="635">
        <f t="shared" si="81"/>
        <v>-1.5042287809456325</v>
      </c>
      <c r="U84" s="629">
        <f t="shared" si="82"/>
        <v>3.2258314714217788</v>
      </c>
      <c r="V84" s="636">
        <f t="shared" si="114"/>
        <v>-6.6900201771008846E-2</v>
      </c>
      <c r="W84" s="585">
        <f t="shared" si="645"/>
        <v>114.99998339605671</v>
      </c>
      <c r="X84" s="629">
        <f t="shared" si="83"/>
        <v>3.5593107348811768</v>
      </c>
      <c r="Y84" s="630">
        <f t="shared" si="644"/>
        <v>-6.6900201771008846E-2</v>
      </c>
      <c r="Z84" s="632">
        <f t="shared" si="468"/>
        <v>-0.42253778054998192</v>
      </c>
      <c r="AA84" s="629">
        <f t="shared" si="469"/>
        <v>0.8687486409993832</v>
      </c>
      <c r="AB84" s="629">
        <f t="shared" si="470"/>
        <v>-0.25833625910742808</v>
      </c>
      <c r="AC84" s="636">
        <f t="shared" si="84"/>
        <v>1</v>
      </c>
      <c r="AD84" s="637">
        <f t="shared" si="115"/>
        <v>-0.42253778054998192</v>
      </c>
      <c r="AE84" s="629">
        <f t="shared" si="85"/>
        <v>0.8687486409993832</v>
      </c>
      <c r="AF84" s="633">
        <f t="shared" si="86"/>
        <v>-0.25833625910742808</v>
      </c>
      <c r="AG84" s="602">
        <f t="shared" si="87"/>
        <v>73.439314968263915</v>
      </c>
      <c r="AH84" s="603">
        <f t="shared" si="88"/>
        <v>114.99491217314716</v>
      </c>
      <c r="AI84" s="585">
        <f t="shared" si="89"/>
        <v>-75.028635479326027</v>
      </c>
      <c r="AJ84" s="586">
        <f t="shared" si="90"/>
        <v>-154.06286143795811</v>
      </c>
      <c r="AK84" s="635">
        <f t="shared" si="211"/>
        <v>0.96592583607220739</v>
      </c>
      <c r="AL84" s="629">
        <f t="shared" si="91"/>
        <v>1.5800520199886758E-2</v>
      </c>
      <c r="AM84" s="634">
        <f t="shared" si="92"/>
        <v>-0.25833625910742808</v>
      </c>
      <c r="AN84" s="581">
        <f t="shared" si="93"/>
        <v>3.4999994946626058</v>
      </c>
      <c r="AO84" s="582">
        <f t="shared" si="461"/>
        <v>14.999997834268255</v>
      </c>
      <c r="AP84" s="585">
        <f t="shared" si="95"/>
        <v>0.93715516598517301</v>
      </c>
      <c r="AQ84" s="586">
        <f t="shared" si="471"/>
        <v>0.64046998052229998</v>
      </c>
      <c r="AS84" s="52">
        <f t="shared" si="543"/>
        <v>-245.00001660394329</v>
      </c>
      <c r="AT84" s="72">
        <f t="shared" si="472"/>
        <v>0.10323869864839623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5.1139999999999999</v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>
        <f t="shared" si="542"/>
        <v>1613</v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>
        <v>-3.9004891140274518</v>
      </c>
      <c r="C85" s="708">
        <v>-1.8188265683015528</v>
      </c>
      <c r="D85" s="709">
        <v>-0.11510034714264725</v>
      </c>
      <c r="E85" s="710">
        <v>0.37760015685464537</v>
      </c>
      <c r="F85" s="708">
        <v>-0.8897033832135004</v>
      </c>
      <c r="G85" s="711">
        <v>0.25660477673223187</v>
      </c>
      <c r="H85" s="710">
        <v>0.314</v>
      </c>
      <c r="I85" s="708">
        <v>0.52</v>
      </c>
      <c r="J85" s="570">
        <v>5.117</v>
      </c>
      <c r="K85" s="865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1613</v>
      </c>
      <c r="L85" s="320"/>
      <c r="M85" s="168">
        <f t="shared" si="464"/>
        <v>5.117</v>
      </c>
      <c r="N85" s="632">
        <f t="shared" si="465"/>
        <v>-3.9004891140274518</v>
      </c>
      <c r="O85" s="629">
        <f t="shared" si="466"/>
        <v>-1.8188265683015528</v>
      </c>
      <c r="P85" s="633">
        <f t="shared" si="467"/>
        <v>-0.11510034714264725</v>
      </c>
      <c r="Q85" s="585">
        <f t="shared" si="520"/>
        <v>204.99998339605673</v>
      </c>
      <c r="R85" s="629">
        <f t="shared" si="79"/>
        <v>4.3037129799983473</v>
      </c>
      <c r="S85" s="634">
        <f t="shared" si="80"/>
        <v>-0.11510034714264725</v>
      </c>
      <c r="T85" s="635">
        <f t="shared" si="81"/>
        <v>-1.8188265683015545</v>
      </c>
      <c r="U85" s="629">
        <f t="shared" si="82"/>
        <v>3.9004891140274505</v>
      </c>
      <c r="V85" s="636">
        <f t="shared" si="114"/>
        <v>-0.11510034714264725</v>
      </c>
      <c r="W85" s="585">
        <f t="shared" si="645"/>
        <v>114.99998339605673</v>
      </c>
      <c r="X85" s="629">
        <f t="shared" si="83"/>
        <v>4.3037129799983473</v>
      </c>
      <c r="Y85" s="630">
        <f t="shared" si="644"/>
        <v>-0.11510034714264725</v>
      </c>
      <c r="Z85" s="632">
        <f t="shared" si="468"/>
        <v>-0.37760015685464537</v>
      </c>
      <c r="AA85" s="629">
        <f t="shared" si="469"/>
        <v>0.8897033832135004</v>
      </c>
      <c r="AB85" s="629">
        <f t="shared" si="470"/>
        <v>-0.25660477673223187</v>
      </c>
      <c r="AC85" s="636">
        <f t="shared" si="84"/>
        <v>1</v>
      </c>
      <c r="AD85" s="637">
        <f t="shared" si="115"/>
        <v>-0.37760015685464537</v>
      </c>
      <c r="AE85" s="629">
        <f t="shared" si="85"/>
        <v>0.8897033832135004</v>
      </c>
      <c r="AF85" s="633">
        <f t="shared" si="86"/>
        <v>-0.25660477673223187</v>
      </c>
      <c r="AG85" s="602">
        <f t="shared" si="87"/>
        <v>73.911587312693555</v>
      </c>
      <c r="AH85" s="603">
        <f t="shared" si="88"/>
        <v>112.18510985155955</v>
      </c>
      <c r="AI85" s="585">
        <f t="shared" si="89"/>
        <v>-75.131303460271695</v>
      </c>
      <c r="AJ85" s="586">
        <f t="shared" si="90"/>
        <v>-157.00308436909421</v>
      </c>
      <c r="AK85" s="635">
        <f t="shared" si="211"/>
        <v>0.96592583607220739</v>
      </c>
      <c r="AL85" s="629">
        <f t="shared" si="91"/>
        <v>-3.3782654815876612E-2</v>
      </c>
      <c r="AM85" s="634">
        <f t="shared" si="92"/>
        <v>-0.25660477673223187</v>
      </c>
      <c r="AN85" s="581">
        <f t="shared" si="93"/>
        <v>-7.4999989171342563</v>
      </c>
      <c r="AO85" s="582">
        <f t="shared" si="461"/>
        <v>14.999997834268255</v>
      </c>
      <c r="AP85" s="585">
        <f t="shared" si="95"/>
        <v>-2.0030677651509263</v>
      </c>
      <c r="AQ85" s="586">
        <f t="shared" si="471"/>
        <v>0.52969649543984076</v>
      </c>
      <c r="AS85" s="52">
        <f t="shared" si="543"/>
        <v>-245.00001660394327</v>
      </c>
      <c r="AT85" s="72">
        <f t="shared" si="472"/>
        <v>5.5038553276757801E-2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5.117</v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>
        <f t="shared" si="542"/>
        <v>1613</v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>
        <v>-4.5855785093222954</v>
      </c>
      <c r="C86" s="708">
        <v>-2.0752665951336695</v>
      </c>
      <c r="D86" s="709">
        <v>-0.34250103298311529</v>
      </c>
      <c r="E86" s="710">
        <v>0.25253278432103349</v>
      </c>
      <c r="F86" s="708">
        <v>-0.94213694622000022</v>
      </c>
      <c r="G86" s="711">
        <v>0.22046579646357556</v>
      </c>
      <c r="H86" s="710">
        <v>0.314</v>
      </c>
      <c r="I86" s="708">
        <v>0.52</v>
      </c>
      <c r="J86" s="570">
        <v>5.12</v>
      </c>
      <c r="K86" s="865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1613</v>
      </c>
      <c r="L86" s="320"/>
      <c r="M86" s="168">
        <f t="shared" si="464"/>
        <v>5.12</v>
      </c>
      <c r="N86" s="632">
        <f t="shared" si="465"/>
        <v>-4.5855785093222954</v>
      </c>
      <c r="O86" s="629">
        <f t="shared" si="466"/>
        <v>-2.0752665951336695</v>
      </c>
      <c r="P86" s="633">
        <f t="shared" si="467"/>
        <v>-0.34250103298311529</v>
      </c>
      <c r="Q86" s="585">
        <f t="shared" si="520"/>
        <v>204.34978348993397</v>
      </c>
      <c r="R86" s="629">
        <f t="shared" si="79"/>
        <v>5.0333151804785858</v>
      </c>
      <c r="S86" s="634">
        <f t="shared" si="80"/>
        <v>-0.34250103298311529</v>
      </c>
      <c r="T86" s="635">
        <f t="shared" si="81"/>
        <v>-2.0752665951336695</v>
      </c>
      <c r="U86" s="629">
        <f t="shared" si="82"/>
        <v>4.5855785093222954</v>
      </c>
      <c r="V86" s="636">
        <f t="shared" si="114"/>
        <v>-0.34250103298311529</v>
      </c>
      <c r="W86" s="585">
        <f t="shared" si="645"/>
        <v>114.34978348993397</v>
      </c>
      <c r="X86" s="629">
        <f t="shared" si="83"/>
        <v>5.0333151804785858</v>
      </c>
      <c r="Y86" s="630">
        <f t="shared" si="644"/>
        <v>-0.34250103298311529</v>
      </c>
      <c r="Z86" s="632">
        <f t="shared" si="468"/>
        <v>-0.25253278432103349</v>
      </c>
      <c r="AA86" s="629">
        <f t="shared" si="469"/>
        <v>0.94213694622000022</v>
      </c>
      <c r="AB86" s="629">
        <f t="shared" si="470"/>
        <v>-0.22046579646357556</v>
      </c>
      <c r="AC86" s="636">
        <f t="shared" si="84"/>
        <v>1</v>
      </c>
      <c r="AD86" s="637">
        <f t="shared" si="115"/>
        <v>-0.25253278432103349</v>
      </c>
      <c r="AE86" s="629">
        <f t="shared" si="85"/>
        <v>0.94213694622000022</v>
      </c>
      <c r="AF86" s="633">
        <f t="shared" si="86"/>
        <v>-0.22046579646357556</v>
      </c>
      <c r="AG86" s="602">
        <f t="shared" si="87"/>
        <v>76.82942651084268</v>
      </c>
      <c r="AH86" s="603">
        <f t="shared" si="88"/>
        <v>104.62744007859264</v>
      </c>
      <c r="AI86" s="585">
        <f t="shared" si="89"/>
        <v>-77.263607074145369</v>
      </c>
      <c r="AJ86" s="586">
        <f t="shared" si="90"/>
        <v>-164.99500973114945</v>
      </c>
      <c r="AK86" s="635">
        <f t="shared" si="211"/>
        <v>0.96245031578608387</v>
      </c>
      <c r="AL86" s="629">
        <f t="shared" si="91"/>
        <v>-0.15837999315869603</v>
      </c>
      <c r="AM86" s="634">
        <f t="shared" si="92"/>
        <v>-0.22046579646357556</v>
      </c>
      <c r="AN86" s="581">
        <f t="shared" si="93"/>
        <v>-35.693014846641312</v>
      </c>
      <c r="AO86" s="582">
        <f t="shared" si="461"/>
        <v>15.75103862347558</v>
      </c>
      <c r="AP86" s="585">
        <f t="shared" si="95"/>
        <v>-9.344793221083421</v>
      </c>
      <c r="AQ86" s="586">
        <f t="shared" si="471"/>
        <v>0.45291802025521266</v>
      </c>
      <c r="AS86" s="52">
        <f t="shared" si="543"/>
        <v>-245.65021651006603</v>
      </c>
      <c r="AT86" s="72">
        <f t="shared" si="472"/>
        <v>-0.171910604851125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5.12</v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>
        <f t="shared" si="542"/>
        <v>1613</v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>
        <v>-5.20100527716877</v>
      </c>
      <c r="C87" s="708">
        <v>-2.2867402710712739</v>
      </c>
      <c r="D87" s="709">
        <v>-0.7321022080202596</v>
      </c>
      <c r="E87" s="710">
        <v>0.17578568279034734</v>
      </c>
      <c r="F87" s="708">
        <v>-0.96953286265910543</v>
      </c>
      <c r="G87" s="711">
        <v>0.17060311236894721</v>
      </c>
      <c r="H87" s="710">
        <v>0.314</v>
      </c>
      <c r="I87" s="708">
        <v>0.52</v>
      </c>
      <c r="J87" s="570">
        <v>5.1230000000000002</v>
      </c>
      <c r="K87" s="865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1613</v>
      </c>
      <c r="L87" s="320"/>
      <c r="M87" s="168">
        <f t="shared" si="464"/>
        <v>5.1230000000000002</v>
      </c>
      <c r="N87" s="632">
        <f t="shared" si="465"/>
        <v>-5.20100527716877</v>
      </c>
      <c r="O87" s="629">
        <f t="shared" si="466"/>
        <v>-2.2867402710712739</v>
      </c>
      <c r="P87" s="633">
        <f t="shared" si="467"/>
        <v>-0.7321022080202596</v>
      </c>
      <c r="Q87" s="585">
        <f t="shared" si="520"/>
        <v>203.73378357887336</v>
      </c>
      <c r="R87" s="629">
        <f t="shared" si="79"/>
        <v>5.6815171354556799</v>
      </c>
      <c r="S87" s="634">
        <f t="shared" si="80"/>
        <v>-0.7321022080202596</v>
      </c>
      <c r="T87" s="635">
        <f t="shared" si="81"/>
        <v>-2.2867402710712734</v>
      </c>
      <c r="U87" s="629">
        <f t="shared" si="82"/>
        <v>5.20100527716877</v>
      </c>
      <c r="V87" s="636">
        <f t="shared" si="114"/>
        <v>-0.7321022080202596</v>
      </c>
      <c r="W87" s="585">
        <f t="shared" si="645"/>
        <v>113.73378357887336</v>
      </c>
      <c r="X87" s="629">
        <f t="shared" si="83"/>
        <v>5.6815171354556799</v>
      </c>
      <c r="Y87" s="630">
        <f t="shared" si="644"/>
        <v>-0.7321022080202596</v>
      </c>
      <c r="Z87" s="632">
        <f t="shared" si="468"/>
        <v>-0.17578568279034734</v>
      </c>
      <c r="AA87" s="629">
        <f t="shared" si="469"/>
        <v>0.96953286265910543</v>
      </c>
      <c r="AB87" s="629">
        <f t="shared" si="470"/>
        <v>-0.17060311236894721</v>
      </c>
      <c r="AC87" s="636">
        <f t="shared" si="84"/>
        <v>1</v>
      </c>
      <c r="AD87" s="637">
        <f t="shared" si="115"/>
        <v>-0.17578568279034734</v>
      </c>
      <c r="AE87" s="629">
        <f t="shared" si="85"/>
        <v>0.96953286265910543</v>
      </c>
      <c r="AF87" s="633">
        <f t="shared" si="86"/>
        <v>-0.17060311236894721</v>
      </c>
      <c r="AG87" s="602">
        <f t="shared" si="87"/>
        <v>80.020158116964211</v>
      </c>
      <c r="AH87" s="603">
        <f t="shared" si="88"/>
        <v>100.12438322363232</v>
      </c>
      <c r="AI87" s="585">
        <f t="shared" si="89"/>
        <v>-80.177112874797189</v>
      </c>
      <c r="AJ87" s="586">
        <f t="shared" si="90"/>
        <v>-169.72335932964123</v>
      </c>
      <c r="AK87" s="635">
        <f t="shared" si="211"/>
        <v>0.95828659936908345</v>
      </c>
      <c r="AL87" s="629">
        <f t="shared" si="91"/>
        <v>-0.22930628321017785</v>
      </c>
      <c r="AM87" s="634">
        <f t="shared" si="92"/>
        <v>-0.17060311236894721</v>
      </c>
      <c r="AN87" s="581">
        <f t="shared" si="93"/>
        <v>-53.350875144741082</v>
      </c>
      <c r="AO87" s="582">
        <f t="shared" si="461"/>
        <v>16.607213405448046</v>
      </c>
      <c r="AP87" s="585">
        <f t="shared" si="95"/>
        <v>-13.457142908514568</v>
      </c>
      <c r="AQ87" s="586">
        <f t="shared" si="471"/>
        <v>0.40124658770418015</v>
      </c>
      <c r="AS87" s="52">
        <f t="shared" si="543"/>
        <v>-246.26621642112664</v>
      </c>
      <c r="AT87" s="72">
        <f t="shared" si="472"/>
        <v>-0.56108400217225496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5.1230000000000002</v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>
        <f t="shared" si="542"/>
        <v>1613</v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>
        <v>-5.719563192209284</v>
      </c>
      <c r="C88" s="708">
        <v>-2.4434104014256213</v>
      </c>
      <c r="D88" s="709">
        <v>-1.2634038104258927</v>
      </c>
      <c r="E88" s="710">
        <v>0.11587704111363936</v>
      </c>
      <c r="F88" s="708">
        <v>-0.98746023850516718</v>
      </c>
      <c r="G88" s="711">
        <v>0.10721375244839759</v>
      </c>
      <c r="H88" s="710">
        <v>0.314</v>
      </c>
      <c r="I88" s="708">
        <v>0.52</v>
      </c>
      <c r="J88" s="570">
        <v>5.1260000000000003</v>
      </c>
      <c r="K88" s="865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1613</v>
      </c>
      <c r="L88" s="320"/>
      <c r="M88" s="168">
        <f t="shared" si="464"/>
        <v>5.1260000000000003</v>
      </c>
      <c r="N88" s="632">
        <f t="shared" si="465"/>
        <v>-5.719563192209284</v>
      </c>
      <c r="O88" s="629">
        <f t="shared" si="466"/>
        <v>-2.4434104014256213</v>
      </c>
      <c r="P88" s="633">
        <f t="shared" si="467"/>
        <v>-1.2634038104258927</v>
      </c>
      <c r="Q88" s="585">
        <f t="shared" si="520"/>
        <v>203.13228366571917</v>
      </c>
      <c r="R88" s="629">
        <f t="shared" si="79"/>
        <v>6.2196187583701761</v>
      </c>
      <c r="S88" s="634">
        <f t="shared" si="80"/>
        <v>-1.2634038104258927</v>
      </c>
      <c r="T88" s="635">
        <f t="shared" si="81"/>
        <v>-2.4434104014256186</v>
      </c>
      <c r="U88" s="629">
        <f t="shared" si="82"/>
        <v>5.7195631922092849</v>
      </c>
      <c r="V88" s="636">
        <f t="shared" si="114"/>
        <v>-1.2634038104258927</v>
      </c>
      <c r="W88" s="585">
        <f t="shared" si="645"/>
        <v>113.13228366571917</v>
      </c>
      <c r="X88" s="629">
        <f t="shared" si="83"/>
        <v>6.2196187583701761</v>
      </c>
      <c r="Y88" s="630">
        <f t="shared" si="644"/>
        <v>-1.2634038104258927</v>
      </c>
      <c r="Z88" s="632">
        <f t="shared" si="468"/>
        <v>-0.11587704111363936</v>
      </c>
      <c r="AA88" s="629">
        <f t="shared" si="469"/>
        <v>0.98746023850516718</v>
      </c>
      <c r="AB88" s="629">
        <f t="shared" si="470"/>
        <v>-0.10721375244839759</v>
      </c>
      <c r="AC88" s="636">
        <f t="shared" si="84"/>
        <v>1</v>
      </c>
      <c r="AD88" s="637">
        <f t="shared" si="115"/>
        <v>-0.11587704111363936</v>
      </c>
      <c r="AE88" s="629">
        <f t="shared" si="85"/>
        <v>0.98746023850516718</v>
      </c>
      <c r="AF88" s="633">
        <f t="shared" si="86"/>
        <v>-0.10721375244839759</v>
      </c>
      <c r="AG88" s="602">
        <f t="shared" si="87"/>
        <v>83.803369585901791</v>
      </c>
      <c r="AH88" s="603">
        <f t="shared" si="88"/>
        <v>96.654214010790483</v>
      </c>
      <c r="AI88" s="585">
        <f t="shared" si="89"/>
        <v>-83.845274636827128</v>
      </c>
      <c r="AJ88" s="586">
        <f t="shared" si="90"/>
        <v>-173.30703278178038</v>
      </c>
      <c r="AK88" s="635">
        <f t="shared" si="211"/>
        <v>0.95359163188034901</v>
      </c>
      <c r="AL88" s="629">
        <f t="shared" si="91"/>
        <v>-0.28136846108564939</v>
      </c>
      <c r="AM88" s="634">
        <f t="shared" si="92"/>
        <v>-0.10721375244839759</v>
      </c>
      <c r="AN88" s="581">
        <f t="shared" si="93"/>
        <v>-69.140960017719451</v>
      </c>
      <c r="AO88" s="582">
        <f t="shared" si="461"/>
        <v>17.523862204945246</v>
      </c>
      <c r="AP88" s="585">
        <f t="shared" si="95"/>
        <v>-16.439316447499543</v>
      </c>
      <c r="AQ88" s="586">
        <f t="shared" si="471"/>
        <v>0.36653300173527997</v>
      </c>
      <c r="AS88" s="52">
        <f t="shared" si="543"/>
        <v>-246.86771633428083</v>
      </c>
      <c r="AT88" s="72">
        <f t="shared" si="472"/>
        <v>-1.0919678963048642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5.1260000000000003</v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>
        <f t="shared" si="542"/>
        <v>1613</v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>
        <v>-6.1059025101314353</v>
      </c>
      <c r="C89" s="708">
        <v>-2.5477436655537691</v>
      </c>
      <c r="D89" s="709">
        <v>-1.9035057409733149</v>
      </c>
      <c r="E89" s="710">
        <v>7.8006371749514636E-2</v>
      </c>
      <c r="F89" s="708">
        <v>-0.99619619824316996</v>
      </c>
      <c r="G89" s="711">
        <v>3.8834785596568722E-2</v>
      </c>
      <c r="H89" s="710">
        <v>0.314</v>
      </c>
      <c r="I89" s="708">
        <v>0.52</v>
      </c>
      <c r="J89" s="570">
        <v>5.1289999999999996</v>
      </c>
      <c r="K89" s="865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1613</v>
      </c>
      <c r="L89" s="320"/>
      <c r="M89" s="168">
        <f t="shared" si="464"/>
        <v>5.1289999999999996</v>
      </c>
      <c r="N89" s="632">
        <f t="shared" si="465"/>
        <v>-6.1059025101314353</v>
      </c>
      <c r="O89" s="629">
        <f t="shared" si="466"/>
        <v>-2.5477436655537691</v>
      </c>
      <c r="P89" s="633">
        <f t="shared" si="467"/>
        <v>-1.9035057409733149</v>
      </c>
      <c r="Q89" s="585">
        <f t="shared" si="520"/>
        <v>202.64878373552796</v>
      </c>
      <c r="R89" s="629">
        <f t="shared" si="79"/>
        <v>6.6161199542177824</v>
      </c>
      <c r="S89" s="634">
        <f t="shared" si="80"/>
        <v>-1.9035057409733149</v>
      </c>
      <c r="T89" s="635">
        <f t="shared" si="81"/>
        <v>-2.5477436655537695</v>
      </c>
      <c r="U89" s="629">
        <f t="shared" si="82"/>
        <v>6.1059025101314344</v>
      </c>
      <c r="V89" s="636">
        <f t="shared" si="114"/>
        <v>-1.9035057409733149</v>
      </c>
      <c r="W89" s="585">
        <f t="shared" si="645"/>
        <v>112.64878373552796</v>
      </c>
      <c r="X89" s="629">
        <f t="shared" si="83"/>
        <v>6.6161199542177824</v>
      </c>
      <c r="Y89" s="630">
        <f t="shared" si="644"/>
        <v>-1.9035057409733149</v>
      </c>
      <c r="Z89" s="632">
        <f t="shared" si="468"/>
        <v>-7.8006371749514636E-2</v>
      </c>
      <c r="AA89" s="629">
        <f t="shared" si="469"/>
        <v>0.99619619824316996</v>
      </c>
      <c r="AB89" s="629">
        <f t="shared" si="470"/>
        <v>-3.8834785596568722E-2</v>
      </c>
      <c r="AC89" s="636">
        <f t="shared" si="84"/>
        <v>1</v>
      </c>
      <c r="AD89" s="637">
        <f t="shared" si="115"/>
        <v>-7.8006371749514636E-2</v>
      </c>
      <c r="AE89" s="629">
        <f t="shared" si="85"/>
        <v>0.99619619824316996</v>
      </c>
      <c r="AF89" s="633">
        <f t="shared" si="86"/>
        <v>-3.8834785596568722E-2</v>
      </c>
      <c r="AG89" s="602">
        <f t="shared" si="87"/>
        <v>87.767565051321185</v>
      </c>
      <c r="AH89" s="603">
        <f t="shared" si="88"/>
        <v>94.473981081744881</v>
      </c>
      <c r="AI89" s="585">
        <f t="shared" si="89"/>
        <v>-87.774371020895217</v>
      </c>
      <c r="AJ89" s="586">
        <f t="shared" si="90"/>
        <v>-175.52263451198073</v>
      </c>
      <c r="AK89" s="635">
        <f t="shared" si="211"/>
        <v>0.94941100681368595</v>
      </c>
      <c r="AL89" s="629">
        <f t="shared" si="91"/>
        <v>-0.31162573637087804</v>
      </c>
      <c r="AM89" s="634">
        <f t="shared" si="92"/>
        <v>-3.8834785596568722E-2</v>
      </c>
      <c r="AN89" s="581">
        <f t="shared" si="93"/>
        <v>-82.896424563966718</v>
      </c>
      <c r="AO89" s="582">
        <f t="shared" si="461"/>
        <v>18.30264038070214</v>
      </c>
      <c r="AP89" s="585">
        <f t="shared" si="95"/>
        <v>-18.171418247508672</v>
      </c>
      <c r="AQ89" s="586">
        <f t="shared" si="471"/>
        <v>0.34456738460502989</v>
      </c>
      <c r="AS89" s="52">
        <f t="shared" si="543"/>
        <v>-247.35121626447204</v>
      </c>
      <c r="AT89" s="72">
        <f t="shared" si="472"/>
        <v>-1.731734063011876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5.1289999999999996</v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>
        <f t="shared" si="542"/>
        <v>1613</v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>
        <v>-6.3415147853860345</v>
      </c>
      <c r="C90" s="708">
        <v>-2.6062747547750944</v>
      </c>
      <c r="D90" s="709">
        <v>-2.6039999280832928</v>
      </c>
      <c r="E90" s="710">
        <v>3.3609189511024561E-2</v>
      </c>
      <c r="F90" s="708">
        <v>-0.9993986577327002</v>
      </c>
      <c r="G90" s="711">
        <v>-8.5290856772159106E-3</v>
      </c>
      <c r="H90" s="710">
        <v>0.314</v>
      </c>
      <c r="I90" s="708">
        <v>0.52</v>
      </c>
      <c r="J90" s="570">
        <v>5.1319999999999997</v>
      </c>
      <c r="K90" s="865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1613</v>
      </c>
      <c r="L90" s="320"/>
      <c r="M90" s="168">
        <f t="shared" si="464"/>
        <v>5.1319999999999997</v>
      </c>
      <c r="N90" s="632">
        <f t="shared" si="465"/>
        <v>-6.3415147853860345</v>
      </c>
      <c r="O90" s="629">
        <f t="shared" si="466"/>
        <v>-2.6062747547750944</v>
      </c>
      <c r="P90" s="633">
        <f t="shared" si="467"/>
        <v>-2.6039999280832928</v>
      </c>
      <c r="Q90" s="585">
        <f t="shared" si="520"/>
        <v>202.34198353067731</v>
      </c>
      <c r="R90" s="629">
        <f t="shared" si="79"/>
        <v>6.8561999584790163</v>
      </c>
      <c r="S90" s="634">
        <f t="shared" si="80"/>
        <v>-2.6039999280832928</v>
      </c>
      <c r="T90" s="635">
        <f t="shared" si="81"/>
        <v>-2.606274754775094</v>
      </c>
      <c r="U90" s="629">
        <f t="shared" si="82"/>
        <v>6.3415147853860354</v>
      </c>
      <c r="V90" s="636">
        <f t="shared" si="114"/>
        <v>-2.6039999280832928</v>
      </c>
      <c r="W90" s="585">
        <f t="shared" si="645"/>
        <v>112.34198353067731</v>
      </c>
      <c r="X90" s="629">
        <f t="shared" si="83"/>
        <v>6.8561999584790163</v>
      </c>
      <c r="Y90" s="630">
        <f t="shared" si="644"/>
        <v>-2.6039999280832928</v>
      </c>
      <c r="Z90" s="632">
        <f t="shared" si="468"/>
        <v>-3.3609189511024561E-2</v>
      </c>
      <c r="AA90" s="629">
        <f t="shared" si="469"/>
        <v>0.9993986577327002</v>
      </c>
      <c r="AB90" s="629">
        <f t="shared" si="470"/>
        <v>8.5290856772159106E-3</v>
      </c>
      <c r="AC90" s="636">
        <f t="shared" si="84"/>
        <v>1</v>
      </c>
      <c r="AD90" s="637">
        <f t="shared" si="115"/>
        <v>-3.3609189511024561E-2</v>
      </c>
      <c r="AE90" s="629">
        <f t="shared" si="85"/>
        <v>0.9993986577327002</v>
      </c>
      <c r="AF90" s="633">
        <f t="shared" si="86"/>
        <v>8.5290856772159106E-3</v>
      </c>
      <c r="AG90" s="602">
        <f t="shared" si="87"/>
        <v>90.488962782912864</v>
      </c>
      <c r="AH90" s="603">
        <f t="shared" si="88"/>
        <v>91.926027427532873</v>
      </c>
      <c r="AI90" s="585">
        <f t="shared" si="89"/>
        <v>-90.48868653747374</v>
      </c>
      <c r="AJ90" s="586">
        <f t="shared" si="90"/>
        <v>-178.07390248751869</v>
      </c>
      <c r="AK90" s="635">
        <f t="shared" si="211"/>
        <v>0.93715121868810003</v>
      </c>
      <c r="AL90" s="629">
        <f t="shared" si="91"/>
        <v>-0.34881921966674906</v>
      </c>
      <c r="AM90" s="634">
        <f t="shared" si="92"/>
        <v>8.5290856772159106E-3</v>
      </c>
      <c r="AN90" s="581">
        <f t="shared" si="93"/>
        <v>-91.400677575121435</v>
      </c>
      <c r="AO90" s="582">
        <f t="shared" si="461"/>
        <v>20.421484338705785</v>
      </c>
      <c r="AP90" s="585">
        <f t="shared" si="95"/>
        <v>-20.415886018196023</v>
      </c>
      <c r="AQ90" s="586">
        <f t="shared" si="471"/>
        <v>0.33250212269911317</v>
      </c>
      <c r="AS90" s="52">
        <f t="shared" si="543"/>
        <v>-247.65801646932269</v>
      </c>
      <c r="AT90" s="72">
        <f t="shared" si="472"/>
        <v>-2.4320151944240411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5.1319999999999997</v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>
        <f t="shared" si="542"/>
        <v>1613</v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>
        <v>-6.4964620722551922</v>
      </c>
      <c r="C91" s="708">
        <v>-2.6426803960319787</v>
      </c>
      <c r="D91" s="709">
        <v>-3.317099918024323</v>
      </c>
      <c r="E91" s="710">
        <v>-4.7679275290388026E-2</v>
      </c>
      <c r="F91" s="708">
        <v>-0.99826537807446314</v>
      </c>
      <c r="G91" s="711">
        <v>-3.4538697798737417E-2</v>
      </c>
      <c r="H91" s="710">
        <v>0.314</v>
      </c>
      <c r="I91" s="708">
        <v>0.52</v>
      </c>
      <c r="J91" s="570">
        <v>5.1349999999999998</v>
      </c>
      <c r="K91" s="865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1613</v>
      </c>
      <c r="L91" s="320"/>
      <c r="M91" s="168">
        <f t="shared" si="464"/>
        <v>5.1349999999999998</v>
      </c>
      <c r="N91" s="632">
        <f t="shared" si="465"/>
        <v>-6.4964620722551922</v>
      </c>
      <c r="O91" s="629">
        <f t="shared" si="466"/>
        <v>-2.6426803960319787</v>
      </c>
      <c r="P91" s="633">
        <f t="shared" si="467"/>
        <v>-3.317099918024323</v>
      </c>
      <c r="Q91" s="585">
        <f t="shared" si="520"/>
        <v>202.13588353716796</v>
      </c>
      <c r="R91" s="629">
        <f t="shared" si="79"/>
        <v>7.013399969474289</v>
      </c>
      <c r="S91" s="634">
        <f t="shared" si="80"/>
        <v>-3.317099918024323</v>
      </c>
      <c r="T91" s="635">
        <f t="shared" si="81"/>
        <v>-2.6426803960319782</v>
      </c>
      <c r="U91" s="629">
        <f t="shared" si="82"/>
        <v>6.4964620722551913</v>
      </c>
      <c r="V91" s="636">
        <f t="shared" si="114"/>
        <v>-3.317099918024323</v>
      </c>
      <c r="W91" s="585">
        <f t="shared" si="645"/>
        <v>112.13588353716796</v>
      </c>
      <c r="X91" s="629">
        <f t="shared" si="83"/>
        <v>7.013399969474289</v>
      </c>
      <c r="Y91" s="630">
        <f t="shared" si="644"/>
        <v>-3.317099918024323</v>
      </c>
      <c r="Z91" s="632">
        <f t="shared" si="468"/>
        <v>4.7679275290388026E-2</v>
      </c>
      <c r="AA91" s="629">
        <f t="shared" si="469"/>
        <v>0.99826537807446314</v>
      </c>
      <c r="AB91" s="629">
        <f t="shared" si="470"/>
        <v>3.4538697798737417E-2</v>
      </c>
      <c r="AC91" s="636">
        <f t="shared" si="84"/>
        <v>1</v>
      </c>
      <c r="AD91" s="637">
        <f t="shared" si="115"/>
        <v>4.7679275290388026E-2</v>
      </c>
      <c r="AE91" s="629">
        <f t="shared" si="85"/>
        <v>0.99826537807446314</v>
      </c>
      <c r="AF91" s="633">
        <f t="shared" si="86"/>
        <v>3.4538697798737417E-2</v>
      </c>
      <c r="AG91" s="602">
        <f t="shared" si="87"/>
        <v>91.981569818323607</v>
      </c>
      <c r="AH91" s="603">
        <f t="shared" si="88"/>
        <v>87.267142647747875</v>
      </c>
      <c r="AI91" s="585">
        <f t="shared" si="89"/>
        <v>-91.97931527484316</v>
      </c>
      <c r="AJ91" s="586">
        <f t="shared" si="90"/>
        <v>177.26550990608621</v>
      </c>
      <c r="AK91" s="635">
        <f t="shared" si="211"/>
        <v>0.90672029376302521</v>
      </c>
      <c r="AL91" s="629">
        <f t="shared" si="91"/>
        <v>-0.42031581844210991</v>
      </c>
      <c r="AM91" s="634">
        <f t="shared" si="92"/>
        <v>3.4538697798737417E-2</v>
      </c>
      <c r="AN91" s="581">
        <f t="shared" si="93"/>
        <v>-94.697623325679004</v>
      </c>
      <c r="AO91" s="582">
        <f t="shared" si="461"/>
        <v>24.944016412634138</v>
      </c>
      <c r="AP91" s="585">
        <f t="shared" si="95"/>
        <v>-24.87037363108174</v>
      </c>
      <c r="AQ91" s="586">
        <f t="shared" si="471"/>
        <v>0.32504950297175073</v>
      </c>
      <c r="AS91" s="52">
        <f t="shared" si="543"/>
        <v>-247.86411646283204</v>
      </c>
      <c r="AT91" s="72">
        <f t="shared" si="472"/>
        <v>-3.1449720593695787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>
        <f t="shared" si="643"/>
        <v>5.1349999999999998</v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>
        <f t="shared" si="542"/>
        <v>1613</v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>
        <v>-6.635203304074909</v>
      </c>
      <c r="C92" s="708">
        <v>-2.6739127687988673</v>
      </c>
      <c r="D92" s="709">
        <v>-3.9652000000000003</v>
      </c>
      <c r="E92" s="710">
        <v>-0.1796268051993935</v>
      </c>
      <c r="F92" s="708">
        <v>-0.98369428517143787</v>
      </c>
      <c r="G92" s="711">
        <v>8.9310791572640574E-3</v>
      </c>
      <c r="H92" s="710">
        <v>0.26600000000000001</v>
      </c>
      <c r="I92" s="708">
        <v>0.52</v>
      </c>
      <c r="J92" s="570">
        <v>5.1379999999999999</v>
      </c>
      <c r="K92" s="865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1313</v>
      </c>
      <c r="L92" s="320"/>
      <c r="M92" s="168">
        <f t="shared" si="464"/>
        <v>5.1379999999999999</v>
      </c>
      <c r="N92" s="632">
        <f t="shared" si="465"/>
        <v>-6.635203304074909</v>
      </c>
      <c r="O92" s="629">
        <f t="shared" si="466"/>
        <v>-2.6739127687988673</v>
      </c>
      <c r="P92" s="633">
        <f t="shared" si="467"/>
        <v>-3.9652000000000003</v>
      </c>
      <c r="Q92" s="585">
        <f t="shared" si="520"/>
        <v>201.94888383658099</v>
      </c>
      <c r="R92" s="629">
        <f t="shared" si="79"/>
        <v>7.1537215756242718</v>
      </c>
      <c r="S92" s="634">
        <f t="shared" si="80"/>
        <v>-3.9652000000000003</v>
      </c>
      <c r="T92" s="635">
        <f t="shared" si="81"/>
        <v>-2.673912768798866</v>
      </c>
      <c r="U92" s="629">
        <f t="shared" si="82"/>
        <v>6.6352033040749099</v>
      </c>
      <c r="V92" s="636">
        <f t="shared" si="114"/>
        <v>-3.9652000000000003</v>
      </c>
      <c r="W92" s="585">
        <f t="shared" si="645"/>
        <v>111.94888383658099</v>
      </c>
      <c r="X92" s="629">
        <f t="shared" si="83"/>
        <v>7.1537215756242718</v>
      </c>
      <c r="Y92" s="630">
        <f t="shared" si="644"/>
        <v>-3.9652000000000003</v>
      </c>
      <c r="Z92" s="632">
        <f t="shared" si="468"/>
        <v>0.1796268051993935</v>
      </c>
      <c r="AA92" s="629">
        <f t="shared" si="469"/>
        <v>0.98369428517143787</v>
      </c>
      <c r="AB92" s="629">
        <f t="shared" si="470"/>
        <v>-8.9310791572640574E-3</v>
      </c>
      <c r="AC92" s="636">
        <f t="shared" si="84"/>
        <v>1</v>
      </c>
      <c r="AD92" s="637">
        <f t="shared" si="115"/>
        <v>0.1796268051993935</v>
      </c>
      <c r="AE92" s="629">
        <f t="shared" si="85"/>
        <v>0.98369428517143787</v>
      </c>
      <c r="AF92" s="633">
        <f t="shared" si="86"/>
        <v>-8.9310791572640574E-3</v>
      </c>
      <c r="AG92" s="602">
        <f t="shared" si="87"/>
        <v>89.479818994201651</v>
      </c>
      <c r="AH92" s="603">
        <f t="shared" si="88"/>
        <v>79.651976975176296</v>
      </c>
      <c r="AI92" s="585">
        <f t="shared" si="89"/>
        <v>-89.488280054817892</v>
      </c>
      <c r="AJ92" s="586">
        <f t="shared" si="90"/>
        <v>169.65155970256174</v>
      </c>
      <c r="AK92" s="635">
        <f t="shared" si="211"/>
        <v>0.84525307550849971</v>
      </c>
      <c r="AL92" s="629">
        <f t="shared" si="91"/>
        <v>-0.53429156288351543</v>
      </c>
      <c r="AM92" s="634">
        <f t="shared" si="92"/>
        <v>-8.9310791572640574E-3</v>
      </c>
      <c r="AN92" s="581">
        <f t="shared" si="93"/>
        <v>-89.042347801341222</v>
      </c>
      <c r="AO92" s="582">
        <f t="shared" si="461"/>
        <v>32.300939031165171</v>
      </c>
      <c r="AP92" s="585">
        <f t="shared" si="95"/>
        <v>-32.297324134019242</v>
      </c>
      <c r="AQ92" s="586">
        <f t="shared" si="471"/>
        <v>0.31867372809781569</v>
      </c>
      <c r="AS92" s="52">
        <f t="shared" si="543"/>
        <v>-248.05111616341901</v>
      </c>
      <c r="AT92" s="73">
        <f t="shared" si="472"/>
        <v>-3.7929422804420705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>
        <f t="shared" si="643"/>
        <v>5.1379999999999999</v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>
        <f t="shared" si="542"/>
        <v>1313</v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>
        <v>-4.2146910001043851</v>
      </c>
      <c r="C93" s="708">
        <v>-0.89585895091113021</v>
      </c>
      <c r="D93" s="709">
        <v>-0.11359999999999998</v>
      </c>
      <c r="E93" s="710">
        <v>-0.12767382413568121</v>
      </c>
      <c r="F93" s="708">
        <v>-2.7138102264491995E-2</v>
      </c>
      <c r="G93" s="711">
        <v>0.99144486384067432</v>
      </c>
      <c r="H93" s="710">
        <v>0.25700000000000001</v>
      </c>
      <c r="I93" s="708">
        <v>0.41499999999999992</v>
      </c>
      <c r="J93" s="570">
        <v>5.2169999999999996</v>
      </c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CPS-32193r1</v>
      </c>
      <c r="L93" s="320"/>
      <c r="M93" s="168">
        <f t="shared" si="464"/>
        <v>5.2169999999999996</v>
      </c>
      <c r="N93" s="632">
        <f t="shared" si="465"/>
        <v>-4.2146910001043851</v>
      </c>
      <c r="O93" s="629">
        <f t="shared" si="466"/>
        <v>-0.89585895091113021</v>
      </c>
      <c r="P93" s="633">
        <f t="shared" si="467"/>
        <v>-0.11359999999999998</v>
      </c>
      <c r="Q93" s="585">
        <f t="shared" si="520"/>
        <v>191.99998339605671</v>
      </c>
      <c r="R93" s="629">
        <f t="shared" si="79"/>
        <v>4.3088494388048062</v>
      </c>
      <c r="S93" s="634">
        <f t="shared" si="80"/>
        <v>-0.11359999999999998</v>
      </c>
      <c r="T93" s="635">
        <f t="shared" si="81"/>
        <v>-0.89585895091112866</v>
      </c>
      <c r="U93" s="629">
        <f t="shared" si="82"/>
        <v>4.214691000104386</v>
      </c>
      <c r="V93" s="636">
        <f t="shared" si="114"/>
        <v>-0.11359999999999998</v>
      </c>
      <c r="W93" s="585">
        <f t="shared" si="645"/>
        <v>101.99998339605671</v>
      </c>
      <c r="X93" s="629">
        <f t="shared" si="83"/>
        <v>4.3088494388048062</v>
      </c>
      <c r="Y93" s="630">
        <f t="shared" si="644"/>
        <v>-0.11359999999999998</v>
      </c>
      <c r="Z93" s="632">
        <f t="shared" si="468"/>
        <v>0.12767382413568121</v>
      </c>
      <c r="AA93" s="629">
        <f t="shared" si="469"/>
        <v>2.7138102264491995E-2</v>
      </c>
      <c r="AB93" s="629">
        <f t="shared" si="470"/>
        <v>-0.99144486384067432</v>
      </c>
      <c r="AC93" s="636">
        <f t="shared" si="84"/>
        <v>1</v>
      </c>
      <c r="AD93" s="637">
        <f t="shared" si="115"/>
        <v>0.12767382413568121</v>
      </c>
      <c r="AE93" s="629">
        <f t="shared" si="85"/>
        <v>2.7138102264491995E-2</v>
      </c>
      <c r="AF93" s="633">
        <f t="shared" si="86"/>
        <v>-0.99144486384067432</v>
      </c>
      <c r="AG93" s="602">
        <f t="shared" si="87"/>
        <v>1.5679243731871042</v>
      </c>
      <c r="AH93" s="603">
        <f t="shared" si="88"/>
        <v>82.664807893947511</v>
      </c>
      <c r="AI93" s="585">
        <f t="shared" si="89"/>
        <v>-7.4999989171453043</v>
      </c>
      <c r="AJ93" s="586">
        <f t="shared" si="90"/>
        <v>102.00008294996263</v>
      </c>
      <c r="AK93" s="635">
        <f t="shared" si="211"/>
        <v>2.2679489674118369E-7</v>
      </c>
      <c r="AL93" s="629">
        <f t="shared" si="91"/>
        <v>-0.13052617348216197</v>
      </c>
      <c r="AM93" s="634">
        <f t="shared" si="92"/>
        <v>-0.99144486384067432</v>
      </c>
      <c r="AN93" s="581">
        <f t="shared" si="93"/>
        <v>-7.4999989171341337</v>
      </c>
      <c r="AO93" s="582">
        <f t="shared" si="461"/>
        <v>0</v>
      </c>
      <c r="AP93" s="585">
        <f t="shared" si="95"/>
        <v>-89.999900446094045</v>
      </c>
      <c r="AQ93" s="586">
        <f t="shared" si="471"/>
        <v>0.52906509498835841</v>
      </c>
      <c r="AS93" s="52">
        <f t="shared" si="543"/>
        <v>-258.00001660394332</v>
      </c>
      <c r="AT93" s="73">
        <f t="shared" si="472"/>
        <v>6.5566678197182898E-2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>Nose</v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5.2169999999999996</v>
      </c>
      <c r="IH93" s="731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>5.117</v>
      </c>
      <c r="II93" s="734" cm="1">
        <f t="array" ref="II93">IFERROR(ROUND(VALUE(IF($IH93&lt;1,$IH93+LARGE((IF($M$9:$M$150="",0,$M$9:$M$150)-MOD(IF($M$9:$M$150="",0,$M$9:$M$150),1)),1),$IH93)),4),"")</f>
        <v>5.117</v>
      </c>
      <c r="IJ93" s="533">
        <f t="shared" si="542"/>
        <v>1613</v>
      </c>
      <c r="IK93" s="533" t="str">
        <f t="shared" si="517"/>
        <v>CPS-32193r1</v>
      </c>
      <c r="IL93" s="727">
        <f t="shared" si="647"/>
        <v>13.000000000000028</v>
      </c>
      <c r="IM93" s="759">
        <v>4.36441937245549E-2</v>
      </c>
      <c r="IN93" s="5">
        <f t="shared" si="648"/>
        <v>1.2</v>
      </c>
      <c r="IO93" s="771">
        <v>600</v>
      </c>
      <c r="IP93" s="9">
        <f t="shared" si="649"/>
        <v>-4.3037129799983473</v>
      </c>
      <c r="IQ93" s="5">
        <f t="shared" si="650"/>
        <v>-0.11510034714264725</v>
      </c>
      <c r="IR93" s="5">
        <f t="shared" si="518"/>
        <v>0.314</v>
      </c>
      <c r="IS93" s="5">
        <f t="shared" si="651"/>
        <v>0.30330071252667312</v>
      </c>
      <c r="IT93" s="727">
        <f t="shared" si="652"/>
        <v>7.4999989171342563</v>
      </c>
      <c r="IU93" s="9">
        <f t="shared" si="653"/>
        <v>-4.3088494388048062</v>
      </c>
      <c r="IV93" s="5">
        <f t="shared" si="654"/>
        <v>-0.11359999999999998</v>
      </c>
      <c r="IW93" s="5">
        <f t="shared" si="519"/>
        <v>0.25700000000000001</v>
      </c>
      <c r="IX93" s="5">
        <f t="shared" si="655"/>
        <v>0.25700000000000001</v>
      </c>
      <c r="IY93" s="762">
        <f t="shared" si="656"/>
        <v>7.4999989171341337</v>
      </c>
    </row>
    <row r="94" spans="1:259" ht="15" customHeight="1" x14ac:dyDescent="0.25">
      <c r="A94" s="79"/>
      <c r="B94" s="707">
        <v>-4.9080016887199251</v>
      </c>
      <c r="C94" s="708">
        <v>-1.1863355772136488</v>
      </c>
      <c r="D94" s="709">
        <v>-0.30616255969134593</v>
      </c>
      <c r="E94" s="710">
        <v>4.1807152485269047E-2</v>
      </c>
      <c r="F94" s="708">
        <v>-0.9531702880196502</v>
      </c>
      <c r="G94" s="711">
        <v>0.29953057279284673</v>
      </c>
      <c r="H94" s="710">
        <v>0.26600000000000001</v>
      </c>
      <c r="I94" s="708">
        <v>0.52</v>
      </c>
      <c r="J94" s="570">
        <v>5.22</v>
      </c>
      <c r="K94" s="865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1313</v>
      </c>
      <c r="L94" s="320"/>
      <c r="M94" s="168">
        <f t="shared" si="464"/>
        <v>5.22</v>
      </c>
      <c r="N94" s="632">
        <f t="shared" si="465"/>
        <v>-4.9080016887199251</v>
      </c>
      <c r="O94" s="629">
        <f t="shared" si="466"/>
        <v>-1.1863355772136488</v>
      </c>
      <c r="P94" s="633">
        <f t="shared" si="467"/>
        <v>-0.30616255969134593</v>
      </c>
      <c r="Q94" s="585">
        <f t="shared" si="520"/>
        <v>193.58858504365878</v>
      </c>
      <c r="R94" s="629">
        <f t="shared" si="79"/>
        <v>5.049343786893548</v>
      </c>
      <c r="S94" s="634">
        <f t="shared" si="80"/>
        <v>-0.30616255969134593</v>
      </c>
      <c r="T94" s="635">
        <f t="shared" si="81"/>
        <v>-1.1863355772136472</v>
      </c>
      <c r="U94" s="629">
        <f t="shared" si="82"/>
        <v>4.9080016887199251</v>
      </c>
      <c r="V94" s="636">
        <f t="shared" si="114"/>
        <v>-0.30616255969134593</v>
      </c>
      <c r="W94" s="585">
        <f t="shared" si="645"/>
        <v>103.58858504365878</v>
      </c>
      <c r="X94" s="629">
        <f t="shared" si="83"/>
        <v>5.049343786893548</v>
      </c>
      <c r="Y94" s="630">
        <f t="shared" si="644"/>
        <v>-0.30616255969134593</v>
      </c>
      <c r="Z94" s="632">
        <f t="shared" si="468"/>
        <v>-4.1807152485269047E-2</v>
      </c>
      <c r="AA94" s="629">
        <f t="shared" si="469"/>
        <v>0.9531702880196502</v>
      </c>
      <c r="AB94" s="629">
        <f t="shared" si="470"/>
        <v>-0.29953057279284673</v>
      </c>
      <c r="AC94" s="636">
        <f t="shared" si="84"/>
        <v>1</v>
      </c>
      <c r="AD94" s="637">
        <f t="shared" si="115"/>
        <v>-4.1807152485269047E-2</v>
      </c>
      <c r="AE94" s="629">
        <f t="shared" si="85"/>
        <v>0.9531702880196502</v>
      </c>
      <c r="AF94" s="633">
        <f t="shared" si="86"/>
        <v>-0.29953057279284673</v>
      </c>
      <c r="AG94" s="602">
        <f t="shared" si="87"/>
        <v>72.554848452471916</v>
      </c>
      <c r="AH94" s="603">
        <f t="shared" si="88"/>
        <v>92.39607172770522</v>
      </c>
      <c r="AI94" s="585">
        <f t="shared" si="89"/>
        <v>-72.570589572362437</v>
      </c>
      <c r="AJ94" s="586">
        <f t="shared" si="90"/>
        <v>-177.48855045364135</v>
      </c>
      <c r="AK94" s="635">
        <f t="shared" si="211"/>
        <v>0.93631150801913965</v>
      </c>
      <c r="AL94" s="629">
        <f t="shared" si="91"/>
        <v>-0.1833090175450024</v>
      </c>
      <c r="AM94" s="634">
        <f t="shared" si="92"/>
        <v>-0.29953057279284673</v>
      </c>
      <c r="AN94" s="581">
        <f t="shared" si="93"/>
        <v>-31.466118331841255</v>
      </c>
      <c r="AO94" s="582">
        <f t="shared" si="461"/>
        <v>20.558928315943611</v>
      </c>
      <c r="AP94" s="585">
        <f t="shared" si="95"/>
        <v>-11.07713549730015</v>
      </c>
      <c r="AQ94" s="586">
        <f t="shared" si="471"/>
        <v>0.45148033963605899</v>
      </c>
      <c r="AS94" s="52">
        <f t="shared" si="543"/>
        <v>-256.41141495634122</v>
      </c>
      <c r="AT94" s="73">
        <f t="shared" si="472"/>
        <v>-0.12809907708277563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>Nose</v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5.22</v>
      </c>
      <c r="IH94" s="731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>5.12</v>
      </c>
      <c r="II94" s="734" cm="1">
        <f t="array" ref="II94">IFERROR(ROUND(VALUE(IF($IH94&lt;1,$IH94+LARGE((IF($M$9:$M$150="",0,$M$9:$M$150)-MOD(IF($M$9:$M$150="",0,$M$9:$M$150),1)),1),$IH94)),4),"")</f>
        <v>5.12</v>
      </c>
      <c r="IJ94" s="533">
        <f t="shared" si="542"/>
        <v>1613</v>
      </c>
      <c r="IK94" s="533">
        <f t="shared" si="517"/>
        <v>1313</v>
      </c>
      <c r="IL94" s="727">
        <f t="shared" si="647"/>
        <v>10.761198446275188</v>
      </c>
      <c r="IM94" s="759">
        <v>1.36381900100813E-2</v>
      </c>
      <c r="IN94" s="5">
        <f t="shared" si="648"/>
        <v>0.44</v>
      </c>
      <c r="IO94" s="771">
        <v>220</v>
      </c>
      <c r="IP94" s="9">
        <f t="shared" si="649"/>
        <v>-5.0333151804785858</v>
      </c>
      <c r="IQ94" s="5">
        <f t="shared" si="650"/>
        <v>-0.34250103298311529</v>
      </c>
      <c r="IR94" s="5">
        <f t="shared" si="518"/>
        <v>0.314</v>
      </c>
      <c r="IS94" s="5">
        <f t="shared" si="651"/>
        <v>0.30220939915683032</v>
      </c>
      <c r="IT94" s="727">
        <f t="shared" si="652"/>
        <v>35.693014846641312</v>
      </c>
      <c r="IU94" s="9">
        <f t="shared" si="653"/>
        <v>-5.049343786893548</v>
      </c>
      <c r="IV94" s="5">
        <f t="shared" si="654"/>
        <v>-0.30616255969134593</v>
      </c>
      <c r="IW94" s="5">
        <f t="shared" si="519"/>
        <v>0.26600000000000001</v>
      </c>
      <c r="IX94" s="5">
        <f t="shared" si="655"/>
        <v>0.24905886113309117</v>
      </c>
      <c r="IY94" s="762">
        <f t="shared" si="656"/>
        <v>31.466118331841255</v>
      </c>
    </row>
    <row r="95" spans="1:259" ht="15" customHeight="1" x14ac:dyDescent="0.25">
      <c r="A95" s="79"/>
      <c r="B95" s="707">
        <v>-5.5437361361988211</v>
      </c>
      <c r="C95" s="708">
        <v>-1.3509338928565182</v>
      </c>
      <c r="D95" s="709">
        <v>-0.69826012300697471</v>
      </c>
      <c r="E95" s="710">
        <v>-3.8848358296461216E-2</v>
      </c>
      <c r="F95" s="708">
        <v>-0.96900881026020047</v>
      </c>
      <c r="G95" s="711">
        <v>0.24395231233948281</v>
      </c>
      <c r="H95" s="710">
        <v>0.26600000000000001</v>
      </c>
      <c r="I95" s="708">
        <v>0.52</v>
      </c>
      <c r="J95" s="570">
        <v>5.2229999999999999</v>
      </c>
      <c r="K95" s="865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1313</v>
      </c>
      <c r="L95" s="320"/>
      <c r="M95" s="168">
        <f t="shared" si="464"/>
        <v>5.2229999999999999</v>
      </c>
      <c r="N95" s="632">
        <f t="shared" si="465"/>
        <v>-5.5437361361988211</v>
      </c>
      <c r="O95" s="629">
        <f t="shared" si="466"/>
        <v>-1.3509338928565182</v>
      </c>
      <c r="P95" s="633">
        <f t="shared" si="467"/>
        <v>-0.69826012300697471</v>
      </c>
      <c r="Q95" s="585">
        <f t="shared" si="520"/>
        <v>193.69528502825321</v>
      </c>
      <c r="R95" s="629">
        <f t="shared" si="79"/>
        <v>5.7059646625846794</v>
      </c>
      <c r="S95" s="634">
        <f t="shared" si="80"/>
        <v>-0.69826012300697471</v>
      </c>
      <c r="T95" s="635">
        <f t="shared" si="81"/>
        <v>-1.3509338928565158</v>
      </c>
      <c r="U95" s="629">
        <f t="shared" si="82"/>
        <v>5.5437361361988211</v>
      </c>
      <c r="V95" s="636">
        <f t="shared" si="114"/>
        <v>-0.69826012300697471</v>
      </c>
      <c r="W95" s="585">
        <f t="shared" si="645"/>
        <v>103.69528502825321</v>
      </c>
      <c r="X95" s="629">
        <f t="shared" si="83"/>
        <v>5.7059646625846794</v>
      </c>
      <c r="Y95" s="630">
        <f t="shared" si="644"/>
        <v>-0.69826012300697471</v>
      </c>
      <c r="Z95" s="632">
        <f t="shared" si="468"/>
        <v>3.8848358296461216E-2</v>
      </c>
      <c r="AA95" s="629">
        <f t="shared" si="469"/>
        <v>0.96900881026020047</v>
      </c>
      <c r="AB95" s="629">
        <f t="shared" si="470"/>
        <v>-0.24395231233948281</v>
      </c>
      <c r="AC95" s="636">
        <f t="shared" si="84"/>
        <v>1</v>
      </c>
      <c r="AD95" s="637">
        <f t="shared" si="115"/>
        <v>3.8848358296461216E-2</v>
      </c>
      <c r="AE95" s="629">
        <f t="shared" si="85"/>
        <v>0.96900881026020047</v>
      </c>
      <c r="AF95" s="633">
        <f t="shared" si="86"/>
        <v>-0.24395231233948281</v>
      </c>
      <c r="AG95" s="602">
        <f t="shared" si="87"/>
        <v>75.869184376153882</v>
      </c>
      <c r="AH95" s="603">
        <f t="shared" si="88"/>
        <v>87.773592775196107</v>
      </c>
      <c r="AI95" s="585">
        <f t="shared" si="89"/>
        <v>-75.880072893727075</v>
      </c>
      <c r="AJ95" s="586">
        <f t="shared" si="90"/>
        <v>177.70419465612264</v>
      </c>
      <c r="AK95" s="635">
        <f t="shared" si="211"/>
        <v>0.93226087233081145</v>
      </c>
      <c r="AL95" s="629">
        <f t="shared" si="91"/>
        <v>-0.26716462195660179</v>
      </c>
      <c r="AM95" s="634">
        <f t="shared" si="92"/>
        <v>-0.24395231233948281</v>
      </c>
      <c r="AN95" s="581">
        <f t="shared" si="93"/>
        <v>-47.600293704364177</v>
      </c>
      <c r="AO95" s="582">
        <f t="shared" si="461"/>
        <v>21.20996821393588</v>
      </c>
      <c r="AP95" s="585">
        <f t="shared" si="95"/>
        <v>-15.991090372130557</v>
      </c>
      <c r="AQ95" s="586">
        <f t="shared" si="471"/>
        <v>0.3995274799362617</v>
      </c>
      <c r="AS95" s="52">
        <f t="shared" si="543"/>
        <v>-256.30471497174676</v>
      </c>
      <c r="AT95" s="73">
        <f t="shared" si="472"/>
        <v>-0.52027073760992837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>Taper</v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5.2229999999999999</v>
      </c>
      <c r="IH95" s="731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>5.1230000000000002</v>
      </c>
      <c r="II95" s="734" cm="1">
        <f t="array" ref="II95">IFERROR(ROUND(VALUE(IF($IH95&lt;1,$IH95+LARGE((IF($M$9:$M$150="",0,$M$9:$M$150)-MOD(IF($M$9:$M$150="",0,$M$9:$M$150),1)),1),$IH95)),4),"")</f>
        <v>5.1230000000000002</v>
      </c>
      <c r="IJ95" s="533">
        <f t="shared" si="542"/>
        <v>1613</v>
      </c>
      <c r="IK95" s="533">
        <f t="shared" si="517"/>
        <v>1313</v>
      </c>
      <c r="IL95" s="727">
        <f t="shared" si="647"/>
        <v>10.038498550620147</v>
      </c>
      <c r="IM95" s="759">
        <v>1.16105837324719E-2</v>
      </c>
      <c r="IN95" s="5">
        <f t="shared" si="648"/>
        <v>0.42</v>
      </c>
      <c r="IO95" s="771">
        <v>210</v>
      </c>
      <c r="IP95" s="9">
        <f t="shared" si="649"/>
        <v>-5.6815171354556799</v>
      </c>
      <c r="IQ95" s="5">
        <f t="shared" si="650"/>
        <v>-0.7321022080202596</v>
      </c>
      <c r="IR95" s="5">
        <f t="shared" si="518"/>
        <v>0.314</v>
      </c>
      <c r="IS95" s="5">
        <f t="shared" si="651"/>
        <v>0.30090199220189218</v>
      </c>
      <c r="IT95" s="727">
        <f t="shared" si="652"/>
        <v>53.350875144741082</v>
      </c>
      <c r="IU95" s="9">
        <f t="shared" si="653"/>
        <v>-5.7059646625846794</v>
      </c>
      <c r="IV95" s="5">
        <f t="shared" si="654"/>
        <v>-0.69826012300697471</v>
      </c>
      <c r="IW95" s="5">
        <f t="shared" si="519"/>
        <v>0.26600000000000001</v>
      </c>
      <c r="IX95" s="5">
        <f t="shared" si="655"/>
        <v>0.24798139203999586</v>
      </c>
      <c r="IY95" s="762">
        <f t="shared" si="656"/>
        <v>47.600293704364177</v>
      </c>
    </row>
    <row r="96" spans="1:259" ht="15" customHeight="1" x14ac:dyDescent="0.25">
      <c r="A96" s="79"/>
      <c r="B96" s="707">
        <v>-6.0792040395445248</v>
      </c>
      <c r="C96" s="708">
        <v>-1.4590596650248628</v>
      </c>
      <c r="D96" s="709">
        <v>-1.2339281577736134</v>
      </c>
      <c r="E96" s="710">
        <v>-0.10538253201809293</v>
      </c>
      <c r="F96" s="708">
        <v>-0.97933143968223668</v>
      </c>
      <c r="G96" s="711">
        <v>0.17263966286856905</v>
      </c>
      <c r="H96" s="710">
        <v>0.26600000000000001</v>
      </c>
      <c r="I96" s="708">
        <v>0.52</v>
      </c>
      <c r="J96" s="570">
        <v>5.226</v>
      </c>
      <c r="K96" s="865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1313</v>
      </c>
      <c r="L96" s="320"/>
      <c r="M96" s="168">
        <f t="shared" si="464"/>
        <v>5.226</v>
      </c>
      <c r="N96" s="632">
        <f t="shared" si="465"/>
        <v>-6.0792040395445248</v>
      </c>
      <c r="O96" s="629">
        <f t="shared" si="466"/>
        <v>-1.4590596650248628</v>
      </c>
      <c r="P96" s="633">
        <f t="shared" si="467"/>
        <v>-1.2339281577736134</v>
      </c>
      <c r="Q96" s="585">
        <f t="shared" si="520"/>
        <v>193.49618505699968</v>
      </c>
      <c r="R96" s="629">
        <f t="shared" si="79"/>
        <v>6.2518458762606208</v>
      </c>
      <c r="S96" s="634">
        <f t="shared" si="80"/>
        <v>-1.2339281577736134</v>
      </c>
      <c r="T96" s="635">
        <f t="shared" si="81"/>
        <v>-1.4590596650248604</v>
      </c>
      <c r="U96" s="629">
        <f t="shared" si="82"/>
        <v>6.0792040395445248</v>
      </c>
      <c r="V96" s="636">
        <f t="shared" si="114"/>
        <v>-1.2339281577736134</v>
      </c>
      <c r="W96" s="585">
        <f t="shared" si="645"/>
        <v>103.49618505699968</v>
      </c>
      <c r="X96" s="629">
        <f t="shared" si="83"/>
        <v>6.2518458762606208</v>
      </c>
      <c r="Y96" s="630">
        <f t="shared" si="644"/>
        <v>-1.2339281577736134</v>
      </c>
      <c r="Z96" s="632">
        <f t="shared" si="468"/>
        <v>0.10538253201809293</v>
      </c>
      <c r="AA96" s="629">
        <f t="shared" si="469"/>
        <v>0.97933143968223668</v>
      </c>
      <c r="AB96" s="629">
        <f t="shared" si="470"/>
        <v>-0.17263966286856905</v>
      </c>
      <c r="AC96" s="636">
        <f t="shared" si="84"/>
        <v>1</v>
      </c>
      <c r="AD96" s="637">
        <f t="shared" si="115"/>
        <v>0.10538253201809293</v>
      </c>
      <c r="AE96" s="629">
        <f t="shared" si="85"/>
        <v>0.97933143968223668</v>
      </c>
      <c r="AF96" s="633">
        <f t="shared" si="86"/>
        <v>-0.17263966286856905</v>
      </c>
      <c r="AG96" s="602">
        <f t="shared" si="87"/>
        <v>80.00243380379321</v>
      </c>
      <c r="AH96" s="603">
        <f t="shared" si="88"/>
        <v>83.950793693240755</v>
      </c>
      <c r="AI96" s="585">
        <f t="shared" si="89"/>
        <v>-80.058669761016262</v>
      </c>
      <c r="AJ96" s="586">
        <f t="shared" si="90"/>
        <v>173.85822845494982</v>
      </c>
      <c r="AK96" s="635">
        <f t="shared" si="211"/>
        <v>0.92769341360865665</v>
      </c>
      <c r="AL96" s="629">
        <f t="shared" si="91"/>
        <v>-0.33102942037188288</v>
      </c>
      <c r="AM96" s="634">
        <f t="shared" si="92"/>
        <v>-0.17263966286856905</v>
      </c>
      <c r="AN96" s="581">
        <f t="shared" si="93"/>
        <v>-62.456894918338314</v>
      </c>
      <c r="AO96" s="582">
        <f t="shared" si="461"/>
        <v>21.921931687200033</v>
      </c>
      <c r="AP96" s="585">
        <f t="shared" si="95"/>
        <v>-19.637956602049869</v>
      </c>
      <c r="AQ96" s="586">
        <f t="shared" si="471"/>
        <v>0.36464364254306841</v>
      </c>
      <c r="AS96" s="52">
        <f t="shared" si="543"/>
        <v>-256.50381494300029</v>
      </c>
      <c r="AT96" s="73">
        <f t="shared" si="472"/>
        <v>-1.055800508507641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>Taper</v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5.226</v>
      </c>
      <c r="IH96" s="731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>5.1260000000000003</v>
      </c>
      <c r="II96" s="734" cm="1">
        <f t="array" ref="II96">IFERROR(ROUND(VALUE(IF($IH96&lt;1,$IH96+LARGE((IF($M$9:$M$150="",0,$M$9:$M$150)-MOD(IF($M$9:$M$150="",0,$M$9:$M$150),1)),1),$IH96)),4),"")</f>
        <v>5.1260000000000003</v>
      </c>
      <c r="IJ96" s="533">
        <f t="shared" si="542"/>
        <v>1613</v>
      </c>
      <c r="IK96" s="533">
        <f t="shared" si="517"/>
        <v>1313</v>
      </c>
      <c r="IL96" s="727">
        <f t="shared" si="647"/>
        <v>9.6360986087194931</v>
      </c>
      <c r="IM96" s="759">
        <v>9.6835837243525701E-3</v>
      </c>
      <c r="IN96" s="5">
        <f t="shared" si="648"/>
        <v>0.42</v>
      </c>
      <c r="IO96" s="771">
        <v>210</v>
      </c>
      <c r="IP96" s="9">
        <f t="shared" si="649"/>
        <v>-6.2196187583701761</v>
      </c>
      <c r="IQ96" s="5">
        <f t="shared" si="650"/>
        <v>-1.2634038104258927</v>
      </c>
      <c r="IR96" s="5">
        <f t="shared" si="518"/>
        <v>0.314</v>
      </c>
      <c r="IS96" s="5">
        <f t="shared" si="651"/>
        <v>0.29942777241042962</v>
      </c>
      <c r="IT96" s="727">
        <f t="shared" si="652"/>
        <v>69.140960017719451</v>
      </c>
      <c r="IU96" s="9">
        <f t="shared" si="653"/>
        <v>-6.2518458762606208</v>
      </c>
      <c r="IV96" s="5">
        <f t="shared" si="654"/>
        <v>-1.2339281577736134</v>
      </c>
      <c r="IW96" s="5">
        <f t="shared" si="519"/>
        <v>0.26600000000000001</v>
      </c>
      <c r="IX96" s="5">
        <f t="shared" si="655"/>
        <v>0.24676644801990272</v>
      </c>
      <c r="IY96" s="762">
        <f t="shared" si="656"/>
        <v>62.456894918338314</v>
      </c>
    </row>
    <row r="97" spans="1:259" ht="15" customHeight="1" x14ac:dyDescent="0.25">
      <c r="A97" s="79"/>
      <c r="B97" s="707">
        <v>-6.4707384546883002</v>
      </c>
      <c r="C97" s="708">
        <v>-1.5113708121269676</v>
      </c>
      <c r="D97" s="709">
        <v>-1.9094690525986646</v>
      </c>
      <c r="E97" s="710">
        <v>-0.71218491705763498</v>
      </c>
      <c r="F97" s="708">
        <v>-0.16634531144239639</v>
      </c>
      <c r="G97" s="711">
        <v>0.68199844668205933</v>
      </c>
      <c r="H97" s="710">
        <v>0.25700000000000001</v>
      </c>
      <c r="I97" s="708">
        <v>0.41499999999999992</v>
      </c>
      <c r="J97" s="570">
        <v>5.2290000000000001</v>
      </c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CPS-32193r1</v>
      </c>
      <c r="L97" s="320"/>
      <c r="M97" s="168">
        <f t="shared" si="464"/>
        <v>5.2290000000000001</v>
      </c>
      <c r="N97" s="632">
        <f t="shared" si="465"/>
        <v>-6.4707384546883002</v>
      </c>
      <c r="O97" s="629">
        <f t="shared" si="466"/>
        <v>-1.5113708121269676</v>
      </c>
      <c r="P97" s="633">
        <f t="shared" si="467"/>
        <v>-1.9094690525986646</v>
      </c>
      <c r="Q97" s="585">
        <f t="shared" si="520"/>
        <v>193.14688510743235</v>
      </c>
      <c r="R97" s="629">
        <f t="shared" si="79"/>
        <v>6.644900140764439</v>
      </c>
      <c r="S97" s="634">
        <f t="shared" si="80"/>
        <v>-1.9094690525986646</v>
      </c>
      <c r="T97" s="635">
        <f t="shared" si="81"/>
        <v>-1.5113708121269649</v>
      </c>
      <c r="U97" s="629">
        <f t="shared" si="82"/>
        <v>6.4707384546883011</v>
      </c>
      <c r="V97" s="636">
        <f t="shared" si="114"/>
        <v>-1.9094690525986646</v>
      </c>
      <c r="W97" s="585">
        <f t="shared" si="645"/>
        <v>103.14688510743235</v>
      </c>
      <c r="X97" s="629">
        <f t="shared" si="83"/>
        <v>6.644900140764439</v>
      </c>
      <c r="Y97" s="630">
        <f t="shared" si="644"/>
        <v>-1.9094690525986646</v>
      </c>
      <c r="Z97" s="632">
        <f t="shared" si="468"/>
        <v>0.71218491705763498</v>
      </c>
      <c r="AA97" s="629">
        <f t="shared" si="469"/>
        <v>0.16634531144239639</v>
      </c>
      <c r="AB97" s="629">
        <f t="shared" si="470"/>
        <v>-0.68199844668205933</v>
      </c>
      <c r="AC97" s="636">
        <f t="shared" si="84"/>
        <v>1</v>
      </c>
      <c r="AD97" s="637">
        <f t="shared" si="115"/>
        <v>0.71218491705763498</v>
      </c>
      <c r="AE97" s="629">
        <f t="shared" si="85"/>
        <v>0.16634531144239639</v>
      </c>
      <c r="AF97" s="633">
        <f t="shared" si="86"/>
        <v>-0.68199844668205933</v>
      </c>
      <c r="AG97" s="602">
        <f t="shared" si="87"/>
        <v>13.707296172378797</v>
      </c>
      <c r="AH97" s="603">
        <f t="shared" si="88"/>
        <v>44.587034612812815</v>
      </c>
      <c r="AI97" s="585">
        <f t="shared" si="89"/>
        <v>-46.999993214041957</v>
      </c>
      <c r="AJ97" s="586">
        <f t="shared" si="90"/>
        <v>103.14690287502115</v>
      </c>
      <c r="AK97" s="635">
        <f t="shared" si="211"/>
        <v>2.2679489702914779E-7</v>
      </c>
      <c r="AL97" s="629">
        <f t="shared" si="91"/>
        <v>-0.7313536208450786</v>
      </c>
      <c r="AM97" s="634">
        <f t="shared" si="92"/>
        <v>-0.68199844668205933</v>
      </c>
      <c r="AN97" s="581">
        <f t="shared" si="93"/>
        <v>-46.999993214040586</v>
      </c>
      <c r="AO97" s="582">
        <f t="shared" si="461"/>
        <v>0</v>
      </c>
      <c r="AP97" s="585">
        <f t="shared" si="95"/>
        <v>-89.999982232411185</v>
      </c>
      <c r="AQ97" s="586">
        <f t="shared" si="471"/>
        <v>0.34307504072482714</v>
      </c>
      <c r="AS97" s="52">
        <f t="shared" si="543"/>
        <v>-256.85311489256765</v>
      </c>
      <c r="AT97" s="73">
        <f t="shared" si="472"/>
        <v>-1.7310988339232705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>Taper</v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5.2290000000000001</v>
      </c>
      <c r="IH97" s="731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>5.1289999999999996</v>
      </c>
      <c r="II97" s="734" cm="1">
        <f t="array" ref="II97">IFERROR(ROUND(VALUE(IF($IH97&lt;1,$IH97+LARGE((IF($M$9:$M$150="",0,$M$9:$M$150)-MOD(IF($M$9:$M$150="",0,$M$9:$M$150),1)),1),$IH97)),4),"")</f>
        <v>5.1289999999999996</v>
      </c>
      <c r="IJ97" s="533">
        <f t="shared" si="542"/>
        <v>1613</v>
      </c>
      <c r="IK97" s="533" t="str">
        <f t="shared" si="517"/>
        <v>CPS-32193r1</v>
      </c>
      <c r="IL97" s="727">
        <f t="shared" si="647"/>
        <v>9.5018986280956028</v>
      </c>
      <c r="IM97" s="759">
        <v>1.25554492482836E-2</v>
      </c>
      <c r="IN97" s="5">
        <f t="shared" si="648"/>
        <v>1.52</v>
      </c>
      <c r="IO97" s="771">
        <v>760</v>
      </c>
      <c r="IP97" s="9">
        <f t="shared" si="649"/>
        <v>-6.6161199542177824</v>
      </c>
      <c r="IQ97" s="5">
        <f t="shared" si="650"/>
        <v>-1.9035057409733149</v>
      </c>
      <c r="IR97" s="5">
        <f t="shared" si="518"/>
        <v>0.314</v>
      </c>
      <c r="IS97" s="5">
        <f t="shared" si="651"/>
        <v>0.2981150561394974</v>
      </c>
      <c r="IT97" s="727">
        <f t="shared" si="652"/>
        <v>82.896424563966718</v>
      </c>
      <c r="IU97" s="9">
        <f t="shared" si="653"/>
        <v>-6.644900140764439</v>
      </c>
      <c r="IV97" s="5">
        <f t="shared" si="654"/>
        <v>-1.9094690525986646</v>
      </c>
      <c r="IW97" s="5">
        <f t="shared" si="519"/>
        <v>0.25700000000000001</v>
      </c>
      <c r="IX97" s="5">
        <f t="shared" si="655"/>
        <v>0.25700000000000001</v>
      </c>
      <c r="IY97" s="762">
        <f t="shared" si="656"/>
        <v>46.999993214040586</v>
      </c>
    </row>
    <row r="98" spans="1:259" ht="15" customHeight="1" x14ac:dyDescent="0.25">
      <c r="A98" s="79"/>
      <c r="B98" s="707">
        <v>-6.7168341479819924</v>
      </c>
      <c r="C98" s="708">
        <v>-1.5195051967014923</v>
      </c>
      <c r="D98" s="709">
        <v>-2.6169270026087341</v>
      </c>
      <c r="E98" s="710">
        <v>-0.81427169792606913</v>
      </c>
      <c r="F98" s="708">
        <v>-0.18420756134566801</v>
      </c>
      <c r="G98" s="711">
        <v>0.55048085915831657</v>
      </c>
      <c r="H98" s="710">
        <v>0.25700000000000001</v>
      </c>
      <c r="I98" s="708">
        <v>0.41499999999999992</v>
      </c>
      <c r="J98" s="570">
        <v>5.2320000000000002</v>
      </c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CPS-32193r1</v>
      </c>
      <c r="L98" s="320"/>
      <c r="M98" s="168">
        <f t="shared" si="464"/>
        <v>5.2320000000000002</v>
      </c>
      <c r="N98" s="632">
        <f t="shared" si="465"/>
        <v>-6.7168341479819924</v>
      </c>
      <c r="O98" s="629">
        <f t="shared" si="466"/>
        <v>-1.5195051967014923</v>
      </c>
      <c r="P98" s="633">
        <f t="shared" si="467"/>
        <v>-2.6169270026087341</v>
      </c>
      <c r="Q98" s="585">
        <f t="shared" si="520"/>
        <v>192.74708516515636</v>
      </c>
      <c r="R98" s="629">
        <f t="shared" si="79"/>
        <v>6.8865635126890261</v>
      </c>
      <c r="S98" s="634">
        <f t="shared" si="80"/>
        <v>-2.6169270026087341</v>
      </c>
      <c r="T98" s="635">
        <f t="shared" si="81"/>
        <v>-1.5195051967014945</v>
      </c>
      <c r="U98" s="629">
        <f t="shared" si="82"/>
        <v>6.7168341479819924</v>
      </c>
      <c r="V98" s="636">
        <f t="shared" si="114"/>
        <v>-2.6169270026087341</v>
      </c>
      <c r="W98" s="585">
        <f t="shared" si="645"/>
        <v>102.74708516515636</v>
      </c>
      <c r="X98" s="629">
        <f t="shared" si="83"/>
        <v>6.8865635126890261</v>
      </c>
      <c r="Y98" s="630">
        <f t="shared" si="644"/>
        <v>-2.6169270026087341</v>
      </c>
      <c r="Z98" s="632">
        <f t="shared" si="468"/>
        <v>0.81427169792606913</v>
      </c>
      <c r="AA98" s="629">
        <f t="shared" si="469"/>
        <v>0.18420756134566801</v>
      </c>
      <c r="AB98" s="629">
        <f t="shared" si="470"/>
        <v>-0.55048085915831657</v>
      </c>
      <c r="AC98" s="636">
        <f t="shared" si="84"/>
        <v>1</v>
      </c>
      <c r="AD98" s="637">
        <f t="shared" si="115"/>
        <v>0.81427169792606913</v>
      </c>
      <c r="AE98" s="629">
        <f t="shared" si="85"/>
        <v>0.18420756134566801</v>
      </c>
      <c r="AF98" s="633">
        <f t="shared" si="86"/>
        <v>-0.55048085915831657</v>
      </c>
      <c r="AG98" s="602">
        <f t="shared" si="87"/>
        <v>18.501801142827745</v>
      </c>
      <c r="AH98" s="603">
        <f t="shared" si="88"/>
        <v>35.484587442056977</v>
      </c>
      <c r="AI98" s="585">
        <f t="shared" si="89"/>
        <v>-56.599991827973255</v>
      </c>
      <c r="AJ98" s="586">
        <f t="shared" si="90"/>
        <v>102.74710073013793</v>
      </c>
      <c r="AK98" s="635">
        <f t="shared" si="211"/>
        <v>2.2679489647403628E-7</v>
      </c>
      <c r="AL98" s="629">
        <f t="shared" si="91"/>
        <v>-0.83484778474897459</v>
      </c>
      <c r="AM98" s="634">
        <f t="shared" si="92"/>
        <v>-0.55048085915831657</v>
      </c>
      <c r="AN98" s="581">
        <f t="shared" si="93"/>
        <v>-56.599991827972289</v>
      </c>
      <c r="AO98" s="582">
        <f t="shared" si="461"/>
        <v>0</v>
      </c>
      <c r="AP98" s="585">
        <f t="shared" si="95"/>
        <v>-89.999984435018433</v>
      </c>
      <c r="AQ98" s="586">
        <f t="shared" si="471"/>
        <v>0.33103611994831372</v>
      </c>
      <c r="AS98" s="52">
        <f t="shared" si="543"/>
        <v>-257.25291483484364</v>
      </c>
      <c r="AT98" s="73">
        <f t="shared" si="472"/>
        <v>-2.4382791450845369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>Taper</v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5.2320000000000002</v>
      </c>
      <c r="IH98" s="731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>5.1319999999999997</v>
      </c>
      <c r="II98" s="734" cm="1">
        <f t="array" ref="II98">IFERROR(ROUND(VALUE(IF($IH98&lt;1,$IH98+LARGE((IF($M$9:$M$150="",0,$M$9:$M$150)-MOD(IF($M$9:$M$150="",0,$M$9:$M$150),1)),1),$IH98)),4),"")</f>
        <v>5.1319999999999997</v>
      </c>
      <c r="IJ98" s="533">
        <f t="shared" si="542"/>
        <v>1613</v>
      </c>
      <c r="IK98" s="533" t="str">
        <f t="shared" si="517"/>
        <v>CPS-32193r1</v>
      </c>
      <c r="IL98" s="727">
        <f t="shared" si="647"/>
        <v>9.5948983655209474</v>
      </c>
      <c r="IM98" s="759">
        <v>5.56983731034105E-3</v>
      </c>
      <c r="IN98" s="5">
        <f t="shared" si="648"/>
        <v>1.56</v>
      </c>
      <c r="IO98" s="771">
        <v>780</v>
      </c>
      <c r="IP98" s="9">
        <f t="shared" si="649"/>
        <v>-6.8561999584790163</v>
      </c>
      <c r="IQ98" s="5">
        <f t="shared" si="650"/>
        <v>-2.6039999280832928</v>
      </c>
      <c r="IR98" s="5">
        <f t="shared" si="518"/>
        <v>0.314</v>
      </c>
      <c r="IS98" s="5">
        <f t="shared" si="651"/>
        <v>0.29426548266806341</v>
      </c>
      <c r="IT98" s="727">
        <f t="shared" si="652"/>
        <v>91.400677575121435</v>
      </c>
      <c r="IU98" s="9">
        <f t="shared" si="653"/>
        <v>-6.8865635126890261</v>
      </c>
      <c r="IV98" s="5">
        <f t="shared" si="654"/>
        <v>-2.6169270026087341</v>
      </c>
      <c r="IW98" s="5">
        <f t="shared" si="519"/>
        <v>0.25700000000000001</v>
      </c>
      <c r="IX98" s="5">
        <f t="shared" si="655"/>
        <v>0.25700000000000001</v>
      </c>
      <c r="IY98" s="762">
        <f t="shared" si="656"/>
        <v>56.599991827972289</v>
      </c>
    </row>
    <row r="99" spans="1:259" ht="15" customHeight="1" x14ac:dyDescent="0.25">
      <c r="A99" s="79"/>
      <c r="B99" s="707">
        <v>-2.5086607017557143</v>
      </c>
      <c r="C99" s="708">
        <v>1.7565831341798115</v>
      </c>
      <c r="D99" s="709">
        <v>-0.12810038635076523</v>
      </c>
      <c r="E99" s="710">
        <v>-0.49915953212894099</v>
      </c>
      <c r="F99" s="708">
        <v>-0.82966244813919832</v>
      </c>
      <c r="G99" s="711">
        <v>0.24999996726497567</v>
      </c>
      <c r="H99" s="710">
        <v>0.314</v>
      </c>
      <c r="I99" s="708">
        <v>0.52</v>
      </c>
      <c r="J99" s="570">
        <v>6.1120000000000001</v>
      </c>
      <c r="K99" s="865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>1613</v>
      </c>
      <c r="L99" s="320"/>
      <c r="M99" s="168">
        <f t="shared" si="464"/>
        <v>6.1120000000000001</v>
      </c>
      <c r="N99" s="632">
        <f t="shared" si="465"/>
        <v>-2.5086607017557143</v>
      </c>
      <c r="O99" s="629">
        <f t="shared" si="466"/>
        <v>1.7565831341798115</v>
      </c>
      <c r="P99" s="633">
        <f t="shared" si="467"/>
        <v>-0.12810038635076523</v>
      </c>
      <c r="Q99" s="585">
        <f t="shared" si="520"/>
        <v>145</v>
      </c>
      <c r="R99" s="629">
        <f t="shared" si="79"/>
        <v>3.0625092365278577</v>
      </c>
      <c r="S99" s="634">
        <f t="shared" si="80"/>
        <v>-0.12810038635076523</v>
      </c>
      <c r="T99" s="635">
        <f t="shared" si="81"/>
        <v>1.7565831341798117</v>
      </c>
      <c r="U99" s="629">
        <f t="shared" si="82"/>
        <v>2.5086607017557143</v>
      </c>
      <c r="V99" s="636">
        <f t="shared" si="114"/>
        <v>-0.12810038635076523</v>
      </c>
      <c r="W99" s="585">
        <f t="shared" si="645"/>
        <v>55</v>
      </c>
      <c r="X99" s="629">
        <f t="shared" si="83"/>
        <v>3.0625092365278577</v>
      </c>
      <c r="Y99" s="630">
        <f t="shared" si="644"/>
        <v>-0.12810038635076523</v>
      </c>
      <c r="Z99" s="632">
        <f t="shared" si="468"/>
        <v>0.49915953212894099</v>
      </c>
      <c r="AA99" s="629">
        <f t="shared" si="469"/>
        <v>0.82966244813919832</v>
      </c>
      <c r="AB99" s="629">
        <f t="shared" si="470"/>
        <v>-0.24999996726497567</v>
      </c>
      <c r="AC99" s="636">
        <f t="shared" si="84"/>
        <v>1</v>
      </c>
      <c r="AD99" s="637">
        <f t="shared" si="115"/>
        <v>0.49915953212894099</v>
      </c>
      <c r="AE99" s="629">
        <f t="shared" si="85"/>
        <v>0.82966244813919832</v>
      </c>
      <c r="AF99" s="633">
        <f t="shared" si="86"/>
        <v>-0.24999996726497567</v>
      </c>
      <c r="AG99" s="602">
        <f t="shared" si="87"/>
        <v>73.231010456381327</v>
      </c>
      <c r="AH99" s="603">
        <f t="shared" si="88"/>
        <v>60.055589346152786</v>
      </c>
      <c r="AI99" s="585">
        <f t="shared" si="89"/>
        <v>-75.522489751159455</v>
      </c>
      <c r="AJ99" s="586">
        <f t="shared" si="90"/>
        <v>148.96712964508657</v>
      </c>
      <c r="AK99" s="635">
        <f t="shared" si="211"/>
        <v>0.96592583607220739</v>
      </c>
      <c r="AL99" s="629">
        <f t="shared" si="91"/>
        <v>6.6987279208207351E-2</v>
      </c>
      <c r="AM99" s="634">
        <f t="shared" si="92"/>
        <v>-0.24999996726497567</v>
      </c>
      <c r="AN99" s="581">
        <f t="shared" si="93"/>
        <v>14.999997834268299</v>
      </c>
      <c r="AO99" s="582">
        <f t="shared" si="461"/>
        <v>14.999997834268255</v>
      </c>
      <c r="AP99" s="585">
        <f t="shared" si="95"/>
        <v>3.9671296450865805</v>
      </c>
      <c r="AQ99" s="586">
        <f t="shared" si="471"/>
        <v>0.74435640787438573</v>
      </c>
      <c r="AS99" s="52">
        <f t="shared" si="543"/>
        <v>-305</v>
      </c>
      <c r="AT99" s="73">
        <f t="shared" si="472"/>
        <v>8.370516920479032E-2</v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3"/>
        <v>6.1120000000000001</v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>
        <f t="shared" si="542"/>
        <v>1613</v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>
        <v>-3.1166371826840704</v>
      </c>
      <c r="C100" s="708">
        <v>2.1822928491800582</v>
      </c>
      <c r="D100" s="709">
        <v>-6.3400191214976712E-2</v>
      </c>
      <c r="E100" s="710">
        <v>-0.55773241998719258</v>
      </c>
      <c r="F100" s="708">
        <v>-0.78864927052613865</v>
      </c>
      <c r="G100" s="711">
        <v>0.2587795892141021</v>
      </c>
      <c r="H100" s="710">
        <v>0.314</v>
      </c>
      <c r="I100" s="708">
        <v>0.52</v>
      </c>
      <c r="J100" s="570">
        <v>6.1150000000000002</v>
      </c>
      <c r="K100" s="865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>1613</v>
      </c>
      <c r="L100" s="320"/>
      <c r="M100" s="168">
        <f t="shared" si="464"/>
        <v>6.1150000000000002</v>
      </c>
      <c r="N100" s="632">
        <f t="shared" si="465"/>
        <v>-3.1166371826840704</v>
      </c>
      <c r="O100" s="629">
        <f t="shared" si="466"/>
        <v>2.1822928491800582</v>
      </c>
      <c r="P100" s="633">
        <f t="shared" si="467"/>
        <v>-6.3400191214976712E-2</v>
      </c>
      <c r="Q100" s="585">
        <f t="shared" si="520"/>
        <v>145</v>
      </c>
      <c r="R100" s="629">
        <f t="shared" si="79"/>
        <v>3.804711475009809</v>
      </c>
      <c r="S100" s="634">
        <f t="shared" si="80"/>
        <v>-6.3400191214976712E-2</v>
      </c>
      <c r="T100" s="635">
        <f t="shared" si="81"/>
        <v>2.1822928491800586</v>
      </c>
      <c r="U100" s="629">
        <f t="shared" si="82"/>
        <v>3.1166371826840704</v>
      </c>
      <c r="V100" s="636">
        <f t="shared" si="114"/>
        <v>-6.3400191214976712E-2</v>
      </c>
      <c r="W100" s="585">
        <f t="shared" si="645"/>
        <v>55</v>
      </c>
      <c r="X100" s="629">
        <f t="shared" si="83"/>
        <v>3.804711475009809</v>
      </c>
      <c r="Y100" s="630">
        <f t="shared" si="644"/>
        <v>-6.3400191214976712E-2</v>
      </c>
      <c r="Z100" s="632">
        <f t="shared" si="468"/>
        <v>0.55773241998719258</v>
      </c>
      <c r="AA100" s="629">
        <f t="shared" si="469"/>
        <v>0.78864927052613865</v>
      </c>
      <c r="AB100" s="629">
        <f t="shared" si="470"/>
        <v>-0.2587795892141021</v>
      </c>
      <c r="AC100" s="636">
        <f t="shared" si="84"/>
        <v>1</v>
      </c>
      <c r="AD100" s="637">
        <f t="shared" si="115"/>
        <v>0.55773241998719258</v>
      </c>
      <c r="AE100" s="629">
        <f t="shared" si="85"/>
        <v>0.78864927052613865</v>
      </c>
      <c r="AF100" s="633">
        <f t="shared" si="86"/>
        <v>-0.2587795892141021</v>
      </c>
      <c r="AG100" s="602">
        <f t="shared" si="87"/>
        <v>71.833778012009745</v>
      </c>
      <c r="AH100" s="603">
        <f t="shared" si="88"/>
        <v>56.100875917134204</v>
      </c>
      <c r="AI100" s="585">
        <f t="shared" si="89"/>
        <v>-75.002340390380908</v>
      </c>
      <c r="AJ100" s="586">
        <f t="shared" si="90"/>
        <v>144.73206644329269</v>
      </c>
      <c r="AK100" s="635">
        <f t="shared" si="211"/>
        <v>0.9659258360722075</v>
      </c>
      <c r="AL100" s="629">
        <f t="shared" si="91"/>
        <v>-4.5170138795205816E-3</v>
      </c>
      <c r="AM100" s="634">
        <f t="shared" si="92"/>
        <v>-0.2587795892141021</v>
      </c>
      <c r="AN100" s="581">
        <f t="shared" si="93"/>
        <v>-0.99999985561778038</v>
      </c>
      <c r="AO100" s="582">
        <f t="shared" si="461"/>
        <v>14.99999783426823</v>
      </c>
      <c r="AP100" s="585">
        <f t="shared" si="95"/>
        <v>-0.26793355670730673</v>
      </c>
      <c r="AQ100" s="586">
        <f t="shared" si="471"/>
        <v>0.5991633124450525</v>
      </c>
      <c r="AS100" s="52">
        <f t="shared" si="543"/>
        <v>-305</v>
      </c>
      <c r="AT100" s="73">
        <f t="shared" si="472"/>
        <v>0.14840536434057883</v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3"/>
        <v>6.1150000000000002</v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>
        <f t="shared" si="542"/>
        <v>1613</v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>
        <v>-3.7168074318299427</v>
      </c>
      <c r="C101" s="708">
        <v>2.631422355381392</v>
      </c>
      <c r="D101" s="709">
        <v>-0.17170051784876161</v>
      </c>
      <c r="E101" s="710">
        <v>-0.64093152752578642</v>
      </c>
      <c r="F101" s="708">
        <v>-0.72796908240298874</v>
      </c>
      <c r="G101" s="711">
        <v>0.24344977323631428</v>
      </c>
      <c r="H101" s="710">
        <v>0.314</v>
      </c>
      <c r="I101" s="708">
        <v>0.52</v>
      </c>
      <c r="J101" s="570">
        <v>6.1180000000000003</v>
      </c>
      <c r="K101" s="865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>1613</v>
      </c>
      <c r="L101" s="320"/>
      <c r="M101" s="168">
        <f t="shared" si="464"/>
        <v>6.1180000000000003</v>
      </c>
      <c r="N101" s="632">
        <f t="shared" si="465"/>
        <v>-3.7168074318299427</v>
      </c>
      <c r="O101" s="629">
        <f t="shared" si="466"/>
        <v>2.631422355381392</v>
      </c>
      <c r="P101" s="633">
        <f t="shared" si="467"/>
        <v>-0.17170051784876161</v>
      </c>
      <c r="Q101" s="585">
        <f t="shared" si="520"/>
        <v>144.70230004298253</v>
      </c>
      <c r="R101" s="629">
        <f t="shared" si="79"/>
        <v>4.5540137349054239</v>
      </c>
      <c r="S101" s="634">
        <f t="shared" si="80"/>
        <v>-0.17170051784876161</v>
      </c>
      <c r="T101" s="635">
        <f t="shared" si="81"/>
        <v>2.6314223553813938</v>
      </c>
      <c r="U101" s="629">
        <f t="shared" si="82"/>
        <v>3.7168074318299418</v>
      </c>
      <c r="V101" s="636">
        <f t="shared" si="114"/>
        <v>-0.17170051784876161</v>
      </c>
      <c r="W101" s="585">
        <f t="shared" si="645"/>
        <v>54.702300042982529</v>
      </c>
      <c r="X101" s="629">
        <f t="shared" si="83"/>
        <v>4.5540137349054239</v>
      </c>
      <c r="Y101" s="630">
        <f t="shared" si="644"/>
        <v>-0.17170051784876161</v>
      </c>
      <c r="Z101" s="632">
        <f t="shared" si="468"/>
        <v>0.64093152752578642</v>
      </c>
      <c r="AA101" s="629">
        <f t="shared" si="469"/>
        <v>0.72796908240298874</v>
      </c>
      <c r="AB101" s="629">
        <f t="shared" si="470"/>
        <v>-0.24344977323631428</v>
      </c>
      <c r="AC101" s="636">
        <f t="shared" si="84"/>
        <v>1</v>
      </c>
      <c r="AD101" s="637">
        <f t="shared" si="115"/>
        <v>0.64093152752578642</v>
      </c>
      <c r="AE101" s="629">
        <f t="shared" si="85"/>
        <v>0.72796908240298874</v>
      </c>
      <c r="AF101" s="633">
        <f t="shared" si="86"/>
        <v>-0.24344977323631428</v>
      </c>
      <c r="AG101" s="602">
        <f t="shared" si="87"/>
        <v>71.508867637940298</v>
      </c>
      <c r="AH101" s="603">
        <f t="shared" si="88"/>
        <v>50.138683718422222</v>
      </c>
      <c r="AI101" s="585">
        <f t="shared" si="89"/>
        <v>-75.909761359065115</v>
      </c>
      <c r="AJ101" s="586">
        <f t="shared" si="90"/>
        <v>138.63808785113707</v>
      </c>
      <c r="AK101" s="635">
        <f t="shared" si="211"/>
        <v>0.9644859899635696</v>
      </c>
      <c r="AL101" s="629">
        <f t="shared" si="91"/>
        <v>-0.1024645454544168</v>
      </c>
      <c r="AM101" s="634">
        <f t="shared" si="92"/>
        <v>-0.24344977323631428</v>
      </c>
      <c r="AN101" s="581">
        <f t="shared" si="93"/>
        <v>-22.825532960408939</v>
      </c>
      <c r="AO101" s="582">
        <f t="shared" si="461"/>
        <v>15.315501880723579</v>
      </c>
      <c r="AP101" s="585">
        <f t="shared" si="95"/>
        <v>-6.0642121918454492</v>
      </c>
      <c r="AQ101" s="586">
        <f t="shared" si="471"/>
        <v>0.50058448626035235</v>
      </c>
      <c r="AS101" s="52">
        <f t="shared" si="543"/>
        <v>-305.29769995701747</v>
      </c>
      <c r="AT101" s="73">
        <f t="shared" si="472"/>
        <v>4.0311773788056088E-2</v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>
        <f t="shared" si="643"/>
        <v>6.1180000000000003</v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>
        <f t="shared" si="542"/>
        <v>1613</v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>
        <v>-4.2631542022073337</v>
      </c>
      <c r="C102" s="708">
        <v>3.0802635209009654</v>
      </c>
      <c r="D102" s="709">
        <v>-0.45510137258573929</v>
      </c>
      <c r="E102" s="710">
        <v>-0.71205670667465326</v>
      </c>
      <c r="F102" s="708">
        <v>-0.67134105625265761</v>
      </c>
      <c r="G102" s="711">
        <v>0.20561233588774055</v>
      </c>
      <c r="H102" s="710">
        <v>0.314</v>
      </c>
      <c r="I102" s="708">
        <v>0.52</v>
      </c>
      <c r="J102" s="570">
        <v>6.1210000000000004</v>
      </c>
      <c r="K102" s="865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>1613</v>
      </c>
      <c r="L102" s="320"/>
      <c r="M102" s="168">
        <f t="shared" si="464"/>
        <v>6.1210000000000004</v>
      </c>
      <c r="N102" s="632">
        <f t="shared" si="465"/>
        <v>-4.2631542022073337</v>
      </c>
      <c r="O102" s="629">
        <f t="shared" si="466"/>
        <v>3.0802635209009654</v>
      </c>
      <c r="P102" s="633">
        <f t="shared" si="467"/>
        <v>-0.45510137258573929</v>
      </c>
      <c r="Q102" s="585">
        <f t="shared" si="520"/>
        <v>144.15070012262373</v>
      </c>
      <c r="R102" s="629">
        <f t="shared" si="79"/>
        <v>5.2595158626998417</v>
      </c>
      <c r="S102" s="634">
        <f t="shared" si="80"/>
        <v>-0.45510137258573929</v>
      </c>
      <c r="T102" s="635">
        <f t="shared" si="81"/>
        <v>3.0802635209009654</v>
      </c>
      <c r="U102" s="629">
        <f t="shared" si="82"/>
        <v>4.2631542022073337</v>
      </c>
      <c r="V102" s="636">
        <f t="shared" si="114"/>
        <v>-0.45510137258573929</v>
      </c>
      <c r="W102" s="585">
        <f t="shared" si="645"/>
        <v>54.150700122623732</v>
      </c>
      <c r="X102" s="629">
        <f t="shared" si="83"/>
        <v>5.2595158626998417</v>
      </c>
      <c r="Y102" s="630">
        <f t="shared" si="644"/>
        <v>-0.45510137258573929</v>
      </c>
      <c r="Z102" s="632">
        <f t="shared" si="468"/>
        <v>0.71205670667465326</v>
      </c>
      <c r="AA102" s="629">
        <f t="shared" si="469"/>
        <v>0.67134105625265761</v>
      </c>
      <c r="AB102" s="629">
        <f t="shared" si="470"/>
        <v>-0.20561233588774055</v>
      </c>
      <c r="AC102" s="636">
        <f t="shared" si="84"/>
        <v>1</v>
      </c>
      <c r="AD102" s="637">
        <f t="shared" si="115"/>
        <v>0.71205670667465326</v>
      </c>
      <c r="AE102" s="629">
        <f t="shared" si="85"/>
        <v>0.67134105625265761</v>
      </c>
      <c r="AF102" s="633">
        <f t="shared" si="86"/>
        <v>-0.20561233588774055</v>
      </c>
      <c r="AG102" s="602">
        <f t="shared" si="87"/>
        <v>72.971689569352108</v>
      </c>
      <c r="AH102" s="603">
        <f t="shared" si="88"/>
        <v>44.597498028870135</v>
      </c>
      <c r="AI102" s="585">
        <f t="shared" si="89"/>
        <v>-78.134653049368154</v>
      </c>
      <c r="AJ102" s="586">
        <f t="shared" si="90"/>
        <v>133.31417849711531</v>
      </c>
      <c r="AK102" s="635">
        <f t="shared" si="211"/>
        <v>0.96118214592960682</v>
      </c>
      <c r="AL102" s="629">
        <f t="shared" si="91"/>
        <v>-0.18399035213005971</v>
      </c>
      <c r="AM102" s="634">
        <f t="shared" si="92"/>
        <v>-0.20561233588774055</v>
      </c>
      <c r="AN102" s="581">
        <f t="shared" si="93"/>
        <v>-41.823484736385971</v>
      </c>
      <c r="AO102" s="582">
        <f t="shared" si="461"/>
        <v>16.016527471047301</v>
      </c>
      <c r="AP102" s="585">
        <f t="shared" si="95"/>
        <v>-10.836521625508425</v>
      </c>
      <c r="AQ102" s="586">
        <f t="shared" si="471"/>
        <v>0.43343973150227189</v>
      </c>
      <c r="AS102" s="52">
        <f t="shared" si="543"/>
        <v>-305.84929987737627</v>
      </c>
      <c r="AT102" s="73">
        <f t="shared" si="472"/>
        <v>-0.24270602544867242</v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>
        <f t="shared" si="643"/>
        <v>6.1210000000000004</v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>
        <f t="shared" si="542"/>
        <v>1613</v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>
        <v>-4.724011289108228</v>
      </c>
      <c r="C103" s="708">
        <v>3.4922808604560376</v>
      </c>
      <c r="D103" s="709">
        <v>-0.89480269872493945</v>
      </c>
      <c r="E103" s="710">
        <v>-0.76895050412728838</v>
      </c>
      <c r="F103" s="708">
        <v>-0.62132122957470914</v>
      </c>
      <c r="G103" s="711">
        <v>0.15058237573554401</v>
      </c>
      <c r="H103" s="710">
        <v>0.314</v>
      </c>
      <c r="I103" s="708">
        <v>0.52</v>
      </c>
      <c r="J103" s="570">
        <v>6.1239999999999997</v>
      </c>
      <c r="K103" s="865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>1613</v>
      </c>
      <c r="L103" s="320"/>
      <c r="M103" s="168">
        <f t="shared" si="464"/>
        <v>6.1239999999999997</v>
      </c>
      <c r="N103" s="632">
        <f t="shared" si="465"/>
        <v>-4.724011289108228</v>
      </c>
      <c r="O103" s="629">
        <f t="shared" si="466"/>
        <v>3.4922808604560376</v>
      </c>
      <c r="P103" s="633">
        <f t="shared" si="467"/>
        <v>-0.89480269872493945</v>
      </c>
      <c r="Q103" s="585">
        <f t="shared" si="520"/>
        <v>143.52590021283368</v>
      </c>
      <c r="R103" s="629">
        <f t="shared" si="79"/>
        <v>5.8747177181486387</v>
      </c>
      <c r="S103" s="634">
        <f t="shared" si="80"/>
        <v>-0.89480269872493945</v>
      </c>
      <c r="T103" s="635">
        <f t="shared" si="81"/>
        <v>3.4922808604560385</v>
      </c>
      <c r="U103" s="629">
        <f t="shared" si="82"/>
        <v>4.724011289108228</v>
      </c>
      <c r="V103" s="636">
        <f t="shared" si="114"/>
        <v>-0.89480269872493945</v>
      </c>
      <c r="W103" s="585">
        <f t="shared" si="645"/>
        <v>53.525900212833676</v>
      </c>
      <c r="X103" s="629">
        <f t="shared" si="83"/>
        <v>5.8747177181486387</v>
      </c>
      <c r="Y103" s="630">
        <f t="shared" si="644"/>
        <v>-0.89480269872493945</v>
      </c>
      <c r="Z103" s="632">
        <f t="shared" si="468"/>
        <v>0.76895050412728838</v>
      </c>
      <c r="AA103" s="629">
        <f t="shared" si="469"/>
        <v>0.62132122957470914</v>
      </c>
      <c r="AB103" s="629">
        <f t="shared" si="470"/>
        <v>-0.15058237573554401</v>
      </c>
      <c r="AC103" s="636">
        <f t="shared" si="84"/>
        <v>1</v>
      </c>
      <c r="AD103" s="637">
        <f t="shared" si="115"/>
        <v>0.76895050412728838</v>
      </c>
      <c r="AE103" s="629">
        <f t="shared" si="85"/>
        <v>0.62132122957470914</v>
      </c>
      <c r="AF103" s="633">
        <f t="shared" si="86"/>
        <v>-0.15058237573554401</v>
      </c>
      <c r="AG103" s="602">
        <f t="shared" si="87"/>
        <v>76.3765720614727</v>
      </c>
      <c r="AH103" s="603">
        <f t="shared" si="88"/>
        <v>39.740261641317943</v>
      </c>
      <c r="AI103" s="585">
        <f t="shared" si="89"/>
        <v>-81.339322417336305</v>
      </c>
      <c r="AJ103" s="586">
        <f t="shared" si="90"/>
        <v>128.93862695048767</v>
      </c>
      <c r="AK103" s="635">
        <f t="shared" si="211"/>
        <v>0.95673016143600087</v>
      </c>
      <c r="AL103" s="629">
        <f t="shared" si="91"/>
        <v>-0.24898262251908865</v>
      </c>
      <c r="AM103" s="634">
        <f t="shared" si="92"/>
        <v>-0.15058237573554401</v>
      </c>
      <c r="AN103" s="581">
        <f t="shared" si="93"/>
        <v>-58.834841177276381</v>
      </c>
      <c r="AO103" s="582">
        <f t="shared" si="461"/>
        <v>16.916434375540291</v>
      </c>
      <c r="AP103" s="585">
        <f t="shared" si="95"/>
        <v>-14.587273262345997</v>
      </c>
      <c r="AQ103" s="586">
        <f t="shared" si="471"/>
        <v>0.3880512875438904</v>
      </c>
      <c r="AS103" s="52">
        <f t="shared" si="543"/>
        <v>-306.47409978716632</v>
      </c>
      <c r="AT103" s="73">
        <f t="shared" si="472"/>
        <v>-0.68197346276162951</v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>
        <f t="shared" si="643"/>
        <v>6.1239999999999997</v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>
        <f t="shared" si="542"/>
        <v>1613</v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>
        <v>-5.0834990057681919</v>
      </c>
      <c r="C104" s="708">
        <v>3.8371496400536134</v>
      </c>
      <c r="D104" s="709">
        <v>-1.4671044247869451</v>
      </c>
      <c r="E104" s="710">
        <v>-0.80808263112758794</v>
      </c>
      <c r="F104" s="708">
        <v>-0.58291007046524257</v>
      </c>
      <c r="G104" s="711">
        <v>8.4960643948364195E-2</v>
      </c>
      <c r="H104" s="710">
        <v>0.314</v>
      </c>
      <c r="I104" s="708">
        <v>0.52</v>
      </c>
      <c r="J104" s="570">
        <v>6.1269999999999998</v>
      </c>
      <c r="K104" s="865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>1613</v>
      </c>
      <c r="L104" s="320"/>
      <c r="M104" s="168">
        <f t="shared" si="464"/>
        <v>6.1269999999999998</v>
      </c>
      <c r="N104" s="632">
        <f t="shared" si="465"/>
        <v>-5.0834990057681919</v>
      </c>
      <c r="O104" s="629">
        <f t="shared" si="466"/>
        <v>3.8371496400536134</v>
      </c>
      <c r="P104" s="633">
        <f t="shared" si="467"/>
        <v>-1.4671044247869451</v>
      </c>
      <c r="Q104" s="585">
        <f t="shared" si="520"/>
        <v>142.95360029546356</v>
      </c>
      <c r="R104" s="629">
        <f t="shared" si="79"/>
        <v>6.3691192092635358</v>
      </c>
      <c r="S104" s="634">
        <f t="shared" si="80"/>
        <v>-1.4671044247869451</v>
      </c>
      <c r="T104" s="635">
        <f t="shared" si="81"/>
        <v>3.8371496400536134</v>
      </c>
      <c r="U104" s="629">
        <f t="shared" si="82"/>
        <v>5.0834990057681919</v>
      </c>
      <c r="V104" s="636">
        <f t="shared" si="114"/>
        <v>-1.4671044247869451</v>
      </c>
      <c r="W104" s="585">
        <f t="shared" si="645"/>
        <v>52.953600295463559</v>
      </c>
      <c r="X104" s="629">
        <f t="shared" si="83"/>
        <v>6.3691192092635358</v>
      </c>
      <c r="Y104" s="630">
        <f t="shared" si="644"/>
        <v>-1.4671044247869451</v>
      </c>
      <c r="Z104" s="632">
        <f t="shared" si="468"/>
        <v>0.80808263112758794</v>
      </c>
      <c r="AA104" s="629">
        <f t="shared" si="469"/>
        <v>0.58291007046524257</v>
      </c>
      <c r="AB104" s="629">
        <f t="shared" si="470"/>
        <v>-8.4960643948364195E-2</v>
      </c>
      <c r="AC104" s="636">
        <f t="shared" si="84"/>
        <v>1</v>
      </c>
      <c r="AD104" s="637">
        <f t="shared" si="115"/>
        <v>0.80808263112758794</v>
      </c>
      <c r="AE104" s="629">
        <f t="shared" si="85"/>
        <v>0.58291007046524257</v>
      </c>
      <c r="AF104" s="633">
        <f t="shared" si="86"/>
        <v>-8.4960643948364195E-2</v>
      </c>
      <c r="AG104" s="602">
        <f t="shared" si="87"/>
        <v>81.707385819102413</v>
      </c>
      <c r="AH104" s="603">
        <f t="shared" si="88"/>
        <v>36.090979919586033</v>
      </c>
      <c r="AI104" s="585">
        <f t="shared" si="89"/>
        <v>-85.126238252595158</v>
      </c>
      <c r="AJ104" s="586">
        <f t="shared" si="90"/>
        <v>125.80478032686155</v>
      </c>
      <c r="AK104" s="635">
        <f t="shared" si="211"/>
        <v>0.95208717902585871</v>
      </c>
      <c r="AL104" s="629">
        <f t="shared" si="91"/>
        <v>-0.29378851664839079</v>
      </c>
      <c r="AM104" s="634">
        <f t="shared" si="92"/>
        <v>-8.4960643948364195E-2</v>
      </c>
      <c r="AN104" s="581">
        <f t="shared" si="93"/>
        <v>-73.870669862897927</v>
      </c>
      <c r="AO104" s="582">
        <f t="shared" si="461"/>
        <v>17.807910320619332</v>
      </c>
      <c r="AP104" s="585">
        <f t="shared" si="95"/>
        <v>-17.148819968602023</v>
      </c>
      <c r="AQ104" s="586">
        <f t="shared" si="471"/>
        <v>0.35792970755145154</v>
      </c>
      <c r="AS104" s="52">
        <f t="shared" si="543"/>
        <v>-307.04639970453644</v>
      </c>
      <c r="AT104" s="73">
        <f t="shared" si="472"/>
        <v>-1.2538777583254614</v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>
        <f t="shared" si="643"/>
        <v>6.1269999999999998</v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>
        <f t="shared" si="542"/>
        <v>1613</v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>
        <v>-5.3273111715107904</v>
      </c>
      <c r="C105" s="708">
        <v>4.0838319897993376</v>
      </c>
      <c r="D105" s="709">
        <v>-2.1334064343538062</v>
      </c>
      <c r="E105" s="710">
        <v>-0.82847156935518318</v>
      </c>
      <c r="F105" s="708">
        <v>-0.55978631363987241</v>
      </c>
      <c r="G105" s="711">
        <v>1.6557228984416167E-2</v>
      </c>
      <c r="H105" s="710">
        <v>0.314</v>
      </c>
      <c r="I105" s="708">
        <v>0.52</v>
      </c>
      <c r="J105" s="570">
        <v>6.13</v>
      </c>
      <c r="K105" s="865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>1613</v>
      </c>
      <c r="L105" s="320"/>
      <c r="M105" s="168">
        <f t="shared" ref="M105:M136" si="660">IF(J105="","",VALUE(J105))</f>
        <v>6.13</v>
      </c>
      <c r="N105" s="632">
        <f t="shared" ref="N105:N136" si="661">IF(M105="","",B105)</f>
        <v>-5.3273111715107904</v>
      </c>
      <c r="O105" s="629">
        <f t="shared" ref="O105:O136" si="662">IF(M105="","",C105)</f>
        <v>4.0838319897993376</v>
      </c>
      <c r="P105" s="633">
        <f t="shared" ref="P105:P136" si="663">IF(M105="","",D105)</f>
        <v>-2.1334064343538062</v>
      </c>
      <c r="Q105" s="585">
        <f t="shared" si="520"/>
        <v>142.52680035708585</v>
      </c>
      <c r="R105" s="629">
        <f t="shared" si="79"/>
        <v>6.7125202449610599</v>
      </c>
      <c r="S105" s="634">
        <f t="shared" si="80"/>
        <v>-2.1334064343538062</v>
      </c>
      <c r="T105" s="635">
        <f t="shared" si="81"/>
        <v>4.0838319897993376</v>
      </c>
      <c r="U105" s="629">
        <f t="shared" si="82"/>
        <v>5.3273111715107904</v>
      </c>
      <c r="V105" s="636">
        <f t="shared" si="114"/>
        <v>-2.1334064343538062</v>
      </c>
      <c r="W105" s="585">
        <f t="shared" si="645"/>
        <v>52.526800357085847</v>
      </c>
      <c r="X105" s="629">
        <f t="shared" si="83"/>
        <v>6.7125202449610599</v>
      </c>
      <c r="Y105" s="630">
        <f t="shared" si="644"/>
        <v>-2.1334064343538062</v>
      </c>
      <c r="Z105" s="632">
        <f t="shared" ref="Z105:Z136" si="664">IF(M105="","",-E105)</f>
        <v>0.82847156935518318</v>
      </c>
      <c r="AA105" s="629">
        <f t="shared" ref="AA105:AA136" si="665">IF(M105="","",-F105)</f>
        <v>0.55978631363987241</v>
      </c>
      <c r="AB105" s="629">
        <f t="shared" ref="AB105:AB136" si="666">IF(M105="","",-G105)</f>
        <v>-1.6557228984416167E-2</v>
      </c>
      <c r="AC105" s="636">
        <f t="shared" si="84"/>
        <v>1</v>
      </c>
      <c r="AD105" s="637">
        <f t="shared" si="115"/>
        <v>0.82847156935518318</v>
      </c>
      <c r="AE105" s="629">
        <f t="shared" si="85"/>
        <v>0.55978631363987241</v>
      </c>
      <c r="AF105" s="633">
        <f t="shared" si="86"/>
        <v>-1.6557228984416167E-2</v>
      </c>
      <c r="AG105" s="602">
        <f t="shared" si="87"/>
        <v>88.305812735709438</v>
      </c>
      <c r="AH105" s="603">
        <f t="shared" si="88"/>
        <v>34.057950135111788</v>
      </c>
      <c r="AI105" s="585">
        <f t="shared" si="89"/>
        <v>-89.051297308878361</v>
      </c>
      <c r="AJ105" s="586">
        <f t="shared" si="90"/>
        <v>124.04632794790776</v>
      </c>
      <c r="AK105" s="635">
        <f t="shared" si="211"/>
        <v>0.9483017328197898</v>
      </c>
      <c r="AL105" s="629">
        <f t="shared" si="91"/>
        <v>-0.31693797768544818</v>
      </c>
      <c r="AM105" s="634">
        <f t="shared" si="92"/>
        <v>-1.6557228984416167E-2</v>
      </c>
      <c r="AN105" s="581">
        <f t="shared" si="93"/>
        <v>-87.009516661023568</v>
      </c>
      <c r="AO105" s="582">
        <f t="shared" si="461"/>
        <v>18.503958122078703</v>
      </c>
      <c r="AP105" s="585">
        <f t="shared" si="95"/>
        <v>-18.480472409178105</v>
      </c>
      <c r="AQ105" s="586">
        <f t="shared" ref="AQ105:AQ136" si="667">IF(M105="","",DEGREES(ATAN(($AS$5*SIN(RADIANS(90)))/(($X105*2*PI())-($AS$5*COS(RADIANS(90)))))))</f>
        <v>0.33961907739028041</v>
      </c>
      <c r="AS105" s="52">
        <f t="shared" si="543"/>
        <v>-307.47319964291415</v>
      </c>
      <c r="AT105" s="73">
        <f t="shared" ref="AT105:AT136" si="668">IF(M105="","",Y105+(((AS105-$AS$9)*$AS$6)*-1))</f>
        <v>-1.9198833790462269</v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>
        <f t="shared" si="643"/>
        <v>6.13</v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>
        <f t="shared" si="542"/>
        <v>1613</v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>
        <v>-5.4693314193584932</v>
      </c>
      <c r="C106" s="708">
        <v>4.2326105380446126</v>
      </c>
      <c r="D106" s="709">
        <v>-2.8402085660690353</v>
      </c>
      <c r="E106" s="710">
        <v>-0.8575161063215978</v>
      </c>
      <c r="F106" s="708">
        <v>-0.51396566551492884</v>
      </c>
      <c r="G106" s="711">
        <v>-2.2481594045850983E-2</v>
      </c>
      <c r="H106" s="710">
        <v>0.314</v>
      </c>
      <c r="I106" s="708">
        <v>0.52</v>
      </c>
      <c r="J106" s="570">
        <v>6.133</v>
      </c>
      <c r="K106" s="865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>1613</v>
      </c>
      <c r="L106" s="320"/>
      <c r="M106" s="168">
        <f t="shared" si="660"/>
        <v>6.133</v>
      </c>
      <c r="N106" s="632">
        <f t="shared" si="661"/>
        <v>-5.4693314193584932</v>
      </c>
      <c r="O106" s="629">
        <f t="shared" si="662"/>
        <v>4.2326105380446126</v>
      </c>
      <c r="P106" s="633">
        <f t="shared" si="663"/>
        <v>-2.8402085660690353</v>
      </c>
      <c r="Q106" s="585">
        <f t="shared" si="520"/>
        <v>142.26440039497172</v>
      </c>
      <c r="R106" s="629">
        <f t="shared" ref="R106:R129" si="716">IF(M106="","",SQRT(N106^2+O106^2))</f>
        <v>6.9158208581157083</v>
      </c>
      <c r="S106" s="634">
        <f t="shared" ref="S106:S129" si="717">IF(M106="","",P106)</f>
        <v>-2.8402085660690353</v>
      </c>
      <c r="T106" s="635">
        <f t="shared" ref="T106:T129" si="718">IF(M106="","",X106*COS(RADIANS(W106)))</f>
        <v>4.2326105380446117</v>
      </c>
      <c r="U106" s="629">
        <f t="shared" ref="U106:U129" si="719">IF(M106="","",X106*SIN(RADIANS(W106)))</f>
        <v>5.4693314193584932</v>
      </c>
      <c r="V106" s="636">
        <f t="shared" ref="V106:V129" si="720">IF(M106="","",Y106)</f>
        <v>-2.8402085660690353</v>
      </c>
      <c r="W106" s="585">
        <f t="shared" si="645"/>
        <v>52.264400394971716</v>
      </c>
      <c r="X106" s="629">
        <f t="shared" ref="X106:X129" si="721">IF(M106="","",R106)</f>
        <v>6.9158208581157083</v>
      </c>
      <c r="Y106" s="630">
        <f t="shared" si="644"/>
        <v>-2.8402085660690353</v>
      </c>
      <c r="Z106" s="632">
        <f t="shared" si="664"/>
        <v>0.8575161063215978</v>
      </c>
      <c r="AA106" s="629">
        <f t="shared" si="665"/>
        <v>0.51396566551492884</v>
      </c>
      <c r="AB106" s="629">
        <f t="shared" si="666"/>
        <v>2.2481594045850983E-2</v>
      </c>
      <c r="AC106" s="636">
        <f t="shared" ref="AC106:AC129" si="722">IF(M106="","",SQRT(Z106^2+AA106^2+AB106^2))</f>
        <v>1</v>
      </c>
      <c r="AD106" s="637">
        <f t="shared" ref="AD106:AD129" si="723">IF(M106="","",Z106*(1/SQRT(Z106^2+AA106^2+AB106^2)))</f>
        <v>0.8575161063215978</v>
      </c>
      <c r="AE106" s="629">
        <f t="shared" ref="AE106:AE129" si="724">IF(M106="","",AA106*(1/SQRT(Z106^2+AA106^2+AB106^2)))</f>
        <v>0.51396566551492884</v>
      </c>
      <c r="AF106" s="633">
        <f t="shared" ref="AF106:AF129" si="725">IF(M106="","",AB106*(1/SQRT(Z106^2+AA106^2+AB106^2)))</f>
        <v>2.2481594045850983E-2</v>
      </c>
      <c r="AG106" s="602">
        <f t="shared" ref="AG106:AG129" si="726">IF(M106="","",DEGREES(ATAN2(-AF106,AE106)))</f>
        <v>92.504602876564789</v>
      </c>
      <c r="AH106" s="603">
        <f t="shared" ref="AH106:AH129" si="727">IF(M106="","",DEGREES(ACOS(AD106)))</f>
        <v>30.961174973485239</v>
      </c>
      <c r="AI106" s="585">
        <f t="shared" ref="AI106:AI129" si="728">IF(M106="","",DEGREES(-ACOS(-AF106)))</f>
        <v>-91.288208985972958</v>
      </c>
      <c r="AJ106" s="586">
        <f t="shared" ref="AJ106:AJ129" si="729">IF(M106="","",DEGREES(ATAN2(-AE106,AD106)))</f>
        <v>120.93702274419881</v>
      </c>
      <c r="AK106" s="635">
        <f t="shared" ref="AK106:AK129" si="730">IF(M106="","",(COS(RADIANS((90-$Q$8)-W106))*AD106)+(-SIN(RADIANS((90-$Q$8)-W106))*AE106))</f>
        <v>0.93128211432400865</v>
      </c>
      <c r="AL106" s="629">
        <f t="shared" ref="AL106:AL129" si="731">IF(M106="","",(SIN(RADIANS((90-$Q$8)-W106))*AD106)+(COS(RADIANS((90-$Q$8)-W106))*AE106))</f>
        <v>-0.36360445743879632</v>
      </c>
      <c r="AM106" s="634">
        <f t="shared" ref="AM106:AM129" si="732">IF(M106="","",AF106)</f>
        <v>2.2481594045850983E-2</v>
      </c>
      <c r="AN106" s="581">
        <f t="shared" ref="AN106:AN129" si="733">IF(M106="","",DEGREES(ATAN2(-AM106,AL106)))</f>
        <v>-93.538083064686788</v>
      </c>
      <c r="AO106" s="582">
        <f t="shared" si="461"/>
        <v>21.364436696939507</v>
      </c>
      <c r="AP106" s="585">
        <f t="shared" ref="AP106:AP129" si="734">IF(M106="","",DEGREES(ATAN2(AK106,AL106)))</f>
        <v>-21.327377650772892</v>
      </c>
      <c r="AQ106" s="586">
        <f t="shared" si="667"/>
        <v>0.32963570427277739</v>
      </c>
      <c r="AS106" s="52">
        <f t="shared" si="543"/>
        <v>-307.73559960502826</v>
      </c>
      <c r="AT106" s="73">
        <f t="shared" si="668"/>
        <v>-2.6265032885655435</v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>
        <f t="shared" si="643"/>
        <v>6.133</v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>
        <f t="shared" si="542"/>
        <v>1613</v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>
        <v>-5.5600500850188332</v>
      </c>
      <c r="C107" s="708">
        <v>4.3297057179233258</v>
      </c>
      <c r="D107" s="709">
        <v>-3.5497107059274899</v>
      </c>
      <c r="E107" s="710">
        <v>-0.89630087613330489</v>
      </c>
      <c r="F107" s="708">
        <v>-0.44243968488714924</v>
      </c>
      <c r="G107" s="711">
        <v>-2.9864103529659965E-2</v>
      </c>
      <c r="H107" s="710">
        <v>0.314</v>
      </c>
      <c r="I107" s="708">
        <v>0.52</v>
      </c>
      <c r="J107" s="570">
        <v>6.1360000000000001</v>
      </c>
      <c r="K107" s="865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>1613</v>
      </c>
      <c r="L107" s="320"/>
      <c r="M107" s="168">
        <f t="shared" si="660"/>
        <v>6.1360000000000001</v>
      </c>
      <c r="N107" s="632">
        <f t="shared" si="661"/>
        <v>-5.5600500850188332</v>
      </c>
      <c r="O107" s="629">
        <f t="shared" si="662"/>
        <v>4.3297057179233258</v>
      </c>
      <c r="P107" s="633">
        <f t="shared" si="663"/>
        <v>-3.5497107059274899</v>
      </c>
      <c r="Q107" s="585">
        <f t="shared" si="520"/>
        <v>142.09150041993539</v>
      </c>
      <c r="R107" s="629">
        <f t="shared" si="716"/>
        <v>7.0470212538161023</v>
      </c>
      <c r="S107" s="634">
        <f t="shared" si="717"/>
        <v>-3.5497107059274899</v>
      </c>
      <c r="T107" s="635">
        <f t="shared" si="718"/>
        <v>4.3297057179233258</v>
      </c>
      <c r="U107" s="629">
        <f t="shared" si="719"/>
        <v>5.5600500850188324</v>
      </c>
      <c r="V107" s="636">
        <f t="shared" si="720"/>
        <v>-3.5497107059274899</v>
      </c>
      <c r="W107" s="585">
        <f t="shared" si="645"/>
        <v>52.091500419935386</v>
      </c>
      <c r="X107" s="629">
        <f t="shared" si="721"/>
        <v>7.0470212538161023</v>
      </c>
      <c r="Y107" s="630">
        <f t="shared" si="644"/>
        <v>-3.5497107059274899</v>
      </c>
      <c r="Z107" s="632">
        <f t="shared" si="664"/>
        <v>0.89630087613330489</v>
      </c>
      <c r="AA107" s="629">
        <f t="shared" si="665"/>
        <v>0.44243968488714924</v>
      </c>
      <c r="AB107" s="629">
        <f t="shared" si="666"/>
        <v>2.9864103529659965E-2</v>
      </c>
      <c r="AC107" s="636">
        <f t="shared" si="722"/>
        <v>1</v>
      </c>
      <c r="AD107" s="637">
        <f t="shared" si="723"/>
        <v>0.89630087613330489</v>
      </c>
      <c r="AE107" s="629">
        <f t="shared" si="724"/>
        <v>0.44243968488714924</v>
      </c>
      <c r="AF107" s="633">
        <f t="shared" si="725"/>
        <v>2.9864103529659965E-2</v>
      </c>
      <c r="AG107" s="602">
        <f t="shared" si="726"/>
        <v>93.861533259295001</v>
      </c>
      <c r="AH107" s="603">
        <f t="shared" si="727"/>
        <v>26.323984802909116</v>
      </c>
      <c r="AI107" s="585">
        <f t="shared" si="728"/>
        <v>-91.71134153634668</v>
      </c>
      <c r="AJ107" s="586">
        <f t="shared" si="729"/>
        <v>116.27226089459586</v>
      </c>
      <c r="AK107" s="635">
        <f t="shared" si="730"/>
        <v>0.89977106745817426</v>
      </c>
      <c r="AL107" s="629">
        <f t="shared" si="731"/>
        <v>-0.43533913387788531</v>
      </c>
      <c r="AM107" s="634">
        <f t="shared" si="732"/>
        <v>2.9864103529659965E-2</v>
      </c>
      <c r="AN107" s="581">
        <f t="shared" si="733"/>
        <v>-93.924321150906522</v>
      </c>
      <c r="AO107" s="582">
        <f t="shared" si="461"/>
        <v>25.872008625979415</v>
      </c>
      <c r="AP107" s="585">
        <f t="shared" si="734"/>
        <v>-25.819239525339505</v>
      </c>
      <c r="AQ107" s="586">
        <f t="shared" si="667"/>
        <v>0.32349872732388141</v>
      </c>
      <c r="AS107" s="52">
        <f t="shared" ref="AS107:AS138" si="737">IF(G107="","",IF(AND(W107&lt;(AS106+180),W107&gt;(AS106-180)),W107,IF(W107&gt;(AS106+180),W107-360,IF(W107&lt;(AS106-180),W107+360,"Error"))))</f>
        <v>-307.90849958006459</v>
      </c>
      <c r="AT107" s="73">
        <f t="shared" si="668"/>
        <v>-3.3358853589968893</v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>
        <f t="shared" si="643"/>
        <v>6.1360000000000001</v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>
        <f t="shared" si="542"/>
        <v>1613</v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>
        <v>-5.6332793151064999</v>
      </c>
      <c r="C108" s="708">
        <v>4.4092966037164549</v>
      </c>
      <c r="D108" s="709">
        <v>-4.2024126744766264</v>
      </c>
      <c r="E108" s="710">
        <v>-0.94171754566227417</v>
      </c>
      <c r="F108" s="708">
        <v>-0.33628603898602377</v>
      </c>
      <c r="G108" s="711">
        <v>8.9310791572646681E-3</v>
      </c>
      <c r="H108" s="710">
        <v>0.26600000000000001</v>
      </c>
      <c r="I108" s="708">
        <v>0.52</v>
      </c>
      <c r="J108" s="570">
        <v>6.1390000000000002</v>
      </c>
      <c r="K108" s="865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>1313</v>
      </c>
      <c r="L108" s="320"/>
      <c r="M108" s="168">
        <f t="shared" si="660"/>
        <v>6.1390000000000002</v>
      </c>
      <c r="N108" s="632">
        <f t="shared" si="661"/>
        <v>-5.6332793151064999</v>
      </c>
      <c r="O108" s="629">
        <f t="shared" si="662"/>
        <v>4.4092966037164549</v>
      </c>
      <c r="P108" s="633">
        <f t="shared" si="663"/>
        <v>-4.2024126744766264</v>
      </c>
      <c r="Q108" s="585">
        <f t="shared" si="520"/>
        <v>141.94890044052428</v>
      </c>
      <c r="R108" s="629">
        <f t="shared" si="716"/>
        <v>7.1537215756242727</v>
      </c>
      <c r="S108" s="634">
        <f t="shared" si="717"/>
        <v>-4.2024126744766264</v>
      </c>
      <c r="T108" s="635">
        <f t="shared" si="718"/>
        <v>4.409296603716454</v>
      </c>
      <c r="U108" s="629">
        <f t="shared" si="719"/>
        <v>5.6332793151065008</v>
      </c>
      <c r="V108" s="636">
        <f t="shared" si="720"/>
        <v>-4.2024126744766264</v>
      </c>
      <c r="W108" s="585">
        <f t="shared" si="645"/>
        <v>51.948900440524284</v>
      </c>
      <c r="X108" s="629">
        <f t="shared" si="721"/>
        <v>7.1537215756242727</v>
      </c>
      <c r="Y108" s="630">
        <f t="shared" si="644"/>
        <v>-4.2024126744766264</v>
      </c>
      <c r="Z108" s="632">
        <f t="shared" si="664"/>
        <v>0.94171754566227417</v>
      </c>
      <c r="AA108" s="629">
        <f t="shared" si="665"/>
        <v>0.33628603898602377</v>
      </c>
      <c r="AB108" s="629">
        <f t="shared" si="666"/>
        <v>-8.9310791572646681E-3</v>
      </c>
      <c r="AC108" s="636">
        <f t="shared" si="722"/>
        <v>1</v>
      </c>
      <c r="AD108" s="637">
        <f t="shared" si="723"/>
        <v>0.94171754566227417</v>
      </c>
      <c r="AE108" s="629">
        <f t="shared" si="724"/>
        <v>0.33628603898602377</v>
      </c>
      <c r="AF108" s="633">
        <f t="shared" si="725"/>
        <v>-8.9310791572646681E-3</v>
      </c>
      <c r="AG108" s="602">
        <f t="shared" si="726"/>
        <v>88.47869722347248</v>
      </c>
      <c r="AH108" s="603">
        <f t="shared" si="727"/>
        <v>19.657974437104802</v>
      </c>
      <c r="AI108" s="585">
        <f t="shared" si="728"/>
        <v>-89.488280054817864</v>
      </c>
      <c r="AJ108" s="586">
        <f t="shared" si="729"/>
        <v>109.65157630650504</v>
      </c>
      <c r="AK108" s="635">
        <f t="shared" si="730"/>
        <v>0.84525307550849971</v>
      </c>
      <c r="AL108" s="629">
        <f t="shared" si="731"/>
        <v>-0.53429156288351543</v>
      </c>
      <c r="AM108" s="634">
        <f t="shared" si="732"/>
        <v>-8.9310791572646681E-3</v>
      </c>
      <c r="AN108" s="581">
        <f t="shared" si="733"/>
        <v>-89.042347801341165</v>
      </c>
      <c r="AO108" s="582">
        <f t="shared" si="461"/>
        <v>32.300939031165171</v>
      </c>
      <c r="AP108" s="585">
        <f t="shared" si="734"/>
        <v>-32.297324134019242</v>
      </c>
      <c r="AQ108" s="586">
        <f t="shared" si="667"/>
        <v>0.31867372809781563</v>
      </c>
      <c r="AS108" s="52">
        <f t="shared" si="737"/>
        <v>-308.05109955947569</v>
      </c>
      <c r="AT108" s="73">
        <f t="shared" si="668"/>
        <v>-3.9884882997825462</v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>
        <f t="shared" si="643"/>
        <v>6.1390000000000002</v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>
        <f t="shared" si="542"/>
        <v>1313</v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>
        <v>-2.4840108269052856</v>
      </c>
      <c r="C109" s="708">
        <v>2.8828364742076804</v>
      </c>
      <c r="D109" s="709">
        <v>-6.3300000000000037E-2</v>
      </c>
      <c r="E109" s="710">
        <v>-1.1392398673085112E-2</v>
      </c>
      <c r="F109" s="708">
        <v>1.3221182058813728E-2</v>
      </c>
      <c r="G109" s="711">
        <v>0.99984769520034467</v>
      </c>
      <c r="H109" s="710">
        <v>0.25700000000000001</v>
      </c>
      <c r="I109" s="708">
        <v>0.41499999999999992</v>
      </c>
      <c r="J109" s="570">
        <v>6.2149999999999999</v>
      </c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>CPS-32193r1</v>
      </c>
      <c r="L109" s="320"/>
      <c r="M109" s="168">
        <f t="shared" si="660"/>
        <v>6.2149999999999999</v>
      </c>
      <c r="N109" s="632">
        <f t="shared" si="661"/>
        <v>-2.4840108269052856</v>
      </c>
      <c r="O109" s="629">
        <f t="shared" si="662"/>
        <v>2.8828364742076804</v>
      </c>
      <c r="P109" s="633">
        <f t="shared" si="663"/>
        <v>-6.3300000000000037E-2</v>
      </c>
      <c r="Q109" s="585">
        <f t="shared" si="520"/>
        <v>130.75</v>
      </c>
      <c r="R109" s="629">
        <f t="shared" si="716"/>
        <v>3.8053982610503265</v>
      </c>
      <c r="S109" s="634">
        <f t="shared" si="717"/>
        <v>-6.3300000000000037E-2</v>
      </c>
      <c r="T109" s="635">
        <f t="shared" si="718"/>
        <v>2.8828364742076804</v>
      </c>
      <c r="U109" s="629">
        <f t="shared" si="719"/>
        <v>2.4840108269052856</v>
      </c>
      <c r="V109" s="636">
        <f t="shared" si="720"/>
        <v>-6.3300000000000037E-2</v>
      </c>
      <c r="W109" s="585">
        <f t="shared" si="645"/>
        <v>40.75</v>
      </c>
      <c r="X109" s="629">
        <f t="shared" si="721"/>
        <v>3.8053982610503265</v>
      </c>
      <c r="Y109" s="630">
        <f t="shared" si="644"/>
        <v>-6.3300000000000037E-2</v>
      </c>
      <c r="Z109" s="632">
        <f t="shared" si="664"/>
        <v>1.1392398673085112E-2</v>
      </c>
      <c r="AA109" s="629">
        <f t="shared" si="665"/>
        <v>-1.3221182058813728E-2</v>
      </c>
      <c r="AB109" s="629">
        <f t="shared" si="666"/>
        <v>-0.99984769520034467</v>
      </c>
      <c r="AC109" s="636">
        <f t="shared" si="722"/>
        <v>1</v>
      </c>
      <c r="AD109" s="637">
        <f t="shared" si="723"/>
        <v>1.1392398673085112E-2</v>
      </c>
      <c r="AE109" s="629">
        <f t="shared" si="724"/>
        <v>-1.3221182058813728E-2</v>
      </c>
      <c r="AF109" s="633">
        <f t="shared" si="725"/>
        <v>-0.99984769520034467</v>
      </c>
      <c r="AG109" s="602">
        <f t="shared" si="726"/>
        <v>-0.75758916983660918</v>
      </c>
      <c r="AH109" s="603">
        <f t="shared" si="727"/>
        <v>89.347249517255506</v>
      </c>
      <c r="AI109" s="585">
        <f t="shared" si="728"/>
        <v>-0.99999985570207761</v>
      </c>
      <c r="AJ109" s="586">
        <f t="shared" si="729"/>
        <v>40.750744561635159</v>
      </c>
      <c r="AK109" s="635">
        <f t="shared" si="730"/>
        <v>2.2679489675332676E-7</v>
      </c>
      <c r="AL109" s="629">
        <f t="shared" si="731"/>
        <v>-1.7452403917723583E-2</v>
      </c>
      <c r="AM109" s="634">
        <f t="shared" si="732"/>
        <v>-0.99984769520034467</v>
      </c>
      <c r="AN109" s="581">
        <f t="shared" si="733"/>
        <v>-0.9999998556178854</v>
      </c>
      <c r="AO109" s="582">
        <f t="shared" si="461"/>
        <v>0</v>
      </c>
      <c r="AP109" s="585">
        <f t="shared" si="734"/>
        <v>-89.999255438364855</v>
      </c>
      <c r="AQ109" s="586">
        <f t="shared" si="667"/>
        <v>0.59905518525846801</v>
      </c>
      <c r="AS109" s="52">
        <f t="shared" si="737"/>
        <v>-319.25</v>
      </c>
      <c r="AT109" s="73">
        <f t="shared" si="668"/>
        <v>0.15840138888888888</v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>Nose</v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>
        <f t="shared" si="643"/>
        <v>6.2149999999999999</v>
      </c>
      <c r="IH109" s="731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>0.115</v>
      </c>
      <c r="II109" s="734" cm="1">
        <f t="array" ref="II109">IFERROR(ROUND(VALUE(IF($IH109&lt;1,$IH109+LARGE((IF($M$9:$M$150="",0,$M$9:$M$150)-MOD(IF($M$9:$M$150="",0,$M$9:$M$150),1)),1),$IH109)),4),"")</f>
        <v>6.1150000000000002</v>
      </c>
      <c r="IJ109" s="533">
        <f t="shared" si="542"/>
        <v>1613</v>
      </c>
      <c r="IK109" s="533" t="str">
        <f t="shared" si="713"/>
        <v>CPS-32193r1</v>
      </c>
      <c r="IL109" s="727">
        <f t="shared" si="647"/>
        <v>14.25</v>
      </c>
      <c r="IM109" s="759">
        <v>4.6178769825803399E-2</v>
      </c>
      <c r="IN109" s="5">
        <f t="shared" si="648"/>
        <v>1.1399999999999999</v>
      </c>
      <c r="IO109" s="771">
        <v>570</v>
      </c>
      <c r="IP109" s="9">
        <f t="shared" si="649"/>
        <v>-3.804711475009809</v>
      </c>
      <c r="IQ109" s="5">
        <f t="shared" si="650"/>
        <v>-6.3400191214976712E-2</v>
      </c>
      <c r="IR109" s="5">
        <f t="shared" si="714"/>
        <v>0.314</v>
      </c>
      <c r="IS109" s="5">
        <f t="shared" si="651"/>
        <v>0.30330071252667318</v>
      </c>
      <c r="IT109" s="727">
        <f t="shared" si="652"/>
        <v>0.99999985561778038</v>
      </c>
      <c r="IU109" s="9">
        <f t="shared" si="653"/>
        <v>-3.8053982610503265</v>
      </c>
      <c r="IV109" s="5">
        <f t="shared" si="654"/>
        <v>-6.3300000000000037E-2</v>
      </c>
      <c r="IW109" s="5">
        <f t="shared" si="715"/>
        <v>0.25700000000000001</v>
      </c>
      <c r="IX109" s="5">
        <f t="shared" si="655"/>
        <v>0.25700000000000001</v>
      </c>
      <c r="IY109" s="762">
        <f t="shared" si="656"/>
        <v>0.9999998556178854</v>
      </c>
    </row>
    <row r="110" spans="1:259" ht="15" customHeight="1" x14ac:dyDescent="0.25">
      <c r="A110" s="79"/>
      <c r="B110" s="707">
        <v>-3.1003554429691813</v>
      </c>
      <c r="C110" s="708">
        <v>3.3494391088726001</v>
      </c>
      <c r="D110" s="709">
        <v>-0.13540961365878135</v>
      </c>
      <c r="E110" s="710">
        <v>-0.7688565905922865</v>
      </c>
      <c r="F110" s="708">
        <v>-0.55065082274587418</v>
      </c>
      <c r="G110" s="711">
        <v>0.32502802111832918</v>
      </c>
      <c r="H110" s="710">
        <v>0.26600000000000001</v>
      </c>
      <c r="I110" s="708">
        <v>0.52</v>
      </c>
      <c r="J110" s="570">
        <v>6.218</v>
      </c>
      <c r="K110" s="865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>1313</v>
      </c>
      <c r="L110" s="320"/>
      <c r="M110" s="168">
        <f t="shared" si="660"/>
        <v>6.218</v>
      </c>
      <c r="N110" s="632">
        <f t="shared" si="661"/>
        <v>-3.1003554429691813</v>
      </c>
      <c r="O110" s="629">
        <f t="shared" si="662"/>
        <v>3.3494391088726001</v>
      </c>
      <c r="P110" s="633">
        <f t="shared" si="663"/>
        <v>-0.13540961365878135</v>
      </c>
      <c r="Q110" s="585">
        <f t="shared" si="520"/>
        <v>132.78840176313665</v>
      </c>
      <c r="R110" s="629">
        <f t="shared" si="716"/>
        <v>4.5640931428701039</v>
      </c>
      <c r="S110" s="634">
        <f t="shared" si="717"/>
        <v>-0.13540961365878135</v>
      </c>
      <c r="T110" s="635">
        <f t="shared" si="718"/>
        <v>3.3494391088725997</v>
      </c>
      <c r="U110" s="629">
        <f t="shared" si="719"/>
        <v>3.1003554429691813</v>
      </c>
      <c r="V110" s="636">
        <f t="shared" si="720"/>
        <v>-0.13540961365878135</v>
      </c>
      <c r="W110" s="585">
        <f t="shared" si="645"/>
        <v>42.788401763136648</v>
      </c>
      <c r="X110" s="629">
        <f t="shared" si="721"/>
        <v>4.5640931428701039</v>
      </c>
      <c r="Y110" s="630">
        <f t="shared" si="644"/>
        <v>-0.13540961365878135</v>
      </c>
      <c r="Z110" s="632">
        <f t="shared" si="664"/>
        <v>0.7688565905922865</v>
      </c>
      <c r="AA110" s="629">
        <f t="shared" si="665"/>
        <v>0.55065082274587418</v>
      </c>
      <c r="AB110" s="629">
        <f t="shared" si="666"/>
        <v>-0.32502802111832918</v>
      </c>
      <c r="AC110" s="636">
        <f t="shared" si="722"/>
        <v>1</v>
      </c>
      <c r="AD110" s="637">
        <f t="shared" si="723"/>
        <v>0.7688565905922865</v>
      </c>
      <c r="AE110" s="629">
        <f t="shared" si="724"/>
        <v>0.55065082274587418</v>
      </c>
      <c r="AF110" s="633">
        <f t="shared" si="725"/>
        <v>-0.32502802111832918</v>
      </c>
      <c r="AG110" s="602">
        <f t="shared" si="726"/>
        <v>59.448279249742754</v>
      </c>
      <c r="AH110" s="603">
        <f t="shared" si="727"/>
        <v>39.748677571165281</v>
      </c>
      <c r="AI110" s="585">
        <f t="shared" si="728"/>
        <v>-71.032727352065734</v>
      </c>
      <c r="AJ110" s="586">
        <f t="shared" si="729"/>
        <v>125.61002813297912</v>
      </c>
      <c r="AK110" s="635">
        <f t="shared" si="730"/>
        <v>0.93829189612613539</v>
      </c>
      <c r="AL110" s="629">
        <f t="shared" si="731"/>
        <v>-0.11817403755446731</v>
      </c>
      <c r="AM110" s="634">
        <f t="shared" si="732"/>
        <v>-0.32502802111832918</v>
      </c>
      <c r="AN110" s="581">
        <f t="shared" si="733"/>
        <v>-19.980308665378193</v>
      </c>
      <c r="AO110" s="582">
        <f t="shared" si="461"/>
        <v>20.23334683085579</v>
      </c>
      <c r="AP110" s="585">
        <f t="shared" si="734"/>
        <v>-7.178373630157532</v>
      </c>
      <c r="AQ110" s="586">
        <f t="shared" si="667"/>
        <v>0.49947904445806851</v>
      </c>
      <c r="AS110" s="52">
        <f t="shared" si="737"/>
        <v>-317.21159823686332</v>
      </c>
      <c r="AT110" s="73">
        <f t="shared" si="668"/>
        <v>8.487621845015153E-2</v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>Nose</v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>
        <f t="shared" si="643"/>
        <v>6.218</v>
      </c>
      <c r="IH110" s="731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>0.11799999999999999</v>
      </c>
      <c r="II110" s="734" cm="1">
        <f t="array" ref="II110">IFERROR(ROUND(VALUE(IF($IH110&lt;1,$IH110+LARGE((IF($M$9:$M$150="",0,$M$9:$M$150)-MOD(IF($M$9:$M$150="",0,$M$9:$M$150),1)),1),$IH110)),4),"")</f>
        <v>6.1180000000000003</v>
      </c>
      <c r="IJ110" s="533">
        <f t="shared" si="542"/>
        <v>1613</v>
      </c>
      <c r="IK110" s="533">
        <f t="shared" si="713"/>
        <v>1313</v>
      </c>
      <c r="IL110" s="727">
        <f t="shared" si="647"/>
        <v>11.913898279845881</v>
      </c>
      <c r="IM110" s="759">
        <v>1.56840018377612E-2</v>
      </c>
      <c r="IN110" s="5">
        <f t="shared" si="648"/>
        <v>0.44</v>
      </c>
      <c r="IO110" s="771">
        <v>220</v>
      </c>
      <c r="IP110" s="9">
        <f t="shared" si="649"/>
        <v>-4.5540137349054239</v>
      </c>
      <c r="IQ110" s="5">
        <f t="shared" si="650"/>
        <v>-0.17170051784876161</v>
      </c>
      <c r="IR110" s="5">
        <f t="shared" si="714"/>
        <v>0.314</v>
      </c>
      <c r="IS110" s="5">
        <f t="shared" si="651"/>
        <v>0.30284860084856086</v>
      </c>
      <c r="IT110" s="727">
        <f t="shared" si="652"/>
        <v>22.825532960408939</v>
      </c>
      <c r="IU110" s="9">
        <f t="shared" si="653"/>
        <v>-4.5640931428701039</v>
      </c>
      <c r="IV110" s="5">
        <f t="shared" si="654"/>
        <v>-0.13540961365878135</v>
      </c>
      <c r="IW110" s="5">
        <f t="shared" si="715"/>
        <v>0.26600000000000001</v>
      </c>
      <c r="IX110" s="5">
        <f t="shared" si="655"/>
        <v>0.24958564436955202</v>
      </c>
      <c r="IY110" s="762">
        <f t="shared" si="656"/>
        <v>19.980308665378193</v>
      </c>
    </row>
    <row r="111" spans="1:259" ht="15" customHeight="1" x14ac:dyDescent="0.25">
      <c r="A111" s="79"/>
      <c r="B111" s="707">
        <v>-3.620597085016799</v>
      </c>
      <c r="C111" s="708">
        <v>3.8409959950703034</v>
      </c>
      <c r="D111" s="709">
        <v>-0.41987953046192578</v>
      </c>
      <c r="E111" s="710">
        <v>-0.82680255190368035</v>
      </c>
      <c r="F111" s="708">
        <v>-0.48611059990127375</v>
      </c>
      <c r="G111" s="711">
        <v>0.28300887765083577</v>
      </c>
      <c r="H111" s="710">
        <v>0.26600000000000001</v>
      </c>
      <c r="I111" s="708">
        <v>0.52</v>
      </c>
      <c r="J111" s="570">
        <v>6.2210000000000001</v>
      </c>
      <c r="K111" s="865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>1313</v>
      </c>
      <c r="L111" s="320"/>
      <c r="M111" s="168">
        <f t="shared" si="660"/>
        <v>6.2210000000000001</v>
      </c>
      <c r="N111" s="632">
        <f t="shared" si="661"/>
        <v>-3.620597085016799</v>
      </c>
      <c r="O111" s="629">
        <f t="shared" si="662"/>
        <v>3.8409959950703034</v>
      </c>
      <c r="P111" s="633">
        <f t="shared" si="663"/>
        <v>-0.41987953046192578</v>
      </c>
      <c r="Q111" s="585">
        <f t="shared" si="520"/>
        <v>133.30810168810126</v>
      </c>
      <c r="R111" s="629">
        <f t="shared" si="716"/>
        <v>5.2784442297118428</v>
      </c>
      <c r="S111" s="634">
        <f t="shared" si="717"/>
        <v>-0.41987953046192578</v>
      </c>
      <c r="T111" s="635">
        <f t="shared" si="718"/>
        <v>3.8409959950703025</v>
      </c>
      <c r="U111" s="629">
        <f t="shared" si="719"/>
        <v>3.620597085016799</v>
      </c>
      <c r="V111" s="636">
        <f t="shared" si="720"/>
        <v>-0.41987953046192578</v>
      </c>
      <c r="W111" s="585">
        <f t="shared" si="645"/>
        <v>43.30810168810126</v>
      </c>
      <c r="X111" s="629">
        <f t="shared" si="721"/>
        <v>5.2784442297118428</v>
      </c>
      <c r="Y111" s="630">
        <f t="shared" si="644"/>
        <v>-0.41987953046192578</v>
      </c>
      <c r="Z111" s="632">
        <f t="shared" si="664"/>
        <v>0.82680255190368035</v>
      </c>
      <c r="AA111" s="629">
        <f t="shared" si="665"/>
        <v>0.48611059990127375</v>
      </c>
      <c r="AB111" s="629">
        <f t="shared" si="666"/>
        <v>-0.28300887765083577</v>
      </c>
      <c r="AC111" s="636">
        <f t="shared" si="722"/>
        <v>1</v>
      </c>
      <c r="AD111" s="637">
        <f t="shared" si="723"/>
        <v>0.82680255190368035</v>
      </c>
      <c r="AE111" s="629">
        <f t="shared" si="724"/>
        <v>0.48611059990127375</v>
      </c>
      <c r="AF111" s="633">
        <f t="shared" si="725"/>
        <v>-0.28300887765083577</v>
      </c>
      <c r="AG111" s="602">
        <f t="shared" si="726"/>
        <v>59.792450740238216</v>
      </c>
      <c r="AH111" s="603">
        <f t="shared" si="727"/>
        <v>34.228329811941798</v>
      </c>
      <c r="AI111" s="585">
        <f t="shared" si="728"/>
        <v>-73.560133683569802</v>
      </c>
      <c r="AJ111" s="586">
        <f t="shared" si="729"/>
        <v>120.45298941253232</v>
      </c>
      <c r="AK111" s="635">
        <f t="shared" si="730"/>
        <v>0.93507777988661467</v>
      </c>
      <c r="AL111" s="629">
        <f t="shared" si="731"/>
        <v>-0.21339053571593597</v>
      </c>
      <c r="AM111" s="634">
        <f t="shared" si="732"/>
        <v>-0.28300887765083577</v>
      </c>
      <c r="AN111" s="581">
        <f t="shared" si="733"/>
        <v>-37.016531188787894</v>
      </c>
      <c r="AO111" s="582">
        <f t="shared" si="461"/>
        <v>20.759285534121783</v>
      </c>
      <c r="AP111" s="585">
        <f t="shared" si="734"/>
        <v>-12.855112275568928</v>
      </c>
      <c r="AQ111" s="586">
        <f t="shared" si="667"/>
        <v>0.43188548660921272</v>
      </c>
      <c r="AS111" s="52">
        <f t="shared" si="737"/>
        <v>-316.69189831189874</v>
      </c>
      <c r="AT111" s="73">
        <f t="shared" si="668"/>
        <v>-0.19995460107866275</v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>Nose</v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>
        <f t="shared" si="643"/>
        <v>6.2210000000000001</v>
      </c>
      <c r="IH111" s="731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>0.121</v>
      </c>
      <c r="II111" s="734" cm="1">
        <f t="array" ref="II111">IFERROR(ROUND(VALUE(IF($IH111&lt;1,$IH111+LARGE((IF($M$9:$M$150="",0,$M$9:$M$150)-MOD(IF($M$9:$M$150="",0,$M$9:$M$150),1)),1),$IH111)),4),"")</f>
        <v>6.1210000000000004</v>
      </c>
      <c r="IJ111" s="533">
        <f t="shared" si="542"/>
        <v>1613</v>
      </c>
      <c r="IK111" s="533">
        <f t="shared" si="713"/>
        <v>1313</v>
      </c>
      <c r="IL111" s="727">
        <f t="shared" si="647"/>
        <v>10.842598434522472</v>
      </c>
      <c r="IM111" s="759">
        <v>1.3375190571785199E-2</v>
      </c>
      <c r="IN111" s="5">
        <f t="shared" si="648"/>
        <v>0.44</v>
      </c>
      <c r="IO111" s="771">
        <v>220</v>
      </c>
      <c r="IP111" s="9">
        <f t="shared" si="649"/>
        <v>-5.2595158626998417</v>
      </c>
      <c r="IQ111" s="5">
        <f t="shared" si="650"/>
        <v>-0.45510137258573929</v>
      </c>
      <c r="IR111" s="5">
        <f t="shared" si="714"/>
        <v>0.314</v>
      </c>
      <c r="IS111" s="5">
        <f t="shared" si="651"/>
        <v>0.30181119382189653</v>
      </c>
      <c r="IT111" s="727">
        <f t="shared" si="652"/>
        <v>41.823484736385971</v>
      </c>
      <c r="IU111" s="9">
        <f t="shared" si="653"/>
        <v>-5.2784442297118428</v>
      </c>
      <c r="IV111" s="5">
        <f t="shared" si="654"/>
        <v>-0.41987953046192578</v>
      </c>
      <c r="IW111" s="5">
        <f t="shared" si="715"/>
        <v>0.26600000000000001</v>
      </c>
      <c r="IX111" s="5">
        <f t="shared" si="655"/>
        <v>0.2487306894498395</v>
      </c>
      <c r="IY111" s="762">
        <f t="shared" si="656"/>
        <v>37.016531188787894</v>
      </c>
    </row>
    <row r="112" spans="1:259" ht="15" customHeight="1" x14ac:dyDescent="0.25">
      <c r="A112" s="79"/>
      <c r="B112" s="707">
        <v>-4.0498389790553437</v>
      </c>
      <c r="C112" s="708">
        <v>4.2930936368593402</v>
      </c>
      <c r="D112" s="709">
        <v>-0.86265864183492336</v>
      </c>
      <c r="E112" s="710">
        <v>-0.8766759990317563</v>
      </c>
      <c r="F112" s="708">
        <v>-0.42704821214119393</v>
      </c>
      <c r="G112" s="711">
        <v>0.22151527538452487</v>
      </c>
      <c r="H112" s="710">
        <v>0.26600000000000001</v>
      </c>
      <c r="I112" s="708">
        <v>0.52</v>
      </c>
      <c r="J112" s="570">
        <v>6.2240000000000002</v>
      </c>
      <c r="K112" s="865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>1313</v>
      </c>
      <c r="L112" s="320"/>
      <c r="M112" s="168">
        <f t="shared" si="660"/>
        <v>6.2240000000000002</v>
      </c>
      <c r="N112" s="632">
        <f t="shared" si="661"/>
        <v>-4.0498389790553437</v>
      </c>
      <c r="O112" s="629">
        <f t="shared" si="662"/>
        <v>4.2930936368593402</v>
      </c>
      <c r="P112" s="633">
        <f t="shared" si="663"/>
        <v>-0.86265864183492336</v>
      </c>
      <c r="Q112" s="585">
        <f t="shared" si="520"/>
        <v>133.32990168495371</v>
      </c>
      <c r="R112" s="629">
        <f t="shared" si="716"/>
        <v>5.9018512969337156</v>
      </c>
      <c r="S112" s="634">
        <f t="shared" si="717"/>
        <v>-0.86265864183492336</v>
      </c>
      <c r="T112" s="635">
        <f t="shared" si="718"/>
        <v>4.2930936368593402</v>
      </c>
      <c r="U112" s="629">
        <f t="shared" si="719"/>
        <v>4.0498389790553437</v>
      </c>
      <c r="V112" s="636">
        <f t="shared" si="720"/>
        <v>-0.86265864183492336</v>
      </c>
      <c r="W112" s="585">
        <f t="shared" si="645"/>
        <v>43.329901684953711</v>
      </c>
      <c r="X112" s="629">
        <f t="shared" si="721"/>
        <v>5.9018512969337156</v>
      </c>
      <c r="Y112" s="630">
        <f t="shared" si="644"/>
        <v>-0.86265864183492336</v>
      </c>
      <c r="Z112" s="632">
        <f t="shared" si="664"/>
        <v>0.8766759990317563</v>
      </c>
      <c r="AA112" s="629">
        <f t="shared" si="665"/>
        <v>0.42704821214119393</v>
      </c>
      <c r="AB112" s="629">
        <f t="shared" si="666"/>
        <v>-0.22151527538452487</v>
      </c>
      <c r="AC112" s="636">
        <f t="shared" si="722"/>
        <v>1</v>
      </c>
      <c r="AD112" s="637">
        <f t="shared" si="723"/>
        <v>0.8766759990317563</v>
      </c>
      <c r="AE112" s="629">
        <f t="shared" si="724"/>
        <v>0.42704821214119393</v>
      </c>
      <c r="AF112" s="633">
        <f t="shared" si="725"/>
        <v>-0.22151527538452487</v>
      </c>
      <c r="AG112" s="602">
        <f t="shared" si="726"/>
        <v>62.583662836657609</v>
      </c>
      <c r="AH112" s="603">
        <f t="shared" si="727"/>
        <v>28.756045595785285</v>
      </c>
      <c r="AI112" s="585">
        <f t="shared" si="728"/>
        <v>-77.201951994813356</v>
      </c>
      <c r="AJ112" s="586">
        <f t="shared" si="729"/>
        <v>115.9717343689793</v>
      </c>
      <c r="AK112" s="635">
        <f t="shared" si="730"/>
        <v>0.93074670508045076</v>
      </c>
      <c r="AL112" s="629">
        <f t="shared" si="731"/>
        <v>-0.29093221504880246</v>
      </c>
      <c r="AM112" s="634">
        <f t="shared" si="732"/>
        <v>-0.22151527538452487</v>
      </c>
      <c r="AN112" s="581">
        <f t="shared" si="733"/>
        <v>-52.71441862781861</v>
      </c>
      <c r="AO112" s="582">
        <f t="shared" si="461"/>
        <v>21.44848662509629</v>
      </c>
      <c r="AP112" s="585">
        <f t="shared" si="734"/>
        <v>-17.35816731597442</v>
      </c>
      <c r="AQ112" s="586">
        <f t="shared" si="667"/>
        <v>0.38626728793313725</v>
      </c>
      <c r="AS112" s="52">
        <f t="shared" si="737"/>
        <v>-316.67009831504629</v>
      </c>
      <c r="AT112" s="73">
        <f t="shared" si="668"/>
        <v>-0.64274885133836346</v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>Taper</v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>
        <f t="shared" si="643"/>
        <v>6.2240000000000002</v>
      </c>
      <c r="IH112" s="731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>0.124</v>
      </c>
      <c r="II112" s="734" cm="1">
        <f t="array" ref="II112">IFERROR(ROUND(VALUE(IF($IH112&lt;1,$IH112+LARGE((IF($M$9:$M$150="",0,$M$9:$M$150)-MOD(IF($M$9:$M$150="",0,$M$9:$M$150),1)),1),$IH112)),4),"")</f>
        <v>6.1239999999999997</v>
      </c>
      <c r="IJ112" s="533">
        <f t="shared" si="542"/>
        <v>1613</v>
      </c>
      <c r="IK112" s="533">
        <f t="shared" si="713"/>
        <v>1313</v>
      </c>
      <c r="IL112" s="727">
        <f t="shared" si="647"/>
        <v>10.195998527879965</v>
      </c>
      <c r="IM112" s="759">
        <v>1.1288032079638501E-2</v>
      </c>
      <c r="IN112" s="5">
        <f t="shared" si="648"/>
        <v>0.42</v>
      </c>
      <c r="IO112" s="771">
        <v>210</v>
      </c>
      <c r="IP112" s="9">
        <f t="shared" si="649"/>
        <v>-5.8747177181486387</v>
      </c>
      <c r="IQ112" s="5">
        <f t="shared" si="650"/>
        <v>-0.89480269872493945</v>
      </c>
      <c r="IR112" s="5">
        <f t="shared" si="714"/>
        <v>0.314</v>
      </c>
      <c r="IS112" s="5">
        <f t="shared" si="651"/>
        <v>0.30041327069090429</v>
      </c>
      <c r="IT112" s="727">
        <f t="shared" si="652"/>
        <v>58.834841177276381</v>
      </c>
      <c r="IU112" s="9">
        <f t="shared" si="653"/>
        <v>-5.9018512969337156</v>
      </c>
      <c r="IV112" s="5">
        <f t="shared" si="654"/>
        <v>-0.86265864183492336</v>
      </c>
      <c r="IW112" s="5">
        <f t="shared" si="715"/>
        <v>0.26600000000000001</v>
      </c>
      <c r="IX112" s="5">
        <f t="shared" si="655"/>
        <v>0.24757862355139992</v>
      </c>
      <c r="IY112" s="762">
        <f t="shared" si="656"/>
        <v>52.71441862781861</v>
      </c>
    </row>
    <row r="113" spans="1:259" ht="15" customHeight="1" x14ac:dyDescent="0.25">
      <c r="A113" s="79"/>
      <c r="B113" s="707">
        <v>-4.3684803215829717</v>
      </c>
      <c r="C113" s="708">
        <v>4.6698603384865622</v>
      </c>
      <c r="D113" s="709">
        <v>-1.4704247075215413</v>
      </c>
      <c r="E113" s="710">
        <v>-0.44276250819021729</v>
      </c>
      <c r="F113" s="708">
        <v>0.47330821564717684</v>
      </c>
      <c r="G113" s="711">
        <v>0.76153837351901932</v>
      </c>
      <c r="H113" s="710">
        <v>0.25700000000000001</v>
      </c>
      <c r="I113" s="708">
        <v>0.41499999999999992</v>
      </c>
      <c r="J113" s="570">
        <v>6.2270000000000003</v>
      </c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>CPS-32193r1</v>
      </c>
      <c r="L113" s="320"/>
      <c r="M113" s="168">
        <f t="shared" si="660"/>
        <v>6.2270000000000003</v>
      </c>
      <c r="N113" s="632">
        <f t="shared" si="661"/>
        <v>-4.3684803215829717</v>
      </c>
      <c r="O113" s="629">
        <f t="shared" si="662"/>
        <v>4.6698603384865622</v>
      </c>
      <c r="P113" s="633">
        <f t="shared" si="663"/>
        <v>-1.4704247075215413</v>
      </c>
      <c r="Q113" s="585">
        <f t="shared" si="520"/>
        <v>133.09020171956212</v>
      </c>
      <c r="R113" s="629">
        <f t="shared" si="716"/>
        <v>6.394623984334614</v>
      </c>
      <c r="S113" s="634">
        <f t="shared" si="717"/>
        <v>-1.4704247075215413</v>
      </c>
      <c r="T113" s="635">
        <f t="shared" si="718"/>
        <v>4.6698603384865622</v>
      </c>
      <c r="U113" s="629">
        <f t="shared" si="719"/>
        <v>4.3684803215829717</v>
      </c>
      <c r="V113" s="636">
        <f t="shared" si="720"/>
        <v>-1.4704247075215413</v>
      </c>
      <c r="W113" s="585">
        <f t="shared" si="645"/>
        <v>43.090201719562117</v>
      </c>
      <c r="X113" s="629">
        <f t="shared" si="721"/>
        <v>6.394623984334614</v>
      </c>
      <c r="Y113" s="630">
        <f t="shared" si="644"/>
        <v>-1.4704247075215413</v>
      </c>
      <c r="Z113" s="632">
        <f t="shared" si="664"/>
        <v>0.44276250819021729</v>
      </c>
      <c r="AA113" s="629">
        <f t="shared" si="665"/>
        <v>-0.47330821564717684</v>
      </c>
      <c r="AB113" s="629">
        <f t="shared" si="666"/>
        <v>-0.76153837351901932</v>
      </c>
      <c r="AC113" s="636">
        <f t="shared" si="722"/>
        <v>1</v>
      </c>
      <c r="AD113" s="637">
        <f t="shared" si="723"/>
        <v>0.44276250819021729</v>
      </c>
      <c r="AE113" s="629">
        <f t="shared" si="724"/>
        <v>-0.47330821564717684</v>
      </c>
      <c r="AF113" s="633">
        <f t="shared" si="725"/>
        <v>-0.76153837351901932</v>
      </c>
      <c r="AG113" s="602">
        <f t="shared" si="726"/>
        <v>-31.861608805979763</v>
      </c>
      <c r="AH113" s="603">
        <f t="shared" si="727"/>
        <v>63.719726687718605</v>
      </c>
      <c r="AI113" s="585">
        <f t="shared" si="728"/>
        <v>-40.399994166964269</v>
      </c>
      <c r="AJ113" s="586">
        <f t="shared" si="729"/>
        <v>43.090221768926327</v>
      </c>
      <c r="AK113" s="635">
        <f t="shared" si="730"/>
        <v>2.2679489664056973E-7</v>
      </c>
      <c r="AL113" s="629">
        <f t="shared" si="731"/>
        <v>-0.64811982353416353</v>
      </c>
      <c r="AM113" s="634">
        <f t="shared" si="732"/>
        <v>-0.76153837351901932</v>
      </c>
      <c r="AN113" s="581">
        <f t="shared" si="733"/>
        <v>-40.399994166962543</v>
      </c>
      <c r="AO113" s="582">
        <f t="shared" si="461"/>
        <v>0</v>
      </c>
      <c r="AP113" s="585">
        <f t="shared" si="734"/>
        <v>-89.99997995063579</v>
      </c>
      <c r="AQ113" s="586">
        <f t="shared" si="667"/>
        <v>0.35650215205833924</v>
      </c>
      <c r="AS113" s="52">
        <f t="shared" si="737"/>
        <v>-316.90979828043788</v>
      </c>
      <c r="AT113" s="73">
        <f t="shared" si="668"/>
        <v>-1.2503484587156817</v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>Taper</v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>
        <f t="shared" si="643"/>
        <v>6.2270000000000003</v>
      </c>
      <c r="IH113" s="731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>0.127</v>
      </c>
      <c r="II113" s="734" cm="1">
        <f t="array" ref="II113">IFERROR(ROUND(VALUE(IF($IH113&lt;1,$IH113+LARGE((IF($M$9:$M$150="",0,$M$9:$M$150)-MOD(IF($M$9:$M$150="",0,$M$9:$M$150),1)),1),$IH113)),4),"")</f>
        <v>6.1269999999999998</v>
      </c>
      <c r="IJ113" s="533">
        <f t="shared" si="542"/>
        <v>1613</v>
      </c>
      <c r="IK113" s="533" t="str">
        <f t="shared" si="713"/>
        <v>CPS-32193r1</v>
      </c>
      <c r="IL113" s="727">
        <f t="shared" si="647"/>
        <v>9.8633985759014422</v>
      </c>
      <c r="IM113" s="759">
        <v>1.7411335369774801E-2</v>
      </c>
      <c r="IN113" s="5">
        <f t="shared" si="648"/>
        <v>1.46</v>
      </c>
      <c r="IO113" s="771">
        <v>730</v>
      </c>
      <c r="IP113" s="9">
        <f t="shared" si="649"/>
        <v>-6.3691192092635358</v>
      </c>
      <c r="IQ113" s="5">
        <f t="shared" si="650"/>
        <v>-1.4671044247869451</v>
      </c>
      <c r="IR113" s="5">
        <f t="shared" si="714"/>
        <v>0.314</v>
      </c>
      <c r="IS113" s="5">
        <f t="shared" si="651"/>
        <v>0.29895537421411966</v>
      </c>
      <c r="IT113" s="727">
        <f t="shared" si="652"/>
        <v>73.870669862897927</v>
      </c>
      <c r="IU113" s="9">
        <f t="shared" si="653"/>
        <v>-6.394623984334614</v>
      </c>
      <c r="IV113" s="5">
        <f t="shared" si="654"/>
        <v>-1.4704247075215413</v>
      </c>
      <c r="IW113" s="5">
        <f t="shared" si="715"/>
        <v>0.25700000000000001</v>
      </c>
      <c r="IX113" s="5">
        <f t="shared" si="655"/>
        <v>0.25700000000000001</v>
      </c>
      <c r="IY113" s="762">
        <f t="shared" si="656"/>
        <v>40.399994166962543</v>
      </c>
    </row>
    <row r="114" spans="1:259" ht="15" customHeight="1" x14ac:dyDescent="0.25">
      <c r="A114" s="79"/>
      <c r="B114" s="707">
        <v>-4.5753874243461983</v>
      </c>
      <c r="C114" s="708">
        <v>4.9528332561318376</v>
      </c>
      <c r="D114" s="709">
        <v>-2.1414134222039354</v>
      </c>
      <c r="E114" s="710">
        <v>-0.52132936864292279</v>
      </c>
      <c r="F114" s="708">
        <v>0.56433601479326512</v>
      </c>
      <c r="G114" s="711">
        <v>0.64010979667368573</v>
      </c>
      <c r="H114" s="710">
        <v>0.25700000000000001</v>
      </c>
      <c r="I114" s="708">
        <v>0.41499999999999992</v>
      </c>
      <c r="J114" s="570">
        <v>6.23</v>
      </c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>CPS-32193r1</v>
      </c>
      <c r="L114" s="320"/>
      <c r="M114" s="168">
        <f t="shared" si="660"/>
        <v>6.23</v>
      </c>
      <c r="N114" s="632">
        <f t="shared" si="661"/>
        <v>-4.5753874243461983</v>
      </c>
      <c r="O114" s="629">
        <f t="shared" si="662"/>
        <v>4.9528332561318376</v>
      </c>
      <c r="P114" s="633">
        <f t="shared" si="663"/>
        <v>-2.1414134222039354</v>
      </c>
      <c r="Q114" s="585">
        <f t="shared" si="520"/>
        <v>132.73150177135199</v>
      </c>
      <c r="R114" s="629">
        <f t="shared" si="716"/>
        <v>6.7427536916241309</v>
      </c>
      <c r="S114" s="634">
        <f t="shared" si="717"/>
        <v>-2.1414134222039354</v>
      </c>
      <c r="T114" s="635">
        <f t="shared" si="718"/>
        <v>4.9528332561318367</v>
      </c>
      <c r="U114" s="629">
        <f t="shared" si="719"/>
        <v>4.5753874243461992</v>
      </c>
      <c r="V114" s="636">
        <f t="shared" si="720"/>
        <v>-2.1414134222039354</v>
      </c>
      <c r="W114" s="585">
        <f t="shared" si="645"/>
        <v>42.731501771351986</v>
      </c>
      <c r="X114" s="629">
        <f t="shared" si="721"/>
        <v>6.7427536916241309</v>
      </c>
      <c r="Y114" s="630">
        <f t="shared" si="644"/>
        <v>-2.1414134222039354</v>
      </c>
      <c r="Z114" s="632">
        <f t="shared" si="664"/>
        <v>0.52132936864292279</v>
      </c>
      <c r="AA114" s="629">
        <f t="shared" si="665"/>
        <v>-0.56433601479326512</v>
      </c>
      <c r="AB114" s="629">
        <f t="shared" si="666"/>
        <v>-0.64010979667368573</v>
      </c>
      <c r="AC114" s="636">
        <f t="shared" si="722"/>
        <v>1</v>
      </c>
      <c r="AD114" s="637">
        <f t="shared" si="723"/>
        <v>0.52132936864292279</v>
      </c>
      <c r="AE114" s="629">
        <f t="shared" si="724"/>
        <v>-0.56433601479326512</v>
      </c>
      <c r="AF114" s="633">
        <f t="shared" si="725"/>
        <v>-0.64010979667368573</v>
      </c>
      <c r="AG114" s="602">
        <f t="shared" si="726"/>
        <v>-41.400167051166243</v>
      </c>
      <c r="AH114" s="603">
        <f t="shared" si="727"/>
        <v>58.578534769434867</v>
      </c>
      <c r="AI114" s="585">
        <f t="shared" si="728"/>
        <v>-50.199992752019035</v>
      </c>
      <c r="AJ114" s="586">
        <f t="shared" si="729"/>
        <v>42.731518684888933</v>
      </c>
      <c r="AK114" s="635">
        <f t="shared" si="730"/>
        <v>2.2679489658505858E-7</v>
      </c>
      <c r="AL114" s="629">
        <f t="shared" si="731"/>
        <v>-0.76828344261888226</v>
      </c>
      <c r="AM114" s="634">
        <f t="shared" si="732"/>
        <v>-0.64010979667368573</v>
      </c>
      <c r="AN114" s="581">
        <f t="shared" si="733"/>
        <v>-50.19999275201782</v>
      </c>
      <c r="AO114" s="582">
        <f t="shared" si="461"/>
        <v>0</v>
      </c>
      <c r="AP114" s="585">
        <f t="shared" si="734"/>
        <v>-89.999983086463061</v>
      </c>
      <c r="AQ114" s="586">
        <f t="shared" si="667"/>
        <v>0.33809631431133275</v>
      </c>
      <c r="AS114" s="52">
        <f t="shared" si="737"/>
        <v>-317.26849822864801</v>
      </c>
      <c r="AT114" s="73">
        <f t="shared" si="668"/>
        <v>-1.9210880762118188</v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>Taper</v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>
        <f t="shared" si="643"/>
        <v>6.23</v>
      </c>
      <c r="IH114" s="731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>0.13</v>
      </c>
      <c r="II114" s="734" cm="1">
        <f t="array" ref="II114">IFERROR(ROUND(VALUE(IF($IH114&lt;1,$IH114+LARGE((IF($M$9:$M$150="",0,$M$9:$M$150)-MOD(IF($M$9:$M$150="",0,$M$9:$M$150),1)),1),$IH114)),4),"")</f>
        <v>6.13</v>
      </c>
      <c r="IJ114" s="533">
        <f t="shared" si="542"/>
        <v>1613</v>
      </c>
      <c r="IK114" s="533" t="str">
        <f t="shared" si="713"/>
        <v>CPS-32193r1</v>
      </c>
      <c r="IL114" s="727">
        <f t="shared" si="647"/>
        <v>9.7952985857338604</v>
      </c>
      <c r="IM114" s="759">
        <v>1.0275804503297599E-2</v>
      </c>
      <c r="IN114" s="5">
        <f t="shared" si="648"/>
        <v>1.5</v>
      </c>
      <c r="IO114" s="771">
        <v>750</v>
      </c>
      <c r="IP114" s="9">
        <f t="shared" si="649"/>
        <v>-6.7125202449610599</v>
      </c>
      <c r="IQ114" s="5">
        <f t="shared" si="650"/>
        <v>-2.1334064343538062</v>
      </c>
      <c r="IR114" s="5">
        <f t="shared" si="714"/>
        <v>0.314</v>
      </c>
      <c r="IS114" s="5">
        <f t="shared" si="651"/>
        <v>0.29776674410541398</v>
      </c>
      <c r="IT114" s="727">
        <f t="shared" si="652"/>
        <v>87.009516661023568</v>
      </c>
      <c r="IU114" s="9">
        <f t="shared" si="653"/>
        <v>-6.7427536916241309</v>
      </c>
      <c r="IV114" s="5">
        <f t="shared" si="654"/>
        <v>-2.1414134222039354</v>
      </c>
      <c r="IW114" s="5">
        <f t="shared" si="715"/>
        <v>0.25700000000000001</v>
      </c>
      <c r="IX114" s="5">
        <f t="shared" si="655"/>
        <v>0.25700000000000001</v>
      </c>
      <c r="IY114" s="762">
        <f t="shared" si="656"/>
        <v>50.19999275201782</v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8.8521302156295598E-2</v>
      </c>
      <c r="G154" s="170">
        <f t="shared" si="929"/>
        <v>-0.33036604714967344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6.6987279208207212E-2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6.6987279208207226E-2</v>
      </c>
      <c r="G156" s="170">
        <f t="shared" si="929"/>
        <v>-0.24999996726497564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0.96592583607220739</v>
      </c>
      <c r="F157" s="170">
        <f t="shared" si="929"/>
        <v>6.6987279208207226E-2</v>
      </c>
      <c r="G157" s="170">
        <f t="shared" si="929"/>
        <v>-0.24999996726497564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0.96592583607220739</v>
      </c>
      <c r="F158" s="170">
        <f t="shared" si="929"/>
        <v>3.1542098106364262E-2</v>
      </c>
      <c r="G158" s="170">
        <f t="shared" si="929"/>
        <v>-0.25688981150535284</v>
      </c>
      <c r="H158" s="139"/>
      <c r="I158" s="86"/>
      <c r="J158" s="79">
        <f t="shared" si="930"/>
        <v>1.113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0.96592583607220739</v>
      </c>
      <c r="F159" s="170">
        <f t="shared" si="929"/>
        <v>-1.8955434839668831E-2</v>
      </c>
      <c r="G159" s="170">
        <f t="shared" si="929"/>
        <v>-0.25812394444965059</v>
      </c>
      <c r="H159" s="139"/>
      <c r="I159" s="86"/>
      <c r="J159" s="79">
        <f t="shared" si="930"/>
        <v>1.1160000000000001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0.96245965650833298</v>
      </c>
      <c r="F160" s="170">
        <f t="shared" si="929"/>
        <v>-0.13901480679958703</v>
      </c>
      <c r="G160" s="170">
        <f t="shared" si="929"/>
        <v>-0.23312291411256675</v>
      </c>
      <c r="H160" s="139"/>
      <c r="I160" s="86"/>
      <c r="J160" s="79">
        <f t="shared" si="930"/>
        <v>1.119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0.95579484932802561</v>
      </c>
      <c r="F161" s="170">
        <f t="shared" si="929"/>
        <v>-0.22512651658256408</v>
      </c>
      <c r="G161" s="170">
        <f t="shared" si="929"/>
        <v>-0.18914084045868423</v>
      </c>
      <c r="H161" s="139"/>
      <c r="I161" s="86"/>
      <c r="J161" s="79">
        <f t="shared" si="930"/>
        <v>1.1220000000000001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0.94695345838632006</v>
      </c>
      <c r="F162" s="170">
        <f t="shared" si="929"/>
        <v>-0.29418714149925035</v>
      </c>
      <c r="G162" s="170">
        <f t="shared" si="929"/>
        <v>-0.12935638146874776</v>
      </c>
      <c r="H162" s="139"/>
      <c r="I162" s="86"/>
      <c r="J162" s="79">
        <f t="shared" si="930"/>
        <v>1.125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0.93825462828910411</v>
      </c>
      <c r="F163" s="170">
        <f t="shared" si="929"/>
        <v>-0.34036517560310608</v>
      </c>
      <c r="G163" s="170">
        <f t="shared" si="929"/>
        <v>-6.1885375742108555E-2</v>
      </c>
      <c r="H163" s="139"/>
      <c r="I163" s="86"/>
      <c r="J163" s="79">
        <f t="shared" si="930"/>
        <v>1.1279999999999999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0.93205018625250347</v>
      </c>
      <c r="F164" s="170">
        <f t="shared" si="929"/>
        <v>-0.36229145620167635</v>
      </c>
      <c r="G164" s="170">
        <f t="shared" si="929"/>
        <v>5.229825039385072E-3</v>
      </c>
      <c r="H164" s="139"/>
      <c r="I164" s="86"/>
      <c r="J164" s="79">
        <f t="shared" si="930"/>
        <v>1.131</v>
      </c>
    </row>
    <row r="165" spans="5:16" x14ac:dyDescent="0.25">
      <c r="E165" s="170">
        <f t="shared" si="929"/>
        <v>0.8992152372517237</v>
      </c>
      <c r="F165" s="170">
        <f t="shared" si="929"/>
        <v>-0.43644825213360683</v>
      </c>
      <c r="G165" s="170">
        <f t="shared" si="929"/>
        <v>3.0411844795175974E-2</v>
      </c>
      <c r="H165" s="139"/>
      <c r="I165" s="86"/>
      <c r="J165" s="79">
        <f t="shared" si="930"/>
        <v>1.1339999999999999</v>
      </c>
    </row>
    <row r="166" spans="5:16" x14ac:dyDescent="0.25">
      <c r="E166" s="170">
        <f t="shared" si="929"/>
        <v>0.86048887220709325</v>
      </c>
      <c r="F166" s="170">
        <f t="shared" si="929"/>
        <v>-0.50913580162916294</v>
      </c>
      <c r="G166" s="170">
        <f t="shared" si="929"/>
        <v>1.8429224270010675E-2</v>
      </c>
      <c r="H166" s="139"/>
      <c r="I166" s="86"/>
      <c r="J166" s="79">
        <f t="shared" si="930"/>
        <v>1.137</v>
      </c>
    </row>
    <row r="167" spans="5:16" x14ac:dyDescent="0.25">
      <c r="E167" s="170">
        <f t="shared" si="929"/>
        <v>0.81561639019146948</v>
      </c>
      <c r="F167" s="170">
        <f t="shared" si="929"/>
        <v>-0.57852410483585159</v>
      </c>
      <c r="G167" s="170">
        <f t="shared" si="929"/>
        <v>-8.9310791572641546E-3</v>
      </c>
      <c r="H167" s="139"/>
      <c r="I167" s="86"/>
      <c r="J167" s="79">
        <f t="shared" si="930"/>
        <v>1.1399999999999999</v>
      </c>
    </row>
    <row r="168" spans="5:16" x14ac:dyDescent="0.25">
      <c r="E168" s="170">
        <f t="shared" si="929"/>
        <v>-1.7096894583979502E-2</v>
      </c>
      <c r="F168" s="170">
        <f t="shared" si="929"/>
        <v>-7.1214662591585917E-2</v>
      </c>
      <c r="G168" s="170">
        <f t="shared" si="929"/>
        <v>-0.99731447799956807</v>
      </c>
      <c r="H168" s="139"/>
      <c r="I168" s="86"/>
      <c r="J168" s="79">
        <f t="shared" si="930"/>
        <v>1.216</v>
      </c>
    </row>
    <row r="169" spans="5:16" x14ac:dyDescent="0.25">
      <c r="E169" s="170">
        <f t="shared" si="929"/>
        <v>0.88682837596212993</v>
      </c>
      <c r="F169" s="170">
        <f t="shared" si="929"/>
        <v>-0.33941205271893904</v>
      </c>
      <c r="G169" s="170">
        <f t="shared" si="929"/>
        <v>-0.31358394419594771</v>
      </c>
      <c r="H169" s="139"/>
      <c r="I169" s="86"/>
      <c r="J169" s="79">
        <f t="shared" si="930"/>
        <v>1.2190000000000001</v>
      </c>
    </row>
    <row r="170" spans="5:16" x14ac:dyDescent="0.25">
      <c r="E170" s="170">
        <f t="shared" si="929"/>
        <v>0.86713725243116024</v>
      </c>
      <c r="F170" s="170">
        <f t="shared" si="929"/>
        <v>-0.42193031454462415</v>
      </c>
      <c r="G170" s="170">
        <f t="shared" si="929"/>
        <v>-0.26466543996981001</v>
      </c>
      <c r="H170" s="139"/>
      <c r="I170" s="86"/>
      <c r="J170" s="79">
        <f t="shared" si="930"/>
        <v>1.222</v>
      </c>
    </row>
    <row r="171" spans="5:16" x14ac:dyDescent="0.25">
      <c r="E171" s="170">
        <f t="shared" si="929"/>
        <v>0.8476893175877247</v>
      </c>
      <c r="F171" s="170">
        <f t="shared" si="929"/>
        <v>-0.4923003639997815</v>
      </c>
      <c r="G171" s="170">
        <f t="shared" si="929"/>
        <v>-0.19764405494054346</v>
      </c>
      <c r="H171" s="139"/>
      <c r="I171" s="86"/>
      <c r="J171" s="79">
        <f t="shared" si="930"/>
        <v>1.2250000000000001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1313</v>
      </c>
    </row>
    <row r="172" spans="5:16" x14ac:dyDescent="0.25">
      <c r="E172" s="170">
        <f t="shared" si="929"/>
        <v>-0.14215933682289822</v>
      </c>
      <c r="F172" s="170">
        <f t="shared" si="929"/>
        <v>-0.67609845354157949</v>
      </c>
      <c r="G172" s="170">
        <f t="shared" si="929"/>
        <v>-0.72296722199056762</v>
      </c>
      <c r="H172" s="139"/>
      <c r="I172" s="86"/>
      <c r="J172" s="79">
        <f t="shared" si="930"/>
        <v>1.228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-0.17045606687109707</v>
      </c>
      <c r="F173" s="170">
        <f t="shared" si="929"/>
        <v>-0.78451290551361452</v>
      </c>
      <c r="G173" s="170">
        <f t="shared" si="929"/>
        <v>-0.59622498299670634</v>
      </c>
      <c r="H173" s="139"/>
      <c r="I173" s="86"/>
      <c r="J173" s="79">
        <f t="shared" si="930"/>
        <v>1.2310000000000001</v>
      </c>
      <c r="O173">
        <f>IF($J24="","",IFERROR(INDEX(Settings!$AK$14:$AK$32,MATCH((((ROUND($H24,6)*2)*1000000)+ROUND($I24,6)),Settings!$AI$14:$AI$32,0)),"Undefined"))</f>
        <v>1313</v>
      </c>
    </row>
    <row r="174" spans="5:16" x14ac:dyDescent="0.25">
      <c r="E174" s="170">
        <f t="shared" ref="E174:G193" si="933">E29*-1</f>
        <v>0.46892899059006471</v>
      </c>
      <c r="F174" s="170">
        <f t="shared" si="933"/>
        <v>-0.8471160594344167</v>
      </c>
      <c r="G174" s="170">
        <f t="shared" si="933"/>
        <v>-0.24999996726497567</v>
      </c>
      <c r="H174" s="139"/>
      <c r="I174" s="86"/>
      <c r="J174" s="79">
        <f t="shared" si="930"/>
        <v>2.1110000000000002</v>
      </c>
    </row>
    <row r="175" spans="5:16" x14ac:dyDescent="0.25">
      <c r="E175" s="170">
        <f t="shared" si="933"/>
        <v>0.42253803230765569</v>
      </c>
      <c r="F175" s="170">
        <f t="shared" si="933"/>
        <v>-0.86874851855065305</v>
      </c>
      <c r="G175" s="170">
        <f t="shared" si="933"/>
        <v>-0.25833625910742808</v>
      </c>
      <c r="H175" s="139"/>
      <c r="I175" s="86"/>
      <c r="J175" s="79">
        <f t="shared" si="930"/>
        <v>2.1139999999999999</v>
      </c>
    </row>
    <row r="176" spans="5:16" x14ac:dyDescent="0.25">
      <c r="E176" s="170">
        <f t="shared" si="933"/>
        <v>0.37760041468486866</v>
      </c>
      <c r="F176" s="170">
        <f t="shared" si="933"/>
        <v>-0.88970327378739977</v>
      </c>
      <c r="G176" s="170">
        <f t="shared" si="933"/>
        <v>-0.25660477673223192</v>
      </c>
      <c r="H176" s="139"/>
      <c r="I176" s="86"/>
      <c r="J176" s="79">
        <f t="shared" si="930"/>
        <v>2.117</v>
      </c>
    </row>
    <row r="177" spans="5:10" x14ac:dyDescent="0.25">
      <c r="E177" s="170">
        <f t="shared" si="933"/>
        <v>0.25253305734616671</v>
      </c>
      <c r="F177" s="170">
        <f t="shared" si="933"/>
        <v>-0.94213687303760651</v>
      </c>
      <c r="G177" s="170">
        <f t="shared" si="933"/>
        <v>-0.22046579646357567</v>
      </c>
      <c r="H177" s="139"/>
      <c r="I177" s="86"/>
      <c r="J177" s="79">
        <f t="shared" si="930"/>
        <v>2.12</v>
      </c>
    </row>
    <row r="178" spans="5:10" x14ac:dyDescent="0.25">
      <c r="E178" s="170">
        <f t="shared" si="933"/>
        <v>0.17578596375464173</v>
      </c>
      <c r="F178" s="170">
        <f t="shared" si="933"/>
        <v>-0.96953281171752004</v>
      </c>
      <c r="G178" s="170">
        <f t="shared" si="933"/>
        <v>-0.17060311236894743</v>
      </c>
      <c r="H178" s="139"/>
      <c r="I178" s="86"/>
      <c r="J178" s="79">
        <f t="shared" si="930"/>
        <v>2.1230000000000002</v>
      </c>
    </row>
    <row r="179" spans="5:10" x14ac:dyDescent="0.25">
      <c r="E179" s="170">
        <f t="shared" si="933"/>
        <v>0.11587732727317276</v>
      </c>
      <c r="F179" s="170">
        <f t="shared" si="933"/>
        <v>-0.98746020492471476</v>
      </c>
      <c r="G179" s="170">
        <f t="shared" si="933"/>
        <v>-0.10721375244839774</v>
      </c>
      <c r="H179" s="139"/>
      <c r="I179" s="86"/>
      <c r="J179" s="79">
        <f t="shared" si="930"/>
        <v>2.1259999999999999</v>
      </c>
    </row>
    <row r="180" spans="5:10" x14ac:dyDescent="0.25">
      <c r="E180" s="170">
        <f t="shared" si="933"/>
        <v>7.80066604406736E-2</v>
      </c>
      <c r="F180" s="170">
        <f t="shared" si="933"/>
        <v>-0.99619617563739038</v>
      </c>
      <c r="G180" s="170">
        <f t="shared" si="933"/>
        <v>-3.8834785596568763E-2</v>
      </c>
      <c r="H180" s="139"/>
      <c r="I180" s="86"/>
      <c r="J180" s="79">
        <f t="shared" si="930"/>
        <v>2.129</v>
      </c>
    </row>
    <row r="181" spans="5:10" x14ac:dyDescent="0.25">
      <c r="E181" s="170">
        <f t="shared" si="933"/>
        <v>3.3609535601908082E-2</v>
      </c>
      <c r="F181" s="170">
        <f t="shared" si="933"/>
        <v>-0.99939864653980892</v>
      </c>
      <c r="G181" s="170">
        <f t="shared" si="933"/>
        <v>8.5290334166431975E-3</v>
      </c>
      <c r="H181" s="139"/>
      <c r="I181" s="86"/>
      <c r="J181" s="79">
        <f t="shared" si="930"/>
        <v>2.1320000000000001</v>
      </c>
    </row>
    <row r="182" spans="5:10" x14ac:dyDescent="0.25">
      <c r="E182" s="170">
        <f t="shared" si="933"/>
        <v>-4.7687087658732356E-2</v>
      </c>
      <c r="F182" s="170">
        <f t="shared" si="933"/>
        <v>-0.99826433873875264</v>
      </c>
      <c r="G182" s="170">
        <f t="shared" si="933"/>
        <v>3.4557946598565918E-2</v>
      </c>
      <c r="H182" s="139"/>
      <c r="I182" s="86"/>
      <c r="J182" s="79">
        <f t="shared" si="930"/>
        <v>2.1349999999999998</v>
      </c>
    </row>
    <row r="183" spans="5:10" x14ac:dyDescent="0.25">
      <c r="E183" s="170">
        <f t="shared" si="933"/>
        <v>-0.17962652013119643</v>
      </c>
      <c r="F183" s="170">
        <f t="shared" si="933"/>
        <v>-0.98369433722607336</v>
      </c>
      <c r="G183" s="170">
        <f t="shared" si="933"/>
        <v>-8.9310791572637729E-3</v>
      </c>
      <c r="H183" s="139"/>
      <c r="I183" s="86"/>
      <c r="J183" s="79">
        <f t="shared" si="930"/>
        <v>2.1379999999999999</v>
      </c>
    </row>
    <row r="184" spans="5:10" x14ac:dyDescent="0.25">
      <c r="E184" s="170">
        <f t="shared" si="933"/>
        <v>-0.12767381627123076</v>
      </c>
      <c r="F184" s="170">
        <f t="shared" si="933"/>
        <v>-2.7138139263532573E-2</v>
      </c>
      <c r="G184" s="170">
        <f t="shared" si="933"/>
        <v>-0.99144486384067421</v>
      </c>
      <c r="H184" s="139"/>
      <c r="I184" s="86"/>
      <c r="J184" s="79">
        <f t="shared" si="930"/>
        <v>2.2170000000000001</v>
      </c>
    </row>
    <row r="185" spans="5:10" x14ac:dyDescent="0.25">
      <c r="E185" s="170">
        <f t="shared" si="933"/>
        <v>4.1807428707801311E-2</v>
      </c>
      <c r="F185" s="170">
        <f t="shared" si="933"/>
        <v>-0.95317027590416981</v>
      </c>
      <c r="G185" s="170">
        <f t="shared" si="933"/>
        <v>-0.29953057279284678</v>
      </c>
      <c r="H185" s="139"/>
      <c r="I185" s="86"/>
      <c r="J185" s="79">
        <f t="shared" si="930"/>
        <v>2.2200000000000002</v>
      </c>
    </row>
    <row r="186" spans="5:10" x14ac:dyDescent="0.25">
      <c r="E186" s="170">
        <f t="shared" si="933"/>
        <v>-3.884807748402494E-2</v>
      </c>
      <c r="F186" s="170">
        <f t="shared" si="933"/>
        <v>-0.96900882151816081</v>
      </c>
      <c r="G186" s="170">
        <f t="shared" si="933"/>
        <v>-0.24395231233948278</v>
      </c>
      <c r="H186" s="139"/>
      <c r="I186" s="86"/>
      <c r="J186" s="79">
        <f t="shared" si="930"/>
        <v>2.2229999999999999</v>
      </c>
    </row>
    <row r="187" spans="5:10" x14ac:dyDescent="0.25">
      <c r="E187" s="170">
        <f t="shared" si="933"/>
        <v>-0.10538224821422353</v>
      </c>
      <c r="F187" s="170">
        <f t="shared" si="933"/>
        <v>-0.97933147022136624</v>
      </c>
      <c r="G187" s="170">
        <f t="shared" si="933"/>
        <v>-0.17263966286856866</v>
      </c>
      <c r="H187" s="139"/>
      <c r="I187" s="86"/>
      <c r="J187" s="79">
        <f t="shared" si="930"/>
        <v>2.226</v>
      </c>
    </row>
    <row r="188" spans="5:10" x14ac:dyDescent="0.25">
      <c r="E188" s="170">
        <f t="shared" si="933"/>
        <v>-0.71218486885181842</v>
      </c>
      <c r="F188" s="170">
        <f t="shared" si="933"/>
        <v>-0.16634551782893439</v>
      </c>
      <c r="G188" s="170">
        <f t="shared" si="933"/>
        <v>-0.68199844668205944</v>
      </c>
      <c r="H188" s="139"/>
      <c r="I188" s="86"/>
      <c r="J188" s="79">
        <f t="shared" si="930"/>
        <v>2.2290000000000001</v>
      </c>
    </row>
    <row r="189" spans="5:10" x14ac:dyDescent="0.25">
      <c r="E189" s="170">
        <f t="shared" si="933"/>
        <v>-0.81427164454388401</v>
      </c>
      <c r="F189" s="170">
        <f t="shared" si="933"/>
        <v>-0.1842077973162885</v>
      </c>
      <c r="G189" s="170">
        <f t="shared" si="933"/>
        <v>-0.55048085915831801</v>
      </c>
      <c r="H189" s="139"/>
      <c r="I189" s="86"/>
      <c r="J189" s="79">
        <f t="shared" si="930"/>
        <v>2.2320000000000002</v>
      </c>
    </row>
    <row r="190" spans="5:10" x14ac:dyDescent="0.25">
      <c r="E190" s="170">
        <f t="shared" si="933"/>
        <v>-0.49916002344389959</v>
      </c>
      <c r="F190" s="170">
        <f t="shared" si="933"/>
        <v>-0.82966215254342945</v>
      </c>
      <c r="G190" s="170">
        <f t="shared" si="933"/>
        <v>-0.24999996726497567</v>
      </c>
      <c r="H190" s="139"/>
      <c r="I190" s="86"/>
      <c r="J190" s="79">
        <f t="shared" si="930"/>
        <v>3.1030000000000002</v>
      </c>
    </row>
    <row r="191" spans="5:10" x14ac:dyDescent="0.25">
      <c r="E191" s="170">
        <f t="shared" si="933"/>
        <v>-0.49916002344389948</v>
      </c>
      <c r="F191" s="170">
        <f t="shared" si="933"/>
        <v>-0.82966215254342957</v>
      </c>
      <c r="G191" s="170">
        <f t="shared" si="933"/>
        <v>-0.24999996726497567</v>
      </c>
      <c r="H191" s="139"/>
      <c r="I191" s="86"/>
      <c r="J191" s="79">
        <f t="shared" si="930"/>
        <v>3.1059999999999999</v>
      </c>
    </row>
    <row r="192" spans="5:10" x14ac:dyDescent="0.25">
      <c r="E192" s="170">
        <f t="shared" si="933"/>
        <v>-0.49916002344389948</v>
      </c>
      <c r="F192" s="170">
        <f t="shared" si="933"/>
        <v>-0.82966215254342957</v>
      </c>
      <c r="G192" s="170">
        <f t="shared" si="933"/>
        <v>-0.24999996726497567</v>
      </c>
      <c r="H192" s="139"/>
      <c r="I192" s="86"/>
      <c r="J192" s="79">
        <f t="shared" si="930"/>
        <v>3.109</v>
      </c>
    </row>
    <row r="193" spans="5:10" x14ac:dyDescent="0.25">
      <c r="E193" s="170">
        <f t="shared" si="933"/>
        <v>-0.49916002344389937</v>
      </c>
      <c r="F193" s="170">
        <f t="shared" si="933"/>
        <v>-0.82966215254342968</v>
      </c>
      <c r="G193" s="170">
        <f t="shared" si="933"/>
        <v>-0.24999996726497559</v>
      </c>
      <c r="H193" s="139"/>
      <c r="I193" s="86"/>
      <c r="J193" s="79">
        <f t="shared" si="930"/>
        <v>3.1120000000000001</v>
      </c>
    </row>
    <row r="194" spans="5:10" x14ac:dyDescent="0.25">
      <c r="E194" s="170">
        <f t="shared" ref="E194:G213" si="934">E49*-1</f>
        <v>-0.55773288701468382</v>
      </c>
      <c r="F194" s="170">
        <f t="shared" si="934"/>
        <v>-0.78864894024429322</v>
      </c>
      <c r="G194" s="170">
        <f t="shared" si="934"/>
        <v>-0.2587795892141021</v>
      </c>
      <c r="H194" s="139"/>
      <c r="I194" s="86"/>
      <c r="J194" s="79">
        <f t="shared" si="930"/>
        <v>3.1150000000000002</v>
      </c>
    </row>
    <row r="195" spans="5:10" x14ac:dyDescent="0.25">
      <c r="E195" s="170">
        <f t="shared" si="934"/>
        <v>-0.64093195861926433</v>
      </c>
      <c r="F195" s="170">
        <f t="shared" si="934"/>
        <v>-0.72796870285175097</v>
      </c>
      <c r="G195" s="170">
        <f t="shared" si="934"/>
        <v>-0.24344977323631412</v>
      </c>
      <c r="H195" s="139"/>
      <c r="I195" s="86"/>
      <c r="J195" s="79">
        <f t="shared" si="930"/>
        <v>3.1179999999999999</v>
      </c>
    </row>
    <row r="196" spans="5:10" x14ac:dyDescent="0.25">
      <c r="E196" s="170">
        <f t="shared" si="934"/>
        <v>-0.7120571042337559</v>
      </c>
      <c r="F196" s="170">
        <f t="shared" si="934"/>
        <v>-0.67134063458204662</v>
      </c>
      <c r="G196" s="170">
        <f t="shared" si="934"/>
        <v>-0.20561233588774047</v>
      </c>
      <c r="H196" s="139"/>
      <c r="I196" s="86"/>
      <c r="J196" s="79">
        <f t="shared" si="930"/>
        <v>3.121</v>
      </c>
    </row>
    <row r="197" spans="5:10" x14ac:dyDescent="0.25">
      <c r="E197" s="170">
        <f t="shared" si="934"/>
        <v>-0.7689508720653061</v>
      </c>
      <c r="F197" s="170">
        <f t="shared" si="934"/>
        <v>-0.62132077421235854</v>
      </c>
      <c r="G197" s="170">
        <f t="shared" si="934"/>
        <v>-0.15058237573554431</v>
      </c>
      <c r="H197" s="139"/>
      <c r="I197" s="86"/>
      <c r="J197" s="79">
        <f t="shared" si="930"/>
        <v>3.1240000000000001</v>
      </c>
    </row>
    <row r="198" spans="5:10" x14ac:dyDescent="0.25">
      <c r="E198" s="170">
        <f t="shared" si="934"/>
        <v>-0.80808297631902193</v>
      </c>
      <c r="F198" s="170">
        <f t="shared" si="934"/>
        <v>-0.58290959192937497</v>
      </c>
      <c r="G198" s="170">
        <f t="shared" si="934"/>
        <v>-8.4960643948364625E-2</v>
      </c>
      <c r="H198" s="139"/>
      <c r="I198" s="86"/>
      <c r="J198" s="79">
        <f t="shared" si="930"/>
        <v>3.1269999999999998</v>
      </c>
    </row>
    <row r="199" spans="5:10" x14ac:dyDescent="0.25">
      <c r="E199" s="170">
        <f t="shared" si="934"/>
        <v>-0.82847190085303302</v>
      </c>
      <c r="F199" s="170">
        <f t="shared" si="934"/>
        <v>-0.55978582302995139</v>
      </c>
      <c r="G199" s="170">
        <f t="shared" si="934"/>
        <v>-1.6557228984416889E-2</v>
      </c>
      <c r="H199" s="139"/>
      <c r="I199" s="86"/>
      <c r="J199" s="79">
        <f t="shared" si="930"/>
        <v>3.13</v>
      </c>
    </row>
    <row r="200" spans="5:10" x14ac:dyDescent="0.25">
      <c r="E200" s="170">
        <f t="shared" si="934"/>
        <v>-0.8575164387749874</v>
      </c>
      <c r="F200" s="170">
        <f t="shared" si="934"/>
        <v>-0.51396510824708619</v>
      </c>
      <c r="G200" s="170">
        <f t="shared" si="934"/>
        <v>2.2481653302734023E-2</v>
      </c>
      <c r="H200" s="139"/>
      <c r="I200" s="86"/>
      <c r="J200" s="79">
        <f t="shared" si="930"/>
        <v>3.133</v>
      </c>
    </row>
    <row r="201" spans="5:10" x14ac:dyDescent="0.25">
      <c r="E201" s="170">
        <f t="shared" si="934"/>
        <v>-0.89630116960467221</v>
      </c>
      <c r="F201" s="170">
        <f t="shared" si="934"/>
        <v>-0.44243908994750158</v>
      </c>
      <c r="G201" s="170">
        <f t="shared" si="934"/>
        <v>2.986410975943132E-2</v>
      </c>
      <c r="H201" s="139"/>
      <c r="I201" s="86"/>
      <c r="J201" s="79">
        <f t="shared" si="930"/>
        <v>3.1360000000000001</v>
      </c>
    </row>
    <row r="202" spans="5:10" x14ac:dyDescent="0.25">
      <c r="E202" s="170">
        <f t="shared" si="934"/>
        <v>-0.94171774739178438</v>
      </c>
      <c r="F202" s="170">
        <f t="shared" si="934"/>
        <v>-0.33628547407289289</v>
      </c>
      <c r="G202" s="170">
        <f t="shared" si="934"/>
        <v>-8.9310791572637799E-3</v>
      </c>
      <c r="H202" s="139"/>
      <c r="I202" s="86"/>
      <c r="J202" s="79">
        <f t="shared" si="930"/>
        <v>3.1389999999999998</v>
      </c>
    </row>
    <row r="203" spans="5:10" x14ac:dyDescent="0.25">
      <c r="E203" s="170">
        <f t="shared" si="934"/>
        <v>-1.1392390843675217E-2</v>
      </c>
      <c r="F203" s="170">
        <f t="shared" si="934"/>
        <v>1.3221188805238095E-2</v>
      </c>
      <c r="G203" s="170">
        <f t="shared" si="934"/>
        <v>-0.99984769520034467</v>
      </c>
      <c r="H203" s="139"/>
      <c r="I203" s="86"/>
      <c r="J203" s="79">
        <f t="shared" si="930"/>
        <v>3.2149999999999999</v>
      </c>
    </row>
    <row r="204" spans="5:10" x14ac:dyDescent="0.25">
      <c r="E204" s="170">
        <f t="shared" si="934"/>
        <v>-0.7689049670553384</v>
      </c>
      <c r="F204" s="170">
        <f t="shared" si="934"/>
        <v>-0.55058326992883833</v>
      </c>
      <c r="G204" s="170">
        <f t="shared" si="934"/>
        <v>-0.32502802111832912</v>
      </c>
      <c r="H204" s="139"/>
      <c r="I204" s="86"/>
      <c r="J204" s="79">
        <f t="shared" si="930"/>
        <v>3.218</v>
      </c>
    </row>
    <row r="205" spans="5:10" x14ac:dyDescent="0.25">
      <c r="E205" s="170">
        <f t="shared" si="934"/>
        <v>-0.82680283977175517</v>
      </c>
      <c r="F205" s="170">
        <f t="shared" si="934"/>
        <v>-0.48611011027973478</v>
      </c>
      <c r="G205" s="170">
        <f t="shared" si="934"/>
        <v>-0.28300887765083566</v>
      </c>
      <c r="H205" s="139"/>
      <c r="I205" s="86"/>
      <c r="J205" s="79">
        <f t="shared" si="930"/>
        <v>3.2210000000000001</v>
      </c>
    </row>
    <row r="206" spans="5:10" x14ac:dyDescent="0.25">
      <c r="E206" s="170">
        <f t="shared" si="934"/>
        <v>-0.87667625192386289</v>
      </c>
      <c r="F206" s="170">
        <f t="shared" si="934"/>
        <v>-0.42704769298527512</v>
      </c>
      <c r="G206" s="170">
        <f t="shared" si="934"/>
        <v>-0.22151527538452506</v>
      </c>
      <c r="H206" s="139"/>
      <c r="I206" s="86"/>
      <c r="J206" s="79">
        <f t="shared" si="930"/>
        <v>3.2240000000000002</v>
      </c>
    </row>
    <row r="207" spans="5:10" x14ac:dyDescent="0.25">
      <c r="E207" s="170">
        <f t="shared" si="934"/>
        <v>-0.44276222790332159</v>
      </c>
      <c r="F207" s="170">
        <f t="shared" si="934"/>
        <v>0.4733084778451509</v>
      </c>
      <c r="G207" s="170">
        <f t="shared" si="934"/>
        <v>-0.76153837351901932</v>
      </c>
      <c r="H207" s="139"/>
      <c r="I207" s="86"/>
      <c r="J207" s="79">
        <f t="shared" si="930"/>
        <v>3.2269999999999999</v>
      </c>
    </row>
    <row r="208" spans="5:10" x14ac:dyDescent="0.25">
      <c r="E208" s="170">
        <f t="shared" si="934"/>
        <v>-0.52132903445056389</v>
      </c>
      <c r="F208" s="170">
        <f t="shared" si="934"/>
        <v>0.56433632351747132</v>
      </c>
      <c r="G208" s="170">
        <f t="shared" si="934"/>
        <v>-0.6401097966736855</v>
      </c>
      <c r="H208" s="139"/>
      <c r="I208" s="86"/>
      <c r="J208" s="79">
        <f t="shared" si="930"/>
        <v>3.23</v>
      </c>
    </row>
    <row r="209" spans="5:10" x14ac:dyDescent="0.25">
      <c r="E209" s="170">
        <f t="shared" si="934"/>
        <v>-0.9567284800546707</v>
      </c>
      <c r="F209" s="170">
        <f t="shared" si="934"/>
        <v>0.13666835843392561</v>
      </c>
      <c r="G209" s="170">
        <f t="shared" si="934"/>
        <v>-0.25688981150535284</v>
      </c>
      <c r="H209" s="139"/>
      <c r="I209" s="86"/>
      <c r="J209" s="79">
        <f t="shared" si="930"/>
        <v>4.1130000000000004</v>
      </c>
    </row>
    <row r="210" spans="5:10" x14ac:dyDescent="0.25">
      <c r="E210" s="170">
        <f t="shared" si="934"/>
        <v>-0.94795967548191629</v>
      </c>
      <c r="F210" s="170">
        <f t="shared" si="934"/>
        <v>0.18639872038716832</v>
      </c>
      <c r="G210" s="170">
        <f t="shared" si="934"/>
        <v>-0.25812394444965064</v>
      </c>
      <c r="H210" s="139"/>
      <c r="I210" s="86"/>
      <c r="J210" s="79">
        <f t="shared" si="930"/>
        <v>4.1159999999999997</v>
      </c>
    </row>
    <row r="211" spans="5:10" x14ac:dyDescent="0.25">
      <c r="E211" s="170">
        <f t="shared" si="934"/>
        <v>-0.9236980638214044</v>
      </c>
      <c r="F211" s="170">
        <f t="shared" si="934"/>
        <v>0.30403222495033944</v>
      </c>
      <c r="G211" s="170">
        <f t="shared" si="934"/>
        <v>-0.23312291411256678</v>
      </c>
      <c r="H211" s="139"/>
      <c r="I211" s="86"/>
      <c r="J211" s="79">
        <f t="shared" si="930"/>
        <v>4.1189999999999998</v>
      </c>
    </row>
    <row r="212" spans="5:10" x14ac:dyDescent="0.25">
      <c r="E212" s="170">
        <f t="shared" si="934"/>
        <v>-0.90218136855830866</v>
      </c>
      <c r="F212" s="170">
        <f t="shared" si="934"/>
        <v>0.38767837274839029</v>
      </c>
      <c r="G212" s="170">
        <f t="shared" si="934"/>
        <v>-0.18914084045868415</v>
      </c>
      <c r="H212" s="139"/>
      <c r="I212" s="86"/>
      <c r="J212" s="79">
        <f t="shared" si="930"/>
        <v>4.1219999999999999</v>
      </c>
    </row>
    <row r="213" spans="5:10" x14ac:dyDescent="0.25">
      <c r="E213" s="170">
        <f t="shared" si="934"/>
        <v>-0.88148204654618323</v>
      </c>
      <c r="F213" s="170">
        <f t="shared" si="934"/>
        <v>0.45415452016914304</v>
      </c>
      <c r="G213" s="170">
        <f t="shared" si="934"/>
        <v>-0.12935638146874781</v>
      </c>
      <c r="H213" s="139"/>
      <c r="I213" s="86"/>
      <c r="J213" s="79">
        <f t="shared" si="930"/>
        <v>4.125</v>
      </c>
    </row>
    <row r="214" spans="5:10" x14ac:dyDescent="0.25">
      <c r="E214" s="170">
        <f t="shared" ref="E214:G233" si="935">E69*-1</f>
        <v>-0.86489663975393305</v>
      </c>
      <c r="F214" s="170">
        <f t="shared" si="935"/>
        <v>0.49812047017926647</v>
      </c>
      <c r="G214" s="170">
        <f t="shared" si="935"/>
        <v>-6.1885375742108673E-2</v>
      </c>
      <c r="H214" s="139"/>
      <c r="I214" s="86"/>
      <c r="J214" s="79">
        <f t="shared" si="930"/>
        <v>4.1280000000000001</v>
      </c>
    </row>
    <row r="215" spans="5:10" x14ac:dyDescent="0.25">
      <c r="E215" s="170">
        <f t="shared" si="935"/>
        <v>-0.85497899846421832</v>
      </c>
      <c r="F215" s="170">
        <f t="shared" si="935"/>
        <v>0.51863625125436397</v>
      </c>
      <c r="G215" s="170">
        <f t="shared" si="935"/>
        <v>5.2298250393851831E-3</v>
      </c>
      <c r="H215" s="139"/>
      <c r="I215" s="86"/>
      <c r="J215" s="79">
        <f t="shared" si="930"/>
        <v>4.1310000000000002</v>
      </c>
    </row>
    <row r="216" spans="5:10" x14ac:dyDescent="0.25">
      <c r="E216" s="170">
        <f t="shared" si="935"/>
        <v>-0.80976569364329187</v>
      </c>
      <c r="F216" s="170">
        <f t="shared" si="935"/>
        <v>0.58596470976890125</v>
      </c>
      <c r="G216" s="170">
        <f t="shared" si="935"/>
        <v>3.0411844795176082E-2</v>
      </c>
      <c r="H216" s="139"/>
      <c r="I216" s="86"/>
      <c r="J216" s="79">
        <f t="shared" si="930"/>
        <v>4.1340000000000003</v>
      </c>
    </row>
    <row r="217" spans="5:10" x14ac:dyDescent="0.25">
      <c r="E217" s="170">
        <f t="shared" si="935"/>
        <v>-0.75900560859238064</v>
      </c>
      <c r="F217" s="170">
        <f t="shared" si="935"/>
        <v>0.65082320934191917</v>
      </c>
      <c r="G217" s="170">
        <f t="shared" si="935"/>
        <v>1.8429224270010727E-2</v>
      </c>
      <c r="H217" s="139"/>
      <c r="I217" s="86"/>
      <c r="J217" s="79">
        <f t="shared" si="930"/>
        <v>4.1369999999999996</v>
      </c>
    </row>
    <row r="218" spans="5:10" x14ac:dyDescent="0.25">
      <c r="E218" s="170">
        <f t="shared" si="935"/>
        <v>-0.70276568800325157</v>
      </c>
      <c r="F218" s="170">
        <f t="shared" si="935"/>
        <v>0.71136532357882287</v>
      </c>
      <c r="G218" s="170">
        <f t="shared" si="935"/>
        <v>-8.9310791572639325E-3</v>
      </c>
      <c r="H218" s="139"/>
      <c r="I218" s="86"/>
      <c r="J218" s="79">
        <f t="shared" si="930"/>
        <v>4.1399999999999997</v>
      </c>
    </row>
    <row r="219" spans="5:10" x14ac:dyDescent="0.25">
      <c r="E219" s="170">
        <f t="shared" si="935"/>
        <v>2.9203450720929645E-2</v>
      </c>
      <c r="F219" s="170">
        <f t="shared" si="935"/>
        <v>6.716390726007071E-2</v>
      </c>
      <c r="G219" s="170">
        <f t="shared" si="935"/>
        <v>-0.99731447799956818</v>
      </c>
      <c r="H219" s="139"/>
      <c r="I219" s="86"/>
      <c r="J219" s="79">
        <f t="shared" ref="J219:J282" si="936">J74</f>
        <v>4.2160000000000002</v>
      </c>
    </row>
    <row r="220" spans="5:10" x14ac:dyDescent="0.25">
      <c r="E220" s="170">
        <f t="shared" si="935"/>
        <v>-0.81441717580589501</v>
      </c>
      <c r="F220" s="170">
        <f t="shared" si="935"/>
        <v>0.48825175237254681</v>
      </c>
      <c r="G220" s="170">
        <f t="shared" si="935"/>
        <v>-0.31358394419594759</v>
      </c>
      <c r="H220" s="139"/>
      <c r="I220" s="86"/>
      <c r="J220" s="79">
        <f t="shared" si="936"/>
        <v>4.2190000000000003</v>
      </c>
    </row>
    <row r="221" spans="5:10" x14ac:dyDescent="0.25">
      <c r="E221" s="170">
        <f t="shared" si="935"/>
        <v>-0.78069605889680194</v>
      </c>
      <c r="F221" s="170">
        <f t="shared" si="935"/>
        <v>0.56609704866620536</v>
      </c>
      <c r="G221" s="170">
        <f t="shared" si="935"/>
        <v>-0.26466543996981001</v>
      </c>
      <c r="H221" s="139"/>
      <c r="I221" s="86"/>
      <c r="J221" s="79">
        <f t="shared" si="936"/>
        <v>4.2220000000000004</v>
      </c>
    </row>
    <row r="222" spans="5:10" x14ac:dyDescent="0.25">
      <c r="E222" s="170">
        <f t="shared" si="935"/>
        <v>-0.74932395103269056</v>
      </c>
      <c r="F222" s="170">
        <f t="shared" si="935"/>
        <v>0.63202092050454906</v>
      </c>
      <c r="G222" s="170">
        <f t="shared" si="935"/>
        <v>-0.19764405494054335</v>
      </c>
      <c r="H222" s="139"/>
      <c r="I222" s="86"/>
      <c r="J222" s="79">
        <f t="shared" si="936"/>
        <v>4.2249999999999996</v>
      </c>
    </row>
    <row r="223" spans="5:10" x14ac:dyDescent="0.25">
      <c r="E223" s="170">
        <f t="shared" si="935"/>
        <v>0.25740288144718876</v>
      </c>
      <c r="F223" s="170">
        <f t="shared" si="935"/>
        <v>0.64114128906967538</v>
      </c>
      <c r="G223" s="170">
        <f t="shared" si="935"/>
        <v>-0.72296722199056818</v>
      </c>
      <c r="H223" s="139"/>
      <c r="I223" s="86"/>
      <c r="J223" s="79">
        <f t="shared" si="936"/>
        <v>4.2279999999999998</v>
      </c>
    </row>
    <row r="224" spans="5:10" x14ac:dyDescent="0.25">
      <c r="E224" s="170">
        <f t="shared" si="935"/>
        <v>0.3040956926012518</v>
      </c>
      <c r="F224" s="170">
        <f t="shared" si="935"/>
        <v>0.74299500630350346</v>
      </c>
      <c r="G224" s="170">
        <f t="shared" si="935"/>
        <v>-0.59622498299670568</v>
      </c>
      <c r="H224" s="139"/>
      <c r="I224" s="86"/>
      <c r="J224" s="79">
        <f t="shared" si="936"/>
        <v>4.2309999999999999</v>
      </c>
    </row>
    <row r="225" spans="5:10" x14ac:dyDescent="0.25">
      <c r="E225" s="170">
        <f t="shared" si="935"/>
        <v>-0.46892874510133481</v>
      </c>
      <c r="F225" s="170">
        <f t="shared" si="935"/>
        <v>0.84711619532694482</v>
      </c>
      <c r="G225" s="170">
        <f t="shared" si="935"/>
        <v>-0.24999996726497564</v>
      </c>
      <c r="H225" s="139"/>
      <c r="I225" s="86"/>
      <c r="J225" s="79">
        <f t="shared" si="936"/>
        <v>5.1020000000000003</v>
      </c>
    </row>
    <row r="226" spans="5:10" x14ac:dyDescent="0.25">
      <c r="E226" s="170">
        <f t="shared" si="935"/>
        <v>-0.46892874510133487</v>
      </c>
      <c r="F226" s="170">
        <f t="shared" si="935"/>
        <v>0.84711619532694482</v>
      </c>
      <c r="G226" s="170">
        <f t="shared" si="935"/>
        <v>-0.24999996726497561</v>
      </c>
      <c r="H226" s="139"/>
      <c r="I226" s="86"/>
      <c r="J226" s="79">
        <f t="shared" si="936"/>
        <v>5.1050000000000004</v>
      </c>
    </row>
    <row r="227" spans="5:10" x14ac:dyDescent="0.25">
      <c r="E227" s="170">
        <f t="shared" si="935"/>
        <v>-0.46892874510133487</v>
      </c>
      <c r="F227" s="170">
        <f t="shared" si="935"/>
        <v>0.84711619532694493</v>
      </c>
      <c r="G227" s="170">
        <f t="shared" si="935"/>
        <v>-0.24999996726497564</v>
      </c>
      <c r="H227" s="139"/>
      <c r="I227" s="86"/>
      <c r="J227" s="79">
        <f t="shared" si="936"/>
        <v>5.1079999999999997</v>
      </c>
    </row>
    <row r="228" spans="5:10" x14ac:dyDescent="0.25">
      <c r="E228" s="170">
        <f t="shared" si="935"/>
        <v>-0.46892874510133509</v>
      </c>
      <c r="F228" s="170">
        <f t="shared" si="935"/>
        <v>0.84711619532694471</v>
      </c>
      <c r="G228" s="170">
        <f t="shared" si="935"/>
        <v>-0.24999996726497556</v>
      </c>
      <c r="H228" s="139"/>
      <c r="I228" s="86"/>
      <c r="J228" s="79">
        <f t="shared" si="936"/>
        <v>5.1109999999999998</v>
      </c>
    </row>
    <row r="229" spans="5:10" x14ac:dyDescent="0.25">
      <c r="E229" s="170">
        <f t="shared" si="935"/>
        <v>-0.42253778054998192</v>
      </c>
      <c r="F229" s="170">
        <f t="shared" si="935"/>
        <v>0.8687486409993832</v>
      </c>
      <c r="G229" s="170">
        <f t="shared" si="935"/>
        <v>-0.25833625910742808</v>
      </c>
      <c r="H229" s="139"/>
      <c r="I229" s="86"/>
      <c r="J229" s="79">
        <f t="shared" si="936"/>
        <v>5.1139999999999999</v>
      </c>
    </row>
    <row r="230" spans="5:10" x14ac:dyDescent="0.25">
      <c r="E230" s="170">
        <f t="shared" si="935"/>
        <v>-0.37760015685464537</v>
      </c>
      <c r="F230" s="170">
        <f t="shared" si="935"/>
        <v>0.8897033832135004</v>
      </c>
      <c r="G230" s="170">
        <f t="shared" si="935"/>
        <v>-0.25660477673223187</v>
      </c>
      <c r="H230" s="139"/>
      <c r="I230" s="86"/>
      <c r="J230" s="79">
        <f t="shared" si="936"/>
        <v>5.117</v>
      </c>
    </row>
    <row r="231" spans="5:10" x14ac:dyDescent="0.25">
      <c r="E231" s="170">
        <f t="shared" si="935"/>
        <v>-0.25253278432103349</v>
      </c>
      <c r="F231" s="170">
        <f t="shared" si="935"/>
        <v>0.94213694622000022</v>
      </c>
      <c r="G231" s="170">
        <f t="shared" si="935"/>
        <v>-0.22046579646357556</v>
      </c>
      <c r="H231" s="139"/>
      <c r="I231" s="86"/>
      <c r="J231" s="79">
        <f t="shared" si="936"/>
        <v>5.12</v>
      </c>
    </row>
    <row r="232" spans="5:10" x14ac:dyDescent="0.25">
      <c r="E232" s="170">
        <f t="shared" si="935"/>
        <v>-0.17578568279034734</v>
      </c>
      <c r="F232" s="170">
        <f t="shared" si="935"/>
        <v>0.96953286265910543</v>
      </c>
      <c r="G232" s="170">
        <f t="shared" si="935"/>
        <v>-0.17060311236894721</v>
      </c>
      <c r="H232" s="139"/>
      <c r="I232" s="86"/>
      <c r="J232" s="79">
        <f t="shared" si="936"/>
        <v>5.1230000000000002</v>
      </c>
    </row>
    <row r="233" spans="5:10" x14ac:dyDescent="0.25">
      <c r="E233" s="170">
        <f t="shared" si="935"/>
        <v>-0.11587704111363936</v>
      </c>
      <c r="F233" s="170">
        <f t="shared" si="935"/>
        <v>0.98746023850516718</v>
      </c>
      <c r="G233" s="170">
        <f t="shared" si="935"/>
        <v>-0.10721375244839759</v>
      </c>
      <c r="H233" s="139"/>
      <c r="I233" s="86"/>
      <c r="J233" s="79">
        <f t="shared" si="936"/>
        <v>5.1260000000000003</v>
      </c>
    </row>
    <row r="234" spans="5:10" x14ac:dyDescent="0.25">
      <c r="E234" s="170">
        <f t="shared" ref="E234:G253" si="937">E89*-1</f>
        <v>-7.8006371749514636E-2</v>
      </c>
      <c r="F234" s="170">
        <f t="shared" si="937"/>
        <v>0.99619619824316996</v>
      </c>
      <c r="G234" s="170">
        <f t="shared" si="937"/>
        <v>-3.8834785596568722E-2</v>
      </c>
      <c r="H234" s="139"/>
      <c r="I234" s="86"/>
      <c r="J234" s="79">
        <f t="shared" si="936"/>
        <v>5.1289999999999996</v>
      </c>
    </row>
    <row r="235" spans="5:10" x14ac:dyDescent="0.25">
      <c r="E235" s="170">
        <f t="shared" si="937"/>
        <v>-3.3609189511024561E-2</v>
      </c>
      <c r="F235" s="170">
        <f t="shared" si="937"/>
        <v>0.9993986577327002</v>
      </c>
      <c r="G235" s="170">
        <f t="shared" si="937"/>
        <v>8.5290856772159106E-3</v>
      </c>
      <c r="H235" s="139"/>
      <c r="I235" s="86"/>
      <c r="J235" s="79">
        <f t="shared" si="936"/>
        <v>5.1319999999999997</v>
      </c>
    </row>
    <row r="236" spans="5:10" x14ac:dyDescent="0.25">
      <c r="E236" s="170">
        <f t="shared" si="937"/>
        <v>4.7679275290388026E-2</v>
      </c>
      <c r="F236" s="170">
        <f t="shared" si="937"/>
        <v>0.99826537807446314</v>
      </c>
      <c r="G236" s="170">
        <f t="shared" si="937"/>
        <v>3.4538697798737417E-2</v>
      </c>
      <c r="H236" s="139"/>
      <c r="I236" s="86"/>
      <c r="J236" s="79">
        <f t="shared" si="936"/>
        <v>5.1349999999999998</v>
      </c>
    </row>
    <row r="237" spans="5:10" x14ac:dyDescent="0.25">
      <c r="E237" s="170">
        <f t="shared" si="937"/>
        <v>0.1796268051993935</v>
      </c>
      <c r="F237" s="170">
        <f t="shared" si="937"/>
        <v>0.98369428517143787</v>
      </c>
      <c r="G237" s="170">
        <f t="shared" si="937"/>
        <v>-8.9310791572640574E-3</v>
      </c>
      <c r="H237" s="139"/>
      <c r="I237" s="86"/>
      <c r="J237" s="79">
        <f t="shared" si="936"/>
        <v>5.1379999999999999</v>
      </c>
    </row>
    <row r="238" spans="5:10" x14ac:dyDescent="0.25">
      <c r="E238" s="170">
        <f t="shared" si="937"/>
        <v>0.12767382413568121</v>
      </c>
      <c r="F238" s="170">
        <f t="shared" si="937"/>
        <v>2.7138102264491995E-2</v>
      </c>
      <c r="G238" s="170">
        <f t="shared" si="937"/>
        <v>-0.99144486384067432</v>
      </c>
      <c r="H238" s="139"/>
      <c r="I238" s="86"/>
      <c r="J238" s="79">
        <f t="shared" si="936"/>
        <v>5.2169999999999996</v>
      </c>
    </row>
    <row r="239" spans="5:10" x14ac:dyDescent="0.25">
      <c r="E239" s="170">
        <f t="shared" si="937"/>
        <v>-4.1807152485269047E-2</v>
      </c>
      <c r="F239" s="170">
        <f t="shared" si="937"/>
        <v>0.9531702880196502</v>
      </c>
      <c r="G239" s="170">
        <f t="shared" si="937"/>
        <v>-0.29953057279284673</v>
      </c>
      <c r="H239" s="139"/>
      <c r="I239" s="86"/>
      <c r="J239" s="79">
        <f t="shared" si="936"/>
        <v>5.22</v>
      </c>
    </row>
    <row r="240" spans="5:10" x14ac:dyDescent="0.25">
      <c r="E240" s="170">
        <f t="shared" si="937"/>
        <v>3.8848358296461216E-2</v>
      </c>
      <c r="F240" s="170">
        <f t="shared" si="937"/>
        <v>0.96900881026020047</v>
      </c>
      <c r="G240" s="170">
        <f t="shared" si="937"/>
        <v>-0.24395231233948281</v>
      </c>
      <c r="H240" s="139"/>
      <c r="I240" s="86"/>
      <c r="J240" s="79">
        <f t="shared" si="936"/>
        <v>5.2229999999999999</v>
      </c>
    </row>
    <row r="241" spans="5:10" x14ac:dyDescent="0.25">
      <c r="E241" s="170">
        <f t="shared" si="937"/>
        <v>0.10538253201809293</v>
      </c>
      <c r="F241" s="170">
        <f t="shared" si="937"/>
        <v>0.97933143968223668</v>
      </c>
      <c r="G241" s="170">
        <f t="shared" si="937"/>
        <v>-0.17263966286856905</v>
      </c>
      <c r="H241" s="139"/>
      <c r="I241" s="86"/>
      <c r="J241" s="79">
        <f t="shared" si="936"/>
        <v>5.226</v>
      </c>
    </row>
    <row r="242" spans="5:10" x14ac:dyDescent="0.25">
      <c r="E242" s="170">
        <f t="shared" si="937"/>
        <v>0.71218491705763498</v>
      </c>
      <c r="F242" s="170">
        <f t="shared" si="937"/>
        <v>0.16634531144239639</v>
      </c>
      <c r="G242" s="170">
        <f t="shared" si="937"/>
        <v>-0.68199844668205933</v>
      </c>
      <c r="H242" s="139"/>
      <c r="I242" s="86"/>
      <c r="J242" s="79">
        <f t="shared" si="936"/>
        <v>5.2290000000000001</v>
      </c>
    </row>
    <row r="243" spans="5:10" x14ac:dyDescent="0.25">
      <c r="E243" s="170">
        <f t="shared" si="937"/>
        <v>0.81427169792606913</v>
      </c>
      <c r="F243" s="170">
        <f t="shared" si="937"/>
        <v>0.18420756134566801</v>
      </c>
      <c r="G243" s="170">
        <f t="shared" si="937"/>
        <v>-0.55048085915831657</v>
      </c>
      <c r="H243" s="139"/>
      <c r="I243" s="86"/>
      <c r="J243" s="79">
        <f t="shared" si="936"/>
        <v>5.2320000000000002</v>
      </c>
    </row>
    <row r="244" spans="5:10" x14ac:dyDescent="0.25">
      <c r="E244" s="170">
        <f t="shared" si="937"/>
        <v>0.49915953212894099</v>
      </c>
      <c r="F244" s="170">
        <f t="shared" si="937"/>
        <v>0.82966244813919832</v>
      </c>
      <c r="G244" s="170">
        <f t="shared" si="937"/>
        <v>-0.24999996726497567</v>
      </c>
      <c r="H244" s="139"/>
      <c r="I244" s="86"/>
      <c r="J244" s="79">
        <f t="shared" si="936"/>
        <v>6.1120000000000001</v>
      </c>
    </row>
    <row r="245" spans="5:10" x14ac:dyDescent="0.25">
      <c r="E245" s="170">
        <f t="shared" si="937"/>
        <v>0.55773241998719258</v>
      </c>
      <c r="F245" s="170">
        <f t="shared" si="937"/>
        <v>0.78864927052613865</v>
      </c>
      <c r="G245" s="170">
        <f t="shared" si="937"/>
        <v>-0.2587795892141021</v>
      </c>
      <c r="H245" s="139"/>
      <c r="I245" s="86"/>
      <c r="J245" s="79">
        <f t="shared" si="936"/>
        <v>6.1150000000000002</v>
      </c>
    </row>
    <row r="246" spans="5:10" x14ac:dyDescent="0.25">
      <c r="E246" s="170">
        <f t="shared" si="937"/>
        <v>0.64093152752578642</v>
      </c>
      <c r="F246" s="170">
        <f t="shared" si="937"/>
        <v>0.72796908240298874</v>
      </c>
      <c r="G246" s="170">
        <f t="shared" si="937"/>
        <v>-0.24344977323631428</v>
      </c>
      <c r="H246" s="139"/>
      <c r="I246" s="86"/>
      <c r="J246" s="79">
        <f t="shared" si="936"/>
        <v>6.1180000000000003</v>
      </c>
    </row>
    <row r="247" spans="5:10" x14ac:dyDescent="0.25">
      <c r="E247" s="170">
        <f t="shared" si="937"/>
        <v>0.71205670667465326</v>
      </c>
      <c r="F247" s="170">
        <f t="shared" si="937"/>
        <v>0.67134105625265761</v>
      </c>
      <c r="G247" s="170">
        <f t="shared" si="937"/>
        <v>-0.20561233588774055</v>
      </c>
      <c r="H247" s="139"/>
      <c r="I247" s="86"/>
      <c r="J247" s="79">
        <f t="shared" si="936"/>
        <v>6.1210000000000004</v>
      </c>
    </row>
    <row r="248" spans="5:10" x14ac:dyDescent="0.25">
      <c r="E248" s="170">
        <f t="shared" si="937"/>
        <v>0.76895050412728838</v>
      </c>
      <c r="F248" s="170">
        <f t="shared" si="937"/>
        <v>0.62132122957470914</v>
      </c>
      <c r="G248" s="170">
        <f t="shared" si="937"/>
        <v>-0.15058237573554401</v>
      </c>
      <c r="H248" s="139"/>
      <c r="I248" s="86"/>
      <c r="J248" s="79">
        <f t="shared" si="936"/>
        <v>6.1239999999999997</v>
      </c>
    </row>
    <row r="249" spans="5:10" x14ac:dyDescent="0.25">
      <c r="E249" s="170">
        <f t="shared" si="937"/>
        <v>0.80808263112758794</v>
      </c>
      <c r="F249" s="170">
        <f t="shared" si="937"/>
        <v>0.58291007046524257</v>
      </c>
      <c r="G249" s="170">
        <f t="shared" si="937"/>
        <v>-8.4960643948364195E-2</v>
      </c>
      <c r="H249" s="139"/>
      <c r="I249" s="86"/>
      <c r="J249" s="79">
        <f t="shared" si="936"/>
        <v>6.1269999999999998</v>
      </c>
    </row>
    <row r="250" spans="5:10" x14ac:dyDescent="0.25">
      <c r="E250" s="170">
        <f t="shared" si="937"/>
        <v>0.82847156935518318</v>
      </c>
      <c r="F250" s="170">
        <f t="shared" si="937"/>
        <v>0.55978631363987241</v>
      </c>
      <c r="G250" s="170">
        <f t="shared" si="937"/>
        <v>-1.6557228984416167E-2</v>
      </c>
      <c r="H250" s="139"/>
      <c r="I250" s="86"/>
      <c r="J250" s="79">
        <f t="shared" si="936"/>
        <v>6.13</v>
      </c>
    </row>
    <row r="251" spans="5:10" x14ac:dyDescent="0.25">
      <c r="E251" s="170">
        <f t="shared" si="937"/>
        <v>0.8575161063215978</v>
      </c>
      <c r="F251" s="170">
        <f t="shared" si="937"/>
        <v>0.51396566551492884</v>
      </c>
      <c r="G251" s="170">
        <f t="shared" si="937"/>
        <v>2.2481594045850983E-2</v>
      </c>
      <c r="H251" s="139"/>
      <c r="I251" s="86"/>
      <c r="J251" s="79">
        <f t="shared" si="936"/>
        <v>6.133</v>
      </c>
    </row>
    <row r="252" spans="5:10" x14ac:dyDescent="0.25">
      <c r="E252" s="170">
        <f t="shared" si="937"/>
        <v>0.89630087613330489</v>
      </c>
      <c r="F252" s="170">
        <f t="shared" si="937"/>
        <v>0.44243968488714924</v>
      </c>
      <c r="G252" s="170">
        <f t="shared" si="937"/>
        <v>2.9864103529659965E-2</v>
      </c>
      <c r="H252" s="139"/>
      <c r="I252" s="86"/>
      <c r="J252" s="79">
        <f t="shared" si="936"/>
        <v>6.1360000000000001</v>
      </c>
    </row>
    <row r="253" spans="5:10" x14ac:dyDescent="0.25">
      <c r="E253" s="170">
        <f t="shared" si="937"/>
        <v>0.94171754566227417</v>
      </c>
      <c r="F253" s="170">
        <f t="shared" si="937"/>
        <v>0.33628603898602377</v>
      </c>
      <c r="G253" s="170">
        <f t="shared" si="937"/>
        <v>-8.9310791572646681E-3</v>
      </c>
      <c r="H253" s="139"/>
      <c r="I253" s="86"/>
      <c r="J253" s="79">
        <f t="shared" si="936"/>
        <v>6.1390000000000002</v>
      </c>
    </row>
    <row r="254" spans="5:10" x14ac:dyDescent="0.25">
      <c r="E254" s="170">
        <f t="shared" ref="E254:G273" si="938">E109*-1</f>
        <v>1.1392398673085112E-2</v>
      </c>
      <c r="F254" s="170">
        <f t="shared" si="938"/>
        <v>-1.3221182058813728E-2</v>
      </c>
      <c r="G254" s="170">
        <f t="shared" si="938"/>
        <v>-0.99984769520034467</v>
      </c>
      <c r="H254" s="139"/>
      <c r="I254" s="86"/>
      <c r="J254" s="79">
        <f t="shared" si="936"/>
        <v>6.2149999999999999</v>
      </c>
    </row>
    <row r="255" spans="5:10" x14ac:dyDescent="0.25">
      <c r="E255" s="170">
        <f t="shared" si="938"/>
        <v>0.7688565905922865</v>
      </c>
      <c r="F255" s="170">
        <f t="shared" si="938"/>
        <v>0.55065082274587418</v>
      </c>
      <c r="G255" s="170">
        <f t="shared" si="938"/>
        <v>-0.32502802111832918</v>
      </c>
      <c r="H255" s="139"/>
      <c r="I255" s="86"/>
      <c r="J255" s="79">
        <f t="shared" si="936"/>
        <v>6.218</v>
      </c>
    </row>
    <row r="256" spans="5:10" x14ac:dyDescent="0.25">
      <c r="E256" s="170">
        <f t="shared" si="938"/>
        <v>0.82680255190368035</v>
      </c>
      <c r="F256" s="170">
        <f t="shared" si="938"/>
        <v>0.48611059990127375</v>
      </c>
      <c r="G256" s="170">
        <f t="shared" si="938"/>
        <v>-0.28300887765083577</v>
      </c>
      <c r="H256" s="139"/>
      <c r="I256" s="86"/>
      <c r="J256" s="79">
        <f t="shared" si="936"/>
        <v>6.2210000000000001</v>
      </c>
    </row>
    <row r="257" spans="5:10" x14ac:dyDescent="0.25">
      <c r="E257" s="170">
        <f t="shared" si="938"/>
        <v>0.8766759990317563</v>
      </c>
      <c r="F257" s="170">
        <f t="shared" si="938"/>
        <v>0.42704821214119393</v>
      </c>
      <c r="G257" s="170">
        <f t="shared" si="938"/>
        <v>-0.22151527538452487</v>
      </c>
      <c r="H257" s="139"/>
      <c r="I257" s="86"/>
      <c r="J257" s="79">
        <f t="shared" si="936"/>
        <v>6.2240000000000002</v>
      </c>
    </row>
    <row r="258" spans="5:10" x14ac:dyDescent="0.25">
      <c r="E258" s="170">
        <f t="shared" si="938"/>
        <v>0.44276250819021729</v>
      </c>
      <c r="F258" s="170">
        <f t="shared" si="938"/>
        <v>-0.47330821564717684</v>
      </c>
      <c r="G258" s="170">
        <f t="shared" si="938"/>
        <v>-0.76153837351901932</v>
      </c>
      <c r="H258" s="139"/>
      <c r="I258" s="86"/>
      <c r="J258" s="79">
        <f t="shared" si="936"/>
        <v>6.2270000000000003</v>
      </c>
    </row>
    <row r="259" spans="5:10" x14ac:dyDescent="0.25">
      <c r="E259" s="170">
        <f t="shared" si="938"/>
        <v>0.52132936864292279</v>
      </c>
      <c r="F259" s="170">
        <f t="shared" si="938"/>
        <v>-0.56433601479326512</v>
      </c>
      <c r="G259" s="170">
        <f t="shared" si="938"/>
        <v>-0.64010979667368573</v>
      </c>
      <c r="H259" s="139"/>
      <c r="I259" s="86"/>
      <c r="J259" s="79">
        <f t="shared" si="936"/>
        <v>6.23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39" priority="136" stopIfTrue="1" operator="between">
      <formula>9</formula>
      <formula>9.99</formula>
    </cfRule>
    <cfRule type="cellIs" dxfId="38" priority="137" stopIfTrue="1" operator="between">
      <formula>8</formula>
      <formula>8.99</formula>
    </cfRule>
    <cfRule type="cellIs" dxfId="37" priority="138" stopIfTrue="1" operator="between">
      <formula>7</formula>
      <formula>7.99</formula>
    </cfRule>
    <cfRule type="cellIs" dxfId="36" priority="139" stopIfTrue="1" operator="between">
      <formula>6</formula>
      <formula>6.99</formula>
    </cfRule>
    <cfRule type="cellIs" dxfId="35" priority="140" stopIfTrue="1" operator="between">
      <formula>5</formula>
      <formula>5.99</formula>
    </cfRule>
    <cfRule type="cellIs" dxfId="34" priority="141" stopIfTrue="1" operator="between">
      <formula>4</formula>
      <formula>4.99</formula>
    </cfRule>
    <cfRule type="cellIs" dxfId="33" priority="142" stopIfTrue="1" operator="between">
      <formula>3</formula>
      <formula>3.99</formula>
    </cfRule>
    <cfRule type="cellIs" dxfId="32" priority="143" stopIfTrue="1" operator="between">
      <formula>2</formula>
      <formula>2.99</formula>
    </cfRule>
    <cfRule type="cellIs" dxfId="31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2" stopIfTrue="1" operator="between">
      <formula>9</formula>
      <formula>9.99</formula>
    </cfRule>
    <cfRule type="cellIs" dxfId="29" priority="23" stopIfTrue="1" operator="between">
      <formula>8</formula>
      <formula>8.99</formula>
    </cfRule>
    <cfRule type="cellIs" dxfId="28" priority="24" stopIfTrue="1" operator="between">
      <formula>7</formula>
      <formula>7.99</formula>
    </cfRule>
    <cfRule type="cellIs" dxfId="27" priority="25" stopIfTrue="1" operator="between">
      <formula>6</formula>
      <formula>6.99</formula>
    </cfRule>
    <cfRule type="cellIs" dxfId="26" priority="26" stopIfTrue="1" operator="between">
      <formula>5</formula>
      <formula>5.99</formula>
    </cfRule>
    <cfRule type="cellIs" dxfId="25" priority="27" stopIfTrue="1" operator="between">
      <formula>4</formula>
      <formula>4.99</formula>
    </cfRule>
    <cfRule type="cellIs" dxfId="24" priority="28" stopIfTrue="1" operator="between">
      <formula>3</formula>
      <formula>3.99</formula>
    </cfRule>
    <cfRule type="cellIs" dxfId="23" priority="29" stopIfTrue="1" operator="between">
      <formula>2</formula>
      <formula>2.99</formula>
    </cfRule>
    <cfRule type="cellIs" dxfId="22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D16CFFCD-B1EE-4944-B173-DEF6E9734E51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A0366762-AFE2-4AFE-B3EC-0E2EC82BD338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9" t="str">
        <f>CONCATENATE(Settings!$C$19," ",Settings!$B$28)</f>
        <v>14.75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M1" s="107" t="s">
        <v>319</v>
      </c>
      <c r="N1" s="1261" t="s">
        <v>321</v>
      </c>
      <c r="O1" s="1261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0" t="str">
        <f>Settings!B28</f>
        <v xml:space="preserve"> Job# --- Assy# --- Post Braze --- yy.mm.dd</v>
      </c>
      <c r="C2" s="1271"/>
      <c r="D2" s="1271"/>
      <c r="E2" s="1271"/>
      <c r="F2" s="1271"/>
      <c r="G2" s="1271"/>
      <c r="H2" s="1271"/>
      <c r="I2" s="1271"/>
      <c r="J2" s="1271"/>
      <c r="K2" s="1272"/>
      <c r="L2" s="984" t="str" cm="1">
        <f t="array" ref="L2">IF(OR($K$9:$K$150="Undefined"),"Undefined Element","")</f>
        <v/>
      </c>
      <c r="M2" s="1267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83" t="str">
        <f>M2</f>
        <v>CS-Name</v>
      </c>
      <c r="AW2" s="1297"/>
      <c r="AX2" s="1297"/>
      <c r="AY2" s="1297"/>
      <c r="AZ2" s="1297"/>
      <c r="BA2" s="1297"/>
      <c r="BB2" s="1297"/>
      <c r="BC2" s="1298"/>
      <c r="BF2" s="1290" t="s">
        <v>322</v>
      </c>
      <c r="BG2" s="1291"/>
      <c r="BH2" s="1291"/>
      <c r="BI2" s="1291"/>
      <c r="BJ2" s="1291"/>
      <c r="BK2" s="1292"/>
      <c r="BM2" s="1307" t="s">
        <v>279</v>
      </c>
      <c r="BN2" s="1223"/>
      <c r="BO2" s="1223"/>
      <c r="BP2" s="1224"/>
      <c r="BR2" s="1307" t="s">
        <v>279</v>
      </c>
      <c r="BS2" s="1223"/>
      <c r="BT2" s="1223"/>
      <c r="BU2" s="122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4"/>
      <c r="C3" s="1235"/>
      <c r="D3" s="1235"/>
      <c r="E3" s="1235"/>
      <c r="F3" s="1235"/>
      <c r="G3" s="1235"/>
      <c r="H3" s="1235"/>
      <c r="I3" s="1235"/>
      <c r="J3" s="1235"/>
      <c r="K3" s="1236"/>
      <c r="L3" s="984"/>
      <c r="M3" s="1268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048"/>
      <c r="AA3" s="1049"/>
      <c r="AB3" s="1049"/>
      <c r="AC3" s="1049"/>
      <c r="AD3" s="1049"/>
      <c r="AE3" s="1049"/>
      <c r="AF3" s="1049"/>
      <c r="AG3" s="1049"/>
      <c r="AH3" s="1049"/>
      <c r="AI3" s="1049"/>
      <c r="AJ3" s="1049"/>
      <c r="AK3" s="1049"/>
      <c r="AL3" s="1049"/>
      <c r="AM3" s="1049"/>
      <c r="AN3" s="1049"/>
      <c r="AO3" s="1049"/>
      <c r="AP3" s="1049"/>
      <c r="AQ3" s="1163"/>
      <c r="AS3" s="466">
        <v>100</v>
      </c>
      <c r="AT3" s="463" t="s">
        <v>45</v>
      </c>
      <c r="AV3" s="1284"/>
      <c r="AW3" s="1299"/>
      <c r="AX3" s="1299"/>
      <c r="AY3" s="1299"/>
      <c r="AZ3" s="1299"/>
      <c r="BA3" s="1299"/>
      <c r="BB3" s="1299"/>
      <c r="BC3" s="1300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8" t="s">
        <v>316</v>
      </c>
      <c r="C4" s="913"/>
      <c r="D4" s="913"/>
      <c r="E4" s="913"/>
      <c r="F4" s="913"/>
      <c r="G4" s="913"/>
      <c r="H4" s="913"/>
      <c r="I4" s="913"/>
      <c r="J4" s="913"/>
      <c r="K4" s="1273"/>
      <c r="L4" s="984"/>
      <c r="M4" s="1268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Q4</f>
        <v>Polar XY; Cartesian Z</v>
      </c>
      <c r="X4" s="1167"/>
      <c r="Y4" s="1233"/>
      <c r="Z4" s="1263" t="s">
        <v>3</v>
      </c>
      <c r="AA4" s="1264"/>
      <c r="AB4" s="1264"/>
      <c r="AC4" s="1264"/>
      <c r="AD4" s="1264"/>
      <c r="AE4" s="1264"/>
      <c r="AF4" s="1264"/>
      <c r="AG4" s="1303" t="s">
        <v>31</v>
      </c>
      <c r="AH4" s="1264"/>
      <c r="AI4" s="1264"/>
      <c r="AJ4" s="1304"/>
      <c r="AK4" s="1310" t="s">
        <v>32</v>
      </c>
      <c r="AL4" s="1311"/>
      <c r="AM4" s="1311"/>
      <c r="AN4" s="1311"/>
      <c r="AO4" s="1311"/>
      <c r="AP4" s="1311"/>
      <c r="AQ4" s="1312"/>
      <c r="AS4" s="467">
        <v>125</v>
      </c>
      <c r="AT4" s="464" t="s">
        <v>46</v>
      </c>
      <c r="AV4" s="1284"/>
      <c r="AW4" s="1301"/>
      <c r="AX4" s="1301"/>
      <c r="AY4" s="1301"/>
      <c r="AZ4" s="1302"/>
      <c r="BA4" s="1301" t="str">
        <f>Z2</f>
        <v>PDC Orientation</v>
      </c>
      <c r="BB4" s="1301"/>
      <c r="BC4" s="1302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0" t="s">
        <v>381</v>
      </c>
      <c r="IF4" s="900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4" t="str">
        <f>CONCATENATE(B7," ; ",E7," ; ",H8)</f>
        <v>Absolute-Point ; Incremental-Vector Point ; Radius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68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&amp; Z; Z Axis")</f>
        <v>Relative to 's θ &amp; Z; Z Axis</v>
      </c>
      <c r="U5" s="1137"/>
      <c r="V5" s="1138"/>
      <c r="W5" s="1137" t="str">
        <f>CONCATENATE("Relative to ",M8,"'s θ &amp; Z; Z Axis")</f>
        <v>Relative to 's θ &amp; Z;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84"/>
      <c r="AW5" s="1258" t="str">
        <f>W4</f>
        <v>Polar XY; Cartesian Z</v>
      </c>
      <c r="AX5" s="1167"/>
      <c r="AY5" s="1167"/>
      <c r="AZ5" s="985" t="s">
        <v>104</v>
      </c>
      <c r="BA5" s="1167" t="str">
        <f>AK4</f>
        <v>Polar Z Projection → XZ Plane</v>
      </c>
      <c r="BB5" s="1167"/>
      <c r="BC5" s="1168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/>
      </c>
      <c r="M6" s="1268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Q6</f>
        <v>Projected XY</v>
      </c>
      <c r="X6" s="1170"/>
      <c r="Y6" s="1211" t="str">
        <f>S6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258" t="str">
        <f>AD6</f>
        <v>Unit Vector</v>
      </c>
      <c r="AL6" s="1167"/>
      <c r="AM6" s="1168"/>
      <c r="AN6" s="34" t="s">
        <v>15</v>
      </c>
      <c r="AO6" s="35" t="s">
        <v>16</v>
      </c>
      <c r="AP6" s="737" t="s">
        <v>17</v>
      </c>
      <c r="AQ6" s="1265" t="s">
        <v>108</v>
      </c>
      <c r="AS6" s="172">
        <f>(AS5/360)</f>
        <v>6.9444444444444447E-4</v>
      </c>
      <c r="AT6" s="465" t="s">
        <v>48</v>
      </c>
      <c r="AV6" s="1284"/>
      <c r="AW6" s="1136" t="str">
        <f>W5</f>
        <v>Relative to 's θ &amp; Z; Z Axis</v>
      </c>
      <c r="AX6" s="1137"/>
      <c r="AY6" s="1137"/>
      <c r="AZ6" s="1280"/>
      <c r="BA6" s="1137" t="str">
        <f>AK5</f>
        <v>Vector Along X Axis</v>
      </c>
      <c r="BB6" s="1137"/>
      <c r="BC6" s="1174"/>
      <c r="BD6" s="468"/>
      <c r="BF6" s="461">
        <f>SUM(AZ9:AZ150)</f>
        <v>0</v>
      </c>
      <c r="BG6" s="1262" t="s">
        <v>318</v>
      </c>
      <c r="BH6" s="1262"/>
      <c r="BI6" s="1262"/>
      <c r="BJ6" s="1262"/>
      <c r="BK6" s="1262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1" t="s">
        <v>40</v>
      </c>
      <c r="C7" s="1252"/>
      <c r="D7" s="1253"/>
      <c r="E7" s="1254" t="s">
        <v>41</v>
      </c>
      <c r="F7" s="1252"/>
      <c r="G7" s="1255"/>
      <c r="H7" s="880" t="s">
        <v>314</v>
      </c>
      <c r="I7" s="878"/>
      <c r="J7" s="879"/>
      <c r="K7" s="539"/>
      <c r="L7" s="984"/>
      <c r="M7" s="126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Q7</f>
        <v>&lt; θ°</v>
      </c>
      <c r="X7" s="27" t="str">
        <f>R7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6"/>
      <c r="AS7" s="1305" t="s">
        <v>54</v>
      </c>
      <c r="AT7" s="1308" t="s">
        <v>53</v>
      </c>
      <c r="AV7" s="1284"/>
      <c r="AW7" s="1279" t="str">
        <f>$W$6</f>
        <v>Projected XY</v>
      </c>
      <c r="AX7" s="1170"/>
      <c r="AY7" s="1281" t="str">
        <f>$Y$6</f>
        <v>Z</v>
      </c>
      <c r="AZ7" s="1280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2"/>
      <c r="BH7" s="1262"/>
      <c r="BI7" s="1262"/>
      <c r="BJ7" s="1262"/>
      <c r="BK7" s="1262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313" t="s">
        <v>364</v>
      </c>
      <c r="JC7" s="1220"/>
      <c r="JD7" s="1220"/>
      <c r="JE7" s="122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4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6"/>
      <c r="AT8" s="1309"/>
      <c r="AV8" s="1285"/>
      <c r="AW8" s="46" t="str">
        <f>$W$7</f>
        <v>&lt; θ°</v>
      </c>
      <c r="AX8" s="27" t="str">
        <f>$X$7</f>
        <v>r</v>
      </c>
      <c r="AY8" s="1282"/>
      <c r="AZ8" s="986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7" t="str">
        <f>$W$6</f>
        <v>Projected XY</v>
      </c>
      <c r="AX152" s="1278"/>
      <c r="AY152" s="1295" t="str">
        <f>$Y$6</f>
        <v>Z</v>
      </c>
      <c r="AZ152" s="1293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6"/>
      <c r="AZ153" s="1294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40" t="s">
        <v>42</v>
      </c>
      <c r="C157" s="1241"/>
      <c r="D157" s="1241"/>
      <c r="E157" s="1241"/>
      <c r="F157" s="1241"/>
      <c r="G157" s="1241"/>
      <c r="H157" s="1241"/>
      <c r="I157" s="1241"/>
      <c r="J157" s="1241"/>
      <c r="K157" s="1242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3"/>
      <c r="C158" s="1198"/>
      <c r="D158" s="1198"/>
      <c r="E158" s="1198"/>
      <c r="F158" s="1198"/>
      <c r="G158" s="1198"/>
      <c r="H158" s="1198"/>
      <c r="I158" s="1198"/>
      <c r="J158" s="1198"/>
      <c r="K158" s="1244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5"/>
      <c r="C159" s="1246"/>
      <c r="D159" s="1246"/>
      <c r="E159" s="1246"/>
      <c r="F159" s="1246"/>
      <c r="G159" s="1246"/>
      <c r="H159" s="1246"/>
      <c r="I159" s="1246"/>
      <c r="J159" s="1246"/>
      <c r="K159" s="1247"/>
      <c r="AQ159" s="166"/>
      <c r="BD159" s="468"/>
    </row>
    <row r="160" spans="1:259" ht="15" customHeight="1" x14ac:dyDescent="0.25">
      <c r="B160" s="1234" t="str">
        <f>CONCATENATE(B162," ; ",E162," ; ",H163)</f>
        <v>Absolute-Point ; Incremental-Vector Point ; Radius</v>
      </c>
      <c r="C160" s="1235"/>
      <c r="D160" s="1235"/>
      <c r="E160" s="1235"/>
      <c r="F160" s="1235"/>
      <c r="G160" s="1235"/>
      <c r="H160" s="1235"/>
      <c r="I160" s="1235"/>
      <c r="J160" s="1235"/>
      <c r="K160" s="1236"/>
      <c r="AQ160" s="166"/>
      <c r="BD160" s="468"/>
    </row>
    <row r="161" spans="2:56" ht="15" customHeight="1" x14ac:dyDescent="0.25">
      <c r="B161" s="1237"/>
      <c r="C161" s="1238"/>
      <c r="D161" s="1238"/>
      <c r="E161" s="1238"/>
      <c r="F161" s="1238"/>
      <c r="G161" s="1238"/>
      <c r="H161" s="1238"/>
      <c r="I161" s="1238"/>
      <c r="J161" s="1238"/>
      <c r="K161" s="1239"/>
      <c r="AQ161" s="166"/>
      <c r="BD161" s="468"/>
    </row>
    <row r="162" spans="2:56" ht="15" customHeight="1" x14ac:dyDescent="0.25">
      <c r="B162" s="1251" t="s">
        <v>40</v>
      </c>
      <c r="C162" s="1252"/>
      <c r="D162" s="1253"/>
      <c r="E162" s="1254" t="s">
        <v>41</v>
      </c>
      <c r="F162" s="1252"/>
      <c r="G162" s="1255"/>
      <c r="H162" s="880" t="s">
        <v>314</v>
      </c>
      <c r="I162" s="878"/>
      <c r="J162" s="879"/>
      <c r="K162" s="539"/>
      <c r="M162" s="1026" t="s">
        <v>313</v>
      </c>
      <c r="N162" s="1274"/>
      <c r="O162" s="1286" t="s">
        <v>292</v>
      </c>
      <c r="P162" s="1287"/>
      <c r="Q162" s="1288"/>
      <c r="R162" s="1289" t="s">
        <v>41</v>
      </c>
      <c r="S162" s="1287"/>
      <c r="T162" s="1288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5"/>
      <c r="N163" s="1276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1.113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1.1160000000000001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1.119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1.1220000000000001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1.125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1.1279999999999999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1.131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1.1339999999999999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1.137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1.1399999999999999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1.216</v>
      </c>
      <c r="N178" s="869" t="str">
        <f>Assy.Model!K23</f>
        <v>CPS-32193r1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1.2190000000000001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1.222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1.2250000000000001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1.228</v>
      </c>
      <c r="N182" s="869" t="str">
        <f>Assy.Model!K27</f>
        <v>CPS-32193r1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1.2310000000000001</v>
      </c>
      <c r="N183" s="869" t="str">
        <f>Assy.Model!K28</f>
        <v>CPS-32193r1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2.1110000000000002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2.1139999999999999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2.117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2.12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2.1230000000000002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2.1259999999999999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2.129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2.1320000000000001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2.1349999999999998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2.1379999999999999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2.2170000000000001</v>
      </c>
      <c r="N194" s="869" t="str">
        <f>Assy.Model!K39</f>
        <v>CPS-32193r1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2.2200000000000002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2.2229999999999999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2.226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2.2290000000000001</v>
      </c>
      <c r="N198" s="869" t="str">
        <f>Assy.Model!K43</f>
        <v>CPS-32193r1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2.2320000000000002</v>
      </c>
      <c r="N199" s="869" t="str">
        <f>Assy.Model!K44</f>
        <v>CPS-32193r1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3.1030000000000002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3.1059999999999999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3.109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3.1120000000000001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3.1150000000000002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3.1179999999999999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3.121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3.1240000000000001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3.1269999999999998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3.13</v>
      </c>
      <c r="N209" s="869">
        <f>Assy.Model!K54</f>
        <v>1613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3.133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3.1360000000000001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3.1389999999999998</v>
      </c>
      <c r="N212" s="869">
        <f>Assy.Model!K57</f>
        <v>1313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3.2149999999999999</v>
      </c>
      <c r="N213" s="869" t="str">
        <f>Assy.Model!K58</f>
        <v>CPS-32193r1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3.218</v>
      </c>
      <c r="N214" s="869">
        <f>Assy.Model!K59</f>
        <v>1313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3.2210000000000001</v>
      </c>
      <c r="N215" s="869">
        <f>Assy.Model!K60</f>
        <v>1313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3.2240000000000002</v>
      </c>
      <c r="N216" s="869">
        <f>Assy.Model!K61</f>
        <v>1313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3.2269999999999999</v>
      </c>
      <c r="N217" s="869" t="str">
        <f>Assy.Model!K62</f>
        <v>CPS-32193r1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3.23</v>
      </c>
      <c r="N218" s="869" t="str">
        <f>Assy.Model!K63</f>
        <v>CPS-32193r1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4.1130000000000004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4.1159999999999997</v>
      </c>
      <c r="N220" s="869">
        <f>Assy.Model!K65</f>
        <v>1613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4.1189999999999998</v>
      </c>
      <c r="N221" s="869">
        <f>Assy.Model!K66</f>
        <v>1613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4.1219999999999999</v>
      </c>
      <c r="N222" s="869">
        <f>Assy.Model!K67</f>
        <v>1613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4.125</v>
      </c>
      <c r="N223" s="869">
        <f>Assy.Model!K68</f>
        <v>1613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4.1280000000000001</v>
      </c>
      <c r="N224" s="869">
        <f>Assy.Model!K69</f>
        <v>1613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4.1310000000000002</v>
      </c>
      <c r="N225" s="869">
        <f>Assy.Model!K70</f>
        <v>1613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4.1340000000000003</v>
      </c>
      <c r="N226" s="869">
        <f>Assy.Model!K71</f>
        <v>1613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4.1369999999999996</v>
      </c>
      <c r="N227" s="869">
        <f>Assy.Model!K72</f>
        <v>1613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4.1399999999999997</v>
      </c>
      <c r="N228" s="869">
        <f>Assy.Model!K73</f>
        <v>1313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4.2160000000000002</v>
      </c>
      <c r="N229" s="869" t="str">
        <f>Assy.Model!K74</f>
        <v>CPS-32193r1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4.2190000000000003</v>
      </c>
      <c r="N230" s="869">
        <f>Assy.Model!K75</f>
        <v>1313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4.2220000000000004</v>
      </c>
      <c r="N231" s="869">
        <f>Assy.Model!K76</f>
        <v>1313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4.2249999999999996</v>
      </c>
      <c r="N232" s="869">
        <f>Assy.Model!K77</f>
        <v>1313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4.2279999999999998</v>
      </c>
      <c r="N233" s="869" t="str">
        <f>Assy.Model!K78</f>
        <v>CPS-32193r1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4.2309999999999999</v>
      </c>
      <c r="N234" s="869" t="str">
        <f>Assy.Model!K79</f>
        <v>CPS-32193r1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5.1020000000000003</v>
      </c>
      <c r="N235" s="869">
        <f>Assy.Model!K80</f>
        <v>1613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5.1050000000000004</v>
      </c>
      <c r="N236" s="869">
        <f>Assy.Model!K81</f>
        <v>1613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5.1079999999999997</v>
      </c>
      <c r="N237" s="869">
        <f>Assy.Model!K82</f>
        <v>1613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5.1109999999999998</v>
      </c>
      <c r="N238" s="869">
        <f>Assy.Model!K83</f>
        <v>1613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5.1139999999999999</v>
      </c>
      <c r="N239" s="869">
        <f>Assy.Model!K84</f>
        <v>1613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5.117</v>
      </c>
      <c r="N240" s="869">
        <f>Assy.Model!K85</f>
        <v>1613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5.12</v>
      </c>
      <c r="N241" s="869">
        <f>Assy.Model!K86</f>
        <v>1613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5.1230000000000002</v>
      </c>
      <c r="N242" s="869">
        <f>Assy.Model!K87</f>
        <v>1613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5.1260000000000003</v>
      </c>
      <c r="N243" s="869">
        <f>Assy.Model!K88</f>
        <v>1613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5.1289999999999996</v>
      </c>
      <c r="N244" s="869">
        <f>Assy.Model!K89</f>
        <v>1613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5.1319999999999997</v>
      </c>
      <c r="N245" s="869">
        <f>Assy.Model!K90</f>
        <v>1613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5.1349999999999998</v>
      </c>
      <c r="N246" s="869">
        <f>Assy.Model!K91</f>
        <v>1613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5.1379999999999999</v>
      </c>
      <c r="N247" s="869">
        <f>Assy.Model!K92</f>
        <v>1313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5.2169999999999996</v>
      </c>
      <c r="N248" s="869" t="str">
        <f>Assy.Model!K93</f>
        <v>CPS-32193r1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5.22</v>
      </c>
      <c r="N249" s="869">
        <f>Assy.Model!K94</f>
        <v>1313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5.2229999999999999</v>
      </c>
      <c r="N250" s="869">
        <f>Assy.Model!K95</f>
        <v>1313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5.226</v>
      </c>
      <c r="N251" s="869">
        <f>Assy.Model!K96</f>
        <v>1313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5.2290000000000001</v>
      </c>
      <c r="N252" s="869" t="str">
        <f>Assy.Model!K97</f>
        <v>CPS-32193r1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5.2320000000000002</v>
      </c>
      <c r="N253" s="869" t="str">
        <f>Assy.Model!K98</f>
        <v>CPS-32193r1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6.1120000000000001</v>
      </c>
      <c r="N254" s="869">
        <f>Assy.Model!K99</f>
        <v>1613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6.1150000000000002</v>
      </c>
      <c r="N255" s="869">
        <f>Assy.Model!K100</f>
        <v>1613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>
        <f>Assy.Model!$M101</f>
        <v>6.1180000000000003</v>
      </c>
      <c r="N256" s="869">
        <f>Assy.Model!K101</f>
        <v>1613</v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>
        <f>Assy.Model!$M102</f>
        <v>6.1210000000000004</v>
      </c>
      <c r="N257" s="869">
        <f>Assy.Model!K102</f>
        <v>1613</v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>
        <f>Assy.Model!$M103</f>
        <v>6.1239999999999997</v>
      </c>
      <c r="N258" s="869">
        <f>Assy.Model!K103</f>
        <v>1613</v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>
        <f>Assy.Model!$M104</f>
        <v>6.1269999999999998</v>
      </c>
      <c r="N259" s="869">
        <f>Assy.Model!K104</f>
        <v>1613</v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>
        <f>Assy.Model!$M105</f>
        <v>6.13</v>
      </c>
      <c r="N260" s="869">
        <f>Assy.Model!K105</f>
        <v>1613</v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>
        <f>Assy.Model!$M106</f>
        <v>6.133</v>
      </c>
      <c r="N261" s="869">
        <f>Assy.Model!K106</f>
        <v>1613</v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>
        <f>Assy.Model!$M107</f>
        <v>6.1360000000000001</v>
      </c>
      <c r="N262" s="869">
        <f>Assy.Model!K107</f>
        <v>1613</v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>
        <f>Assy.Model!$M108</f>
        <v>6.1390000000000002</v>
      </c>
      <c r="N263" s="869">
        <f>Assy.Model!K108</f>
        <v>1313</v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>
        <f>Assy.Model!$M109</f>
        <v>6.2149999999999999</v>
      </c>
      <c r="N264" s="869" t="str">
        <f>Assy.Model!K109</f>
        <v>CPS-32193r1</v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>
        <f>Assy.Model!$M110</f>
        <v>6.218</v>
      </c>
      <c r="N265" s="869">
        <f>Assy.Model!K110</f>
        <v>1313</v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>
        <f>Assy.Model!$M111</f>
        <v>6.2210000000000001</v>
      </c>
      <c r="N266" s="869">
        <f>Assy.Model!K111</f>
        <v>1313</v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>
        <f>Assy.Model!$M112</f>
        <v>6.2240000000000002</v>
      </c>
      <c r="N267" s="869">
        <f>Assy.Model!K112</f>
        <v>1313</v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>
        <f>Assy.Model!$M113</f>
        <v>6.2270000000000003</v>
      </c>
      <c r="N268" s="869" t="str">
        <f>Assy.Model!K113</f>
        <v>CPS-32193r1</v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>
        <f>Assy.Model!$M114</f>
        <v>6.23</v>
      </c>
      <c r="N269" s="869" t="str">
        <f>Assy.Model!K114</f>
        <v>CPS-32193r1</v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2023-03-30T13:43:12Z</dcterms:modified>
</cp:coreProperties>
</file>