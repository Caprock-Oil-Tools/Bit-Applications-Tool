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231\"/>
    </mc:Choice>
  </mc:AlternateContent>
  <xr:revisionPtr revIDLastSave="0" documentId="13_ncr:1_{84428B8A-3D62-4A98-83E4-6A9923C4F17C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S47" i="1"/>
  <c r="IR47" i="1"/>
  <c r="IL47" i="1"/>
  <c r="IW47" i="1"/>
  <c r="IV47" i="1"/>
  <c r="IN47" i="1"/>
  <c r="IU47" i="1"/>
  <c r="IE47" i="1" s="1"/>
  <c r="IK47" i="1"/>
  <c r="IT47" i="1"/>
  <c r="IP47" i="1"/>
  <c r="IY47" i="1"/>
  <c r="IX47" i="1"/>
  <c r="IQ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R57" i="1"/>
  <c r="IK57" i="1"/>
  <c r="IW57" i="1"/>
  <c r="IQ57" i="1"/>
  <c r="IN57" i="1"/>
  <c r="IP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T15" i="1"/>
  <c r="IR15" i="1"/>
  <c r="IQ15" i="1"/>
  <c r="IX15" i="1"/>
  <c r="IY15" i="1"/>
  <c r="IL15" i="1"/>
  <c r="IP15" i="1"/>
  <c r="IW15" i="1"/>
  <c r="IV15" i="1"/>
  <c r="IU15" i="1"/>
  <c r="IE15" i="1" s="1"/>
  <c r="IN15" i="1"/>
  <c r="IK15" i="1"/>
  <c r="IS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V38" i="1"/>
  <c r="IL38" i="1"/>
  <c r="IT38" i="1"/>
  <c r="IS38" i="1"/>
  <c r="IP38" i="1"/>
  <c r="IR38" i="1"/>
  <c r="IQ38" i="1"/>
  <c r="IX38" i="1"/>
  <c r="IU38" i="1"/>
  <c r="IE38" i="1" s="1"/>
  <c r="IN38" i="1"/>
  <c r="IW38" i="1"/>
  <c r="IK38" i="1"/>
  <c r="IY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U11" i="1"/>
  <c r="IE11" i="1" s="1"/>
  <c r="IS11" i="1"/>
  <c r="IK11" i="1"/>
  <c r="IY11" i="1"/>
  <c r="IT11" i="1"/>
  <c r="IR11" i="1"/>
  <c r="IQ11" i="1"/>
  <c r="IX11" i="1"/>
  <c r="IP11" i="1"/>
  <c r="IL11" i="1"/>
  <c r="IN11" i="1"/>
  <c r="IW11" i="1"/>
  <c r="IV1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T9" i="1"/>
  <c r="IV9" i="1"/>
  <c r="IK9" i="1"/>
  <c r="IY9" i="1"/>
  <c r="IU9" i="1"/>
  <c r="IE9" i="1" s="1"/>
  <c r="IP9" i="1"/>
  <c r="IS9" i="1"/>
  <c r="IW9" i="1"/>
  <c r="IQ9" i="1"/>
  <c r="IX9" i="1"/>
  <c r="IL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S12" i="1"/>
  <c r="IW12" i="1"/>
  <c r="IP12" i="1"/>
  <c r="IU12" i="1"/>
  <c r="IE12" i="1" s="1"/>
  <c r="IN12" i="1"/>
  <c r="IK12" i="1"/>
  <c r="IY12" i="1"/>
  <c r="IT12" i="1"/>
  <c r="IL12" i="1"/>
  <c r="IX12" i="1"/>
  <c r="IR12" i="1"/>
  <c r="IQ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S13" i="1"/>
  <c r="IK13" i="1"/>
  <c r="IN13" i="1"/>
  <c r="IT13" i="1"/>
  <c r="IR13" i="1"/>
  <c r="IQ13" i="1"/>
  <c r="IX13" i="1"/>
  <c r="IY13" i="1"/>
  <c r="IL13" i="1"/>
  <c r="IP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S10" i="1"/>
  <c r="IT10" i="1"/>
  <c r="IX10" i="1"/>
  <c r="IL10" i="1"/>
  <c r="IR10" i="1"/>
  <c r="IW10" i="1"/>
  <c r="IP10" i="1"/>
  <c r="IK10" i="1"/>
  <c r="IQ10" i="1"/>
  <c r="IV10" i="1"/>
  <c r="IY10" i="1"/>
  <c r="IN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S14" i="1"/>
  <c r="IT14" i="1"/>
  <c r="IW14" i="1"/>
  <c r="IN14" i="1"/>
  <c r="IY14" i="1"/>
  <c r="IR14" i="1"/>
  <c r="IP14" i="1"/>
  <c r="IU14" i="1"/>
  <c r="IE14" i="1" s="1"/>
  <c r="IK14" i="1"/>
  <c r="IQ14" i="1"/>
  <c r="IX14" i="1"/>
  <c r="IL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W50" i="1"/>
  <c r="IQ50" i="1"/>
  <c r="IN50" i="1"/>
  <c r="IP50" i="1"/>
  <c r="IR50" i="1"/>
  <c r="IK48" i="1"/>
  <c r="IP48" i="1"/>
  <c r="IT48" i="1"/>
  <c r="IL48" i="1"/>
  <c r="IY48" i="1"/>
  <c r="IV48" i="1"/>
  <c r="IS48" i="1"/>
  <c r="IW48" i="1"/>
  <c r="IR48" i="1"/>
  <c r="IN48" i="1"/>
  <c r="IQ48" i="1"/>
  <c r="IU48" i="1"/>
  <c r="IE48" i="1" s="1"/>
  <c r="IX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L32" i="1"/>
  <c r="IT32" i="1"/>
  <c r="IK32" i="1"/>
  <c r="IU32" i="1"/>
  <c r="IE32" i="1" s="1"/>
  <c r="IY32" i="1"/>
  <c r="IW32" i="1"/>
  <c r="IP32" i="1"/>
  <c r="IX32" i="1"/>
  <c r="IN32" i="1"/>
  <c r="IV32" i="1"/>
  <c r="IR32" i="1"/>
  <c r="IQ32" i="1"/>
  <c r="IS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K49" i="1"/>
  <c r="IR49" i="1"/>
  <c r="IQ49" i="1"/>
  <c r="IW49" i="1"/>
  <c r="IP49" i="1"/>
  <c r="IN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Y55" i="1"/>
  <c r="IX55" i="1"/>
  <c r="IS55" i="1"/>
  <c r="IR55" i="1"/>
  <c r="IL55" i="1"/>
  <c r="IU55" i="1"/>
  <c r="IE55" i="1" s="1"/>
  <c r="IK55" i="1"/>
  <c r="IT55" i="1"/>
  <c r="IW55" i="1"/>
  <c r="IQ55" i="1"/>
  <c r="IN55" i="1"/>
  <c r="IV55" i="1"/>
  <c r="IP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JA9" i="1" l="1" a="1"/>
  <c r="JA9" i="1" s="1"/>
  <c r="JA23" i="1" a="1"/>
  <c r="JA23" i="1" s="1"/>
  <c r="IF85" i="1"/>
  <c r="IF129" i="1"/>
  <c r="IF73" i="1"/>
  <c r="IF138" i="1"/>
  <c r="IF10" i="1"/>
  <c r="IF150" i="1"/>
  <c r="IF48" i="1"/>
  <c r="IF148" i="1"/>
  <c r="IF127" i="1"/>
  <c r="IF15" i="1"/>
  <c r="IF128" i="1"/>
  <c r="IF86" i="1"/>
  <c r="IF9" i="1"/>
  <c r="IF47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3" i="1"/>
  <c r="IF108" i="1"/>
  <c r="IF92" i="1"/>
  <c r="IF131" i="1"/>
  <c r="IF123" i="1"/>
  <c r="IF141" i="1"/>
  <c r="IF89" i="1"/>
  <c r="IF124" i="1"/>
  <c r="IF107" i="1"/>
  <c r="IF146" i="1"/>
  <c r="IF11" i="1"/>
  <c r="IF134" i="1"/>
  <c r="IF84" i="1"/>
  <c r="IF12" i="1"/>
  <c r="IF71" i="1"/>
  <c r="IF56" i="1"/>
  <c r="IF133" i="1"/>
  <c r="IF149" i="1"/>
  <c r="IF87" i="1"/>
  <c r="IF104" i="1"/>
  <c r="IF130" i="1"/>
  <c r="IF90" i="1"/>
  <c r="IF132" i="1"/>
  <c r="IF119" i="1"/>
  <c r="IF32" i="1"/>
  <c r="IF110" i="1"/>
  <c r="IF125" i="1"/>
  <c r="IF55" i="1"/>
  <c r="IF72" i="1"/>
  <c r="IF144" i="1"/>
  <c r="IF120" i="1"/>
  <c r="IF70" i="1"/>
  <c r="IF139" i="1"/>
  <c r="IF126" i="1"/>
  <c r="IF38" i="1"/>
  <c r="IF140" i="1"/>
  <c r="IF14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IQ19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JB10" i="1" l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IV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IV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IV51" i="1" s="1"/>
  <c r="O51" i="1"/>
  <c r="AB51" i="1"/>
  <c r="P50" i="1"/>
  <c r="S50" i="1" s="1"/>
  <c r="Y50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EK37" i="1"/>
  <c r="AB35" i="1"/>
  <c r="Z35" i="1"/>
  <c r="P35" i="1"/>
  <c r="S35" i="1" s="1"/>
  <c r="Y35" i="1" s="1"/>
  <c r="IV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IV49" i="1" s="1"/>
  <c r="AA65" i="1"/>
  <c r="O81" i="1"/>
  <c r="P57" i="1"/>
  <c r="S57" i="1" s="1"/>
  <c r="Y57" i="1" s="1"/>
  <c r="IV57" i="1" s="1"/>
  <c r="O39" i="1"/>
  <c r="N49" i="1"/>
  <c r="N57" i="1"/>
  <c r="R57" i="1" s="1"/>
  <c r="X57" i="1" s="1"/>
  <c r="IU57" i="1" s="1"/>
  <c r="IE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IQ64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IQ52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IV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IV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IV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Q54" i="1" l="1"/>
  <c r="IV5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IU49" i="1" s="1"/>
  <c r="IE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IU19" i="1" s="1"/>
  <c r="IE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IP19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IU51" i="1" s="1"/>
  <c r="IE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IP52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IU17" i="1" s="1"/>
  <c r="IE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R39" i="1"/>
  <c r="X39" i="1" s="1"/>
  <c r="Q39" i="1"/>
  <c r="AC33" i="1"/>
  <c r="R25" i="1"/>
  <c r="X25" i="1" s="1"/>
  <c r="IU25" i="1" s="1"/>
  <c r="IE25" i="1" s="1"/>
  <c r="R16" i="1"/>
  <c r="X16" i="1" s="1"/>
  <c r="IU16" i="1" s="1"/>
  <c r="IE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Q28" i="1"/>
  <c r="AE49" i="1"/>
  <c r="AD49" i="1"/>
  <c r="AH49" i="1" s="1"/>
  <c r="Q35" i="1"/>
  <c r="R35" i="1"/>
  <c r="X35" i="1" s="1"/>
  <c r="IU35" i="1" s="1"/>
  <c r="IE35" i="1" s="1"/>
  <c r="AF50" i="1"/>
  <c r="AF28" i="1"/>
  <c r="R29" i="1"/>
  <c r="X29" i="1" s="1"/>
  <c r="AC28" i="1"/>
  <c r="AF49" i="1"/>
  <c r="V21" i="1"/>
  <c r="R47" i="1"/>
  <c r="X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P54" i="1" l="1"/>
  <c r="IU50" i="1"/>
  <c r="IE50" i="1" s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W52" i="1"/>
  <c r="W49" i="1"/>
  <c r="W50" i="1"/>
  <c r="W47" i="1"/>
  <c r="W48" i="1"/>
  <c r="W45" i="1"/>
  <c r="W46" i="1"/>
  <c r="W43" i="1"/>
  <c r="W44" i="1"/>
  <c r="W41" i="1"/>
  <c r="W42" i="1"/>
  <c r="W39" i="1"/>
  <c r="W40" i="1"/>
  <c r="W37" i="1"/>
  <c r="W38" i="1"/>
  <c r="W35" i="1"/>
  <c r="W36" i="1"/>
  <c r="W33" i="1"/>
  <c r="W34" i="1"/>
  <c r="W31" i="1"/>
  <c r="W32" i="1"/>
  <c r="W29" i="1"/>
  <c r="W30" i="1"/>
  <c r="W27" i="1"/>
  <c r="W28" i="1"/>
  <c r="W25" i="1"/>
  <c r="W26" i="1"/>
  <c r="W23" i="1"/>
  <c r="W24" i="1"/>
  <c r="W21" i="1"/>
  <c r="W22" i="1"/>
  <c r="W19" i="1"/>
  <c r="W20" i="1"/>
  <c r="W17" i="1"/>
  <c r="W18" i="1"/>
  <c r="W15" i="1"/>
  <c r="W13" i="1"/>
  <c r="W14" i="1"/>
  <c r="W11" i="1"/>
  <c r="W9" i="1"/>
  <c r="W10" i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57" i="1" l="1"/>
  <c r="IL50" i="1"/>
  <c r="IL49" i="1"/>
  <c r="IL23" i="1"/>
  <c r="IL16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AW47" i="7"/>
  <c r="AK55" i="1"/>
  <c r="AO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IX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AL54" i="1"/>
  <c r="AN54" i="1" s="1"/>
  <c r="AK54" i="1"/>
  <c r="U54" i="1"/>
  <c r="T54" i="1"/>
  <c r="AL53" i="1"/>
  <c r="AN53" i="1" s="1"/>
  <c r="IT57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IY51" i="1" s="1"/>
  <c r="T51" i="1"/>
  <c r="AK51" i="1"/>
  <c r="U51" i="1"/>
  <c r="AL49" i="1"/>
  <c r="AN49" i="1" s="1"/>
  <c r="IY49" i="1" s="1"/>
  <c r="AK50" i="1"/>
  <c r="AL50" i="1"/>
  <c r="AN50" i="1" s="1"/>
  <c r="IY50" i="1" s="1"/>
  <c r="U50" i="1"/>
  <c r="T50" i="1"/>
  <c r="T49" i="1"/>
  <c r="AK49" i="1"/>
  <c r="AO49" i="1" s="1"/>
  <c r="IX49" i="1" s="1"/>
  <c r="AK48" i="1"/>
  <c r="U48" i="1"/>
  <c r="AL48" i="1"/>
  <c r="AN48" i="1" s="1"/>
  <c r="T48" i="1"/>
  <c r="AL47" i="1"/>
  <c r="T47" i="1"/>
  <c r="U47" i="1"/>
  <c r="AL46" i="1"/>
  <c r="AN46" i="1" s="1"/>
  <c r="IT50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IY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IY20" i="1" s="1"/>
  <c r="U20" i="1"/>
  <c r="AK20" i="1"/>
  <c r="AK19" i="1"/>
  <c r="AL19" i="1"/>
  <c r="AN19" i="1" s="1"/>
  <c r="IY19" i="1" s="1"/>
  <c r="T19" i="1"/>
  <c r="U19" i="1"/>
  <c r="AL18" i="1"/>
  <c r="AN18" i="1" s="1"/>
  <c r="U18" i="1"/>
  <c r="T18" i="1"/>
  <c r="AK18" i="1"/>
  <c r="U17" i="1"/>
  <c r="AL17" i="1"/>
  <c r="AN17" i="1" s="1"/>
  <c r="IY17" i="1" s="1"/>
  <c r="T17" i="1"/>
  <c r="T16" i="1"/>
  <c r="AK16" i="1"/>
  <c r="AL16" i="1"/>
  <c r="AN16" i="1" s="1"/>
  <c r="IY16" i="1" s="1"/>
  <c r="U16" i="1"/>
  <c r="AK15" i="1"/>
  <c r="T15" i="1"/>
  <c r="AL15" i="1"/>
  <c r="AN15" i="1" s="1"/>
  <c r="U15" i="1"/>
  <c r="AK14" i="1"/>
  <c r="U14" i="1"/>
  <c r="AL14" i="1"/>
  <c r="AN14" i="1" s="1"/>
  <c r="IT20" i="1" s="1"/>
  <c r="T14" i="1"/>
  <c r="AK13" i="1"/>
  <c r="U13" i="1"/>
  <c r="AL13" i="1"/>
  <c r="AN13" i="1" s="1"/>
  <c r="AK12" i="1"/>
  <c r="U12" i="1"/>
  <c r="AL12" i="1"/>
  <c r="AN12" i="1" s="1"/>
  <c r="AL11" i="1"/>
  <c r="AN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F49" i="1" l="1"/>
  <c r="IY45" i="1"/>
  <c r="IT49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16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AP57" i="1"/>
  <c r="AO58" i="1"/>
  <c r="AP58" i="1"/>
  <c r="AP56" i="1"/>
  <c r="AO56" i="1"/>
  <c r="AP55" i="1"/>
  <c r="AO53" i="1"/>
  <c r="IS57" i="1" s="1"/>
  <c r="AP53" i="1"/>
  <c r="AP54" i="1"/>
  <c r="AO54" i="1"/>
  <c r="IS58" i="1" s="1"/>
  <c r="AP51" i="1"/>
  <c r="AO51" i="1"/>
  <c r="IX51" i="1" s="1"/>
  <c r="IF51" i="1" s="1"/>
  <c r="AO52" i="1"/>
  <c r="IX52" i="1" s="1"/>
  <c r="IF52" i="1" s="1"/>
  <c r="AP52" i="1"/>
  <c r="AP49" i="1"/>
  <c r="AP50" i="1"/>
  <c r="AO50" i="1"/>
  <c r="AN47" i="1"/>
  <c r="IT29" i="1" s="1"/>
  <c r="AP47" i="1"/>
  <c r="AO48" i="1"/>
  <c r="IS52" i="1" s="1"/>
  <c r="AP48" i="1"/>
  <c r="AP45" i="1"/>
  <c r="AO45" i="1"/>
  <c r="AP46" i="1"/>
  <c r="AO46" i="1"/>
  <c r="IS50" i="1" s="1"/>
  <c r="AP43" i="1"/>
  <c r="AO44" i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AP38" i="1"/>
  <c r="AP35" i="1"/>
  <c r="AO35" i="1"/>
  <c r="IX35" i="1" s="1"/>
  <c r="IF35" i="1" s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AP32" i="1"/>
  <c r="AO29" i="1"/>
  <c r="AP29" i="1"/>
  <c r="AP30" i="1"/>
  <c r="AO27" i="1"/>
  <c r="IX27" i="1" s="1"/>
  <c r="IF27" i="1" s="1"/>
  <c r="AP27" i="1"/>
  <c r="AP28" i="1"/>
  <c r="AO28" i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IX19" i="1" s="1"/>
  <c r="IF19" i="1" s="1"/>
  <c r="AP19" i="1"/>
  <c r="AP20" i="1"/>
  <c r="AO20" i="1"/>
  <c r="IX20" i="1" s="1"/>
  <c r="IF20" i="1" s="1"/>
  <c r="AO17" i="1"/>
  <c r="IX17" i="1" s="1"/>
  <c r="IF17" i="1" s="1"/>
  <c r="AP17" i="1"/>
  <c r="AO18" i="1"/>
  <c r="AP18" i="1"/>
  <c r="AP15" i="1"/>
  <c r="AO15" i="1"/>
  <c r="AO16" i="1"/>
  <c r="AP16" i="1"/>
  <c r="AO13" i="1"/>
  <c r="AP13" i="1"/>
  <c r="AO14" i="1"/>
  <c r="IS20" i="1" s="1"/>
  <c r="AP14" i="1"/>
  <c r="AP11" i="1"/>
  <c r="AO12" i="1"/>
  <c r="AP12" i="1"/>
  <c r="AO10" i="1"/>
  <c r="AP10" i="1"/>
  <c r="AN10" i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60" i="1" l="1"/>
  <c r="IY57" i="1"/>
  <c r="IF57" i="1" s="1"/>
  <c r="IS54" i="1"/>
  <c r="IX50" i="1"/>
  <c r="IF50" i="1" s="1"/>
  <c r="IX45" i="1"/>
  <c r="IF45" i="1" s="1"/>
  <c r="IS49" i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<sst xmlns="http://schemas.openxmlformats.org/spreadsheetml/2006/main" count="734" uniqueCount="391">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</sst>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8.5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35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1.112's θ about Z Axis</v>
      </c>
      <c r="U5" s="1021"/>
      <c r="V5" s="1072"/>
      <c r="W5" s="1021" t="str">
        <f>CONCATENATE("Relative to ",M8,"'s θ about Z Axis")</f>
        <v>Relative to 1.112's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1.112's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1.1120000000000001</v>
      </c>
      <c r="N8" s="608"/>
      <c r="O8" s="609"/>
      <c r="P8" s="619"/>
      <c r="Q8" s="611">
        <f>IFERROR(INDEX(Q$9:Q$150,MATCH($M$8,$M$9:$M$150,0)),"")</f>
        <v>88.34000023967431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-7.8500236756714067E-2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0.34210103177671186</v>
      </c>
      <c r="D9" s="704">
        <v>-0.35320106525441286</v>
      </c>
      <c r="E9" s="705">
        <v>-0.96592583607220739</v>
      </c>
      <c r="F9" s="703">
        <v>-4.4943442764441788E-2</v>
      </c>
      <c r="G9" s="706">
        <v>0.2548869674202402</v>
      </c>
      <c r="H9" s="705">
        <v>0.314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1613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0.34210103177671186</v>
      </c>
      <c r="P9" s="625">
        <f t="shared" ref="P9:P40" si="4">IF(M9="","",D9)</f>
        <v>-0.35320106525441286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0.34210103177671186</v>
      </c>
      <c r="S9" s="626">
        <f>IF(M9="","",P9)</f>
        <v>-0.35320106525441286</v>
      </c>
      <c r="T9" s="627">
        <f>IF(M9="","",X9*COS(RADIANS(W9)))</f>
        <v>0.34195746141486055</v>
      </c>
      <c r="U9" s="624">
        <f>IF(M9="","",X9*SIN(RADIANS(W9)))</f>
        <v>9.9101223703322531E-3</v>
      </c>
      <c r="V9" s="628">
        <f>IF(M9="","",Y9)</f>
        <v>-0.35320106525441286</v>
      </c>
      <c r="W9" s="583">
        <f t="shared" ref="W9:W14" si="5">IF(M9="","",IF(Q9-$Q$8&lt;0,360+Q9-$Q$8,Q9-$Q$8))</f>
        <v>1.6599997603256895</v>
      </c>
      <c r="X9" s="629">
        <f>IF(M9="","",R9)</f>
        <v>0.34210103177671186</v>
      </c>
      <c r="Y9" s="630">
        <f>IF(M9="","",S9)</f>
        <v>-0.35320106525441286</v>
      </c>
      <c r="Z9" s="623">
        <f t="shared" ref="Z9:Z40" si="6">IF(M9="","",-E9)</f>
        <v>0.96592583607220739</v>
      </c>
      <c r="AA9" s="624">
        <f t="shared" ref="AA9:AA40" si="7">IF(M9="","",-F9)</f>
        <v>4.4943442764441788E-2</v>
      </c>
      <c r="AB9" s="624">
        <f t="shared" ref="AB9:AB40" si="8">IF(M9="","",-G9)</f>
        <v>-0.2548869674202402</v>
      </c>
      <c r="AC9" s="628">
        <f>IF(M9="","",SQRT(Z9^2+AA9^2+AB9^2))</f>
        <v>1</v>
      </c>
      <c r="AD9" s="631">
        <f>IF(M9="","",Z9*(1/SQRT(Z9^2+AA9^2+AB9^2)))</f>
        <v>0.96592583607220739</v>
      </c>
      <c r="AE9" s="624">
        <f>IF(M9="","",AA9*(1/SQRT(Z9^2+AA9^2+AB9^2)))</f>
        <v>4.4943442764441788E-2</v>
      </c>
      <c r="AF9" s="625">
        <f>IF(M9="","",AB9*(1/SQRT(Z9^2+AA9^2+AB9^2)))</f>
        <v>-0.2548869674202402</v>
      </c>
      <c r="AG9" s="599">
        <f>IF(M9="","",DEGREES(ATAN2(-AF9,AE9)))</f>
        <v>9.9999985561788449</v>
      </c>
      <c r="AH9" s="600">
        <f>IF(M9="","",DEGREES(ACOS(AD9)))</f>
        <v>14.999997834268255</v>
      </c>
      <c r="AI9" s="583">
        <f>IF(M9="","",DEGREES(-ACOS(-AF9)))</f>
        <v>-75.233112454846449</v>
      </c>
      <c r="AJ9" s="601">
        <f>IF(M9="","",DEGREES(ATAN2(-AE9,AD9)))</f>
        <v>92.663986834246515</v>
      </c>
      <c r="AK9" s="627">
        <f>IF(M9="","",(COS(RADIANS((90-$Q$8)-W9))*AD9)+(-SIN(RADIANS((90-$Q$8)-W9))*AE9))</f>
        <v>0.96592583607220739</v>
      </c>
      <c r="AL9" s="624">
        <f>IF(M9="","",(SIN(RADIANS((90-$Q$8)-W9))*AD9)+(COS(RADIANS((90-$Q$8)-W9))*AE9))</f>
        <v>4.4943442764441788E-2</v>
      </c>
      <c r="AM9" s="626">
        <f>IF(M9="","",AF9)</f>
        <v>-0.2548869674202402</v>
      </c>
      <c r="AN9" s="581">
        <f>IF(M9="","",DEGREES(ATAN2(-AM9,AL9)))</f>
        <v>9.9999985561788449</v>
      </c>
      <c r="AO9" s="582">
        <f>IF(ROUND(IF(M9="",0,DEGREES(ACOS(AK9))),4)=90,0,IF(M9="","",DEGREES(ACOS(AK9))))</f>
        <v>14.999997834268255</v>
      </c>
      <c r="AP9" s="781">
        <f>IF(M9="","",DEGREES(ATAN2(AK9,AL9)))</f>
        <v>2.6639868342465158</v>
      </c>
      <c r="AQ9" s="584">
        <f t="shared" ref="AQ9:AQ40" si="9">IF(M9="","",DEGREES(ATAN(($AS$5*SIN(RADIANS(90)))/(($X9*2*PI())-($AS$5*COS(RADIANS(90)))))))</f>
        <v>6.6340920703799329</v>
      </c>
      <c r="AS9" s="51">
        <f>IF(M9="","",W9)</f>
        <v>1.6599997603256895</v>
      </c>
      <c r="AT9" s="71">
        <f t="shared" ref="AT9:AT40" si="10">IF(M9="","",Y9+(((AS9-$AS$9)*$AS$6)*-1))</f>
        <v>-0.35320106525441286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1613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35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1.1914035932732374</v>
      </c>
      <c r="D10" s="709">
        <v>-0.20340061345625021</v>
      </c>
      <c r="E10" s="710">
        <v>-0.97629601393762733</v>
      </c>
      <c r="F10" s="708">
        <v>-3.7584333823853046E-2</v>
      </c>
      <c r="G10" s="711">
        <v>0.21315138052688615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1.1914035932732374</v>
      </c>
      <c r="P10" s="633">
        <f t="shared" si="4"/>
        <v>-0.20340061345625021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1.1914035932732374</v>
      </c>
      <c r="S10" s="634">
        <f t="shared" ref="S10:S105" si="80">IF(M10="","",P10)</f>
        <v>-0.20340061345625021</v>
      </c>
      <c r="T10" s="635">
        <f t="shared" ref="T10:T105" si="81">IF(M10="","",X10*COS(RADIANS(W10)))</f>
        <v>1.1909035940650829</v>
      </c>
      <c r="U10" s="629">
        <f t="shared" ref="U10:U105" si="82">IF(M10="","",X10*SIN(RADIANS(W10)))</f>
        <v>3.4513065746898122E-2</v>
      </c>
      <c r="V10" s="636">
        <f>IF(M10="","",Y10)</f>
        <v>-0.20340061345625021</v>
      </c>
      <c r="W10" s="585">
        <f t="shared" si="5"/>
        <v>1.6599997603256895</v>
      </c>
      <c r="X10" s="629">
        <f t="shared" ref="X10:X105" si="83">IF(M10="","",R10)</f>
        <v>1.1914035932732374</v>
      </c>
      <c r="Y10" s="630">
        <f>IF(M10="","",S10)</f>
        <v>-0.20340061345625021</v>
      </c>
      <c r="Z10" s="632">
        <f t="shared" si="6"/>
        <v>0.97629601393762733</v>
      </c>
      <c r="AA10" s="629">
        <f t="shared" si="7"/>
        <v>3.7584333823853046E-2</v>
      </c>
      <c r="AB10" s="629">
        <f t="shared" si="8"/>
        <v>-0.21315138052688615</v>
      </c>
      <c r="AC10" s="636">
        <f t="shared" ref="AC10:AC105" si="84">IF(M10="","",SQRT(Z10^2+AA10^2+AB10^2))</f>
        <v>1</v>
      </c>
      <c r="AD10" s="637">
        <f>IF(M10="","",Z10*(1/SQRT(Z10^2+AA10^2+AB10^2)))</f>
        <v>0.97629601393762733</v>
      </c>
      <c r="AE10" s="629">
        <f t="shared" ref="AE10:AE105" si="85">IF(M10="","",AA10*(1/SQRT(Z10^2+AA10^2+AB10^2)))</f>
        <v>3.7584333823853046E-2</v>
      </c>
      <c r="AF10" s="633">
        <f t="shared" ref="AF10:AF105" si="86">IF(M10="","",AB10*(1/SQRT(Z10^2+AA10^2+AB10^2)))</f>
        <v>-0.21315138052688615</v>
      </c>
      <c r="AG10" s="602">
        <f t="shared" ref="AG10:AG105" si="87">IF(M10="","",DEGREES(ATAN2(-AF10,AE10)))</f>
        <v>9.9999985561788485</v>
      </c>
      <c r="AH10" s="603">
        <f t="shared" ref="AH10:AH105" si="88">IF(M10="","",DEGREES(ACOS(AD10)))</f>
        <v>12.499998195223544</v>
      </c>
      <c r="AI10" s="585">
        <f t="shared" ref="AI10:AI105" si="89">IF(M10="","",DEGREES(-ACOS(-AF10)))</f>
        <v>-77.692904575004079</v>
      </c>
      <c r="AJ10" s="586">
        <f t="shared" ref="AJ10:AJ105" si="90">IF(M10="","",DEGREES(ATAN2(-AE10,AD10)))</f>
        <v>92.204619112180453</v>
      </c>
      <c r="AK10" s="635">
        <f>IF(M10="","",(COS(RADIANS((90-$Q$8)-W10))*AD10)+(-SIN(RADIANS((90-$Q$8)-W10))*AE10))</f>
        <v>0.97629601393762733</v>
      </c>
      <c r="AL10" s="629">
        <f t="shared" ref="AL10:AL105" si="91">IF(M10="","",(SIN(RADIANS((90-$Q$8)-W10))*AD10)+(COS(RADIANS((90-$Q$8)-W10))*AE10))</f>
        <v>3.7584333823853046E-2</v>
      </c>
      <c r="AM10" s="634">
        <f t="shared" ref="AM10:AM105" si="92">IF(M10="","",AF10)</f>
        <v>-0.21315138052688615</v>
      </c>
      <c r="AN10" s="581">
        <f t="shared" ref="AN10:AN105" si="93">IF(M10="","",DEGREES(ATAN2(-AM10,AL10)))</f>
        <v>9.9999985561788485</v>
      </c>
      <c r="AO10" s="582">
        <f t="shared" ref="AO10:AO54" si="94">IF(ROUND(IF(M10="",0,DEGREES(ACOS(AK10))),4)=90,0,IF(M10="","",DEGREES(ACOS(AK10))))</f>
        <v>12.499998195223544</v>
      </c>
      <c r="AP10" s="585">
        <f t="shared" ref="AP10:AP105" si="95">IF(M10="","",DEGREES(ATAN2(AK10,AL10)))</f>
        <v>2.2046191121804575</v>
      </c>
      <c r="AQ10" s="586">
        <f t="shared" si="9"/>
        <v>1.9127688250734671</v>
      </c>
      <c r="AS10" s="52">
        <f>IF($M10="","",IF(AND($W10&lt;($AS$9+180),$W10&gt;($AS$9-180)),$W10,IF($W10&gt;($AS$9+180),$W10-360,IF($W10&lt;($AS$9-180),$W10+360,"Error"))))</f>
        <v>1.6599997603256895</v>
      </c>
      <c r="AT10" s="72">
        <f t="shared" si="10"/>
        <v>-0.20340061345625021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/>
      <c r="JB10" s="787" t="str" cm="1">
        <f t="array" ref="JB10">IF($JA10="","",COUNT(IF(IF($II$9:$II$150="",$IJ$9:$IJ$150,"")=$JA10,$IG$9:$IG$150,"")))</f>
        <v/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1.2183666389069227E-2</v>
      </c>
      <c r="C11" s="708">
        <v>1.9944688024284423</v>
      </c>
      <c r="D11" s="709">
        <v>-6.1800186389362154E-2</v>
      </c>
      <c r="E11" s="710">
        <v>-0.97523860074362867</v>
      </c>
      <c r="F11" s="708">
        <v>2.6388548098118587E-2</v>
      </c>
      <c r="G11" s="711">
        <v>0.21957530860477623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1.2183666389069227E-2</v>
      </c>
      <c r="O11" s="629">
        <f t="shared" si="3"/>
        <v>1.9944688024284423</v>
      </c>
      <c r="P11" s="633">
        <f t="shared" si="4"/>
        <v>-6.1800186389362154E-2</v>
      </c>
      <c r="Q11" s="585">
        <f t="shared" ref="Q11:Q73" si="113">IF(M11="","",IF(DEGREES(ATAN2(N11,O11))&lt;0,DEGREES(ATAN2(N11,O11))+360,IF(DEGREES(ATAN2(N11,O11))&gt;360,DEGREES(ATAN2(N11,O11))-360,DEGREES(ATAN2(N11,O11)))))</f>
        <v>89.650000050533748</v>
      </c>
      <c r="R11" s="629">
        <f t="shared" si="79"/>
        <v>1.9945060154301426</v>
      </c>
      <c r="S11" s="634">
        <f t="shared" si="80"/>
        <v>-6.1800186389362154E-2</v>
      </c>
      <c r="T11" s="635">
        <f t="shared" si="81"/>
        <v>1.9939847203373398</v>
      </c>
      <c r="U11" s="629">
        <f t="shared" si="82"/>
        <v>4.5598033381336896E-2</v>
      </c>
      <c r="V11" s="636">
        <f t="shared" ref="V11:V105" si="114">IF(M11="","",Y11)</f>
        <v>-6.1800186389362154E-2</v>
      </c>
      <c r="W11" s="585">
        <f t="shared" si="5"/>
        <v>1.3099998108594377</v>
      </c>
      <c r="X11" s="629">
        <f>IF(M11="","",R11)</f>
        <v>1.9945060154301426</v>
      </c>
      <c r="Y11" s="630">
        <f>IF(M11="","",S11)</f>
        <v>-6.1800186389362154E-2</v>
      </c>
      <c r="Z11" s="632">
        <f t="shared" si="6"/>
        <v>0.97523860074362867</v>
      </c>
      <c r="AA11" s="629">
        <f t="shared" si="7"/>
        <v>-2.6388548098118587E-2</v>
      </c>
      <c r="AB11" s="629">
        <f t="shared" si="8"/>
        <v>-0.21957530860477623</v>
      </c>
      <c r="AC11" s="636">
        <f t="shared" si="84"/>
        <v>1</v>
      </c>
      <c r="AD11" s="637">
        <f t="shared" ref="AD11:AD105" si="115">IF(M11="","",Z11*(1/SQRT(Z11^2+AA11^2+AB11^2)))</f>
        <v>0.97523860074362867</v>
      </c>
      <c r="AE11" s="629">
        <f t="shared" si="85"/>
        <v>-2.6388548098118587E-2</v>
      </c>
      <c r="AF11" s="633">
        <f t="shared" si="86"/>
        <v>-0.21957530860477623</v>
      </c>
      <c r="AG11" s="602">
        <f>IF(M11="","",DEGREES(ATAN2(-AF11,AE11)))</f>
        <v>-6.8529368211620323</v>
      </c>
      <c r="AH11" s="603">
        <f t="shared" si="88"/>
        <v>12.776899027891998</v>
      </c>
      <c r="AI11" s="585">
        <f t="shared" si="89"/>
        <v>-77.315909941600694</v>
      </c>
      <c r="AJ11" s="586">
        <f t="shared" si="90"/>
        <v>88.450037155430252</v>
      </c>
      <c r="AK11" s="635">
        <f>IF(M11="","",(COS(RADIANS((90-$Q$8)-W11))*AD11)+(-SIN(RADIANS((90-$Q$8)-W11))*AE11))</f>
        <v>0.97538160242354588</v>
      </c>
      <c r="AL11" s="629">
        <f t="shared" si="91"/>
        <v>-2.0430700056369107E-2</v>
      </c>
      <c r="AM11" s="634">
        <f t="shared" si="92"/>
        <v>-0.21957530860477623</v>
      </c>
      <c r="AN11" s="581">
        <f>IF(M11="","",DEGREES(ATAN2(-AM11,AL11)))</f>
        <v>-5.3158624404811023</v>
      </c>
      <c r="AO11" s="582">
        <f>IF(ROUND(IF(M11="",0,DEGREES(ACOS(AK11))),4)=90,0,IF(M11="","",DEGREES(ACOS(AK11))))</f>
        <v>12.739797915642784</v>
      </c>
      <c r="AP11" s="585">
        <f t="shared" si="95"/>
        <v>-1.1999628951035004</v>
      </c>
      <c r="AQ11" s="586">
        <f t="shared" si="9"/>
        <v>1.1428515462476736</v>
      </c>
      <c r="AS11" s="52">
        <f t="shared" ref="AS11:AS42" si="116">IF(G11="","",IF(AND(W11&lt;(AS10+180),W11&gt;(AS10-180)),W11,IF(W11&gt;(AS10+180),W11-360,IF(W11&lt;(AS10-180),W11+360,"Error"))))</f>
        <v>1.3099998108594377</v>
      </c>
      <c r="AT11" s="72">
        <f t="shared" si="10"/>
        <v>-6.1557130868899482E-2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8.0039953549336421E-2</v>
      </c>
      <c r="C12" s="708">
        <v>2.761848774888219</v>
      </c>
      <c r="D12" s="709">
        <v>-7.8500236756714067E-2</v>
      </c>
      <c r="E12" s="710">
        <v>-0.96740759399730514</v>
      </c>
      <c r="F12" s="708">
        <v>0.16057347864098961</v>
      </c>
      <c r="G12" s="711">
        <v>0.1958027196784482</v>
      </c>
      <c r="H12" s="710">
        <v>0.314</v>
      </c>
      <c r="I12" s="708">
        <v>0.52</v>
      </c>
      <c r="J12" s="570">
        <v>1.1120000000000001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1.1120000000000001</v>
      </c>
      <c r="N12" s="632">
        <f t="shared" si="2"/>
        <v>8.0039953549336421E-2</v>
      </c>
      <c r="O12" s="629">
        <f t="shared" si="3"/>
        <v>2.761848774888219</v>
      </c>
      <c r="P12" s="633">
        <f t="shared" si="4"/>
        <v>-7.8500236756714067E-2</v>
      </c>
      <c r="Q12" s="585">
        <f>IF(M12="","",IF(DEGREES(ATAN2(N12,O12))&lt;0,DEGREES(ATAN2(N12,O12))+360,IF(DEGREES(ATAN2(N12,O12))&gt;360,DEGREES(ATAN2(N12,O12))-360,DEGREES(ATAN2(N12,O12)))))</f>
        <v>88.34000023967431</v>
      </c>
      <c r="R12" s="629">
        <f t="shared" si="79"/>
        <v>2.7630083332331328</v>
      </c>
      <c r="S12" s="634">
        <f t="shared" si="80"/>
        <v>-7.8500236756714067E-2</v>
      </c>
      <c r="T12" s="635">
        <f>IF(M12="","",X12*COS(RADIANS(W12)))</f>
        <v>2.7630083332331328</v>
      </c>
      <c r="U12" s="629">
        <f t="shared" si="82"/>
        <v>0</v>
      </c>
      <c r="V12" s="636">
        <f t="shared" si="114"/>
        <v>-7.8500236756714067E-2</v>
      </c>
      <c r="W12" s="585">
        <f>IF(M12="","",IF(Q12-$Q$8&lt;0,360+Q12-$Q$8,Q12-$Q$8))</f>
        <v>0</v>
      </c>
      <c r="X12" s="629">
        <f t="shared" si="83"/>
        <v>2.7630083332331328</v>
      </c>
      <c r="Y12" s="630">
        <f>IF(M12="","",S12)</f>
        <v>-7.8500236756714067E-2</v>
      </c>
      <c r="Z12" s="632">
        <f t="shared" si="6"/>
        <v>0.96740759399730514</v>
      </c>
      <c r="AA12" s="629">
        <f t="shared" si="7"/>
        <v>-0.16057347864098961</v>
      </c>
      <c r="AB12" s="629">
        <f t="shared" si="8"/>
        <v>-0.1958027196784482</v>
      </c>
      <c r="AC12" s="636">
        <f t="shared" si="84"/>
        <v>1</v>
      </c>
      <c r="AD12" s="637">
        <f t="shared" si="115"/>
        <v>0.96740759399730514</v>
      </c>
      <c r="AE12" s="629">
        <f t="shared" si="85"/>
        <v>-0.16057347864098961</v>
      </c>
      <c r="AF12" s="633">
        <f t="shared" si="86"/>
        <v>-0.1958027196784482</v>
      </c>
      <c r="AG12" s="602">
        <f t="shared" si="87"/>
        <v>-39.354420556245699</v>
      </c>
      <c r="AH12" s="603">
        <f t="shared" si="88"/>
        <v>14.668392141373626</v>
      </c>
      <c r="AI12" s="585">
        <f t="shared" si="89"/>
        <v>-78.708379950348885</v>
      </c>
      <c r="AJ12" s="586">
        <f t="shared" si="90"/>
        <v>80.575779330736992</v>
      </c>
      <c r="AK12" s="635">
        <f t="shared" ref="AK12:AK105" si="211">IF(M12="","",(COS(RADIANS((90-$Q$8)-W12))*AD12)+(-SIN(RADIANS((90-$Q$8)-W12))*AE12))</f>
        <v>0.97165315782063266</v>
      </c>
      <c r="AL12" s="629">
        <f>IF(M12="","",(SIN(RADIANS((90-$Q$8)-W12))*AD12)+(COS(RADIANS((90-$Q$8)-W12))*AE12))</f>
        <v>-0.13248183220244064</v>
      </c>
      <c r="AM12" s="634">
        <f t="shared" si="92"/>
        <v>-0.1958027196784482</v>
      </c>
      <c r="AN12" s="581">
        <f>IF(M12="","",DEGREES(ATAN2(-AM12,AL12)))</f>
        <v>-34.082625547692452</v>
      </c>
      <c r="AO12" s="582">
        <f t="shared" si="94"/>
        <v>13.674808497157114</v>
      </c>
      <c r="AP12" s="585">
        <f t="shared" si="95"/>
        <v>-7.7642209089373262</v>
      </c>
      <c r="AQ12" s="586">
        <f t="shared" si="9"/>
        <v>0.82503155644511839</v>
      </c>
      <c r="AS12" s="52">
        <f t="shared" si="116"/>
        <v>0</v>
      </c>
      <c r="AT12" s="72">
        <f>IF(M12="","",Y12+(((AS12-$AS$9)*$AS$6)*-1))</f>
        <v>-7.7347459145376787E-2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1.1120000000000001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0.18894673623934125</v>
      </c>
      <c r="C13" s="708">
        <v>3.4333151179618913</v>
      </c>
      <c r="D13" s="709">
        <v>-0.44510134242564875</v>
      </c>
      <c r="E13" s="710">
        <v>-0.94152619743482024</v>
      </c>
      <c r="F13" s="708">
        <v>0.29885022808420947</v>
      </c>
      <c r="G13" s="711">
        <v>0.15561799612494731</v>
      </c>
      <c r="H13" s="710">
        <v>0.314</v>
      </c>
      <c r="I13" s="708">
        <v>0.52</v>
      </c>
      <c r="J13" s="570">
        <v>1.1180000000000001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180</v>
      </c>
      <c r="M13" s="168">
        <f t="shared" si="1"/>
        <v>1.1180000000000001</v>
      </c>
      <c r="N13" s="632">
        <f t="shared" si="2"/>
        <v>0.18894673623934125</v>
      </c>
      <c r="O13" s="629">
        <f t="shared" si="3"/>
        <v>3.4333151179618913</v>
      </c>
      <c r="P13" s="633">
        <f t="shared" si="4"/>
        <v>-0.44510134242564875</v>
      </c>
      <c r="Q13" s="585">
        <f t="shared" si="113"/>
        <v>86.850000454803663</v>
      </c>
      <c r="R13" s="629">
        <f t="shared" si="79"/>
        <v>3.4385103705472777</v>
      </c>
      <c r="S13" s="634">
        <f t="shared" si="80"/>
        <v>-0.44510134242564875</v>
      </c>
      <c r="T13" s="635">
        <f>IF(M13="","",X13*COS(RADIANS(W13)))</f>
        <v>3.4373477365617444</v>
      </c>
      <c r="U13" s="629">
        <f t="shared" si="82"/>
        <v>-8.9409766329143353E-2</v>
      </c>
      <c r="V13" s="636">
        <f t="shared" si="114"/>
        <v>-0.44510134242564875</v>
      </c>
      <c r="W13" s="585">
        <f t="shared" si="5"/>
        <v>358.51000021512937</v>
      </c>
      <c r="X13" s="629">
        <f t="shared" si="83"/>
        <v>3.4385103705472777</v>
      </c>
      <c r="Y13" s="630">
        <f>IF(M13="","",S13)</f>
        <v>-0.44510134242564875</v>
      </c>
      <c r="Z13" s="632">
        <f t="shared" si="6"/>
        <v>0.94152619743482024</v>
      </c>
      <c r="AA13" s="629">
        <f t="shared" si="7"/>
        <v>-0.29885022808420947</v>
      </c>
      <c r="AB13" s="629">
        <f t="shared" si="8"/>
        <v>-0.15561799612494731</v>
      </c>
      <c r="AC13" s="636">
        <f t="shared" si="84"/>
        <v>1</v>
      </c>
      <c r="AD13" s="637">
        <f>IF(M13="","",Z13*(1/SQRT(Z13^2+AA13^2+AB13^2)))</f>
        <v>0.94152619743482024</v>
      </c>
      <c r="AE13" s="629">
        <f t="shared" si="85"/>
        <v>-0.29885022808420947</v>
      </c>
      <c r="AF13" s="633">
        <f t="shared" si="86"/>
        <v>-0.15561799612494731</v>
      </c>
      <c r="AG13" s="602">
        <f>IF(M13="","",DEGREES(ATAN2(-AF13,AE13)))</f>
        <v>-62.492999140068719</v>
      </c>
      <c r="AH13" s="603">
        <f t="shared" si="88"/>
        <v>19.69053859165836</v>
      </c>
      <c r="AI13" s="585">
        <f t="shared" si="89"/>
        <v>-81.047360249519485</v>
      </c>
      <c r="AJ13" s="586">
        <f t="shared" si="90"/>
        <v>72.390019234949563</v>
      </c>
      <c r="AK13" s="635">
        <f t="shared" si="211"/>
        <v>0.95652551494487736</v>
      </c>
      <c r="AL13" s="629">
        <f t="shared" si="91"/>
        <v>-0.24666166816409346</v>
      </c>
      <c r="AM13" s="634">
        <f t="shared" si="92"/>
        <v>-0.15561799612494731</v>
      </c>
      <c r="AN13" s="581">
        <f t="shared" si="93"/>
        <v>-57.7523137998067</v>
      </c>
      <c r="AO13" s="582">
        <f t="shared" si="94"/>
        <v>16.956684533037155</v>
      </c>
      <c r="AP13" s="585">
        <f t="shared" si="95"/>
        <v>-14.459981219854072</v>
      </c>
      <c r="AQ13" s="586">
        <f t="shared" si="9"/>
        <v>0.66296874020859276</v>
      </c>
      <c r="AS13" s="52">
        <f t="shared" si="116"/>
        <v>-1.4899997848706334</v>
      </c>
      <c r="AT13" s="72">
        <f t="shared" si="10"/>
        <v>-0.44291384274148465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1.1180000000000001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0.28209264777572307</v>
      </c>
      <c r="C14" s="708">
        <v>3.859817106264134</v>
      </c>
      <c r="D14" s="709">
        <v>-1.081203260909035</v>
      </c>
      <c r="E14" s="710">
        <v>-0.89806034917867472</v>
      </c>
      <c r="F14" s="708">
        <v>0.42861650343685798</v>
      </c>
      <c r="G14" s="711">
        <v>9.8871139442401584E-2</v>
      </c>
      <c r="H14" s="710">
        <v>0.314</v>
      </c>
      <c r="I14" s="708">
        <v>0.52</v>
      </c>
      <c r="J14" s="570">
        <v>1.1240000000000001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1.1240000000000001</v>
      </c>
      <c r="N14" s="632">
        <f t="shared" si="2"/>
        <v>0.28209264777572307</v>
      </c>
      <c r="O14" s="629">
        <f t="shared" si="3"/>
        <v>3.859817106264134</v>
      </c>
      <c r="P14" s="633">
        <f t="shared" si="4"/>
        <v>-1.081203260909035</v>
      </c>
      <c r="Q14" s="585">
        <f t="shared" si="113"/>
        <v>85.820000603517244</v>
      </c>
      <c r="R14" s="629">
        <f t="shared" si="79"/>
        <v>3.8701116722568032</v>
      </c>
      <c r="S14" s="634">
        <f t="shared" si="80"/>
        <v>-1.081203260909035</v>
      </c>
      <c r="T14" s="635">
        <f t="shared" si="81"/>
        <v>3.8663690225473482</v>
      </c>
      <c r="U14" s="629">
        <f t="shared" si="82"/>
        <v>-0.17016150335670005</v>
      </c>
      <c r="V14" s="636">
        <f t="shared" si="114"/>
        <v>-1.081203260909035</v>
      </c>
      <c r="W14" s="585">
        <f t="shared" si="5"/>
        <v>357.48000036384292</v>
      </c>
      <c r="X14" s="629">
        <f t="shared" si="83"/>
        <v>3.8701116722568032</v>
      </c>
      <c r="Y14" s="630">
        <f t="shared" ref="Y14:Y75" si="223">IF(M14="","",S14)</f>
        <v>-1.081203260909035</v>
      </c>
      <c r="Z14" s="632">
        <f t="shared" si="6"/>
        <v>0.89806034917867472</v>
      </c>
      <c r="AA14" s="629">
        <f t="shared" si="7"/>
        <v>-0.42861650343685798</v>
      </c>
      <c r="AB14" s="629">
        <f t="shared" si="8"/>
        <v>-9.8871139442401584E-2</v>
      </c>
      <c r="AC14" s="636">
        <f t="shared" si="84"/>
        <v>1</v>
      </c>
      <c r="AD14" s="637">
        <f>IF(M14="","",Z14*(1/SQRT(Z14^2+AA14^2+AB14^2)))</f>
        <v>0.89806034917867472</v>
      </c>
      <c r="AE14" s="629">
        <f t="shared" si="85"/>
        <v>-0.42861650343685798</v>
      </c>
      <c r="AF14" s="633">
        <f t="shared" si="86"/>
        <v>-9.8871139442401584E-2</v>
      </c>
      <c r="AG14" s="602">
        <f t="shared" si="87"/>
        <v>-77.010505862949543</v>
      </c>
      <c r="AH14" s="603">
        <f t="shared" si="88"/>
        <v>26.095731406843711</v>
      </c>
      <c r="AI14" s="585">
        <f t="shared" si="89"/>
        <v>-84.325830617157933</v>
      </c>
      <c r="AJ14" s="586">
        <f t="shared" si="90"/>
        <v>64.486296304517211</v>
      </c>
      <c r="AK14" s="635">
        <f>IF(M14="","",(COS(RADIANS((90-$Q$8)-W14))*AD14)+(-SIN(RADIANS((90-$Q$8)-W14))*AE14))</f>
        <v>0.92691337262121043</v>
      </c>
      <c r="AL14" s="629">
        <f t="shared" si="91"/>
        <v>-0.36201670878750103</v>
      </c>
      <c r="AM14" s="634">
        <f t="shared" si="92"/>
        <v>-9.8871139442401584E-2</v>
      </c>
      <c r="AN14" s="581">
        <f t="shared" si="93"/>
        <v>-74.724361399806881</v>
      </c>
      <c r="AO14" s="582">
        <f t="shared" si="94"/>
        <v>22.041333100677566</v>
      </c>
      <c r="AP14" s="585">
        <f>IF(M14="","",DEGREES(ATAN2(AK14,AL14)))</f>
        <v>-21.333704299000008</v>
      </c>
      <c r="AQ14" s="586">
        <f t="shared" si="9"/>
        <v>0.58903889811091747</v>
      </c>
      <c r="AS14" s="52">
        <f t="shared" si="116"/>
        <v>-2.5199996361570811</v>
      </c>
      <c r="AT14" s="72">
        <f t="shared" si="10"/>
        <v>-1.0783004835503665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1.1240000000000001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0.3231909693669347</v>
      </c>
      <c r="C15" s="708">
        <v>3.9907466385648966</v>
      </c>
      <c r="D15" s="709">
        <v>-1.8539055913792637</v>
      </c>
      <c r="E15" s="710">
        <v>-0.82283898301548208</v>
      </c>
      <c r="F15" s="708">
        <v>0.56827458858375346</v>
      </c>
      <c r="G15" s="711">
        <v>1.133974335071098E-7</v>
      </c>
      <c r="H15" s="710">
        <v>0.314</v>
      </c>
      <c r="I15" s="708">
        <v>0.52</v>
      </c>
      <c r="J15" s="570">
        <v>1.1299999999999999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1613</v>
      </c>
      <c r="L15" s="1313">
        <f>IF($L14=$JH$22,$JH$29,IF($L14=$JI$22,$JI$29,""))</f>
        <v>170</v>
      </c>
      <c r="M15" s="168">
        <f t="shared" si="1"/>
        <v>1.1299999999999999</v>
      </c>
      <c r="N15" s="632">
        <f t="shared" si="2"/>
        <v>0.3231909693669347</v>
      </c>
      <c r="O15" s="629">
        <f t="shared" si="3"/>
        <v>3.9907466385648966</v>
      </c>
      <c r="P15" s="633">
        <f t="shared" si="4"/>
        <v>-1.8539055913792637</v>
      </c>
      <c r="Q15" s="585">
        <f t="shared" si="113"/>
        <v>85.370000668489197</v>
      </c>
      <c r="R15" s="629">
        <f t="shared" si="79"/>
        <v>4.0038120754972208</v>
      </c>
      <c r="S15" s="634">
        <f t="shared" si="80"/>
        <v>-1.8539055913792637</v>
      </c>
      <c r="T15" s="635">
        <f t="shared" si="81"/>
        <v>3.9984341602972888</v>
      </c>
      <c r="U15" s="629">
        <f t="shared" si="82"/>
        <v>-0.20744975696558254</v>
      </c>
      <c r="V15" s="636">
        <f t="shared" si="114"/>
        <v>-1.8539055913792637</v>
      </c>
      <c r="W15" s="585">
        <f t="shared" ref="W15:W78" si="224">IF(M15="","",IF(Q15-$Q$8&lt;0,360+Q15-$Q$8,Q15-$Q$8))</f>
        <v>357.0300004288149</v>
      </c>
      <c r="X15" s="629">
        <f>IF(M15="","",R15)</f>
        <v>4.0038120754972208</v>
      </c>
      <c r="Y15" s="630">
        <f>IF(M15="","",S15)</f>
        <v>-1.8539055913792637</v>
      </c>
      <c r="Z15" s="632">
        <f t="shared" si="6"/>
        <v>0.82283898301548208</v>
      </c>
      <c r="AA15" s="629">
        <f t="shared" si="7"/>
        <v>-0.56827458858375346</v>
      </c>
      <c r="AB15" s="629">
        <f t="shared" si="8"/>
        <v>-1.133974335071098E-7</v>
      </c>
      <c r="AC15" s="636">
        <f t="shared" si="84"/>
        <v>1</v>
      </c>
      <c r="AD15" s="637">
        <f t="shared" si="115"/>
        <v>0.82283898301548208</v>
      </c>
      <c r="AE15" s="629">
        <f t="shared" si="85"/>
        <v>-0.56827458858375346</v>
      </c>
      <c r="AF15" s="633">
        <f t="shared" si="86"/>
        <v>-1.133974335071098E-7</v>
      </c>
      <c r="AG15" s="602">
        <f t="shared" si="87"/>
        <v>-89.999988566804717</v>
      </c>
      <c r="AH15" s="603">
        <f t="shared" si="88"/>
        <v>34.629995000047238</v>
      </c>
      <c r="AI15" s="585">
        <f t="shared" si="89"/>
        <v>-89.999993502805651</v>
      </c>
      <c r="AJ15" s="586">
        <f t="shared" si="90"/>
        <v>55.370004999953295</v>
      </c>
      <c r="AK15" s="635">
        <f t="shared" si="211"/>
        <v>0.86602544158358585</v>
      </c>
      <c r="AL15" s="629">
        <f t="shared" si="91"/>
        <v>-0.49999993452993791</v>
      </c>
      <c r="AM15" s="634">
        <f t="shared" si="92"/>
        <v>-1.133974335071098E-7</v>
      </c>
      <c r="AN15" s="581">
        <f>IF(M15="","",DEGREES(ATAN2(-AM15,AL15)))</f>
        <v>-89.999987005609611</v>
      </c>
      <c r="AO15" s="582">
        <f t="shared" si="94"/>
        <v>29.99999566853651</v>
      </c>
      <c r="AP15" s="585">
        <f t="shared" si="95"/>
        <v>-29.999995668535867</v>
      </c>
      <c r="AQ15" s="586">
        <f t="shared" si="9"/>
        <v>0.56937027668245765</v>
      </c>
      <c r="AS15" s="52">
        <f t="shared" si="116"/>
        <v>-2.9699995711850988</v>
      </c>
      <c r="AT15" s="72">
        <f t="shared" si="10"/>
        <v>-1.8506903140657145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1.1299999999999999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1613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35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1.0859008631815945</v>
      </c>
      <c r="C16" s="708">
        <v>3.2899319090702837</v>
      </c>
      <c r="D16" s="709">
        <v>-0.41540125285017859</v>
      </c>
      <c r="E16" s="710">
        <v>-0.79372593429565608</v>
      </c>
      <c r="F16" s="708">
        <v>0.56412853429389953</v>
      </c>
      <c r="G16" s="711">
        <v>0.22750414946084976</v>
      </c>
      <c r="H16" s="710">
        <v>0.26600000000000001</v>
      </c>
      <c r="I16" s="708">
        <v>0.52</v>
      </c>
      <c r="J16" s="570">
        <v>1.218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1.218</v>
      </c>
      <c r="N16" s="632">
        <f t="shared" si="2"/>
        <v>1.0859008631815945</v>
      </c>
      <c r="O16" s="629">
        <f t="shared" si="3"/>
        <v>3.2899319090702837</v>
      </c>
      <c r="P16" s="633">
        <f t="shared" si="4"/>
        <v>-0.41540125285017859</v>
      </c>
      <c r="Q16" s="585">
        <f>IF(M16="","",IF(DEGREES(ATAN2(N16,O16))&lt;0,DEGREES(ATAN2(N16,O16))+360,IF(DEGREES(ATAN2(N16,O16))&gt;360,DEGREES(ATAN2(N16,O16))-360,DEGREES(ATAN2(N16,O16)))))</f>
        <v>71.733602637341477</v>
      </c>
      <c r="R16" s="629">
        <f t="shared" si="79"/>
        <v>3.4645104489635146</v>
      </c>
      <c r="S16" s="634">
        <f t="shared" si="80"/>
        <v>-0.41540125285017859</v>
      </c>
      <c r="T16" s="635">
        <f t="shared" si="81"/>
        <v>3.3200080350266759</v>
      </c>
      <c r="U16" s="629">
        <f t="shared" si="82"/>
        <v>-0.99014104971750516</v>
      </c>
      <c r="V16" s="636">
        <f t="shared" si="114"/>
        <v>-0.41540125285017859</v>
      </c>
      <c r="W16" s="585">
        <f>IF(M16="","",IF(Q16-$Q$8&lt;0,360+Q16-$Q$8,Q16-$Q$8))</f>
        <v>343.39360239766722</v>
      </c>
      <c r="X16" s="629">
        <f t="shared" si="83"/>
        <v>3.4645104489635146</v>
      </c>
      <c r="Y16" s="630">
        <f t="shared" si="223"/>
        <v>-0.41540125285017859</v>
      </c>
      <c r="Z16" s="632">
        <f t="shared" si="6"/>
        <v>0.79372593429565608</v>
      </c>
      <c r="AA16" s="629">
        <f t="shared" si="7"/>
        <v>-0.56412853429389953</v>
      </c>
      <c r="AB16" s="629">
        <f t="shared" si="8"/>
        <v>-0.22750414946084976</v>
      </c>
      <c r="AC16" s="636">
        <f t="shared" si="84"/>
        <v>1</v>
      </c>
      <c r="AD16" s="637">
        <f t="shared" si="115"/>
        <v>0.79372593429565608</v>
      </c>
      <c r="AE16" s="629">
        <f t="shared" si="85"/>
        <v>-0.56412853429389953</v>
      </c>
      <c r="AF16" s="633">
        <f t="shared" si="86"/>
        <v>-0.22750414946084976</v>
      </c>
      <c r="AG16" s="602">
        <f t="shared" si="87"/>
        <v>-68.036556071327666</v>
      </c>
      <c r="AH16" s="603">
        <f t="shared" si="88"/>
        <v>37.46491797097881</v>
      </c>
      <c r="AI16" s="585">
        <f t="shared" si="89"/>
        <v>-76.849825010174499</v>
      </c>
      <c r="AJ16" s="586">
        <f t="shared" si="90"/>
        <v>54.597272300873769</v>
      </c>
      <c r="AK16" s="635">
        <f t="shared" si="211"/>
        <v>0.93054761650250306</v>
      </c>
      <c r="AL16" s="629">
        <f t="shared" si="91"/>
        <v>-0.28691984141848026</v>
      </c>
      <c r="AM16" s="634">
        <f t="shared" si="92"/>
        <v>-0.22750414946084976</v>
      </c>
      <c r="AN16" s="581">
        <f t="shared" si="93"/>
        <v>-51.588438096078477</v>
      </c>
      <c r="AO16" s="582">
        <f t="shared" si="94"/>
        <v>21.47966012100062</v>
      </c>
      <c r="AP16" s="585">
        <f t="shared" si="95"/>
        <v>-17.136330336467712</v>
      </c>
      <c r="AQ16" s="586">
        <f t="shared" si="9"/>
        <v>0.6579938041441582</v>
      </c>
      <c r="AS16" s="52">
        <f t="shared" si="116"/>
        <v>-16.606397602332777</v>
      </c>
      <c r="AT16" s="72">
        <f t="shared" si="10"/>
        <v>-0.40271625468166578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Taper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1.218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1.1180000000000001</v>
      </c>
      <c r="II16" s="734" cm="1">
        <f t="array" ref="II16">IFERROR(ROUND(VALUE(IF($IH16&lt;1,$IH16+LARGE((IF($M$9:$M$150="",0,$M$9:$M$150)-MOD(IF($M$9:$M$150="",0,$M$9:$M$150),1)),1),$IH16)),4),"")</f>
        <v>1.1180000000000001</v>
      </c>
      <c r="IJ16" s="533">
        <f t="shared" si="112"/>
        <v>1613</v>
      </c>
      <c r="IK16" s="533">
        <f t="shared" si="66"/>
        <v>1313</v>
      </c>
      <c r="IL16" s="727">
        <f>IF(ISNUMBER($II16),IFERROR(IF(INDEX($W$9:$W$150,MATCH($II16,$M$9:$M$150,0))&lt;$W16,((INDEX($W$9:$W$150,MATCH($II16,$M$9:$M$150,0))+360)-$W16),INDEX($W$9:$W$150,MATCH($II16,$M$9:$M$150,0))-$W16),""),"")</f>
        <v>15.116397817462143</v>
      </c>
      <c r="IM16" s="759">
        <v>1.3852848332717001E-2</v>
      </c>
      <c r="IN16" s="5">
        <f>IF(ISNUMBER($II16),(($IO16*12)/60)/$AS$3,"")</f>
        <v>0.36</v>
      </c>
      <c r="IO16" s="771">
        <v>180</v>
      </c>
      <c r="IP16" s="9">
        <f>IF(ISNUMBER($II16),(INDEX($X$9:$X$150,MATCH($II16,$M$9:$M$150,0))*-1),"")</f>
        <v>-3.4385103705472777</v>
      </c>
      <c r="IQ16" s="5">
        <f>IF(ISNUMBER($II16),INDEX($Y$9:$Y$150,MATCH($II16,$M$9:$M$150,0)),"")</f>
        <v>-0.44510134242564875</v>
      </c>
      <c r="IR16" s="5">
        <f t="shared" si="71"/>
        <v>0.314</v>
      </c>
      <c r="IS16" s="5">
        <f>IF(ISNUMBER($II16),$IR16*COS(RADIANS(INDEX($AO$9:$AO$150,MATCH($II16,$M$9:$M$150,0)))),"")</f>
        <v>0.30034901169269151</v>
      </c>
      <c r="IT16" s="727">
        <f>IF(ISNUMBER($II16),(-1*INDEX($AN$9:$AN$150,MATCH($II16,$M$9:$M$150,0))),"")</f>
        <v>57.7523137998067</v>
      </c>
      <c r="IU16" s="9">
        <f>IF(ISNUMBER($II16),-$X16,"")</f>
        <v>-3.4645104489635146</v>
      </c>
      <c r="IV16" s="5">
        <f>IF(ISNUMBER($II16),$Y16,"")</f>
        <v>-0.41540125285017859</v>
      </c>
      <c r="IW16" s="5">
        <f t="shared" si="76"/>
        <v>0.26600000000000001</v>
      </c>
      <c r="IX16" s="5">
        <f>IF(ISNUMBER($II16),$IW16*COS(RADIANS($AO16)),"")</f>
        <v>0.24752566598966583</v>
      </c>
      <c r="IY16" s="762">
        <f>IF(ISNUMBER($II16),(-1*$AN16),"")</f>
        <v>51.588438096078477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1.2205373963746042</v>
      </c>
      <c r="C17" s="708">
        <v>3.7153674388019509</v>
      </c>
      <c r="D17" s="709">
        <v>-1.061203200588853</v>
      </c>
      <c r="E17" s="710">
        <v>-0.71768619297978975</v>
      </c>
      <c r="F17" s="708">
        <v>0.67973356648831573</v>
      </c>
      <c r="G17" s="711">
        <v>0.15129047225536182</v>
      </c>
      <c r="H17" s="710">
        <v>0.26600000000000001</v>
      </c>
      <c r="I17" s="708">
        <v>0.52</v>
      </c>
      <c r="J17" s="570">
        <v>1.224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1.224</v>
      </c>
      <c r="N17" s="632">
        <f t="shared" si="2"/>
        <v>1.2205373963746042</v>
      </c>
      <c r="O17" s="629">
        <f t="shared" si="3"/>
        <v>3.7153674388019509</v>
      </c>
      <c r="P17" s="633">
        <f t="shared" si="4"/>
        <v>-1.061203200588853</v>
      </c>
      <c r="Q17" s="585">
        <f>IF(M17="","",IF(DEGREES(ATAN2(N17,O17))&lt;0,DEGREES(ATAN2(N17,O17))+360,IF(DEGREES(ATAN2(N17,O17))&gt;360,DEGREES(ATAN2(N17,O17))-360,DEGREES(ATAN2(N17,O17)))))</f>
        <v>71.814102625718718</v>
      </c>
      <c r="R17" s="629">
        <f>IF(M17="","",SQRT(N17^2+O17^2))</f>
        <v>3.9107117947067724</v>
      </c>
      <c r="S17" s="634">
        <f>IF(M17="","",P17)</f>
        <v>-1.061203200588853</v>
      </c>
      <c r="T17" s="635">
        <f>IF(M17="","",X17*COS(RADIANS(W17)))</f>
        <v>3.7491652272739424</v>
      </c>
      <c r="U17" s="629">
        <f>IF(M17="","",X17*SIN(RADIANS(W17)))</f>
        <v>-1.1123968895401457</v>
      </c>
      <c r="V17" s="636">
        <f>IF(M17="","",Y17)</f>
        <v>-1.061203200588853</v>
      </c>
      <c r="W17" s="585">
        <f t="shared" si="224"/>
        <v>343.47410238604436</v>
      </c>
      <c r="X17" s="629">
        <f>IF(M17="","",R17)</f>
        <v>3.9107117947067724</v>
      </c>
      <c r="Y17" s="630">
        <f t="shared" si="223"/>
        <v>-1.061203200588853</v>
      </c>
      <c r="Z17" s="632">
        <f t="shared" si="6"/>
        <v>0.71768619297978975</v>
      </c>
      <c r="AA17" s="629">
        <f t="shared" si="7"/>
        <v>-0.67973356648831573</v>
      </c>
      <c r="AB17" s="629">
        <f t="shared" si="8"/>
        <v>-0.15129047225536182</v>
      </c>
      <c r="AC17" s="636">
        <f>IF(M17="","",SQRT(Z17^2+AA17^2+AB17^2))</f>
        <v>1</v>
      </c>
      <c r="AD17" s="637">
        <f>IF(M17="","",Z17*(1/SQRT(Z17^2+AA17^2+AB17^2)))</f>
        <v>0.71768619297978975</v>
      </c>
      <c r="AE17" s="629">
        <f>IF(M17="","",AA17*(1/SQRT(Z17^2+AA17^2+AB17^2)))</f>
        <v>-0.67973356648831573</v>
      </c>
      <c r="AF17" s="633">
        <f>IF(M17="","",AB17*(1/SQRT(Z17^2+AA17^2+AB17^2)))</f>
        <v>-0.15129047225536182</v>
      </c>
      <c r="AG17" s="602">
        <f>IF(M17="","",DEGREES(ATAN2(-AF17,AE17)))</f>
        <v>-77.452030725634543</v>
      </c>
      <c r="AH17" s="603">
        <f>IF(M17="","",DEGREES(ACOS(AD17)))</f>
        <v>44.13622282240938</v>
      </c>
      <c r="AI17" s="585">
        <f>IF(M17="","",DEGREES(-ACOS(-AF17)))</f>
        <v>-81.298281285455744</v>
      </c>
      <c r="AJ17" s="586">
        <f>IF(M17="","",DEGREES(ATAN2(-AE17,AD17)))</f>
        <v>46.555717877028314</v>
      </c>
      <c r="AK17" s="635">
        <f>IF(M17="","",(COS(RADIANS((90-$Q$8)-W17))*AD17)+(-SIN(RADIANS((90-$Q$8)-W17))*AE17))</f>
        <v>0.89398256217115557</v>
      </c>
      <c r="AL17" s="629">
        <f>IF(M17="","",(SIN(RADIANS((90-$Q$8)-W17))*AD17)+(COS(RADIANS((90-$Q$8)-W17))*AE17))</f>
        <v>-0.42178948723106591</v>
      </c>
      <c r="AM17" s="634">
        <f>IF(M17="","",AF17)</f>
        <v>-0.15129047225536182</v>
      </c>
      <c r="AN17" s="581">
        <f>IF(M17="","",DEGREES(ATAN2(-AM17,AL17)))</f>
        <v>-70.267741725730431</v>
      </c>
      <c r="AO17" s="582">
        <f t="shared" si="94"/>
        <v>26.621959289657092</v>
      </c>
      <c r="AP17" s="585">
        <f>IF(M17="","",DEGREES(ATAN2(AK17,AL17)))</f>
        <v>-25.258384748690347</v>
      </c>
      <c r="AQ17" s="586">
        <f t="shared" si="9"/>
        <v>0.58292405412823278</v>
      </c>
      <c r="AS17" s="52">
        <f t="shared" si="116"/>
        <v>-16.525897613955635</v>
      </c>
      <c r="AT17" s="72">
        <f t="shared" si="10"/>
        <v>-1.0485741051900466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1.224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1.1240000000000001</v>
      </c>
      <c r="II17" s="734" cm="1">
        <f t="array" ref="II17">IFERROR(ROUND(VALUE(IF($IH17&lt;1,$IH17+LARGE((IF($M$9:$M$150="",0,$M$9:$M$150)-MOD(IF($M$9:$M$150="",0,$M$9:$M$150),1)),1),$IH17)),4),"")</f>
        <v>1.1240000000000001</v>
      </c>
      <c r="IJ17" s="533">
        <f t="shared" si="112"/>
        <v>1613</v>
      </c>
      <c r="IK17" s="533">
        <f t="shared" si="66"/>
        <v>1313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14.005897977798554</v>
      </c>
      <c r="IM17" s="759">
        <v>8.4043899545407502E-3</v>
      </c>
      <c r="IN17" s="5">
        <f t="shared" ref="IN17:IN80" si="226">IF(ISNUMBER($II17),(($IO17*12)/60)/$AS$3,"")</f>
        <v>0.34</v>
      </c>
      <c r="IO17" s="771">
        <v>170</v>
      </c>
      <c r="IP17" s="9">
        <f t="shared" ref="IP17:IP80" si="227">IF(ISNUMBER($II17),(INDEX($X$9:$X$150,MATCH($II17,$M$9:$M$150,0))*-1),"")</f>
        <v>-3.8701116722568032</v>
      </c>
      <c r="IQ17" s="5">
        <f t="shared" ref="IQ17:IQ80" si="228">IF(ISNUMBER($II17),INDEX($Y$9:$Y$150,MATCH($II17,$M$9:$M$150,0)),"")</f>
        <v>-1.081203260909035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0.29105079900306008</v>
      </c>
      <c r="IT17" s="727">
        <f t="shared" ref="IT17:IT80" si="230">IF(ISNUMBER($II17),(-1*INDEX($AN$9:$AN$150,MATCH($II17,$M$9:$M$150,0))),"")</f>
        <v>74.724361399806881</v>
      </c>
      <c r="IU17" s="9">
        <f t="shared" ref="IU17:IU80" si="231">IF(ISNUMBER($II17),-$X17,"")</f>
        <v>-3.9107117947067724</v>
      </c>
      <c r="IV17" s="5">
        <f t="shared" ref="IV17:IV80" si="232">IF(ISNUMBER($II17),$Y17,"")</f>
        <v>-1.061203200588853</v>
      </c>
      <c r="IW17" s="5">
        <f t="shared" si="76"/>
        <v>0.26600000000000001</v>
      </c>
      <c r="IX17" s="5">
        <f t="shared" ref="IX17:IX80" si="233">IF(ISNUMBER($II17),$IW17*COS(RADIANS($AO17)),"")</f>
        <v>0.2377993615375274</v>
      </c>
      <c r="IY17" s="762">
        <f t="shared" ref="IY17:IY80" si="234">IF(ISNUMBER($II17),(-1*$AN17),"")</f>
        <v>70.267741725730431</v>
      </c>
    </row>
    <row r="18" spans="1:269" ht="15" customHeight="1" x14ac:dyDescent="0.25">
      <c r="A18" s="79"/>
      <c r="B18" s="707">
        <v>2.0593460108582673</v>
      </c>
      <c r="C18" s="708">
        <v>1.1923188851534232</v>
      </c>
      <c r="D18" s="709">
        <v>-3.4900105258717458E-2</v>
      </c>
      <c r="E18" s="710">
        <v>-0.42589638850974482</v>
      </c>
      <c r="F18" s="708">
        <v>0.87863918214944825</v>
      </c>
      <c r="G18" s="711">
        <v>0.21588296330675427</v>
      </c>
      <c r="H18" s="710">
        <v>0.314</v>
      </c>
      <c r="I18" s="708">
        <v>0.52</v>
      </c>
      <c r="J18" s="570">
        <v>2.109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2.109</v>
      </c>
      <c r="N18" s="632">
        <f t="shared" si="2"/>
        <v>2.0593460108582673</v>
      </c>
      <c r="O18" s="629">
        <f t="shared" si="3"/>
        <v>1.1923188851534232</v>
      </c>
      <c r="P18" s="633">
        <f t="shared" si="4"/>
        <v>-3.4900105258717458E-2</v>
      </c>
      <c r="Q18" s="585">
        <f t="shared" si="113"/>
        <v>30.069956675258638</v>
      </c>
      <c r="R18" s="629">
        <f>IF(M18="","",SQRT(N18^2+O18^2))</f>
        <v>2.3796071768952456</v>
      </c>
      <c r="S18" s="634">
        <f>IF(M18="","",P18)</f>
        <v>-3.4900105258717458E-2</v>
      </c>
      <c r="T18" s="635">
        <f>IF(M18="","",X18*COS(RADIANS(W18)))</f>
        <v>1.251474477907923</v>
      </c>
      <c r="U18" s="629">
        <f>IF(M18="","",X18*SIN(RADIANS(W18)))</f>
        <v>-2.0239421798748234</v>
      </c>
      <c r="V18" s="636">
        <f>IF(M18="","",Y18)</f>
        <v>-3.4900105258717458E-2</v>
      </c>
      <c r="W18" s="585">
        <f t="shared" si="224"/>
        <v>301.72995643558431</v>
      </c>
      <c r="X18" s="629">
        <f>IF(M18="","",R18)</f>
        <v>2.3796071768952456</v>
      </c>
      <c r="Y18" s="630">
        <f t="shared" si="223"/>
        <v>-3.4900105258717458E-2</v>
      </c>
      <c r="Z18" s="632">
        <f t="shared" si="6"/>
        <v>0.42589638850974482</v>
      </c>
      <c r="AA18" s="629">
        <f t="shared" si="7"/>
        <v>-0.87863918214944825</v>
      </c>
      <c r="AB18" s="629">
        <f t="shared" si="8"/>
        <v>-0.21588296330675427</v>
      </c>
      <c r="AC18" s="636">
        <f>IF(M18="","",SQRT(Z18^2+AA18^2+AB18^2))</f>
        <v>1</v>
      </c>
      <c r="AD18" s="637">
        <f>IF(M18="","",Z18*(1/SQRT(Z18^2+AA18^2+AB18^2)))</f>
        <v>0.42589638850974482</v>
      </c>
      <c r="AE18" s="629">
        <f>IF(M18="","",AA18*(1/SQRT(Z18^2+AA18^2+AB18^2)))</f>
        <v>-0.87863918214944825</v>
      </c>
      <c r="AF18" s="633">
        <f>IF(M18="","",AB18*(1/SQRT(Z18^2+AA18^2+AB18^2)))</f>
        <v>-0.21588296330675427</v>
      </c>
      <c r="AG18" s="602">
        <f>IF(M18="","",DEGREES(ATAN2(-AF18,AE18)))</f>
        <v>-76.195788551489358</v>
      </c>
      <c r="AH18" s="603">
        <f>IF(M18="","",DEGREES(ACOS(AD18)))</f>
        <v>64.792584919933816</v>
      </c>
      <c r="AI18" s="585">
        <f>IF(M18="","",DEGREES(-ACOS(-AF18)))</f>
        <v>-77.532666033520599</v>
      </c>
      <c r="AJ18" s="586">
        <f>IF(M18="","",DEGREES(ATAN2(-AE18,AD18)))</f>
        <v>25.860522974845466</v>
      </c>
      <c r="AK18" s="635">
        <f>IF(M18="","",(COS(RADIANS((90-$Q$8)-W18))*AD18)+(-SIN(RADIANS((90-$Q$8)-W18))*AE18))</f>
        <v>0.97378526354312356</v>
      </c>
      <c r="AL18" s="629">
        <f>IF(M18="","",(SIN(RADIANS((90-$Q$8)-W18))*AD18)+(COS(RADIANS((90-$Q$8)-W18))*AE18))</f>
        <v>-7.1671519170059483E-2</v>
      </c>
      <c r="AM18" s="634">
        <f>IF(M18="","",AF18)</f>
        <v>-0.21588296330675427</v>
      </c>
      <c r="AN18" s="581">
        <f>IF(M18="","",DEGREES(ATAN2(-AM18,AL18)))</f>
        <v>-18.365778030258479</v>
      </c>
      <c r="AO18" s="582">
        <f t="shared" si="94"/>
        <v>13.148121664355175</v>
      </c>
      <c r="AP18" s="585">
        <f>IF(M18="","",DEGREES(ATAN2(AK18,AL18)))</f>
        <v>-4.2094337004131415</v>
      </c>
      <c r="AQ18" s="586">
        <f t="shared" si="9"/>
        <v>0.95793718921903759</v>
      </c>
      <c r="AS18" s="52">
        <f t="shared" si="116"/>
        <v>-58.270043564415687</v>
      </c>
      <c r="AT18" s="72">
        <f t="shared" si="10"/>
        <v>6.7179803834640575E-3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2.109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2.7422084523039367</v>
      </c>
      <c r="C19" s="708">
        <v>1.4938563900023514</v>
      </c>
      <c r="D19" s="709">
        <v>-0.23130069760290389</v>
      </c>
      <c r="E19" s="710">
        <v>-0.29783788838429459</v>
      </c>
      <c r="F19" s="708">
        <v>0.93928327028248249</v>
      </c>
      <c r="G19" s="711">
        <v>0.17040988941440416</v>
      </c>
      <c r="H19" s="710">
        <v>0.314</v>
      </c>
      <c r="I19" s="708">
        <v>0.52</v>
      </c>
      <c r="J19" s="570">
        <v>2.1150000000000002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2.1150000000000002</v>
      </c>
      <c r="N19" s="632">
        <f t="shared" si="2"/>
        <v>2.7422084523039367</v>
      </c>
      <c r="O19" s="629">
        <f t="shared" si="3"/>
        <v>1.4938563900023514</v>
      </c>
      <c r="P19" s="633">
        <f t="shared" si="4"/>
        <v>-0.23130069760290389</v>
      </c>
      <c r="Q19" s="585">
        <f t="shared" si="113"/>
        <v>28.579956890387987</v>
      </c>
      <c r="R19" s="629">
        <f>IF(M19="","",SQRT(N19^2+O19^2))</f>
        <v>3.1227094180916048</v>
      </c>
      <c r="S19" s="634">
        <f>IF(M19="","",P19)</f>
        <v>-0.23130069760290389</v>
      </c>
      <c r="T19" s="635">
        <f>IF(M19="","",X19*COS(RADIANS(W19)))</f>
        <v>1.5726668738082652</v>
      </c>
      <c r="U19" s="629">
        <f>IF(M19="","",X19*SIN(RADIANS(W19)))</f>
        <v>-2.6977829812392522</v>
      </c>
      <c r="V19" s="636">
        <f>IF(M19="","",Y19)</f>
        <v>-0.23130069760290389</v>
      </c>
      <c r="W19" s="585">
        <f t="shared" si="224"/>
        <v>300.23995665071368</v>
      </c>
      <c r="X19" s="629">
        <f>IF(M19="","",R19)</f>
        <v>3.1227094180916048</v>
      </c>
      <c r="Y19" s="630">
        <f t="shared" si="223"/>
        <v>-0.23130069760290389</v>
      </c>
      <c r="Z19" s="632">
        <f t="shared" si="6"/>
        <v>0.29783788838429459</v>
      </c>
      <c r="AA19" s="629">
        <f t="shared" si="7"/>
        <v>-0.93928327028248249</v>
      </c>
      <c r="AB19" s="629">
        <f t="shared" si="8"/>
        <v>-0.17040988941440416</v>
      </c>
      <c r="AC19" s="636">
        <f>IF(M19="","",SQRT(Z19^2+AA19^2+AB19^2))</f>
        <v>1</v>
      </c>
      <c r="AD19" s="637">
        <f>IF(M19="","",Z19*(1/SQRT(Z19^2+AA19^2+AB19^2)))</f>
        <v>0.29783788838429459</v>
      </c>
      <c r="AE19" s="629">
        <f>IF(M19="","",AA19*(1/SQRT(Z19^2+AA19^2+AB19^2)))</f>
        <v>-0.93928327028248249</v>
      </c>
      <c r="AF19" s="633">
        <f>IF(M19="","",AB19*(1/SQRT(Z19^2+AA19^2+AB19^2)))</f>
        <v>-0.17040988941440416</v>
      </c>
      <c r="AG19" s="602">
        <f>IF(M19="","",DEGREES(ATAN2(-AF19,AE19)))</f>
        <v>-79.716936885408018</v>
      </c>
      <c r="AH19" s="603">
        <f>IF(M19="","",DEGREES(ACOS(AD19)))</f>
        <v>72.672212128412539</v>
      </c>
      <c r="AI19" s="585">
        <f>IF(M19="","",DEGREES(-ACOS(-AF19)))</f>
        <v>-80.188348259395084</v>
      </c>
      <c r="AJ19" s="586">
        <f>IF(M19="","",DEGREES(ATAN2(-AE19,AD19)))</f>
        <v>17.593331547617044</v>
      </c>
      <c r="AK19" s="635">
        <f>IF(M19="","",(COS(RADIANS((90-$Q$8)-W19))*AD19)+(-SIN(RADIANS((90-$Q$8)-W19))*AE19))</f>
        <v>0.96731304492302317</v>
      </c>
      <c r="AL19" s="629">
        <f>IF(M19="","",(SIN(RADIANS((90-$Q$8)-W19))*AD19)+(COS(RADIANS((90-$Q$8)-W19))*AE19))</f>
        <v>-0.18779228608097759</v>
      </c>
      <c r="AM19" s="634">
        <f>IF(M19="","",AF19)</f>
        <v>-0.17040988941440416</v>
      </c>
      <c r="AN19" s="581">
        <f>IF(M19="","",DEGREES(ATAN2(-AM19,AL19)))</f>
        <v>-47.778200069023725</v>
      </c>
      <c r="AO19" s="582">
        <f t="shared" si="94"/>
        <v>14.689770045378204</v>
      </c>
      <c r="AP19" s="585">
        <f>IF(M19="","",DEGREES(ATAN2(AK19,AL19)))</f>
        <v>-10.986625342770918</v>
      </c>
      <c r="AQ19" s="586">
        <f t="shared" si="9"/>
        <v>0.73000813273898335</v>
      </c>
      <c r="AS19" s="52">
        <f t="shared" si="116"/>
        <v>-59.76004334928632</v>
      </c>
      <c r="AT19" s="72">
        <f t="shared" si="10"/>
        <v>-0.18864788988789555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2.1150000000000002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3.2827069620030835</v>
      </c>
      <c r="C20" s="708">
        <v>1.6907020718127299</v>
      </c>
      <c r="D20" s="709">
        <v>-0.74730225386359772</v>
      </c>
      <c r="E20" s="710">
        <v>-0.16447947699704912</v>
      </c>
      <c r="F20" s="708">
        <v>0.9781104800769056</v>
      </c>
      <c r="G20" s="711">
        <v>0.12746132907867685</v>
      </c>
      <c r="H20" s="710">
        <v>0.314</v>
      </c>
      <c r="I20" s="708">
        <v>0.52</v>
      </c>
      <c r="J20" s="570">
        <v>2.121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2.121</v>
      </c>
      <c r="N20" s="632">
        <f t="shared" si="2"/>
        <v>3.2827069620030835</v>
      </c>
      <c r="O20" s="629">
        <f t="shared" si="3"/>
        <v>1.6907020718127299</v>
      </c>
      <c r="P20" s="633">
        <f t="shared" si="4"/>
        <v>-0.74730225386359772</v>
      </c>
      <c r="Q20" s="585">
        <f t="shared" si="113"/>
        <v>27.249957082416195</v>
      </c>
      <c r="R20" s="629">
        <f>IF(M20="","",SQRT(N20^2+O20^2))</f>
        <v>3.6925111366135881</v>
      </c>
      <c r="S20" s="634">
        <f>IF(M20="","",P20)</f>
        <v>-0.74730225386359772</v>
      </c>
      <c r="T20" s="635">
        <f>IF(M20="","",X20*COS(RADIANS(W20)))</f>
        <v>1.7850873264360887</v>
      </c>
      <c r="U20" s="629">
        <f>IF(M20="","",X20*SIN(RADIANS(W20)))</f>
        <v>-3.2323523525464593</v>
      </c>
      <c r="V20" s="636">
        <f>IF(M20="","",Y20)</f>
        <v>-0.74730225386359772</v>
      </c>
      <c r="W20" s="585">
        <f t="shared" si="224"/>
        <v>298.90995684274185</v>
      </c>
      <c r="X20" s="629">
        <f>IF(M20="","",R20)</f>
        <v>3.6925111366135881</v>
      </c>
      <c r="Y20" s="630">
        <f t="shared" si="223"/>
        <v>-0.74730225386359772</v>
      </c>
      <c r="Z20" s="632">
        <f t="shared" si="6"/>
        <v>0.16447947699704912</v>
      </c>
      <c r="AA20" s="629">
        <f t="shared" si="7"/>
        <v>-0.9781104800769056</v>
      </c>
      <c r="AB20" s="629">
        <f t="shared" si="8"/>
        <v>-0.12746132907867685</v>
      </c>
      <c r="AC20" s="636">
        <f>IF(M20="","",SQRT(Z20^2+AA20^2+AB20^2))</f>
        <v>1</v>
      </c>
      <c r="AD20" s="637">
        <f>IF(M20="","",Z20*(1/SQRT(Z20^2+AA20^2+AB20^2)))</f>
        <v>0.16447947699704912</v>
      </c>
      <c r="AE20" s="629">
        <f>IF(M20="","",AA20*(1/SQRT(Z20^2+AA20^2+AB20^2)))</f>
        <v>-0.9781104800769056</v>
      </c>
      <c r="AF20" s="633">
        <f>IF(M20="","",AB20*(1/SQRT(Z20^2+AA20^2+AB20^2)))</f>
        <v>-0.12746132907867685</v>
      </c>
      <c r="AG20" s="602">
        <f>IF(M20="","",DEGREES(ATAN2(-AF20,AE20)))</f>
        <v>-82.57540591750876</v>
      </c>
      <c r="AH20" s="603">
        <f>IF(M20="","",DEGREES(ACOS(AD20)))</f>
        <v>80.533002427617362</v>
      </c>
      <c r="AI20" s="585">
        <f>IF(M20="","",DEGREES(-ACOS(-AF20)))</f>
        <v>-82.677083255063351</v>
      </c>
      <c r="AJ20" s="586">
        <f>IF(M20="","",DEGREES(ATAN2(-AE20,AD20)))</f>
        <v>9.5455750639224419</v>
      </c>
      <c r="AK20" s="635">
        <f>IF(M20="","",(COS(RADIANS((90-$Q$8)-W20))*AD20)+(-SIN(RADIANS((90-$Q$8)-W20))*AE20))</f>
        <v>0.94486807107802939</v>
      </c>
      <c r="AL20" s="629">
        <f>IF(M20="","",(SIN(RADIANS((90-$Q$8)-W20))*AD20)+(COS(RADIANS((90-$Q$8)-W20))*AE20))</f>
        <v>-0.30162549270043737</v>
      </c>
      <c r="AM20" s="634">
        <f>IF(M20="","",AF20)</f>
        <v>-0.12746132907867685</v>
      </c>
      <c r="AN20" s="581">
        <f>IF(M20="","",DEGREES(ATAN2(-AM20,AL20)))</f>
        <v>-67.091983881703726</v>
      </c>
      <c r="AO20" s="582">
        <f t="shared" si="94"/>
        <v>19.114150208768383</v>
      </c>
      <c r="AP20" s="585">
        <f>IF(M20="","",DEGREES(ATAN2(AK20,AL20)))</f>
        <v>-17.7043820184937</v>
      </c>
      <c r="AQ20" s="586">
        <f t="shared" si="9"/>
        <v>0.61736805098500358</v>
      </c>
      <c r="AS20" s="52">
        <f t="shared" si="116"/>
        <v>-61.090043157258151</v>
      </c>
      <c r="AT20" s="72">
        <f t="shared" si="10"/>
        <v>-0.7037258351708312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2.121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3.5423347037710595</v>
      </c>
      <c r="C21" s="708">
        <v>1.7730925498727594</v>
      </c>
      <c r="D21" s="709">
        <v>-1.4673044253901473</v>
      </c>
      <c r="E21" s="710">
        <v>-3.3162188402050125E-2</v>
      </c>
      <c r="F21" s="708">
        <v>0.99785124358659805</v>
      </c>
      <c r="G21" s="711">
        <v>5.6508096172731087E-2</v>
      </c>
      <c r="H21" s="710">
        <v>0.314</v>
      </c>
      <c r="I21" s="708">
        <v>0.52</v>
      </c>
      <c r="J21" s="570">
        <v>2.1269999999999998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2.1269999999999998</v>
      </c>
      <c r="N21" s="632">
        <f t="shared" si="2"/>
        <v>3.5423347037710595</v>
      </c>
      <c r="O21" s="629">
        <f t="shared" si="3"/>
        <v>1.7730925498727594</v>
      </c>
      <c r="P21" s="633">
        <f t="shared" si="4"/>
        <v>-1.4673044253901473</v>
      </c>
      <c r="Q21" s="585">
        <f t="shared" si="113"/>
        <v>26.589957177708392</v>
      </c>
      <c r="R21" s="629">
        <f>IF(M21="","",SQRT(N21^2+O21^2))</f>
        <v>3.9613119473168337</v>
      </c>
      <c r="S21" s="634">
        <f>IF(M21="","",P21)</f>
        <v>-1.4673044253901473</v>
      </c>
      <c r="T21" s="635">
        <f>IF(M21="","",X21*COS(RADIANS(W21)))</f>
        <v>1.8749642299172999</v>
      </c>
      <c r="U21" s="629">
        <f>IF(M21="","",X21*SIN(RADIANS(W21)))</f>
        <v>-3.4894844147073805</v>
      </c>
      <c r="V21" s="636">
        <f>IF(M21="","",Y21)</f>
        <v>-1.4673044253901473</v>
      </c>
      <c r="W21" s="585">
        <f t="shared" si="224"/>
        <v>298.24995693803407</v>
      </c>
      <c r="X21" s="629">
        <f>IF(M21="","",R21)</f>
        <v>3.9613119473168337</v>
      </c>
      <c r="Y21" s="630">
        <f t="shared" si="223"/>
        <v>-1.4673044253901473</v>
      </c>
      <c r="Z21" s="632">
        <f t="shared" si="6"/>
        <v>3.3162188402050125E-2</v>
      </c>
      <c r="AA21" s="629">
        <f t="shared" si="7"/>
        <v>-0.99785124358659805</v>
      </c>
      <c r="AB21" s="629">
        <f t="shared" si="8"/>
        <v>-5.6508096172731087E-2</v>
      </c>
      <c r="AC21" s="636">
        <f>IF(M21="","",SQRT(Z21^2+AA21^2+AB21^2))</f>
        <v>1</v>
      </c>
      <c r="AD21" s="637">
        <f>IF(M21="","",Z21*(1/SQRT(Z21^2+AA21^2+AB21^2)))</f>
        <v>3.3162188402050125E-2</v>
      </c>
      <c r="AE21" s="629">
        <f>IF(M21="","",AA21*(1/SQRT(Z21^2+AA21^2+AB21^2)))</f>
        <v>-0.99785124358659805</v>
      </c>
      <c r="AF21" s="633">
        <f>IF(M21="","",AB21*(1/SQRT(Z21^2+AA21^2+AB21^2)))</f>
        <v>-5.6508096172731087E-2</v>
      </c>
      <c r="AG21" s="602">
        <f>IF(M21="","",DEGREES(ATAN2(-AF21,AE21)))</f>
        <v>-86.758814419969482</v>
      </c>
      <c r="AH21" s="603">
        <f>IF(M21="","",DEGREES(ACOS(AD21)))</f>
        <v>88.099598134824959</v>
      </c>
      <c r="AI21" s="585">
        <f>IF(M21="","",DEGREES(-ACOS(-AF21)))</f>
        <v>-86.760599028407682</v>
      </c>
      <c r="AJ21" s="586">
        <f>IF(M21="","",DEGREES(ATAN2(-AE21,AD21)))</f>
        <v>1.9034444177655239</v>
      </c>
      <c r="AK21" s="635">
        <f>IF(M21="","",(COS(RADIANS((90-$Q$8)-W21))*AD21)+(-SIN(RADIANS((90-$Q$8)-W21))*AE21))</f>
        <v>0.90715469176445829</v>
      </c>
      <c r="AL21" s="629">
        <f>IF(M21="","",(SIN(RADIANS((90-$Q$8)-W21))*AD21)+(COS(RADIANS((90-$Q$8)-W21))*AE21))</f>
        <v>-0.41698585141064914</v>
      </c>
      <c r="AM21" s="634">
        <f>IF(M21="","",AF21)</f>
        <v>-5.6508096172731087E-2</v>
      </c>
      <c r="AN21" s="581">
        <f>IF(M21="","",DEGREES(ATAN2(-AM21,AL21)))</f>
        <v>-82.282540149162955</v>
      </c>
      <c r="AO21" s="582">
        <f>IF(ROUND(IF(M21="",0,DEGREES(ACOS(AK21))),4)=90,0,IF(M21="","",DEGREES(ACOS(AK21))))</f>
        <v>24.884934419958924</v>
      </c>
      <c r="AP21" s="585">
        <f>IF(M21="","",DEGREES(ATAN2(AK21,AL21)))</f>
        <v>-24.686512759942829</v>
      </c>
      <c r="AQ21" s="586">
        <f t="shared" si="9"/>
        <v>0.575478528515593</v>
      </c>
      <c r="AS21" s="52">
        <f t="shared" si="116"/>
        <v>-61.750043061965926</v>
      </c>
      <c r="AT21" s="72">
        <f t="shared" si="10"/>
        <v>-1.4232696734302226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2.1269999999999998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3.5871945275442854</v>
      </c>
      <c r="C22" s="708">
        <v>1.7783550144596256</v>
      </c>
      <c r="D22" s="709">
        <v>-2.2370067468123485</v>
      </c>
      <c r="E22" s="710">
        <v>6.3313746361842907E-2</v>
      </c>
      <c r="F22" s="708">
        <v>0.99799367208495637</v>
      </c>
      <c r="G22" s="711">
        <v>1.1339743354722373E-7</v>
      </c>
      <c r="H22" s="710">
        <v>0.314</v>
      </c>
      <c r="I22" s="708">
        <v>0.52</v>
      </c>
      <c r="J22" s="570">
        <v>2.133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1613</v>
      </c>
      <c r="L22" s="1313" t="str">
        <f>IF($L21=$JH$22,$JH$30,IF($L21=$JI$22,$JI$30,""))</f>
        <v/>
      </c>
      <c r="M22" s="168">
        <f t="shared" si="1"/>
        <v>2.133</v>
      </c>
      <c r="N22" s="632">
        <f t="shared" si="2"/>
        <v>3.5871945275442854</v>
      </c>
      <c r="O22" s="629">
        <f t="shared" si="3"/>
        <v>1.7783550144596256</v>
      </c>
      <c r="P22" s="633">
        <f t="shared" si="4"/>
        <v>-2.2370067468123485</v>
      </c>
      <c r="Q22" s="585">
        <f t="shared" si="113"/>
        <v>26.369957209472457</v>
      </c>
      <c r="R22" s="629">
        <f t="shared" si="79"/>
        <v>4.0038120754972208</v>
      </c>
      <c r="S22" s="634">
        <f t="shared" si="80"/>
        <v>-2.2370067468123485</v>
      </c>
      <c r="T22" s="635">
        <f t="shared" si="81"/>
        <v>1.8815240036845995</v>
      </c>
      <c r="U22" s="629">
        <f t="shared" si="82"/>
        <v>-3.5341729668277466</v>
      </c>
      <c r="V22" s="636">
        <f t="shared" si="114"/>
        <v>-2.2370067468123485</v>
      </c>
      <c r="W22" s="585">
        <f t="shared" si="224"/>
        <v>298.02995696979815</v>
      </c>
      <c r="X22" s="629">
        <f t="shared" si="83"/>
        <v>4.0038120754972208</v>
      </c>
      <c r="Y22" s="630">
        <f t="shared" si="223"/>
        <v>-2.2370067468123485</v>
      </c>
      <c r="Z22" s="632">
        <f t="shared" si="6"/>
        <v>-6.3313746361842907E-2</v>
      </c>
      <c r="AA22" s="629">
        <f t="shared" si="7"/>
        <v>-0.99799367208495637</v>
      </c>
      <c r="AB22" s="629">
        <f t="shared" si="8"/>
        <v>-1.1339743354722373E-7</v>
      </c>
      <c r="AC22" s="636">
        <f t="shared" si="84"/>
        <v>1</v>
      </c>
      <c r="AD22" s="637">
        <f t="shared" si="115"/>
        <v>-6.3313746361842907E-2</v>
      </c>
      <c r="AE22" s="629">
        <f t="shared" si="85"/>
        <v>-0.99799367208495637</v>
      </c>
      <c r="AF22" s="633">
        <f t="shared" si="86"/>
        <v>-1.1339743354722373E-7</v>
      </c>
      <c r="AG22" s="602">
        <f t="shared" si="87"/>
        <v>-89.999993489743943</v>
      </c>
      <c r="AH22" s="603">
        <f t="shared" si="88"/>
        <v>93.630038459063414</v>
      </c>
      <c r="AI22" s="585">
        <f t="shared" si="89"/>
        <v>-89.999993502805651</v>
      </c>
      <c r="AJ22" s="586">
        <f t="shared" si="90"/>
        <v>-3.6300384590634396</v>
      </c>
      <c r="AK22" s="635">
        <f t="shared" si="211"/>
        <v>0.86602544158358574</v>
      </c>
      <c r="AL22" s="629">
        <f t="shared" si="91"/>
        <v>-0.49999993452993807</v>
      </c>
      <c r="AM22" s="634">
        <f t="shared" si="92"/>
        <v>-1.1339743354722373E-7</v>
      </c>
      <c r="AN22" s="581">
        <f t="shared" si="93"/>
        <v>-89.999987005609611</v>
      </c>
      <c r="AO22" s="582">
        <f t="shared" si="94"/>
        <v>29.99999566853651</v>
      </c>
      <c r="AP22" s="585">
        <f t="shared" si="95"/>
        <v>-29.999995668535881</v>
      </c>
      <c r="AQ22" s="586">
        <f t="shared" si="9"/>
        <v>0.56937027668245765</v>
      </c>
      <c r="AS22" s="52">
        <f t="shared" si="116"/>
        <v>-61.97004303020185</v>
      </c>
      <c r="AT22" s="72">
        <f t="shared" si="10"/>
        <v>-2.1928192170967042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2.133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1613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3.0679038719589498</v>
      </c>
      <c r="C23" s="708">
        <v>0.67092285767363902</v>
      </c>
      <c r="D23" s="709">
        <v>-0.19940060139221383</v>
      </c>
      <c r="E23" s="710">
        <v>8.9580251916504122E-3</v>
      </c>
      <c r="F23" s="708">
        <v>0.96844148731742918</v>
      </c>
      <c r="G23" s="711">
        <v>0.2490799860026322</v>
      </c>
      <c r="H23" s="710">
        <v>0.26600000000000001</v>
      </c>
      <c r="I23" s="708">
        <v>0.52</v>
      </c>
      <c r="J23" s="570">
        <v>2.2149999999999999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2.2149999999999999</v>
      </c>
      <c r="N23" s="632">
        <f t="shared" si="2"/>
        <v>3.0679038719589498</v>
      </c>
      <c r="O23" s="629">
        <f t="shared" si="3"/>
        <v>0.67092285767363902</v>
      </c>
      <c r="P23" s="633">
        <f t="shared" si="4"/>
        <v>-0.19940060139221383</v>
      </c>
      <c r="Q23" s="585">
        <f t="shared" si="113"/>
        <v>12.335859235745501</v>
      </c>
      <c r="R23" s="629">
        <f t="shared" si="79"/>
        <v>3.1404094714749666</v>
      </c>
      <c r="S23" s="634">
        <f t="shared" si="80"/>
        <v>-0.19940060139221383</v>
      </c>
      <c r="T23" s="635">
        <f t="shared" si="81"/>
        <v>0.75951358187192264</v>
      </c>
      <c r="U23" s="629">
        <f t="shared" si="82"/>
        <v>-3.0471807900880714</v>
      </c>
      <c r="V23" s="636">
        <f t="shared" si="114"/>
        <v>-0.19940060139221383</v>
      </c>
      <c r="W23" s="585">
        <f t="shared" si="224"/>
        <v>283.99585899607121</v>
      </c>
      <c r="X23" s="629">
        <f t="shared" si="83"/>
        <v>3.1404094714749666</v>
      </c>
      <c r="Y23" s="630">
        <f t="shared" si="223"/>
        <v>-0.19940060139221383</v>
      </c>
      <c r="Z23" s="632">
        <f t="shared" si="6"/>
        <v>-8.9580251916504122E-3</v>
      </c>
      <c r="AA23" s="629">
        <f t="shared" si="7"/>
        <v>-0.96844148731742918</v>
      </c>
      <c r="AB23" s="629">
        <f t="shared" si="8"/>
        <v>-0.2490799860026322</v>
      </c>
      <c r="AC23" s="636">
        <f t="shared" si="84"/>
        <v>1</v>
      </c>
      <c r="AD23" s="637">
        <f t="shared" si="115"/>
        <v>-8.9580251916504122E-3</v>
      </c>
      <c r="AE23" s="629">
        <f t="shared" si="85"/>
        <v>-0.96844148731742918</v>
      </c>
      <c r="AF23" s="633">
        <f t="shared" si="86"/>
        <v>-0.2490799860026322</v>
      </c>
      <c r="AG23" s="602">
        <f t="shared" si="87"/>
        <v>-75.576331537689143</v>
      </c>
      <c r="AH23" s="603">
        <f t="shared" si="88"/>
        <v>90.513263900990438</v>
      </c>
      <c r="AI23" s="585">
        <f t="shared" si="89"/>
        <v>-75.576922814407311</v>
      </c>
      <c r="AJ23" s="586">
        <f t="shared" si="90"/>
        <v>-0.52996738099229068</v>
      </c>
      <c r="AK23" s="635">
        <f t="shared" si="211"/>
        <v>0.94416835504368612</v>
      </c>
      <c r="AL23" s="629">
        <f t="shared" si="91"/>
        <v>-0.21565082403512503</v>
      </c>
      <c r="AM23" s="634">
        <f t="shared" si="92"/>
        <v>-0.2490799860026322</v>
      </c>
      <c r="AN23" s="581">
        <f t="shared" si="93"/>
        <v>-40.885668508166496</v>
      </c>
      <c r="AO23" s="582">
        <f t="shared" si="94"/>
        <v>19.236207956002414</v>
      </c>
      <c r="AP23" s="585">
        <f t="shared" si="95"/>
        <v>-12.865826616737774</v>
      </c>
      <c r="AQ23" s="586">
        <f t="shared" si="9"/>
        <v>0.72589408439155123</v>
      </c>
      <c r="AS23" s="52">
        <f t="shared" si="116"/>
        <v>-76.004141003928794</v>
      </c>
      <c r="AT23" s="72">
        <f t="shared" si="10"/>
        <v>-0.14546717030592599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Nose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2.2149999999999999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2.1150000000000002</v>
      </c>
      <c r="II23" s="734" cm="1">
        <f t="array" ref="II23">IFERROR(ROUND(VALUE(IF($IH23&lt;1,$IH23+LARGE((IF($M$9:$M$150="",0,$M$9:$M$150)-MOD(IF($M$9:$M$150="",0,$M$9:$M$150),1)),1),$IH23)),4),"")</f>
        <v>2.1150000000000002</v>
      </c>
      <c r="IJ23" s="533">
        <f t="shared" si="112"/>
        <v>1613</v>
      </c>
      <c r="IK23" s="533">
        <f t="shared" si="66"/>
        <v>1313</v>
      </c>
      <c r="IL23" s="727">
        <f t="shared" si="225"/>
        <v>16.244097654642474</v>
      </c>
      <c r="IM23" s="759">
        <v>1.6545029300431901E-2</v>
      </c>
      <c r="IN23" s="5">
        <f t="shared" si="226"/>
        <v>0.36</v>
      </c>
      <c r="IO23" s="771">
        <v>180</v>
      </c>
      <c r="IP23" s="9">
        <f t="shared" si="227"/>
        <v>-3.1227094180916048</v>
      </c>
      <c r="IQ23" s="5">
        <f t="shared" si="228"/>
        <v>-0.23130069760290389</v>
      </c>
      <c r="IR23" s="5">
        <f t="shared" si="71"/>
        <v>0.314</v>
      </c>
      <c r="IS23" s="5">
        <f t="shared" si="229"/>
        <v>0.30373629610582925</v>
      </c>
      <c r="IT23" s="727">
        <f t="shared" si="230"/>
        <v>47.778200069023725</v>
      </c>
      <c r="IU23" s="9">
        <f t="shared" si="231"/>
        <v>-3.1404094714749666</v>
      </c>
      <c r="IV23" s="5">
        <f t="shared" si="232"/>
        <v>-0.19940060139221383</v>
      </c>
      <c r="IW23" s="5">
        <f t="shared" si="76"/>
        <v>0.26600000000000001</v>
      </c>
      <c r="IX23" s="5">
        <f t="shared" si="233"/>
        <v>0.25114878244162053</v>
      </c>
      <c r="IY23" s="762">
        <f t="shared" si="234"/>
        <v>40.885668508166496</v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16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801">
        <v>10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180</v>
      </c>
      <c r="JI23" s="801">
        <v>170</v>
      </c>
    </row>
    <row r="24" spans="1:269" ht="15" customHeight="1" x14ac:dyDescent="0.25">
      <c r="A24" s="79"/>
      <c r="B24" s="707">
        <v>3.629249641448046</v>
      </c>
      <c r="C24" s="708">
        <v>0.84451005448892813</v>
      </c>
      <c r="D24" s="709">
        <v>-0.72140217574896215</v>
      </c>
      <c r="E24" s="710">
        <v>0.13595509756587845</v>
      </c>
      <c r="F24" s="708">
        <v>0.97220663434494048</v>
      </c>
      <c r="G24" s="711">
        <v>0.19060553922049539</v>
      </c>
      <c r="H24" s="710">
        <v>0.26600000000000001</v>
      </c>
      <c r="I24" s="708">
        <v>0.52</v>
      </c>
      <c r="J24" s="570">
        <v>2.2210000000000001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2.2210000000000001</v>
      </c>
      <c r="N24" s="632">
        <f t="shared" si="2"/>
        <v>3.629249641448046</v>
      </c>
      <c r="O24" s="629">
        <f t="shared" si="3"/>
        <v>0.84451005448892813</v>
      </c>
      <c r="P24" s="633">
        <f t="shared" si="4"/>
        <v>-0.72140217574896215</v>
      </c>
      <c r="Q24" s="585">
        <f t="shared" si="113"/>
        <v>13.099359125509761</v>
      </c>
      <c r="R24" s="629">
        <f t="shared" si="79"/>
        <v>3.7262112382530947</v>
      </c>
      <c r="S24" s="634">
        <f t="shared" si="80"/>
        <v>-0.72140217574896215</v>
      </c>
      <c r="T24" s="635">
        <f t="shared" si="81"/>
        <v>0.94928922238258351</v>
      </c>
      <c r="U24" s="629">
        <f t="shared" si="82"/>
        <v>-3.6032624334555385</v>
      </c>
      <c r="V24" s="636">
        <f t="shared" si="114"/>
        <v>-0.72140217574896215</v>
      </c>
      <c r="W24" s="585">
        <f t="shared" si="224"/>
        <v>284.75935888583547</v>
      </c>
      <c r="X24" s="629">
        <f t="shared" si="83"/>
        <v>3.7262112382530947</v>
      </c>
      <c r="Y24" s="630">
        <f t="shared" si="223"/>
        <v>-0.72140217574896215</v>
      </c>
      <c r="Z24" s="632">
        <f t="shared" si="6"/>
        <v>-0.13595509756587845</v>
      </c>
      <c r="AA24" s="629">
        <f t="shared" si="7"/>
        <v>-0.97220663434494048</v>
      </c>
      <c r="AB24" s="629">
        <f t="shared" si="8"/>
        <v>-0.19060553922049539</v>
      </c>
      <c r="AC24" s="636">
        <f t="shared" si="84"/>
        <v>1</v>
      </c>
      <c r="AD24" s="637">
        <f t="shared" si="115"/>
        <v>-0.13595509756587845</v>
      </c>
      <c r="AE24" s="629">
        <f t="shared" si="85"/>
        <v>-0.97220663434494048</v>
      </c>
      <c r="AF24" s="633">
        <f t="shared" si="86"/>
        <v>-0.19060553922049539</v>
      </c>
      <c r="AG24" s="602">
        <f t="shared" si="87"/>
        <v>-78.907594352430152</v>
      </c>
      <c r="AH24" s="603">
        <f t="shared" si="88"/>
        <v>97.813852168992099</v>
      </c>
      <c r="AI24" s="585">
        <f t="shared" si="89"/>
        <v>-79.01187512379893</v>
      </c>
      <c r="AJ24" s="586">
        <f t="shared" si="90"/>
        <v>-7.9607186246365202</v>
      </c>
      <c r="AK24" s="635">
        <f>IF(M24="","",(COS(RADIANS((90-$Q$8)-W24))*AD24)+(-SIN(RADIANS((90-$Q$8)-W24))*AE24))</f>
        <v>0.91609544225858519</v>
      </c>
      <c r="AL24" s="629">
        <f t="shared" si="91"/>
        <v>-0.35275865558694863</v>
      </c>
      <c r="AM24" s="634">
        <f t="shared" si="92"/>
        <v>-0.19060553922049539</v>
      </c>
      <c r="AN24" s="581">
        <f t="shared" si="93"/>
        <v>-61.616385358871327</v>
      </c>
      <c r="AO24" s="582">
        <f t="shared" si="94"/>
        <v>23.63822352676824</v>
      </c>
      <c r="AP24" s="585">
        <f t="shared" si="95"/>
        <v>-21.06007775014627</v>
      </c>
      <c r="AQ24" s="586">
        <f t="shared" si="9"/>
        <v>0.61178495969546165</v>
      </c>
      <c r="AS24" s="52">
        <f t="shared" si="116"/>
        <v>-75.240641114164532</v>
      </c>
      <c r="AT24" s="72">
        <f t="shared" si="10"/>
        <v>-0.66799895291945499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2.2210000000000001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2.121</v>
      </c>
      <c r="II24" s="734" cm="1">
        <f t="array" ref="II24">IFERROR(ROUND(VALUE(IF($IH24&lt;1,$IH24+LARGE((IF($M$9:$M$150="",0,$M$9:$M$150)-MOD(IF($M$9:$M$150="",0,$M$9:$M$150),1)),1),$IH24)),4),"")</f>
        <v>2.121</v>
      </c>
      <c r="IJ24" s="533">
        <f t="shared" si="112"/>
        <v>1613</v>
      </c>
      <c r="IK24" s="533">
        <f t="shared" si="66"/>
        <v>1313</v>
      </c>
      <c r="IL24" s="727">
        <f t="shared" si="225"/>
        <v>14.150597956906381</v>
      </c>
      <c r="IM24" s="759">
        <v>1.1017873941765999E-2</v>
      </c>
      <c r="IN24" s="5">
        <f t="shared" si="226"/>
        <v>0.36</v>
      </c>
      <c r="IO24" s="771">
        <v>180</v>
      </c>
      <c r="IP24" s="9">
        <f t="shared" si="227"/>
        <v>-3.6925111366135881</v>
      </c>
      <c r="IQ24" s="5">
        <f t="shared" si="228"/>
        <v>-0.74730225386359772</v>
      </c>
      <c r="IR24" s="5">
        <f t="shared" si="71"/>
        <v>0.314</v>
      </c>
      <c r="IS24" s="5">
        <f t="shared" si="229"/>
        <v>0.29668857431850121</v>
      </c>
      <c r="IT24" s="727">
        <f t="shared" si="230"/>
        <v>67.091983881703726</v>
      </c>
      <c r="IU24" s="9">
        <f t="shared" si="231"/>
        <v>-3.7262112382530947</v>
      </c>
      <c r="IV24" s="5">
        <f t="shared" si="232"/>
        <v>-0.72140217574896215</v>
      </c>
      <c r="IW24" s="5">
        <f t="shared" si="76"/>
        <v>0.26600000000000001</v>
      </c>
      <c r="IX24" s="5">
        <f t="shared" si="233"/>
        <v>0.24368138764078368</v>
      </c>
      <c r="IY24" s="762">
        <f t="shared" si="234"/>
        <v>61.616385358871327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3.9100449650721836</v>
      </c>
      <c r="C25" s="708">
        <v>0.8780091121261937</v>
      </c>
      <c r="D25" s="709">
        <v>-1.454504386785231</v>
      </c>
      <c r="E25" s="710">
        <v>0.28076551927443572</v>
      </c>
      <c r="F25" s="708">
        <v>0.95485674481392135</v>
      </c>
      <c r="G25" s="711">
        <v>9.7053181657885956E-2</v>
      </c>
      <c r="H25" s="710">
        <v>0.26600000000000001</v>
      </c>
      <c r="I25" s="708">
        <v>0.52</v>
      </c>
      <c r="J25" s="570">
        <v>2.2269999999999999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1313</v>
      </c>
      <c r="L25" s="320"/>
      <c r="M25" s="168">
        <f t="shared" si="1"/>
        <v>2.2269999999999999</v>
      </c>
      <c r="N25" s="632">
        <f t="shared" si="2"/>
        <v>3.9100449650721836</v>
      </c>
      <c r="O25" s="629">
        <f t="shared" si="3"/>
        <v>0.8780091121261937</v>
      </c>
      <c r="P25" s="633">
        <f t="shared" si="4"/>
        <v>-1.454504386785231</v>
      </c>
      <c r="Q25" s="585">
        <f t="shared" si="113"/>
        <v>12.655959189528778</v>
      </c>
      <c r="R25" s="629">
        <f>IF(M25="","",SQRT(N25^2+O25^2))</f>
        <v>4.0074120863548535</v>
      </c>
      <c r="S25" s="634">
        <f>IF(M25="","",P25)</f>
        <v>-1.454504386785231</v>
      </c>
      <c r="T25" s="635">
        <f>IF(M25="","",X25*COS(RADIANS(W25)))</f>
        <v>0.99090841497494642</v>
      </c>
      <c r="U25" s="629">
        <f>IF(M25="","",X25*SIN(RADIANS(W25)))</f>
        <v>-3.8829695006521487</v>
      </c>
      <c r="V25" s="636">
        <f>IF(M25="","",Y25)</f>
        <v>-1.454504386785231</v>
      </c>
      <c r="W25" s="585">
        <f t="shared" si="224"/>
        <v>284.31595894985446</v>
      </c>
      <c r="X25" s="629">
        <f>IF(M25="","",R25)</f>
        <v>4.0074120863548535</v>
      </c>
      <c r="Y25" s="630">
        <f t="shared" si="223"/>
        <v>-1.454504386785231</v>
      </c>
      <c r="Z25" s="632">
        <f t="shared" si="6"/>
        <v>-0.28076551927443572</v>
      </c>
      <c r="AA25" s="629">
        <f t="shared" si="7"/>
        <v>-0.95485674481392135</v>
      </c>
      <c r="AB25" s="629">
        <f t="shared" si="8"/>
        <v>-9.7053181657885956E-2</v>
      </c>
      <c r="AC25" s="636">
        <f>IF(M25="","",SQRT(Z25^2+AA25^2+AB25^2))</f>
        <v>1</v>
      </c>
      <c r="AD25" s="637">
        <f>IF(M25="","",Z25*(1/SQRT(Z25^2+AA25^2+AB25^2)))</f>
        <v>-0.28076551927443572</v>
      </c>
      <c r="AE25" s="629">
        <f>IF(M25="","",AA25*(1/SQRT(Z25^2+AA25^2+AB25^2)))</f>
        <v>-0.95485674481392135</v>
      </c>
      <c r="AF25" s="633">
        <f>IF(M25="","",AB25*(1/SQRT(Z25^2+AA25^2+AB25^2)))</f>
        <v>-9.7053181657885956E-2</v>
      </c>
      <c r="AG25" s="602">
        <f>IF(M25="","",DEGREES(ATAN2(-AF25,AE25)))</f>
        <v>-84.196295729526796</v>
      </c>
      <c r="AH25" s="603">
        <f>IF(M25="","",DEGREES(ACOS(AD25)))</f>
        <v>106.30589859371722</v>
      </c>
      <c r="AI25" s="585">
        <f>IF(M25="","",DEGREES(-ACOS(-AF25)))</f>
        <v>-84.430495363204528</v>
      </c>
      <c r="AJ25" s="586">
        <f>IF(M25="","",DEGREES(ATAN2(-AE25,AD25)))</f>
        <v>-16.385414790488891</v>
      </c>
      <c r="AK25" s="635">
        <f>IF(M25="","",(COS(RADIANS((90-$Q$8)-W25))*AD25)+(-SIN(RADIANS((90-$Q$8)-W25))*AE25))</f>
        <v>0.87014213861467093</v>
      </c>
      <c r="AL25" s="629">
        <f>IF(M25="","",(SIN(RADIANS((90-$Q$8)-W25))*AD25)+(COS(RADIANS((90-$Q$8)-W25))*AE25))</f>
        <v>-0.48314939567091314</v>
      </c>
      <c r="AM25" s="634">
        <f>IF(M25="","",AF25)</f>
        <v>-9.7053181657885956E-2</v>
      </c>
      <c r="AN25" s="581">
        <f>IF(M25="","",DEGREES(ATAN2(-AM25,AL25)))</f>
        <v>-78.641807734541118</v>
      </c>
      <c r="AO25" s="582">
        <f>IF(ROUND(IF(M25="",0,DEGREES(ACOS(AK25))),4)=90,0,IF(M25="","",DEGREES(ACOS(AK25))))</f>
        <v>29.524838875983882</v>
      </c>
      <c r="AP25" s="585">
        <f>IF(M25="","",DEGREES(ATAN2(AK25,AL25)))</f>
        <v>-29.041373980017624</v>
      </c>
      <c r="AQ25" s="586">
        <f t="shared" si="9"/>
        <v>0.56885882331182114</v>
      </c>
      <c r="AS25" s="52">
        <f t="shared" si="116"/>
        <v>-75.684041050145538</v>
      </c>
      <c r="AT25" s="72">
        <f t="shared" si="10"/>
        <v>-1.4007932473335147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>Taper</v>
      </c>
      <c r="IF25" s="533" t="str">
        <f>IFERROR(IF((((($IW25*COS(RADIANS(180-$IY25)))*COS(RADIANS($IY25)))-(($IX25*SIN(RADIANS(180-$IY25)))*SIN(RADIANS($IY25))))+$IU25)&lt;(((Settings!$C$19+$IF$8)/2)*-1),"Gage",""),"")</f>
        <v>Gage</v>
      </c>
      <c r="IG25" s="847">
        <f t="shared" si="210"/>
        <v>2.2269999999999999</v>
      </c>
      <c r="IH25" s="731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>2.1269999999999998</v>
      </c>
      <c r="II25" s="734" cm="1">
        <f t="array" ref="II25">IFERROR(ROUND(VALUE(IF($IH25&lt;1,$IH25+LARGE((IF($M$9:$M$150="",0,$M$9:$M$150)-MOD(IF($M$9:$M$150="",0,$M$9:$M$150),1)),1),$IH25)),4),"")</f>
        <v>2.1269999999999998</v>
      </c>
      <c r="IJ25" s="533">
        <f t="shared" si="112"/>
        <v>1613</v>
      </c>
      <c r="IK25" s="533">
        <f t="shared" si="66"/>
        <v>1313</v>
      </c>
      <c r="IL25" s="727">
        <f t="shared" si="225"/>
        <v>13.933997988179613</v>
      </c>
      <c r="IM25" s="759">
        <v>5.7920483344350701E-3</v>
      </c>
      <c r="IN25" s="5">
        <f t="shared" si="226"/>
        <v>0.32</v>
      </c>
      <c r="IO25" s="771">
        <v>160</v>
      </c>
      <c r="IP25" s="9">
        <f t="shared" si="227"/>
        <v>-3.9613119473168337</v>
      </c>
      <c r="IQ25" s="5">
        <f t="shared" si="228"/>
        <v>-1.4673044253901473</v>
      </c>
      <c r="IR25" s="5">
        <f t="shared" si="71"/>
        <v>0.314</v>
      </c>
      <c r="IS25" s="5">
        <f t="shared" si="229"/>
        <v>0.28484657321403989</v>
      </c>
      <c r="IT25" s="727">
        <f t="shared" si="230"/>
        <v>82.282540149162955</v>
      </c>
      <c r="IU25" s="9">
        <f t="shared" si="231"/>
        <v>-4.0074120863548535</v>
      </c>
      <c r="IV25" s="5">
        <f t="shared" si="232"/>
        <v>-1.454504386785231</v>
      </c>
      <c r="IW25" s="5">
        <f t="shared" si="76"/>
        <v>0.26600000000000001</v>
      </c>
      <c r="IX25" s="5">
        <f t="shared" si="233"/>
        <v>0.23145780887150247</v>
      </c>
      <c r="IY25" s="762">
        <f t="shared" si="234"/>
        <v>78.641807734541118</v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0.78293869047657316</v>
      </c>
      <c r="C26" s="708">
        <v>-0.47043766799921721</v>
      </c>
      <c r="D26" s="709">
        <v>-0.25240076124069594</v>
      </c>
      <c r="E26" s="710">
        <v>0.47061407325260657</v>
      </c>
      <c r="F26" s="708">
        <v>0.85620609845765105</v>
      </c>
      <c r="G26" s="711">
        <v>0.21315138052688609</v>
      </c>
      <c r="H26" s="710">
        <v>0.314</v>
      </c>
      <c r="I26" s="708">
        <v>0.52</v>
      </c>
      <c r="J26" s="570">
        <v>3.1030000000000002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3.1030000000000002</v>
      </c>
      <c r="N26" s="632">
        <f t="shared" si="2"/>
        <v>0.78293869047657316</v>
      </c>
      <c r="O26" s="629">
        <f t="shared" si="3"/>
        <v>-0.47043766799921721</v>
      </c>
      <c r="P26" s="633">
        <f t="shared" si="4"/>
        <v>-0.25240076124069594</v>
      </c>
      <c r="Q26" s="585">
        <f t="shared" si="113"/>
        <v>328.99996549267439</v>
      </c>
      <c r="R26" s="629">
        <f>IF(M26="","",SQRT(N26^2+O26^2))</f>
        <v>0.9134027548227085</v>
      </c>
      <c r="S26" s="634">
        <f>IF(M26="","",P26)</f>
        <v>-0.25240076124069594</v>
      </c>
      <c r="T26" s="635">
        <f>IF(M26="","",X26*COS(RADIANS(W26)))</f>
        <v>-0.44755975062882497</v>
      </c>
      <c r="U26" s="629">
        <f>IF(M26="","",X26*SIN(RADIANS(W26)))</f>
        <v>-0.7962379431644645</v>
      </c>
      <c r="V26" s="636">
        <f>IF(M26="","",Y26)</f>
        <v>-0.25240076124069594</v>
      </c>
      <c r="W26" s="585">
        <f t="shared" si="224"/>
        <v>240.65996525300008</v>
      </c>
      <c r="X26" s="629">
        <f>IF(M26="","",R26)</f>
        <v>0.9134027548227085</v>
      </c>
      <c r="Y26" s="630">
        <f t="shared" si="223"/>
        <v>-0.25240076124069594</v>
      </c>
      <c r="Z26" s="632">
        <f t="shared" si="6"/>
        <v>-0.47061407325260657</v>
      </c>
      <c r="AA26" s="629">
        <f t="shared" si="7"/>
        <v>-0.85620609845765105</v>
      </c>
      <c r="AB26" s="629">
        <f t="shared" si="8"/>
        <v>-0.21315138052688609</v>
      </c>
      <c r="AC26" s="636">
        <f>IF(M26="","",SQRT(Z26^2+AA26^2+AB26^2))</f>
        <v>1</v>
      </c>
      <c r="AD26" s="637">
        <f>IF(M26="","",Z26*(1/SQRT(Z26^2+AA26^2+AB26^2)))</f>
        <v>-0.47061407325260657</v>
      </c>
      <c r="AE26" s="629">
        <f>IF(M26="","",AA26*(1/SQRT(Z26^2+AA26^2+AB26^2)))</f>
        <v>-0.85620609845765105</v>
      </c>
      <c r="AF26" s="633">
        <f>IF(M26="","",AB26*(1/SQRT(Z26^2+AA26^2+AB26^2)))</f>
        <v>-0.21315138052688609</v>
      </c>
      <c r="AG26" s="602">
        <f>IF(M26="","",DEGREES(ATAN2(-AF26,AE26)))</f>
        <v>-76.020463276183946</v>
      </c>
      <c r="AH26" s="603">
        <f>IF(M26="","",DEGREES(ACOS(AD26)))</f>
        <v>118.07416474239064</v>
      </c>
      <c r="AI26" s="585">
        <f>IF(M26="","",DEGREES(-ACOS(-AF26)))</f>
        <v>-77.692904575004093</v>
      </c>
      <c r="AJ26" s="586">
        <f>IF(M26="","",DEGREES(ATAN2(-AE26,AD26)))</f>
        <v>-28.795415395145138</v>
      </c>
      <c r="AK26" s="635">
        <f>IF(M26="","",(COS(RADIANS((90-$Q$8)-W26))*AD26)+(-SIN(RADIANS((90-$Q$8)-W26))*AE26))</f>
        <v>0.97629601393762722</v>
      </c>
      <c r="AL26" s="629">
        <f>IF(M26="","",(SIN(RADIANS((90-$Q$8)-W26))*AD26)+(COS(RADIANS((90-$Q$8)-W26))*AE26))</f>
        <v>3.7584333823853011E-2</v>
      </c>
      <c r="AM26" s="634">
        <f>IF(M26="","",AF26)</f>
        <v>-0.21315138052688609</v>
      </c>
      <c r="AN26" s="581">
        <f>IF(M26="","",DEGREES(ATAN2(-AM26,AL26)))</f>
        <v>9.9999985561788414</v>
      </c>
      <c r="AO26" s="582">
        <f t="shared" si="94"/>
        <v>12.499998195223583</v>
      </c>
      <c r="AP26" s="585">
        <f>IF(M26="","",DEGREES(ATAN2(AK26,AL26)))</f>
        <v>2.2046191121804561</v>
      </c>
      <c r="AQ26" s="586">
        <f t="shared" si="9"/>
        <v>2.4942844613958655</v>
      </c>
      <c r="AS26" s="52">
        <f t="shared" si="116"/>
        <v>-119.34003474699992</v>
      </c>
      <c r="AT26" s="72">
        <f t="shared" si="10"/>
        <v>-0.1683729594994976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3.1030000000000002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1.4832146462537028</v>
      </c>
      <c r="C27" s="708">
        <v>-0.89438046051930975</v>
      </c>
      <c r="D27" s="709">
        <v>-0.10810032603058332</v>
      </c>
      <c r="E27" s="710">
        <v>0.49009825041338723</v>
      </c>
      <c r="F27" s="708">
        <v>0.8442604801381105</v>
      </c>
      <c r="G27" s="711">
        <v>0.21685927837817759</v>
      </c>
      <c r="H27" s="710">
        <v>0.314</v>
      </c>
      <c r="I27" s="708">
        <v>0.52</v>
      </c>
      <c r="J27" s="570">
        <v>3.1059999999999999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3.1059999999999999</v>
      </c>
      <c r="N27" s="632">
        <f t="shared" si="2"/>
        <v>1.4832146462537028</v>
      </c>
      <c r="O27" s="629">
        <f t="shared" si="3"/>
        <v>-0.89438046051930975</v>
      </c>
      <c r="P27" s="633">
        <f t="shared" si="4"/>
        <v>-0.10810032603058332</v>
      </c>
      <c r="Q27" s="585">
        <f t="shared" si="113"/>
        <v>328.90996550566877</v>
      </c>
      <c r="R27" s="629">
        <f t="shared" si="79"/>
        <v>1.7320052237277548</v>
      </c>
      <c r="S27" s="634">
        <f t="shared" si="80"/>
        <v>-0.10810032603058332</v>
      </c>
      <c r="T27" s="635">
        <f t="shared" si="81"/>
        <v>-0.85103874624505971</v>
      </c>
      <c r="U27" s="629">
        <f t="shared" si="82"/>
        <v>-1.5085009603609363</v>
      </c>
      <c r="V27" s="636">
        <f t="shared" si="114"/>
        <v>-0.10810032603058332</v>
      </c>
      <c r="W27" s="585">
        <f t="shared" si="224"/>
        <v>240.56996526599445</v>
      </c>
      <c r="X27" s="629">
        <f t="shared" si="83"/>
        <v>1.7320052237277548</v>
      </c>
      <c r="Y27" s="630">
        <f t="shared" si="223"/>
        <v>-0.10810032603058332</v>
      </c>
      <c r="Z27" s="632">
        <f t="shared" si="6"/>
        <v>-0.49009825041338723</v>
      </c>
      <c r="AA27" s="629">
        <f t="shared" si="7"/>
        <v>-0.8442604801381105</v>
      </c>
      <c r="AB27" s="629">
        <f t="shared" si="8"/>
        <v>-0.21685927837817759</v>
      </c>
      <c r="AC27" s="636">
        <f t="shared" si="84"/>
        <v>1</v>
      </c>
      <c r="AD27" s="637">
        <f t="shared" si="115"/>
        <v>-0.49009825041338723</v>
      </c>
      <c r="AE27" s="629">
        <f t="shared" si="85"/>
        <v>-0.8442604801381105</v>
      </c>
      <c r="AF27" s="633">
        <f t="shared" si="86"/>
        <v>-0.21685927837817759</v>
      </c>
      <c r="AG27" s="602">
        <f t="shared" si="87"/>
        <v>-75.594268114315568</v>
      </c>
      <c r="AH27" s="603">
        <f t="shared" si="88"/>
        <v>119.34703949345479</v>
      </c>
      <c r="AI27" s="585">
        <f t="shared" si="89"/>
        <v>-77.475370023433555</v>
      </c>
      <c r="AJ27" s="586">
        <f t="shared" si="90"/>
        <v>-30.135421027763705</v>
      </c>
      <c r="AK27" s="635">
        <f t="shared" si="211"/>
        <v>0.97606738428878548</v>
      </c>
      <c r="AL27" s="629">
        <f t="shared" si="91"/>
        <v>1.6263908169455943E-2</v>
      </c>
      <c r="AM27" s="634">
        <f t="shared" si="92"/>
        <v>-0.21685927837817759</v>
      </c>
      <c r="AN27" s="581">
        <f t="shared" si="93"/>
        <v>4.289012056890499</v>
      </c>
      <c r="AO27" s="582">
        <f t="shared" si="94"/>
        <v>12.560377428963429</v>
      </c>
      <c r="AP27" s="585">
        <f t="shared" si="95"/>
        <v>0.95461346656750512</v>
      </c>
      <c r="AQ27" s="586">
        <f t="shared" si="9"/>
        <v>1.3160039540440078</v>
      </c>
      <c r="AS27" s="52">
        <f t="shared" si="116"/>
        <v>-119.43003473400555</v>
      </c>
      <c r="AT27" s="72">
        <f t="shared" si="10"/>
        <v>-2.4010024298408858E-2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3.1059999999999999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2.1237831645713161</v>
      </c>
      <c r="C28" s="708">
        <v>-1.3353496631608348</v>
      </c>
      <c r="D28" s="709">
        <v>-3.2600098321896538E-2</v>
      </c>
      <c r="E28" s="710">
        <v>0.59641262599538369</v>
      </c>
      <c r="F28" s="708">
        <v>0.7744970435205224</v>
      </c>
      <c r="G28" s="711">
        <v>0.21082293312460276</v>
      </c>
      <c r="H28" s="710">
        <v>0.314</v>
      </c>
      <c r="I28" s="708">
        <v>0.52</v>
      </c>
      <c r="J28" s="570">
        <v>3.11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320"/>
      <c r="M28" s="168">
        <f t="shared" si="1"/>
        <v>3.11</v>
      </c>
      <c r="N28" s="632">
        <f t="shared" si="2"/>
        <v>2.1237831645713161</v>
      </c>
      <c r="O28" s="629">
        <f t="shared" si="3"/>
        <v>-1.3353496631608348</v>
      </c>
      <c r="P28" s="633">
        <f t="shared" si="4"/>
        <v>-3.2600098321896538E-2</v>
      </c>
      <c r="Q28" s="585">
        <f t="shared" si="113"/>
        <v>327.83996566015765</v>
      </c>
      <c r="R28" s="629">
        <f t="shared" si="79"/>
        <v>2.5087075662620202</v>
      </c>
      <c r="S28" s="634">
        <f t="shared" si="80"/>
        <v>-3.2600098321896538E-2</v>
      </c>
      <c r="T28" s="635">
        <f t="shared" si="81"/>
        <v>-1.2732666358955058</v>
      </c>
      <c r="U28" s="629">
        <f t="shared" si="82"/>
        <v>-2.1615748256619871</v>
      </c>
      <c r="V28" s="636">
        <f t="shared" si="114"/>
        <v>-3.2600098321896538E-2</v>
      </c>
      <c r="W28" s="585">
        <f t="shared" si="224"/>
        <v>239.49996542048333</v>
      </c>
      <c r="X28" s="629">
        <f t="shared" si="83"/>
        <v>2.5087075662620202</v>
      </c>
      <c r="Y28" s="630">
        <f t="shared" si="223"/>
        <v>-3.2600098321896538E-2</v>
      </c>
      <c r="Z28" s="632">
        <f t="shared" si="6"/>
        <v>-0.59641262599538369</v>
      </c>
      <c r="AA28" s="629">
        <f t="shared" si="7"/>
        <v>-0.7744970435205224</v>
      </c>
      <c r="AB28" s="629">
        <f t="shared" si="8"/>
        <v>-0.21082293312460276</v>
      </c>
      <c r="AC28" s="636">
        <f t="shared" si="84"/>
        <v>1</v>
      </c>
      <c r="AD28" s="637">
        <f t="shared" si="115"/>
        <v>-0.59641262599538369</v>
      </c>
      <c r="AE28" s="629">
        <f t="shared" si="85"/>
        <v>-0.7744970435205224</v>
      </c>
      <c r="AF28" s="633">
        <f t="shared" si="86"/>
        <v>-0.21082293312460276</v>
      </c>
      <c r="AG28" s="602">
        <f t="shared" si="87"/>
        <v>-74.772670856538426</v>
      </c>
      <c r="AH28" s="603">
        <f t="shared" si="88"/>
        <v>126.61340065006631</v>
      </c>
      <c r="AI28" s="585">
        <f t="shared" si="89"/>
        <v>-77.829417422279207</v>
      </c>
      <c r="AJ28" s="586">
        <f t="shared" si="90"/>
        <v>-37.598588664584476</v>
      </c>
      <c r="AK28" s="635">
        <f t="shared" si="211"/>
        <v>0.97312385632274601</v>
      </c>
      <c r="AL28" s="629">
        <f t="shared" si="91"/>
        <v>-9.264799579206795E-2</v>
      </c>
      <c r="AM28" s="634">
        <f t="shared" si="92"/>
        <v>-0.21082293312460276</v>
      </c>
      <c r="AN28" s="581">
        <f t="shared" si="93"/>
        <v>-23.723510949390718</v>
      </c>
      <c r="AO28" s="582">
        <f t="shared" si="94"/>
        <v>13.313695376521574</v>
      </c>
      <c r="AP28" s="585">
        <f t="shared" si="95"/>
        <v>-5.43855432474213</v>
      </c>
      <c r="AQ28" s="586">
        <f t="shared" si="9"/>
        <v>0.90864935323246465</v>
      </c>
      <c r="AS28" s="52">
        <f t="shared" si="116"/>
        <v>-120.50003457951667</v>
      </c>
      <c r="AT28" s="72">
        <f t="shared" si="10"/>
        <v>5.2233258858549549E-2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2.6913193908193405</v>
      </c>
      <c r="C29" s="708">
        <v>-1.79285399748519</v>
      </c>
      <c r="D29" s="709">
        <v>-0.28740086680101429</v>
      </c>
      <c r="E29" s="710">
        <v>0.70821153526659597</v>
      </c>
      <c r="F29" s="708">
        <v>0.68467096590947207</v>
      </c>
      <c r="G29" s="711">
        <v>0.17222685550146244</v>
      </c>
      <c r="H29" s="710">
        <v>0.314</v>
      </c>
      <c r="I29" s="708">
        <v>0.52</v>
      </c>
      <c r="J29" s="570">
        <v>3.1160000000000001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3.1160000000000001</v>
      </c>
      <c r="N29" s="632">
        <f t="shared" si="2"/>
        <v>2.6913193908193405</v>
      </c>
      <c r="O29" s="629">
        <f t="shared" si="3"/>
        <v>-1.79285399748519</v>
      </c>
      <c r="P29" s="633">
        <f t="shared" si="4"/>
        <v>-0.28740086680101429</v>
      </c>
      <c r="Q29" s="585">
        <f t="shared" si="113"/>
        <v>326.32996587817468</v>
      </c>
      <c r="R29" s="629">
        <f>IF(M29="","",SQRT(N29^2+O29^2))</f>
        <v>3.2338097531702155</v>
      </c>
      <c r="S29" s="634">
        <f>IF(M29="","",P29)</f>
        <v>-0.28740086680101429</v>
      </c>
      <c r="T29" s="635">
        <f>IF(M29="","",X29*COS(RADIANS(W29)))</f>
        <v>-1.7141383471465212</v>
      </c>
      <c r="U29" s="629">
        <f>IF(M29="","",X29*SIN(RADIANS(W29)))</f>
        <v>-2.7421260449768901</v>
      </c>
      <c r="V29" s="636">
        <f>IF(M29="","",Y29)</f>
        <v>-0.28740086680101429</v>
      </c>
      <c r="W29" s="585">
        <f t="shared" si="224"/>
        <v>237.98996563850037</v>
      </c>
      <c r="X29" s="629">
        <f>IF(M29="","",R29)</f>
        <v>3.2338097531702155</v>
      </c>
      <c r="Y29" s="630">
        <f t="shared" si="223"/>
        <v>-0.28740086680101429</v>
      </c>
      <c r="Z29" s="632">
        <f t="shared" si="6"/>
        <v>-0.70821153526659597</v>
      </c>
      <c r="AA29" s="629">
        <f t="shared" si="7"/>
        <v>-0.68467096590947207</v>
      </c>
      <c r="AB29" s="629">
        <f t="shared" si="8"/>
        <v>-0.17222685550146244</v>
      </c>
      <c r="AC29" s="636">
        <f>IF(M29="","",SQRT(Z29^2+AA29^2+AB29^2))</f>
        <v>1</v>
      </c>
      <c r="AD29" s="637">
        <f>IF(M29="","",Z29*(1/SQRT(Z29^2+AA29^2+AB29^2)))</f>
        <v>-0.70821153526659597</v>
      </c>
      <c r="AE29" s="629">
        <f>IF(M29="","",AA29*(1/SQRT(Z29^2+AA29^2+AB29^2)))</f>
        <v>-0.68467096590947207</v>
      </c>
      <c r="AF29" s="633">
        <f>IF(M29="","",AB29*(1/SQRT(Z29^2+AA29^2+AB29^2)))</f>
        <v>-0.17222685550146244</v>
      </c>
      <c r="AG29" s="602">
        <f>IF(M29="","",DEGREES(ATAN2(-AF29,AE29)))</f>
        <v>-75.880369954311988</v>
      </c>
      <c r="AH29" s="603">
        <f>IF(M29="","",DEGREES(ACOS(AD29)))</f>
        <v>135.08958660558147</v>
      </c>
      <c r="AI29" s="585">
        <f>IF(M29="","",DEGREES(-ACOS(-AF29)))</f>
        <v>-80.082681548777501</v>
      </c>
      <c r="AJ29" s="586">
        <f>IF(M29="","",DEGREES(ATAN2(-AE29,AD29)))</f>
        <v>-45.968241668002932</v>
      </c>
      <c r="AK29" s="635">
        <f>IF(M29="","",(COS(RADIANS((90-$Q$8)-W29))*AD29)+(-SIN(RADIANS((90-$Q$8)-W29))*AE29))</f>
        <v>0.96245245283827474</v>
      </c>
      <c r="AL29" s="629">
        <f>IF(M29="","",(SIN(RADIANS((90-$Q$8)-W29))*AD29)+(COS(RADIANS((90-$Q$8)-W29))*AE29))</f>
        <v>-0.20981703045669853</v>
      </c>
      <c r="AM29" s="634">
        <f>IF(M29="","",AF29)</f>
        <v>-0.17222685550146244</v>
      </c>
      <c r="AN29" s="581">
        <f>IF(M29="","",DEGREES(ATAN2(-AM29,AL29)))</f>
        <v>-50.619376043804152</v>
      </c>
      <c r="AO29" s="582">
        <f t="shared" si="94"/>
        <v>15.750587556177393</v>
      </c>
      <c r="AP29" s="585">
        <f>IF(M29="","",DEGREES(ATAN2(AK29,AL29)))</f>
        <v>-12.298207546177624</v>
      </c>
      <c r="AQ29" s="586">
        <f t="shared" si="9"/>
        <v>0.70493064692770058</v>
      </c>
      <c r="AS29" s="52">
        <f t="shared" si="116"/>
        <v>-122.01003436149963</v>
      </c>
      <c r="AT29" s="72">
        <f t="shared" si="10"/>
        <v>-0.20151889866085781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3.1160000000000001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16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180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170</v>
      </c>
    </row>
    <row r="30" spans="1:269" ht="15" customHeight="1" x14ac:dyDescent="0.25">
      <c r="A30" s="79"/>
      <c r="B30" s="707">
        <v>3.0836019224219067</v>
      </c>
      <c r="C30" s="708">
        <v>-2.1527538141135585</v>
      </c>
      <c r="D30" s="709">
        <v>-0.84710255486130548</v>
      </c>
      <c r="E30" s="710">
        <v>0.80177598441306008</v>
      </c>
      <c r="F30" s="708">
        <v>0.58555106466112217</v>
      </c>
      <c r="G30" s="711">
        <v>0.11952079941455807</v>
      </c>
      <c r="H30" s="710">
        <v>0.314</v>
      </c>
      <c r="I30" s="708">
        <v>0.52</v>
      </c>
      <c r="J30" s="570">
        <v>3.1219999999999999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3.1219999999999999</v>
      </c>
      <c r="N30" s="632">
        <f t="shared" si="2"/>
        <v>3.0836019224219067</v>
      </c>
      <c r="O30" s="629">
        <f t="shared" si="3"/>
        <v>-2.1527538141135585</v>
      </c>
      <c r="P30" s="633">
        <f t="shared" si="4"/>
        <v>-0.84710255486130548</v>
      </c>
      <c r="Q30" s="585">
        <f t="shared" si="113"/>
        <v>325.0799660586523</v>
      </c>
      <c r="R30" s="629">
        <f>IF(M30="","",SQRT(N30^2+O30^2))</f>
        <v>3.760711342305409</v>
      </c>
      <c r="S30" s="634">
        <f>IF(M30="","",P30)</f>
        <v>-0.84710255486130548</v>
      </c>
      <c r="T30" s="635">
        <f>IF(M30="","",X30*COS(RADIANS(W30)))</f>
        <v>-2.0625233232075582</v>
      </c>
      <c r="U30" s="629">
        <f>IF(M30="","",X30*SIN(RADIANS(W30)))</f>
        <v>-3.144669671264281</v>
      </c>
      <c r="V30" s="636">
        <f>IF(M30="","",Y30)</f>
        <v>-0.84710255486130548</v>
      </c>
      <c r="W30" s="585">
        <f t="shared" si="224"/>
        <v>236.73996581897799</v>
      </c>
      <c r="X30" s="629">
        <f>IF(M30="","",R30)</f>
        <v>3.760711342305409</v>
      </c>
      <c r="Y30" s="630">
        <f t="shared" si="223"/>
        <v>-0.84710255486130548</v>
      </c>
      <c r="Z30" s="632">
        <f t="shared" si="6"/>
        <v>-0.80177598441306008</v>
      </c>
      <c r="AA30" s="629">
        <f t="shared" si="7"/>
        <v>-0.58555106466112217</v>
      </c>
      <c r="AB30" s="629">
        <f t="shared" si="8"/>
        <v>-0.11952079941455807</v>
      </c>
      <c r="AC30" s="636">
        <f>IF(M30="","",SQRT(Z30^2+AA30^2+AB30^2))</f>
        <v>1</v>
      </c>
      <c r="AD30" s="637">
        <f>IF(M30="","",Z30*(1/SQRT(Z30^2+AA30^2+AB30^2)))</f>
        <v>-0.80177598441306008</v>
      </c>
      <c r="AE30" s="629">
        <f>IF(M30="","",AA30*(1/SQRT(Z30^2+AA30^2+AB30^2)))</f>
        <v>-0.58555106466112217</v>
      </c>
      <c r="AF30" s="633">
        <f>IF(M30="","",AB30*(1/SQRT(Z30^2+AA30^2+AB30^2)))</f>
        <v>-0.11952079941455807</v>
      </c>
      <c r="AG30" s="602">
        <f>IF(M30="","",DEGREES(ATAN2(-AF30,AE30)))</f>
        <v>-78.463445937093269</v>
      </c>
      <c r="AH30" s="603">
        <f>IF(M30="","",DEGREES(ACOS(AD30)))</f>
        <v>143.30003261287297</v>
      </c>
      <c r="AI30" s="585">
        <f>IF(M30="","",DEGREES(-ACOS(-AF30)))</f>
        <v>-83.135552631446672</v>
      </c>
      <c r="AJ30" s="586">
        <f>IF(M30="","",DEGREES(ATAN2(-AE30,AD30)))</f>
        <v>-53.858688835152115</v>
      </c>
      <c r="AK30" s="635">
        <f>IF(M30="","",(COS(RADIANS((90-$Q$8)-W30))*AD30)+(-SIN(RADIANS((90-$Q$8)-W30))*AE30))</f>
        <v>0.9390863524798263</v>
      </c>
      <c r="AL30" s="629">
        <f>IF(M30="","",(SIN(RADIANS((90-$Q$8)-W30))*AD30)+(COS(RADIANS((90-$Q$8)-W30))*AE30))</f>
        <v>-0.322229112734155</v>
      </c>
      <c r="AM30" s="634">
        <f>IF(M30="","",AF30)</f>
        <v>-0.11952079941455807</v>
      </c>
      <c r="AN30" s="581">
        <f>IF(M30="","",DEGREES(ATAN2(-AM30,AL30)))</f>
        <v>-69.649241529226259</v>
      </c>
      <c r="AO30" s="582">
        <f>IF(ROUND(IF(M30="",0,DEGREES(ACOS(AK30))),4)=90,0,IF(M30="","",DEGREES(ACOS(AK30))))</f>
        <v>20.101317001630722</v>
      </c>
      <c r="AP30" s="585">
        <f>IF(M30="","",DEGREES(ATAN2(AK30,AL30)))</f>
        <v>-18.938654893804436</v>
      </c>
      <c r="AQ30" s="586">
        <f t="shared" si="9"/>
        <v>0.60617297286413452</v>
      </c>
      <c r="AS30" s="52">
        <f t="shared" si="116"/>
        <v>-123.26003418102201</v>
      </c>
      <c r="AT30" s="72">
        <f t="shared" si="10"/>
        <v>-0.76035253129092517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3.1219999999999999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3.2356815172118383</v>
      </c>
      <c r="C31" s="708">
        <v>-2.3028835209813834</v>
      </c>
      <c r="D31" s="709">
        <v>-1.5862047839936286</v>
      </c>
      <c r="E31" s="710">
        <v>0.87527497112213259</v>
      </c>
      <c r="F31" s="708">
        <v>0.48198751705362047</v>
      </c>
      <c r="G31" s="711">
        <v>3.9771325495084914E-2</v>
      </c>
      <c r="H31" s="710">
        <v>0.314</v>
      </c>
      <c r="I31" s="708">
        <v>0.52</v>
      </c>
      <c r="J31" s="570">
        <v>3.1280000000000001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1613</v>
      </c>
      <c r="L31" s="320"/>
      <c r="M31" s="168">
        <f t="shared" si="1"/>
        <v>3.1280000000000001</v>
      </c>
      <c r="N31" s="632">
        <f t="shared" si="2"/>
        <v>3.2356815172118383</v>
      </c>
      <c r="O31" s="629">
        <f t="shared" si="3"/>
        <v>-2.3028835209813834</v>
      </c>
      <c r="P31" s="633">
        <f t="shared" si="4"/>
        <v>-1.5862047839936286</v>
      </c>
      <c r="Q31" s="585">
        <f t="shared" si="113"/>
        <v>324.559966133731</v>
      </c>
      <c r="R31" s="629">
        <f>IF(M31="","",SQRT(N31^2+O31^2))</f>
        <v>3.9715119780801262</v>
      </c>
      <c r="S31" s="634">
        <f>IF(M31="","",P31)</f>
        <v>-1.5862047839936286</v>
      </c>
      <c r="T31" s="635">
        <f>IF(M31="","",X31*COS(RADIANS(W31)))</f>
        <v>-2.2081845209837896</v>
      </c>
      <c r="U31" s="629">
        <f>IF(M31="","",X31*SIN(RADIANS(W31)))</f>
        <v>-3.3010344610926903</v>
      </c>
      <c r="V31" s="636">
        <f>IF(M31="","",Y31)</f>
        <v>-1.5862047839936286</v>
      </c>
      <c r="W31" s="585">
        <f t="shared" si="224"/>
        <v>236.21996589405668</v>
      </c>
      <c r="X31" s="629">
        <f>IF(M31="","",R31)</f>
        <v>3.9715119780801262</v>
      </c>
      <c r="Y31" s="630">
        <f t="shared" si="223"/>
        <v>-1.5862047839936286</v>
      </c>
      <c r="Z31" s="632">
        <f t="shared" si="6"/>
        <v>-0.87527497112213259</v>
      </c>
      <c r="AA31" s="629">
        <f t="shared" si="7"/>
        <v>-0.48198751705362047</v>
      </c>
      <c r="AB31" s="629">
        <f t="shared" si="8"/>
        <v>-3.9771325495084914E-2</v>
      </c>
      <c r="AC31" s="636">
        <f>IF(M31="","",SQRT(Z31^2+AA31^2+AB31^2))</f>
        <v>1</v>
      </c>
      <c r="AD31" s="637">
        <f>IF(M31="","",Z31*(1/SQRT(Z31^2+AA31^2+AB31^2)))</f>
        <v>-0.87527497112213259</v>
      </c>
      <c r="AE31" s="629">
        <f>IF(M31="","",AA31*(1/SQRT(Z31^2+AA31^2+AB31^2)))</f>
        <v>-0.48198751705362047</v>
      </c>
      <c r="AF31" s="633">
        <f>IF(M31="","",AB31*(1/SQRT(Z31^2+AA31^2+AB31^2)))</f>
        <v>-3.9771325495084914E-2</v>
      </c>
      <c r="AG31" s="602">
        <f>IF(M31="","",DEGREES(ATAN2(-AF31,AE31)))</f>
        <v>-85.282910319220193</v>
      </c>
      <c r="AH31" s="603">
        <f>IF(M31="","",DEGREES(ACOS(AD31)))</f>
        <v>151.07753508754135</v>
      </c>
      <c r="AI31" s="585">
        <f>IF(M31="","",DEGREES(-ACOS(-AF31)))</f>
        <v>-87.720669742368656</v>
      </c>
      <c r="AJ31" s="586">
        <f>IF(M31="","",DEGREES(ATAN2(-AE31,AD31)))</f>
        <v>-61.159749509914029</v>
      </c>
      <c r="AK31" s="635">
        <f>IF(M31="","",(COS(RADIANS((90-$Q$8)-W31))*AD31)+(-SIN(RADIANS((90-$Q$8)-W31))*AE31))</f>
        <v>0.90021493766465743</v>
      </c>
      <c r="AL31" s="629">
        <f>IF(M31="","",(SIN(RADIANS((90-$Q$8)-W31))*AD31)+(COS(RADIANS((90-$Q$8)-W31))*AE31))</f>
        <v>-0.43362576915328871</v>
      </c>
      <c r="AM31" s="634">
        <f>IF(M31="","",AF31)</f>
        <v>-3.9771325495084914E-2</v>
      </c>
      <c r="AN31" s="581">
        <f>IF(M31="","",DEGREES(ATAN2(-AM31,AL31)))</f>
        <v>-84.759602397338824</v>
      </c>
      <c r="AO31" s="582">
        <f t="shared" si="94"/>
        <v>25.813665769107025</v>
      </c>
      <c r="AP31" s="585">
        <f>IF(M31="","",DEGREES(ATAN2(AK31,AL31)))</f>
        <v>-25.719715643645038</v>
      </c>
      <c r="AQ31" s="586">
        <f t="shared" si="9"/>
        <v>0.57400062652844197</v>
      </c>
      <c r="AS31" s="52">
        <f t="shared" si="116"/>
        <v>-123.78003410594332</v>
      </c>
      <c r="AT31" s="72">
        <f t="shared" si="10"/>
        <v>-1.4990936493642752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3.1280000000000001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1613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3.2542804645376351</v>
      </c>
      <c r="C32" s="708">
        <v>-2.3324171569481469</v>
      </c>
      <c r="D32" s="709">
        <v>-2.351407091843789</v>
      </c>
      <c r="E32" s="710">
        <v>0.91090004943878566</v>
      </c>
      <c r="F32" s="708">
        <v>0.41262707125491077</v>
      </c>
      <c r="G32" s="711">
        <v>1.1339743289612871E-7</v>
      </c>
      <c r="H32" s="710">
        <v>0.314</v>
      </c>
      <c r="I32" s="708">
        <v>0.52</v>
      </c>
      <c r="J32" s="570">
        <v>3.1339999999999999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1613</v>
      </c>
      <c r="L32" s="320"/>
      <c r="M32" s="168">
        <f t="shared" si="1"/>
        <v>3.1339999999999999</v>
      </c>
      <c r="N32" s="632">
        <f t="shared" si="2"/>
        <v>3.2542804645376351</v>
      </c>
      <c r="O32" s="629">
        <f t="shared" si="3"/>
        <v>-2.3324171569481469</v>
      </c>
      <c r="P32" s="633">
        <f t="shared" si="4"/>
        <v>-2.351407091843789</v>
      </c>
      <c r="Q32" s="585">
        <f t="shared" si="113"/>
        <v>324.36996616116357</v>
      </c>
      <c r="R32" s="629">
        <f t="shared" si="79"/>
        <v>4.0038120754972208</v>
      </c>
      <c r="S32" s="634">
        <f t="shared" si="80"/>
        <v>-2.351407091843789</v>
      </c>
      <c r="T32" s="635">
        <f t="shared" si="81"/>
        <v>-2.2371669805984071</v>
      </c>
      <c r="U32" s="629">
        <f t="shared" si="82"/>
        <v>-3.3204811453790204</v>
      </c>
      <c r="V32" s="636">
        <f t="shared" si="114"/>
        <v>-2.351407091843789</v>
      </c>
      <c r="W32" s="585">
        <f t="shared" si="224"/>
        <v>236.02996592148926</v>
      </c>
      <c r="X32" s="629">
        <f t="shared" si="83"/>
        <v>4.0038120754972208</v>
      </c>
      <c r="Y32" s="630">
        <f t="shared" si="223"/>
        <v>-2.351407091843789</v>
      </c>
      <c r="Z32" s="632">
        <f t="shared" si="6"/>
        <v>-0.91090004943878566</v>
      </c>
      <c r="AA32" s="629">
        <f t="shared" si="7"/>
        <v>-0.41262707125491077</v>
      </c>
      <c r="AB32" s="629">
        <f t="shared" si="8"/>
        <v>-1.1339743289612871E-7</v>
      </c>
      <c r="AC32" s="636">
        <f t="shared" si="84"/>
        <v>1</v>
      </c>
      <c r="AD32" s="637">
        <f t="shared" si="115"/>
        <v>-0.91090004943878566</v>
      </c>
      <c r="AE32" s="629">
        <f t="shared" si="85"/>
        <v>-0.41262707125491077</v>
      </c>
      <c r="AF32" s="633">
        <f t="shared" si="86"/>
        <v>-1.1339743289612871E-7</v>
      </c>
      <c r="AG32" s="602">
        <f t="shared" si="87"/>
        <v>-89.99998425407648</v>
      </c>
      <c r="AH32" s="603">
        <f t="shared" si="88"/>
        <v>155.63002950737149</v>
      </c>
      <c r="AI32" s="585">
        <f t="shared" si="89"/>
        <v>-89.99999350280568</v>
      </c>
      <c r="AJ32" s="586">
        <f t="shared" si="90"/>
        <v>-65.630029507372285</v>
      </c>
      <c r="AK32" s="635">
        <f t="shared" si="211"/>
        <v>0.86602544158358596</v>
      </c>
      <c r="AL32" s="629">
        <f t="shared" si="91"/>
        <v>-0.49999993452993785</v>
      </c>
      <c r="AM32" s="634">
        <f t="shared" si="92"/>
        <v>-1.1339743289612871E-7</v>
      </c>
      <c r="AN32" s="581">
        <f t="shared" si="93"/>
        <v>-89.999987005609668</v>
      </c>
      <c r="AO32" s="582">
        <f t="shared" si="94"/>
        <v>29.999995668536499</v>
      </c>
      <c r="AP32" s="585">
        <f t="shared" si="95"/>
        <v>-29.99999566853586</v>
      </c>
      <c r="AQ32" s="586">
        <f t="shared" si="9"/>
        <v>0.56937027668245765</v>
      </c>
      <c r="AS32" s="52">
        <f t="shared" si="116"/>
        <v>-123.97003407851074</v>
      </c>
      <c r="AT32" s="72">
        <f t="shared" si="10"/>
        <v>-2.2641640127890414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3.1339999999999999</v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IFERROR(ROUND(VALUE(IF($IH32&lt;1,$IH32+LARGE((IF($M$9:$M$150="",0,$M$9:$M$150)-MOD(IF($M$9:$M$150="",0,$M$9:$M$150),1)),1),$IH32)),4),"")</f>
        <v/>
      </c>
      <c r="IJ32" s="533">
        <f t="shared" si="112"/>
        <v>1613</v>
      </c>
      <c r="IK32" s="533" t="str">
        <f t="shared" si="66"/>
        <v/>
      </c>
      <c r="IL32" s="727" t="str">
        <f t="shared" si="225"/>
        <v/>
      </c>
      <c r="IM32" s="759"/>
      <c r="IN32" s="5" t="str">
        <f t="shared" si="226"/>
        <v/>
      </c>
      <c r="IO32" s="771"/>
      <c r="IP32" s="9" t="str">
        <f t="shared" si="227"/>
        <v/>
      </c>
      <c r="IQ32" s="5" t="str">
        <f t="shared" si="228"/>
        <v/>
      </c>
      <c r="IR32" s="5" t="str">
        <f t="shared" si="71"/>
        <v/>
      </c>
      <c r="IS32" s="5" t="str">
        <f t="shared" si="229"/>
        <v/>
      </c>
      <c r="IT32" s="727" t="str">
        <f t="shared" si="230"/>
        <v/>
      </c>
      <c r="IU32" s="9" t="str">
        <f t="shared" si="231"/>
        <v/>
      </c>
      <c r="IV32" s="5" t="str">
        <f t="shared" si="232"/>
        <v/>
      </c>
      <c r="IW32" s="5" t="str">
        <f t="shared" si="76"/>
        <v/>
      </c>
      <c r="IX32" s="5" t="str">
        <f t="shared" si="233"/>
        <v/>
      </c>
      <c r="IY32" s="762" t="str">
        <f t="shared" si="234"/>
        <v/>
      </c>
    </row>
    <row r="33" spans="1:267" ht="15" customHeight="1" x14ac:dyDescent="0.25">
      <c r="A33" s="79"/>
      <c r="B33" s="707">
        <v>2.1196474870191788</v>
      </c>
      <c r="C33" s="708">
        <v>-2.4693373408200463</v>
      </c>
      <c r="D33" s="709">
        <v>-0.25580077149512687</v>
      </c>
      <c r="E33" s="710">
        <v>0.8692101717573032</v>
      </c>
      <c r="F33" s="708">
        <v>0.42731851295226281</v>
      </c>
      <c r="G33" s="711">
        <v>0.24874196630626352</v>
      </c>
      <c r="H33" s="710">
        <v>0.26600000000000001</v>
      </c>
      <c r="I33" s="708">
        <v>0.52</v>
      </c>
      <c r="J33" s="570">
        <v>3.2160000000000002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3.2160000000000002</v>
      </c>
      <c r="N33" s="632">
        <f t="shared" si="2"/>
        <v>2.1196474870191788</v>
      </c>
      <c r="O33" s="629">
        <f t="shared" si="3"/>
        <v>-2.4693373408200463</v>
      </c>
      <c r="P33" s="633">
        <f t="shared" si="4"/>
        <v>-0.25580077149512687</v>
      </c>
      <c r="Q33" s="585">
        <f t="shared" si="113"/>
        <v>310.64236814318355</v>
      </c>
      <c r="R33" s="629">
        <f t="shared" si="79"/>
        <v>3.2543098149984027</v>
      </c>
      <c r="S33" s="634">
        <f t="shared" si="80"/>
        <v>-0.25580077149512687</v>
      </c>
      <c r="T33" s="635">
        <f t="shared" si="81"/>
        <v>-2.4068982142177511</v>
      </c>
      <c r="U33" s="629">
        <f t="shared" si="82"/>
        <v>-2.1902907017997264</v>
      </c>
      <c r="V33" s="636">
        <f t="shared" si="114"/>
        <v>-0.25580077149512687</v>
      </c>
      <c r="W33" s="585">
        <f t="shared" si="224"/>
        <v>222.30236790350924</v>
      </c>
      <c r="X33" s="629">
        <f t="shared" si="83"/>
        <v>3.2543098149984027</v>
      </c>
      <c r="Y33" s="630">
        <f t="shared" si="223"/>
        <v>-0.25580077149512687</v>
      </c>
      <c r="Z33" s="632">
        <f t="shared" si="6"/>
        <v>-0.8692101717573032</v>
      </c>
      <c r="AA33" s="629">
        <f t="shared" si="7"/>
        <v>-0.42731851295226281</v>
      </c>
      <c r="AB33" s="629">
        <f t="shared" si="8"/>
        <v>-0.24874196630626352</v>
      </c>
      <c r="AC33" s="636">
        <f t="shared" si="84"/>
        <v>1</v>
      </c>
      <c r="AD33" s="637">
        <f t="shared" si="115"/>
        <v>-0.8692101717573032</v>
      </c>
      <c r="AE33" s="629">
        <f t="shared" si="85"/>
        <v>-0.42731851295226281</v>
      </c>
      <c r="AF33" s="633">
        <f t="shared" si="86"/>
        <v>-0.24874196630626352</v>
      </c>
      <c r="AG33" s="602">
        <f t="shared" si="87"/>
        <v>-59.796329159326909</v>
      </c>
      <c r="AH33" s="603">
        <f t="shared" si="88"/>
        <v>150.36698569428381</v>
      </c>
      <c r="AI33" s="585">
        <f t="shared" si="89"/>
        <v>-75.596919277846354</v>
      </c>
      <c r="AJ33" s="586">
        <f t="shared" si="90"/>
        <v>-63.820483370248247</v>
      </c>
      <c r="AK33" s="635">
        <f t="shared" si="211"/>
        <v>0.9378755926096265</v>
      </c>
      <c r="AL33" s="629">
        <f t="shared" si="91"/>
        <v>-0.24190247411970717</v>
      </c>
      <c r="AM33" s="634">
        <f t="shared" si="92"/>
        <v>-0.24874196630626352</v>
      </c>
      <c r="AN33" s="581">
        <f t="shared" si="93"/>
        <v>-44.201359224327256</v>
      </c>
      <c r="AO33" s="582">
        <f t="shared" si="94"/>
        <v>20.302203292411349</v>
      </c>
      <c r="AP33" s="585">
        <f t="shared" si="95"/>
        <v>-14.462851513431785</v>
      </c>
      <c r="AQ33" s="586">
        <f t="shared" si="9"/>
        <v>0.70049048046405427</v>
      </c>
      <c r="AS33" s="52">
        <f t="shared" si="116"/>
        <v>-137.69763209649076</v>
      </c>
      <c r="AT33" s="72">
        <f t="shared" si="10"/>
        <v>-0.15902463826122654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Taper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3.2160000000000002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3.1160000000000001</v>
      </c>
      <c r="II33" s="734" cm="1">
        <f t="array" ref="II33">IFERROR(ROUND(VALUE(IF($IH33&lt;1,$IH33+LARGE((IF($M$9:$M$150="",0,$M$9:$M$150)-MOD(IF($M$9:$M$150="",0,$M$9:$M$150),1)),1),$IH33)),4),"")</f>
        <v>3.1160000000000001</v>
      </c>
      <c r="IJ33" s="533">
        <f t="shared" si="112"/>
        <v>1613</v>
      </c>
      <c r="IK33" s="533">
        <f t="shared" si="66"/>
        <v>1313</v>
      </c>
      <c r="IL33" s="727">
        <f t="shared" si="225"/>
        <v>15.68759773499113</v>
      </c>
      <c r="IM33" s="759">
        <v>1.55244510187085E-2</v>
      </c>
      <c r="IN33" s="5">
        <f t="shared" si="226"/>
        <v>0.36</v>
      </c>
      <c r="IO33" s="771">
        <v>180</v>
      </c>
      <c r="IP33" s="9">
        <f t="shared" si="227"/>
        <v>-3.2338097531702155</v>
      </c>
      <c r="IQ33" s="5">
        <f t="shared" si="228"/>
        <v>-0.28740086680101429</v>
      </c>
      <c r="IR33" s="5">
        <f t="shared" si="71"/>
        <v>0.314</v>
      </c>
      <c r="IS33" s="5">
        <f t="shared" si="229"/>
        <v>0.30221007019121826</v>
      </c>
      <c r="IT33" s="727">
        <f t="shared" si="230"/>
        <v>50.619376043804152</v>
      </c>
      <c r="IU33" s="9">
        <f t="shared" si="231"/>
        <v>-3.2543098149984027</v>
      </c>
      <c r="IV33" s="5">
        <f t="shared" si="232"/>
        <v>-0.25580077149512687</v>
      </c>
      <c r="IW33" s="5">
        <f t="shared" si="76"/>
        <v>0.26600000000000001</v>
      </c>
      <c r="IX33" s="5">
        <f t="shared" si="233"/>
        <v>0.24947490763416066</v>
      </c>
      <c r="IY33" s="762">
        <f t="shared" si="234"/>
        <v>44.201359224327256</v>
      </c>
    </row>
    <row r="34" spans="1:267" ht="15" customHeight="1" x14ac:dyDescent="0.25">
      <c r="A34" s="79"/>
      <c r="B34" s="707">
        <v>2.4972712781184723</v>
      </c>
      <c r="C34" s="708">
        <v>-2.8599673703246076</v>
      </c>
      <c r="D34" s="709">
        <v>-0.82280248157228453</v>
      </c>
      <c r="E34" s="710">
        <v>0.93226928052856151</v>
      </c>
      <c r="F34" s="708">
        <v>0.31423706914246768</v>
      </c>
      <c r="G34" s="711">
        <v>0.17924578923787973</v>
      </c>
      <c r="H34" s="710">
        <v>0.26600000000000001</v>
      </c>
      <c r="I34" s="708">
        <v>0.52</v>
      </c>
      <c r="J34" s="570">
        <v>3.222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1313</v>
      </c>
      <c r="L34" s="320"/>
      <c r="M34" s="168">
        <f t="shared" si="1"/>
        <v>3.222</v>
      </c>
      <c r="N34" s="632">
        <f t="shared" si="2"/>
        <v>2.4972712781184723</v>
      </c>
      <c r="O34" s="629">
        <f t="shared" si="3"/>
        <v>-2.8599673703246076</v>
      </c>
      <c r="P34" s="633">
        <f t="shared" si="4"/>
        <v>-0.82280248157228453</v>
      </c>
      <c r="Q34" s="585">
        <f t="shared" si="113"/>
        <v>311.12686807323041</v>
      </c>
      <c r="R34" s="629">
        <f>IF(M34="","",SQRT(N34^2+O34^2))</f>
        <v>3.7968114511833373</v>
      </c>
      <c r="S34" s="634">
        <f>IF(M34="","",P34)</f>
        <v>-0.82280248157228453</v>
      </c>
      <c r="T34" s="635">
        <f>IF(M34="","",X34*COS(RADIANS(W34)))</f>
        <v>-2.7864251469128649</v>
      </c>
      <c r="U34" s="629">
        <f>IF(M34="","",X34*SIN(RADIANS(W34)))</f>
        <v>-2.5790719448066075</v>
      </c>
      <c r="V34" s="636">
        <f>IF(M34="","",Y34)</f>
        <v>-0.82280248157228453</v>
      </c>
      <c r="W34" s="585">
        <f t="shared" si="224"/>
        <v>222.7868678335561</v>
      </c>
      <c r="X34" s="629">
        <f>IF(M34="","",R34)</f>
        <v>3.7968114511833373</v>
      </c>
      <c r="Y34" s="630">
        <f t="shared" si="223"/>
        <v>-0.82280248157228453</v>
      </c>
      <c r="Z34" s="632">
        <f t="shared" si="6"/>
        <v>-0.93226928052856151</v>
      </c>
      <c r="AA34" s="629">
        <f t="shared" si="7"/>
        <v>-0.31423706914246768</v>
      </c>
      <c r="AB34" s="629">
        <f t="shared" si="8"/>
        <v>-0.17924578923787973</v>
      </c>
      <c r="AC34" s="636">
        <f>IF(M34="","",SQRT(Z34^2+AA34^2+AB34^2))</f>
        <v>1</v>
      </c>
      <c r="AD34" s="637">
        <f>IF(M34="","",Z34*(1/SQRT(Z34^2+AA34^2+AB34^2)))</f>
        <v>-0.93226928052856151</v>
      </c>
      <c r="AE34" s="629">
        <f>IF(M34="","",AA34*(1/SQRT(Z34^2+AA34^2+AB34^2)))</f>
        <v>-0.31423706914246768</v>
      </c>
      <c r="AF34" s="633">
        <f>IF(M34="","",AB34*(1/SQRT(Z34^2+AA34^2+AB34^2)))</f>
        <v>-0.17924578923787973</v>
      </c>
      <c r="AG34" s="602">
        <f>IF(M34="","",DEGREES(ATAN2(-AF34,AE34)))</f>
        <v>-60.298881608848255</v>
      </c>
      <c r="AH34" s="603">
        <f>IF(M34="","",DEGREES(ACOS(AD34)))</f>
        <v>158.79136342312947</v>
      </c>
      <c r="AI34" s="585">
        <f>IF(M34="","",DEGREES(-ACOS(-AF34)))</f>
        <v>-79.674167747072445</v>
      </c>
      <c r="AJ34" s="586">
        <f>IF(M34="","",DEGREES(ATAN2(-AE34,AD34)))</f>
        <v>-71.372744054601569</v>
      </c>
      <c r="AK34" s="635">
        <f>IF(M34="","",(COS(RADIANS((90-$Q$8)-W34))*AD34)+(-SIN(RADIANS((90-$Q$8)-W34))*AE34))</f>
        <v>0.90891922717988505</v>
      </c>
      <c r="AL34" s="629">
        <f>IF(M34="","",(SIN(RADIANS((90-$Q$8)-W34))*AD34)+(COS(RADIANS((90-$Q$8)-W34))*AE34))</f>
        <v>-0.37647946225951057</v>
      </c>
      <c r="AM34" s="634">
        <f>IF(M34="","",AF34)</f>
        <v>-0.17924578923787973</v>
      </c>
      <c r="AN34" s="581">
        <f>IF(M34="","",DEGREES(ATAN2(-AM34,AL34)))</f>
        <v>-64.540394785883691</v>
      </c>
      <c r="AO34" s="582">
        <f t="shared" si="94"/>
        <v>24.643578582469299</v>
      </c>
      <c r="AP34" s="585">
        <f>IF(M34="","",DEGREES(ATAN2(AK34,AL34)))</f>
        <v>-22.499612127831973</v>
      </c>
      <c r="AQ34" s="586">
        <f t="shared" si="9"/>
        <v>0.60040990010126494</v>
      </c>
      <c r="AS34" s="52">
        <f t="shared" si="116"/>
        <v>-137.2131321664439</v>
      </c>
      <c r="AT34" s="72">
        <f t="shared" si="10"/>
        <v>-0.72636280662313901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>Taper</v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3.222</v>
      </c>
      <c r="IH34" s="731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>3.1219999999999999</v>
      </c>
      <c r="II34" s="734" cm="1">
        <f t="array" ref="II34">IFERROR(ROUND(VALUE(IF($IH34&lt;1,$IH34+LARGE((IF($M$9:$M$150="",0,$M$9:$M$150)-MOD(IF($M$9:$M$150="",0,$M$9:$M$150),1)),1),$IH34)),4),"")</f>
        <v>3.1219999999999999</v>
      </c>
      <c r="IJ34" s="533">
        <f t="shared" si="112"/>
        <v>1613</v>
      </c>
      <c r="IK34" s="533">
        <f t="shared" si="66"/>
        <v>1313</v>
      </c>
      <c r="IL34" s="727">
        <f t="shared" si="225"/>
        <v>13.953097985421891</v>
      </c>
      <c r="IM34" s="759">
        <v>1.0088756181243001E-2</v>
      </c>
      <c r="IN34" s="5">
        <f t="shared" si="226"/>
        <v>0.34</v>
      </c>
      <c r="IO34" s="771">
        <v>170</v>
      </c>
      <c r="IP34" s="9">
        <f t="shared" si="227"/>
        <v>-3.760711342305409</v>
      </c>
      <c r="IQ34" s="5">
        <f t="shared" si="228"/>
        <v>-0.84710255486130548</v>
      </c>
      <c r="IR34" s="5">
        <f t="shared" si="71"/>
        <v>0.314</v>
      </c>
      <c r="IS34" s="5">
        <f t="shared" si="229"/>
        <v>0.29487311467866545</v>
      </c>
      <c r="IT34" s="727">
        <f t="shared" si="230"/>
        <v>69.649241529226259</v>
      </c>
      <c r="IU34" s="9">
        <f t="shared" si="231"/>
        <v>-3.7968114511833373</v>
      </c>
      <c r="IV34" s="5">
        <f t="shared" si="232"/>
        <v>-0.82280248157228453</v>
      </c>
      <c r="IW34" s="5">
        <f t="shared" si="76"/>
        <v>0.26600000000000001</v>
      </c>
      <c r="IX34" s="5">
        <f t="shared" si="233"/>
        <v>0.24177251442984943</v>
      </c>
      <c r="IY34" s="762">
        <f t="shared" si="234"/>
        <v>64.540394785883691</v>
      </c>
      <c r="JG34" s="470"/>
    </row>
    <row r="35" spans="1:267" ht="15" customHeight="1" x14ac:dyDescent="0.25">
      <c r="A35" s="79"/>
      <c r="B35" s="707">
        <v>2.6141489119917489</v>
      </c>
      <c r="C35" s="708">
        <v>-3.0529152538372255</v>
      </c>
      <c r="D35" s="709">
        <v>-1.5761047535319364</v>
      </c>
      <c r="E35" s="710">
        <v>0.98076453996458535</v>
      </c>
      <c r="F35" s="708">
        <v>0.17971275614764137</v>
      </c>
      <c r="G35" s="711">
        <v>7.6185578857641142E-2</v>
      </c>
      <c r="H35" s="710">
        <v>0.26600000000000001</v>
      </c>
      <c r="I35" s="708">
        <v>0.52</v>
      </c>
      <c r="J35" s="570">
        <v>3.2280000000000002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1313</v>
      </c>
      <c r="L35" s="320"/>
      <c r="M35" s="168">
        <f t="shared" si="1"/>
        <v>3.2280000000000002</v>
      </c>
      <c r="N35" s="632">
        <f t="shared" si="2"/>
        <v>2.6141489119917489</v>
      </c>
      <c r="O35" s="629">
        <f t="shared" si="3"/>
        <v>-3.0529152538372255</v>
      </c>
      <c r="P35" s="633">
        <f t="shared" si="4"/>
        <v>-1.5761047535319364</v>
      </c>
      <c r="Q35" s="585">
        <f t="shared" si="113"/>
        <v>310.57276815323252</v>
      </c>
      <c r="R35" s="629">
        <f>IF(M35="","",SQRT(N35^2+O35^2))</f>
        <v>4.0192121219437595</v>
      </c>
      <c r="S35" s="634">
        <f>IF(M35="","",P35)</f>
        <v>-1.5761047535319364</v>
      </c>
      <c r="T35" s="635">
        <f>IF(M35="","",X35*COS(RADIANS(W35)))</f>
        <v>-2.9759062965038292</v>
      </c>
      <c r="U35" s="629">
        <f>IF(M35="","",X35*SIN(RADIANS(W35)))</f>
        <v>-2.701489921433823</v>
      </c>
      <c r="V35" s="636">
        <f>IF(M35="","",Y35)</f>
        <v>-1.5761047535319364</v>
      </c>
      <c r="W35" s="585">
        <f t="shared" si="224"/>
        <v>222.23276791355821</v>
      </c>
      <c r="X35" s="629">
        <f>IF(M35="","",R35)</f>
        <v>4.0192121219437595</v>
      </c>
      <c r="Y35" s="630">
        <f t="shared" si="223"/>
        <v>-1.5761047535319364</v>
      </c>
      <c r="Z35" s="632">
        <f t="shared" si="6"/>
        <v>-0.98076453996458535</v>
      </c>
      <c r="AA35" s="629">
        <f t="shared" si="7"/>
        <v>-0.17971275614764137</v>
      </c>
      <c r="AB35" s="629">
        <f t="shared" si="8"/>
        <v>-7.6185578857641142E-2</v>
      </c>
      <c r="AC35" s="636">
        <f>IF(M35="","",SQRT(Z35^2+AA35^2+AB35^2))</f>
        <v>1</v>
      </c>
      <c r="AD35" s="637">
        <f>IF(M35="","",Z35*(1/SQRT(Z35^2+AA35^2+AB35^2)))</f>
        <v>-0.98076453996458535</v>
      </c>
      <c r="AE35" s="629">
        <f>IF(M35="","",AA35*(1/SQRT(Z35^2+AA35^2+AB35^2)))</f>
        <v>-0.17971275614764137</v>
      </c>
      <c r="AF35" s="633">
        <f>IF(M35="","",AB35*(1/SQRT(Z35^2+AA35^2+AB35^2)))</f>
        <v>-7.6185578857641142E-2</v>
      </c>
      <c r="AG35" s="602">
        <f>IF(M35="","",DEGREES(ATAN2(-AF35,AE35)))</f>
        <v>-67.026468603448151</v>
      </c>
      <c r="AH35" s="603">
        <f>IF(M35="","",DEGREES(ACOS(AD35)))</f>
        <v>168.74391039906342</v>
      </c>
      <c r="AI35" s="585">
        <f>IF(M35="","",DEGREES(-ACOS(-AF35)))</f>
        <v>-85.630654109309873</v>
      </c>
      <c r="AJ35" s="586">
        <f>IF(M35="","",DEGREES(ATAN2(-AE35,AD35)))</f>
        <v>-79.616459442934087</v>
      </c>
      <c r="AK35" s="635">
        <f>IF(M35="","",(COS(RADIANS((90-$Q$8)-W35))*AD35)+(-SIN(RADIANS((90-$Q$8)-W35))*AE35))</f>
        <v>0.86185720617295625</v>
      </c>
      <c r="AL35" s="629">
        <f>IF(M35="","",(SIN(RADIANS((90-$Q$8)-W35))*AD35)+(COS(RADIANS((90-$Q$8)-W35))*AE35))</f>
        <v>-0.5013959650235259</v>
      </c>
      <c r="AM35" s="634">
        <f>IF(M35="","",AF35)</f>
        <v>-7.6185578857641142E-2</v>
      </c>
      <c r="AN35" s="581">
        <f>IF(M35="","",DEGREES(ATAN2(-AM35,AL35)))</f>
        <v>-81.360169324358537</v>
      </c>
      <c r="AO35" s="582">
        <f t="shared" si="94"/>
        <v>30.47424619207013</v>
      </c>
      <c r="AP35" s="585">
        <f>IF(M35="","",DEGREES(ATAN2(AK35,AL35)))</f>
        <v>-30.189227596166599</v>
      </c>
      <c r="AQ35" s="586">
        <f t="shared" si="9"/>
        <v>0.56718881561325929</v>
      </c>
      <c r="AS35" s="52">
        <f t="shared" si="116"/>
        <v>-137.76723208644179</v>
      </c>
      <c r="AT35" s="72">
        <f t="shared" si="10"/>
        <v>-1.4792802869716812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>Taper</v>
      </c>
      <c r="IF35" s="533" t="str">
        <f>IFERROR(IF((((($IW35*COS(RADIANS(180-$IY35)))*COS(RADIANS($IY35)))-(($IX35*SIN(RADIANS(180-$IY35)))*SIN(RADIANS($IY35))))+$IU35)&lt;(((Settings!$C$19+$IF$8)/2)*-1),"Gage",""),"")</f>
        <v>Gage</v>
      </c>
      <c r="IG35" s="847">
        <f t="shared" si="210"/>
        <v>3.2280000000000002</v>
      </c>
      <c r="IH35" s="731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>3.1280000000000001</v>
      </c>
      <c r="II35" s="734" cm="1">
        <f t="array" ref="II35">IFERROR(ROUND(VALUE(IF($IH35&lt;1,$IH35+LARGE((IF($M$9:$M$150="",0,$M$9:$M$150)-MOD(IF($M$9:$M$150="",0,$M$9:$M$150),1)),1),$IH35)),4),"")</f>
        <v>3.1280000000000001</v>
      </c>
      <c r="IJ35" s="533">
        <f t="shared" si="112"/>
        <v>1613</v>
      </c>
      <c r="IK35" s="533">
        <f t="shared" si="66"/>
        <v>1313</v>
      </c>
      <c r="IL35" s="727">
        <f t="shared" si="225"/>
        <v>13.987197980498479</v>
      </c>
      <c r="IM35" s="759">
        <v>4.8397477357734597E-3</v>
      </c>
      <c r="IN35" s="5">
        <f t="shared" si="226"/>
        <v>0.3</v>
      </c>
      <c r="IO35" s="771">
        <v>150</v>
      </c>
      <c r="IP35" s="9">
        <f t="shared" si="227"/>
        <v>-3.9715119780801262</v>
      </c>
      <c r="IQ35" s="5">
        <f t="shared" si="228"/>
        <v>-1.5862047839936286</v>
      </c>
      <c r="IR35" s="5">
        <f t="shared" si="71"/>
        <v>0.314</v>
      </c>
      <c r="IS35" s="5">
        <f t="shared" si="229"/>
        <v>0.28266749042670242</v>
      </c>
      <c r="IT35" s="727">
        <f t="shared" si="230"/>
        <v>84.759602397338824</v>
      </c>
      <c r="IU35" s="9">
        <f t="shared" si="231"/>
        <v>-4.0192121219437595</v>
      </c>
      <c r="IV35" s="5">
        <f t="shared" si="232"/>
        <v>-1.5761047535319364</v>
      </c>
      <c r="IW35" s="5">
        <f t="shared" si="76"/>
        <v>0.26600000000000001</v>
      </c>
      <c r="IX35" s="5">
        <f t="shared" si="233"/>
        <v>0.22925401684200639</v>
      </c>
      <c r="IY35" s="762">
        <f t="shared" si="234"/>
        <v>81.360169324358537</v>
      </c>
    </row>
    <row r="36" spans="1:267" ht="15" customHeight="1" x14ac:dyDescent="0.25">
      <c r="A36" s="79"/>
      <c r="B36" s="707">
        <v>-9.6210851124064203E-2</v>
      </c>
      <c r="C36" s="708">
        <v>-2.8850049035919221</v>
      </c>
      <c r="D36" s="709">
        <v>-0.1265003815251507</v>
      </c>
      <c r="E36" s="710">
        <v>0.96528235175255006</v>
      </c>
      <c r="F36" s="708">
        <v>-0.18338693109159815</v>
      </c>
      <c r="G36" s="711">
        <v>0.18600864200319195</v>
      </c>
      <c r="H36" s="710">
        <v>0.314</v>
      </c>
      <c r="I36" s="708">
        <v>0.52</v>
      </c>
      <c r="J36" s="570">
        <v>4.1130000000000004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4.1130000000000004</v>
      </c>
      <c r="N36" s="632">
        <f t="shared" si="2"/>
        <v>-9.6210851124064203E-2</v>
      </c>
      <c r="O36" s="629">
        <f t="shared" si="3"/>
        <v>-2.8850049035919221</v>
      </c>
      <c r="P36" s="633">
        <f t="shared" si="4"/>
        <v>-0.1265003815251507</v>
      </c>
      <c r="Q36" s="585">
        <f t="shared" si="113"/>
        <v>268.08997428698905</v>
      </c>
      <c r="R36" s="629">
        <f>IF(M36="","",SQRT(N36^2+O36^2))</f>
        <v>2.8866087060118577</v>
      </c>
      <c r="S36" s="634">
        <f>IF(M36="","",P36)</f>
        <v>-0.1265003815251507</v>
      </c>
      <c r="T36" s="635">
        <f>IF(M36="","",X36*COS(RADIANS(W36)))</f>
        <v>-2.8865812218720546</v>
      </c>
      <c r="U36" s="629">
        <f>IF(M36="","",X36*SIN(RADIANS(W36)))</f>
        <v>1.2596474073648386E-2</v>
      </c>
      <c r="V36" s="636">
        <f>IF(M36="","",Y36)</f>
        <v>-0.1265003815251507</v>
      </c>
      <c r="W36" s="585">
        <f t="shared" si="224"/>
        <v>179.74997404731474</v>
      </c>
      <c r="X36" s="629">
        <f>IF(M36="","",R36)</f>
        <v>2.8866087060118577</v>
      </c>
      <c r="Y36" s="630">
        <f t="shared" si="223"/>
        <v>-0.1265003815251507</v>
      </c>
      <c r="Z36" s="632">
        <f t="shared" si="6"/>
        <v>-0.96528235175255006</v>
      </c>
      <c r="AA36" s="629">
        <f t="shared" si="7"/>
        <v>0.18338693109159815</v>
      </c>
      <c r="AB36" s="629">
        <f t="shared" si="8"/>
        <v>-0.18600864200319195</v>
      </c>
      <c r="AC36" s="636">
        <f>IF(M36="","",SQRT(Z36^2+AA36^2+AB36^2))</f>
        <v>1</v>
      </c>
      <c r="AD36" s="637">
        <f>IF(M36="","",Z36*(1/SQRT(Z36^2+AA36^2+AB36^2)))</f>
        <v>-0.96528235175255006</v>
      </c>
      <c r="AE36" s="629">
        <f>IF(M36="","",AA36*(1/SQRT(Z36^2+AA36^2+AB36^2)))</f>
        <v>0.18338693109159815</v>
      </c>
      <c r="AF36" s="633">
        <f>IF(M36="","",AB36*(1/SQRT(Z36^2+AA36^2+AB36^2)))</f>
        <v>-0.18600864200319195</v>
      </c>
      <c r="AG36" s="602">
        <f>IF(M36="","",DEGREES(ATAN2(-AF36,AE36)))</f>
        <v>44.593361536531731</v>
      </c>
      <c r="AH36" s="603">
        <f>IF(M36="","",DEGREES(ACOS(AD36)))</f>
        <v>164.85820619311019</v>
      </c>
      <c r="AI36" s="585">
        <f>IF(M36="","",DEGREES(-ACOS(-AF36)))</f>
        <v>-79.280055901351986</v>
      </c>
      <c r="AJ36" s="586">
        <f>IF(M36="","",DEGREES(ATAN2(-AE36,AD36)))</f>
        <v>-100.75700946749167</v>
      </c>
      <c r="AK36" s="635">
        <f>IF(M36="","",(COS(RADIANS((90-$Q$8)-W36))*AD36)+(-SIN(RADIANS((90-$Q$8)-W36))*AE36))</f>
        <v>0.97085833803713673</v>
      </c>
      <c r="AL36" s="629">
        <f>IF(M36="","",(SIN(RADIANS((90-$Q$8)-W36))*AD36)+(COS(RADIANS((90-$Q$8)-W36))*AE36))</f>
        <v>-0.15111211918273454</v>
      </c>
      <c r="AM36" s="634">
        <f>IF(M36="","",AF36)</f>
        <v>-0.18600864200319195</v>
      </c>
      <c r="AN36" s="581">
        <f>IF(M36="","",DEGREES(ATAN2(-AM36,AL36)))</f>
        <v>-39.090165967781466</v>
      </c>
      <c r="AO36" s="582">
        <f t="shared" si="94"/>
        <v>13.866125948667134</v>
      </c>
      <c r="AP36" s="585">
        <f>IF(M36="","",DEGREES(ATAN2(AK36,AL36)))</f>
        <v>-8.8469837544807231</v>
      </c>
      <c r="AQ36" s="586">
        <f t="shared" si="9"/>
        <v>0.78970948297163468</v>
      </c>
      <c r="AS36" s="52">
        <f t="shared" si="116"/>
        <v>-180.25002595268526</v>
      </c>
      <c r="AT36" s="72">
        <f t="shared" si="10"/>
        <v>-1.7397478000419353E-4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4.1130000000000004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-0.20694046141348951</v>
      </c>
      <c r="C37" s="708">
        <v>-3.5247410520478768</v>
      </c>
      <c r="D37" s="709">
        <v>-0.54560164553456292</v>
      </c>
      <c r="E37" s="710">
        <v>0.9388993456152398</v>
      </c>
      <c r="F37" s="708">
        <v>-0.31521047821856252</v>
      </c>
      <c r="G37" s="711">
        <v>0.13824027352584267</v>
      </c>
      <c r="H37" s="710">
        <v>0.314</v>
      </c>
      <c r="I37" s="708">
        <v>0.52</v>
      </c>
      <c r="J37" s="570">
        <v>4.1189999999999998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1613</v>
      </c>
      <c r="L37" s="320"/>
      <c r="M37" s="168">
        <f t="shared" si="1"/>
        <v>4.1189999999999998</v>
      </c>
      <c r="N37" s="632">
        <f t="shared" si="2"/>
        <v>-0.20694046141348951</v>
      </c>
      <c r="O37" s="629">
        <f t="shared" si="3"/>
        <v>-3.5247410520478768</v>
      </c>
      <c r="P37" s="633">
        <f t="shared" si="4"/>
        <v>-0.54560164553456292</v>
      </c>
      <c r="Q37" s="585">
        <f t="shared" si="113"/>
        <v>266.63997449634314</v>
      </c>
      <c r="R37" s="629">
        <f t="shared" si="79"/>
        <v>3.530810648924918</v>
      </c>
      <c r="S37" s="634">
        <f t="shared" si="80"/>
        <v>-0.54560164553456292</v>
      </c>
      <c r="T37" s="635">
        <f t="shared" si="81"/>
        <v>-3.5292565512841207</v>
      </c>
      <c r="U37" s="629">
        <f t="shared" si="82"/>
        <v>0.10474747624507932</v>
      </c>
      <c r="V37" s="636">
        <f t="shared" si="114"/>
        <v>-0.54560164553456292</v>
      </c>
      <c r="W37" s="585">
        <f t="shared" si="224"/>
        <v>178.29997425666883</v>
      </c>
      <c r="X37" s="629">
        <f t="shared" si="83"/>
        <v>3.530810648924918</v>
      </c>
      <c r="Y37" s="630">
        <f t="shared" si="223"/>
        <v>-0.54560164553456292</v>
      </c>
      <c r="Z37" s="632">
        <f t="shared" si="6"/>
        <v>-0.9388993456152398</v>
      </c>
      <c r="AA37" s="629">
        <f t="shared" si="7"/>
        <v>0.31521047821856252</v>
      </c>
      <c r="AB37" s="629">
        <f t="shared" si="8"/>
        <v>-0.13824027352584267</v>
      </c>
      <c r="AC37" s="636">
        <f t="shared" si="84"/>
        <v>1</v>
      </c>
      <c r="AD37" s="637">
        <f t="shared" si="115"/>
        <v>-0.9388993456152398</v>
      </c>
      <c r="AE37" s="629">
        <f t="shared" si="85"/>
        <v>0.31521047821856252</v>
      </c>
      <c r="AF37" s="633">
        <f t="shared" si="86"/>
        <v>-0.13824027352584267</v>
      </c>
      <c r="AG37" s="602">
        <f t="shared" si="87"/>
        <v>66.319427016104285</v>
      </c>
      <c r="AH37" s="603">
        <f t="shared" si="88"/>
        <v>159.86752985810045</v>
      </c>
      <c r="AI37" s="585">
        <f t="shared" si="89"/>
        <v>-82.053968765788525</v>
      </c>
      <c r="AJ37" s="586">
        <f t="shared" si="90"/>
        <v>-108.55810685688337</v>
      </c>
      <c r="AK37" s="635">
        <f t="shared" si="211"/>
        <v>0.95575979699261382</v>
      </c>
      <c r="AL37" s="629">
        <f t="shared" si="91"/>
        <v>-0.25963982211544101</v>
      </c>
      <c r="AM37" s="634">
        <f t="shared" si="92"/>
        <v>-0.13824027352584267</v>
      </c>
      <c r="AN37" s="581">
        <f t="shared" si="93"/>
        <v>-61.967781779328853</v>
      </c>
      <c r="AO37" s="582">
        <f t="shared" si="94"/>
        <v>17.106471529894439</v>
      </c>
      <c r="AP37" s="585">
        <f t="shared" si="95"/>
        <v>-15.198081353226517</v>
      </c>
      <c r="AQ37" s="586">
        <f t="shared" si="9"/>
        <v>0.64563930630150135</v>
      </c>
      <c r="AS37" s="52">
        <f t="shared" si="116"/>
        <v>-181.70002574333117</v>
      </c>
      <c r="AT37" s="72">
        <f t="shared" si="10"/>
        <v>-0.41826829449035674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4.1189999999999998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1613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-0.29183825759954929</v>
      </c>
      <c r="C38" s="708">
        <v>-3.8995064852499999</v>
      </c>
      <c r="D38" s="709">
        <v>-1.2140036614350431</v>
      </c>
      <c r="E38" s="710">
        <v>0.88949641639224475</v>
      </c>
      <c r="F38" s="708">
        <v>-0.44875169105117607</v>
      </c>
      <c r="G38" s="711">
        <v>8.6128073263392974E-2</v>
      </c>
      <c r="H38" s="710">
        <v>0.314</v>
      </c>
      <c r="I38" s="708">
        <v>0.52</v>
      </c>
      <c r="J38" s="570">
        <v>4.125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1613</v>
      </c>
      <c r="L38" s="320"/>
      <c r="M38" s="168">
        <f t="shared" si="1"/>
        <v>4.125</v>
      </c>
      <c r="N38" s="632">
        <f t="shared" si="2"/>
        <v>-0.29183825759954929</v>
      </c>
      <c r="O38" s="629">
        <f t="shared" si="3"/>
        <v>-3.8995064852499999</v>
      </c>
      <c r="P38" s="633">
        <f t="shared" si="4"/>
        <v>-1.2140036614350431</v>
      </c>
      <c r="Q38" s="585">
        <f t="shared" si="113"/>
        <v>265.71997462917466</v>
      </c>
      <c r="R38" s="629">
        <f t="shared" si="79"/>
        <v>3.9104117938019707</v>
      </c>
      <c r="S38" s="634">
        <f t="shared" si="80"/>
        <v>-1.2140036614350431</v>
      </c>
      <c r="T38" s="635">
        <f t="shared" si="81"/>
        <v>-3.9063240598007529</v>
      </c>
      <c r="U38" s="629">
        <f t="shared" si="82"/>
        <v>0.17875328508117416</v>
      </c>
      <c r="V38" s="636">
        <f t="shared" si="114"/>
        <v>-1.2140036614350431</v>
      </c>
      <c r="W38" s="585">
        <f t="shared" si="224"/>
        <v>177.37997438950035</v>
      </c>
      <c r="X38" s="629">
        <f t="shared" si="83"/>
        <v>3.9104117938019707</v>
      </c>
      <c r="Y38" s="630">
        <f t="shared" si="223"/>
        <v>-1.2140036614350431</v>
      </c>
      <c r="Z38" s="632">
        <f t="shared" si="6"/>
        <v>-0.88949641639224475</v>
      </c>
      <c r="AA38" s="629">
        <f t="shared" si="7"/>
        <v>0.44875169105117607</v>
      </c>
      <c r="AB38" s="629">
        <f t="shared" si="8"/>
        <v>-8.6128073263392974E-2</v>
      </c>
      <c r="AC38" s="636">
        <f t="shared" si="84"/>
        <v>1</v>
      </c>
      <c r="AD38" s="637">
        <f t="shared" si="115"/>
        <v>-0.88949641639224475</v>
      </c>
      <c r="AE38" s="629">
        <f t="shared" si="85"/>
        <v>0.44875169105117607</v>
      </c>
      <c r="AF38" s="633">
        <f t="shared" si="86"/>
        <v>-8.6128073263392974E-2</v>
      </c>
      <c r="AG38" s="602">
        <f t="shared" si="87"/>
        <v>79.135446112007372</v>
      </c>
      <c r="AH38" s="603">
        <f t="shared" si="88"/>
        <v>152.81003485948699</v>
      </c>
      <c r="AI38" s="585">
        <f t="shared" si="89"/>
        <v>-85.059103383988557</v>
      </c>
      <c r="AJ38" s="586">
        <f t="shared" si="90"/>
        <v>-116.77098294416949</v>
      </c>
      <c r="AK38" s="635">
        <f t="shared" si="211"/>
        <v>0.92050662327807675</v>
      </c>
      <c r="AL38" s="629">
        <f t="shared" si="91"/>
        <v>-0.38111613911920439</v>
      </c>
      <c r="AM38" s="634">
        <f t="shared" si="92"/>
        <v>-8.6128073263392974E-2</v>
      </c>
      <c r="AN38" s="581">
        <f t="shared" si="93"/>
        <v>-77.26569029303046</v>
      </c>
      <c r="AO38" s="582">
        <f t="shared" si="94"/>
        <v>22.999740476063742</v>
      </c>
      <c r="AP38" s="585">
        <f t="shared" si="95"/>
        <v>-22.490957573344154</v>
      </c>
      <c r="AQ38" s="586">
        <f t="shared" si="9"/>
        <v>0.58296877209762354</v>
      </c>
      <c r="AS38" s="52">
        <f t="shared" si="116"/>
        <v>-182.62002561049965</v>
      </c>
      <c r="AT38" s="72">
        <f t="shared" si="10"/>
        <v>-1.0860314215941922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4.125</v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IFERROR(ROUND(VALUE(IF($IH38&lt;1,$IH38+LARGE((IF($M$9:$M$150="",0,$M$9:$M$150)-MOD(IF($M$9:$M$150="",0,$M$9:$M$150),1)),1),$IH38)),4),"")</f>
        <v/>
      </c>
      <c r="IJ38" s="533">
        <f t="shared" si="112"/>
        <v>1613</v>
      </c>
      <c r="IK38" s="533" t="str">
        <f t="shared" si="66"/>
        <v/>
      </c>
      <c r="IL38" s="727" t="str">
        <f t="shared" si="225"/>
        <v/>
      </c>
      <c r="IM38" s="759"/>
      <c r="IN38" s="5" t="str">
        <f t="shared" si="226"/>
        <v/>
      </c>
      <c r="IO38" s="771"/>
      <c r="IP38" s="9" t="str">
        <f t="shared" si="227"/>
        <v/>
      </c>
      <c r="IQ38" s="5" t="str">
        <f t="shared" si="228"/>
        <v/>
      </c>
      <c r="IR38" s="5" t="str">
        <f t="shared" si="71"/>
        <v/>
      </c>
      <c r="IS38" s="5" t="str">
        <f t="shared" si="229"/>
        <v/>
      </c>
      <c r="IT38" s="727" t="str">
        <f t="shared" si="230"/>
        <v/>
      </c>
      <c r="IU38" s="9" t="str">
        <f t="shared" si="231"/>
        <v/>
      </c>
      <c r="IV38" s="5" t="str">
        <f t="shared" si="232"/>
        <v/>
      </c>
      <c r="IW38" s="5" t="str">
        <f t="shared" si="76"/>
        <v/>
      </c>
      <c r="IX38" s="5" t="str">
        <f t="shared" si="233"/>
        <v/>
      </c>
      <c r="IY38" s="762" t="str">
        <f t="shared" si="234"/>
        <v/>
      </c>
    </row>
    <row r="39" spans="1:267" ht="15" customHeight="1" x14ac:dyDescent="0.25">
      <c r="A39" s="79"/>
      <c r="B39" s="707">
        <v>-0.32319277952884473</v>
      </c>
      <c r="C39" s="708">
        <v>-3.9907464919683608</v>
      </c>
      <c r="D39" s="709">
        <v>-1.9883059967308863</v>
      </c>
      <c r="E39" s="710">
        <v>0.82283872525184421</v>
      </c>
      <c r="F39" s="708">
        <v>-0.56827496181505932</v>
      </c>
      <c r="G39" s="711">
        <v>1.1339743359695162E-7</v>
      </c>
      <c r="H39" s="710">
        <v>0.314</v>
      </c>
      <c r="I39" s="708">
        <v>0.52</v>
      </c>
      <c r="J39" s="570">
        <v>4.1310000000000002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1613</v>
      </c>
      <c r="L39" s="320"/>
      <c r="M39" s="168">
        <f t="shared" si="1"/>
        <v>4.1310000000000002</v>
      </c>
      <c r="N39" s="632">
        <f t="shared" si="2"/>
        <v>-0.32319277952884473</v>
      </c>
      <c r="O39" s="629">
        <f t="shared" si="3"/>
        <v>-3.9907464919683608</v>
      </c>
      <c r="P39" s="633">
        <f t="shared" si="4"/>
        <v>-1.9883059967308863</v>
      </c>
      <c r="Q39" s="585">
        <f t="shared" si="113"/>
        <v>265.36997467970843</v>
      </c>
      <c r="R39" s="629">
        <f t="shared" si="79"/>
        <v>4.0038120754972208</v>
      </c>
      <c r="S39" s="634">
        <f t="shared" si="80"/>
        <v>-1.9883059967308863</v>
      </c>
      <c r="T39" s="635">
        <f t="shared" si="81"/>
        <v>-3.9984340661997848</v>
      </c>
      <c r="U39" s="629">
        <f t="shared" si="82"/>
        <v>0.20745157061448669</v>
      </c>
      <c r="V39" s="636">
        <f t="shared" si="114"/>
        <v>-1.9883059967308863</v>
      </c>
      <c r="W39" s="585">
        <f t="shared" si="224"/>
        <v>177.02997444003412</v>
      </c>
      <c r="X39" s="629">
        <f t="shared" si="83"/>
        <v>4.0038120754972208</v>
      </c>
      <c r="Y39" s="630">
        <f t="shared" si="223"/>
        <v>-1.9883059967308863</v>
      </c>
      <c r="Z39" s="632">
        <f t="shared" si="6"/>
        <v>-0.82283872525184421</v>
      </c>
      <c r="AA39" s="629">
        <f t="shared" si="7"/>
        <v>0.56827496181505932</v>
      </c>
      <c r="AB39" s="629">
        <f t="shared" si="8"/>
        <v>-1.1339743359695162E-7</v>
      </c>
      <c r="AC39" s="636">
        <f t="shared" si="84"/>
        <v>1</v>
      </c>
      <c r="AD39" s="637">
        <f t="shared" si="115"/>
        <v>-0.82283872525184421</v>
      </c>
      <c r="AE39" s="629">
        <f t="shared" si="85"/>
        <v>0.56827496181505932</v>
      </c>
      <c r="AF39" s="633">
        <f t="shared" si="86"/>
        <v>-1.1339743359695162E-7</v>
      </c>
      <c r="AG39" s="602">
        <f t="shared" si="87"/>
        <v>89.999988566812206</v>
      </c>
      <c r="AH39" s="603">
        <f t="shared" si="88"/>
        <v>145.36997901117198</v>
      </c>
      <c r="AI39" s="585">
        <f t="shared" si="89"/>
        <v>-89.999993502805637</v>
      </c>
      <c r="AJ39" s="586">
        <f t="shared" si="90"/>
        <v>-124.6300209888275</v>
      </c>
      <c r="AK39" s="635">
        <f t="shared" si="211"/>
        <v>0.8660254415835853</v>
      </c>
      <c r="AL39" s="629">
        <f t="shared" si="91"/>
        <v>-0.49999993452993885</v>
      </c>
      <c r="AM39" s="634">
        <f t="shared" si="92"/>
        <v>-1.1339743359695162E-7</v>
      </c>
      <c r="AN39" s="581">
        <f t="shared" si="93"/>
        <v>-89.999987005609597</v>
      </c>
      <c r="AO39" s="582">
        <f t="shared" si="94"/>
        <v>29.999995668536574</v>
      </c>
      <c r="AP39" s="585">
        <f t="shared" si="95"/>
        <v>-29.999995668535931</v>
      </c>
      <c r="AQ39" s="586">
        <f t="shared" si="9"/>
        <v>0.56937027668245765</v>
      </c>
      <c r="AS39" s="52">
        <f t="shared" si="116"/>
        <v>-182.97002555996588</v>
      </c>
      <c r="AT39" s="72">
        <f t="shared" si="10"/>
        <v>-1.8600907013695727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4.1310000000000002</v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IFERROR(ROUND(VALUE(IF($IH39&lt;1,$IH39+LARGE((IF($M$9:$M$150="",0,$M$9:$M$150)-MOD(IF($M$9:$M$150="",0,$M$9:$M$150),1)),1),$IH39)),4),"")</f>
        <v/>
      </c>
      <c r="IJ39" s="533">
        <f t="shared" si="112"/>
        <v>1613</v>
      </c>
      <c r="IK39" s="533" t="str">
        <f t="shared" si="66"/>
        <v/>
      </c>
      <c r="IL39" s="727" t="str">
        <f t="shared" si="225"/>
        <v/>
      </c>
      <c r="IM39" s="759"/>
      <c r="IN39" s="5" t="str">
        <f t="shared" si="226"/>
        <v/>
      </c>
      <c r="IO39" s="771"/>
      <c r="IP39" s="9" t="str">
        <f t="shared" si="227"/>
        <v/>
      </c>
      <c r="IQ39" s="5" t="str">
        <f t="shared" si="228"/>
        <v/>
      </c>
      <c r="IR39" s="5" t="str">
        <f t="shared" si="71"/>
        <v/>
      </c>
      <c r="IS39" s="5" t="str">
        <f t="shared" si="229"/>
        <v/>
      </c>
      <c r="IT39" s="727" t="str">
        <f t="shared" si="230"/>
        <v/>
      </c>
      <c r="IU39" s="9" t="str">
        <f t="shared" si="231"/>
        <v/>
      </c>
      <c r="IV39" s="5" t="str">
        <f t="shared" si="232"/>
        <v/>
      </c>
      <c r="IW39" s="5" t="str">
        <f t="shared" si="76"/>
        <v/>
      </c>
      <c r="IX39" s="5" t="str">
        <f t="shared" si="233"/>
        <v/>
      </c>
      <c r="IY39" s="762" t="str">
        <f t="shared" si="234"/>
        <v/>
      </c>
    </row>
    <row r="40" spans="1:267" ht="15" customHeight="1" x14ac:dyDescent="0.25">
      <c r="A40" s="79"/>
      <c r="B40" s="707">
        <v>-1.1033283130998937</v>
      </c>
      <c r="C40" s="708">
        <v>-3.3840909289270789</v>
      </c>
      <c r="D40" s="709">
        <v>-0.51700155927670244</v>
      </c>
      <c r="E40" s="710">
        <v>0.78981189007325714</v>
      </c>
      <c r="F40" s="708">
        <v>-0.5771214530321318</v>
      </c>
      <c r="G40" s="711">
        <v>0.20767283584761473</v>
      </c>
      <c r="H40" s="710">
        <v>0.26600000000000001</v>
      </c>
      <c r="I40" s="708">
        <v>0.52</v>
      </c>
      <c r="J40" s="570">
        <v>4.2190000000000003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1313</v>
      </c>
      <c r="L40" s="320"/>
      <c r="M40" s="168">
        <f t="shared" si="1"/>
        <v>4.2190000000000003</v>
      </c>
      <c r="N40" s="632">
        <f t="shared" si="2"/>
        <v>-1.1033283130998937</v>
      </c>
      <c r="O40" s="629">
        <f t="shared" si="3"/>
        <v>-3.3840909289270789</v>
      </c>
      <c r="P40" s="633">
        <f t="shared" si="4"/>
        <v>-0.51700155927670244</v>
      </c>
      <c r="Q40" s="585">
        <f t="shared" si="113"/>
        <v>251.94227661842814</v>
      </c>
      <c r="R40" s="629">
        <f t="shared" si="79"/>
        <v>3.5594107351827771</v>
      </c>
      <c r="S40" s="634">
        <f t="shared" si="80"/>
        <v>-0.51700155927670244</v>
      </c>
      <c r="T40" s="635">
        <f t="shared" si="81"/>
        <v>-3.4146323844263655</v>
      </c>
      <c r="U40" s="629">
        <f t="shared" si="82"/>
        <v>1.0048335488831521</v>
      </c>
      <c r="V40" s="636">
        <f t="shared" si="114"/>
        <v>-0.51700155927670244</v>
      </c>
      <c r="W40" s="585">
        <f t="shared" si="224"/>
        <v>163.60227637875383</v>
      </c>
      <c r="X40" s="629">
        <f t="shared" si="83"/>
        <v>3.5594107351827771</v>
      </c>
      <c r="Y40" s="630">
        <f t="shared" si="223"/>
        <v>-0.51700155927670244</v>
      </c>
      <c r="Z40" s="632">
        <f t="shared" si="6"/>
        <v>-0.78981189007325714</v>
      </c>
      <c r="AA40" s="629">
        <f t="shared" si="7"/>
        <v>0.5771214530321318</v>
      </c>
      <c r="AB40" s="629">
        <f t="shared" si="8"/>
        <v>-0.20767283584761473</v>
      </c>
      <c r="AC40" s="636">
        <f t="shared" si="84"/>
        <v>1</v>
      </c>
      <c r="AD40" s="637">
        <f t="shared" si="115"/>
        <v>-0.78981189007325714</v>
      </c>
      <c r="AE40" s="629">
        <f t="shared" si="85"/>
        <v>0.5771214530321318</v>
      </c>
      <c r="AF40" s="633">
        <f t="shared" si="86"/>
        <v>-0.20767283584761473</v>
      </c>
      <c r="AG40" s="602">
        <f t="shared" si="87"/>
        <v>70.20911196557654</v>
      </c>
      <c r="AH40" s="603">
        <f t="shared" si="88"/>
        <v>142.16793580455001</v>
      </c>
      <c r="AI40" s="585">
        <f t="shared" si="89"/>
        <v>-78.013990758330564</v>
      </c>
      <c r="AJ40" s="586">
        <f t="shared" si="90"/>
        <v>-126.15587884672777</v>
      </c>
      <c r="AK40" s="635">
        <f t="shared" si="211"/>
        <v>0.92980269438149454</v>
      </c>
      <c r="AL40" s="629">
        <f t="shared" si="91"/>
        <v>-0.30387323470803274</v>
      </c>
      <c r="AM40" s="634">
        <f t="shared" si="92"/>
        <v>-0.20767283584761473</v>
      </c>
      <c r="AN40" s="581">
        <f t="shared" si="93"/>
        <v>-55.650544735704777</v>
      </c>
      <c r="AO40" s="582">
        <f t="shared" si="94"/>
        <v>21.595920481057934</v>
      </c>
      <c r="AP40" s="585">
        <f t="shared" si="95"/>
        <v>-18.098155465155909</v>
      </c>
      <c r="AQ40" s="586">
        <f t="shared" si="9"/>
        <v>0.64045198825868876</v>
      </c>
      <c r="AS40" s="52">
        <f t="shared" si="116"/>
        <v>-196.39772362124617</v>
      </c>
      <c r="AT40" s="72">
        <f t="shared" si="10"/>
        <v>-0.37946147359505533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>Taper</v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4.2190000000000003</v>
      </c>
      <c r="IH40" s="731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>4.1189999999999998</v>
      </c>
      <c r="II40" s="734" cm="1">
        <f t="array" ref="II40">IFERROR(ROUND(VALUE(IF($IH40&lt;1,$IH40+LARGE((IF($M$9:$M$150="",0,$M$9:$M$150)-MOD(IF($M$9:$M$150="",0,$M$9:$M$150),1)),1),$IH40)),4),"")</f>
        <v>4.1189999999999998</v>
      </c>
      <c r="IJ40" s="533">
        <f t="shared" si="112"/>
        <v>1613</v>
      </c>
      <c r="IK40" s="533">
        <f t="shared" si="66"/>
        <v>1313</v>
      </c>
      <c r="IL40" s="727">
        <f t="shared" si="225"/>
        <v>14.697697877915004</v>
      </c>
      <c r="IM40" s="759">
        <v>1.28742463568868E-2</v>
      </c>
      <c r="IN40" s="5">
        <f t="shared" si="226"/>
        <v>0.36</v>
      </c>
      <c r="IO40" s="771">
        <v>180</v>
      </c>
      <c r="IP40" s="9">
        <f t="shared" si="227"/>
        <v>-3.530810648924918</v>
      </c>
      <c r="IQ40" s="5">
        <f t="shared" si="228"/>
        <v>-0.54560164553456292</v>
      </c>
      <c r="IR40" s="5">
        <f t="shared" si="71"/>
        <v>0.314</v>
      </c>
      <c r="IS40" s="5">
        <f t="shared" si="229"/>
        <v>0.30010857625568071</v>
      </c>
      <c r="IT40" s="727">
        <f t="shared" si="230"/>
        <v>61.967781779328853</v>
      </c>
      <c r="IU40" s="9">
        <f t="shared" si="231"/>
        <v>-3.5594107351827771</v>
      </c>
      <c r="IV40" s="5">
        <f t="shared" si="232"/>
        <v>-0.51700155927670244</v>
      </c>
      <c r="IW40" s="5">
        <f t="shared" si="76"/>
        <v>0.26600000000000001</v>
      </c>
      <c r="IX40" s="5">
        <f t="shared" si="233"/>
        <v>0.24732751670547756</v>
      </c>
      <c r="IY40" s="762">
        <f t="shared" si="234"/>
        <v>55.650544735704777</v>
      </c>
    </row>
    <row r="41" spans="1:267" ht="15" customHeight="1" x14ac:dyDescent="0.25">
      <c r="A41" s="79"/>
      <c r="B41" s="707">
        <v>-1.2358907475094627</v>
      </c>
      <c r="C41" s="708">
        <v>-3.7548471763761055</v>
      </c>
      <c r="D41" s="709">
        <v>-1.1962036077500811</v>
      </c>
      <c r="E41" s="710">
        <v>0.70319338749708027</v>
      </c>
      <c r="F41" s="708">
        <v>-0.6981237726982078</v>
      </c>
      <c r="G41" s="711">
        <v>0.13469319869244456</v>
      </c>
      <c r="H41" s="710">
        <v>0.26600000000000001</v>
      </c>
      <c r="I41" s="708">
        <v>0.52</v>
      </c>
      <c r="J41" s="570">
        <v>4.2249999999999996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1313</v>
      </c>
      <c r="L41" s="320"/>
      <c r="M41" s="168">
        <f t="shared" ref="M41:M72" si="239">IF(J41="","",VALUE(J41))</f>
        <v>4.2249999999999996</v>
      </c>
      <c r="N41" s="632">
        <f t="shared" ref="N41:N72" si="240">IF(M41="","",B41)</f>
        <v>-1.2358907475094627</v>
      </c>
      <c r="O41" s="629">
        <f t="shared" ref="O41:O72" si="241">IF(M41="","",C41)</f>
        <v>-3.7548471763761055</v>
      </c>
      <c r="P41" s="633">
        <f t="shared" ref="P41:P72" si="242">IF(M41="","",D41)</f>
        <v>-1.1962036077500811</v>
      </c>
      <c r="Q41" s="585">
        <f t="shared" si="113"/>
        <v>251.78127664167366</v>
      </c>
      <c r="R41" s="629">
        <f t="shared" si="79"/>
        <v>3.9530119222839577</v>
      </c>
      <c r="S41" s="634">
        <f t="shared" si="80"/>
        <v>-1.1962036077500811</v>
      </c>
      <c r="T41" s="635">
        <f t="shared" si="81"/>
        <v>-3.7890731584363229</v>
      </c>
      <c r="U41" s="629">
        <f t="shared" si="82"/>
        <v>1.1266001321393935</v>
      </c>
      <c r="V41" s="636">
        <f t="shared" si="114"/>
        <v>-1.1962036077500811</v>
      </c>
      <c r="W41" s="585">
        <f t="shared" si="224"/>
        <v>163.44127640199935</v>
      </c>
      <c r="X41" s="629">
        <f t="shared" si="83"/>
        <v>3.9530119222839577</v>
      </c>
      <c r="Y41" s="630">
        <f t="shared" si="223"/>
        <v>-1.1962036077500811</v>
      </c>
      <c r="Z41" s="632">
        <f t="shared" ref="Z41:Z72" si="243">IF(M41="","",-E41)</f>
        <v>-0.70319338749708027</v>
      </c>
      <c r="AA41" s="629">
        <f t="shared" ref="AA41:AA72" si="244">IF(M41="","",-F41)</f>
        <v>0.6981237726982078</v>
      </c>
      <c r="AB41" s="629">
        <f t="shared" ref="AB41:AB72" si="245">IF(M41="","",-G41)</f>
        <v>-0.13469319869244456</v>
      </c>
      <c r="AC41" s="636">
        <f t="shared" si="84"/>
        <v>1</v>
      </c>
      <c r="AD41" s="637">
        <f t="shared" si="115"/>
        <v>-0.70319338749708027</v>
      </c>
      <c r="AE41" s="629">
        <f t="shared" si="85"/>
        <v>0.6981237726982078</v>
      </c>
      <c r="AF41" s="633">
        <f t="shared" si="86"/>
        <v>-0.13469319869244456</v>
      </c>
      <c r="AG41" s="602">
        <f t="shared" si="87"/>
        <v>79.079762226190937</v>
      </c>
      <c r="AH41" s="603">
        <f t="shared" si="88"/>
        <v>134.68377474599686</v>
      </c>
      <c r="AI41" s="585">
        <f t="shared" si="89"/>
        <v>-82.259120564219373</v>
      </c>
      <c r="AJ41" s="586">
        <f t="shared" si="90"/>
        <v>-134.79271911258266</v>
      </c>
      <c r="AK41" s="635">
        <f t="shared" si="211"/>
        <v>0.88620739973883356</v>
      </c>
      <c r="AL41" s="629">
        <f t="shared" si="91"/>
        <v>-0.44327664823914753</v>
      </c>
      <c r="AM41" s="634">
        <f t="shared" si="92"/>
        <v>-0.13469319869244456</v>
      </c>
      <c r="AN41" s="581">
        <f t="shared" si="93"/>
        <v>-73.098171118849777</v>
      </c>
      <c r="AO41" s="582">
        <f t="shared" si="94"/>
        <v>27.599527514435625</v>
      </c>
      <c r="AP41" s="585">
        <f t="shared" si="95"/>
        <v>-26.57399575425633</v>
      </c>
      <c r="AQ41" s="586">
        <f t="shared" ref="AQ41:AQ72" si="246">IF(M41="","",DEGREES(ATAN(($AS$5*SIN(RADIANS(90)))/(($X41*2*PI())-($AS$5*COS(RADIANS(90)))))))</f>
        <v>0.57668676265202334</v>
      </c>
      <c r="AS41" s="52">
        <f t="shared" si="116"/>
        <v>-196.55872359800065</v>
      </c>
      <c r="AT41" s="72">
        <f t="shared" ref="AT41:AT72" si="247">IF(M41="","",Y41+(((AS41-$AS$9)*$AS$6)*-1))</f>
        <v>-1.058551716529021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>Taper</v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4.2249999999999996</v>
      </c>
      <c r="IH41" s="731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>4.125</v>
      </c>
      <c r="II41" s="734" cm="1">
        <f t="array" ref="II41">IFERROR(ROUND(VALUE(IF($IH41&lt;1,$IH41+LARGE((IF($M$9:$M$150="",0,$M$9:$M$150)-MOD(IF($M$9:$M$150="",0,$M$9:$M$150),1)),1),$IH41)),4),"")</f>
        <v>4.125</v>
      </c>
      <c r="IJ41" s="533">
        <f t="shared" si="112"/>
        <v>1613</v>
      </c>
      <c r="IK41" s="533">
        <f t="shared" ref="IK41:IK72" si="382">IF(ISNUMBER($II41),INDEX($K$9:$K$150,MATCH($IG41,$M$9:$M$150,0)),"")</f>
        <v>1313</v>
      </c>
      <c r="IL41" s="727">
        <f t="shared" si="225"/>
        <v>13.938697987501001</v>
      </c>
      <c r="IM41" s="759">
        <v>7.4991548933902299E-3</v>
      </c>
      <c r="IN41" s="5">
        <f t="shared" si="226"/>
        <v>0.34</v>
      </c>
      <c r="IO41" s="771">
        <v>170</v>
      </c>
      <c r="IP41" s="9">
        <f t="shared" si="227"/>
        <v>-3.9104117938019707</v>
      </c>
      <c r="IQ41" s="5">
        <f t="shared" si="228"/>
        <v>-1.2140036614350431</v>
      </c>
      <c r="IR41" s="5">
        <f t="shared" ref="IR41:IR72" si="383">IF(ISNUMBER($II41),INDEX($H$9:$H$150,MATCH($II41,$M$9:$M$150,0)),"")</f>
        <v>0.314</v>
      </c>
      <c r="IS41" s="5">
        <f t="shared" si="229"/>
        <v>0.28903907970931614</v>
      </c>
      <c r="IT41" s="727">
        <f t="shared" si="230"/>
        <v>77.26569029303046</v>
      </c>
      <c r="IU41" s="9">
        <f t="shared" si="231"/>
        <v>-3.9530119222839577</v>
      </c>
      <c r="IV41" s="5">
        <f t="shared" si="232"/>
        <v>-1.1962036077500811</v>
      </c>
      <c r="IW41" s="5">
        <f t="shared" ref="IW41:IW72" si="384">IF(ISNUMBER($II41),$H41,"")</f>
        <v>0.26600000000000001</v>
      </c>
      <c r="IX41" s="5">
        <f t="shared" si="233"/>
        <v>0.23573116833052973</v>
      </c>
      <c r="IY41" s="762">
        <f t="shared" si="234"/>
        <v>73.098171118849777</v>
      </c>
    </row>
    <row r="42" spans="1:267" ht="15" customHeight="1" x14ac:dyDescent="0.25">
      <c r="A42" s="79"/>
      <c r="B42" s="707">
        <v>-0.54027427808323336</v>
      </c>
      <c r="C42" s="708">
        <v>-0.32462931296160108</v>
      </c>
      <c r="D42" s="709">
        <v>-0.30230091173954982</v>
      </c>
      <c r="E42" s="710">
        <v>0.53532038924264114</v>
      </c>
      <c r="F42" s="708">
        <v>-0.81507974085937407</v>
      </c>
      <c r="G42" s="711">
        <v>0.22153351191574347</v>
      </c>
      <c r="H42" s="710">
        <v>0.314</v>
      </c>
      <c r="I42" s="708">
        <v>0.52</v>
      </c>
      <c r="J42" s="570">
        <v>5.1020000000000003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5.1020000000000003</v>
      </c>
      <c r="N42" s="632">
        <f t="shared" si="240"/>
        <v>-0.54027427808323336</v>
      </c>
      <c r="O42" s="629">
        <f t="shared" si="241"/>
        <v>-0.32462931296160108</v>
      </c>
      <c r="P42" s="633">
        <f t="shared" si="242"/>
        <v>-0.30230091173954982</v>
      </c>
      <c r="Q42" s="585">
        <f t="shared" si="113"/>
        <v>210.99998252976403</v>
      </c>
      <c r="R42" s="629">
        <f t="shared" ref="R42:R47" si="385">IF(M42="","",SQRT(N42^2+O42^2))</f>
        <v>0.6303019009905334</v>
      </c>
      <c r="S42" s="634">
        <f t="shared" ref="S42:S47" si="386">IF(M42="","",P42)</f>
        <v>-0.30230091173954982</v>
      </c>
      <c r="T42" s="635">
        <f t="shared" ref="T42:T47" si="387">IF(M42="","",X42*COS(RADIANS(W42)))</f>
        <v>-0.34014396088257715</v>
      </c>
      <c r="U42" s="629">
        <f t="shared" ref="U42:U47" si="388">IF(M42="","",X42*SIN(RADIANS(W42)))</f>
        <v>0.53064354539313119</v>
      </c>
      <c r="V42" s="636">
        <f t="shared" ref="V42:V47" si="389">IF(M42="","",Y42)</f>
        <v>-0.30230091173954982</v>
      </c>
      <c r="W42" s="585">
        <f t="shared" si="224"/>
        <v>122.65998229008972</v>
      </c>
      <c r="X42" s="629">
        <f t="shared" ref="X42:X47" si="390">IF(M42="","",R42)</f>
        <v>0.6303019009905334</v>
      </c>
      <c r="Y42" s="630">
        <f t="shared" si="223"/>
        <v>-0.30230091173954982</v>
      </c>
      <c r="Z42" s="632">
        <f t="shared" si="243"/>
        <v>-0.53532038924264114</v>
      </c>
      <c r="AA42" s="629">
        <f t="shared" si="244"/>
        <v>0.81507974085937407</v>
      </c>
      <c r="AB42" s="629">
        <f t="shared" si="245"/>
        <v>-0.22153351191574347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-0.53532038924264114</v>
      </c>
      <c r="AE42" s="629">
        <f t="shared" ref="AE42:AE47" si="393">IF(M42="","",AA42*(1/SQRT(Z42^2+AA42^2+AB42^2)))</f>
        <v>0.81507974085937407</v>
      </c>
      <c r="AF42" s="633">
        <f t="shared" ref="AF42:AF47" si="394">IF(M42="","",AB42*(1/SQRT(Z42^2+AA42^2+AB42^2)))</f>
        <v>-0.22153351191574347</v>
      </c>
      <c r="AG42" s="602">
        <f t="shared" ref="AG42:AG47" si="395">IF(M42="","",DEGREES(ATAN2(-AF42,AE42)))</f>
        <v>74.794681468871829</v>
      </c>
      <c r="AH42" s="603">
        <f t="shared" ref="AH42:AH47" si="396">IF(M42="","",DEGREES(ACOS(AD42)))</f>
        <v>122.36564203026671</v>
      </c>
      <c r="AI42" s="585">
        <f t="shared" ref="AI42:AI47" si="397">IF(M42="","",DEGREES(-ACOS(-AF42)))</f>
        <v>-77.200880496996433</v>
      </c>
      <c r="AJ42" s="586">
        <f t="shared" ref="AJ42:AJ47" si="398">IF(M42="","",DEGREES(ATAN2(-AE42,AD42)))</f>
        <v>-146.70426884814262</v>
      </c>
      <c r="AK42" s="635">
        <f t="shared" ref="AK42:AK47" si="399">IF(M42="","",(COS(RADIANS((90-$Q$8)-W42))*AD42)+(-SIN(RADIANS((90-$Q$8)-W42))*AE42))</f>
        <v>0.97437007215446547</v>
      </c>
      <c r="AL42" s="629">
        <f t="shared" ref="AL42:AL47" si="400">IF(M42="","",(SIN(RADIANS((90-$Q$8)-W42))*AD42)+(COS(RADIANS((90-$Q$8)-W42))*AE42))</f>
        <v>3.9062329525759665E-2</v>
      </c>
      <c r="AM42" s="634">
        <f t="shared" ref="AM42:AM47" si="401">IF(M42="","",AF42)</f>
        <v>-0.22153351191574347</v>
      </c>
      <c r="AN42" s="581">
        <f t="shared" ref="AN42:AN47" si="402">IF(M42="","",DEGREES(ATAN2(-AM42,AL42)))</f>
        <v>9.999998556178836</v>
      </c>
      <c r="AO42" s="582">
        <f t="shared" si="94"/>
        <v>12.999998123032478</v>
      </c>
      <c r="AP42" s="585">
        <f t="shared" ref="AP42:AP47" si="403">IF(M42="","",DEGREES(ATAN2(AK42,AL42)))</f>
        <v>2.2957486220933374</v>
      </c>
      <c r="AQ42" s="586">
        <f t="shared" si="246"/>
        <v>3.6120875537595079</v>
      </c>
      <c r="AS42" s="52">
        <f t="shared" si="116"/>
        <v>-237.34001770991028</v>
      </c>
      <c r="AT42" s="72">
        <f t="shared" si="247"/>
        <v>-0.13632867738521928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5.1020000000000003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-1.255154093919211</v>
      </c>
      <c r="C43" s="708">
        <v>-0.75417214496219664</v>
      </c>
      <c r="D43" s="709">
        <v>-0.15530046838621264</v>
      </c>
      <c r="E43" s="710">
        <v>0.53504543226930268</v>
      </c>
      <c r="F43" s="708">
        <v>-0.81749181915615388</v>
      </c>
      <c r="G43" s="711">
        <v>0.21315138052688612</v>
      </c>
      <c r="H43" s="710">
        <v>0.314</v>
      </c>
      <c r="I43" s="708">
        <v>0.52</v>
      </c>
      <c r="J43" s="570">
        <v>5.1050000000000004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5.1050000000000004</v>
      </c>
      <c r="N43" s="632">
        <f t="shared" si="240"/>
        <v>-1.255154093919211</v>
      </c>
      <c r="O43" s="629">
        <f t="shared" si="241"/>
        <v>-0.75417214496219664</v>
      </c>
      <c r="P43" s="633">
        <f t="shared" si="242"/>
        <v>-0.15530046838621264</v>
      </c>
      <c r="Q43" s="585">
        <f t="shared" si="113"/>
        <v>210.99998252976403</v>
      </c>
      <c r="R43" s="629">
        <f t="shared" si="385"/>
        <v>1.4643044163421197</v>
      </c>
      <c r="S43" s="634">
        <f t="shared" si="386"/>
        <v>-0.15530046838621264</v>
      </c>
      <c r="T43" s="635">
        <f t="shared" si="387"/>
        <v>-0.79021545600564447</v>
      </c>
      <c r="U43" s="629">
        <f t="shared" si="388"/>
        <v>1.232780173757198</v>
      </c>
      <c r="V43" s="636">
        <f t="shared" si="389"/>
        <v>-0.15530046838621264</v>
      </c>
      <c r="W43" s="585">
        <f t="shared" si="224"/>
        <v>122.65998229008972</v>
      </c>
      <c r="X43" s="629">
        <f t="shared" si="390"/>
        <v>1.4643044163421197</v>
      </c>
      <c r="Y43" s="630">
        <f t="shared" si="223"/>
        <v>-0.15530046838621264</v>
      </c>
      <c r="Z43" s="632">
        <f t="shared" si="243"/>
        <v>-0.53504543226930268</v>
      </c>
      <c r="AA43" s="629">
        <f t="shared" si="244"/>
        <v>0.81749181915615388</v>
      </c>
      <c r="AB43" s="629">
        <f t="shared" si="245"/>
        <v>-0.21315138052688612</v>
      </c>
      <c r="AC43" s="636">
        <f t="shared" si="391"/>
        <v>1</v>
      </c>
      <c r="AD43" s="637">
        <f t="shared" si="392"/>
        <v>-0.53504543226930268</v>
      </c>
      <c r="AE43" s="629">
        <f t="shared" si="393"/>
        <v>0.81749181915615388</v>
      </c>
      <c r="AF43" s="633">
        <f t="shared" si="394"/>
        <v>-0.21315138052688612</v>
      </c>
      <c r="AG43" s="602">
        <f t="shared" si="395"/>
        <v>75.386171031882455</v>
      </c>
      <c r="AH43" s="603">
        <f t="shared" si="396"/>
        <v>122.34699256996866</v>
      </c>
      <c r="AI43" s="585">
        <f t="shared" si="397"/>
        <v>-77.692904575004093</v>
      </c>
      <c r="AJ43" s="586">
        <f t="shared" si="398"/>
        <v>-146.79539835805551</v>
      </c>
      <c r="AK43" s="635">
        <f t="shared" si="399"/>
        <v>0.97629601393762744</v>
      </c>
      <c r="AL43" s="629">
        <f t="shared" si="400"/>
        <v>3.7584333823853011E-2</v>
      </c>
      <c r="AM43" s="634">
        <f t="shared" si="401"/>
        <v>-0.21315138052688612</v>
      </c>
      <c r="AN43" s="581">
        <f t="shared" si="402"/>
        <v>9.9999985561788396</v>
      </c>
      <c r="AO43" s="582">
        <f t="shared" si="94"/>
        <v>12.499998195223519</v>
      </c>
      <c r="AP43" s="585">
        <f t="shared" si="403"/>
        <v>2.2046191121804557</v>
      </c>
      <c r="AQ43" s="586">
        <f t="shared" si="246"/>
        <v>1.5564835988688168</v>
      </c>
      <c r="AS43" s="52">
        <f t="shared" ref="AS43:AS74" si="406">IF(G43="","",IF(AND(W43&lt;(AS42+180),W43&gt;(AS42-180)),W43,IF(W43&gt;(AS42+180),W43-360,IF(W43&lt;(AS42-180),W43+360,"Error"))))</f>
        <v>-237.34001770991028</v>
      </c>
      <c r="AT43" s="72">
        <f t="shared" si="247"/>
        <v>1.0671765968117891E-2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5.1050000000000004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-1.9433877594052795</v>
      </c>
      <c r="C44" s="708">
        <v>-1.1347134989020324</v>
      </c>
      <c r="D44" s="709">
        <v>-2.7500082940250147E-2</v>
      </c>
      <c r="E44" s="710">
        <v>0.44393311676769437</v>
      </c>
      <c r="F44" s="708">
        <v>-0.86912088869391513</v>
      </c>
      <c r="G44" s="711">
        <v>0.21806482676676667</v>
      </c>
      <c r="H44" s="710">
        <v>0.314</v>
      </c>
      <c r="I44" s="708">
        <v>0.52</v>
      </c>
      <c r="J44" s="570">
        <v>5.1079999999999997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5.1079999999999997</v>
      </c>
      <c r="N44" s="632">
        <f t="shared" si="240"/>
        <v>-1.9433877594052795</v>
      </c>
      <c r="O44" s="629">
        <f t="shared" si="241"/>
        <v>-1.1347134989020324</v>
      </c>
      <c r="P44" s="633">
        <f t="shared" si="242"/>
        <v>-2.7500082940250147E-2</v>
      </c>
      <c r="Q44" s="585">
        <f t="shared" si="113"/>
        <v>210.27998263371916</v>
      </c>
      <c r="R44" s="629">
        <f t="shared" si="385"/>
        <v>2.2504067872268707</v>
      </c>
      <c r="S44" s="634">
        <f t="shared" si="386"/>
        <v>-2.7500082940250147E-2</v>
      </c>
      <c r="T44" s="635">
        <f t="shared" si="387"/>
        <v>-1.1905341410728558</v>
      </c>
      <c r="U44" s="629">
        <f t="shared" si="388"/>
        <v>1.9097013292493366</v>
      </c>
      <c r="V44" s="636">
        <f t="shared" si="389"/>
        <v>-2.7500082940250147E-2</v>
      </c>
      <c r="W44" s="585">
        <f t="shared" si="224"/>
        <v>121.93998239404485</v>
      </c>
      <c r="X44" s="629">
        <f t="shared" si="390"/>
        <v>2.2504067872268707</v>
      </c>
      <c r="Y44" s="630">
        <f t="shared" si="223"/>
        <v>-2.7500082940250147E-2</v>
      </c>
      <c r="Z44" s="632">
        <f t="shared" si="243"/>
        <v>-0.44393311676769437</v>
      </c>
      <c r="AA44" s="629">
        <f t="shared" si="244"/>
        <v>0.86912088869391513</v>
      </c>
      <c r="AB44" s="629">
        <f t="shared" si="245"/>
        <v>-0.21806482676676667</v>
      </c>
      <c r="AC44" s="636">
        <f t="shared" si="391"/>
        <v>1</v>
      </c>
      <c r="AD44" s="637">
        <f t="shared" si="392"/>
        <v>-0.44393311676769437</v>
      </c>
      <c r="AE44" s="629">
        <f t="shared" si="393"/>
        <v>0.86912088869391513</v>
      </c>
      <c r="AF44" s="633">
        <f t="shared" si="394"/>
        <v>-0.21806482676676667</v>
      </c>
      <c r="AG44" s="602">
        <f t="shared" si="395"/>
        <v>75.915085337300766</v>
      </c>
      <c r="AH44" s="603">
        <f t="shared" si="396"/>
        <v>116.35510007022435</v>
      </c>
      <c r="AI44" s="585">
        <f t="shared" si="397"/>
        <v>-77.404603657988858</v>
      </c>
      <c r="AJ44" s="586">
        <f t="shared" si="398"/>
        <v>-152.94277803916881</v>
      </c>
      <c r="AK44" s="635">
        <f t="shared" si="399"/>
        <v>0.97439085643678669</v>
      </c>
      <c r="AL44" s="629">
        <f t="shared" si="400"/>
        <v>-5.4865200442224482E-2</v>
      </c>
      <c r="AM44" s="634">
        <f t="shared" si="401"/>
        <v>-0.21806482676676667</v>
      </c>
      <c r="AN44" s="581">
        <f t="shared" si="402"/>
        <v>-14.122513882348111</v>
      </c>
      <c r="AO44" s="582">
        <f t="shared" si="94"/>
        <v>12.994703236909432</v>
      </c>
      <c r="AP44" s="585">
        <f t="shared" si="403"/>
        <v>-3.2227606728879548</v>
      </c>
      <c r="AQ44" s="586">
        <f t="shared" si="246"/>
        <v>1.012923146545381</v>
      </c>
      <c r="AS44" s="52">
        <f t="shared" si="406"/>
        <v>-238.06001760595515</v>
      </c>
      <c r="AT44" s="72">
        <f t="shared" si="247"/>
        <v>0.13897215134188934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5.1079999999999997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-2.6340408852263639</v>
      </c>
      <c r="C45" s="708">
        <v>-1.4498717308644211</v>
      </c>
      <c r="D45" s="709">
        <v>-0.16420049522869365</v>
      </c>
      <c r="E45" s="710">
        <v>0.3171394442217505</v>
      </c>
      <c r="F45" s="708">
        <v>-0.93055473394589094</v>
      </c>
      <c r="G45" s="711">
        <v>0.18300398916310959</v>
      </c>
      <c r="H45" s="710">
        <v>0.314</v>
      </c>
      <c r="I45" s="708">
        <v>0.52</v>
      </c>
      <c r="J45" s="570">
        <v>5.1139999999999999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5.1139999999999999</v>
      </c>
      <c r="N45" s="632">
        <f t="shared" si="240"/>
        <v>-2.6340408852263639</v>
      </c>
      <c r="O45" s="629">
        <f t="shared" si="241"/>
        <v>-1.4498717308644211</v>
      </c>
      <c r="P45" s="633">
        <f t="shared" si="242"/>
        <v>-0.16420049522869365</v>
      </c>
      <c r="Q45" s="585">
        <f t="shared" si="113"/>
        <v>208.82998284307322</v>
      </c>
      <c r="R45" s="629">
        <f t="shared" si="385"/>
        <v>3.0067090682345508</v>
      </c>
      <c r="S45" s="634">
        <f t="shared" si="386"/>
        <v>-0.16420049522869365</v>
      </c>
      <c r="T45" s="635">
        <f t="shared" si="387"/>
        <v>-1.5255672315693574</v>
      </c>
      <c r="U45" s="629">
        <f t="shared" si="388"/>
        <v>2.590934974669509</v>
      </c>
      <c r="V45" s="636">
        <f t="shared" si="389"/>
        <v>-0.16420049522869365</v>
      </c>
      <c r="W45" s="585">
        <f t="shared" si="224"/>
        <v>120.48998260339891</v>
      </c>
      <c r="X45" s="629">
        <f t="shared" si="390"/>
        <v>3.0067090682345508</v>
      </c>
      <c r="Y45" s="630">
        <f t="shared" si="223"/>
        <v>-0.16420049522869365</v>
      </c>
      <c r="Z45" s="632">
        <f t="shared" si="243"/>
        <v>-0.3171394442217505</v>
      </c>
      <c r="AA45" s="629">
        <f t="shared" si="244"/>
        <v>0.93055473394589094</v>
      </c>
      <c r="AB45" s="629">
        <f t="shared" si="245"/>
        <v>-0.18300398916310959</v>
      </c>
      <c r="AC45" s="636">
        <f t="shared" si="391"/>
        <v>1</v>
      </c>
      <c r="AD45" s="637">
        <f t="shared" si="392"/>
        <v>-0.3171394442217505</v>
      </c>
      <c r="AE45" s="629">
        <f t="shared" si="393"/>
        <v>0.93055473394589094</v>
      </c>
      <c r="AF45" s="633">
        <f t="shared" si="394"/>
        <v>-0.18300398916310959</v>
      </c>
      <c r="AG45" s="602">
        <f t="shared" si="395"/>
        <v>78.874127835705764</v>
      </c>
      <c r="AH45" s="603">
        <f t="shared" si="396"/>
        <v>108.49001850797562</v>
      </c>
      <c r="AI45" s="585">
        <f t="shared" si="397"/>
        <v>-79.455217188791408</v>
      </c>
      <c r="AJ45" s="586">
        <f t="shared" si="398"/>
        <v>-161.18053727975843</v>
      </c>
      <c r="AK45" s="635">
        <f t="shared" si="399"/>
        <v>0.96814512612049941</v>
      </c>
      <c r="AL45" s="629">
        <f t="shared" si="400"/>
        <v>-0.17089340162660199</v>
      </c>
      <c r="AM45" s="634">
        <f t="shared" si="401"/>
        <v>-0.18300398916310959</v>
      </c>
      <c r="AN45" s="581">
        <f t="shared" si="402"/>
        <v>-43.040067818866291</v>
      </c>
      <c r="AO45" s="582">
        <f t="shared" si="94"/>
        <v>14.500575339686037</v>
      </c>
      <c r="AP45" s="585">
        <f t="shared" si="403"/>
        <v>-10.010520122831643</v>
      </c>
      <c r="AQ45" s="586">
        <f t="shared" si="246"/>
        <v>0.75816898756459028</v>
      </c>
      <c r="AS45" s="52">
        <f t="shared" si="406"/>
        <v>-239.51001739660109</v>
      </c>
      <c r="AT45" s="72">
        <f t="shared" si="247"/>
        <v>3.2786833525055015E-3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5.1139999999999999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-3.209212580688598</v>
      </c>
      <c r="C46" s="708">
        <v>-1.6656289984179833</v>
      </c>
      <c r="D46" s="709">
        <v>-0.63320190973695978</v>
      </c>
      <c r="E46" s="710">
        <v>0.18866406141809003</v>
      </c>
      <c r="F46" s="708">
        <v>-0.97289613996141566</v>
      </c>
      <c r="G46" s="711">
        <v>0.13371227609089936</v>
      </c>
      <c r="H46" s="710">
        <v>0.314</v>
      </c>
      <c r="I46" s="708">
        <v>0.52</v>
      </c>
      <c r="J46" s="570">
        <v>5.12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1613</v>
      </c>
      <c r="L46" s="320"/>
      <c r="M46" s="168">
        <f t="shared" si="239"/>
        <v>5.12</v>
      </c>
      <c r="N46" s="632">
        <f t="shared" si="240"/>
        <v>-3.209212580688598</v>
      </c>
      <c r="O46" s="629">
        <f t="shared" si="241"/>
        <v>-1.6656289984179833</v>
      </c>
      <c r="P46" s="633">
        <f t="shared" si="242"/>
        <v>-0.63320190973695978</v>
      </c>
      <c r="Q46" s="585">
        <f t="shared" si="113"/>
        <v>207.42998304520819</v>
      </c>
      <c r="R46" s="629">
        <f t="shared" si="385"/>
        <v>3.6157109049840899</v>
      </c>
      <c r="S46" s="634">
        <f t="shared" si="386"/>
        <v>-0.63320190973695978</v>
      </c>
      <c r="T46" s="635">
        <f t="shared" si="387"/>
        <v>-1.7578957602721914</v>
      </c>
      <c r="U46" s="629">
        <f t="shared" si="388"/>
        <v>3.1596151418231178</v>
      </c>
      <c r="V46" s="636">
        <f t="shared" si="389"/>
        <v>-0.63320190973695978</v>
      </c>
      <c r="W46" s="585">
        <f t="shared" si="224"/>
        <v>119.08998280553388</v>
      </c>
      <c r="X46" s="629">
        <f t="shared" si="390"/>
        <v>3.6157109049840899</v>
      </c>
      <c r="Y46" s="630">
        <f t="shared" si="223"/>
        <v>-0.63320190973695978</v>
      </c>
      <c r="Z46" s="632">
        <f t="shared" si="243"/>
        <v>-0.18866406141809003</v>
      </c>
      <c r="AA46" s="629">
        <f t="shared" si="244"/>
        <v>0.97289613996141566</v>
      </c>
      <c r="AB46" s="629">
        <f t="shared" si="245"/>
        <v>-0.13371227609089936</v>
      </c>
      <c r="AC46" s="636">
        <f t="shared" si="391"/>
        <v>1</v>
      </c>
      <c r="AD46" s="637">
        <f t="shared" si="392"/>
        <v>-0.18866406141809003</v>
      </c>
      <c r="AE46" s="629">
        <f t="shared" si="393"/>
        <v>0.97289613996141566</v>
      </c>
      <c r="AF46" s="633">
        <f t="shared" si="394"/>
        <v>-0.13371227609089936</v>
      </c>
      <c r="AG46" s="602">
        <f t="shared" si="395"/>
        <v>82.174445986046507</v>
      </c>
      <c r="AH46" s="603">
        <f t="shared" si="396"/>
        <v>100.87483061301822</v>
      </c>
      <c r="AI46" s="585">
        <f t="shared" si="397"/>
        <v>-82.31583634858498</v>
      </c>
      <c r="AJ46" s="586">
        <f t="shared" si="398"/>
        <v>-169.02541336094185</v>
      </c>
      <c r="AK46" s="635">
        <f t="shared" si="399"/>
        <v>0.95042854753343575</v>
      </c>
      <c r="AL46" s="629">
        <f t="shared" si="400"/>
        <v>-0.28072513826886825</v>
      </c>
      <c r="AM46" s="634">
        <f t="shared" si="401"/>
        <v>-0.13371227609089936</v>
      </c>
      <c r="AN46" s="581">
        <f t="shared" si="402"/>
        <v>-64.531058609569385</v>
      </c>
      <c r="AO46" s="582">
        <f t="shared" si="94"/>
        <v>18.116071827970103</v>
      </c>
      <c r="AP46" s="585">
        <f t="shared" si="403"/>
        <v>-16.455396406150037</v>
      </c>
      <c r="AQ46" s="586">
        <f t="shared" si="246"/>
        <v>0.6304803331806329</v>
      </c>
      <c r="AS46" s="52">
        <f t="shared" si="406"/>
        <v>-240.91001719446612</v>
      </c>
      <c r="AT46" s="72">
        <f t="shared" si="247"/>
        <v>-0.46475050907390991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1613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-3.5225508118282045</v>
      </c>
      <c r="C47" s="708">
        <v>-1.7670377103082171</v>
      </c>
      <c r="D47" s="709">
        <v>-1.3296040100856943</v>
      </c>
      <c r="E47" s="710">
        <v>5.2760706493897663E-2</v>
      </c>
      <c r="F47" s="708">
        <v>-0.99600578972922349</v>
      </c>
      <c r="G47" s="711">
        <v>7.2033149841796942E-2</v>
      </c>
      <c r="H47" s="710">
        <v>0.314</v>
      </c>
      <c r="I47" s="708">
        <v>0.52</v>
      </c>
      <c r="J47" s="570">
        <v>5.1260000000000003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1613</v>
      </c>
      <c r="L47" s="320"/>
      <c r="M47" s="168">
        <f t="shared" si="239"/>
        <v>5.1260000000000003</v>
      </c>
      <c r="N47" s="632">
        <f t="shared" si="240"/>
        <v>-3.5225508118282045</v>
      </c>
      <c r="O47" s="629">
        <f t="shared" si="241"/>
        <v>-1.7670377103082171</v>
      </c>
      <c r="P47" s="633">
        <f t="shared" si="242"/>
        <v>-1.3296040100856943</v>
      </c>
      <c r="Q47" s="585">
        <f t="shared" si="113"/>
        <v>206.63998315927009</v>
      </c>
      <c r="R47" s="629">
        <f t="shared" si="385"/>
        <v>3.9409118857902481</v>
      </c>
      <c r="S47" s="634">
        <f t="shared" si="386"/>
        <v>-1.3296040100856943</v>
      </c>
      <c r="T47" s="635">
        <f t="shared" si="387"/>
        <v>-1.8683388235421488</v>
      </c>
      <c r="U47" s="629">
        <f t="shared" si="388"/>
        <v>3.4698842245827151</v>
      </c>
      <c r="V47" s="636">
        <f t="shared" si="389"/>
        <v>-1.3296040100856943</v>
      </c>
      <c r="W47" s="585">
        <f t="shared" si="224"/>
        <v>118.29998291959578</v>
      </c>
      <c r="X47" s="629">
        <f t="shared" si="390"/>
        <v>3.9409118857902481</v>
      </c>
      <c r="Y47" s="630">
        <f t="shared" si="223"/>
        <v>-1.3296040100856943</v>
      </c>
      <c r="Z47" s="632">
        <f t="shared" si="243"/>
        <v>-5.2760706493897663E-2</v>
      </c>
      <c r="AA47" s="629">
        <f t="shared" si="244"/>
        <v>0.99600578972922349</v>
      </c>
      <c r="AB47" s="629">
        <f t="shared" si="245"/>
        <v>-7.2033149841796942E-2</v>
      </c>
      <c r="AC47" s="636">
        <f t="shared" si="391"/>
        <v>1</v>
      </c>
      <c r="AD47" s="637">
        <f t="shared" si="392"/>
        <v>-5.2760706493897663E-2</v>
      </c>
      <c r="AE47" s="629">
        <f t="shared" si="393"/>
        <v>0.99600578972922349</v>
      </c>
      <c r="AF47" s="633">
        <f t="shared" si="394"/>
        <v>-7.2033149841796942E-2</v>
      </c>
      <c r="AG47" s="602">
        <f t="shared" si="395"/>
        <v>85.863455532579067</v>
      </c>
      <c r="AH47" s="603">
        <f t="shared" si="396"/>
        <v>93.024370067035008</v>
      </c>
      <c r="AI47" s="585">
        <f t="shared" si="397"/>
        <v>-85.869226988122179</v>
      </c>
      <c r="AJ47" s="586">
        <f t="shared" si="398"/>
        <v>-176.96774552533074</v>
      </c>
      <c r="AK47" s="635">
        <f t="shared" si="399"/>
        <v>0.91392836621904272</v>
      </c>
      <c r="AL47" s="629">
        <f t="shared" si="400"/>
        <v>-0.39943230558388826</v>
      </c>
      <c r="AM47" s="634">
        <f t="shared" si="401"/>
        <v>-7.2033149841796942E-2</v>
      </c>
      <c r="AN47" s="581">
        <f t="shared" si="402"/>
        <v>-79.777223787565745</v>
      </c>
      <c r="AO47" s="582">
        <f t="shared" si="94"/>
        <v>23.946003654338309</v>
      </c>
      <c r="AP47" s="585">
        <f t="shared" si="403"/>
        <v>-23.607728684600822</v>
      </c>
      <c r="AQ47" s="586">
        <f t="shared" si="246"/>
        <v>0.57845728116207729</v>
      </c>
      <c r="AS47" s="52">
        <f t="shared" si="406"/>
        <v>-241.70001708040422</v>
      </c>
      <c r="AT47" s="72">
        <f t="shared" si="247"/>
        <v>-1.160603998390743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5.1260000000000003</v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IFERROR(ROUND(VALUE(IF($IH47&lt;1,$IH47+LARGE((IF($M$9:$M$150="",0,$M$9:$M$150)-MOD(IF($M$9:$M$150="",0,$M$9:$M$150),1)),1),$IH47)),4),"")</f>
        <v/>
      </c>
      <c r="IJ47" s="533">
        <f t="shared" si="112"/>
        <v>1613</v>
      </c>
      <c r="IK47" s="533" t="str">
        <f t="shared" si="382"/>
        <v/>
      </c>
      <c r="IL47" s="727" t="str">
        <f t="shared" si="225"/>
        <v/>
      </c>
      <c r="IM47" s="759"/>
      <c r="IN47" s="5" t="str">
        <f t="shared" si="226"/>
        <v/>
      </c>
      <c r="IO47" s="771"/>
      <c r="IP47" s="9" t="str">
        <f t="shared" si="227"/>
        <v/>
      </c>
      <c r="IQ47" s="5" t="str">
        <f t="shared" si="228"/>
        <v/>
      </c>
      <c r="IR47" s="5" t="str">
        <f t="shared" si="383"/>
        <v/>
      </c>
      <c r="IS47" s="5" t="str">
        <f t="shared" si="229"/>
        <v/>
      </c>
      <c r="IT47" s="727" t="str">
        <f t="shared" si="230"/>
        <v/>
      </c>
      <c r="IU47" s="9" t="str">
        <f t="shared" si="231"/>
        <v/>
      </c>
      <c r="IV47" s="5" t="str">
        <f t="shared" si="232"/>
        <v/>
      </c>
      <c r="IW47" s="5" t="str">
        <f t="shared" si="384"/>
        <v/>
      </c>
      <c r="IX47" s="5" t="str">
        <f t="shared" si="233"/>
        <v/>
      </c>
      <c r="IY47" s="762" t="str">
        <f t="shared" si="234"/>
        <v/>
      </c>
    </row>
    <row r="48" spans="1:267" ht="15" customHeight="1" x14ac:dyDescent="0.25">
      <c r="A48" s="79"/>
      <c r="B48" s="707">
        <v>-3.5871937209002325</v>
      </c>
      <c r="C48" s="708">
        <v>-1.7783566415742655</v>
      </c>
      <c r="D48" s="709">
        <v>-2.1027063417623268</v>
      </c>
      <c r="E48" s="710">
        <v>-6.331329368209325E-2</v>
      </c>
      <c r="F48" s="708">
        <v>-0.99799370080332284</v>
      </c>
      <c r="G48" s="711">
        <v>1.1339743327054409E-7</v>
      </c>
      <c r="H48" s="710">
        <v>0.314</v>
      </c>
      <c r="I48" s="708">
        <v>0.52</v>
      </c>
      <c r="J48" s="570">
        <v>5.1319999999999997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1613</v>
      </c>
      <c r="L48" s="320"/>
      <c r="M48" s="168">
        <f t="shared" si="239"/>
        <v>5.1319999999999997</v>
      </c>
      <c r="N48" s="632">
        <f t="shared" si="240"/>
        <v>-3.5871937209002325</v>
      </c>
      <c r="O48" s="629">
        <f t="shared" si="241"/>
        <v>-1.7783566415742655</v>
      </c>
      <c r="P48" s="633">
        <f t="shared" si="242"/>
        <v>-2.1027063417623268</v>
      </c>
      <c r="Q48" s="585">
        <f t="shared" si="113"/>
        <v>206.36998319825324</v>
      </c>
      <c r="R48" s="629">
        <f t="shared" si="79"/>
        <v>4.00381207549722</v>
      </c>
      <c r="S48" s="634">
        <f t="shared" si="80"/>
        <v>-2.1027063417623268</v>
      </c>
      <c r="T48" s="635">
        <f t="shared" si="81"/>
        <v>-1.8815256067491901</v>
      </c>
      <c r="U48" s="629">
        <f t="shared" si="82"/>
        <v>3.5341721133872994</v>
      </c>
      <c r="V48" s="636">
        <f t="shared" si="114"/>
        <v>-2.1027063417623268</v>
      </c>
      <c r="W48" s="585">
        <f t="shared" si="224"/>
        <v>118.02998295857893</v>
      </c>
      <c r="X48" s="629">
        <f t="shared" si="83"/>
        <v>4.00381207549722</v>
      </c>
      <c r="Y48" s="630">
        <f t="shared" si="223"/>
        <v>-2.1027063417623268</v>
      </c>
      <c r="Z48" s="632">
        <f t="shared" si="243"/>
        <v>6.331329368209325E-2</v>
      </c>
      <c r="AA48" s="629">
        <f t="shared" si="244"/>
        <v>0.99799370080332284</v>
      </c>
      <c r="AB48" s="629">
        <f t="shared" si="245"/>
        <v>-1.1339743327054409E-7</v>
      </c>
      <c r="AC48" s="636">
        <f t="shared" si="84"/>
        <v>1</v>
      </c>
      <c r="AD48" s="637">
        <f t="shared" si="115"/>
        <v>6.331329368209325E-2</v>
      </c>
      <c r="AE48" s="629">
        <f t="shared" si="85"/>
        <v>0.99799370080332284</v>
      </c>
      <c r="AF48" s="633">
        <f t="shared" si="86"/>
        <v>-1.1339743327054409E-7</v>
      </c>
      <c r="AG48" s="602">
        <f t="shared" si="87"/>
        <v>89.999993489744142</v>
      </c>
      <c r="AH48" s="603">
        <f t="shared" si="88"/>
        <v>86.369987529717363</v>
      </c>
      <c r="AI48" s="585">
        <f t="shared" si="89"/>
        <v>-89.999993502805665</v>
      </c>
      <c r="AJ48" s="586">
        <f t="shared" si="90"/>
        <v>176.36998752971732</v>
      </c>
      <c r="AK48" s="635">
        <f t="shared" si="211"/>
        <v>0.86602544158358563</v>
      </c>
      <c r="AL48" s="629">
        <f t="shared" si="91"/>
        <v>-0.49999993452993846</v>
      </c>
      <c r="AM48" s="634">
        <f t="shared" si="92"/>
        <v>-1.1339743327054409E-7</v>
      </c>
      <c r="AN48" s="581">
        <f t="shared" si="93"/>
        <v>-89.999987005609626</v>
      </c>
      <c r="AO48" s="582">
        <f t="shared" si="94"/>
        <v>29.999995668536535</v>
      </c>
      <c r="AP48" s="585">
        <f t="shared" si="95"/>
        <v>-29.999995668535906</v>
      </c>
      <c r="AQ48" s="586">
        <f t="shared" si="246"/>
        <v>0.56937027668245777</v>
      </c>
      <c r="AS48" s="52">
        <f t="shared" si="406"/>
        <v>-241.97001704142107</v>
      </c>
      <c r="AT48" s="72">
        <f t="shared" si="247"/>
        <v>-1.9335188300944472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5.1319999999999997</v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IFERROR(ROUND(VALUE(IF($IH48&lt;1,$IH48+LARGE((IF($M$9:$M$150="",0,$M$9:$M$150)-MOD(IF($M$9:$M$150="",0,$M$9:$M$150),1)),1),$IH48)),4),"")</f>
        <v/>
      </c>
      <c r="IJ48" s="533">
        <f t="shared" si="112"/>
        <v>1613</v>
      </c>
      <c r="IK48" s="533" t="str">
        <f t="shared" si="382"/>
        <v/>
      </c>
      <c r="IL48" s="727" t="str">
        <f t="shared" si="225"/>
        <v/>
      </c>
      <c r="IM48" s="759"/>
      <c r="IN48" s="5" t="str">
        <f t="shared" si="226"/>
        <v/>
      </c>
      <c r="IO48" s="771"/>
      <c r="IP48" s="9" t="str">
        <f t="shared" si="227"/>
        <v/>
      </c>
      <c r="IQ48" s="5" t="str">
        <f t="shared" si="228"/>
        <v/>
      </c>
      <c r="IR48" s="5" t="str">
        <f t="shared" si="383"/>
        <v/>
      </c>
      <c r="IS48" s="5" t="str">
        <f t="shared" si="229"/>
        <v/>
      </c>
      <c r="IT48" s="727" t="str">
        <f t="shared" si="230"/>
        <v/>
      </c>
      <c r="IU48" s="9" t="str">
        <f t="shared" si="231"/>
        <v/>
      </c>
      <c r="IV48" s="5" t="str">
        <f t="shared" si="232"/>
        <v/>
      </c>
      <c r="IW48" s="5" t="str">
        <f t="shared" si="384"/>
        <v/>
      </c>
      <c r="IX48" s="5" t="str">
        <f t="shared" si="233"/>
        <v/>
      </c>
      <c r="IY48" s="762" t="str">
        <f t="shared" si="234"/>
        <v/>
      </c>
    </row>
    <row r="49" spans="1:259" ht="15" customHeight="1" x14ac:dyDescent="0.25">
      <c r="A49" s="79"/>
      <c r="B49" s="707">
        <v>-2.9564847766072444</v>
      </c>
      <c r="C49" s="708">
        <v>-0.62347019564293527</v>
      </c>
      <c r="D49" s="709">
        <v>-0.13220039871640255</v>
      </c>
      <c r="E49" s="710">
        <v>4.9045643205915396E-3</v>
      </c>
      <c r="F49" s="708">
        <v>-0.9647299547610354</v>
      </c>
      <c r="G49" s="711">
        <v>0.26319585793776418</v>
      </c>
      <c r="H49" s="710">
        <v>0.26600000000000001</v>
      </c>
      <c r="I49" s="708">
        <v>0.52</v>
      </c>
      <c r="J49" s="570">
        <v>5.2140000000000004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1313</v>
      </c>
      <c r="L49" s="320"/>
      <c r="M49" s="168">
        <f t="shared" si="239"/>
        <v>5.2140000000000004</v>
      </c>
      <c r="N49" s="632">
        <f t="shared" si="240"/>
        <v>-2.9564847766072444</v>
      </c>
      <c r="O49" s="629">
        <f t="shared" si="241"/>
        <v>-0.62347019564293527</v>
      </c>
      <c r="P49" s="633">
        <f t="shared" si="242"/>
        <v>-0.13220039871640255</v>
      </c>
      <c r="Q49" s="585">
        <f t="shared" si="113"/>
        <v>191.90818528627852</v>
      </c>
      <c r="R49" s="629">
        <f t="shared" si="79"/>
        <v>3.021509112871485</v>
      </c>
      <c r="S49" s="634">
        <f t="shared" si="80"/>
        <v>-0.13220039871640255</v>
      </c>
      <c r="T49" s="635">
        <f t="shared" si="81"/>
        <v>-0.70885320056668411</v>
      </c>
      <c r="U49" s="629">
        <f t="shared" si="82"/>
        <v>2.9371830823446801</v>
      </c>
      <c r="V49" s="636">
        <f t="shared" si="114"/>
        <v>-0.13220039871640255</v>
      </c>
      <c r="W49" s="585">
        <f t="shared" si="224"/>
        <v>103.56818504660421</v>
      </c>
      <c r="X49" s="629">
        <f t="shared" si="83"/>
        <v>3.021509112871485</v>
      </c>
      <c r="Y49" s="630">
        <f t="shared" si="223"/>
        <v>-0.13220039871640255</v>
      </c>
      <c r="Z49" s="632">
        <f t="shared" si="243"/>
        <v>-4.9045643205915396E-3</v>
      </c>
      <c r="AA49" s="629">
        <f t="shared" si="244"/>
        <v>0.9647299547610354</v>
      </c>
      <c r="AB49" s="629">
        <f t="shared" si="245"/>
        <v>-0.26319585793776418</v>
      </c>
      <c r="AC49" s="636">
        <f t="shared" si="84"/>
        <v>1</v>
      </c>
      <c r="AD49" s="637">
        <f t="shared" si="115"/>
        <v>-4.9045643205915396E-3</v>
      </c>
      <c r="AE49" s="629">
        <f t="shared" si="85"/>
        <v>0.9647299547610354</v>
      </c>
      <c r="AF49" s="633">
        <f t="shared" si="86"/>
        <v>-0.26319585793776418</v>
      </c>
      <c r="AG49" s="602">
        <f t="shared" si="87"/>
        <v>74.740034092963896</v>
      </c>
      <c r="AH49" s="603">
        <f t="shared" si="88"/>
        <v>90.281011962540163</v>
      </c>
      <c r="AI49" s="585">
        <f t="shared" si="89"/>
        <v>-74.740222097881727</v>
      </c>
      <c r="AJ49" s="586">
        <f t="shared" si="90"/>
        <v>-179.70871805774107</v>
      </c>
      <c r="AK49" s="635">
        <f t="shared" si="211"/>
        <v>0.94498052721442949</v>
      </c>
      <c r="AL49" s="629">
        <f t="shared" si="91"/>
        <v>-0.19426719627858691</v>
      </c>
      <c r="AM49" s="634">
        <f t="shared" si="92"/>
        <v>-0.26319585793776418</v>
      </c>
      <c r="AN49" s="581">
        <f t="shared" si="93"/>
        <v>-36.431363579055066</v>
      </c>
      <c r="AO49" s="582">
        <f t="shared" si="94"/>
        <v>19.094463438235117</v>
      </c>
      <c r="AP49" s="585">
        <f t="shared" si="95"/>
        <v>-11.616903344019608</v>
      </c>
      <c r="AQ49" s="586">
        <f t="shared" si="246"/>
        <v>0.75445573228961227</v>
      </c>
      <c r="AS49" s="52">
        <f t="shared" si="406"/>
        <v>-256.43181495339581</v>
      </c>
      <c r="AT49" s="72">
        <f t="shared" si="247"/>
        <v>4.7030028168126292E-2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>Nose</v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5.2140000000000004</v>
      </c>
      <c r="IH49" s="731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>5.1139999999999999</v>
      </c>
      <c r="II49" s="734" cm="1">
        <f t="array" ref="II49">IFERROR(ROUND(VALUE(IF($IH49&lt;1,$IH49+LARGE((IF($M$9:$M$150="",0,$M$9:$M$150)-MOD(IF($M$9:$M$150="",0,$M$9:$M$150),1)),1),$IH49)),4),"")</f>
        <v>5.1139999999999999</v>
      </c>
      <c r="IJ49" s="533">
        <f t="shared" si="112"/>
        <v>1613</v>
      </c>
      <c r="IK49" s="533">
        <f t="shared" si="382"/>
        <v>1313</v>
      </c>
      <c r="IL49" s="727">
        <f t="shared" si="225"/>
        <v>16.921797556794701</v>
      </c>
      <c r="IM49" s="759">
        <v>1.7758905328690702E-2</v>
      </c>
      <c r="IN49" s="5">
        <f t="shared" si="226"/>
        <v>0.38</v>
      </c>
      <c r="IO49" s="771">
        <v>190</v>
      </c>
      <c r="IP49" s="9">
        <f t="shared" si="227"/>
        <v>-3.0067090682345508</v>
      </c>
      <c r="IQ49" s="5">
        <f t="shared" si="228"/>
        <v>-0.16420049522869365</v>
      </c>
      <c r="IR49" s="5">
        <f t="shared" si="383"/>
        <v>0.314</v>
      </c>
      <c r="IS49" s="5">
        <f t="shared" si="229"/>
        <v>0.30399756960183683</v>
      </c>
      <c r="IT49" s="727">
        <f t="shared" si="230"/>
        <v>43.040067818866291</v>
      </c>
      <c r="IU49" s="9">
        <f t="shared" si="231"/>
        <v>-3.021509112871485</v>
      </c>
      <c r="IV49" s="5">
        <f t="shared" si="232"/>
        <v>-0.13220039871640255</v>
      </c>
      <c r="IW49" s="5">
        <f t="shared" si="384"/>
        <v>0.26600000000000001</v>
      </c>
      <c r="IX49" s="5">
        <f t="shared" si="233"/>
        <v>0.25136482023903828</v>
      </c>
      <c r="IY49" s="762">
        <f t="shared" si="234"/>
        <v>36.431363579055066</v>
      </c>
    </row>
    <row r="50" spans="1:259" ht="15" customHeight="1" x14ac:dyDescent="0.25">
      <c r="A50" s="79"/>
      <c r="B50" s="707">
        <v>-3.5529852516683484</v>
      </c>
      <c r="C50" s="708">
        <v>-0.82234763735536442</v>
      </c>
      <c r="D50" s="709">
        <v>-0.60580182709831054</v>
      </c>
      <c r="E50" s="710">
        <v>-0.11191277343544567</v>
      </c>
      <c r="F50" s="708">
        <v>-0.97336348954791663</v>
      </c>
      <c r="G50" s="711">
        <v>0.20009759707974895</v>
      </c>
      <c r="H50" s="710">
        <v>0.26600000000000001</v>
      </c>
      <c r="I50" s="708">
        <v>0.52</v>
      </c>
      <c r="J50" s="570">
        <v>5.22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1313</v>
      </c>
      <c r="L50" s="320"/>
      <c r="M50" s="168">
        <f t="shared" si="239"/>
        <v>5.22</v>
      </c>
      <c r="N50" s="632">
        <f t="shared" si="240"/>
        <v>-3.5529852516683484</v>
      </c>
      <c r="O50" s="629">
        <f t="shared" si="241"/>
        <v>-0.82234763735536442</v>
      </c>
      <c r="P50" s="633">
        <f t="shared" si="242"/>
        <v>-0.60580182709831054</v>
      </c>
      <c r="Q50" s="585">
        <f t="shared" si="113"/>
        <v>193.03178512405074</v>
      </c>
      <c r="R50" s="629">
        <f t="shared" si="79"/>
        <v>3.6469109990835733</v>
      </c>
      <c r="S50" s="634">
        <f t="shared" si="80"/>
        <v>-0.60580182709831054</v>
      </c>
      <c r="T50" s="635">
        <f t="shared" si="81"/>
        <v>-0.92492684822152915</v>
      </c>
      <c r="U50" s="629">
        <f t="shared" si="82"/>
        <v>3.5276720596840825</v>
      </c>
      <c r="V50" s="636">
        <f t="shared" si="114"/>
        <v>-0.60580182709831054</v>
      </c>
      <c r="W50" s="585">
        <f t="shared" si="224"/>
        <v>104.69178488437643</v>
      </c>
      <c r="X50" s="629">
        <f t="shared" si="83"/>
        <v>3.6469109990835733</v>
      </c>
      <c r="Y50" s="630">
        <f t="shared" si="223"/>
        <v>-0.60580182709831054</v>
      </c>
      <c r="Z50" s="632">
        <f t="shared" si="243"/>
        <v>0.11191277343544567</v>
      </c>
      <c r="AA50" s="629">
        <f t="shared" si="244"/>
        <v>0.97336348954791663</v>
      </c>
      <c r="AB50" s="629">
        <f t="shared" si="245"/>
        <v>-0.20009759707974895</v>
      </c>
      <c r="AC50" s="636">
        <f t="shared" si="84"/>
        <v>1</v>
      </c>
      <c r="AD50" s="637">
        <f t="shared" si="115"/>
        <v>0.11191277343544567</v>
      </c>
      <c r="AE50" s="629">
        <f t="shared" si="85"/>
        <v>0.97336348954791663</v>
      </c>
      <c r="AF50" s="633">
        <f t="shared" si="86"/>
        <v>-0.20009759707974895</v>
      </c>
      <c r="AG50" s="602">
        <f t="shared" si="87"/>
        <v>78.3833514522874</v>
      </c>
      <c r="AH50" s="603">
        <f t="shared" si="88"/>
        <v>83.574409651812616</v>
      </c>
      <c r="AI50" s="585">
        <f t="shared" si="89"/>
        <v>-78.457333699335578</v>
      </c>
      <c r="AJ50" s="586">
        <f t="shared" si="90"/>
        <v>173.44119951142451</v>
      </c>
      <c r="AK50" s="635">
        <f t="shared" si="211"/>
        <v>0.92305924627652769</v>
      </c>
      <c r="AL50" s="629">
        <f t="shared" si="91"/>
        <v>-0.32851572185562006</v>
      </c>
      <c r="AM50" s="634">
        <f t="shared" si="92"/>
        <v>-0.20009759707974895</v>
      </c>
      <c r="AN50" s="581">
        <f t="shared" si="93"/>
        <v>-58.654575015345898</v>
      </c>
      <c r="AO50" s="582">
        <f t="shared" si="94"/>
        <v>22.622498098577523</v>
      </c>
      <c r="AP50" s="585">
        <f t="shared" si="95"/>
        <v>-19.59058561262621</v>
      </c>
      <c r="AQ50" s="586">
        <f t="shared" si="246"/>
        <v>0.6250868705641931</v>
      </c>
      <c r="AS50" s="52">
        <f t="shared" si="406"/>
        <v>-255.30821511562357</v>
      </c>
      <c r="AT50" s="72">
        <f t="shared" si="247"/>
        <v>-0.42735167787890138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>Taper</v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5.22</v>
      </c>
      <c r="IH50" s="731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>5.12</v>
      </c>
      <c r="II50" s="734" cm="1">
        <f t="array" ref="II50">IFERROR(ROUND(VALUE(IF($IH50&lt;1,$IH50+LARGE((IF($M$9:$M$150="",0,$M$9:$M$150)-MOD(IF($M$9:$M$150="",0,$M$9:$M$150),1)),1),$IH50)),4),"")</f>
        <v>5.12</v>
      </c>
      <c r="IJ50" s="533">
        <f t="shared" si="112"/>
        <v>1613</v>
      </c>
      <c r="IK50" s="533">
        <f t="shared" si="382"/>
        <v>1313</v>
      </c>
      <c r="IL50" s="727">
        <f t="shared" si="225"/>
        <v>14.398197921157447</v>
      </c>
      <c r="IM50" s="759">
        <v>1.19073021565141E-2</v>
      </c>
      <c r="IN50" s="5">
        <f t="shared" si="226"/>
        <v>0.36</v>
      </c>
      <c r="IO50" s="771">
        <v>180</v>
      </c>
      <c r="IP50" s="9">
        <f t="shared" si="227"/>
        <v>-3.6157109049840899</v>
      </c>
      <c r="IQ50" s="5">
        <f t="shared" si="228"/>
        <v>-0.63320190973695978</v>
      </c>
      <c r="IR50" s="5">
        <f t="shared" si="383"/>
        <v>0.314</v>
      </c>
      <c r="IS50" s="5">
        <f t="shared" si="229"/>
        <v>0.29843456392549883</v>
      </c>
      <c r="IT50" s="727">
        <f t="shared" si="230"/>
        <v>64.531058609569385</v>
      </c>
      <c r="IU50" s="9">
        <f t="shared" si="231"/>
        <v>-3.6469109990835733</v>
      </c>
      <c r="IV50" s="5">
        <f t="shared" si="232"/>
        <v>-0.60580182709831054</v>
      </c>
      <c r="IW50" s="5">
        <f t="shared" si="384"/>
        <v>0.26600000000000001</v>
      </c>
      <c r="IX50" s="5">
        <f t="shared" si="233"/>
        <v>0.24553375950955639</v>
      </c>
      <c r="IY50" s="762">
        <f t="shared" si="234"/>
        <v>58.654575015345898</v>
      </c>
    </row>
    <row r="51" spans="1:259" ht="15" customHeight="1" x14ac:dyDescent="0.25">
      <c r="A51" s="79"/>
      <c r="B51" s="707">
        <v>-3.8875144184063508</v>
      </c>
      <c r="C51" s="708">
        <v>-0.87746426768068875</v>
      </c>
      <c r="D51" s="709">
        <v>-1.3142039636391545</v>
      </c>
      <c r="E51" s="710">
        <v>-0.2589734293171112</v>
      </c>
      <c r="F51" s="708">
        <v>-0.95881649981162009</v>
      </c>
      <c r="G51" s="711">
        <v>0.11663482583143299</v>
      </c>
      <c r="H51" s="710">
        <v>0.26600000000000001</v>
      </c>
      <c r="I51" s="708">
        <v>0.52</v>
      </c>
      <c r="J51" s="570">
        <v>5.226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1313</v>
      </c>
      <c r="L51" s="320"/>
      <c r="M51" s="168">
        <f t="shared" si="239"/>
        <v>5.226</v>
      </c>
      <c r="N51" s="632">
        <f t="shared" si="240"/>
        <v>-3.8875144184063508</v>
      </c>
      <c r="O51" s="629">
        <f t="shared" si="241"/>
        <v>-0.87746426768068875</v>
      </c>
      <c r="P51" s="633">
        <f t="shared" si="242"/>
        <v>-1.3142039636391545</v>
      </c>
      <c r="Q51" s="585">
        <f t="shared" si="113"/>
        <v>192.71928516917018</v>
      </c>
      <c r="R51" s="629">
        <f t="shared" si="79"/>
        <v>3.9853120197010519</v>
      </c>
      <c r="S51" s="634">
        <f t="shared" si="80"/>
        <v>-1.3142039636391545</v>
      </c>
      <c r="T51" s="635">
        <f t="shared" si="81"/>
        <v>-0.98971112511045234</v>
      </c>
      <c r="U51" s="629">
        <f t="shared" si="82"/>
        <v>3.8604641927113219</v>
      </c>
      <c r="V51" s="636">
        <f t="shared" si="114"/>
        <v>-1.3142039636391545</v>
      </c>
      <c r="W51" s="585">
        <f t="shared" si="224"/>
        <v>104.37928492949587</v>
      </c>
      <c r="X51" s="629">
        <f t="shared" si="83"/>
        <v>3.9853120197010519</v>
      </c>
      <c r="Y51" s="630">
        <f t="shared" si="223"/>
        <v>-1.3142039636391545</v>
      </c>
      <c r="Z51" s="632">
        <f t="shared" si="243"/>
        <v>0.2589734293171112</v>
      </c>
      <c r="AA51" s="629">
        <f t="shared" si="244"/>
        <v>0.95881649981162009</v>
      </c>
      <c r="AB51" s="629">
        <f t="shared" si="245"/>
        <v>-0.11663482583143299</v>
      </c>
      <c r="AC51" s="636">
        <f t="shared" si="84"/>
        <v>1</v>
      </c>
      <c r="AD51" s="637">
        <f t="shared" si="115"/>
        <v>0.2589734293171112</v>
      </c>
      <c r="AE51" s="629">
        <f t="shared" si="85"/>
        <v>0.95881649981162009</v>
      </c>
      <c r="AF51" s="633">
        <f t="shared" si="86"/>
        <v>-0.11663482583143299</v>
      </c>
      <c r="AG51" s="602">
        <f t="shared" si="87"/>
        <v>83.064355127926433</v>
      </c>
      <c r="AH51" s="603">
        <f t="shared" si="88"/>
        <v>74.990842202230922</v>
      </c>
      <c r="AI51" s="585">
        <f t="shared" si="89"/>
        <v>-83.302071708139181</v>
      </c>
      <c r="AJ51" s="586">
        <f t="shared" si="90"/>
        <v>164.8852466573465</v>
      </c>
      <c r="AK51" s="635">
        <f t="shared" si="211"/>
        <v>0.87826825599006542</v>
      </c>
      <c r="AL51" s="629">
        <f t="shared" si="91"/>
        <v>-0.4637253367279387</v>
      </c>
      <c r="AM51" s="634">
        <f t="shared" si="92"/>
        <v>-0.11663482583143299</v>
      </c>
      <c r="AN51" s="581">
        <f t="shared" si="93"/>
        <v>-75.881978524401134</v>
      </c>
      <c r="AO51" s="582">
        <f t="shared" si="94"/>
        <v>28.56583539923934</v>
      </c>
      <c r="AP51" s="585">
        <f t="shared" si="95"/>
        <v>-27.834038511823657</v>
      </c>
      <c r="AQ51" s="586">
        <f t="shared" si="246"/>
        <v>0.57201315220993587</v>
      </c>
      <c r="AS51" s="52">
        <f t="shared" si="406"/>
        <v>-255.62071507050413</v>
      </c>
      <c r="AT51" s="72">
        <f t="shared" si="247"/>
        <v>-1.1355368005621893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>Taper</v>
      </c>
      <c r="IF51" s="533" t="str">
        <f>IFERROR(IF((((($IW51*COS(RADIANS(180-$IY51)))*COS(RADIANS($IY51)))-(($IX51*SIN(RADIANS(180-$IY51)))*SIN(RADIANS($IY51))))+$IU51)&lt;(((Settings!$C$19+$IF$8)/2)*-1),"Gage",""),"")</f>
        <v>Gage</v>
      </c>
      <c r="IG51" s="847">
        <f t="shared" si="210"/>
        <v>5.226</v>
      </c>
      <c r="IH51" s="731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>5.1260000000000003</v>
      </c>
      <c r="II51" s="734" cm="1">
        <f t="array" ref="II51">IFERROR(ROUND(VALUE(IF($IH51&lt;1,$IH51+LARGE((IF($M$9:$M$150="",0,$M$9:$M$150)-MOD(IF($M$9:$M$150="",0,$M$9:$M$150),1)),1),$IH51)),4),"")</f>
        <v>5.1260000000000003</v>
      </c>
      <c r="IJ51" s="533">
        <f t="shared" si="112"/>
        <v>1613</v>
      </c>
      <c r="IK51" s="533">
        <f t="shared" si="382"/>
        <v>1313</v>
      </c>
      <c r="IL51" s="727">
        <f t="shared" si="225"/>
        <v>13.92069799009991</v>
      </c>
      <c r="IM51" s="759">
        <v>6.6794145953505499E-3</v>
      </c>
      <c r="IN51" s="5">
        <f t="shared" si="226"/>
        <v>0.32</v>
      </c>
      <c r="IO51" s="771">
        <v>160</v>
      </c>
      <c r="IP51" s="9">
        <f t="shared" si="227"/>
        <v>-3.9409118857902481</v>
      </c>
      <c r="IQ51" s="5">
        <f t="shared" si="228"/>
        <v>-1.3296040100856943</v>
      </c>
      <c r="IR51" s="5">
        <f t="shared" si="383"/>
        <v>0.314</v>
      </c>
      <c r="IS51" s="5">
        <f t="shared" si="229"/>
        <v>0.2869735069927794</v>
      </c>
      <c r="IT51" s="727">
        <f t="shared" si="230"/>
        <v>79.777223787565745</v>
      </c>
      <c r="IU51" s="9">
        <f t="shared" si="231"/>
        <v>-3.9853120197010519</v>
      </c>
      <c r="IV51" s="5">
        <f t="shared" si="232"/>
        <v>-1.3142039636391545</v>
      </c>
      <c r="IW51" s="5">
        <f t="shared" si="384"/>
        <v>0.26600000000000001</v>
      </c>
      <c r="IX51" s="5">
        <f t="shared" si="233"/>
        <v>0.23361935609335741</v>
      </c>
      <c r="IY51" s="762">
        <f t="shared" si="234"/>
        <v>75.881978524401134</v>
      </c>
    </row>
    <row r="52" spans="1:259" ht="15" customHeight="1" x14ac:dyDescent="0.25">
      <c r="A52" s="79"/>
      <c r="B52" s="707">
        <v>-2.2259993331405439</v>
      </c>
      <c r="C52" s="708">
        <v>1.413207626160746</v>
      </c>
      <c r="D52" s="709">
        <v>-6.0500182468550261E-2</v>
      </c>
      <c r="E52" s="710">
        <v>-0.61664111317606074</v>
      </c>
      <c r="F52" s="708">
        <v>-0.76033014253062936</v>
      </c>
      <c r="G52" s="711">
        <v>0.20408775539052182</v>
      </c>
      <c r="H52" s="710">
        <v>0.314</v>
      </c>
      <c r="I52" s="708">
        <v>0.52</v>
      </c>
      <c r="J52" s="570">
        <v>6.1109999999999998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6.1109999999999998</v>
      </c>
      <c r="N52" s="632">
        <f t="shared" si="240"/>
        <v>-2.2259993331405439</v>
      </c>
      <c r="O52" s="629">
        <f t="shared" si="241"/>
        <v>1.413207626160746</v>
      </c>
      <c r="P52" s="633">
        <f t="shared" si="242"/>
        <v>-6.0500182468550261E-2</v>
      </c>
      <c r="Q52" s="585">
        <f t="shared" si="113"/>
        <v>147.58999168503397</v>
      </c>
      <c r="R52" s="629">
        <f t="shared" si="79"/>
        <v>2.636707952311184</v>
      </c>
      <c r="S52" s="634">
        <f t="shared" si="80"/>
        <v>-6.0500182468550261E-2</v>
      </c>
      <c r="T52" s="635">
        <f t="shared" si="81"/>
        <v>1.3481308843504773</v>
      </c>
      <c r="U52" s="629">
        <f t="shared" si="82"/>
        <v>2.2660035181882301</v>
      </c>
      <c r="V52" s="636">
        <f t="shared" si="114"/>
        <v>-6.0500182468550261E-2</v>
      </c>
      <c r="W52" s="585">
        <f t="shared" si="224"/>
        <v>59.249991445359655</v>
      </c>
      <c r="X52" s="629">
        <f t="shared" si="83"/>
        <v>2.636707952311184</v>
      </c>
      <c r="Y52" s="630">
        <f t="shared" si="223"/>
        <v>-6.0500182468550261E-2</v>
      </c>
      <c r="Z52" s="632">
        <f t="shared" si="243"/>
        <v>0.61664111317606074</v>
      </c>
      <c r="AA52" s="629">
        <f t="shared" si="244"/>
        <v>0.76033014253062936</v>
      </c>
      <c r="AB52" s="629">
        <f t="shared" si="245"/>
        <v>-0.20408775539052182</v>
      </c>
      <c r="AC52" s="636">
        <f t="shared" si="84"/>
        <v>1</v>
      </c>
      <c r="AD52" s="637">
        <f t="shared" si="115"/>
        <v>0.61664111317606074</v>
      </c>
      <c r="AE52" s="629">
        <f t="shared" si="85"/>
        <v>0.76033014253062936</v>
      </c>
      <c r="AF52" s="633">
        <f t="shared" si="86"/>
        <v>-0.20408775539052182</v>
      </c>
      <c r="AG52" s="602">
        <f t="shared" si="87"/>
        <v>74.974838999208686</v>
      </c>
      <c r="AH52" s="603">
        <f t="shared" si="88"/>
        <v>51.92873648806524</v>
      </c>
      <c r="AI52" s="585">
        <f t="shared" si="89"/>
        <v>-78.223897665028645</v>
      </c>
      <c r="AJ52" s="586">
        <f t="shared" si="90"/>
        <v>140.95733989712372</v>
      </c>
      <c r="AK52" s="635">
        <f t="shared" si="211"/>
        <v>0.97240056933006169</v>
      </c>
      <c r="AL52" s="629">
        <f t="shared" si="91"/>
        <v>-0.11307219316096451</v>
      </c>
      <c r="AM52" s="634">
        <f t="shared" si="92"/>
        <v>-0.20408775539052182</v>
      </c>
      <c r="AN52" s="581">
        <f t="shared" si="93"/>
        <v>-28.988080354713702</v>
      </c>
      <c r="AO52" s="582">
        <f t="shared" si="94"/>
        <v>13.492475605986597</v>
      </c>
      <c r="AP52" s="585">
        <f t="shared" si="95"/>
        <v>-6.6326517879102518</v>
      </c>
      <c r="AQ52" s="586">
        <f t="shared" si="246"/>
        <v>0.86454535441348013</v>
      </c>
      <c r="AS52" s="52">
        <f t="shared" si="406"/>
        <v>-300.75000855464032</v>
      </c>
      <c r="AT52" s="72">
        <f t="shared" si="247"/>
        <v>0.14950676775017616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6.1109999999999998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-2.7713430126827583</v>
      </c>
      <c r="C53" s="708">
        <v>1.8629679703997264</v>
      </c>
      <c r="D53" s="709">
        <v>-0.37220112255858567</v>
      </c>
      <c r="E53" s="710">
        <v>-0.72314349999795691</v>
      </c>
      <c r="F53" s="708">
        <v>-0.67260239499329133</v>
      </c>
      <c r="G53" s="711">
        <v>0.15706526242296023</v>
      </c>
      <c r="H53" s="710">
        <v>0.314</v>
      </c>
      <c r="I53" s="708">
        <v>0.52</v>
      </c>
      <c r="J53" s="570">
        <v>6.117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1613</v>
      </c>
      <c r="L53" s="320"/>
      <c r="M53" s="168">
        <f t="shared" si="239"/>
        <v>6.117</v>
      </c>
      <c r="N53" s="632">
        <f t="shared" si="240"/>
        <v>-2.7713430126827583</v>
      </c>
      <c r="O53" s="629">
        <f t="shared" si="241"/>
        <v>1.8629679703997264</v>
      </c>
      <c r="P53" s="633">
        <f t="shared" si="242"/>
        <v>-0.37220112255858567</v>
      </c>
      <c r="Q53" s="585">
        <f t="shared" si="113"/>
        <v>146.08999190160714</v>
      </c>
      <c r="R53" s="629">
        <f t="shared" ref="R53:R58" si="410">IF(M53="","",SQRT(N53^2+O53^2))</f>
        <v>3.3393100713591757</v>
      </c>
      <c r="S53" s="634">
        <f t="shared" ref="S53:S58" si="411">IF(M53="","",P53)</f>
        <v>-0.37220112255858567</v>
      </c>
      <c r="T53" s="635">
        <f t="shared" ref="T53:T58" si="412">IF(M53="","",X53*COS(RADIANS(W53)))</f>
        <v>1.781904738209362</v>
      </c>
      <c r="U53" s="629">
        <f t="shared" ref="U53:U58" si="413">IF(M53="","",X53*SIN(RADIANS(W53)))</f>
        <v>2.8241471733300032</v>
      </c>
      <c r="V53" s="636">
        <f t="shared" ref="V53:V58" si="414">IF(M53="","",Y53)</f>
        <v>-0.37220112255858567</v>
      </c>
      <c r="W53" s="585">
        <f t="shared" si="224"/>
        <v>57.749991661932825</v>
      </c>
      <c r="X53" s="629">
        <f t="shared" ref="X53:X58" si="415">IF(M53="","",R53)</f>
        <v>3.3393100713591757</v>
      </c>
      <c r="Y53" s="630">
        <f t="shared" si="223"/>
        <v>-0.37220112255858567</v>
      </c>
      <c r="Z53" s="632">
        <f t="shared" si="243"/>
        <v>0.72314349999795691</v>
      </c>
      <c r="AA53" s="629">
        <f t="shared" si="244"/>
        <v>0.67260239499329133</v>
      </c>
      <c r="AB53" s="629">
        <f t="shared" si="245"/>
        <v>-0.15706526242296023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0.72314349999795691</v>
      </c>
      <c r="AE53" s="629">
        <f t="shared" ref="AE53:AE58" si="418">IF(M53="","",AA53*(1/SQRT(Z53^2+AA53^2+AB53^2)))</f>
        <v>0.67260239499329133</v>
      </c>
      <c r="AF53" s="633">
        <f t="shared" ref="AF53:AF58" si="419">IF(M53="","",AB53*(1/SQRT(Z53^2+AA53^2+AB53^2)))</f>
        <v>-0.15706526242296023</v>
      </c>
      <c r="AG53" s="602">
        <f t="shared" ref="AG53:AG58" si="420">IF(M53="","",DEGREES(ATAN2(-AF53,AE53)))</f>
        <v>76.855903700288479</v>
      </c>
      <c r="AH53" s="603">
        <f t="shared" ref="AH53:AH58" si="421">IF(M53="","",DEGREES(ACOS(AD53)))</f>
        <v>43.685372771434999</v>
      </c>
      <c r="AI53" s="585">
        <f t="shared" ref="AI53:AI58" si="422">IF(M53="","",DEGREES(-ACOS(-AF53)))</f>
        <v>-80.963405603905542</v>
      </c>
      <c r="AJ53" s="586">
        <f t="shared" ref="AJ53:AJ58" si="423">IF(M53="","",DEGREES(ATAN2(-AE53,AD53)))</f>
        <v>132.9261788718205</v>
      </c>
      <c r="AK53" s="635">
        <f t="shared" ref="AK53:AK58" si="424">IF(M53="","",(COS(RADIANS((90-$Q$8)-W53))*AD53)+(-SIN(RADIANS((90-$Q$8)-W53))*AE53))</f>
        <v>0.96163730158495309</v>
      </c>
      <c r="AL53" s="629">
        <f t="shared" ref="AL53:AL58" si="425">IF(M53="","",(SIN(RADIANS((90-$Q$8)-W53))*AD53)+(COS(RADIANS((90-$Q$8)-W53))*AE53))</f>
        <v>-0.22490932292907817</v>
      </c>
      <c r="AM53" s="634">
        <f t="shared" ref="AM53:AM58" si="426">IF(M53="","",AF53)</f>
        <v>-0.15706526242296023</v>
      </c>
      <c r="AN53" s="581">
        <f t="shared" ref="AN53:AN58" si="427">IF(M53="","",DEGREES(ATAN2(-AM53,AL53)))</f>
        <v>-55.071505296951948</v>
      </c>
      <c r="AO53" s="582">
        <f t="shared" si="94"/>
        <v>15.921737730635597</v>
      </c>
      <c r="AP53" s="585">
        <f t="shared" ref="AP53:AP58" si="428">IF(M53="","",DEGREES(ATAN2(AK53,AL53)))</f>
        <v>-13.163813029786613</v>
      </c>
      <c r="AQ53" s="586">
        <f t="shared" si="246"/>
        <v>0.68266159944110039</v>
      </c>
      <c r="AS53" s="52">
        <f t="shared" si="406"/>
        <v>-302.25000833806718</v>
      </c>
      <c r="AT53" s="72">
        <f t="shared" si="247"/>
        <v>-0.16115250582359064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6.117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1613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-3.1269556012901778</v>
      </c>
      <c r="C54" s="708">
        <v>2.1944021290373223</v>
      </c>
      <c r="D54" s="709">
        <v>-0.97190293125924143</v>
      </c>
      <c r="E54" s="710">
        <v>-0.81629441377966727</v>
      </c>
      <c r="F54" s="708">
        <v>-0.56707914335494192</v>
      </c>
      <c r="G54" s="711">
        <v>0.10993031976636311</v>
      </c>
      <c r="H54" s="710">
        <v>0.314</v>
      </c>
      <c r="I54" s="708">
        <v>0.52</v>
      </c>
      <c r="J54" s="570">
        <v>6.1230000000000002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1613</v>
      </c>
      <c r="L54" s="320"/>
      <c r="M54" s="168">
        <f t="shared" si="239"/>
        <v>6.1230000000000002</v>
      </c>
      <c r="N54" s="632">
        <f t="shared" si="240"/>
        <v>-3.1269556012901778</v>
      </c>
      <c r="O54" s="629">
        <f t="shared" si="241"/>
        <v>2.1944021290373223</v>
      </c>
      <c r="P54" s="633">
        <f t="shared" si="242"/>
        <v>-0.97190293125924143</v>
      </c>
      <c r="Q54" s="585">
        <f t="shared" si="113"/>
        <v>144.93999206764656</v>
      </c>
      <c r="R54" s="629">
        <f t="shared" si="410"/>
        <v>3.8201115214563499</v>
      </c>
      <c r="S54" s="634">
        <f t="shared" si="411"/>
        <v>-0.97190293125924143</v>
      </c>
      <c r="T54" s="635">
        <f t="shared" si="412"/>
        <v>2.1028982724119314</v>
      </c>
      <c r="U54" s="629">
        <f t="shared" si="413"/>
        <v>3.1892116411819491</v>
      </c>
      <c r="V54" s="636">
        <f t="shared" si="414"/>
        <v>-0.97190293125924143</v>
      </c>
      <c r="W54" s="585">
        <f t="shared" si="224"/>
        <v>56.599991827972246</v>
      </c>
      <c r="X54" s="629">
        <f t="shared" si="415"/>
        <v>3.8201115214563499</v>
      </c>
      <c r="Y54" s="630">
        <f t="shared" si="223"/>
        <v>-0.97190293125924143</v>
      </c>
      <c r="Z54" s="632">
        <f t="shared" si="243"/>
        <v>0.81629441377966727</v>
      </c>
      <c r="AA54" s="629">
        <f t="shared" si="244"/>
        <v>0.56707914335494192</v>
      </c>
      <c r="AB54" s="629">
        <f t="shared" si="245"/>
        <v>-0.10993031976636311</v>
      </c>
      <c r="AC54" s="636">
        <f t="shared" si="416"/>
        <v>1</v>
      </c>
      <c r="AD54" s="637">
        <f t="shared" si="417"/>
        <v>0.81629441377966727</v>
      </c>
      <c r="AE54" s="629">
        <f t="shared" si="418"/>
        <v>0.56707914335494192</v>
      </c>
      <c r="AF54" s="633">
        <f t="shared" si="419"/>
        <v>-0.10993031976636311</v>
      </c>
      <c r="AG54" s="602">
        <f t="shared" si="420"/>
        <v>79.029083676708495</v>
      </c>
      <c r="AH54" s="603">
        <f t="shared" si="421"/>
        <v>35.2844476242607</v>
      </c>
      <c r="AI54" s="585">
        <f t="shared" si="422"/>
        <v>-83.688701173716169</v>
      </c>
      <c r="AJ54" s="586">
        <f t="shared" si="423"/>
        <v>124.78768082289027</v>
      </c>
      <c r="AK54" s="635">
        <f t="shared" si="424"/>
        <v>0.93309043026289451</v>
      </c>
      <c r="AL54" s="629">
        <f t="shared" si="425"/>
        <v>-0.3424289324047719</v>
      </c>
      <c r="AM54" s="634">
        <f t="shared" si="426"/>
        <v>-0.10993031976636311</v>
      </c>
      <c r="AN54" s="581">
        <f t="shared" si="427"/>
        <v>-72.201756959103633</v>
      </c>
      <c r="AO54" s="582">
        <f t="shared" si="94"/>
        <v>21.078201474347324</v>
      </c>
      <c r="AP54" s="585">
        <f t="shared" si="428"/>
        <v>-20.152311244756291</v>
      </c>
      <c r="AQ54" s="586">
        <f t="shared" si="246"/>
        <v>0.59674807556887111</v>
      </c>
      <c r="AS54" s="52">
        <f t="shared" si="406"/>
        <v>-303.40000817202775</v>
      </c>
      <c r="AT54" s="72">
        <f t="shared" si="247"/>
        <v>-0.76005570352844043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6.1230000000000002</v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IFERROR(ROUND(VALUE(IF($IH54&lt;1,$IH54+LARGE((IF($M$9:$M$150="",0,$M$9:$M$150)-MOD(IF($M$9:$M$150="",0,$M$9:$M$150),1)),1),$IH54)),4),"")</f>
        <v/>
      </c>
      <c r="IJ54" s="533">
        <f t="shared" si="112"/>
        <v>1613</v>
      </c>
      <c r="IK54" s="533" t="str">
        <f t="shared" si="382"/>
        <v/>
      </c>
      <c r="IL54" s="727" t="str">
        <f t="shared" si="225"/>
        <v/>
      </c>
      <c r="IM54" s="759"/>
      <c r="IN54" s="5" t="str">
        <f t="shared" si="226"/>
        <v/>
      </c>
      <c r="IO54" s="771"/>
      <c r="IP54" s="9" t="str">
        <f t="shared" si="227"/>
        <v/>
      </c>
      <c r="IQ54" s="5" t="str">
        <f t="shared" si="228"/>
        <v/>
      </c>
      <c r="IR54" s="5" t="str">
        <f t="shared" si="383"/>
        <v/>
      </c>
      <c r="IS54" s="5" t="str">
        <f t="shared" si="229"/>
        <v/>
      </c>
      <c r="IT54" s="727" t="str">
        <f t="shared" si="230"/>
        <v/>
      </c>
      <c r="IU54" s="9" t="str">
        <f t="shared" si="231"/>
        <v/>
      </c>
      <c r="IV54" s="5" t="str">
        <f t="shared" si="232"/>
        <v/>
      </c>
      <c r="IW54" s="5" t="str">
        <f t="shared" si="384"/>
        <v/>
      </c>
      <c r="IX54" s="5" t="str">
        <f t="shared" si="233"/>
        <v/>
      </c>
      <c r="IY54" s="762" t="str">
        <f t="shared" si="234"/>
        <v/>
      </c>
    </row>
    <row r="55" spans="1:259" ht="15" customHeight="1" x14ac:dyDescent="0.25">
      <c r="A55" s="79"/>
      <c r="B55" s="707">
        <v>-3.2366602324480369</v>
      </c>
      <c r="C55" s="708">
        <v>2.3035778756592742</v>
      </c>
      <c r="D55" s="709">
        <v>-1.7256052044252967</v>
      </c>
      <c r="E55" s="710">
        <v>-0.88399805213560101</v>
      </c>
      <c r="F55" s="708">
        <v>-0.46699238942375515</v>
      </c>
      <c r="G55" s="711">
        <v>2.1576654994580641E-2</v>
      </c>
      <c r="H55" s="710">
        <v>0.314</v>
      </c>
      <c r="I55" s="708">
        <v>0.52</v>
      </c>
      <c r="J55" s="570">
        <v>6.1289999999999996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1613</v>
      </c>
      <c r="L55" s="320"/>
      <c r="M55" s="168">
        <f t="shared" si="239"/>
        <v>6.1289999999999996</v>
      </c>
      <c r="N55" s="632">
        <f t="shared" si="240"/>
        <v>-3.2366602324480369</v>
      </c>
      <c r="O55" s="629">
        <f t="shared" si="241"/>
        <v>2.3035778756592742</v>
      </c>
      <c r="P55" s="633">
        <f t="shared" si="242"/>
        <v>-1.7256052044252967</v>
      </c>
      <c r="Q55" s="585">
        <f t="shared" si="113"/>
        <v>144.5599921225118</v>
      </c>
      <c r="R55" s="629">
        <f t="shared" si="410"/>
        <v>3.9727119816993373</v>
      </c>
      <c r="S55" s="634">
        <f t="shared" si="411"/>
        <v>-1.7256052044252967</v>
      </c>
      <c r="T55" s="635">
        <f t="shared" si="412"/>
        <v>2.2088502324376051</v>
      </c>
      <c r="U55" s="629">
        <f t="shared" si="413"/>
        <v>3.3020328799389342</v>
      </c>
      <c r="V55" s="636">
        <f t="shared" si="414"/>
        <v>-1.7256052044252967</v>
      </c>
      <c r="W55" s="585">
        <f t="shared" si="224"/>
        <v>56.21999188283749</v>
      </c>
      <c r="X55" s="629">
        <f t="shared" si="415"/>
        <v>3.9727119816993373</v>
      </c>
      <c r="Y55" s="630">
        <f t="shared" si="223"/>
        <v>-1.7256052044252967</v>
      </c>
      <c r="Z55" s="632">
        <f t="shared" si="243"/>
        <v>0.88399805213560101</v>
      </c>
      <c r="AA55" s="629">
        <f t="shared" si="244"/>
        <v>0.46699238942375515</v>
      </c>
      <c r="AB55" s="629">
        <f t="shared" si="245"/>
        <v>-2.1576654994580641E-2</v>
      </c>
      <c r="AC55" s="636">
        <f t="shared" si="416"/>
        <v>1</v>
      </c>
      <c r="AD55" s="637">
        <f t="shared" si="417"/>
        <v>0.88399805213560101</v>
      </c>
      <c r="AE55" s="629">
        <f t="shared" si="418"/>
        <v>0.46699238942375515</v>
      </c>
      <c r="AF55" s="633">
        <f t="shared" si="419"/>
        <v>-2.1576654994580641E-2</v>
      </c>
      <c r="AG55" s="602">
        <f t="shared" si="420"/>
        <v>87.354619216122103</v>
      </c>
      <c r="AH55" s="603">
        <f t="shared" si="421"/>
        <v>27.871527663627038</v>
      </c>
      <c r="AI55" s="585">
        <f t="shared" si="422"/>
        <v>-88.763652789482606</v>
      </c>
      <c r="AJ55" s="586">
        <f t="shared" si="423"/>
        <v>117.84628867694536</v>
      </c>
      <c r="AK55" s="635">
        <f t="shared" si="424"/>
        <v>0.89305594442102398</v>
      </c>
      <c r="AL55" s="629">
        <f t="shared" si="425"/>
        <v>-0.4494280010118617</v>
      </c>
      <c r="AM55" s="634">
        <f t="shared" si="426"/>
        <v>-2.1576654994580641E-2</v>
      </c>
      <c r="AN55" s="581">
        <f t="shared" si="427"/>
        <v>-87.251388936822778</v>
      </c>
      <c r="AO55" s="582">
        <f>IF(ROUND(IF(M55="",0,DEGREES(ACOS(AK55))),4)=90,0,IF(M55="","",DEGREES(ACOS(AK55))))</f>
        <v>26.74019640713043</v>
      </c>
      <c r="AP55" s="585">
        <f t="shared" si="428"/>
        <v>-26.71370344556642</v>
      </c>
      <c r="AQ55" s="586">
        <f t="shared" si="246"/>
        <v>0.57382725459341577</v>
      </c>
      <c r="AS55" s="52">
        <f t="shared" si="406"/>
        <v>-303.78000811716254</v>
      </c>
      <c r="AT55" s="72">
        <f t="shared" si="247"/>
        <v>-1.5134940878437078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6.1289999999999996</v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IFERROR(ROUND(VALUE(IF($IH55&lt;1,$IH55+LARGE((IF($M$9:$M$150="",0,$M$9:$M$150)-MOD(IF($M$9:$M$150="",0,$M$9:$M$150),1)),1),$IH55)),4),"")</f>
        <v/>
      </c>
      <c r="IJ55" s="533">
        <f t="shared" si="112"/>
        <v>1613</v>
      </c>
      <c r="IK55" s="533" t="str">
        <f t="shared" si="382"/>
        <v/>
      </c>
      <c r="IL55" s="727" t="str">
        <f t="shared" si="225"/>
        <v/>
      </c>
      <c r="IM55" s="759"/>
      <c r="IN55" s="5" t="str">
        <f t="shared" si="226"/>
        <v/>
      </c>
      <c r="IO55" s="771"/>
      <c r="IP55" s="9" t="str">
        <f t="shared" si="227"/>
        <v/>
      </c>
      <c r="IQ55" s="5" t="str">
        <f t="shared" si="228"/>
        <v/>
      </c>
      <c r="IR55" s="5" t="str">
        <f t="shared" si="383"/>
        <v/>
      </c>
      <c r="IS55" s="5" t="str">
        <f t="shared" si="229"/>
        <v/>
      </c>
      <c r="IT55" s="727" t="str">
        <f t="shared" si="230"/>
        <v/>
      </c>
      <c r="IU55" s="9" t="str">
        <f t="shared" si="231"/>
        <v/>
      </c>
      <c r="IV55" s="5" t="str">
        <f t="shared" si="232"/>
        <v/>
      </c>
      <c r="IW55" s="5" t="str">
        <f t="shared" si="384"/>
        <v/>
      </c>
      <c r="IX55" s="5" t="str">
        <f t="shared" si="233"/>
        <v/>
      </c>
      <c r="IY55" s="762" t="str">
        <f t="shared" si="234"/>
        <v/>
      </c>
    </row>
    <row r="56" spans="1:259" ht="15" customHeight="1" x14ac:dyDescent="0.25">
      <c r="A56" s="79"/>
      <c r="B56" s="707">
        <v>-3.2542815224979162</v>
      </c>
      <c r="C56" s="708">
        <v>2.3324156808395036</v>
      </c>
      <c r="D56" s="709">
        <v>-2.4857074968938107</v>
      </c>
      <c r="E56" s="710">
        <v>-0.91089986227526398</v>
      </c>
      <c r="F56" s="708">
        <v>-0.4126274844298331</v>
      </c>
      <c r="G56" s="711">
        <v>1.1339743362124327E-7</v>
      </c>
      <c r="H56" s="710">
        <v>0.314</v>
      </c>
      <c r="I56" s="708">
        <v>0.52</v>
      </c>
      <c r="J56" s="570">
        <v>6.1349999999999998</v>
      </c>
      <c r="K56" s="865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>1613</v>
      </c>
      <c r="L56" s="320"/>
      <c r="M56" s="168">
        <f t="shared" si="239"/>
        <v>6.1349999999999998</v>
      </c>
      <c r="N56" s="632">
        <f t="shared" si="240"/>
        <v>-3.2542815224979162</v>
      </c>
      <c r="O56" s="629">
        <f t="shared" si="241"/>
        <v>2.3324156808395036</v>
      </c>
      <c r="P56" s="633">
        <f t="shared" si="242"/>
        <v>-2.4857074968938107</v>
      </c>
      <c r="Q56" s="585">
        <f t="shared" si="113"/>
        <v>144.36999214994441</v>
      </c>
      <c r="R56" s="629">
        <f t="shared" si="410"/>
        <v>4.0038120754972208</v>
      </c>
      <c r="S56" s="634">
        <f t="shared" si="411"/>
        <v>-2.4857074968938107</v>
      </c>
      <c r="T56" s="635">
        <f t="shared" si="412"/>
        <v>2.2371654744618161</v>
      </c>
      <c r="U56" s="629">
        <f t="shared" si="413"/>
        <v>3.3204821601347896</v>
      </c>
      <c r="V56" s="636">
        <f t="shared" si="414"/>
        <v>-2.4857074968938107</v>
      </c>
      <c r="W56" s="585">
        <f t="shared" si="224"/>
        <v>56.029991910270098</v>
      </c>
      <c r="X56" s="629">
        <f t="shared" si="415"/>
        <v>4.0038120754972208</v>
      </c>
      <c r="Y56" s="630">
        <f t="shared" si="223"/>
        <v>-2.4857074968938107</v>
      </c>
      <c r="Z56" s="632">
        <f t="shared" si="243"/>
        <v>0.91089986227526398</v>
      </c>
      <c r="AA56" s="629">
        <f t="shared" si="244"/>
        <v>0.4126274844298331</v>
      </c>
      <c r="AB56" s="629">
        <f t="shared" si="245"/>
        <v>-1.1339743362124327E-7</v>
      </c>
      <c r="AC56" s="636">
        <f t="shared" si="416"/>
        <v>1</v>
      </c>
      <c r="AD56" s="637">
        <f t="shared" si="417"/>
        <v>0.91089986227526398</v>
      </c>
      <c r="AE56" s="629">
        <f t="shared" si="418"/>
        <v>0.4126274844298331</v>
      </c>
      <c r="AF56" s="633">
        <f t="shared" si="419"/>
        <v>-1.1339743362124327E-7</v>
      </c>
      <c r="AG56" s="602">
        <f t="shared" si="420"/>
        <v>89.999984254092141</v>
      </c>
      <c r="AH56" s="603">
        <f t="shared" si="421"/>
        <v>24.369996481409299</v>
      </c>
      <c r="AI56" s="585">
        <f t="shared" si="422"/>
        <v>-89.999993502805637</v>
      </c>
      <c r="AJ56" s="586">
        <f t="shared" si="423"/>
        <v>114.36999648140848</v>
      </c>
      <c r="AK56" s="635">
        <f t="shared" si="424"/>
        <v>0.8660254415835853</v>
      </c>
      <c r="AL56" s="629">
        <f t="shared" si="425"/>
        <v>-0.49999993452993879</v>
      </c>
      <c r="AM56" s="634">
        <f t="shared" si="426"/>
        <v>-1.1339743362124327E-7</v>
      </c>
      <c r="AN56" s="581">
        <f t="shared" si="427"/>
        <v>-89.999987005609597</v>
      </c>
      <c r="AO56" s="582">
        <f t="shared" ref="AO56:AO119" si="461">IF(ROUND(IF(M56="",0,DEGREES(ACOS(AK56))),4)=90,0,IF(M56="","",DEGREES(ACOS(AK56))))</f>
        <v>29.999995668536574</v>
      </c>
      <c r="AP56" s="585">
        <f t="shared" si="428"/>
        <v>-29.999995668535924</v>
      </c>
      <c r="AQ56" s="586">
        <f t="shared" si="246"/>
        <v>0.56937027668245765</v>
      </c>
      <c r="AS56" s="52">
        <f t="shared" si="406"/>
        <v>-303.9700080897299</v>
      </c>
      <c r="AT56" s="72">
        <f t="shared" si="247"/>
        <v>-2.2734644358868277</v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>
        <f t="shared" si="210"/>
        <v>6.1349999999999998</v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>
        <f t="shared" si="112"/>
        <v>1613</v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>
        <v>-2.2027200225555315</v>
      </c>
      <c r="C57" s="708">
        <v>2.5407029473829867</v>
      </c>
      <c r="D57" s="709">
        <v>-0.34130102936390455</v>
      </c>
      <c r="E57" s="710">
        <v>-0.87917006702270484</v>
      </c>
      <c r="F57" s="708">
        <v>-0.41645281636473941</v>
      </c>
      <c r="G57" s="711">
        <v>0.23157513897905688</v>
      </c>
      <c r="H57" s="710">
        <v>0.26600000000000001</v>
      </c>
      <c r="I57" s="708">
        <v>0.52</v>
      </c>
      <c r="J57" s="570">
        <v>6.2169999999999996</v>
      </c>
      <c r="K57" s="865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>1313</v>
      </c>
      <c r="L57" s="320"/>
      <c r="M57" s="168">
        <f t="shared" si="239"/>
        <v>6.2169999999999996</v>
      </c>
      <c r="N57" s="632">
        <f t="shared" si="240"/>
        <v>-2.2027200225555315</v>
      </c>
      <c r="O57" s="629">
        <f t="shared" si="241"/>
        <v>2.5407029473829867</v>
      </c>
      <c r="P57" s="633">
        <f t="shared" si="242"/>
        <v>-0.34130102936390455</v>
      </c>
      <c r="Q57" s="585">
        <f t="shared" si="113"/>
        <v>130.92439409124856</v>
      </c>
      <c r="R57" s="629">
        <f t="shared" si="410"/>
        <v>3.362610141632187</v>
      </c>
      <c r="S57" s="634">
        <f t="shared" si="411"/>
        <v>-0.34130102936390455</v>
      </c>
      <c r="T57" s="635">
        <f t="shared" si="412"/>
        <v>2.4758273914767277</v>
      </c>
      <c r="U57" s="629">
        <f t="shared" si="413"/>
        <v>2.2753957221154253</v>
      </c>
      <c r="V57" s="636">
        <f t="shared" si="414"/>
        <v>-0.34130102936390455</v>
      </c>
      <c r="W57" s="585">
        <f t="shared" si="224"/>
        <v>42.584393851574248</v>
      </c>
      <c r="X57" s="629">
        <f t="shared" si="415"/>
        <v>3.362610141632187</v>
      </c>
      <c r="Y57" s="630">
        <f t="shared" si="223"/>
        <v>-0.34130102936390455</v>
      </c>
      <c r="Z57" s="632">
        <f t="shared" si="243"/>
        <v>0.87917006702270484</v>
      </c>
      <c r="AA57" s="629">
        <f t="shared" si="244"/>
        <v>0.41645281636473941</v>
      </c>
      <c r="AB57" s="629">
        <f t="shared" si="245"/>
        <v>-0.23157513897905688</v>
      </c>
      <c r="AC57" s="636">
        <f t="shared" si="416"/>
        <v>1</v>
      </c>
      <c r="AD57" s="637">
        <f t="shared" si="417"/>
        <v>0.87917006702270484</v>
      </c>
      <c r="AE57" s="629">
        <f t="shared" si="418"/>
        <v>0.41645281636473941</v>
      </c>
      <c r="AF57" s="633">
        <f t="shared" si="419"/>
        <v>-0.23157513897905688</v>
      </c>
      <c r="AG57" s="602">
        <f t="shared" si="420"/>
        <v>60.923064001108173</v>
      </c>
      <c r="AH57" s="603">
        <f t="shared" si="421"/>
        <v>28.457589396006085</v>
      </c>
      <c r="AI57" s="585">
        <f t="shared" si="422"/>
        <v>-76.61017548691342</v>
      </c>
      <c r="AJ57" s="586">
        <f t="shared" si="423"/>
        <v>115.34638018810115</v>
      </c>
      <c r="AK57" s="635">
        <f t="shared" si="424"/>
        <v>0.9370812567829363</v>
      </c>
      <c r="AL57" s="629">
        <f t="shared" si="425"/>
        <v>-0.26125021185243691</v>
      </c>
      <c r="AM57" s="634">
        <f t="shared" si="426"/>
        <v>-0.23157513897905688</v>
      </c>
      <c r="AN57" s="581">
        <f t="shared" si="427"/>
        <v>-48.44585762149017</v>
      </c>
      <c r="AO57" s="582">
        <f t="shared" si="461"/>
        <v>20.432969502069319</v>
      </c>
      <c r="AP57" s="585">
        <f t="shared" si="428"/>
        <v>-15.57801390314742</v>
      </c>
      <c r="AQ57" s="586">
        <f t="shared" si="246"/>
        <v>0.67793176967445423</v>
      </c>
      <c r="AS57" s="52">
        <f t="shared" si="406"/>
        <v>-317.41560614842575</v>
      </c>
      <c r="AT57" s="72">
        <f t="shared" si="247"/>
        <v>-0.11972074748282718</v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>Taper</v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>
        <f t="shared" si="210"/>
        <v>6.2169999999999996</v>
      </c>
      <c r="IH57" s="731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>0.11700000000000001</v>
      </c>
      <c r="II57" s="734" cm="1">
        <f t="array" ref="II57">IFERROR(ROUND(VALUE(IF($IH57&lt;1,$IH57+LARGE((IF($M$9:$M$150="",0,$M$9:$M$150)-MOD(IF($M$9:$M$150="",0,$M$9:$M$150),1)),1),$IH57)),4),"")</f>
        <v>6.117</v>
      </c>
      <c r="IJ57" s="533">
        <f t="shared" si="112"/>
        <v>1613</v>
      </c>
      <c r="IK57" s="533">
        <f t="shared" si="382"/>
        <v>1313</v>
      </c>
      <c r="IL57" s="727">
        <f t="shared" si="225"/>
        <v>15.165597810358577</v>
      </c>
      <c r="IM57" s="759">
        <v>1.44864882774482E-2</v>
      </c>
      <c r="IN57" s="5">
        <f t="shared" si="226"/>
        <v>0.36</v>
      </c>
      <c r="IO57" s="771">
        <v>180</v>
      </c>
      <c r="IP57" s="9">
        <f t="shared" si="227"/>
        <v>-3.3393100713591757</v>
      </c>
      <c r="IQ57" s="5">
        <f t="shared" si="228"/>
        <v>-0.37220112255858567</v>
      </c>
      <c r="IR57" s="5">
        <f t="shared" si="383"/>
        <v>0.314</v>
      </c>
      <c r="IS57" s="5">
        <f t="shared" si="229"/>
        <v>0.30195411269767525</v>
      </c>
      <c r="IT57" s="727">
        <f t="shared" si="230"/>
        <v>55.071505296951948</v>
      </c>
      <c r="IU57" s="9">
        <f t="shared" si="231"/>
        <v>-3.362610141632187</v>
      </c>
      <c r="IV57" s="5">
        <f t="shared" si="232"/>
        <v>-0.34130102936390455</v>
      </c>
      <c r="IW57" s="5">
        <f t="shared" si="384"/>
        <v>0.26600000000000001</v>
      </c>
      <c r="IX57" s="5">
        <f t="shared" si="233"/>
        <v>0.24926361430426111</v>
      </c>
      <c r="IY57" s="762">
        <f t="shared" si="234"/>
        <v>48.44585762149017</v>
      </c>
    </row>
    <row r="58" spans="1:259" ht="15" customHeight="1" x14ac:dyDescent="0.25">
      <c r="A58" s="79"/>
      <c r="B58" s="707">
        <v>-2.5385139555718554</v>
      </c>
      <c r="C58" s="708">
        <v>2.9058662998017346</v>
      </c>
      <c r="D58" s="709">
        <v>-0.94950286370063697</v>
      </c>
      <c r="E58" s="710">
        <v>-0.94182427006571956</v>
      </c>
      <c r="F58" s="708">
        <v>-0.29220948502935784</v>
      </c>
      <c r="G58" s="711">
        <v>0.1660742640328482</v>
      </c>
      <c r="H58" s="710">
        <v>0.26600000000000001</v>
      </c>
      <c r="I58" s="708">
        <v>0.52</v>
      </c>
      <c r="J58" s="570">
        <v>6.2229999999999999</v>
      </c>
      <c r="K58" s="865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>1313</v>
      </c>
      <c r="L58" s="320"/>
      <c r="M58" s="168">
        <f t="shared" si="239"/>
        <v>6.2229999999999999</v>
      </c>
      <c r="N58" s="632">
        <f t="shared" si="240"/>
        <v>-2.5385139555718554</v>
      </c>
      <c r="O58" s="629">
        <f t="shared" si="241"/>
        <v>2.9058662998017346</v>
      </c>
      <c r="P58" s="633">
        <f t="shared" si="242"/>
        <v>-0.94950286370063697</v>
      </c>
      <c r="Q58" s="585">
        <f t="shared" si="113"/>
        <v>131.13989406013422</v>
      </c>
      <c r="R58" s="629">
        <f t="shared" si="410"/>
        <v>3.8585116372710981</v>
      </c>
      <c r="S58" s="634">
        <f t="shared" si="411"/>
        <v>-0.94950286370063697</v>
      </c>
      <c r="T58" s="635">
        <f t="shared" si="412"/>
        <v>2.8311100791558999</v>
      </c>
      <c r="U58" s="629">
        <f t="shared" si="413"/>
        <v>2.6216269327763562</v>
      </c>
      <c r="V58" s="636">
        <f t="shared" si="414"/>
        <v>-0.94950286370063697</v>
      </c>
      <c r="W58" s="585">
        <f t="shared" si="224"/>
        <v>42.799893820459914</v>
      </c>
      <c r="X58" s="629">
        <f t="shared" si="415"/>
        <v>3.8585116372710981</v>
      </c>
      <c r="Y58" s="630">
        <f t="shared" si="223"/>
        <v>-0.94950286370063697</v>
      </c>
      <c r="Z58" s="632">
        <f t="shared" si="243"/>
        <v>0.94182427006571956</v>
      </c>
      <c r="AA58" s="629">
        <f t="shared" si="244"/>
        <v>0.29220948502935784</v>
      </c>
      <c r="AB58" s="629">
        <f t="shared" si="245"/>
        <v>-0.1660742640328482</v>
      </c>
      <c r="AC58" s="636">
        <f t="shared" si="416"/>
        <v>1</v>
      </c>
      <c r="AD58" s="637">
        <f t="shared" si="417"/>
        <v>0.94182427006571956</v>
      </c>
      <c r="AE58" s="629">
        <f t="shared" si="418"/>
        <v>0.29220948502935784</v>
      </c>
      <c r="AF58" s="633">
        <f t="shared" si="419"/>
        <v>-0.1660742640328482</v>
      </c>
      <c r="AG58" s="602">
        <f t="shared" si="420"/>
        <v>60.388709457469936</v>
      </c>
      <c r="AH58" s="603">
        <f t="shared" si="421"/>
        <v>19.63978926529558</v>
      </c>
      <c r="AI58" s="585">
        <f t="shared" si="422"/>
        <v>-80.440353671413746</v>
      </c>
      <c r="AJ58" s="586">
        <f t="shared" si="423"/>
        <v>107.236975350767</v>
      </c>
      <c r="AK58" s="635">
        <f t="shared" si="424"/>
        <v>0.90153758480745161</v>
      </c>
      <c r="AL58" s="629">
        <f t="shared" si="425"/>
        <v>-0.39956141205763973</v>
      </c>
      <c r="AM58" s="634">
        <f t="shared" si="426"/>
        <v>-0.1660742640328482</v>
      </c>
      <c r="AN58" s="581">
        <f t="shared" si="427"/>
        <v>-67.430206939131097</v>
      </c>
      <c r="AO58" s="582">
        <f t="shared" si="461"/>
        <v>25.639082263935943</v>
      </c>
      <c r="AP58" s="585">
        <f t="shared" si="428"/>
        <v>-23.902918709367221</v>
      </c>
      <c r="AQ58" s="586">
        <f t="shared" si="246"/>
        <v>0.59080962963942818</v>
      </c>
      <c r="AS58" s="52">
        <f t="shared" si="406"/>
        <v>-317.20010617954006</v>
      </c>
      <c r="AT58" s="72">
        <f t="shared" si="247"/>
        <v>-0.72807223457573023</v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>Taper</v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>
        <f t="shared" si="210"/>
        <v>6.2229999999999999</v>
      </c>
      <c r="IH58" s="731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>0.123</v>
      </c>
      <c r="II58" s="734" cm="1">
        <f t="array" ref="II58">IFERROR(ROUND(VALUE(IF($IH58&lt;1,$IH58+LARGE((IF($M$9:$M$150="",0,$M$9:$M$150)-MOD(IF($M$9:$M$150="",0,$M$9:$M$150),1)),1),$IH58)),4),"")</f>
        <v>6.1230000000000002</v>
      </c>
      <c r="IJ58" s="533">
        <f t="shared" si="112"/>
        <v>1613</v>
      </c>
      <c r="IK58" s="533">
        <f t="shared" si="382"/>
        <v>1313</v>
      </c>
      <c r="IL58" s="727">
        <f t="shared" si="225"/>
        <v>13.800098007512332</v>
      </c>
      <c r="IM58" s="759">
        <v>9.1895737999752695E-3</v>
      </c>
      <c r="IN58" s="5">
        <f t="shared" si="226"/>
        <v>0.34</v>
      </c>
      <c r="IO58" s="771">
        <v>170</v>
      </c>
      <c r="IP58" s="9">
        <f t="shared" si="227"/>
        <v>-3.8201115214563499</v>
      </c>
      <c r="IQ58" s="5">
        <f t="shared" si="228"/>
        <v>-0.97190293125924143</v>
      </c>
      <c r="IR58" s="5">
        <f t="shared" si="383"/>
        <v>0.314</v>
      </c>
      <c r="IS58" s="5">
        <f t="shared" si="229"/>
        <v>0.29299039510254887</v>
      </c>
      <c r="IT58" s="727">
        <f t="shared" si="230"/>
        <v>72.201756959103633</v>
      </c>
      <c r="IU58" s="9">
        <f t="shared" si="231"/>
        <v>-3.8585116372710981</v>
      </c>
      <c r="IV58" s="5">
        <f t="shared" si="232"/>
        <v>-0.94950286370063697</v>
      </c>
      <c r="IW58" s="5">
        <f t="shared" si="384"/>
        <v>0.26600000000000001</v>
      </c>
      <c r="IX58" s="5">
        <f t="shared" si="233"/>
        <v>0.23980899755878213</v>
      </c>
      <c r="IY58" s="762">
        <f t="shared" si="234"/>
        <v>67.430206939131097</v>
      </c>
    </row>
    <row r="59" spans="1:259" ht="15" customHeight="1" x14ac:dyDescent="0.25">
      <c r="A59" s="79"/>
      <c r="B59" s="707">
        <v>-2.6109701373412331</v>
      </c>
      <c r="C59" s="708">
        <v>3.0590534073796665</v>
      </c>
      <c r="D59" s="709">
        <v>-1.7184051827100313</v>
      </c>
      <c r="E59" s="710">
        <v>-0.98571462134103882</v>
      </c>
      <c r="F59" s="708">
        <v>-0.15959978775854555</v>
      </c>
      <c r="G59" s="711">
        <v>5.3801422118005725E-2</v>
      </c>
      <c r="H59" s="710">
        <v>0.26600000000000001</v>
      </c>
      <c r="I59" s="708">
        <v>0.52</v>
      </c>
      <c r="J59" s="570">
        <v>6.2290000000000001</v>
      </c>
      <c r="K59" s="865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>1313</v>
      </c>
      <c r="L59" s="320"/>
      <c r="M59" s="168">
        <f t="shared" si="239"/>
        <v>6.2290000000000001</v>
      </c>
      <c r="N59" s="632">
        <f t="shared" si="240"/>
        <v>-2.6109701373412331</v>
      </c>
      <c r="O59" s="629">
        <f t="shared" si="241"/>
        <v>3.0590534073796665</v>
      </c>
      <c r="P59" s="633">
        <f t="shared" si="242"/>
        <v>-1.7184051827100313</v>
      </c>
      <c r="Q59" s="585">
        <f t="shared" si="113"/>
        <v>130.48149415519541</v>
      </c>
      <c r="R59" s="629">
        <f t="shared" si="79"/>
        <v>4.0218121297853839</v>
      </c>
      <c r="S59" s="634">
        <f t="shared" si="80"/>
        <v>-1.7184051827100313</v>
      </c>
      <c r="T59" s="635">
        <f t="shared" si="81"/>
        <v>2.9821339580746145</v>
      </c>
      <c r="U59" s="629">
        <f t="shared" si="82"/>
        <v>2.6984902933653623</v>
      </c>
      <c r="V59" s="636">
        <f t="shared" si="114"/>
        <v>-1.7184051827100313</v>
      </c>
      <c r="W59" s="585">
        <f t="shared" si="224"/>
        <v>42.141493915521096</v>
      </c>
      <c r="X59" s="629">
        <f t="shared" si="83"/>
        <v>4.0218121297853839</v>
      </c>
      <c r="Y59" s="630">
        <f t="shared" si="223"/>
        <v>-1.7184051827100313</v>
      </c>
      <c r="Z59" s="632">
        <f t="shared" si="243"/>
        <v>0.98571462134103882</v>
      </c>
      <c r="AA59" s="629">
        <f t="shared" si="244"/>
        <v>0.15959978775854555</v>
      </c>
      <c r="AB59" s="629">
        <f t="shared" si="245"/>
        <v>-5.3801422118005725E-2</v>
      </c>
      <c r="AC59" s="636">
        <f t="shared" si="84"/>
        <v>1</v>
      </c>
      <c r="AD59" s="637">
        <f t="shared" si="115"/>
        <v>0.98571462134103882</v>
      </c>
      <c r="AE59" s="629">
        <f t="shared" si="85"/>
        <v>0.15959978775854555</v>
      </c>
      <c r="AF59" s="633">
        <f t="shared" si="86"/>
        <v>-5.3801422118005725E-2</v>
      </c>
      <c r="AG59" s="602">
        <f t="shared" si="87"/>
        <v>71.37093089978336</v>
      </c>
      <c r="AH59" s="603">
        <f t="shared" si="88"/>
        <v>9.6962068781642063</v>
      </c>
      <c r="AI59" s="585">
        <f t="shared" si="89"/>
        <v>-86.915916497673635</v>
      </c>
      <c r="AJ59" s="586">
        <f t="shared" si="90"/>
        <v>99.197103170191355</v>
      </c>
      <c r="AK59" s="635">
        <f t="shared" si="211"/>
        <v>0.8533625739161439</v>
      </c>
      <c r="AL59" s="629">
        <f t="shared" si="91"/>
        <v>-0.51853420756715196</v>
      </c>
      <c r="AM59" s="634">
        <f t="shared" si="92"/>
        <v>-5.3801422118005725E-2</v>
      </c>
      <c r="AN59" s="581">
        <f t="shared" si="93"/>
        <v>-84.076372533127426</v>
      </c>
      <c r="AO59" s="582">
        <f t="shared" si="461"/>
        <v>31.420692928070736</v>
      </c>
      <c r="AP59" s="585">
        <f t="shared" si="95"/>
        <v>-31.284390985004055</v>
      </c>
      <c r="AQ59" s="586">
        <f t="shared" si="246"/>
        <v>0.56682216518982698</v>
      </c>
      <c r="AS59" s="52">
        <f t="shared" si="406"/>
        <v>-317.8585060844789</v>
      </c>
      <c r="AT59" s="72">
        <f t="shared" si="247"/>
        <v>-1.4965173314289171</v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>Taper</v>
      </c>
      <c r="IF59" s="533" t="str">
        <f>IFERROR(IF((((($IW59*COS(RADIANS(180-$IY59)))*COS(RADIANS($IY59)))-(($IX59*SIN(RADIANS(180-$IY59)))*SIN(RADIANS($IY59))))+$IU59)&lt;(((Settings!$C$19+$IF$8)/2)*-1),"Gage",""),"")</f>
        <v>Gage</v>
      </c>
      <c r="IG59" s="847">
        <f t="shared" si="210"/>
        <v>6.2290000000000001</v>
      </c>
      <c r="IH59" s="731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>0.129</v>
      </c>
      <c r="II59" s="734" cm="1">
        <f t="array" ref="II59">IFERROR(ROUND(VALUE(IF($IH59&lt;1,$IH59+LARGE((IF($M$9:$M$150="",0,$M$9:$M$150)-MOD(IF($M$9:$M$150="",0,$M$9:$M$150),1)),1),$IH59)),4),"")</f>
        <v>6.1289999999999996</v>
      </c>
      <c r="IJ59" s="533">
        <f t="shared" si="112"/>
        <v>1613</v>
      </c>
      <c r="IK59" s="533">
        <f>IF(ISNUMBER($II59),INDEX($K$9:$K$150,MATCH($IG59,$M$9:$M$150,0)),"")</f>
        <v>1313</v>
      </c>
      <c r="IL59" s="727">
        <f t="shared" si="225"/>
        <v>14.078497967316395</v>
      </c>
      <c r="IM59" s="759">
        <v>3.91339618317358E-3</v>
      </c>
      <c r="IN59" s="5">
        <f t="shared" si="226"/>
        <v>0.3</v>
      </c>
      <c r="IO59" s="771">
        <v>150</v>
      </c>
      <c r="IP59" s="9">
        <f t="shared" si="227"/>
        <v>-3.9727119816993373</v>
      </c>
      <c r="IQ59" s="5">
        <f t="shared" si="228"/>
        <v>-1.7256052044252967</v>
      </c>
      <c r="IR59" s="5">
        <f t="shared" si="383"/>
        <v>0.314</v>
      </c>
      <c r="IS59" s="5">
        <f t="shared" si="229"/>
        <v>0.28041956654820155</v>
      </c>
      <c r="IT59" s="727">
        <f t="shared" si="230"/>
        <v>87.251388936822778</v>
      </c>
      <c r="IU59" s="9">
        <f t="shared" si="231"/>
        <v>-4.0218121297853839</v>
      </c>
      <c r="IV59" s="5">
        <f t="shared" si="232"/>
        <v>-1.7184051827100313</v>
      </c>
      <c r="IW59" s="5">
        <f t="shared" si="384"/>
        <v>0.26600000000000001</v>
      </c>
      <c r="IX59" s="5">
        <f t="shared" si="233"/>
        <v>0.22699444466169433</v>
      </c>
      <c r="IY59" s="762">
        <f t="shared" si="234"/>
        <v>84.076372533127426</v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0.96592583607220739</v>
      </c>
      <c r="F154" s="170">
        <f t="shared" si="929"/>
        <v>4.4943442764441788E-2</v>
      </c>
      <c r="G154" s="170">
        <f t="shared" si="929"/>
        <v>-0.2548869674202402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0.97629601393762733</v>
      </c>
      <c r="F155" s="170">
        <f t="shared" si="929"/>
        <v>3.7584333823853046E-2</v>
      </c>
      <c r="G155" s="170">
        <f t="shared" si="929"/>
        <v>-0.21315138052688615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</row>
    <row r="156" spans="1:259" x14ac:dyDescent="0.25">
      <c r="B156" s="70"/>
      <c r="C156" s="70"/>
      <c r="D156" s="70"/>
      <c r="E156" s="170">
        <f t="shared" si="929"/>
        <v>0.97523860074362867</v>
      </c>
      <c r="F156" s="170">
        <f t="shared" si="929"/>
        <v>-2.6388548098118587E-2</v>
      </c>
      <c r="G156" s="170">
        <f t="shared" si="929"/>
        <v>-0.21957530860477623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</row>
    <row r="157" spans="1:259" x14ac:dyDescent="0.25">
      <c r="E157" s="170">
        <f t="shared" si="929"/>
        <v>0.96740759399730514</v>
      </c>
      <c r="F157" s="170">
        <f t="shared" si="929"/>
        <v>-0.16057347864098961</v>
      </c>
      <c r="G157" s="170">
        <f t="shared" si="929"/>
        <v>-0.1958027196784482</v>
      </c>
      <c r="H157" s="139"/>
      <c r="I157" s="86"/>
      <c r="J157" s="79">
        <f t="shared" si="930"/>
        <v>1.1120000000000001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</row>
    <row r="158" spans="1:259" x14ac:dyDescent="0.25">
      <c r="E158" s="170">
        <f t="shared" si="929"/>
        <v>0.94152619743482024</v>
      </c>
      <c r="F158" s="170">
        <f t="shared" si="929"/>
        <v>-0.29885022808420947</v>
      </c>
      <c r="G158" s="170">
        <f t="shared" si="929"/>
        <v>-0.15561799612494731</v>
      </c>
      <c r="H158" s="139"/>
      <c r="I158" s="86"/>
      <c r="J158" s="79">
        <f t="shared" si="930"/>
        <v>1.1180000000000001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</row>
    <row r="159" spans="1:259" x14ac:dyDescent="0.25">
      <c r="E159" s="170">
        <f t="shared" si="929"/>
        <v>0.89806034917867472</v>
      </c>
      <c r="F159" s="170">
        <f t="shared" si="929"/>
        <v>-0.42861650343685798</v>
      </c>
      <c r="G159" s="170">
        <f t="shared" si="929"/>
        <v>-9.8871139442401584E-2</v>
      </c>
      <c r="H159" s="139"/>
      <c r="I159" s="86"/>
      <c r="J159" s="79">
        <f t="shared" si="930"/>
        <v>1.1240000000000001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</row>
    <row r="160" spans="1:259" x14ac:dyDescent="0.25">
      <c r="E160" s="170">
        <f t="shared" si="929"/>
        <v>0.82283898301548208</v>
      </c>
      <c r="F160" s="170">
        <f t="shared" si="929"/>
        <v>-0.56827458858375346</v>
      </c>
      <c r="G160" s="170">
        <f t="shared" si="929"/>
        <v>-1.133974335071098E-7</v>
      </c>
      <c r="H160" s="139"/>
      <c r="I160" s="86"/>
      <c r="J160" s="79">
        <f t="shared" si="930"/>
        <v>1.1299999999999999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</row>
    <row r="161" spans="5:16" x14ac:dyDescent="0.25">
      <c r="E161" s="170">
        <f t="shared" si="929"/>
        <v>0.79372593429565608</v>
      </c>
      <c r="F161" s="170">
        <f t="shared" si="929"/>
        <v>-0.56412853429389953</v>
      </c>
      <c r="G161" s="170">
        <f t="shared" si="929"/>
        <v>-0.22750414946084976</v>
      </c>
      <c r="H161" s="139"/>
      <c r="I161" s="86"/>
      <c r="J161" s="79">
        <f t="shared" si="930"/>
        <v>1.218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</row>
    <row r="162" spans="5:16" x14ac:dyDescent="0.25">
      <c r="E162" s="170">
        <f t="shared" si="929"/>
        <v>0.71768619297978975</v>
      </c>
      <c r="F162" s="170">
        <f t="shared" si="929"/>
        <v>-0.67973356648831573</v>
      </c>
      <c r="G162" s="170">
        <f t="shared" si="929"/>
        <v>-0.15129047225536182</v>
      </c>
      <c r="H162" s="139"/>
      <c r="I162" s="86"/>
      <c r="J162" s="79">
        <f t="shared" si="930"/>
        <v>1.224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</row>
    <row r="163" spans="5:16" x14ac:dyDescent="0.25">
      <c r="E163" s="170">
        <f t="shared" si="929"/>
        <v>0.42589638850974482</v>
      </c>
      <c r="F163" s="170">
        <f t="shared" si="929"/>
        <v>-0.87863918214944825</v>
      </c>
      <c r="G163" s="170">
        <f t="shared" si="929"/>
        <v>-0.21588296330675427</v>
      </c>
      <c r="H163" s="139"/>
      <c r="I163" s="86"/>
      <c r="J163" s="79">
        <f t="shared" si="930"/>
        <v>2.109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</row>
    <row r="164" spans="5:16" x14ac:dyDescent="0.25">
      <c r="E164" s="170">
        <f t="shared" si="929"/>
        <v>0.29783788838429459</v>
      </c>
      <c r="F164" s="170">
        <f t="shared" si="929"/>
        <v>-0.93928327028248249</v>
      </c>
      <c r="G164" s="170">
        <f t="shared" si="929"/>
        <v>-0.17040988941440416</v>
      </c>
      <c r="H164" s="139"/>
      <c r="I164" s="86"/>
      <c r="J164" s="79">
        <f t="shared" si="930"/>
        <v>2.1150000000000002</v>
      </c>
    </row>
    <row r="165" spans="5:16" x14ac:dyDescent="0.25">
      <c r="E165" s="170">
        <f t="shared" si="929"/>
        <v>0.16447947699704912</v>
      </c>
      <c r="F165" s="170">
        <f t="shared" si="929"/>
        <v>-0.9781104800769056</v>
      </c>
      <c r="G165" s="170">
        <f t="shared" si="929"/>
        <v>-0.12746132907867685</v>
      </c>
      <c r="H165" s="139"/>
      <c r="I165" s="86"/>
      <c r="J165" s="79">
        <f t="shared" si="930"/>
        <v>2.121</v>
      </c>
    </row>
    <row r="166" spans="5:16" x14ac:dyDescent="0.25">
      <c r="E166" s="170">
        <f t="shared" si="929"/>
        <v>3.3162188402050125E-2</v>
      </c>
      <c r="F166" s="170">
        <f t="shared" si="929"/>
        <v>-0.99785124358659805</v>
      </c>
      <c r="G166" s="170">
        <f t="shared" si="929"/>
        <v>-5.6508096172731087E-2</v>
      </c>
      <c r="H166" s="139"/>
      <c r="I166" s="86"/>
      <c r="J166" s="79">
        <f t="shared" si="930"/>
        <v>2.1269999999999998</v>
      </c>
    </row>
    <row r="167" spans="5:16" x14ac:dyDescent="0.25">
      <c r="E167" s="170">
        <f t="shared" si="929"/>
        <v>-6.3313746361842907E-2</v>
      </c>
      <c r="F167" s="170">
        <f t="shared" si="929"/>
        <v>-0.99799367208495637</v>
      </c>
      <c r="G167" s="170">
        <f t="shared" si="929"/>
        <v>-1.1339743354722373E-7</v>
      </c>
      <c r="H167" s="139"/>
      <c r="I167" s="86"/>
      <c r="J167" s="79">
        <f t="shared" si="930"/>
        <v>2.133</v>
      </c>
    </row>
    <row r="168" spans="5:16" x14ac:dyDescent="0.25">
      <c r="E168" s="170">
        <f t="shared" si="929"/>
        <v>-8.9580251916504122E-3</v>
      </c>
      <c r="F168" s="170">
        <f t="shared" si="929"/>
        <v>-0.96844148731742918</v>
      </c>
      <c r="G168" s="170">
        <f t="shared" si="929"/>
        <v>-0.2490799860026322</v>
      </c>
      <c r="H168" s="139"/>
      <c r="I168" s="86"/>
      <c r="J168" s="79">
        <f t="shared" si="930"/>
        <v>2.2149999999999999</v>
      </c>
    </row>
    <row r="169" spans="5:16" x14ac:dyDescent="0.25">
      <c r="E169" s="170">
        <f t="shared" si="929"/>
        <v>-0.13595509756587845</v>
      </c>
      <c r="F169" s="170">
        <f t="shared" si="929"/>
        <v>-0.97220663434494048</v>
      </c>
      <c r="G169" s="170">
        <f t="shared" si="929"/>
        <v>-0.19060553922049539</v>
      </c>
      <c r="H169" s="139"/>
      <c r="I169" s="86"/>
      <c r="J169" s="79">
        <f t="shared" si="930"/>
        <v>2.2210000000000001</v>
      </c>
    </row>
    <row r="170" spans="5:16" x14ac:dyDescent="0.25">
      <c r="E170" s="170">
        <f t="shared" si="929"/>
        <v>-0.28076551927443572</v>
      </c>
      <c r="F170" s="170">
        <f t="shared" si="929"/>
        <v>-0.95485674481392135</v>
      </c>
      <c r="G170" s="170">
        <f t="shared" si="929"/>
        <v>-9.7053181657885956E-2</v>
      </c>
      <c r="H170" s="139"/>
      <c r="I170" s="86"/>
      <c r="J170" s="79">
        <f t="shared" si="930"/>
        <v>2.2269999999999999</v>
      </c>
    </row>
    <row r="171" spans="5:16" x14ac:dyDescent="0.25">
      <c r="E171" s="170">
        <f t="shared" si="929"/>
        <v>-0.47061407325260657</v>
      </c>
      <c r="F171" s="170">
        <f t="shared" si="929"/>
        <v>-0.85620609845765105</v>
      </c>
      <c r="G171" s="170">
        <f t="shared" si="929"/>
        <v>-0.21315138052688609</v>
      </c>
      <c r="H171" s="139"/>
      <c r="I171" s="86"/>
      <c r="J171" s="79">
        <f t="shared" si="930"/>
        <v>3.1030000000000002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</row>
    <row r="172" spans="5:16" x14ac:dyDescent="0.25">
      <c r="E172" s="170">
        <f t="shared" si="929"/>
        <v>-0.49009825041338723</v>
      </c>
      <c r="F172" s="170">
        <f t="shared" si="929"/>
        <v>-0.8442604801381105</v>
      </c>
      <c r="G172" s="170">
        <f t="shared" si="929"/>
        <v>-0.21685927837817759</v>
      </c>
      <c r="H172" s="139"/>
      <c r="I172" s="86"/>
      <c r="J172" s="79">
        <f t="shared" si="930"/>
        <v>3.1059999999999999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</row>
    <row r="173" spans="5:16" x14ac:dyDescent="0.25">
      <c r="E173" s="170">
        <f t="shared" si="929"/>
        <v>-0.59641262599538369</v>
      </c>
      <c r="F173" s="170">
        <f t="shared" si="929"/>
        <v>-0.7744970435205224</v>
      </c>
      <c r="G173" s="170">
        <f t="shared" si="929"/>
        <v>-0.21082293312460276</v>
      </c>
      <c r="H173" s="139"/>
      <c r="I173" s="86"/>
      <c r="J173" s="79">
        <f t="shared" si="930"/>
        <v>3.11</v>
      </c>
      <c r="O173">
        <f>IF($J24="","",IFERROR(INDEX(Settings!$AK$14:$AK$32,MATCH((((ROUND($H24,6)*2)*1000000)+ROUND($I24,6)),Settings!$AI$14:$AI$32,0)),"Undefined"))</f>
        <v>1313</v>
      </c>
    </row>
    <row r="174" spans="5:16" x14ac:dyDescent="0.25">
      <c r="E174" s="170">
        <f t="shared" ref="E174:G193" si="933">E29*-1</f>
        <v>-0.70821153526659597</v>
      </c>
      <c r="F174" s="170">
        <f t="shared" si="933"/>
        <v>-0.68467096590947207</v>
      </c>
      <c r="G174" s="170">
        <f t="shared" si="933"/>
        <v>-0.17222685550146244</v>
      </c>
      <c r="H174" s="139"/>
      <c r="I174" s="86"/>
      <c r="J174" s="79">
        <f t="shared" si="930"/>
        <v>3.1160000000000001</v>
      </c>
    </row>
    <row r="175" spans="5:16" x14ac:dyDescent="0.25">
      <c r="E175" s="170">
        <f t="shared" si="933"/>
        <v>-0.80177598441306008</v>
      </c>
      <c r="F175" s="170">
        <f t="shared" si="933"/>
        <v>-0.58555106466112217</v>
      </c>
      <c r="G175" s="170">
        <f t="shared" si="933"/>
        <v>-0.11952079941455807</v>
      </c>
      <c r="H175" s="139"/>
      <c r="I175" s="86"/>
      <c r="J175" s="79">
        <f t="shared" si="930"/>
        <v>3.1219999999999999</v>
      </c>
    </row>
    <row r="176" spans="5:16" x14ac:dyDescent="0.25">
      <c r="E176" s="170">
        <f t="shared" si="933"/>
        <v>-0.87527497112213259</v>
      </c>
      <c r="F176" s="170">
        <f t="shared" si="933"/>
        <v>-0.48198751705362047</v>
      </c>
      <c r="G176" s="170">
        <f t="shared" si="933"/>
        <v>-3.9771325495084914E-2</v>
      </c>
      <c r="H176" s="139"/>
      <c r="I176" s="86"/>
      <c r="J176" s="79">
        <f t="shared" si="930"/>
        <v>3.1280000000000001</v>
      </c>
    </row>
    <row r="177" spans="5:10" x14ac:dyDescent="0.25">
      <c r="E177" s="170">
        <f t="shared" si="933"/>
        <v>-0.91090004943878566</v>
      </c>
      <c r="F177" s="170">
        <f t="shared" si="933"/>
        <v>-0.41262707125491077</v>
      </c>
      <c r="G177" s="170">
        <f t="shared" si="933"/>
        <v>-1.1339743289612871E-7</v>
      </c>
      <c r="H177" s="139"/>
      <c r="I177" s="86"/>
      <c r="J177" s="79">
        <f t="shared" si="930"/>
        <v>3.1339999999999999</v>
      </c>
    </row>
    <row r="178" spans="5:10" x14ac:dyDescent="0.25">
      <c r="E178" s="170">
        <f t="shared" si="933"/>
        <v>-0.8692101717573032</v>
      </c>
      <c r="F178" s="170">
        <f t="shared" si="933"/>
        <v>-0.42731851295226281</v>
      </c>
      <c r="G178" s="170">
        <f t="shared" si="933"/>
        <v>-0.24874196630626352</v>
      </c>
      <c r="H178" s="139"/>
      <c r="I178" s="86"/>
      <c r="J178" s="79">
        <f t="shared" si="930"/>
        <v>3.2160000000000002</v>
      </c>
    </row>
    <row r="179" spans="5:10" x14ac:dyDescent="0.25">
      <c r="E179" s="170">
        <f t="shared" si="933"/>
        <v>-0.93226928052856151</v>
      </c>
      <c r="F179" s="170">
        <f t="shared" si="933"/>
        <v>-0.31423706914246768</v>
      </c>
      <c r="G179" s="170">
        <f t="shared" si="933"/>
        <v>-0.17924578923787973</v>
      </c>
      <c r="H179" s="139"/>
      <c r="I179" s="86"/>
      <c r="J179" s="79">
        <f t="shared" si="930"/>
        <v>3.222</v>
      </c>
    </row>
    <row r="180" spans="5:10" x14ac:dyDescent="0.25">
      <c r="E180" s="170">
        <f t="shared" si="933"/>
        <v>-0.98076453996458535</v>
      </c>
      <c r="F180" s="170">
        <f t="shared" si="933"/>
        <v>-0.17971275614764137</v>
      </c>
      <c r="G180" s="170">
        <f t="shared" si="933"/>
        <v>-7.6185578857641142E-2</v>
      </c>
      <c r="H180" s="139"/>
      <c r="I180" s="86"/>
      <c r="J180" s="79">
        <f t="shared" si="930"/>
        <v>3.2280000000000002</v>
      </c>
    </row>
    <row r="181" spans="5:10" x14ac:dyDescent="0.25">
      <c r="E181" s="170">
        <f t="shared" si="933"/>
        <v>-0.96528235175255006</v>
      </c>
      <c r="F181" s="170">
        <f t="shared" si="933"/>
        <v>0.18338693109159815</v>
      </c>
      <c r="G181" s="170">
        <f t="shared" si="933"/>
        <v>-0.18600864200319195</v>
      </c>
      <c r="H181" s="139"/>
      <c r="I181" s="86"/>
      <c r="J181" s="79">
        <f t="shared" si="930"/>
        <v>4.1130000000000004</v>
      </c>
    </row>
    <row r="182" spans="5:10" x14ac:dyDescent="0.25">
      <c r="E182" s="170">
        <f t="shared" si="933"/>
        <v>-0.9388993456152398</v>
      </c>
      <c r="F182" s="170">
        <f t="shared" si="933"/>
        <v>0.31521047821856252</v>
      </c>
      <c r="G182" s="170">
        <f t="shared" si="933"/>
        <v>-0.13824027352584267</v>
      </c>
      <c r="H182" s="139"/>
      <c r="I182" s="86"/>
      <c r="J182" s="79">
        <f t="shared" si="930"/>
        <v>4.1189999999999998</v>
      </c>
    </row>
    <row r="183" spans="5:10" x14ac:dyDescent="0.25">
      <c r="E183" s="170">
        <f t="shared" si="933"/>
        <v>-0.88949641639224475</v>
      </c>
      <c r="F183" s="170">
        <f t="shared" si="933"/>
        <v>0.44875169105117607</v>
      </c>
      <c r="G183" s="170">
        <f t="shared" si="933"/>
        <v>-8.6128073263392974E-2</v>
      </c>
      <c r="H183" s="139"/>
      <c r="I183" s="86"/>
      <c r="J183" s="79">
        <f t="shared" si="930"/>
        <v>4.125</v>
      </c>
    </row>
    <row r="184" spans="5:10" x14ac:dyDescent="0.25">
      <c r="E184" s="170">
        <f t="shared" si="933"/>
        <v>-0.82283872525184421</v>
      </c>
      <c r="F184" s="170">
        <f t="shared" si="933"/>
        <v>0.56827496181505932</v>
      </c>
      <c r="G184" s="170">
        <f t="shared" si="933"/>
        <v>-1.1339743359695162E-7</v>
      </c>
      <c r="H184" s="139"/>
      <c r="I184" s="86"/>
      <c r="J184" s="79">
        <f t="shared" si="930"/>
        <v>4.1310000000000002</v>
      </c>
    </row>
    <row r="185" spans="5:10" x14ac:dyDescent="0.25">
      <c r="E185" s="170">
        <f t="shared" si="933"/>
        <v>-0.78981189007325714</v>
      </c>
      <c r="F185" s="170">
        <f t="shared" si="933"/>
        <v>0.5771214530321318</v>
      </c>
      <c r="G185" s="170">
        <f t="shared" si="933"/>
        <v>-0.20767283584761473</v>
      </c>
      <c r="H185" s="139"/>
      <c r="I185" s="86"/>
      <c r="J185" s="79">
        <f t="shared" si="930"/>
        <v>4.2190000000000003</v>
      </c>
    </row>
    <row r="186" spans="5:10" x14ac:dyDescent="0.25">
      <c r="E186" s="170">
        <f t="shared" si="933"/>
        <v>-0.70319338749708027</v>
      </c>
      <c r="F186" s="170">
        <f t="shared" si="933"/>
        <v>0.6981237726982078</v>
      </c>
      <c r="G186" s="170">
        <f t="shared" si="933"/>
        <v>-0.13469319869244456</v>
      </c>
      <c r="H186" s="139"/>
      <c r="I186" s="86"/>
      <c r="J186" s="79">
        <f t="shared" si="930"/>
        <v>4.2249999999999996</v>
      </c>
    </row>
    <row r="187" spans="5:10" x14ac:dyDescent="0.25">
      <c r="E187" s="170">
        <f t="shared" si="933"/>
        <v>-0.53532038924264114</v>
      </c>
      <c r="F187" s="170">
        <f t="shared" si="933"/>
        <v>0.81507974085937407</v>
      </c>
      <c r="G187" s="170">
        <f t="shared" si="933"/>
        <v>-0.22153351191574347</v>
      </c>
      <c r="H187" s="139"/>
      <c r="I187" s="86"/>
      <c r="J187" s="79">
        <f t="shared" si="930"/>
        <v>5.1020000000000003</v>
      </c>
    </row>
    <row r="188" spans="5:10" x14ac:dyDescent="0.25">
      <c r="E188" s="170">
        <f t="shared" si="933"/>
        <v>-0.53504543226930268</v>
      </c>
      <c r="F188" s="170">
        <f t="shared" si="933"/>
        <v>0.81749181915615388</v>
      </c>
      <c r="G188" s="170">
        <f t="shared" si="933"/>
        <v>-0.21315138052688612</v>
      </c>
      <c r="H188" s="139"/>
      <c r="I188" s="86"/>
      <c r="J188" s="79">
        <f t="shared" si="930"/>
        <v>5.1050000000000004</v>
      </c>
    </row>
    <row r="189" spans="5:10" x14ac:dyDescent="0.25">
      <c r="E189" s="170">
        <f t="shared" si="933"/>
        <v>-0.44393311676769437</v>
      </c>
      <c r="F189" s="170">
        <f t="shared" si="933"/>
        <v>0.86912088869391513</v>
      </c>
      <c r="G189" s="170">
        <f t="shared" si="933"/>
        <v>-0.21806482676676667</v>
      </c>
      <c r="H189" s="139"/>
      <c r="I189" s="86"/>
      <c r="J189" s="79">
        <f t="shared" si="930"/>
        <v>5.1079999999999997</v>
      </c>
    </row>
    <row r="190" spans="5:10" x14ac:dyDescent="0.25">
      <c r="E190" s="170">
        <f t="shared" si="933"/>
        <v>-0.3171394442217505</v>
      </c>
      <c r="F190" s="170">
        <f t="shared" si="933"/>
        <v>0.93055473394589094</v>
      </c>
      <c r="G190" s="170">
        <f t="shared" si="933"/>
        <v>-0.18300398916310959</v>
      </c>
      <c r="H190" s="139"/>
      <c r="I190" s="86"/>
      <c r="J190" s="79">
        <f t="shared" si="930"/>
        <v>5.1139999999999999</v>
      </c>
    </row>
    <row r="191" spans="5:10" x14ac:dyDescent="0.25">
      <c r="E191" s="170">
        <f t="shared" si="933"/>
        <v>-0.18866406141809003</v>
      </c>
      <c r="F191" s="170">
        <f t="shared" si="933"/>
        <v>0.97289613996141566</v>
      </c>
      <c r="G191" s="170">
        <f t="shared" si="933"/>
        <v>-0.13371227609089936</v>
      </c>
      <c r="H191" s="139"/>
      <c r="I191" s="86"/>
      <c r="J191" s="79">
        <f t="shared" si="930"/>
        <v>5.12</v>
      </c>
    </row>
    <row r="192" spans="5:10" x14ac:dyDescent="0.25">
      <c r="E192" s="170">
        <f t="shared" si="933"/>
        <v>-5.2760706493897663E-2</v>
      </c>
      <c r="F192" s="170">
        <f t="shared" si="933"/>
        <v>0.99600578972922349</v>
      </c>
      <c r="G192" s="170">
        <f t="shared" si="933"/>
        <v>-7.2033149841796942E-2</v>
      </c>
      <c r="H192" s="139"/>
      <c r="I192" s="86"/>
      <c r="J192" s="79">
        <f t="shared" si="930"/>
        <v>5.1260000000000003</v>
      </c>
    </row>
    <row r="193" spans="5:10" x14ac:dyDescent="0.25">
      <c r="E193" s="170">
        <f t="shared" si="933"/>
        <v>6.331329368209325E-2</v>
      </c>
      <c r="F193" s="170">
        <f t="shared" si="933"/>
        <v>0.99799370080332284</v>
      </c>
      <c r="G193" s="170">
        <f t="shared" si="933"/>
        <v>-1.1339743327054409E-7</v>
      </c>
      <c r="H193" s="139"/>
      <c r="I193" s="86"/>
      <c r="J193" s="79">
        <f t="shared" si="930"/>
        <v>5.1319999999999997</v>
      </c>
    </row>
    <row r="194" spans="5:10" x14ac:dyDescent="0.25">
      <c r="E194" s="170">
        <f t="shared" ref="E194:G213" si="934">E49*-1</f>
        <v>-4.9045643205915396E-3</v>
      </c>
      <c r="F194" s="170">
        <f t="shared" si="934"/>
        <v>0.9647299547610354</v>
      </c>
      <c r="G194" s="170">
        <f t="shared" si="934"/>
        <v>-0.26319585793776418</v>
      </c>
      <c r="H194" s="139"/>
      <c r="I194" s="86"/>
      <c r="J194" s="79">
        <f t="shared" si="930"/>
        <v>5.2140000000000004</v>
      </c>
    </row>
    <row r="195" spans="5:10" x14ac:dyDescent="0.25">
      <c r="E195" s="170">
        <f t="shared" si="934"/>
        <v>0.11191277343544567</v>
      </c>
      <c r="F195" s="170">
        <f t="shared" si="934"/>
        <v>0.97336348954791663</v>
      </c>
      <c r="G195" s="170">
        <f t="shared" si="934"/>
        <v>-0.20009759707974895</v>
      </c>
      <c r="H195" s="139"/>
      <c r="I195" s="86"/>
      <c r="J195" s="79">
        <f t="shared" si="930"/>
        <v>5.22</v>
      </c>
    </row>
    <row r="196" spans="5:10" x14ac:dyDescent="0.25">
      <c r="E196" s="170">
        <f t="shared" si="934"/>
        <v>0.2589734293171112</v>
      </c>
      <c r="F196" s="170">
        <f t="shared" si="934"/>
        <v>0.95881649981162009</v>
      </c>
      <c r="G196" s="170">
        <f t="shared" si="934"/>
        <v>-0.11663482583143299</v>
      </c>
      <c r="H196" s="139"/>
      <c r="I196" s="86"/>
      <c r="J196" s="79">
        <f t="shared" si="930"/>
        <v>5.226</v>
      </c>
    </row>
    <row r="197" spans="5:10" x14ac:dyDescent="0.25">
      <c r="E197" s="170">
        <f t="shared" si="934"/>
        <v>0.61664111317606074</v>
      </c>
      <c r="F197" s="170">
        <f t="shared" si="934"/>
        <v>0.76033014253062936</v>
      </c>
      <c r="G197" s="170">
        <f t="shared" si="934"/>
        <v>-0.20408775539052182</v>
      </c>
      <c r="H197" s="139"/>
      <c r="I197" s="86"/>
      <c r="J197" s="79">
        <f t="shared" si="930"/>
        <v>6.1109999999999998</v>
      </c>
    </row>
    <row r="198" spans="5:10" x14ac:dyDescent="0.25">
      <c r="E198" s="170">
        <f t="shared" si="934"/>
        <v>0.72314349999795691</v>
      </c>
      <c r="F198" s="170">
        <f t="shared" si="934"/>
        <v>0.67260239499329133</v>
      </c>
      <c r="G198" s="170">
        <f t="shared" si="934"/>
        <v>-0.15706526242296023</v>
      </c>
      <c r="H198" s="139"/>
      <c r="I198" s="86"/>
      <c r="J198" s="79">
        <f t="shared" si="930"/>
        <v>6.117</v>
      </c>
    </row>
    <row r="199" spans="5:10" x14ac:dyDescent="0.25">
      <c r="E199" s="170">
        <f t="shared" si="934"/>
        <v>0.81629441377966727</v>
      </c>
      <c r="F199" s="170">
        <f t="shared" si="934"/>
        <v>0.56707914335494192</v>
      </c>
      <c r="G199" s="170">
        <f t="shared" si="934"/>
        <v>-0.10993031976636311</v>
      </c>
      <c r="H199" s="139"/>
      <c r="I199" s="86"/>
      <c r="J199" s="79">
        <f t="shared" si="930"/>
        <v>6.1230000000000002</v>
      </c>
    </row>
    <row r="200" spans="5:10" x14ac:dyDescent="0.25">
      <c r="E200" s="170">
        <f t="shared" si="934"/>
        <v>0.88399805213560101</v>
      </c>
      <c r="F200" s="170">
        <f t="shared" si="934"/>
        <v>0.46699238942375515</v>
      </c>
      <c r="G200" s="170">
        <f t="shared" si="934"/>
        <v>-2.1576654994580641E-2</v>
      </c>
      <c r="H200" s="139"/>
      <c r="I200" s="86"/>
      <c r="J200" s="79">
        <f t="shared" si="930"/>
        <v>6.1289999999999996</v>
      </c>
    </row>
    <row r="201" spans="5:10" x14ac:dyDescent="0.25">
      <c r="E201" s="170">
        <f t="shared" si="934"/>
        <v>0.91089986227526398</v>
      </c>
      <c r="F201" s="170">
        <f t="shared" si="934"/>
        <v>0.4126274844298331</v>
      </c>
      <c r="G201" s="170">
        <f t="shared" si="934"/>
        <v>-1.1339743362124327E-7</v>
      </c>
      <c r="H201" s="139"/>
      <c r="I201" s="86"/>
      <c r="J201" s="79">
        <f t="shared" si="930"/>
        <v>6.1349999999999998</v>
      </c>
    </row>
    <row r="202" spans="5:10" x14ac:dyDescent="0.25">
      <c r="E202" s="170">
        <f t="shared" si="934"/>
        <v>0.87917006702270484</v>
      </c>
      <c r="F202" s="170">
        <f t="shared" si="934"/>
        <v>0.41645281636473941</v>
      </c>
      <c r="G202" s="170">
        <f t="shared" si="934"/>
        <v>-0.23157513897905688</v>
      </c>
      <c r="H202" s="139"/>
      <c r="I202" s="86"/>
      <c r="J202" s="79">
        <f t="shared" si="930"/>
        <v>6.2169999999999996</v>
      </c>
    </row>
    <row r="203" spans="5:10" x14ac:dyDescent="0.25">
      <c r="E203" s="170">
        <f t="shared" si="934"/>
        <v>0.94182427006571956</v>
      </c>
      <c r="F203" s="170">
        <f t="shared" si="934"/>
        <v>0.29220948502935784</v>
      </c>
      <c r="G203" s="170">
        <f t="shared" si="934"/>
        <v>-0.1660742640328482</v>
      </c>
      <c r="H203" s="139"/>
      <c r="I203" s="86"/>
      <c r="J203" s="79">
        <f t="shared" si="930"/>
        <v>6.2229999999999999</v>
      </c>
    </row>
    <row r="204" spans="5:10" x14ac:dyDescent="0.25">
      <c r="E204" s="170">
        <f t="shared" si="934"/>
        <v>0.98571462134103882</v>
      </c>
      <c r="F204" s="170">
        <f t="shared" si="934"/>
        <v>0.15959978775854555</v>
      </c>
      <c r="G204" s="170">
        <f t="shared" si="934"/>
        <v>-5.3801422118005725E-2</v>
      </c>
      <c r="H204" s="139"/>
      <c r="I204" s="86"/>
      <c r="J204" s="79">
        <f t="shared" si="930"/>
        <v>6.2290000000000001</v>
      </c>
    </row>
    <row r="205" spans="5:10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10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10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10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78680DD0-C984-49CB-84D6-E4D5632A6D67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F11635FE-A97E-465F-96F9-AB6A4F2806AD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>
      <selection activeCell="L2" sqref="L2:L4"/>
    </sheetView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8.5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1613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1.1120000000000001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1.1180000000000001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1.1240000000000001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1.1299999999999999</v>
      </c>
      <c r="N170" s="869">
        <f>Assy.Model!K15</f>
        <v>1613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1.218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1.224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2.109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2.1150000000000002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2.121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2.1269999999999998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2.133</v>
      </c>
      <c r="N177" s="869">
        <f>Assy.Model!K22</f>
        <v>1613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2.2149999999999999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2.2210000000000001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2.2269999999999999</v>
      </c>
      <c r="N180" s="869">
        <f>Assy.Model!K25</f>
        <v>1313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3.1030000000000002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3.1059999999999999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3.1160000000000001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3.1219999999999999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3.1280000000000001</v>
      </c>
      <c r="N186" s="869">
        <f>Assy.Model!K31</f>
        <v>1613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3.1339999999999999</v>
      </c>
      <c r="N187" s="869">
        <f>Assy.Model!K32</f>
        <v>1613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3.2160000000000002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3.222</v>
      </c>
      <c r="N189" s="869">
        <f>Assy.Model!K34</f>
        <v>1313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3.2280000000000002</v>
      </c>
      <c r="N190" s="869">
        <f>Assy.Model!K35</f>
        <v>1313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4.1130000000000004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4.1189999999999998</v>
      </c>
      <c r="N192" s="869">
        <f>Assy.Model!K37</f>
        <v>1613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4.125</v>
      </c>
      <c r="N193" s="869">
        <f>Assy.Model!K38</f>
        <v>1613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4.1310000000000002</v>
      </c>
      <c r="N194" s="869">
        <f>Assy.Model!K39</f>
        <v>1613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4.2190000000000003</v>
      </c>
      <c r="N195" s="869">
        <f>Assy.Model!K40</f>
        <v>1313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4.2249999999999996</v>
      </c>
      <c r="N196" s="869">
        <f>Assy.Model!K41</f>
        <v>1313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5.1020000000000003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5.1050000000000004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5.1079999999999997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5.1139999999999999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5.12</v>
      </c>
      <c r="N201" s="869">
        <f>Assy.Model!K46</f>
        <v>1613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5.1260000000000003</v>
      </c>
      <c r="N202" s="869">
        <f>Assy.Model!K47</f>
        <v>1613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5.1319999999999997</v>
      </c>
      <c r="N203" s="869">
        <f>Assy.Model!K48</f>
        <v>1613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5.2140000000000004</v>
      </c>
      <c r="N204" s="869">
        <f>Assy.Model!K49</f>
        <v>1313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5.22</v>
      </c>
      <c r="N205" s="869">
        <f>Assy.Model!K50</f>
        <v>1313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5.226</v>
      </c>
      <c r="N206" s="869">
        <f>Assy.Model!K51</f>
        <v>1313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6.1109999999999998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6.117</v>
      </c>
      <c r="N208" s="869">
        <f>Assy.Model!K53</f>
        <v>1613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6.1230000000000002</v>
      </c>
      <c r="N209" s="869">
        <f>Assy.Model!K54</f>
        <v>1613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6.1289999999999996</v>
      </c>
      <c r="N210" s="869">
        <f>Assy.Model!K55</f>
        <v>1613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>
        <f>Assy.Model!$M56</f>
        <v>6.1349999999999998</v>
      </c>
      <c r="N211" s="869">
        <f>Assy.Model!K56</f>
        <v>1613</v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>
        <f>Assy.Model!$M57</f>
        <v>6.2169999999999996</v>
      </c>
      <c r="N212" s="869">
        <f>Assy.Model!K57</f>
        <v>1313</v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>
        <f>Assy.Model!$M58</f>
        <v>6.2229999999999999</v>
      </c>
      <c r="N213" s="869">
        <f>Assy.Model!K58</f>
        <v>1313</v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>
        <f>Assy.Model!$M59</f>
        <v>6.2290000000000001</v>
      </c>
      <c r="N214" s="869">
        <f>Assy.Model!K59</f>
        <v>1313</v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2023-03-28T19:59:02Z</dcterms:modified>
</cp:coreProperties>
</file>