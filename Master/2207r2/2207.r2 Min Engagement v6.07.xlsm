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7\"/>
    </mc:Choice>
  </mc:AlternateContent>
  <xr:revisionPtr revIDLastSave="0" documentId="13_ncr:1_{235A27D2-59EA-4C79-8B3E-6C3D1180B37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IQ69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IQ68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Q70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76" i="1" l="1"/>
  <c r="IV7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68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0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69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83" i="1" l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0" i="1" s="1"/>
  <c r="W68" i="1"/>
  <c r="W65" i="1"/>
  <c r="W66" i="1"/>
  <c r="IL69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0" i="1" s="1"/>
  <c r="T67" i="1"/>
  <c r="T66" i="1"/>
  <c r="AK66" i="1"/>
  <c r="U66" i="1"/>
  <c r="AL66" i="1"/>
  <c r="AN66" i="1" s="1"/>
  <c r="IT69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IX70" i="1" s="1"/>
  <c r="IF70" i="1" s="1"/>
  <c r="AO67" i="1"/>
  <c r="IS70" i="1" s="1"/>
  <c r="AP67" i="1"/>
  <c r="AO68" i="1"/>
  <c r="IX68" i="1" s="1"/>
  <c r="IF68" i="1" s="1"/>
  <c r="AP68" i="1"/>
  <c r="AO65" i="1"/>
  <c r="AP65" i="1"/>
  <c r="AP66" i="1"/>
  <c r="AO66" i="1"/>
  <c r="IS69" i="1" s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X69" i="1"/>
  <c r="IF69" i="1" s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<sst xmlns="http://schemas.openxmlformats.org/spreadsheetml/2006/main" count="734" uniqueCount="391">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</sst>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38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1.114's θ about Z Axis</v>
      </c>
      <c r="U5" s="1136"/>
      <c r="V5" s="1137"/>
      <c r="W5" s="1136" t="str">
        <f>CONCATENATE("Relative to ",M8,"'s θ about Z Axis")</f>
        <v>Relative to 1.114's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1.114's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1.1140000000000001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-0.10080030401371681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-0.49520149352770448</v>
      </c>
      <c r="E9" s="705">
        <v>-0.93969263802333458</v>
      </c>
      <c r="F9" s="703">
        <v>-8.852130215629557E-2</v>
      </c>
      <c r="G9" s="706">
        <v>0.33036604714967333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-0.49520149352770448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-0.49520149352770448</v>
      </c>
      <c r="T9" s="627">
        <f>IF(M9="","",X9*COS(RADIANS(W9)))</f>
        <v>0.34325783195031834</v>
      </c>
      <c r="U9" s="624">
        <f>IF(M9="","",X9*SIN(RADIANS(W9)))</f>
        <v>5.4462563912880792E-3</v>
      </c>
      <c r="V9" s="628">
        <f>IF(M9="","",Y9)</f>
        <v>-0.49520149352770448</v>
      </c>
      <c r="W9" s="583">
        <f t="shared" ref="W9:W14" si="5">IF(M9="","",IF(Q9-$Q$8&lt;0,360+Q9-$Q$8,Q9-$Q$8))</f>
        <v>0.90899986875665206</v>
      </c>
      <c r="X9" s="629">
        <f>IF(M9="","",R9)</f>
        <v>0.34330103539592277</v>
      </c>
      <c r="Y9" s="630">
        <f>IF(M9="","",S9)</f>
        <v>-0.49520149352770448</v>
      </c>
      <c r="Z9" s="623">
        <f t="shared" ref="Z9:Z40" si="6">IF(M9="","",-E9)</f>
        <v>0.93969263802333458</v>
      </c>
      <c r="AA9" s="624">
        <f t="shared" ref="AA9:AA40" si="7">IF(M9="","",-F9)</f>
        <v>8.852130215629557E-2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8.852130215629557E-2</v>
      </c>
      <c r="AF9" s="625">
        <f>IF(M9="","",AB9*(1/SQRT(Z9^2+AA9^2+AB9^2)))</f>
        <v>-0.33036604714967333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8.852130215629557E-2</v>
      </c>
      <c r="AM9" s="626">
        <f>IF(M9="","",AF9)</f>
        <v>-0.33036604714967333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5.3815187622394784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0.90899986875665206</v>
      </c>
      <c r="AT9" s="71">
        <f t="shared" ref="AT9:AT40" si="10">IF(M9="","",Y9+(((AS9-$AS$9)*$AS$6)*-1))</f>
        <v>-0.49520149352770448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-1.6647198711391605E-16</v>
      </c>
      <c r="C10" s="708">
        <v>1.0693032250185268</v>
      </c>
      <c r="D10" s="709">
        <v>-0.30070090691393525</v>
      </c>
      <c r="E10" s="710">
        <v>-0.96592583607220739</v>
      </c>
      <c r="F10" s="708">
        <v>-6.6987279208207212E-2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-1.6647198711391605E-16</v>
      </c>
      <c r="O10" s="629">
        <f t="shared" si="3"/>
        <v>1.0693032250185268</v>
      </c>
      <c r="P10" s="633">
        <f t="shared" si="4"/>
        <v>-0.30070090691393525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1.0693032250185268</v>
      </c>
      <c r="S10" s="634">
        <f t="shared" ref="S10:S105" si="80">IF(M10="","",P10)</f>
        <v>-0.30070090691393525</v>
      </c>
      <c r="T10" s="635">
        <f t="shared" ref="T10:T105" si="81">IF(M10="","",X10*COS(RADIANS(W10)))</f>
        <v>1.0691686562903449</v>
      </c>
      <c r="U10" s="629">
        <f t="shared" ref="U10:U105" si="82">IF(M10="","",X10*SIN(RADIANS(W10)))</f>
        <v>1.6963827437239568E-2</v>
      </c>
      <c r="V10" s="636">
        <f>IF(M10="","",Y10)</f>
        <v>-0.30070090691393525</v>
      </c>
      <c r="W10" s="585">
        <f t="shared" si="5"/>
        <v>0.90899986875665206</v>
      </c>
      <c r="X10" s="629">
        <f t="shared" ref="X10:X105" si="83">IF(M10="","",R10)</f>
        <v>1.0693032250185268</v>
      </c>
      <c r="Y10" s="630">
        <f>IF(M10="","",S10)</f>
        <v>-0.30070090691393525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2.1309908135242601</v>
      </c>
      <c r="AS10" s="52">
        <f>IF($M10="","",IF(AND($W10&lt;($AS$9+180),$W10&gt;($AS$9-180)),$W10,IF($W10&gt;($AS$9+180),$W10-360,IF($W10&lt;($AS$9-180),$W10+360,"Error"))))</f>
        <v>0.90899986875665206</v>
      </c>
      <c r="AT10" s="72">
        <f t="shared" si="10"/>
        <v>-0.30070090691393525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-1.7500901209411685E-16</v>
      </c>
      <c r="C11" s="708">
        <v>1.7943054116251214</v>
      </c>
      <c r="D11" s="709">
        <v>-0.10650032120496872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-1.7500901209411685E-16</v>
      </c>
      <c r="O11" s="629">
        <f t="shared" si="3"/>
        <v>1.7943054116251214</v>
      </c>
      <c r="P11" s="633">
        <f t="shared" si="4"/>
        <v>-0.10650032120496872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1.7943054116251214</v>
      </c>
      <c r="S11" s="634">
        <f t="shared" si="80"/>
        <v>-0.10650032120496872</v>
      </c>
      <c r="T11" s="635">
        <f t="shared" si="81"/>
        <v>1.7940796034618587</v>
      </c>
      <c r="U11" s="629">
        <f t="shared" si="82"/>
        <v>2.846553406026274E-2</v>
      </c>
      <c r="V11" s="636">
        <f t="shared" ref="V11:V105" si="114">IF(M11="","",Y11)</f>
        <v>-0.10650032120496872</v>
      </c>
      <c r="W11" s="585">
        <f t="shared" si="5"/>
        <v>0.90899986875665206</v>
      </c>
      <c r="X11" s="629">
        <f>IF(M11="","",R11)</f>
        <v>1.7943054116251214</v>
      </c>
      <c r="Y11" s="630">
        <f>IF(M11="","",S11)</f>
        <v>-0.10650032120496872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1.2703261421812775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-0.10650032120496872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4.1525127014845842E-2</v>
      </c>
      <c r="C12" s="708">
        <v>2.6171784885812941</v>
      </c>
      <c r="D12" s="709">
        <v>-0.10080030401371681</v>
      </c>
      <c r="E12" s="710">
        <v>-0.96089198209416138</v>
      </c>
      <c r="F12" s="708">
        <v>0.14353494016811438</v>
      </c>
      <c r="G12" s="711">
        <v>0.23682128218994525</v>
      </c>
      <c r="H12" s="710">
        <v>0.314</v>
      </c>
      <c r="I12" s="708">
        <v>0.52</v>
      </c>
      <c r="J12" s="570">
        <v>1.1140000000000001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1.1140000000000001</v>
      </c>
      <c r="N12" s="632">
        <f t="shared" si="2"/>
        <v>4.1525127014845842E-2</v>
      </c>
      <c r="O12" s="629">
        <f t="shared" si="3"/>
        <v>2.6171784885812941</v>
      </c>
      <c r="P12" s="633">
        <f t="shared" si="4"/>
        <v>-0.10080030401371681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2.6175078944038099</v>
      </c>
      <c r="S12" s="634">
        <f t="shared" si="80"/>
        <v>-0.10080030401371681</v>
      </c>
      <c r="T12" s="635">
        <f>IF(M12="","",X12*COS(RADIANS(W12)))</f>
        <v>2.6175078944038099</v>
      </c>
      <c r="U12" s="629">
        <f t="shared" si="82"/>
        <v>0</v>
      </c>
      <c r="V12" s="636">
        <f t="shared" si="114"/>
        <v>-0.10080030401371681</v>
      </c>
      <c r="W12" s="585">
        <f>IF(M12="","",IF(Q12-$Q$8&lt;0,360+Q12-$Q$8,Q12-$Q$8))</f>
        <v>0</v>
      </c>
      <c r="X12" s="629">
        <f t="shared" si="83"/>
        <v>2.6175078944038099</v>
      </c>
      <c r="Y12" s="630">
        <f>IF(M12="","",S12)</f>
        <v>-0.10080030401371681</v>
      </c>
      <c r="Z12" s="632">
        <f t="shared" si="6"/>
        <v>0.96089198209416138</v>
      </c>
      <c r="AA12" s="629">
        <f t="shared" si="7"/>
        <v>-0.14353494016811438</v>
      </c>
      <c r="AB12" s="629">
        <f t="shared" si="8"/>
        <v>-0.23682128218994525</v>
      </c>
      <c r="AC12" s="636">
        <f t="shared" si="84"/>
        <v>1</v>
      </c>
      <c r="AD12" s="637">
        <f t="shared" si="115"/>
        <v>0.96089198209416138</v>
      </c>
      <c r="AE12" s="629">
        <f t="shared" si="85"/>
        <v>-0.14353494016811438</v>
      </c>
      <c r="AF12" s="633">
        <f t="shared" si="86"/>
        <v>-0.23682128218994525</v>
      </c>
      <c r="AG12" s="602">
        <f t="shared" si="87"/>
        <v>-31.219621953661765</v>
      </c>
      <c r="AH12" s="603">
        <f t="shared" si="88"/>
        <v>16.07667224820802</v>
      </c>
      <c r="AI12" s="585">
        <f t="shared" si="89"/>
        <v>-76.300994521880838</v>
      </c>
      <c r="AJ12" s="586">
        <f t="shared" si="90"/>
        <v>81.504160292520567</v>
      </c>
      <c r="AK12" s="635">
        <f t="shared" ref="AK12:AK105" si="211">IF(M12="","",(COS(RADIANS((90-$Q$8)-W12))*AD12)+(-SIN(RADIANS((90-$Q$8)-W12))*AE12))</f>
        <v>0.96304814873644939</v>
      </c>
      <c r="AL12" s="629">
        <f>IF(M12="","",(SIN(RADIANS((90-$Q$8)-W12))*AD12)+(COS(RADIANS((90-$Q$8)-W12))*AE12))</f>
        <v>-0.12827292589322264</v>
      </c>
      <c r="AM12" s="634">
        <f t="shared" si="92"/>
        <v>-0.23682128218994525</v>
      </c>
      <c r="AN12" s="581">
        <f>IF(M12="","",DEGREES(ATAN2(-AM12,AL12)))</f>
        <v>-28.441943095020726</v>
      </c>
      <c r="AO12" s="582">
        <f t="shared" si="94"/>
        <v>15.624359248728808</v>
      </c>
      <c r="AP12" s="585">
        <f t="shared" si="95"/>
        <v>-7.5868398387227778</v>
      </c>
      <c r="AQ12" s="586">
        <f t="shared" si="9"/>
        <v>0.87088603198982351</v>
      </c>
      <c r="AS12" s="52">
        <f t="shared" si="116"/>
        <v>0</v>
      </c>
      <c r="AT12" s="72">
        <f>IF(M12="","",Y12+(((AS12-$AS$9)*$AS$6)*-1))</f>
        <v>-0.10016905410485803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1.1140000000000001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0.109163882170774</v>
      </c>
      <c r="C13" s="708">
        <v>3.283095543207676</v>
      </c>
      <c r="D13" s="709">
        <v>-0.5247015824999729</v>
      </c>
      <c r="E13" s="710">
        <v>-0.93948851336091665</v>
      </c>
      <c r="F13" s="708">
        <v>0.29625628196016235</v>
      </c>
      <c r="G13" s="711">
        <v>0.1720277554990351</v>
      </c>
      <c r="H13" s="710">
        <v>0.314</v>
      </c>
      <c r="I13" s="708">
        <v>0.52</v>
      </c>
      <c r="J13" s="570">
        <v>1.121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160</v>
      </c>
      <c r="M13" s="168">
        <f t="shared" si="1"/>
        <v>1.121</v>
      </c>
      <c r="N13" s="632">
        <f t="shared" si="2"/>
        <v>0.109163882170774</v>
      </c>
      <c r="O13" s="629">
        <f t="shared" si="3"/>
        <v>3.283095543207676</v>
      </c>
      <c r="P13" s="633">
        <f t="shared" si="4"/>
        <v>-0.5247015824999729</v>
      </c>
      <c r="Q13" s="585">
        <f t="shared" si="113"/>
        <v>88.095600274961299</v>
      </c>
      <c r="R13" s="629">
        <f t="shared" si="79"/>
        <v>3.2849099072882808</v>
      </c>
      <c r="S13" s="634">
        <f t="shared" si="80"/>
        <v>-0.5247015824999729</v>
      </c>
      <c r="T13" s="635">
        <f>IF(M13="","",X13*COS(RADIANS(W13)))</f>
        <v>3.2844141918704546</v>
      </c>
      <c r="U13" s="629">
        <f t="shared" si="82"/>
        <v>-5.7065885086021985E-2</v>
      </c>
      <c r="V13" s="636">
        <f t="shared" si="114"/>
        <v>-0.5247015824999729</v>
      </c>
      <c r="W13" s="585">
        <f t="shared" si="5"/>
        <v>359.00460014371794</v>
      </c>
      <c r="X13" s="629">
        <f t="shared" si="83"/>
        <v>3.2849099072882808</v>
      </c>
      <c r="Y13" s="630">
        <f>IF(M13="","",S13)</f>
        <v>-0.5247015824999729</v>
      </c>
      <c r="Z13" s="632">
        <f t="shared" si="6"/>
        <v>0.93948851336091665</v>
      </c>
      <c r="AA13" s="629">
        <f t="shared" si="7"/>
        <v>-0.29625628196016235</v>
      </c>
      <c r="AB13" s="629">
        <f t="shared" si="8"/>
        <v>-0.1720277554990351</v>
      </c>
      <c r="AC13" s="636">
        <f t="shared" si="84"/>
        <v>1</v>
      </c>
      <c r="AD13" s="637">
        <f>IF(M13="","",Z13*(1/SQRT(Z13^2+AA13^2+AB13^2)))</f>
        <v>0.93948851336091665</v>
      </c>
      <c r="AE13" s="629">
        <f t="shared" si="85"/>
        <v>-0.29625628196016235</v>
      </c>
      <c r="AF13" s="633">
        <f t="shared" si="86"/>
        <v>-0.1720277554990351</v>
      </c>
      <c r="AG13" s="602">
        <f>IF(M13="","",DEGREES(ATAN2(-AF13,AE13)))</f>
        <v>-59.857460431431974</v>
      </c>
      <c r="AH13" s="603">
        <f t="shared" si="88"/>
        <v>20.034164429803752</v>
      </c>
      <c r="AI13" s="585">
        <f t="shared" si="89"/>
        <v>-80.094261979893844</v>
      </c>
      <c r="AJ13" s="586">
        <f t="shared" si="90"/>
        <v>72.497964687316539</v>
      </c>
      <c r="AK13" s="635">
        <f t="shared" si="211"/>
        <v>0.94881476963829481</v>
      </c>
      <c r="AL13" s="629">
        <f t="shared" si="91"/>
        <v>-0.26487163731550051</v>
      </c>
      <c r="AM13" s="634">
        <f t="shared" si="92"/>
        <v>-0.1720277554990351</v>
      </c>
      <c r="AN13" s="581">
        <f t="shared" si="93"/>
        <v>-56.997245726506648</v>
      </c>
      <c r="AO13" s="582">
        <f t="shared" si="94"/>
        <v>18.411113247366316</v>
      </c>
      <c r="AP13" s="585">
        <f t="shared" si="95"/>
        <v>-15.597635587644715</v>
      </c>
      <c r="AQ13" s="586">
        <f t="shared" si="9"/>
        <v>0.69396580617805226</v>
      </c>
      <c r="AS13" s="52">
        <f t="shared" si="116"/>
        <v>-0.99539985628206296</v>
      </c>
      <c r="AT13" s="72">
        <f t="shared" si="10"/>
        <v>-0.52337908269091826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1.121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0.1558823492033333</v>
      </c>
      <c r="C14" s="708">
        <v>3.6207569275582907</v>
      </c>
      <c r="D14" s="709">
        <v>-1.2188036759118865</v>
      </c>
      <c r="E14" s="710">
        <v>-0.87691222519662104</v>
      </c>
      <c r="F14" s="708">
        <v>0.4666214331930808</v>
      </c>
      <c r="G14" s="711">
        <v>0.11527960524544595</v>
      </c>
      <c r="H14" s="710">
        <v>0.314</v>
      </c>
      <c r="I14" s="708">
        <v>0.52</v>
      </c>
      <c r="J14" s="570">
        <v>1.1279999999999999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1.1279999999999999</v>
      </c>
      <c r="N14" s="632">
        <f t="shared" si="2"/>
        <v>0.1558823492033333</v>
      </c>
      <c r="O14" s="629">
        <f t="shared" si="3"/>
        <v>3.6207569275582907</v>
      </c>
      <c r="P14" s="633">
        <f t="shared" si="4"/>
        <v>-1.2188036759118865</v>
      </c>
      <c r="Q14" s="585">
        <f t="shared" si="113"/>
        <v>87.534800355930798</v>
      </c>
      <c r="R14" s="629">
        <f t="shared" si="79"/>
        <v>3.6241109303185661</v>
      </c>
      <c r="S14" s="634">
        <f t="shared" si="80"/>
        <v>-1.2188036759118865</v>
      </c>
      <c r="T14" s="635">
        <f t="shared" si="81"/>
        <v>3.6227742417935134</v>
      </c>
      <c r="U14" s="629">
        <f t="shared" si="82"/>
        <v>-9.8421685882409293E-2</v>
      </c>
      <c r="V14" s="636">
        <f t="shared" si="114"/>
        <v>-1.2188036759118865</v>
      </c>
      <c r="W14" s="585">
        <f t="shared" si="5"/>
        <v>358.44380022468744</v>
      </c>
      <c r="X14" s="629">
        <f t="shared" si="83"/>
        <v>3.6241109303185661</v>
      </c>
      <c r="Y14" s="630">
        <f t="shared" ref="Y14:Y75" si="223">IF(M14="","",S14)</f>
        <v>-1.2188036759118865</v>
      </c>
      <c r="Z14" s="632">
        <f t="shared" si="6"/>
        <v>0.87691222519662104</v>
      </c>
      <c r="AA14" s="629">
        <f t="shared" si="7"/>
        <v>-0.4666214331930808</v>
      </c>
      <c r="AB14" s="629">
        <f t="shared" si="8"/>
        <v>-0.11527960524544595</v>
      </c>
      <c r="AC14" s="636">
        <f t="shared" si="84"/>
        <v>1</v>
      </c>
      <c r="AD14" s="637">
        <f>IF(M14="","",Z14*(1/SQRT(Z14^2+AA14^2+AB14^2)))</f>
        <v>0.87691222519662104</v>
      </c>
      <c r="AE14" s="629">
        <f t="shared" si="85"/>
        <v>-0.4666214331930808</v>
      </c>
      <c r="AF14" s="633">
        <f t="shared" si="86"/>
        <v>-0.11527960524544595</v>
      </c>
      <c r="AG14" s="602">
        <f t="shared" si="87"/>
        <v>-76.122856380008812</v>
      </c>
      <c r="AH14" s="603">
        <f t="shared" si="88"/>
        <v>28.727898951018702</v>
      </c>
      <c r="AI14" s="585">
        <f t="shared" si="89"/>
        <v>-83.380247491774099</v>
      </c>
      <c r="AJ14" s="586">
        <f t="shared" si="90"/>
        <v>61.98172004050015</v>
      </c>
      <c r="AK14" s="635">
        <f>IF(M14="","",(COS(RADIANS((90-$Q$8)-W14))*AD14)+(-SIN(RADIANS((90-$Q$8)-W14))*AE14))</f>
        <v>0.89617126017455984</v>
      </c>
      <c r="AL14" s="629">
        <f t="shared" si="91"/>
        <v>-0.42847133515743574</v>
      </c>
      <c r="AM14" s="634">
        <f t="shared" si="92"/>
        <v>-0.11527960524544595</v>
      </c>
      <c r="AN14" s="581">
        <f t="shared" si="93"/>
        <v>-74.941245330664401</v>
      </c>
      <c r="AO14" s="582">
        <f t="shared" si="94"/>
        <v>26.340726971777592</v>
      </c>
      <c r="AP14" s="585">
        <f>IF(M14="","",DEGREES(ATAN2(AK14,AL14)))</f>
        <v>-25.553080315430627</v>
      </c>
      <c r="AQ14" s="586">
        <f t="shared" si="9"/>
        <v>0.62901911280228429</v>
      </c>
      <c r="AS14" s="52">
        <f t="shared" si="116"/>
        <v>-1.5561997753125638</v>
      </c>
      <c r="AT14" s="72">
        <f t="shared" si="10"/>
        <v>-1.2170917317146162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1.1279999999999999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0.19379481237199697</v>
      </c>
      <c r="C15" s="708">
        <v>3.6978253042427114</v>
      </c>
      <c r="D15" s="709">
        <v>-2.0125000000000002</v>
      </c>
      <c r="E15" s="710">
        <v>-0.78801080790683986</v>
      </c>
      <c r="F15" s="708">
        <v>0.61566140582465689</v>
      </c>
      <c r="G15" s="711">
        <v>1.3008419220637057E-7</v>
      </c>
      <c r="H15" s="710">
        <v>0.314</v>
      </c>
      <c r="I15" s="708">
        <v>0.52</v>
      </c>
      <c r="J15" s="570">
        <v>1.135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170</v>
      </c>
      <c r="M15" s="168">
        <f t="shared" si="1"/>
        <v>1.135</v>
      </c>
      <c r="N15" s="632">
        <f t="shared" si="2"/>
        <v>0.19379481237199697</v>
      </c>
      <c r="O15" s="629">
        <f t="shared" si="3"/>
        <v>3.6978253042427114</v>
      </c>
      <c r="P15" s="633">
        <f t="shared" si="4"/>
        <v>-2.0125000000000002</v>
      </c>
      <c r="Q15" s="585">
        <f t="shared" si="113"/>
        <v>87</v>
      </c>
      <c r="R15" s="629">
        <f t="shared" si="79"/>
        <v>3.7028999999999996</v>
      </c>
      <c r="S15" s="634">
        <f t="shared" si="80"/>
        <v>-2.0125000000000002</v>
      </c>
      <c r="T15" s="635">
        <f t="shared" si="81"/>
        <v>3.7004343771808683</v>
      </c>
      <c r="U15" s="629">
        <f t="shared" si="82"/>
        <v>-0.13510673624225972</v>
      </c>
      <c r="V15" s="636">
        <f t="shared" si="114"/>
        <v>-2.0125000000000002</v>
      </c>
      <c r="W15" s="585">
        <f t="shared" ref="W15:W78" si="224">IF(M15="","",IF(Q15-$Q$8&lt;0,360+Q15-$Q$8,Q15-$Q$8))</f>
        <v>357.90899986875667</v>
      </c>
      <c r="X15" s="629">
        <f>IF(M15="","",R15)</f>
        <v>3.7028999999999996</v>
      </c>
      <c r="Y15" s="630">
        <f>IF(M15="","",S15)</f>
        <v>-2.0125000000000002</v>
      </c>
      <c r="Z15" s="632">
        <f t="shared" si="6"/>
        <v>0.78801080790683986</v>
      </c>
      <c r="AA15" s="629">
        <f t="shared" si="7"/>
        <v>-0.61566140582465689</v>
      </c>
      <c r="AB15" s="629">
        <f t="shared" si="8"/>
        <v>-1.3008419220637057E-7</v>
      </c>
      <c r="AC15" s="636">
        <f t="shared" si="84"/>
        <v>1</v>
      </c>
      <c r="AD15" s="637">
        <f t="shared" si="115"/>
        <v>0.78801080790683986</v>
      </c>
      <c r="AE15" s="629">
        <f t="shared" si="85"/>
        <v>-0.61566140582465689</v>
      </c>
      <c r="AF15" s="633">
        <f t="shared" si="86"/>
        <v>-1.3008419220637057E-7</v>
      </c>
      <c r="AG15" s="602">
        <f t="shared" si="87"/>
        <v>-89.999987893872955</v>
      </c>
      <c r="AH15" s="603">
        <f t="shared" si="88"/>
        <v>37.99999494662589</v>
      </c>
      <c r="AI15" s="585">
        <f t="shared" si="89"/>
        <v>-89.999992546724798</v>
      </c>
      <c r="AJ15" s="586">
        <f t="shared" si="90"/>
        <v>52.000005053374721</v>
      </c>
      <c r="AK15" s="635">
        <f t="shared" si="211"/>
        <v>0.81915209487729224</v>
      </c>
      <c r="AL15" s="629">
        <f t="shared" si="91"/>
        <v>-0.57357636410344437</v>
      </c>
      <c r="AM15" s="634">
        <f t="shared" si="92"/>
        <v>-1.3008419220637057E-7</v>
      </c>
      <c r="AN15" s="581">
        <f>IF(M15="","",DEGREES(ATAN2(-AM15,AL15)))</f>
        <v>-89.999987005609611</v>
      </c>
      <c r="AO15" s="582">
        <f t="shared" si="94"/>
        <v>34.999994946625925</v>
      </c>
      <c r="AP15" s="585">
        <f t="shared" si="95"/>
        <v>-34.999994946625243</v>
      </c>
      <c r="AQ15" s="586">
        <f t="shared" si="9"/>
        <v>0.61563609548996967</v>
      </c>
      <c r="AS15" s="52">
        <f t="shared" si="116"/>
        <v>-2.0910001312433337</v>
      </c>
      <c r="AT15" s="72">
        <f t="shared" si="10"/>
        <v>-2.010416666666667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1.135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0.94258438728402716</v>
      </c>
      <c r="C16" s="708">
        <v>2.4555162798647263</v>
      </c>
      <c r="D16" s="709">
        <v>-5.8969808029307368E-2</v>
      </c>
      <c r="E16" s="710">
        <v>-0.78565336189541879</v>
      </c>
      <c r="F16" s="708">
        <v>0.47475545718627421</v>
      </c>
      <c r="G16" s="711">
        <v>0.3966812962748279</v>
      </c>
      <c r="H16" s="710">
        <v>0.26600000000000001</v>
      </c>
      <c r="I16" s="708">
        <v>0.52</v>
      </c>
      <c r="J16" s="570">
        <v>1.214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1.214</v>
      </c>
      <c r="N16" s="632">
        <f t="shared" si="2"/>
        <v>0.94258438728402716</v>
      </c>
      <c r="O16" s="629">
        <f t="shared" si="3"/>
        <v>2.4555162798647263</v>
      </c>
      <c r="P16" s="633">
        <f t="shared" si="4"/>
        <v>-5.8969808029307368E-2</v>
      </c>
      <c r="Q16" s="585">
        <f>IF(M16="","",IF(DEGREES(ATAN2(N16,O16))&lt;0,DEGREES(ATAN2(N16,O16))+360,IF(DEGREES(ATAN2(N16,O16))&gt;360,DEGREES(ATAN2(N16,O16))-360,DEGREES(ATAN2(N16,O16)))))</f>
        <v>69</v>
      </c>
      <c r="R16" s="629">
        <f t="shared" si="79"/>
        <v>2.6302139699713232</v>
      </c>
      <c r="S16" s="634">
        <f t="shared" si="80"/>
        <v>-5.8969808029307368E-2</v>
      </c>
      <c r="T16" s="635">
        <f t="shared" si="81"/>
        <v>2.4701607724854604</v>
      </c>
      <c r="U16" s="629">
        <f t="shared" si="82"/>
        <v>-0.90351053447446994</v>
      </c>
      <c r="V16" s="636">
        <f t="shared" si="114"/>
        <v>-5.8969808029307368E-2</v>
      </c>
      <c r="W16" s="585">
        <f>IF(M16="","",IF(Q16-$Q$8&lt;0,360+Q16-$Q$8,Q16-$Q$8))</f>
        <v>339.90899986875667</v>
      </c>
      <c r="X16" s="629">
        <f t="shared" si="83"/>
        <v>2.6302139699713232</v>
      </c>
      <c r="Y16" s="630">
        <f t="shared" si="223"/>
        <v>-5.8969808029307368E-2</v>
      </c>
      <c r="Z16" s="632">
        <f t="shared" si="6"/>
        <v>0.78565336189541879</v>
      </c>
      <c r="AA16" s="629">
        <f t="shared" si="7"/>
        <v>-0.47475545718627421</v>
      </c>
      <c r="AB16" s="629">
        <f t="shared" si="8"/>
        <v>-0.3966812962748279</v>
      </c>
      <c r="AC16" s="636">
        <f t="shared" si="84"/>
        <v>1</v>
      </c>
      <c r="AD16" s="637">
        <f t="shared" si="115"/>
        <v>0.78565336189541879</v>
      </c>
      <c r="AE16" s="629">
        <f t="shared" si="85"/>
        <v>-0.47475545718627421</v>
      </c>
      <c r="AF16" s="633">
        <f t="shared" si="86"/>
        <v>-0.3966812962748279</v>
      </c>
      <c r="AG16" s="602">
        <f t="shared" si="87"/>
        <v>-50.119600910173581</v>
      </c>
      <c r="AH16" s="603">
        <f t="shared" si="88"/>
        <v>38.218853311208697</v>
      </c>
      <c r="AI16" s="585">
        <f t="shared" si="89"/>
        <v>-66.629126465598176</v>
      </c>
      <c r="AJ16" s="586">
        <f t="shared" si="90"/>
        <v>58.856225634485014</v>
      </c>
      <c r="AK16" s="635">
        <f t="shared" si="211"/>
        <v>0.90360774040457226</v>
      </c>
      <c r="AL16" s="629">
        <f t="shared" si="91"/>
        <v>-0.16166941784600242</v>
      </c>
      <c r="AM16" s="634">
        <f t="shared" si="92"/>
        <v>-0.3966812962748279</v>
      </c>
      <c r="AN16" s="581">
        <f t="shared" si="93"/>
        <v>-22.173594632112998</v>
      </c>
      <c r="AO16" s="582">
        <f t="shared" si="94"/>
        <v>25.363582955444368</v>
      </c>
      <c r="AP16" s="585">
        <f t="shared" si="95"/>
        <v>-10.143774365514956</v>
      </c>
      <c r="AQ16" s="586">
        <f t="shared" si="9"/>
        <v>0.86667958646287768</v>
      </c>
      <c r="AS16" s="52">
        <f t="shared" si="116"/>
        <v>-20.091000131243334</v>
      </c>
      <c r="AT16" s="72">
        <f t="shared" si="10"/>
        <v>-4.4386474695974044E-2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1.214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1.1140000000000001</v>
      </c>
      <c r="II16" s="734" cm="1">
        <f t="array" ref="II16">IFERROR(ROUND(VALUE(IF($IH16&lt;1,$IH16+LARGE((IF($M$9:$M$150="",0,$M$9:$M$150)-MOD(IF($M$9:$M$150="",0,$M$9:$M$150),1)),1),$IH16)),4),"")</f>
        <v>1.1140000000000001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20.091000131243334</v>
      </c>
      <c r="IM16" s="759">
        <v>1.8561641463343201E-2</v>
      </c>
      <c r="IN16" s="5">
        <f>IF(ISNUMBER($II16),(($IO16*12)/60)/$AS$3,"")</f>
        <v>0.32</v>
      </c>
      <c r="IO16" s="771">
        <v>160</v>
      </c>
      <c r="IP16" s="9">
        <f>IF(ISNUMBER($II16),(INDEX($X$9:$X$150,MATCH($II16,$M$9:$M$150,0))*-1),"")</f>
        <v>-2.6175078944038099</v>
      </c>
      <c r="IQ16" s="5">
        <f>IF(ISNUMBER($II16),INDEX($Y$9:$Y$150,MATCH($II16,$M$9:$M$150,0)),"")</f>
        <v>-0.10080030401371681</v>
      </c>
      <c r="IR16" s="5">
        <f t="shared" si="71"/>
        <v>0.314</v>
      </c>
      <c r="IS16" s="5">
        <f>IF(ISNUMBER($II16),$IR16*COS(RADIANS(INDEX($AO$9:$AO$150,MATCH($II16,$M$9:$M$150,0)))),"")</f>
        <v>0.30239711870324509</v>
      </c>
      <c r="IT16" s="727">
        <f>IF(ISNUMBER($II16),(-1*INDEX($AN$9:$AN$150,MATCH($II16,$M$9:$M$150,0))),"")</f>
        <v>28.441943095020726</v>
      </c>
      <c r="IU16" s="9">
        <f>IF(ISNUMBER($II16),-$X16,"")</f>
        <v>-2.6302139699713232</v>
      </c>
      <c r="IV16" s="5">
        <f>IF(ISNUMBER($II16),$Y16,"")</f>
        <v>-5.8969808029307368E-2</v>
      </c>
      <c r="IW16" s="5">
        <f t="shared" si="76"/>
        <v>0.26600000000000001</v>
      </c>
      <c r="IX16" s="5">
        <f>IF(ISNUMBER($II16),$IW16*COS(RADIANS($AO16)),"")</f>
        <v>0.24035965894761624</v>
      </c>
      <c r="IY16" s="762">
        <f>IF(ISNUMBER($II16),(-1*$AN16),"")</f>
        <v>22.173594632112998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1.0259244615240883</v>
      </c>
      <c r="C17" s="708">
        <v>3.1574713129377976</v>
      </c>
      <c r="D17" s="709">
        <v>-0.49002759940085505</v>
      </c>
      <c r="E17" s="710">
        <v>-0.73141724041092682</v>
      </c>
      <c r="F17" s="708">
        <v>0.6097039117797457</v>
      </c>
      <c r="G17" s="711">
        <v>0.30543405244036054</v>
      </c>
      <c r="H17" s="710">
        <v>0.26600000000000001</v>
      </c>
      <c r="I17" s="708">
        <v>0.52</v>
      </c>
      <c r="J17" s="570">
        <v>1.2210000000000001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1.2210000000000001</v>
      </c>
      <c r="N17" s="632">
        <f t="shared" si="2"/>
        <v>1.0259244615240883</v>
      </c>
      <c r="O17" s="629">
        <f t="shared" si="3"/>
        <v>3.1574713129377976</v>
      </c>
      <c r="P17" s="633">
        <f t="shared" si="4"/>
        <v>-0.49002759940085505</v>
      </c>
      <c r="Q17" s="585">
        <f>IF(M17="","",IF(DEGREES(ATAN2(N17,O17))&lt;0,DEGREES(ATAN2(N17,O17))+360,IF(DEGREES(ATAN2(N17,O17))&gt;360,DEGREES(ATAN2(N17,O17))-360,DEGREES(ATAN2(N17,O17)))))</f>
        <v>72.000002598878069</v>
      </c>
      <c r="R17" s="629">
        <f>IF(M17="","",SQRT(N17^2+O17^2))</f>
        <v>3.3199617607404202</v>
      </c>
      <c r="S17" s="634">
        <f>IF(M17="","",P17)</f>
        <v>-0.49002759940085505</v>
      </c>
      <c r="T17" s="635">
        <f>IF(M17="","",X17*COS(RADIANS(W17)))</f>
        <v>3.1733496047383212</v>
      </c>
      <c r="U17" s="629">
        <f>IF(M17="","",X17*SIN(RADIANS(W17)))</f>
        <v>-0.97570404267163569</v>
      </c>
      <c r="V17" s="636">
        <f>IF(M17="","",Y17)</f>
        <v>-0.49002759940085505</v>
      </c>
      <c r="W17" s="585">
        <f t="shared" si="224"/>
        <v>342.90900246763471</v>
      </c>
      <c r="X17" s="629">
        <f>IF(M17="","",R17)</f>
        <v>3.3199617607404202</v>
      </c>
      <c r="Y17" s="630">
        <f t="shared" si="223"/>
        <v>-0.49002759940085505</v>
      </c>
      <c r="Z17" s="632">
        <f t="shared" si="6"/>
        <v>0.73141724041092682</v>
      </c>
      <c r="AA17" s="629">
        <f t="shared" si="7"/>
        <v>-0.6097039117797457</v>
      </c>
      <c r="AB17" s="629">
        <f t="shared" si="8"/>
        <v>-0.30543405244036054</v>
      </c>
      <c r="AC17" s="636">
        <f>IF(M17="","",SQRT(Z17^2+AA17^2+AB17^2))</f>
        <v>1</v>
      </c>
      <c r="AD17" s="637">
        <f>IF(M17="","",Z17*(1/SQRT(Z17^2+AA17^2+AB17^2)))</f>
        <v>0.73141724041092682</v>
      </c>
      <c r="AE17" s="629">
        <f>IF(M17="","",AA17*(1/SQRT(Z17^2+AA17^2+AB17^2)))</f>
        <v>-0.6097039117797457</v>
      </c>
      <c r="AF17" s="633">
        <f>IF(M17="","",AB17*(1/SQRT(Z17^2+AA17^2+AB17^2)))</f>
        <v>-0.30543405244036054</v>
      </c>
      <c r="AG17" s="602">
        <f>IF(M17="","",DEGREES(ATAN2(-AF17,AE17)))</f>
        <v>-63.391204393212043</v>
      </c>
      <c r="AH17" s="603">
        <f>IF(M17="","",DEGREES(ACOS(AD17)))</f>
        <v>42.994661737187087</v>
      </c>
      <c r="AI17" s="585">
        <f>IF(M17="","",DEGREES(-ACOS(-AF17)))</f>
        <v>-72.215720560628469</v>
      </c>
      <c r="AJ17" s="586">
        <f>IF(M17="","",DEGREES(ATAN2(-AE17,AD17)))</f>
        <v>50.185667244391986</v>
      </c>
      <c r="AK17" s="635">
        <f>IF(M17="","",(COS(RADIANS((90-$Q$8)-W17))*AD17)+(-SIN(RADIANS((90-$Q$8)-W17))*AE17))</f>
        <v>0.88402798685031969</v>
      </c>
      <c r="AL17" s="629">
        <f>IF(M17="","",(SIN(RADIANS((90-$Q$8)-W17))*AD17)+(COS(RADIANS((90-$Q$8)-W17))*AE17))</f>
        <v>-0.35384256114157653</v>
      </c>
      <c r="AM17" s="634">
        <f>IF(M17="","",AF17)</f>
        <v>-0.30543405244036054</v>
      </c>
      <c r="AN17" s="581">
        <f>IF(M17="","",DEGREES(ATAN2(-AM17,AL17)))</f>
        <v>-49.199503876368432</v>
      </c>
      <c r="AO17" s="582">
        <f t="shared" si="94"/>
        <v>27.867858634277702</v>
      </c>
      <c r="AP17" s="585">
        <f>IF(M17="","",DEGREES(ATAN2(AK17,AL17)))</f>
        <v>-21.814335354486051</v>
      </c>
      <c r="AQ17" s="586">
        <f t="shared" si="9"/>
        <v>0.68663968373130879</v>
      </c>
      <c r="AS17" s="52">
        <f t="shared" si="116"/>
        <v>-17.090997532365293</v>
      </c>
      <c r="AT17" s="72">
        <f t="shared" si="10"/>
        <v>-0.47752760120563148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1.2210000000000001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1.121</v>
      </c>
      <c r="II17" s="734" cm="1">
        <f t="array" ref="II17">IFERROR(ROUND(VALUE(IF($IH17&lt;1,$IH17+LARGE((IF($M$9:$M$150="",0,$M$9:$M$150)-MOD(IF($M$9:$M$150="",0,$M$9:$M$150),1)),1),$IH17)),4),"")</f>
        <v>1.121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16.09559767608323</v>
      </c>
      <c r="IM17" s="759">
        <v>1.3851815589003299E-2</v>
      </c>
      <c r="IN17" s="5">
        <f t="shared" ref="IN17:IN80" si="226">IF(ISNUMBER($II17),(($IO17*12)/60)/$AS$3,"")</f>
        <v>0.36</v>
      </c>
      <c r="IO17" s="771">
        <v>180</v>
      </c>
      <c r="IP17" s="9">
        <f t="shared" ref="IP17:IP80" si="227">IF(ISNUMBER($II17),(INDEX($X$9:$X$150,MATCH($II17,$M$9:$M$150,0))*-1),"")</f>
        <v>-3.2849099072882808</v>
      </c>
      <c r="IQ17" s="5">
        <f t="shared" ref="IQ17:IQ80" si="228">IF(ISNUMBER($II17),INDEX($Y$9:$Y$150,MATCH($II17,$M$9:$M$150,0)),"")</f>
        <v>-0.5247015824999729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0.29792783766642456</v>
      </c>
      <c r="IT17" s="727">
        <f t="shared" ref="IT17:IT80" si="230">IF(ISNUMBER($II17),(-1*INDEX($AN$9:$AN$150,MATCH($II17,$M$9:$M$150,0))),"")</f>
        <v>56.997245726506648</v>
      </c>
      <c r="IU17" s="9">
        <f t="shared" ref="IU17:IU80" si="231">IF(ISNUMBER($II17),-$X17,"")</f>
        <v>-3.3199617607404202</v>
      </c>
      <c r="IV17" s="5">
        <f t="shared" ref="IV17:IV80" si="232">IF(ISNUMBER($II17),$Y17,"")</f>
        <v>-0.49002759940085505</v>
      </c>
      <c r="IW17" s="5">
        <f t="shared" si="76"/>
        <v>0.26600000000000001</v>
      </c>
      <c r="IX17" s="5">
        <f t="shared" ref="IX17:IX80" si="233">IF(ISNUMBER($II17),$IW17*COS(RADIANS($AO17)),"")</f>
        <v>0.23515144450218509</v>
      </c>
      <c r="IY17" s="762">
        <f t="shared" ref="IY17:IY80" si="234">IF(ISNUMBER($II17),(-1*$AN17),"")</f>
        <v>49.199503876368432</v>
      </c>
    </row>
    <row r="18" spans="1:269" ht="15" customHeight="1" x14ac:dyDescent="0.25">
      <c r="A18" s="79"/>
      <c r="B18" s="707">
        <v>1.1265733913713971</v>
      </c>
      <c r="C18" s="708">
        <v>3.4672369151719593</v>
      </c>
      <c r="D18" s="709">
        <v>-1.246137464421869</v>
      </c>
      <c r="E18" s="710">
        <v>0.25405620482684121</v>
      </c>
      <c r="F18" s="708">
        <v>0.7819054537146839</v>
      </c>
      <c r="G18" s="711">
        <v>0.56927963799895076</v>
      </c>
      <c r="H18" s="710">
        <v>0.25700000000000001</v>
      </c>
      <c r="I18" s="708">
        <v>0.41499999999999992</v>
      </c>
      <c r="J18" s="570">
        <v>1.228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1.228</v>
      </c>
      <c r="N18" s="632">
        <f t="shared" si="2"/>
        <v>1.1265733913713971</v>
      </c>
      <c r="O18" s="629">
        <f t="shared" si="3"/>
        <v>3.4672369151719593</v>
      </c>
      <c r="P18" s="633">
        <f t="shared" si="4"/>
        <v>-1.246137464421869</v>
      </c>
      <c r="Q18" s="585">
        <f t="shared" si="113"/>
        <v>72.000002598878069</v>
      </c>
      <c r="R18" s="629">
        <f>IF(M18="","",SQRT(N18^2+O18^2))</f>
        <v>3.6456685850577828</v>
      </c>
      <c r="S18" s="634">
        <f>IF(M18="","",P18)</f>
        <v>-1.246137464421869</v>
      </c>
      <c r="T18" s="635">
        <f>IF(M18="","",X18*COS(RADIANS(W18)))</f>
        <v>3.4846729562390824</v>
      </c>
      <c r="U18" s="629">
        <f>IF(M18="","",X18*SIN(RADIANS(W18)))</f>
        <v>-1.0714260684401844</v>
      </c>
      <c r="V18" s="636">
        <f>IF(M18="","",Y18)</f>
        <v>-1.246137464421869</v>
      </c>
      <c r="W18" s="585">
        <f t="shared" si="224"/>
        <v>342.90900246763471</v>
      </c>
      <c r="X18" s="629">
        <f>IF(M18="","",R18)</f>
        <v>3.6456685850577828</v>
      </c>
      <c r="Y18" s="630">
        <f t="shared" si="223"/>
        <v>-1.246137464421869</v>
      </c>
      <c r="Z18" s="632">
        <f t="shared" si="6"/>
        <v>-0.25405620482684121</v>
      </c>
      <c r="AA18" s="629">
        <f t="shared" si="7"/>
        <v>-0.7819054537146839</v>
      </c>
      <c r="AB18" s="629">
        <f t="shared" si="8"/>
        <v>-0.56927963799895076</v>
      </c>
      <c r="AC18" s="636">
        <f>IF(M18="","",SQRT(Z18^2+AA18^2+AB18^2))</f>
        <v>1</v>
      </c>
      <c r="AD18" s="637">
        <f>IF(M18="","",Z18*(1/SQRT(Z18^2+AA18^2+AB18^2)))</f>
        <v>-0.25405620482684121</v>
      </c>
      <c r="AE18" s="629">
        <f>IF(M18="","",AA18*(1/SQRT(Z18^2+AA18^2+AB18^2)))</f>
        <v>-0.7819054537146839</v>
      </c>
      <c r="AF18" s="633">
        <f>IF(M18="","",AB18*(1/SQRT(Z18^2+AA18^2+AB18^2)))</f>
        <v>-0.56927963799895076</v>
      </c>
      <c r="AG18" s="602">
        <f>IF(M18="","",DEGREES(ATAN2(-AF18,AE18)))</f>
        <v>-53.942869023740506</v>
      </c>
      <c r="AH18" s="603">
        <f>IF(M18="","",DEGREES(ACOS(AD18)))</f>
        <v>104.71766805990612</v>
      </c>
      <c r="AI18" s="585">
        <f>IF(M18="","",DEGREES(-ACOS(-AF18)))</f>
        <v>-55.29999201567005</v>
      </c>
      <c r="AJ18" s="586">
        <f>IF(M18="","",DEGREES(ATAN2(-AE18,AD18)))</f>
        <v>-17.999981595629212</v>
      </c>
      <c r="AK18" s="635">
        <f>IF(M18="","",(COS(RADIANS((90-$Q$8)-W18))*AD18)+(-SIN(RADIANS((90-$Q$8)-W18))*AE18))</f>
        <v>2.2679489730670355E-7</v>
      </c>
      <c r="AL18" s="629">
        <f>IF(M18="","",(SIN(RADIANS((90-$Q$8)-W18))*AD18)+(COS(RADIANS((90-$Q$8)-W18))*AE18))</f>
        <v>-0.82214396169997628</v>
      </c>
      <c r="AM18" s="634">
        <f>IF(M18="","",AF18)</f>
        <v>-0.56927963799895076</v>
      </c>
      <c r="AN18" s="581">
        <f>IF(M18="","",DEGREES(ATAN2(-AM18,AL18)))</f>
        <v>-55.299992015669027</v>
      </c>
      <c r="AO18" s="582">
        <f t="shared" si="94"/>
        <v>0</v>
      </c>
      <c r="AP18" s="585">
        <f>IF(M18="","",DEGREES(ATAN2(AK18,AL18)))</f>
        <v>-89.999984194507235</v>
      </c>
      <c r="AQ18" s="586">
        <f t="shared" si="9"/>
        <v>0.62529987814374199</v>
      </c>
      <c r="AS18" s="52">
        <f t="shared" si="116"/>
        <v>-17.090997532365293</v>
      </c>
      <c r="AT18" s="72">
        <f t="shared" si="10"/>
        <v>-1.2336374662266454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1.228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1.1279999999999999</v>
      </c>
      <c r="II18" s="734" cm="1">
        <f t="array" ref="II18">IFERROR(ROUND(VALUE(IF($IH18&lt;1,$IH18+LARGE((IF($M$9:$M$150="",0,$M$9:$M$150)-MOD(IF($M$9:$M$150="",0,$M$9:$M$150),1)),1),$IH18)),4),"")</f>
        <v>1.1279999999999999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15.534797757052729</v>
      </c>
      <c r="IM18" s="759">
        <v>4.4984127660677303E-3</v>
      </c>
      <c r="IN18" s="5">
        <f t="shared" si="226"/>
        <v>0.82</v>
      </c>
      <c r="IO18" s="771">
        <v>410</v>
      </c>
      <c r="IP18" s="9">
        <f t="shared" si="227"/>
        <v>-3.6241109303185661</v>
      </c>
      <c r="IQ18" s="5">
        <f t="shared" si="228"/>
        <v>-1.2188036759118865</v>
      </c>
      <c r="IR18" s="5">
        <f t="shared" si="71"/>
        <v>0.314</v>
      </c>
      <c r="IS18" s="5">
        <f t="shared" si="229"/>
        <v>0.28139777569481178</v>
      </c>
      <c r="IT18" s="727">
        <f t="shared" si="230"/>
        <v>74.941245330664401</v>
      </c>
      <c r="IU18" s="9">
        <f t="shared" si="231"/>
        <v>-3.6456685850577828</v>
      </c>
      <c r="IV18" s="5">
        <f t="shared" si="232"/>
        <v>-1.246137464421869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55.299992015669027</v>
      </c>
    </row>
    <row r="19" spans="1:269" ht="15" customHeight="1" thickBot="1" x14ac:dyDescent="0.3">
      <c r="A19" s="79"/>
      <c r="B19" s="707">
        <v>1.1588135671349789</v>
      </c>
      <c r="C19" s="708">
        <v>3.5664619886694306</v>
      </c>
      <c r="D19" s="709">
        <v>-1.9761708490201695</v>
      </c>
      <c r="E19" s="710">
        <v>0.30901673554121095</v>
      </c>
      <c r="F19" s="708">
        <v>0.95105660039526674</v>
      </c>
      <c r="G19" s="711">
        <v>2.2679489667692386E-7</v>
      </c>
      <c r="H19" s="710">
        <v>0.25700000000000001</v>
      </c>
      <c r="I19" s="708">
        <v>0.41499999999999992</v>
      </c>
      <c r="J19" s="570">
        <v>1.2350000000000001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1.2350000000000001</v>
      </c>
      <c r="N19" s="632">
        <f t="shared" si="2"/>
        <v>1.1588135671349789</v>
      </c>
      <c r="O19" s="629">
        <f t="shared" si="3"/>
        <v>3.5664619886694306</v>
      </c>
      <c r="P19" s="633">
        <f t="shared" si="4"/>
        <v>-1.9761708490201695</v>
      </c>
      <c r="Q19" s="585">
        <f t="shared" si="113"/>
        <v>72.000002598878069</v>
      </c>
      <c r="R19" s="629">
        <f>IF(M19="","",SQRT(N19^2+O19^2))</f>
        <v>3.7500000000000004</v>
      </c>
      <c r="S19" s="634">
        <f>IF(M19="","",P19)</f>
        <v>-1.9761708490201695</v>
      </c>
      <c r="T19" s="635">
        <f>IF(M19="","",X19*COS(RADIANS(W19)))</f>
        <v>3.5843970127881066</v>
      </c>
      <c r="U19" s="629">
        <f>IF(M19="","",X19*SIN(RADIANS(W19)))</f>
        <v>-1.1020880430871667</v>
      </c>
      <c r="V19" s="636">
        <f>IF(M19="","",Y19)</f>
        <v>-1.9761708490201695</v>
      </c>
      <c r="W19" s="585">
        <f t="shared" si="224"/>
        <v>342.90900246763471</v>
      </c>
      <c r="X19" s="629">
        <f>IF(M19="","",R19)</f>
        <v>3.7500000000000004</v>
      </c>
      <c r="Y19" s="630">
        <f t="shared" si="223"/>
        <v>-1.9761708490201695</v>
      </c>
      <c r="Z19" s="632">
        <f t="shared" si="6"/>
        <v>-0.30901673554121095</v>
      </c>
      <c r="AA19" s="629">
        <f t="shared" si="7"/>
        <v>-0.95105660039526674</v>
      </c>
      <c r="AB19" s="629">
        <f t="shared" si="8"/>
        <v>-2.2679489667692386E-7</v>
      </c>
      <c r="AC19" s="636">
        <f>IF(M19="","",SQRT(Z19^2+AA19^2+AB19^2))</f>
        <v>1</v>
      </c>
      <c r="AD19" s="637">
        <f>IF(M19="","",Z19*(1/SQRT(Z19^2+AA19^2+AB19^2)))</f>
        <v>-0.30901673554121095</v>
      </c>
      <c r="AE19" s="629">
        <f>IF(M19="","",AA19*(1/SQRT(Z19^2+AA19^2+AB19^2)))</f>
        <v>-0.95105660039526674</v>
      </c>
      <c r="AF19" s="633">
        <f>IF(M19="","",AB19*(1/SQRT(Z19^2+AA19^2+AB19^2)))</f>
        <v>-2.2679489667692386E-7</v>
      </c>
      <c r="AG19" s="602">
        <f>IF(M19="","",DEGREES(ATAN2(-AF19,AE19)))</f>
        <v>-89.999986336890586</v>
      </c>
      <c r="AH19" s="603">
        <f>IF(M19="","",DEGREES(ACOS(AD19)))</f>
        <v>107.99998440673104</v>
      </c>
      <c r="AI19" s="585">
        <f>IF(M19="","",DEGREES(-ACOS(-AF19)))</f>
        <v>-89.999987005609611</v>
      </c>
      <c r="AJ19" s="586">
        <f>IF(M19="","",DEGREES(ATAN2(-AE19,AD19)))</f>
        <v>-17.999984406731535</v>
      </c>
      <c r="AK19" s="635">
        <f>IF(M19="","",(COS(RADIANS((90-$Q$8)-W19))*AD19)+(-SIN(RADIANS((90-$Q$8)-W19))*AE19))</f>
        <v>2.267948973622147E-7</v>
      </c>
      <c r="AL19" s="629">
        <f>IF(M19="","",(SIN(RADIANS((90-$Q$8)-W19))*AD19)+(COS(RADIANS((90-$Q$8)-W19))*AE19))</f>
        <v>-0.9999999999999486</v>
      </c>
      <c r="AM19" s="634">
        <f>IF(M19="","",AF19)</f>
        <v>-2.2679489667692386E-7</v>
      </c>
      <c r="AN19" s="581">
        <f>IF(M19="","",DEGREES(ATAN2(-AM19,AL19)))</f>
        <v>-89.999987005609611</v>
      </c>
      <c r="AO19" s="582">
        <f t="shared" si="94"/>
        <v>0</v>
      </c>
      <c r="AP19" s="585">
        <f>IF(M19="","",DEGREES(ATAN2(AK19,AL19)))</f>
        <v>-89.999987005609569</v>
      </c>
      <c r="AQ19" s="586">
        <f t="shared" si="9"/>
        <v>0.60790429010098346</v>
      </c>
      <c r="AS19" s="52">
        <f t="shared" si="116"/>
        <v>-17.090997532365293</v>
      </c>
      <c r="AT19" s="72">
        <f t="shared" si="10"/>
        <v>-1.9636708508249459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1.2350000000000001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1.135</v>
      </c>
      <c r="II19" s="734" cm="1">
        <f t="array" ref="II19">IFERROR(ROUND(VALUE(IF($IH19&lt;1,$IH19+LARGE((IF($M$9:$M$150="",0,$M$9:$M$150)-MOD(IF($M$9:$M$150="",0,$M$9:$M$150),1)),1),$IH19)),4),"")</f>
        <v>1.135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14.999997401121959</v>
      </c>
      <c r="IM19" s="759">
        <v>4.5600968249360401E-4</v>
      </c>
      <c r="IN19" s="5">
        <f t="shared" si="226"/>
        <v>0</v>
      </c>
      <c r="IO19" s="771">
        <v>0</v>
      </c>
      <c r="IP19" s="9">
        <f t="shared" si="227"/>
        <v>-3.7028999999999996</v>
      </c>
      <c r="IQ19" s="5">
        <f t="shared" si="228"/>
        <v>-2.0125000000000002</v>
      </c>
      <c r="IR19" s="5">
        <f t="shared" si="71"/>
        <v>0.314</v>
      </c>
      <c r="IS19" s="5">
        <f t="shared" si="229"/>
        <v>0.25721375779146977</v>
      </c>
      <c r="IT19" s="727">
        <f t="shared" si="230"/>
        <v>89.999987005609611</v>
      </c>
      <c r="IU19" s="9">
        <f t="shared" si="231"/>
        <v>-3.7500000000000004</v>
      </c>
      <c r="IV19" s="5">
        <f t="shared" si="232"/>
        <v>-1.9761708490201695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89.999987005609611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2.0432650651881579</v>
      </c>
      <c r="C20" s="708">
        <v>1.4436443010173874</v>
      </c>
      <c r="D20" s="709">
        <v>-7.1900216851054174E-2</v>
      </c>
      <c r="E20" s="710">
        <v>-0.4689295107615965</v>
      </c>
      <c r="F20" s="708">
        <v>0.84857319267626918</v>
      </c>
      <c r="G20" s="711">
        <v>0.24500745010732472</v>
      </c>
      <c r="H20" s="710">
        <v>0.314</v>
      </c>
      <c r="I20" s="708">
        <v>0.52</v>
      </c>
      <c r="J20" s="570">
        <v>2.113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2.113</v>
      </c>
      <c r="N20" s="632">
        <f t="shared" si="2"/>
        <v>2.0432650651881579</v>
      </c>
      <c r="O20" s="629">
        <f t="shared" si="3"/>
        <v>1.4436443010173874</v>
      </c>
      <c r="P20" s="633">
        <f t="shared" si="4"/>
        <v>-7.1900216851054174E-2</v>
      </c>
      <c r="Q20" s="585">
        <f t="shared" si="113"/>
        <v>35.242655928413242</v>
      </c>
      <c r="R20" s="629">
        <f>IF(M20="","",SQRT(N20^2+O20^2))</f>
        <v>2.5018075454515576</v>
      </c>
      <c r="S20" s="634">
        <f>IF(M20="","",P20)</f>
        <v>-7.1900216851054174E-2</v>
      </c>
      <c r="T20" s="635">
        <f>IF(M20="","",X20*COS(RADIANS(W20)))</f>
        <v>1.4758777459284502</v>
      </c>
      <c r="U20" s="629">
        <f>IF(M20="","",X20*SIN(RADIANS(W20)))</f>
        <v>-2.0201054114950301</v>
      </c>
      <c r="V20" s="636">
        <f>IF(M20="","",Y20)</f>
        <v>-7.1900216851054174E-2</v>
      </c>
      <c r="W20" s="585">
        <f t="shared" si="224"/>
        <v>306.15165579716989</v>
      </c>
      <c r="X20" s="629">
        <f>IF(M20="","",R20)</f>
        <v>2.5018075454515576</v>
      </c>
      <c r="Y20" s="630">
        <f t="shared" si="223"/>
        <v>-7.1900216851054174E-2</v>
      </c>
      <c r="Z20" s="632">
        <f t="shared" si="6"/>
        <v>0.4689295107615965</v>
      </c>
      <c r="AA20" s="629">
        <f t="shared" si="7"/>
        <v>-0.84857319267626918</v>
      </c>
      <c r="AB20" s="629">
        <f t="shared" si="8"/>
        <v>-0.24500745010732472</v>
      </c>
      <c r="AC20" s="636">
        <f>IF(M20="","",SQRT(Z20^2+AA20^2+AB20^2))</f>
        <v>1</v>
      </c>
      <c r="AD20" s="637">
        <f>IF(M20="","",Z20*(1/SQRT(Z20^2+AA20^2+AB20^2)))</f>
        <v>0.4689295107615965</v>
      </c>
      <c r="AE20" s="629">
        <f>IF(M20="","",AA20*(1/SQRT(Z20^2+AA20^2+AB20^2)))</f>
        <v>-0.84857319267626918</v>
      </c>
      <c r="AF20" s="633">
        <f>IF(M20="","",AB20*(1/SQRT(Z20^2+AA20^2+AB20^2)))</f>
        <v>-0.24500745010732472</v>
      </c>
      <c r="AG20" s="602">
        <f>IF(M20="","",DEGREES(ATAN2(-AF20,AE20)))</f>
        <v>-73.895052343741185</v>
      </c>
      <c r="AH20" s="603">
        <f>IF(M20="","",DEGREES(ACOS(AD20)))</f>
        <v>62.035168823404319</v>
      </c>
      <c r="AI20" s="585">
        <f>IF(M20="","",DEGREES(-ACOS(-AF20)))</f>
        <v>-75.817725992983696</v>
      </c>
      <c r="AJ20" s="586">
        <f>IF(M20="","",DEGREES(ATAN2(-AE20,AD20)))</f>
        <v>28.925451737387867</v>
      </c>
      <c r="AK20" s="635">
        <f>IF(M20="","",(COS(RADIANS((90-$Q$8)-W20))*AD20)+(-SIN(RADIANS((90-$Q$8)-W20))*AE20))</f>
        <v>0.96363422519189601</v>
      </c>
      <c r="AL20" s="629">
        <f>IF(M20="","",(SIN(RADIANS((90-$Q$8)-W20))*AD20)+(COS(RADIANS((90-$Q$8)-W20))*AE20))</f>
        <v>-0.10667909556572519</v>
      </c>
      <c r="AM20" s="634">
        <f>IF(M20="","",AF20)</f>
        <v>-0.24500745010732472</v>
      </c>
      <c r="AN20" s="581">
        <f>IF(M20="","",DEGREES(ATAN2(-AM20,AL20)))</f>
        <v>-23.528869659464636</v>
      </c>
      <c r="AO20" s="582">
        <f t="shared" si="94"/>
        <v>15.49919126801632</v>
      </c>
      <c r="AP20" s="585">
        <f>IF(M20="","",DEGREES(ATAN2(AK20,AL20)))</f>
        <v>-6.3172041910253336</v>
      </c>
      <c r="AQ20" s="586">
        <f t="shared" si="9"/>
        <v>0.91115499916703924</v>
      </c>
      <c r="AS20" s="52">
        <f t="shared" si="116"/>
        <v>-53.848344202830106</v>
      </c>
      <c r="AT20" s="72">
        <f t="shared" si="10"/>
        <v>-3.3874283468007811E-2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2.113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2.6509466020903476</v>
      </c>
      <c r="C21" s="708">
        <v>1.8023361110520162</v>
      </c>
      <c r="D21" s="709">
        <v>-0.44300133609202991</v>
      </c>
      <c r="E21" s="710">
        <v>-0.33639370929163537</v>
      </c>
      <c r="F21" s="708">
        <v>0.92531601221074533</v>
      </c>
      <c r="G21" s="711">
        <v>0.17501299921839739</v>
      </c>
      <c r="H21" s="710">
        <v>0.314</v>
      </c>
      <c r="I21" s="708">
        <v>0.52</v>
      </c>
      <c r="J21" s="570">
        <v>2.12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</v>
      </c>
      <c r="N21" s="632">
        <f t="shared" si="2"/>
        <v>2.6509466020903476</v>
      </c>
      <c r="O21" s="629">
        <f t="shared" si="3"/>
        <v>1.8023361110520162</v>
      </c>
      <c r="P21" s="633">
        <f t="shared" si="4"/>
        <v>-0.44300133609202991</v>
      </c>
      <c r="Q21" s="585">
        <f t="shared" si="113"/>
        <v>34.211156077343396</v>
      </c>
      <c r="R21" s="629">
        <f>IF(M21="","",SQRT(N21^2+O21^2))</f>
        <v>3.2056096681187598</v>
      </c>
      <c r="S21" s="634">
        <f>IF(M21="","",P21)</f>
        <v>-0.44300133609202991</v>
      </c>
      <c r="T21" s="635">
        <f>IF(M21="","",X21*COS(RADIANS(W21)))</f>
        <v>1.8441649034641971</v>
      </c>
      <c r="U21" s="629">
        <f>IF(M21="","",X21*SIN(RADIANS(W21)))</f>
        <v>-2.6220200520147352</v>
      </c>
      <c r="V21" s="636">
        <f>IF(M21="","",Y21)</f>
        <v>-0.44300133609202991</v>
      </c>
      <c r="W21" s="585">
        <f t="shared" si="224"/>
        <v>305.12015594610006</v>
      </c>
      <c r="X21" s="629">
        <f>IF(M21="","",R21)</f>
        <v>3.2056096681187598</v>
      </c>
      <c r="Y21" s="630">
        <f t="shared" si="223"/>
        <v>-0.44300133609202991</v>
      </c>
      <c r="Z21" s="632">
        <f t="shared" si="6"/>
        <v>0.33639370929163537</v>
      </c>
      <c r="AA21" s="629">
        <f t="shared" si="7"/>
        <v>-0.92531601221074533</v>
      </c>
      <c r="AB21" s="629">
        <f t="shared" si="8"/>
        <v>-0.17501299921839739</v>
      </c>
      <c r="AC21" s="636">
        <f>IF(M21="","",SQRT(Z21^2+AA21^2+AB21^2))</f>
        <v>1</v>
      </c>
      <c r="AD21" s="637">
        <f>IF(M21="","",Z21*(1/SQRT(Z21^2+AA21^2+AB21^2)))</f>
        <v>0.33639370929163537</v>
      </c>
      <c r="AE21" s="629">
        <f>IF(M21="","",AA21*(1/SQRT(Z21^2+AA21^2+AB21^2)))</f>
        <v>-0.92531601221074533</v>
      </c>
      <c r="AF21" s="633">
        <f>IF(M21="","",AB21*(1/SQRT(Z21^2+AA21^2+AB21^2)))</f>
        <v>-0.17501299921839739</v>
      </c>
      <c r="AG21" s="602">
        <f>IF(M21="","",DEGREES(ATAN2(-AF21,AE21)))</f>
        <v>-79.289673947325568</v>
      </c>
      <c r="AH21" s="603">
        <f>IF(M21="","",DEGREES(ACOS(AD21)))</f>
        <v>70.342689011845167</v>
      </c>
      <c r="AI21" s="585">
        <f>IF(M21="","",DEGREES(-ACOS(-AF21)))</f>
        <v>-79.920585417395714</v>
      </c>
      <c r="AJ21" s="586">
        <f>IF(M21="","",DEGREES(ATAN2(-AE21,AD21)))</f>
        <v>19.978466565564723</v>
      </c>
      <c r="AK21" s="635">
        <f>IF(M21="","",(COS(RADIANS((90-$Q$8)-W21))*AD21)+(-SIN(RADIANS((90-$Q$8)-W21))*AE21))</f>
        <v>0.95434509654828537</v>
      </c>
      <c r="AL21" s="629">
        <f>IF(M21="","",(SIN(RADIANS((90-$Q$8)-W21))*AD21)+(COS(RADIANS((90-$Q$8)-W21))*AE21))</f>
        <v>-0.24206587285039899</v>
      </c>
      <c r="AM21" s="634">
        <f>IF(M21="","",AF21)</f>
        <v>-0.17501299921839739</v>
      </c>
      <c r="AN21" s="581">
        <f>IF(M21="","",DEGREES(ATAN2(-AM21,AL21)))</f>
        <v>-54.133168202866948</v>
      </c>
      <c r="AO21" s="582">
        <f>IF(ROUND(IF(M21="",0,DEGREES(ACOS(AK21))),4)=90,0,IF(M21="","",DEGREES(ACOS(AK21))))</f>
        <v>17.379915364328959</v>
      </c>
      <c r="AP21" s="585">
        <f>IF(M21="","",DEGREES(ATAN2(AK21,AL21)))</f>
        <v>-14.232689511778668</v>
      </c>
      <c r="AQ21" s="586">
        <f t="shared" si="9"/>
        <v>0.71113136182118442</v>
      </c>
      <c r="AS21" s="52">
        <f t="shared" si="116"/>
        <v>-54.879844053899944</v>
      </c>
      <c r="AT21" s="72">
        <f t="shared" si="10"/>
        <v>-0.40425908336796285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3.0034249634387904</v>
      </c>
      <c r="C22" s="708">
        <v>1.9956639218547523</v>
      </c>
      <c r="D22" s="709">
        <v>-1.1101999999999996</v>
      </c>
      <c r="E22" s="710">
        <v>-0.16066965547527057</v>
      </c>
      <c r="F22" s="708">
        <v>0.97827243340859382</v>
      </c>
      <c r="G22" s="711">
        <v>0.13102788955900344</v>
      </c>
      <c r="H22" s="710">
        <v>0.314</v>
      </c>
      <c r="I22" s="708">
        <v>0.52</v>
      </c>
      <c r="J22" s="570">
        <v>2.1269999999999998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410</v>
      </c>
      <c r="M22" s="168">
        <f t="shared" si="1"/>
        <v>2.1269999999999998</v>
      </c>
      <c r="N22" s="632">
        <f t="shared" si="2"/>
        <v>3.0034249634387904</v>
      </c>
      <c r="O22" s="629">
        <f t="shared" si="3"/>
        <v>1.9956639218547523</v>
      </c>
      <c r="P22" s="633">
        <f t="shared" si="4"/>
        <v>-1.1101999999999996</v>
      </c>
      <c r="Q22" s="585">
        <f t="shared" si="113"/>
        <v>33.602556165214345</v>
      </c>
      <c r="R22" s="629">
        <f t="shared" si="79"/>
        <v>3.6059999999999985</v>
      </c>
      <c r="S22" s="634">
        <f t="shared" si="80"/>
        <v>-1.1101999999999996</v>
      </c>
      <c r="T22" s="635">
        <f t="shared" si="81"/>
        <v>2.0430602334517318</v>
      </c>
      <c r="U22" s="629">
        <f t="shared" si="82"/>
        <v>-2.9713870300733536</v>
      </c>
      <c r="V22" s="636">
        <f t="shared" si="114"/>
        <v>-1.1101999999999996</v>
      </c>
      <c r="W22" s="585">
        <f t="shared" si="224"/>
        <v>304.51155603397103</v>
      </c>
      <c r="X22" s="629">
        <f t="shared" si="83"/>
        <v>3.6059999999999985</v>
      </c>
      <c r="Y22" s="630">
        <f t="shared" si="223"/>
        <v>-1.1101999999999996</v>
      </c>
      <c r="Z22" s="632">
        <f t="shared" si="6"/>
        <v>0.16066965547527057</v>
      </c>
      <c r="AA22" s="629">
        <f t="shared" si="7"/>
        <v>-0.97827243340859382</v>
      </c>
      <c r="AB22" s="629">
        <f t="shared" si="8"/>
        <v>-0.13102788955900344</v>
      </c>
      <c r="AC22" s="636">
        <f t="shared" si="84"/>
        <v>1</v>
      </c>
      <c r="AD22" s="637">
        <f t="shared" si="115"/>
        <v>0.16066965547527057</v>
      </c>
      <c r="AE22" s="629">
        <f t="shared" si="85"/>
        <v>-0.97827243340859382</v>
      </c>
      <c r="AF22" s="633">
        <f t="shared" si="86"/>
        <v>-0.13102788955900344</v>
      </c>
      <c r="AG22" s="602">
        <f t="shared" si="87"/>
        <v>-82.371317541020076</v>
      </c>
      <c r="AH22" s="603">
        <f t="shared" si="88"/>
        <v>80.754232454816474</v>
      </c>
      <c r="AI22" s="585">
        <f t="shared" si="89"/>
        <v>-82.471005852144572</v>
      </c>
      <c r="AJ22" s="586">
        <f t="shared" si="90"/>
        <v>9.3268860566888918</v>
      </c>
      <c r="AK22" s="635">
        <f t="shared" si="211"/>
        <v>0.9037189357493659</v>
      </c>
      <c r="AL22" s="629">
        <f t="shared" si="91"/>
        <v>-0.40758284719274818</v>
      </c>
      <c r="AM22" s="634">
        <f t="shared" si="92"/>
        <v>-0.13102788955900344</v>
      </c>
      <c r="AN22" s="581">
        <f t="shared" si="93"/>
        <v>-72.17867537251847</v>
      </c>
      <c r="AO22" s="582">
        <f t="shared" si="94"/>
        <v>25.348705851897215</v>
      </c>
      <c r="AP22" s="585">
        <f t="shared" si="95"/>
        <v>-24.275670108525468</v>
      </c>
      <c r="AQ22" s="586">
        <f t="shared" si="9"/>
        <v>0.63217806983728653</v>
      </c>
      <c r="AS22" s="52">
        <f t="shared" si="116"/>
        <v>-55.488443966028967</v>
      </c>
      <c r="AT22" s="72">
        <f t="shared" si="10"/>
        <v>-1.0710351084480652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2.1269999999999998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3.1055148013622853</v>
      </c>
      <c r="C23" s="708">
        <v>2.0167414938585453</v>
      </c>
      <c r="D23" s="709">
        <v>-1.9036999999999991</v>
      </c>
      <c r="E23" s="710">
        <v>3.4900179191106731E-2</v>
      </c>
      <c r="F23" s="708">
        <v>0.99939080318582674</v>
      </c>
      <c r="G23" s="711">
        <v>1.300841922044553E-7</v>
      </c>
      <c r="H23" s="710">
        <v>0.314</v>
      </c>
      <c r="I23" s="708">
        <v>0.52</v>
      </c>
      <c r="J23" s="570">
        <v>2.1339999999999999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2.1339999999999999</v>
      </c>
      <c r="N23" s="632">
        <f t="shared" si="2"/>
        <v>3.1055148013622853</v>
      </c>
      <c r="O23" s="629">
        <f t="shared" si="3"/>
        <v>2.0167414938585453</v>
      </c>
      <c r="P23" s="633">
        <f t="shared" si="4"/>
        <v>-1.9036999999999991</v>
      </c>
      <c r="Q23" s="585">
        <f t="shared" si="113"/>
        <v>32.999955892270435</v>
      </c>
      <c r="R23" s="629">
        <f t="shared" si="79"/>
        <v>3.7029000033124082</v>
      </c>
      <c r="S23" s="634">
        <f t="shared" si="80"/>
        <v>-1.9036999999999991</v>
      </c>
      <c r="T23" s="635">
        <f t="shared" si="81"/>
        <v>2.0657547443846509</v>
      </c>
      <c r="U23" s="629">
        <f t="shared" si="82"/>
        <v>-3.0731296377769906</v>
      </c>
      <c r="V23" s="636">
        <f t="shared" si="114"/>
        <v>-1.9036999999999991</v>
      </c>
      <c r="W23" s="585">
        <f t="shared" si="224"/>
        <v>303.90895576102713</v>
      </c>
      <c r="X23" s="629">
        <f t="shared" si="83"/>
        <v>3.7029000033124082</v>
      </c>
      <c r="Y23" s="630">
        <f t="shared" si="223"/>
        <v>-1.9036999999999991</v>
      </c>
      <c r="Z23" s="632">
        <f t="shared" si="6"/>
        <v>-3.4900179191106731E-2</v>
      </c>
      <c r="AA23" s="629">
        <f t="shared" si="7"/>
        <v>-0.99939080318582674</v>
      </c>
      <c r="AB23" s="629">
        <f t="shared" si="8"/>
        <v>-1.300841922044553E-7</v>
      </c>
      <c r="AC23" s="636">
        <f t="shared" si="84"/>
        <v>1</v>
      </c>
      <c r="AD23" s="637">
        <f t="shared" si="115"/>
        <v>-3.4900179191106731E-2</v>
      </c>
      <c r="AE23" s="629">
        <f t="shared" si="85"/>
        <v>-0.99939080318582674</v>
      </c>
      <c r="AF23" s="633">
        <f t="shared" si="86"/>
        <v>-1.300841922044553E-7</v>
      </c>
      <c r="AG23" s="602">
        <f t="shared" si="87"/>
        <v>-89.999992542181531</v>
      </c>
      <c r="AH23" s="603">
        <f t="shared" si="88"/>
        <v>92.000039127552583</v>
      </c>
      <c r="AI23" s="585">
        <f t="shared" si="89"/>
        <v>-89.999992546724798</v>
      </c>
      <c r="AJ23" s="586">
        <f t="shared" si="90"/>
        <v>-2.0000391275526068</v>
      </c>
      <c r="AK23" s="635">
        <f t="shared" si="211"/>
        <v>0.81915209414452395</v>
      </c>
      <c r="AL23" s="629">
        <f t="shared" si="91"/>
        <v>-0.57357636514994592</v>
      </c>
      <c r="AM23" s="634">
        <f t="shared" si="92"/>
        <v>-1.300841922044553E-7</v>
      </c>
      <c r="AN23" s="581">
        <f t="shared" si="93"/>
        <v>-89.999987005609626</v>
      </c>
      <c r="AO23" s="582">
        <f t="shared" si="94"/>
        <v>34.999995019823736</v>
      </c>
      <c r="AP23" s="585">
        <f t="shared" si="95"/>
        <v>-34.999995019823039</v>
      </c>
      <c r="AQ23" s="586">
        <f t="shared" si="9"/>
        <v>0.61563609493929827</v>
      </c>
      <c r="AS23" s="52">
        <f t="shared" si="116"/>
        <v>-56.09104423897287</v>
      </c>
      <c r="AT23" s="72">
        <f t="shared" si="10"/>
        <v>-1.864116636036298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2.1339999999999999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160</v>
      </c>
      <c r="JI23" s="801">
        <v>170</v>
      </c>
    </row>
    <row r="24" spans="1:269" ht="15" customHeight="1" x14ac:dyDescent="0.25">
      <c r="A24" s="79"/>
      <c r="B24" s="707">
        <v>3.069663068312388</v>
      </c>
      <c r="C24" s="708">
        <v>0.99739152871157988</v>
      </c>
      <c r="D24" s="709">
        <v>-0.44862402046673372</v>
      </c>
      <c r="E24" s="710">
        <v>0.48269764812212018</v>
      </c>
      <c r="F24" s="708">
        <v>0.15683782436800334</v>
      </c>
      <c r="G24" s="711">
        <v>0.86162919945002181</v>
      </c>
      <c r="H24" s="710">
        <v>0.25700000000000001</v>
      </c>
      <c r="I24" s="708">
        <v>0.41499999999999992</v>
      </c>
      <c r="J24" s="570">
        <v>2.2200000000000002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2.2200000000000002</v>
      </c>
      <c r="N24" s="632">
        <f t="shared" si="2"/>
        <v>3.069663068312388</v>
      </c>
      <c r="O24" s="629">
        <f t="shared" si="3"/>
        <v>0.99739152871157988</v>
      </c>
      <c r="P24" s="633">
        <f t="shared" si="4"/>
        <v>-0.44862402046673372</v>
      </c>
      <c r="Q24" s="585">
        <f t="shared" si="113"/>
        <v>17.999958417950733</v>
      </c>
      <c r="R24" s="629">
        <f t="shared" si="79"/>
        <v>3.2276339963674081</v>
      </c>
      <c r="S24" s="634">
        <f t="shared" si="80"/>
        <v>-0.44862402046673372</v>
      </c>
      <c r="T24" s="635">
        <f t="shared" si="81"/>
        <v>1.0459642961517057</v>
      </c>
      <c r="U24" s="629">
        <f t="shared" si="82"/>
        <v>-3.05345376675045</v>
      </c>
      <c r="V24" s="636">
        <f t="shared" si="114"/>
        <v>-0.44862402046673372</v>
      </c>
      <c r="W24" s="585">
        <f t="shared" si="224"/>
        <v>288.90895828670739</v>
      </c>
      <c r="X24" s="629">
        <f t="shared" si="83"/>
        <v>3.2276339963674081</v>
      </c>
      <c r="Y24" s="630">
        <f t="shared" si="223"/>
        <v>-0.44862402046673372</v>
      </c>
      <c r="Z24" s="632">
        <f t="shared" si="6"/>
        <v>-0.48269764812212018</v>
      </c>
      <c r="AA24" s="629">
        <f t="shared" si="7"/>
        <v>-0.15683782436800334</v>
      </c>
      <c r="AB24" s="629">
        <f t="shared" si="8"/>
        <v>-0.86162919945002181</v>
      </c>
      <c r="AC24" s="636">
        <f t="shared" si="84"/>
        <v>1</v>
      </c>
      <c r="AD24" s="637">
        <f t="shared" si="115"/>
        <v>-0.48269764812212018</v>
      </c>
      <c r="AE24" s="629">
        <f t="shared" si="85"/>
        <v>-0.15683782436800334</v>
      </c>
      <c r="AF24" s="633">
        <f t="shared" si="86"/>
        <v>-0.86162919945002181</v>
      </c>
      <c r="AG24" s="602">
        <f t="shared" si="87"/>
        <v>-10.316301819733857</v>
      </c>
      <c r="AH24" s="603">
        <f t="shared" si="88"/>
        <v>118.86173838849319</v>
      </c>
      <c r="AI24" s="585">
        <f t="shared" si="89"/>
        <v>-30.499995596347976</v>
      </c>
      <c r="AJ24" s="586">
        <f t="shared" si="90"/>
        <v>-72.000015979271154</v>
      </c>
      <c r="AK24" s="635">
        <f>IF(M24="","",(COS(RADIANS((90-$Q$8)-W24))*AD24)+(-SIN(RADIANS((90-$Q$8)-W24))*AE24))</f>
        <v>2.2679489686261434E-7</v>
      </c>
      <c r="AL24" s="629">
        <f t="shared" si="91"/>
        <v>-0.50753829673736284</v>
      </c>
      <c r="AM24" s="634">
        <f t="shared" si="92"/>
        <v>-0.86162919945002181</v>
      </c>
      <c r="AN24" s="581">
        <f t="shared" si="93"/>
        <v>-30.499995596345496</v>
      </c>
      <c r="AO24" s="582">
        <f t="shared" si="94"/>
        <v>0</v>
      </c>
      <c r="AP24" s="585">
        <f t="shared" si="95"/>
        <v>-89.999974397221862</v>
      </c>
      <c r="AQ24" s="586">
        <f t="shared" si="9"/>
        <v>0.70627932514305303</v>
      </c>
      <c r="AS24" s="52">
        <f t="shared" si="116"/>
        <v>-71.091041713292611</v>
      </c>
      <c r="AT24" s="72">
        <f t="shared" si="10"/>
        <v>-0.39862399159031059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2.2200000000000002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2.12</v>
      </c>
      <c r="II24" s="734" cm="1">
        <f t="array" ref="II24">IFERROR(ROUND(VALUE(IF($IH24&lt;1,$IH24+LARGE((IF($M$9:$M$150="",0,$M$9:$M$150)-MOD(IF($M$9:$M$150="",0,$M$9:$M$150),1)),1),$IH24)),4),"")</f>
        <v>2.12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16.211197659392667</v>
      </c>
      <c r="IM24" s="759">
        <v>2.4684484375966199E-2</v>
      </c>
      <c r="IN24" s="5">
        <f t="shared" si="226"/>
        <v>0.94</v>
      </c>
      <c r="IO24" s="771">
        <v>470</v>
      </c>
      <c r="IP24" s="9">
        <f t="shared" si="227"/>
        <v>-3.2056096681187598</v>
      </c>
      <c r="IQ24" s="5">
        <f t="shared" si="228"/>
        <v>-0.44300133609202991</v>
      </c>
      <c r="IR24" s="5">
        <f t="shared" si="71"/>
        <v>0.314</v>
      </c>
      <c r="IS24" s="5">
        <f t="shared" si="229"/>
        <v>0.29966436031616162</v>
      </c>
      <c r="IT24" s="727">
        <f t="shared" si="230"/>
        <v>54.133168202866948</v>
      </c>
      <c r="IU24" s="9">
        <f t="shared" si="231"/>
        <v>-3.2276339963674081</v>
      </c>
      <c r="IV24" s="5">
        <f t="shared" si="232"/>
        <v>-0.44862402046673372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30.499995596345496</v>
      </c>
      <c r="JA24" s="798" t="str">
        <v>CPS-32193r1</v>
      </c>
      <c r="JB24" s="856" cm="1">
        <f t="array" ref="JB24">IF($JA24="","",COUNT(IF(IF($II$9:$II$150&lt;&gt;"",$IK$9:$IK$150,"")=$JA24,$IG$9:$IG$150,"")))</f>
        <v>18</v>
      </c>
      <c r="JC24" s="5"/>
      <c r="JD24" s="5"/>
      <c r="JE24" s="10"/>
      <c r="JF24" s="247" t="str">
        <v/>
      </c>
      <c r="JG24" s="803">
        <v>8</v>
      </c>
      <c r="JH24" s="787" t="str">
        <v/>
      </c>
      <c r="JI24" s="803">
        <v>410</v>
      </c>
    </row>
    <row r="25" spans="1:269" ht="15" customHeight="1" x14ac:dyDescent="0.25">
      <c r="A25" s="79"/>
      <c r="B25" s="707">
        <v>3.4509093831293276</v>
      </c>
      <c r="C25" s="708">
        <v>1.1212656596141535</v>
      </c>
      <c r="D25" s="709">
        <v>-1.1351000000000002</v>
      </c>
      <c r="E25" s="710">
        <v>0.75148210384892178</v>
      </c>
      <c r="F25" s="708">
        <v>0.2441709724123747</v>
      </c>
      <c r="G25" s="711">
        <v>0.6129071575907673</v>
      </c>
      <c r="H25" s="710">
        <v>0.25700000000000001</v>
      </c>
      <c r="I25" s="708">
        <v>0.41499999999999992</v>
      </c>
      <c r="J25" s="570">
        <v>2.2269999999999999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2.2269999999999999</v>
      </c>
      <c r="N25" s="632">
        <f t="shared" si="2"/>
        <v>3.4509093831293276</v>
      </c>
      <c r="O25" s="629">
        <f t="shared" si="3"/>
        <v>1.1212656596141535</v>
      </c>
      <c r="P25" s="633">
        <f t="shared" si="4"/>
        <v>-1.1351000000000002</v>
      </c>
      <c r="Q25" s="585">
        <f t="shared" si="113"/>
        <v>17.999958417950737</v>
      </c>
      <c r="R25" s="629">
        <f>IF(M25="","",SQRT(N25^2+O25^2))</f>
        <v>3.6284999999999998</v>
      </c>
      <c r="S25" s="634">
        <f>IF(M25="","",P25)</f>
        <v>-1.1351000000000002</v>
      </c>
      <c r="T25" s="635">
        <f>IF(M25="","",X25*COS(RADIANS(W25)))</f>
        <v>1.1758710723886052</v>
      </c>
      <c r="U25" s="629">
        <f>IF(M25="","",X25*SIN(RADIANS(W25)))</f>
        <v>-3.4326869171422656</v>
      </c>
      <c r="V25" s="636">
        <f>IF(M25="","",Y25)</f>
        <v>-1.1351000000000002</v>
      </c>
      <c r="W25" s="585">
        <f t="shared" si="224"/>
        <v>288.90895828670739</v>
      </c>
      <c r="X25" s="629">
        <f>IF(M25="","",R25)</f>
        <v>3.6284999999999998</v>
      </c>
      <c r="Y25" s="630">
        <f t="shared" si="223"/>
        <v>-1.1351000000000002</v>
      </c>
      <c r="Z25" s="632">
        <f t="shared" si="6"/>
        <v>-0.75148210384892178</v>
      </c>
      <c r="AA25" s="629">
        <f t="shared" si="7"/>
        <v>-0.2441709724123747</v>
      </c>
      <c r="AB25" s="629">
        <f t="shared" si="8"/>
        <v>-0.6129071575907673</v>
      </c>
      <c r="AC25" s="636">
        <f>IF(M25="","",SQRT(Z25^2+AA25^2+AB25^2))</f>
        <v>1</v>
      </c>
      <c r="AD25" s="637">
        <f>IF(M25="","",Z25*(1/SQRT(Z25^2+AA25^2+AB25^2)))</f>
        <v>-0.75148210384892178</v>
      </c>
      <c r="AE25" s="629">
        <f>IF(M25="","",AA25*(1/SQRT(Z25^2+AA25^2+AB25^2)))</f>
        <v>-0.2441709724123747</v>
      </c>
      <c r="AF25" s="633">
        <f>IF(M25="","",AB25*(1/SQRT(Z25^2+AA25^2+AB25^2)))</f>
        <v>-0.6129071575907673</v>
      </c>
      <c r="AG25" s="602">
        <f>IF(M25="","",DEGREES(ATAN2(-AF25,AE25)))</f>
        <v>-21.721430503324555</v>
      </c>
      <c r="AH25" s="603">
        <f>IF(M25="","",DEGREES(ACOS(AD25)))</f>
        <v>138.71892590577181</v>
      </c>
      <c r="AI25" s="585">
        <f>IF(M25="","",DEGREES(-ACOS(-AF25)))</f>
        <v>-52.199992463254731</v>
      </c>
      <c r="AJ25" s="586">
        <f>IF(M25="","",DEGREES(ATAN2(-AE25,AD25)))</f>
        <v>-72.000025136679028</v>
      </c>
      <c r="AK25" s="635">
        <f>IF(M25="","",(COS(RADIANS((90-$Q$8)-W25))*AD25)+(-SIN(RADIANS((90-$Q$8)-W25))*AE25))</f>
        <v>2.2679489708465894E-7</v>
      </c>
      <c r="AL25" s="629">
        <f>IF(M25="","",(SIN(RADIANS((90-$Q$8)-W25))*AD25)+(COS(RADIANS((90-$Q$8)-W25))*AE25))</f>
        <v>-0.79015493175323204</v>
      </c>
      <c r="AM25" s="634">
        <f>IF(M25="","",AF25)</f>
        <v>-0.6129071575907673</v>
      </c>
      <c r="AN25" s="581">
        <f>IF(M25="","",DEGREES(ATAN2(-AM25,AL25)))</f>
        <v>-52.199992463253594</v>
      </c>
      <c r="AO25" s="582">
        <f>IF(ROUND(IF(M25="",0,DEGREES(ACOS(AK25))),4)=90,0,IF(M25="","",DEGREES(ACOS(AK25))))</f>
        <v>0</v>
      </c>
      <c r="AP25" s="585">
        <f>IF(M25="","",DEGREES(ATAN2(AK25,AL25)))</f>
        <v>-89.999983554629736</v>
      </c>
      <c r="AQ25" s="586">
        <f t="shared" si="9"/>
        <v>0.62825830605266308</v>
      </c>
      <c r="AS25" s="52">
        <f t="shared" si="116"/>
        <v>-71.091041713292611</v>
      </c>
      <c r="AT25" s="72">
        <f t="shared" si="10"/>
        <v>-1.0850999711235771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2.2269999999999999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2.1269999999999998</v>
      </c>
      <c r="II25" s="734" cm="1">
        <f t="array" ref="II25">IFERROR(ROUND(VALUE(IF($IH25&lt;1,$IH25+LARGE((IF($M$9:$M$150="",0,$M$9:$M$150)-MOD(IF($M$9:$M$150="",0,$M$9:$M$150),1)),1),$IH25)),4),"")</f>
        <v>2.1269999999999998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15.602597747263644</v>
      </c>
      <c r="IM25" s="759">
        <v>6.9457911880166298E-3</v>
      </c>
      <c r="IN25" s="5">
        <f t="shared" si="226"/>
        <v>0.86</v>
      </c>
      <c r="IO25" s="771">
        <v>430</v>
      </c>
      <c r="IP25" s="9">
        <f t="shared" si="227"/>
        <v>-3.6059999999999985</v>
      </c>
      <c r="IQ25" s="5">
        <f t="shared" si="228"/>
        <v>-1.1101999999999996</v>
      </c>
      <c r="IR25" s="5">
        <f t="shared" si="71"/>
        <v>0.314</v>
      </c>
      <c r="IS25" s="5">
        <f t="shared" si="229"/>
        <v>0.2837677458253009</v>
      </c>
      <c r="IT25" s="727">
        <f t="shared" si="230"/>
        <v>72.17867537251847</v>
      </c>
      <c r="IU25" s="9">
        <f t="shared" si="231"/>
        <v>-3.6284999999999998</v>
      </c>
      <c r="IV25" s="5">
        <f t="shared" si="232"/>
        <v>-1.1351000000000002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52.199992463253594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3.5664627771076143</v>
      </c>
      <c r="C26" s="708">
        <v>1.1588111405685753</v>
      </c>
      <c r="D26" s="709">
        <v>-1.901370623422689</v>
      </c>
      <c r="E26" s="710">
        <v>0.95105667047866083</v>
      </c>
      <c r="F26" s="708">
        <v>0.30901651984641942</v>
      </c>
      <c r="G26" s="711">
        <v>2.2679489664145123E-7</v>
      </c>
      <c r="H26" s="710">
        <v>0.25700000000000001</v>
      </c>
      <c r="I26" s="708">
        <v>0.41499999999999992</v>
      </c>
      <c r="J26" s="570">
        <v>2.234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CPS-32193r1</v>
      </c>
      <c r="L26" s="320"/>
      <c r="M26" s="168">
        <f t="shared" si="1"/>
        <v>2.234</v>
      </c>
      <c r="N26" s="632">
        <f t="shared" si="2"/>
        <v>3.5664627771076143</v>
      </c>
      <c r="O26" s="629">
        <f t="shared" si="3"/>
        <v>1.1588111405685753</v>
      </c>
      <c r="P26" s="633">
        <f t="shared" si="4"/>
        <v>-1.901370623422689</v>
      </c>
      <c r="Q26" s="585">
        <f t="shared" si="113"/>
        <v>17.999958417950737</v>
      </c>
      <c r="R26" s="629">
        <f>IF(M26="","",SQRT(N26^2+O26^2))</f>
        <v>3.75</v>
      </c>
      <c r="S26" s="634">
        <f>IF(M26="","",P26)</f>
        <v>-1.901370623422689</v>
      </c>
      <c r="T26" s="635">
        <f>IF(M26="","",X26*COS(RADIANS(W26)))</f>
        <v>1.215245010736467</v>
      </c>
      <c r="U26" s="629">
        <f>IF(M26="","",X26*SIN(RADIANS(W26)))</f>
        <v>-3.547630133466583</v>
      </c>
      <c r="V26" s="636">
        <f>IF(M26="","",Y26)</f>
        <v>-1.901370623422689</v>
      </c>
      <c r="W26" s="585">
        <f t="shared" si="224"/>
        <v>288.90895828670739</v>
      </c>
      <c r="X26" s="629">
        <f>IF(M26="","",R26)</f>
        <v>3.75</v>
      </c>
      <c r="Y26" s="630">
        <f t="shared" si="223"/>
        <v>-1.901370623422689</v>
      </c>
      <c r="Z26" s="632">
        <f t="shared" si="6"/>
        <v>-0.95105667047866083</v>
      </c>
      <c r="AA26" s="629">
        <f t="shared" si="7"/>
        <v>-0.30901651984641942</v>
      </c>
      <c r="AB26" s="629">
        <f t="shared" si="8"/>
        <v>-2.2679489664145123E-7</v>
      </c>
      <c r="AC26" s="636">
        <f>IF(M26="","",SQRT(Z26^2+AA26^2+AB26^2))</f>
        <v>1</v>
      </c>
      <c r="AD26" s="637">
        <f>IF(M26="","",Z26*(1/SQRT(Z26^2+AA26^2+AB26^2)))</f>
        <v>-0.95105667047866083</v>
      </c>
      <c r="AE26" s="629">
        <f>IF(M26="","",AA26*(1/SQRT(Z26^2+AA26^2+AB26^2)))</f>
        <v>-0.30901651984641942</v>
      </c>
      <c r="AF26" s="633">
        <f>IF(M26="","",AB26*(1/SQRT(Z26^2+AA26^2+AB26^2)))</f>
        <v>-2.2679489664145123E-7</v>
      </c>
      <c r="AG26" s="602">
        <f>IF(M26="","",DEGREES(ATAN2(-AF26,AE26)))</f>
        <v>-89.999957949204799</v>
      </c>
      <c r="AH26" s="603">
        <f>IF(M26="","",DEGREES(ACOS(AD26)))</f>
        <v>162.00002858765436</v>
      </c>
      <c r="AI26" s="585">
        <f>IF(M26="","",DEGREES(-ACOS(-AF26)))</f>
        <v>-89.999987005609611</v>
      </c>
      <c r="AJ26" s="586">
        <f>IF(M26="","",DEGREES(ATAN2(-AE26,AD26)))</f>
        <v>-72.000028587658875</v>
      </c>
      <c r="AK26" s="635">
        <f>IF(M26="","",(COS(RADIANS((90-$Q$8)-W26))*AD26)+(-SIN(RADIANS((90-$Q$8)-W26))*AE26))</f>
        <v>2.2679489702914779E-7</v>
      </c>
      <c r="AL26" s="629">
        <f>IF(M26="","",(SIN(RADIANS((90-$Q$8)-W26))*AD26)+(COS(RADIANS((90-$Q$8)-W26))*AE26))</f>
        <v>-0.99999999999994849</v>
      </c>
      <c r="AM26" s="634">
        <f>IF(M26="","",AF26)</f>
        <v>-2.2679489664145123E-7</v>
      </c>
      <c r="AN26" s="581">
        <f>IF(M26="","",DEGREES(ATAN2(-AM26,AL26)))</f>
        <v>-89.999987005609611</v>
      </c>
      <c r="AO26" s="582">
        <f t="shared" si="94"/>
        <v>0</v>
      </c>
      <c r="AP26" s="585">
        <f>IF(M26="","",DEGREES(ATAN2(AK26,AL26)))</f>
        <v>-89.999987005609597</v>
      </c>
      <c r="AQ26" s="586">
        <f t="shared" si="9"/>
        <v>0.60790429010098357</v>
      </c>
      <c r="AS26" s="52">
        <f t="shared" si="116"/>
        <v>-71.091041713292611</v>
      </c>
      <c r="AT26" s="72">
        <f t="shared" si="10"/>
        <v>-1.851370594546266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2.234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2.1339999999999999</v>
      </c>
      <c r="II26" s="734" cm="1">
        <f t="array" ref="II26">IFERROR(ROUND(VALUE(IF($IH26&lt;1,$IH26+LARGE((IF($M$9:$M$150="",0,$M$9:$M$150)-MOD(IF($M$9:$M$150="",0,$M$9:$M$150),1)),1),$IH26)),4),"")</f>
        <v>2.1339999999999999</v>
      </c>
      <c r="IJ26" s="533">
        <f t="shared" si="112"/>
        <v>1613</v>
      </c>
      <c r="IK26" s="533" t="str">
        <f t="shared" si="66"/>
        <v>CPS-32193r1</v>
      </c>
      <c r="IL26" s="727">
        <f t="shared" si="225"/>
        <v>14.999997474319741</v>
      </c>
      <c r="IM26" s="759">
        <v>2.5566936443617501E-4</v>
      </c>
      <c r="IN26" s="5">
        <f t="shared" si="226"/>
        <v>0</v>
      </c>
      <c r="IO26" s="771">
        <v>0</v>
      </c>
      <c r="IP26" s="9">
        <f t="shared" si="227"/>
        <v>-3.7029000033124082</v>
      </c>
      <c r="IQ26" s="5">
        <f t="shared" si="228"/>
        <v>-1.9036999999999991</v>
      </c>
      <c r="IR26" s="5">
        <f t="shared" si="71"/>
        <v>0.314</v>
      </c>
      <c r="IS26" s="5">
        <f t="shared" si="229"/>
        <v>0.25721375756138054</v>
      </c>
      <c r="IT26" s="727">
        <f t="shared" si="230"/>
        <v>89.999987005609626</v>
      </c>
      <c r="IU26" s="9">
        <f t="shared" si="231"/>
        <v>-3.75</v>
      </c>
      <c r="IV26" s="5">
        <f t="shared" si="232"/>
        <v>-1.901370623422689</v>
      </c>
      <c r="IW26" s="5">
        <f t="shared" si="76"/>
        <v>0.25700000000000001</v>
      </c>
      <c r="IX26" s="5">
        <f t="shared" si="233"/>
        <v>0.25700000000000001</v>
      </c>
      <c r="IY26" s="762">
        <f t="shared" si="234"/>
        <v>89.999987005609611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0.80961509904379281</v>
      </c>
      <c r="C27" s="708">
        <v>-0.17208955187790467</v>
      </c>
      <c r="D27" s="709">
        <v>-0.36550110235132471</v>
      </c>
      <c r="E27" s="710">
        <v>0.13530445066904165</v>
      </c>
      <c r="F27" s="708">
        <v>0.95874538955692512</v>
      </c>
      <c r="G27" s="711">
        <v>0.24999996726497564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0.80961509904379281</v>
      </c>
      <c r="O27" s="629">
        <f t="shared" si="3"/>
        <v>-0.17208955187790467</v>
      </c>
      <c r="P27" s="633">
        <f t="shared" si="4"/>
        <v>-0.36550110235132471</v>
      </c>
      <c r="Q27" s="585">
        <f t="shared" si="113"/>
        <v>347.99996274941424</v>
      </c>
      <c r="R27" s="629">
        <f t="shared" si="79"/>
        <v>0.8277024963507289</v>
      </c>
      <c r="S27" s="634">
        <f t="shared" si="80"/>
        <v>-0.36550110235132471</v>
      </c>
      <c r="T27" s="635">
        <f t="shared" si="81"/>
        <v>-0.15922385730127597</v>
      </c>
      <c r="U27" s="629">
        <f t="shared" si="82"/>
        <v>-0.81224330451616</v>
      </c>
      <c r="V27" s="636">
        <f t="shared" si="114"/>
        <v>-0.36550110235132471</v>
      </c>
      <c r="W27" s="585">
        <f t="shared" si="224"/>
        <v>258.9089626181709</v>
      </c>
      <c r="X27" s="629">
        <f t="shared" si="83"/>
        <v>0.8277024963507289</v>
      </c>
      <c r="Y27" s="630">
        <f t="shared" si="223"/>
        <v>-0.36550110235132471</v>
      </c>
      <c r="Z27" s="632">
        <f t="shared" si="6"/>
        <v>-0.13530445066904165</v>
      </c>
      <c r="AA27" s="629">
        <f t="shared" si="7"/>
        <v>-0.95874538955692512</v>
      </c>
      <c r="AB27" s="629">
        <f t="shared" si="8"/>
        <v>-0.24999996726497564</v>
      </c>
      <c r="AC27" s="636">
        <f t="shared" si="84"/>
        <v>1</v>
      </c>
      <c r="AD27" s="637">
        <f t="shared" si="115"/>
        <v>-0.13530445066904165</v>
      </c>
      <c r="AE27" s="629">
        <f t="shared" si="85"/>
        <v>-0.95874538955692512</v>
      </c>
      <c r="AF27" s="633">
        <f t="shared" si="86"/>
        <v>-0.24999996726497564</v>
      </c>
      <c r="AG27" s="602">
        <f t="shared" si="87"/>
        <v>-75.38514260378598</v>
      </c>
      <c r="AH27" s="603">
        <f t="shared" si="88"/>
        <v>97.776225158119701</v>
      </c>
      <c r="AI27" s="585">
        <f t="shared" si="89"/>
        <v>-75.522489751159469</v>
      </c>
      <c r="AJ27" s="586">
        <f t="shared" si="90"/>
        <v>-8.032907605499199</v>
      </c>
      <c r="AK27" s="635">
        <f t="shared" si="211"/>
        <v>0.9659258360722075</v>
      </c>
      <c r="AL27" s="629">
        <f t="shared" si="91"/>
        <v>6.698727920820724E-2</v>
      </c>
      <c r="AM27" s="634">
        <f t="shared" si="92"/>
        <v>-0.24999996726497564</v>
      </c>
      <c r="AN27" s="581">
        <f t="shared" si="93"/>
        <v>14.999997834268278</v>
      </c>
      <c r="AO27" s="582">
        <f t="shared" si="94"/>
        <v>14.99999783426823</v>
      </c>
      <c r="AP27" s="585">
        <f t="shared" si="95"/>
        <v>3.9671296450865734</v>
      </c>
      <c r="AQ27" s="586">
        <f t="shared" si="9"/>
        <v>2.7521640170678858</v>
      </c>
      <c r="AS27" s="52">
        <f t="shared" si="116"/>
        <v>-101.0910373818291</v>
      </c>
      <c r="AT27" s="72">
        <f t="shared" si="10"/>
        <v>-0.29466774314952904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1.5186763353574879</v>
      </c>
      <c r="C28" s="708">
        <v>-0.32280565210297807</v>
      </c>
      <c r="D28" s="709">
        <v>-0.17120051634075714</v>
      </c>
      <c r="E28" s="710">
        <v>0.13530445066904162</v>
      </c>
      <c r="F28" s="708">
        <v>0.95874538955692512</v>
      </c>
      <c r="G28" s="711">
        <v>0.24999996726497559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3.1059999999999999</v>
      </c>
      <c r="N28" s="632">
        <f t="shared" si="2"/>
        <v>1.5186763353574879</v>
      </c>
      <c r="O28" s="629">
        <f t="shared" si="3"/>
        <v>-0.32280565210297807</v>
      </c>
      <c r="P28" s="633">
        <f t="shared" si="4"/>
        <v>-0.17120051634075714</v>
      </c>
      <c r="Q28" s="585">
        <f t="shared" si="113"/>
        <v>347.99996274941424</v>
      </c>
      <c r="R28" s="629">
        <f t="shared" si="79"/>
        <v>1.5526046826557229</v>
      </c>
      <c r="S28" s="634">
        <f t="shared" si="80"/>
        <v>-0.17120051634075714</v>
      </c>
      <c r="T28" s="635">
        <f t="shared" si="81"/>
        <v>-0.29867217693120829</v>
      </c>
      <c r="U28" s="629">
        <f t="shared" si="82"/>
        <v>-1.5236063242621605</v>
      </c>
      <c r="V28" s="636">
        <f t="shared" si="114"/>
        <v>-0.17120051634075714</v>
      </c>
      <c r="W28" s="585">
        <f t="shared" si="224"/>
        <v>258.9089626181709</v>
      </c>
      <c r="X28" s="629">
        <f t="shared" si="83"/>
        <v>1.5526046826557229</v>
      </c>
      <c r="Y28" s="630">
        <f t="shared" si="223"/>
        <v>-0.17120051634075714</v>
      </c>
      <c r="Z28" s="632">
        <f t="shared" si="6"/>
        <v>-0.13530445066904162</v>
      </c>
      <c r="AA28" s="629">
        <f t="shared" si="7"/>
        <v>-0.95874538955692512</v>
      </c>
      <c r="AB28" s="629">
        <f t="shared" si="8"/>
        <v>-0.24999996726497559</v>
      </c>
      <c r="AC28" s="636">
        <f t="shared" si="84"/>
        <v>1</v>
      </c>
      <c r="AD28" s="637">
        <f t="shared" si="115"/>
        <v>-0.13530445066904162</v>
      </c>
      <c r="AE28" s="629">
        <f t="shared" si="85"/>
        <v>-0.95874538955692512</v>
      </c>
      <c r="AF28" s="633">
        <f t="shared" si="86"/>
        <v>-0.24999996726497559</v>
      </c>
      <c r="AG28" s="602">
        <f t="shared" si="87"/>
        <v>-75.38514260378598</v>
      </c>
      <c r="AH28" s="603">
        <f t="shared" si="88"/>
        <v>97.776225158119701</v>
      </c>
      <c r="AI28" s="585">
        <f t="shared" si="89"/>
        <v>-75.522489751159469</v>
      </c>
      <c r="AJ28" s="586">
        <f t="shared" si="90"/>
        <v>-8.0329076054991955</v>
      </c>
      <c r="AK28" s="635">
        <f t="shared" si="211"/>
        <v>0.9659258360722075</v>
      </c>
      <c r="AL28" s="629">
        <f t="shared" si="91"/>
        <v>6.6987279208207268E-2</v>
      </c>
      <c r="AM28" s="634">
        <f t="shared" si="92"/>
        <v>-0.24999996726497559</v>
      </c>
      <c r="AN28" s="581">
        <f t="shared" si="93"/>
        <v>14.999997834268287</v>
      </c>
      <c r="AO28" s="582">
        <f t="shared" si="94"/>
        <v>14.99999783426823</v>
      </c>
      <c r="AP28" s="585">
        <f t="shared" si="95"/>
        <v>3.9671296450865752</v>
      </c>
      <c r="AQ28" s="586">
        <f t="shared" si="9"/>
        <v>1.4680026317350767</v>
      </c>
      <c r="AS28" s="52">
        <f t="shared" si="116"/>
        <v>-101.0910373818291</v>
      </c>
      <c r="AT28" s="72">
        <f t="shared" si="10"/>
        <v>-0.10036715713896148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2.3266811692643641</v>
      </c>
      <c r="C29" s="708">
        <v>-0.52057532125973771</v>
      </c>
      <c r="D29" s="709">
        <v>-5.2900159546881077E-2</v>
      </c>
      <c r="E29" s="710">
        <v>0.29293237467838579</v>
      </c>
      <c r="F29" s="708">
        <v>0.92245913032790172</v>
      </c>
      <c r="G29" s="711">
        <v>0.25151496325263262</v>
      </c>
      <c r="H29" s="710">
        <v>0.314</v>
      </c>
      <c r="I29" s="708">
        <v>0.52</v>
      </c>
      <c r="J29" s="570">
        <v>3.1120000000000001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3.1120000000000001</v>
      </c>
      <c r="N29" s="632">
        <f t="shared" si="2"/>
        <v>2.3266811692643641</v>
      </c>
      <c r="O29" s="629">
        <f t="shared" si="3"/>
        <v>-0.52057532125973771</v>
      </c>
      <c r="P29" s="633">
        <f t="shared" si="4"/>
        <v>-5.2900159546881077E-2</v>
      </c>
      <c r="Q29" s="585">
        <f t="shared" si="113"/>
        <v>347.38826283773278</v>
      </c>
      <c r="R29" s="629">
        <f>IF(M29="","",SQRT(N29^2+O29^2))</f>
        <v>2.3842071907688869</v>
      </c>
      <c r="S29" s="634">
        <f>IF(M29="","",P29)</f>
        <v>-5.2900159546881077E-2</v>
      </c>
      <c r="T29" s="635">
        <f>IF(M29="","",X29*COS(RADIANS(W29)))</f>
        <v>-0.48359846559272501</v>
      </c>
      <c r="U29" s="629">
        <f>IF(M29="","",X29*SIN(RADIANS(W29)))</f>
        <v>-2.3346469653012702</v>
      </c>
      <c r="V29" s="636">
        <f>IF(M29="","",Y29)</f>
        <v>-5.2900159546881077E-2</v>
      </c>
      <c r="W29" s="585">
        <f t="shared" si="224"/>
        <v>258.29726270648945</v>
      </c>
      <c r="X29" s="629">
        <f>IF(M29="","",R29)</f>
        <v>2.3842071907688869</v>
      </c>
      <c r="Y29" s="630">
        <f t="shared" si="223"/>
        <v>-5.2900159546881077E-2</v>
      </c>
      <c r="Z29" s="632">
        <f t="shared" si="6"/>
        <v>-0.29293237467838579</v>
      </c>
      <c r="AA29" s="629">
        <f t="shared" si="7"/>
        <v>-0.92245913032790172</v>
      </c>
      <c r="AB29" s="629">
        <f t="shared" si="8"/>
        <v>-0.25151496325263262</v>
      </c>
      <c r="AC29" s="636">
        <f>IF(M29="","",SQRT(Z29^2+AA29^2+AB29^2))</f>
        <v>1</v>
      </c>
      <c r="AD29" s="637">
        <f>IF(M29="","",Z29*(1/SQRT(Z29^2+AA29^2+AB29^2)))</f>
        <v>-0.29293237467838579</v>
      </c>
      <c r="AE29" s="629">
        <f>IF(M29="","",AA29*(1/SQRT(Z29^2+AA29^2+AB29^2)))</f>
        <v>-0.92245913032790172</v>
      </c>
      <c r="AF29" s="633">
        <f>IF(M29="","",AB29*(1/SQRT(Z29^2+AA29^2+AB29^2)))</f>
        <v>-0.25151496325263262</v>
      </c>
      <c r="AG29" s="602">
        <f>IF(M29="","",DEGREES(ATAN2(-AF29,AE29)))</f>
        <v>-74.748627552019542</v>
      </c>
      <c r="AH29" s="603">
        <f>IF(M29="","",DEGREES(ACOS(AD29)))</f>
        <v>107.03359483822506</v>
      </c>
      <c r="AI29" s="585">
        <f>IF(M29="","",DEGREES(-ACOS(-AF29)))</f>
        <v>-75.432821973920468</v>
      </c>
      <c r="AJ29" s="586">
        <f>IF(M29="","",DEGREES(ATAN2(-AE29,AD29)))</f>
        <v>-17.617554781497553</v>
      </c>
      <c r="AK29" s="635">
        <f>IF(M29="","",(COS(RADIANS((90-$Q$8)-W29))*AD29)+(-SIN(RADIANS((90-$Q$8)-W29))*AE29))</f>
        <v>0.96416186559027939</v>
      </c>
      <c r="AL29" s="629">
        <f>IF(M29="","",(SIN(RADIANS((90-$Q$8)-W29))*AD29)+(COS(RADIANS((90-$Q$8)-W29))*AE29))</f>
        <v>-8.4451880982597566E-2</v>
      </c>
      <c r="AM29" s="634">
        <f>IF(M29="","",AF29)</f>
        <v>-0.25151496325263262</v>
      </c>
      <c r="AN29" s="581">
        <f>IF(M29="","",DEGREES(ATAN2(-AM29,AL29)))</f>
        <v>-18.560650151509513</v>
      </c>
      <c r="AO29" s="582">
        <f t="shared" si="94"/>
        <v>15.385653929466303</v>
      </c>
      <c r="AP29" s="585">
        <f>IF(M29="","",DEGREES(ATAN2(AK29,AL29)))</f>
        <v>-5.0058176192303225</v>
      </c>
      <c r="AQ29" s="586">
        <f t="shared" si="9"/>
        <v>0.95608931893890725</v>
      </c>
      <c r="AS29" s="52">
        <f t="shared" si="116"/>
        <v>-101.70273729351055</v>
      </c>
      <c r="AT29" s="72">
        <f t="shared" si="10"/>
        <v>1.8357991260248931E-2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3.1120000000000001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160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170</v>
      </c>
    </row>
    <row r="30" spans="1:269" ht="15" customHeight="1" x14ac:dyDescent="0.25">
      <c r="A30" s="79"/>
      <c r="B30" s="707">
        <v>3.0319755436848674</v>
      </c>
      <c r="C30" s="708">
        <v>-0.73592324373082463</v>
      </c>
      <c r="D30" s="709">
        <v>-0.36760110868494394</v>
      </c>
      <c r="E30" s="710">
        <v>0.43897182483099051</v>
      </c>
      <c r="F30" s="708">
        <v>0.88104431497757874</v>
      </c>
      <c r="G30" s="711">
        <v>0.17625167247501278</v>
      </c>
      <c r="H30" s="710">
        <v>0.314</v>
      </c>
      <c r="I30" s="708">
        <v>0.52</v>
      </c>
      <c r="J30" s="570">
        <v>3.1190000000000002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3.1190000000000002</v>
      </c>
      <c r="N30" s="632">
        <f t="shared" si="2"/>
        <v>3.0319755436848674</v>
      </c>
      <c r="O30" s="629">
        <f t="shared" si="3"/>
        <v>-0.73592324373082463</v>
      </c>
      <c r="P30" s="633">
        <f t="shared" si="4"/>
        <v>-0.36760110868494394</v>
      </c>
      <c r="Q30" s="585">
        <f t="shared" si="113"/>
        <v>346.35696298663407</v>
      </c>
      <c r="R30" s="629">
        <f>IF(M30="","",SQRT(N30^2+O30^2))</f>
        <v>3.1200094099483811</v>
      </c>
      <c r="S30" s="634">
        <f>IF(M30="","",P30)</f>
        <v>-0.36760110868494394</v>
      </c>
      <c r="T30" s="635">
        <f>IF(M30="","",X30*COS(RADIANS(W30)))</f>
        <v>-0.68773023265012068</v>
      </c>
      <c r="U30" s="629">
        <f>IF(M30="","",X30*SIN(RADIANS(W30)))</f>
        <v>-3.0432689406730811</v>
      </c>
      <c r="V30" s="636">
        <f>IF(M30="","",Y30)</f>
        <v>-0.36760110868494394</v>
      </c>
      <c r="W30" s="585">
        <f t="shared" si="224"/>
        <v>257.26596285539074</v>
      </c>
      <c r="X30" s="629">
        <f>IF(M30="","",R30)</f>
        <v>3.1200094099483811</v>
      </c>
      <c r="Y30" s="630">
        <f t="shared" si="223"/>
        <v>-0.36760110868494394</v>
      </c>
      <c r="Z30" s="632">
        <f t="shared" si="6"/>
        <v>-0.43897182483099051</v>
      </c>
      <c r="AA30" s="629">
        <f t="shared" si="7"/>
        <v>-0.88104431497757874</v>
      </c>
      <c r="AB30" s="629">
        <f t="shared" si="8"/>
        <v>-0.17625167247501278</v>
      </c>
      <c r="AC30" s="636">
        <f>IF(M30="","",SQRT(Z30^2+AA30^2+AB30^2))</f>
        <v>1</v>
      </c>
      <c r="AD30" s="637">
        <f>IF(M30="","",Z30*(1/SQRT(Z30^2+AA30^2+AB30^2)))</f>
        <v>-0.43897182483099051</v>
      </c>
      <c r="AE30" s="629">
        <f>IF(M30="","",AA30*(1/SQRT(Z30^2+AA30^2+AB30^2)))</f>
        <v>-0.88104431497757874</v>
      </c>
      <c r="AF30" s="633">
        <f>IF(M30="","",AB30*(1/SQRT(Z30^2+AA30^2+AB30^2)))</f>
        <v>-0.17625167247501278</v>
      </c>
      <c r="AG30" s="602">
        <f>IF(M30="","",DEGREES(ATAN2(-AF30,AE30)))</f>
        <v>-78.687390655065002</v>
      </c>
      <c r="AH30" s="603">
        <f>IF(M30="","",DEGREES(ACOS(AD30)))</f>
        <v>116.03829790633498</v>
      </c>
      <c r="AI30" s="585">
        <f>IF(M30="","",DEGREES(-ACOS(-AF30)))</f>
        <v>-79.848494062237947</v>
      </c>
      <c r="AJ30" s="586">
        <f>IF(M30="","",DEGREES(ATAN2(-AE30,AD30)))</f>
        <v>-26.48433784711797</v>
      </c>
      <c r="AK30" s="635">
        <f>IF(M30="","",(COS(RADIANS((90-$Q$8)-W30))*AD30)+(-SIN(RADIANS((90-$Q$8)-W30))*AE30))</f>
        <v>0.95972607505700036</v>
      </c>
      <c r="AL30" s="629">
        <f>IF(M30="","",(SIN(RADIANS((90-$Q$8)-W30))*AD30)+(COS(RADIANS((90-$Q$8)-W30))*AE30))</f>
        <v>-0.21877204758708516</v>
      </c>
      <c r="AM30" s="634">
        <f>IF(M30="","",AF30)</f>
        <v>-0.17625167247501278</v>
      </c>
      <c r="AN30" s="581">
        <f>IF(M30="","",DEGREES(ATAN2(-AM30,AL30)))</f>
        <v>-51.143666130746631</v>
      </c>
      <c r="AO30" s="582">
        <f>IF(ROUND(IF(M30="",0,DEGREES(ACOS(AK30))),4)=90,0,IF(M30="","",DEGREES(ACOS(AK30))))</f>
        <v>16.31616367981421</v>
      </c>
      <c r="AP30" s="585">
        <f>IF(M30="","",DEGREES(ATAN2(AK30,AL30)))</f>
        <v>-12.841300833752056</v>
      </c>
      <c r="AQ30" s="586">
        <f t="shared" si="9"/>
        <v>0.73063980209117085</v>
      </c>
      <c r="AS30" s="52">
        <f t="shared" si="116"/>
        <v>-102.73403714460926</v>
      </c>
      <c r="AT30" s="72">
        <f t="shared" si="10"/>
        <v>-0.29562677742566207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3.1190000000000002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18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410</v>
      </c>
    </row>
    <row r="31" spans="1:269" ht="15" customHeight="1" x14ac:dyDescent="0.25">
      <c r="A31" s="79"/>
      <c r="B31" s="707">
        <v>3.4588215647701275</v>
      </c>
      <c r="C31" s="708">
        <v>-0.88646186974347718</v>
      </c>
      <c r="D31" s="709">
        <v>-1.0034030262635276</v>
      </c>
      <c r="E31" s="710">
        <v>0.60132532085675849</v>
      </c>
      <c r="F31" s="708">
        <v>0.78605441019587774</v>
      </c>
      <c r="G31" s="711">
        <v>0.14327010402776738</v>
      </c>
      <c r="H31" s="710">
        <v>0.314</v>
      </c>
      <c r="I31" s="708">
        <v>0.52</v>
      </c>
      <c r="J31" s="570">
        <v>3.1259999999999999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3.1259999999999999</v>
      </c>
      <c r="N31" s="632">
        <f t="shared" si="2"/>
        <v>3.4588215647701275</v>
      </c>
      <c r="O31" s="629">
        <f t="shared" si="3"/>
        <v>-0.88646186974347718</v>
      </c>
      <c r="P31" s="633">
        <f t="shared" si="4"/>
        <v>-1.0034030262635276</v>
      </c>
      <c r="Q31" s="585">
        <f t="shared" si="113"/>
        <v>345.6250630923073</v>
      </c>
      <c r="R31" s="629">
        <f>IF(M31="","",SQRT(N31^2+O31^2))</f>
        <v>3.5706107689620796</v>
      </c>
      <c r="S31" s="634">
        <f>IF(M31="","",P31)</f>
        <v>-1.0034030262635276</v>
      </c>
      <c r="T31" s="635">
        <f>IF(M31="","",X31*COS(RADIANS(W31)))</f>
        <v>-0.83147826843025885</v>
      </c>
      <c r="U31" s="629">
        <f>IF(M31="","",X31*SIN(RADIANS(W31)))</f>
        <v>-3.472449445644413</v>
      </c>
      <c r="V31" s="636">
        <f>IF(M31="","",Y31)</f>
        <v>-1.0034030262635276</v>
      </c>
      <c r="W31" s="585">
        <f t="shared" si="224"/>
        <v>256.53406296106397</v>
      </c>
      <c r="X31" s="629">
        <f>IF(M31="","",R31)</f>
        <v>3.5706107689620796</v>
      </c>
      <c r="Y31" s="630">
        <f t="shared" si="223"/>
        <v>-1.0034030262635276</v>
      </c>
      <c r="Z31" s="632">
        <f t="shared" si="6"/>
        <v>-0.60132532085675849</v>
      </c>
      <c r="AA31" s="629">
        <f t="shared" si="7"/>
        <v>-0.78605441019587774</v>
      </c>
      <c r="AB31" s="629">
        <f t="shared" si="8"/>
        <v>-0.14327010402776738</v>
      </c>
      <c r="AC31" s="636">
        <f>IF(M31="","",SQRT(Z31^2+AA31^2+AB31^2))</f>
        <v>1</v>
      </c>
      <c r="AD31" s="637">
        <f>IF(M31="","",Z31*(1/SQRT(Z31^2+AA31^2+AB31^2)))</f>
        <v>-0.60132532085675849</v>
      </c>
      <c r="AE31" s="629">
        <f>IF(M31="","",AA31*(1/SQRT(Z31^2+AA31^2+AB31^2)))</f>
        <v>-0.78605441019587774</v>
      </c>
      <c r="AF31" s="633">
        <f>IF(M31="","",AB31*(1/SQRT(Z31^2+AA31^2+AB31^2)))</f>
        <v>-0.14327010402776738</v>
      </c>
      <c r="AG31" s="602">
        <f>IF(M31="","",DEGREES(ATAN2(-AF31,AE31)))</f>
        <v>-79.670381180494942</v>
      </c>
      <c r="AH31" s="603">
        <f>IF(M31="","",DEGREES(ACOS(AD31)))</f>
        <v>126.9648758452001</v>
      </c>
      <c r="AI31" s="585">
        <f>IF(M31="","",DEGREES(-ACOS(-AF31)))</f>
        <v>-81.762882447933762</v>
      </c>
      <c r="AJ31" s="586">
        <f>IF(M31="","",DEGREES(ATAN2(-AE31,AD31)))</f>
        <v>-37.415698801363959</v>
      </c>
      <c r="AK31" s="635">
        <f>IF(M31="","",(COS(RADIANS((90-$Q$8)-W31))*AD31)+(-SIN(RADIANS((90-$Q$8)-W31))*AE31))</f>
        <v>0.91073323969843201</v>
      </c>
      <c r="AL31" s="629">
        <f>IF(M31="","",(SIN(RADIANS((90-$Q$8)-W31))*AD31)+(COS(RADIANS((90-$Q$8)-W31))*AE31))</f>
        <v>-0.38734821982328915</v>
      </c>
      <c r="AM31" s="634">
        <f>IF(M31="","",AF31)</f>
        <v>-0.14327010402776738</v>
      </c>
      <c r="AN31" s="581">
        <f>IF(M31="","",DEGREES(ATAN2(-AM31,AL31)))</f>
        <v>-69.701867587284084</v>
      </c>
      <c r="AO31" s="582">
        <f t="shared" si="94"/>
        <v>24.393122714353321</v>
      </c>
      <c r="AP31" s="585">
        <f>IF(M31="","",DEGREES(ATAN2(AK31,AL31)))</f>
        <v>-23.040761893671249</v>
      </c>
      <c r="AQ31" s="586">
        <f t="shared" si="9"/>
        <v>0.63844323130274838</v>
      </c>
      <c r="AS31" s="52">
        <f t="shared" si="116"/>
        <v>-103.46593703893603</v>
      </c>
      <c r="AT31" s="72">
        <f t="shared" si="10"/>
        <v>-0.93092043118874102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3.5767261240998875</v>
      </c>
      <c r="C32" s="708">
        <v>-0.95838336328842588</v>
      </c>
      <c r="D32" s="709">
        <v>-1.8023999999999993</v>
      </c>
      <c r="E32" s="710">
        <v>0.76604480433163968</v>
      </c>
      <c r="F32" s="708">
        <v>0.64278717920979345</v>
      </c>
      <c r="G32" s="711">
        <v>1.3008419223321922E-7</v>
      </c>
      <c r="H32" s="710">
        <v>0.314</v>
      </c>
      <c r="I32" s="708">
        <v>0.52</v>
      </c>
      <c r="J32" s="570">
        <v>3.133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3.133</v>
      </c>
      <c r="N32" s="632">
        <f t="shared" si="2"/>
        <v>3.5767261240998875</v>
      </c>
      <c r="O32" s="629">
        <f t="shared" si="3"/>
        <v>-0.95838336328842588</v>
      </c>
      <c r="P32" s="633">
        <f t="shared" si="4"/>
        <v>-1.8023999999999993</v>
      </c>
      <c r="Q32" s="585">
        <f t="shared" si="113"/>
        <v>344.99996283250539</v>
      </c>
      <c r="R32" s="629">
        <f t="shared" si="79"/>
        <v>3.7029000037601123</v>
      </c>
      <c r="S32" s="634">
        <f t="shared" si="80"/>
        <v>-1.8023999999999993</v>
      </c>
      <c r="T32" s="635">
        <f t="shared" si="81"/>
        <v>-0.9015202287095937</v>
      </c>
      <c r="U32" s="629">
        <f t="shared" si="82"/>
        <v>-3.5914801565752859</v>
      </c>
      <c r="V32" s="636">
        <f t="shared" si="114"/>
        <v>-1.8023999999999993</v>
      </c>
      <c r="W32" s="585">
        <f t="shared" si="224"/>
        <v>255.90896270126206</v>
      </c>
      <c r="X32" s="629">
        <f t="shared" si="83"/>
        <v>3.7029000037601123</v>
      </c>
      <c r="Y32" s="630">
        <f t="shared" si="223"/>
        <v>-1.8023999999999993</v>
      </c>
      <c r="Z32" s="632">
        <f t="shared" si="6"/>
        <v>-0.76604480433163968</v>
      </c>
      <c r="AA32" s="629">
        <f t="shared" si="7"/>
        <v>-0.64278717920979345</v>
      </c>
      <c r="AB32" s="629">
        <f t="shared" si="8"/>
        <v>-1.3008419223321922E-7</v>
      </c>
      <c r="AC32" s="636">
        <f t="shared" si="84"/>
        <v>1</v>
      </c>
      <c r="AD32" s="637">
        <f t="shared" si="115"/>
        <v>-0.76604480433163968</v>
      </c>
      <c r="AE32" s="629">
        <f t="shared" si="85"/>
        <v>-0.64278717920979345</v>
      </c>
      <c r="AF32" s="633">
        <f t="shared" si="86"/>
        <v>-1.3008419223321922E-7</v>
      </c>
      <c r="AG32" s="602">
        <f t="shared" si="87"/>
        <v>-89.999988404754433</v>
      </c>
      <c r="AH32" s="603">
        <f t="shared" si="88"/>
        <v>140.00003219721046</v>
      </c>
      <c r="AI32" s="585">
        <f t="shared" si="89"/>
        <v>-89.999992546724798</v>
      </c>
      <c r="AJ32" s="586">
        <f t="shared" si="90"/>
        <v>-50.000032197211034</v>
      </c>
      <c r="AK32" s="635">
        <f t="shared" si="211"/>
        <v>0.81915209404548373</v>
      </c>
      <c r="AL32" s="629">
        <f t="shared" si="91"/>
        <v>-0.57357636529139022</v>
      </c>
      <c r="AM32" s="634">
        <f t="shared" si="92"/>
        <v>-1.3008419223321922E-7</v>
      </c>
      <c r="AN32" s="581">
        <f t="shared" si="93"/>
        <v>-89.999987005609626</v>
      </c>
      <c r="AO32" s="582">
        <f t="shared" si="94"/>
        <v>34.99999502971707</v>
      </c>
      <c r="AP32" s="585">
        <f t="shared" si="95"/>
        <v>-34.999995029716388</v>
      </c>
      <c r="AQ32" s="586">
        <f t="shared" si="9"/>
        <v>0.6156360948648697</v>
      </c>
      <c r="AS32" s="52">
        <f t="shared" si="116"/>
        <v>-104.09103729873794</v>
      </c>
      <c r="AT32" s="72">
        <f t="shared" si="10"/>
        <v>-1.7294833075225726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3.133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2.0044675009493162</v>
      </c>
      <c r="C33" s="708">
        <v>-1.3017182682269999</v>
      </c>
      <c r="D33" s="709">
        <v>-1.0362703820653272E-2</v>
      </c>
      <c r="E33" s="710">
        <v>0.57644133149671706</v>
      </c>
      <c r="F33" s="708">
        <v>0.70432923790006974</v>
      </c>
      <c r="G33" s="711">
        <v>0.41428941089701904</v>
      </c>
      <c r="H33" s="710">
        <v>0.26600000000000001</v>
      </c>
      <c r="I33" s="708">
        <v>0.52</v>
      </c>
      <c r="J33" s="570">
        <v>3.2120000000000002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3.2120000000000002</v>
      </c>
      <c r="N33" s="632">
        <f t="shared" si="2"/>
        <v>2.0044675009493162</v>
      </c>
      <c r="O33" s="629">
        <f t="shared" si="3"/>
        <v>-1.3017182682269999</v>
      </c>
      <c r="P33" s="633">
        <f t="shared" si="4"/>
        <v>-1.0362703820653272E-2</v>
      </c>
      <c r="Q33" s="585">
        <f t="shared" si="113"/>
        <v>326.99996274941424</v>
      </c>
      <c r="R33" s="629">
        <f t="shared" si="79"/>
        <v>2.3900544789183984</v>
      </c>
      <c r="S33" s="634">
        <f t="shared" si="80"/>
        <v>-1.0362703820653272E-2</v>
      </c>
      <c r="T33" s="635">
        <f t="shared" si="81"/>
        <v>-1.2697548264625051</v>
      </c>
      <c r="U33" s="629">
        <f t="shared" si="82"/>
        <v>-2.0248661913502013</v>
      </c>
      <c r="V33" s="636">
        <f t="shared" si="114"/>
        <v>-1.0362703820653272E-2</v>
      </c>
      <c r="W33" s="585">
        <f t="shared" si="224"/>
        <v>237.9089626181709</v>
      </c>
      <c r="X33" s="629">
        <f t="shared" si="83"/>
        <v>2.3900544789183984</v>
      </c>
      <c r="Y33" s="630">
        <f t="shared" si="223"/>
        <v>-1.0362703820653272E-2</v>
      </c>
      <c r="Z33" s="632">
        <f t="shared" si="6"/>
        <v>-0.57644133149671706</v>
      </c>
      <c r="AA33" s="629">
        <f t="shared" si="7"/>
        <v>-0.70432923790006974</v>
      </c>
      <c r="AB33" s="629">
        <f t="shared" si="8"/>
        <v>-0.41428941089701904</v>
      </c>
      <c r="AC33" s="636">
        <f t="shared" si="84"/>
        <v>1</v>
      </c>
      <c r="AD33" s="637">
        <f t="shared" si="115"/>
        <v>-0.57644133149671706</v>
      </c>
      <c r="AE33" s="629">
        <f t="shared" si="85"/>
        <v>-0.70432923790006974</v>
      </c>
      <c r="AF33" s="633">
        <f t="shared" si="86"/>
        <v>-0.41428941089701904</v>
      </c>
      <c r="AG33" s="602">
        <f t="shared" si="87"/>
        <v>-59.53577897853156</v>
      </c>
      <c r="AH33" s="603">
        <f t="shared" si="88"/>
        <v>125.20063213047622</v>
      </c>
      <c r="AI33" s="585">
        <f t="shared" si="89"/>
        <v>-65.525424726997727</v>
      </c>
      <c r="AJ33" s="586">
        <f t="shared" si="90"/>
        <v>-39.297784929778665</v>
      </c>
      <c r="AK33" s="635">
        <f t="shared" si="211"/>
        <v>0.90465271740915953</v>
      </c>
      <c r="AL33" s="629">
        <f t="shared" si="91"/>
        <v>-9.9838594255049928E-2</v>
      </c>
      <c r="AM33" s="634">
        <f t="shared" si="92"/>
        <v>-0.41428941089701904</v>
      </c>
      <c r="AN33" s="581">
        <f t="shared" si="93"/>
        <v>-13.549222619234435</v>
      </c>
      <c r="AO33" s="582">
        <f t="shared" si="94"/>
        <v>25.223449523131396</v>
      </c>
      <c r="AP33" s="585">
        <f t="shared" si="95"/>
        <v>-6.2977476791928799</v>
      </c>
      <c r="AQ33" s="586">
        <f t="shared" si="9"/>
        <v>0.95375067107266709</v>
      </c>
      <c r="AS33" s="52">
        <f t="shared" si="116"/>
        <v>-122.0910373818291</v>
      </c>
      <c r="AT33" s="72">
        <f t="shared" si="10"/>
        <v>7.5053988714475731E-2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3.2120000000000002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3.1120000000000001</v>
      </c>
      <c r="II33" s="734" cm="1">
        <f t="array" ref="II33">IFERROR(ROUND(VALUE(IF($IH33&lt;1,$IH33+LARGE((IF($M$9:$M$150="",0,$M$9:$M$150)-MOD(IF($M$9:$M$150="",0,$M$9:$M$150),1)),1),$IH33)),4),"")</f>
        <v>3.1120000000000001</v>
      </c>
      <c r="IJ33" s="533">
        <f t="shared" si="112"/>
        <v>1613</v>
      </c>
      <c r="IK33" s="533">
        <f t="shared" si="66"/>
        <v>1313</v>
      </c>
      <c r="IL33" s="727">
        <f t="shared" si="225"/>
        <v>20.388300088318545</v>
      </c>
      <c r="IM33" s="759">
        <v>1.92546422626052E-2</v>
      </c>
      <c r="IN33" s="5">
        <f t="shared" si="226"/>
        <v>0.32</v>
      </c>
      <c r="IO33" s="771">
        <v>160</v>
      </c>
      <c r="IP33" s="9">
        <f t="shared" si="227"/>
        <v>-2.3842071907688869</v>
      </c>
      <c r="IQ33" s="5">
        <f t="shared" si="228"/>
        <v>-5.2900159546881077E-2</v>
      </c>
      <c r="IR33" s="5">
        <f t="shared" si="71"/>
        <v>0.314</v>
      </c>
      <c r="IS33" s="5">
        <f t="shared" si="229"/>
        <v>0.30274682579534773</v>
      </c>
      <c r="IT33" s="727">
        <f t="shared" si="230"/>
        <v>18.560650151509513</v>
      </c>
      <c r="IU33" s="9">
        <f t="shared" si="231"/>
        <v>-2.3900544789183984</v>
      </c>
      <c r="IV33" s="5">
        <f t="shared" si="232"/>
        <v>-1.0362703820653272E-2</v>
      </c>
      <c r="IW33" s="5">
        <f t="shared" si="76"/>
        <v>0.26600000000000001</v>
      </c>
      <c r="IX33" s="5">
        <f t="shared" si="233"/>
        <v>0.24063762283083645</v>
      </c>
      <c r="IY33" s="762">
        <f t="shared" si="234"/>
        <v>13.549222619234435</v>
      </c>
    </row>
    <row r="34" spans="1:267" ht="15" customHeight="1" x14ac:dyDescent="0.25">
      <c r="A34" s="79"/>
      <c r="B34" s="707">
        <v>2.7267694735707182</v>
      </c>
      <c r="C34" s="708">
        <v>-1.5743032884023005</v>
      </c>
      <c r="D34" s="709">
        <v>-0.33061244331558221</v>
      </c>
      <c r="E34" s="710">
        <v>0.70457017589521187</v>
      </c>
      <c r="F34" s="708">
        <v>0.63301312048843372</v>
      </c>
      <c r="G34" s="711">
        <v>0.32074172869847456</v>
      </c>
      <c r="H34" s="710">
        <v>0.26600000000000001</v>
      </c>
      <c r="I34" s="708">
        <v>0.52</v>
      </c>
      <c r="J34" s="570">
        <v>3.2189999999999999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3.2189999999999999</v>
      </c>
      <c r="N34" s="632">
        <f t="shared" si="2"/>
        <v>2.7267694735707182</v>
      </c>
      <c r="O34" s="629">
        <f t="shared" si="3"/>
        <v>-1.5743032884023005</v>
      </c>
      <c r="P34" s="633">
        <f t="shared" si="4"/>
        <v>-0.33061244331558221</v>
      </c>
      <c r="Q34" s="585">
        <f t="shared" si="113"/>
        <v>329.99996534829228</v>
      </c>
      <c r="R34" s="629">
        <f>IF(M34="","",SQRT(N34^2+O34^2))</f>
        <v>3.1486032785778884</v>
      </c>
      <c r="S34" s="634">
        <f>IF(M34="","",P34)</f>
        <v>-0.33061244331558221</v>
      </c>
      <c r="T34" s="635">
        <f>IF(M34="","",X34*COS(RADIANS(W34)))</f>
        <v>-1.5308466731832877</v>
      </c>
      <c r="U34" s="629">
        <f>IF(M34="","",X34*SIN(RADIANS(W34)))</f>
        <v>-2.7514016553522476</v>
      </c>
      <c r="V34" s="636">
        <f>IF(M34="","",Y34)</f>
        <v>-0.33061244331558221</v>
      </c>
      <c r="W34" s="585">
        <f t="shared" si="224"/>
        <v>240.90896521704894</v>
      </c>
      <c r="X34" s="629">
        <f>IF(M34="","",R34)</f>
        <v>3.1486032785778884</v>
      </c>
      <c r="Y34" s="630">
        <f t="shared" si="223"/>
        <v>-0.33061244331558221</v>
      </c>
      <c r="Z34" s="632">
        <f t="shared" si="6"/>
        <v>-0.70457017589521187</v>
      </c>
      <c r="AA34" s="629">
        <f t="shared" si="7"/>
        <v>-0.63301312048843372</v>
      </c>
      <c r="AB34" s="629">
        <f t="shared" si="8"/>
        <v>-0.32074172869847456</v>
      </c>
      <c r="AC34" s="636">
        <f>IF(M34="","",SQRT(Z34^2+AA34^2+AB34^2))</f>
        <v>1</v>
      </c>
      <c r="AD34" s="637">
        <f>IF(M34="","",Z34*(1/SQRT(Z34^2+AA34^2+AB34^2)))</f>
        <v>-0.70457017589521187</v>
      </c>
      <c r="AE34" s="629">
        <f>IF(M34="","",AA34*(1/SQRT(Z34^2+AA34^2+AB34^2)))</f>
        <v>-0.63301312048843372</v>
      </c>
      <c r="AF34" s="633">
        <f>IF(M34="","",AB34*(1/SQRT(Z34^2+AA34^2+AB34^2)))</f>
        <v>-0.32074172869847456</v>
      </c>
      <c r="AG34" s="602">
        <f>IF(M34="","",DEGREES(ATAN2(-AF34,AE34)))</f>
        <v>-63.129100737049484</v>
      </c>
      <c r="AH34" s="603">
        <f>IF(M34="","",DEGREES(ACOS(AD34)))</f>
        <v>134.79482966630425</v>
      </c>
      <c r="AI34" s="585">
        <f>IF(M34="","",DEGREES(-ACOS(-AF34)))</f>
        <v>-71.292212584263709</v>
      </c>
      <c r="AJ34" s="586">
        <f>IF(M34="","",DEGREES(ATAN2(-AE34,AD34)))</f>
        <v>-48.062248698292642</v>
      </c>
      <c r="AK34" s="635">
        <f>IF(M34="","",(COS(RADIANS((90-$Q$8)-W34))*AD34)+(-SIN(RADIANS((90-$Q$8)-W34))*AE34))</f>
        <v>0.90049070882636628</v>
      </c>
      <c r="AL34" s="629">
        <f>IF(M34="","",(SIN(RADIANS((90-$Q$8)-W34))*AD34)+(COS(RADIANS((90-$Q$8)-W34))*AE34))</f>
        <v>-0.29366856622543452</v>
      </c>
      <c r="AM34" s="634">
        <f>IF(M34="","",AF34)</f>
        <v>-0.32074172869847456</v>
      </c>
      <c r="AN34" s="581">
        <f>IF(M34="","",DEGREES(ATAN2(-AM34,AL34)))</f>
        <v>-42.476970677007465</v>
      </c>
      <c r="AO34" s="582">
        <f t="shared" si="94"/>
        <v>25.777356127510121</v>
      </c>
      <c r="AP34" s="585">
        <f>IF(M34="","",DEGREES(ATAN2(AK34,AL34)))</f>
        <v>-18.06221404658492</v>
      </c>
      <c r="AQ34" s="586">
        <f t="shared" si="9"/>
        <v>0.72400524619127393</v>
      </c>
      <c r="AS34" s="52">
        <f t="shared" si="116"/>
        <v>-119.09103478295106</v>
      </c>
      <c r="AT34" s="72">
        <f t="shared" si="10"/>
        <v>-0.24727908591856296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3.2189999999999999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3.1190000000000002</v>
      </c>
      <c r="II34" s="734" cm="1">
        <f t="array" ref="II34">IFERROR(ROUND(VALUE(IF($IH34&lt;1,$IH34+LARGE((IF($M$9:$M$150="",0,$M$9:$M$150)-MOD(IF($M$9:$M$150="",0,$M$9:$M$150),1)),1),$IH34)),4),"")</f>
        <v>3.1190000000000002</v>
      </c>
      <c r="IJ34" s="533">
        <f t="shared" si="112"/>
        <v>1613</v>
      </c>
      <c r="IK34" s="533">
        <f t="shared" si="66"/>
        <v>1313</v>
      </c>
      <c r="IL34" s="727">
        <f t="shared" si="225"/>
        <v>16.356997638341795</v>
      </c>
      <c r="IM34" s="759">
        <v>1.55268035698578E-2</v>
      </c>
      <c r="IN34" s="5">
        <f t="shared" si="226"/>
        <v>0.36</v>
      </c>
      <c r="IO34" s="771">
        <v>180</v>
      </c>
      <c r="IP34" s="9">
        <f t="shared" si="227"/>
        <v>-3.1200094099483811</v>
      </c>
      <c r="IQ34" s="5">
        <f t="shared" si="228"/>
        <v>-0.36760110868494394</v>
      </c>
      <c r="IR34" s="5">
        <f t="shared" si="71"/>
        <v>0.314</v>
      </c>
      <c r="IS34" s="5">
        <f t="shared" si="229"/>
        <v>0.30135398756789811</v>
      </c>
      <c r="IT34" s="727">
        <f t="shared" si="230"/>
        <v>51.143666130746631</v>
      </c>
      <c r="IU34" s="9">
        <f t="shared" si="231"/>
        <v>-3.1486032785778884</v>
      </c>
      <c r="IV34" s="5">
        <f t="shared" si="232"/>
        <v>-0.33061244331558221</v>
      </c>
      <c r="IW34" s="5">
        <f t="shared" si="76"/>
        <v>0.26600000000000001</v>
      </c>
      <c r="IX34" s="5">
        <f t="shared" si="233"/>
        <v>0.23953052854781345</v>
      </c>
      <c r="IY34" s="762">
        <f t="shared" si="234"/>
        <v>42.476970677007465</v>
      </c>
      <c r="JG34" s="470"/>
    </row>
    <row r="35" spans="1:267" ht="15" customHeight="1" x14ac:dyDescent="0.25">
      <c r="A35" s="79"/>
      <c r="B35" s="707">
        <v>3.1123068223045571</v>
      </c>
      <c r="C35" s="708">
        <v>-1.7968936913668672</v>
      </c>
      <c r="D35" s="709">
        <v>-1.0256914245890987</v>
      </c>
      <c r="E35" s="710">
        <v>0.65458812051306892</v>
      </c>
      <c r="F35" s="708">
        <v>-0.37792689355443726</v>
      </c>
      <c r="G35" s="711">
        <v>0.654740907238475</v>
      </c>
      <c r="H35" s="710">
        <v>0.25700000000000001</v>
      </c>
      <c r="I35" s="708">
        <v>0.41499999999999992</v>
      </c>
      <c r="J35" s="570">
        <v>3.226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CPS-32193r1</v>
      </c>
      <c r="L35" s="320"/>
      <c r="M35" s="168">
        <f t="shared" si="1"/>
        <v>3.226</v>
      </c>
      <c r="N35" s="632">
        <f t="shared" si="2"/>
        <v>3.1123068223045571</v>
      </c>
      <c r="O35" s="629">
        <f t="shared" si="3"/>
        <v>-1.7968936913668672</v>
      </c>
      <c r="P35" s="633">
        <f t="shared" si="4"/>
        <v>-1.0256914245890987</v>
      </c>
      <c r="Q35" s="585">
        <f t="shared" si="113"/>
        <v>329.99996534829233</v>
      </c>
      <c r="R35" s="629">
        <f>IF(M35="","",SQRT(N35^2+O35^2))</f>
        <v>3.5937836181714582</v>
      </c>
      <c r="S35" s="634">
        <f>IF(M35="","",P35)</f>
        <v>-1.0256914245890987</v>
      </c>
      <c r="T35" s="635">
        <f>IF(M35="","",X35*COS(RADIANS(W35)))</f>
        <v>-1.7472927546792152</v>
      </c>
      <c r="U35" s="629">
        <f>IF(M35="","",X35*SIN(RADIANS(W35)))</f>
        <v>-3.1404217429643202</v>
      </c>
      <c r="V35" s="636">
        <f>IF(M35="","",Y35)</f>
        <v>-1.0256914245890987</v>
      </c>
      <c r="W35" s="585">
        <f t="shared" si="224"/>
        <v>240.908965217049</v>
      </c>
      <c r="X35" s="629">
        <f>IF(M35="","",R35)</f>
        <v>3.5937836181714582</v>
      </c>
      <c r="Y35" s="630">
        <f t="shared" si="223"/>
        <v>-1.0256914245890987</v>
      </c>
      <c r="Z35" s="632">
        <f t="shared" si="6"/>
        <v>-0.65458812051306892</v>
      </c>
      <c r="AA35" s="629">
        <f t="shared" si="7"/>
        <v>0.37792689355443726</v>
      </c>
      <c r="AB35" s="629">
        <f t="shared" si="8"/>
        <v>-0.654740907238475</v>
      </c>
      <c r="AC35" s="636">
        <f>IF(M35="","",SQRT(Z35^2+AA35^2+AB35^2))</f>
        <v>1</v>
      </c>
      <c r="AD35" s="637">
        <f>IF(M35="","",Z35*(1/SQRT(Z35^2+AA35^2+AB35^2)))</f>
        <v>-0.65458812051306892</v>
      </c>
      <c r="AE35" s="629">
        <f>IF(M35="","",AA35*(1/SQRT(Z35^2+AA35^2+AB35^2)))</f>
        <v>0.37792689355443726</v>
      </c>
      <c r="AF35" s="633">
        <f>IF(M35="","",AB35*(1/SQRT(Z35^2+AA35^2+AB35^2)))</f>
        <v>-0.654740907238475</v>
      </c>
      <c r="AG35" s="602">
        <f>IF(M35="","",DEGREES(ATAN2(-AF35,AE35)))</f>
        <v>29.994227642136835</v>
      </c>
      <c r="AH35" s="603">
        <f>IF(M35="","",DEGREES(ACOS(AD35)))</f>
        <v>130.88842644606569</v>
      </c>
      <c r="AI35" s="585">
        <f>IF(M35="","",DEGREES(-ACOS(-AF35)))</f>
        <v>-49.099992910839397</v>
      </c>
      <c r="AJ35" s="586">
        <f>IF(M35="","",DEGREES(ATAN2(-AE35,AD35)))</f>
        <v>-120.00001746002658</v>
      </c>
      <c r="AK35" s="635">
        <f>IF(M35="","",(COS(RADIANS((90-$Q$8)-W35))*AD35)+(-SIN(RADIANS((90-$Q$8)-W35))*AE35))</f>
        <v>2.2679489664056973E-7</v>
      </c>
      <c r="AL35" s="629">
        <f>IF(M35="","",(SIN(RADIANS((90-$Q$8)-W35))*AD35)+(COS(RADIANS((90-$Q$8)-W35))*AE35))</f>
        <v>-0.75585338815704706</v>
      </c>
      <c r="AM35" s="634">
        <f>IF(M35="","",AF35)</f>
        <v>-0.654740907238475</v>
      </c>
      <c r="AN35" s="581">
        <f>IF(M35="","",DEGREES(ATAN2(-AM35,AL35)))</f>
        <v>-49.099992910838132</v>
      </c>
      <c r="AO35" s="582">
        <f t="shared" si="94"/>
        <v>0</v>
      </c>
      <c r="AP35" s="585">
        <f>IF(M35="","",DEGREES(ATAN2(AK35,AL35)))</f>
        <v>-89.999982808318919</v>
      </c>
      <c r="AQ35" s="586">
        <f t="shared" si="9"/>
        <v>0.63432686328952415</v>
      </c>
      <c r="AS35" s="52">
        <f t="shared" si="116"/>
        <v>-119.091034782951</v>
      </c>
      <c r="AT35" s="72">
        <f t="shared" si="10"/>
        <v>-0.94235806719207948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3.226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3.1259999999999999</v>
      </c>
      <c r="II35" s="734" cm="1">
        <f t="array" ref="II35">IFERROR(ROUND(VALUE(IF($IH35&lt;1,$IH35+LARGE((IF($M$9:$M$150="",0,$M$9:$M$150)-MOD(IF($M$9:$M$150="",0,$M$9:$M$150),1)),1),$IH35)),4),"")</f>
        <v>3.1259999999999999</v>
      </c>
      <c r="IJ35" s="533">
        <f t="shared" si="112"/>
        <v>1613</v>
      </c>
      <c r="IK35" s="533" t="str">
        <f t="shared" si="66"/>
        <v>CPS-32193r1</v>
      </c>
      <c r="IL35" s="727">
        <f t="shared" si="225"/>
        <v>15.625097744014965</v>
      </c>
      <c r="IM35" s="759">
        <v>9.2288217889484204E-3</v>
      </c>
      <c r="IN35" s="5">
        <f t="shared" si="226"/>
        <v>0.88</v>
      </c>
      <c r="IO35" s="771">
        <v>440</v>
      </c>
      <c r="IP35" s="9">
        <f t="shared" si="227"/>
        <v>-3.5706107689620796</v>
      </c>
      <c r="IQ35" s="5">
        <f t="shared" si="228"/>
        <v>-1.0034030262635276</v>
      </c>
      <c r="IR35" s="5">
        <f t="shared" si="71"/>
        <v>0.314</v>
      </c>
      <c r="IS35" s="5">
        <f t="shared" si="229"/>
        <v>0.28597023726530763</v>
      </c>
      <c r="IT35" s="727">
        <f t="shared" si="230"/>
        <v>69.701867587284084</v>
      </c>
      <c r="IU35" s="9">
        <f t="shared" si="231"/>
        <v>-3.5937836181714582</v>
      </c>
      <c r="IV35" s="5">
        <f t="shared" si="232"/>
        <v>-1.0256914245890987</v>
      </c>
      <c r="IW35" s="5">
        <f t="shared" si="76"/>
        <v>0.25700000000000001</v>
      </c>
      <c r="IX35" s="5">
        <f t="shared" si="233"/>
        <v>0.25700000000000001</v>
      </c>
      <c r="IY35" s="762">
        <f t="shared" si="234"/>
        <v>49.099992910838132</v>
      </c>
    </row>
    <row r="36" spans="1:267" ht="15" customHeight="1" x14ac:dyDescent="0.25">
      <c r="A36" s="79"/>
      <c r="B36" s="707">
        <v>3.2475941302165685</v>
      </c>
      <c r="C36" s="708">
        <v>-1.8750019641010744</v>
      </c>
      <c r="D36" s="709">
        <v>-1.7940702998049129</v>
      </c>
      <c r="E36" s="710">
        <v>0.86602521478860761</v>
      </c>
      <c r="F36" s="708">
        <v>-0.50000032735018773</v>
      </c>
      <c r="G36" s="711">
        <v>2.2679489661303812E-7</v>
      </c>
      <c r="H36" s="710">
        <v>0.25700000000000001</v>
      </c>
      <c r="I36" s="708">
        <v>0.41499999999999992</v>
      </c>
      <c r="J36" s="570">
        <v>3.2330000000000001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3.2330000000000001</v>
      </c>
      <c r="N36" s="632">
        <f t="shared" si="2"/>
        <v>3.2475941302165685</v>
      </c>
      <c r="O36" s="629">
        <f t="shared" si="3"/>
        <v>-1.8750019641010744</v>
      </c>
      <c r="P36" s="633">
        <f t="shared" si="4"/>
        <v>-1.7940702998049129</v>
      </c>
      <c r="Q36" s="585">
        <f t="shared" si="113"/>
        <v>329.99996534829233</v>
      </c>
      <c r="R36" s="629">
        <f>IF(M36="","",SQRT(N36^2+O36^2))</f>
        <v>3.7499999999999996</v>
      </c>
      <c r="S36" s="634">
        <f>IF(M36="","",P36)</f>
        <v>-1.7940702998049129</v>
      </c>
      <c r="T36" s="635">
        <f>IF(M36="","",X36*COS(RADIANS(W36)))</f>
        <v>-1.8232449491160339</v>
      </c>
      <c r="U36" s="629">
        <f>IF(M36="","",X36*SIN(RADIANS(W36)))</f>
        <v>-3.27693116429425</v>
      </c>
      <c r="V36" s="636">
        <f>IF(M36="","",Y36)</f>
        <v>-1.7940702998049129</v>
      </c>
      <c r="W36" s="585">
        <f t="shared" si="224"/>
        <v>240.908965217049</v>
      </c>
      <c r="X36" s="629">
        <f>IF(M36="","",R36)</f>
        <v>3.7499999999999996</v>
      </c>
      <c r="Y36" s="630">
        <f t="shared" si="223"/>
        <v>-1.7940702998049129</v>
      </c>
      <c r="Z36" s="632">
        <f t="shared" si="6"/>
        <v>-0.86602521478860761</v>
      </c>
      <c r="AA36" s="629">
        <f t="shared" si="7"/>
        <v>0.50000032735018773</v>
      </c>
      <c r="AB36" s="629">
        <f t="shared" si="8"/>
        <v>-2.2679489661303812E-7</v>
      </c>
      <c r="AC36" s="636">
        <f>IF(M36="","",SQRT(Z36^2+AA36^2+AB36^2))</f>
        <v>1</v>
      </c>
      <c r="AD36" s="637">
        <f>IF(M36="","",Z36*(1/SQRT(Z36^2+AA36^2+AB36^2)))</f>
        <v>-0.86602521478860761</v>
      </c>
      <c r="AE36" s="629">
        <f>IF(M36="","",AA36*(1/SQRT(Z36^2+AA36^2+AB36^2)))</f>
        <v>0.50000032735018773</v>
      </c>
      <c r="AF36" s="633">
        <f>IF(M36="","",AB36*(1/SQRT(Z36^2+AA36^2+AB36^2)))</f>
        <v>-2.2679489661303812E-7</v>
      </c>
      <c r="AG36" s="602">
        <f>IF(M36="","",DEGREES(ATAN2(-AF36,AE36)))</f>
        <v>89.999974011236233</v>
      </c>
      <c r="AH36" s="603">
        <f>IF(M36="","",DEGREES(ACOS(AD36)))</f>
        <v>149.99997834268015</v>
      </c>
      <c r="AI36" s="585">
        <f>IF(M36="","",DEGREES(-ACOS(-AF36)))</f>
        <v>-89.999987005609611</v>
      </c>
      <c r="AJ36" s="586">
        <f>IF(M36="","",DEGREES(ATAN2(-AE36,AD36)))</f>
        <v>-120.00002165731729</v>
      </c>
      <c r="AK36" s="635">
        <f>IF(M36="","",(COS(RADIANS((90-$Q$8)-W36))*AD36)+(-SIN(RADIANS((90-$Q$8)-W36))*AE36))</f>
        <v>2.2679489630750282E-7</v>
      </c>
      <c r="AL36" s="629">
        <f>IF(M36="","",(SIN(RADIANS((90-$Q$8)-W36))*AD36)+(COS(RADIANS((90-$Q$8)-W36))*AE36))</f>
        <v>-0.99999999999994871</v>
      </c>
      <c r="AM36" s="634">
        <f>IF(M36="","",AF36)</f>
        <v>-2.2679489661303812E-7</v>
      </c>
      <c r="AN36" s="581">
        <f>IF(M36="","",DEGREES(ATAN2(-AM36,AL36)))</f>
        <v>-89.999987005609611</v>
      </c>
      <c r="AO36" s="582">
        <f t="shared" si="94"/>
        <v>0</v>
      </c>
      <c r="AP36" s="585">
        <f>IF(M36="","",DEGREES(ATAN2(AK36,AL36)))</f>
        <v>-89.999987005609626</v>
      </c>
      <c r="AQ36" s="586">
        <f t="shared" si="9"/>
        <v>0.60790429010098357</v>
      </c>
      <c r="AS36" s="52">
        <f t="shared" si="116"/>
        <v>-119.091034782951</v>
      </c>
      <c r="AT36" s="72">
        <f t="shared" si="10"/>
        <v>-1.7107369424078938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3.2330000000000001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3.133</v>
      </c>
      <c r="II36" s="734" cm="1">
        <f t="array" ref="II36">IFERROR(ROUND(VALUE(IF($IH36&lt;1,$IH36+LARGE((IF($M$9:$M$150="",0,$M$9:$M$150)-MOD(IF($M$9:$M$150="",0,$M$9:$M$150),1)),1),$IH36)),4),"")</f>
        <v>3.133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14.999997484213054</v>
      </c>
      <c r="IM36" s="759">
        <v>3.4201477538963799E-4</v>
      </c>
      <c r="IN36" s="5">
        <f t="shared" si="226"/>
        <v>0</v>
      </c>
      <c r="IO36" s="771">
        <v>0</v>
      </c>
      <c r="IP36" s="9">
        <f t="shared" si="227"/>
        <v>-3.7029000037601123</v>
      </c>
      <c r="IQ36" s="5">
        <f t="shared" si="228"/>
        <v>-1.8023999999999993</v>
      </c>
      <c r="IR36" s="5">
        <f t="shared" si="71"/>
        <v>0.314</v>
      </c>
      <c r="IS36" s="5">
        <f t="shared" si="229"/>
        <v>0.25721375753028192</v>
      </c>
      <c r="IT36" s="727">
        <f t="shared" si="230"/>
        <v>89.999987005609626</v>
      </c>
      <c r="IU36" s="9">
        <f t="shared" si="231"/>
        <v>-3.7499999999999996</v>
      </c>
      <c r="IV36" s="5">
        <f t="shared" si="232"/>
        <v>-1.7940702998049129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89.999987005609611</v>
      </c>
    </row>
    <row r="37" spans="1:267" ht="15" customHeight="1" x14ac:dyDescent="0.25">
      <c r="A37" s="79"/>
      <c r="B37" s="707">
        <v>0.83116358904128684</v>
      </c>
      <c r="C37" s="708">
        <v>-2.1073163341338375</v>
      </c>
      <c r="D37" s="709">
        <v>-4.3900132402799219E-2</v>
      </c>
      <c r="E37" s="710">
        <v>0.91984664607816302</v>
      </c>
      <c r="F37" s="708">
        <v>0.29688948959251282</v>
      </c>
      <c r="G37" s="711">
        <v>0.25639574619765465</v>
      </c>
      <c r="H37" s="710">
        <v>0.314</v>
      </c>
      <c r="I37" s="708">
        <v>0.52</v>
      </c>
      <c r="J37" s="570">
        <v>4.1109999999999998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4.1109999999999998</v>
      </c>
      <c r="N37" s="632">
        <f t="shared" si="2"/>
        <v>0.83116358904128684</v>
      </c>
      <c r="O37" s="629">
        <f t="shared" si="3"/>
        <v>-2.1073163341338375</v>
      </c>
      <c r="P37" s="633">
        <f t="shared" si="4"/>
        <v>-4.3900132402799219E-2</v>
      </c>
      <c r="Q37" s="585">
        <f t="shared" si="113"/>
        <v>291.52517090336534</v>
      </c>
      <c r="R37" s="629">
        <f t="shared" si="79"/>
        <v>2.2653068321654062</v>
      </c>
      <c r="S37" s="634">
        <f t="shared" si="80"/>
        <v>-4.3900132402799219E-2</v>
      </c>
      <c r="T37" s="635">
        <f t="shared" si="81"/>
        <v>-2.0938652435179592</v>
      </c>
      <c r="U37" s="629">
        <f t="shared" si="82"/>
        <v>-0.864490246239219</v>
      </c>
      <c r="V37" s="636">
        <f t="shared" si="114"/>
        <v>-4.3900132402799219E-2</v>
      </c>
      <c r="W37" s="585">
        <f t="shared" si="224"/>
        <v>202.434170772122</v>
      </c>
      <c r="X37" s="629">
        <f t="shared" si="83"/>
        <v>2.2653068321654062</v>
      </c>
      <c r="Y37" s="630">
        <f t="shared" si="223"/>
        <v>-4.3900132402799219E-2</v>
      </c>
      <c r="Z37" s="632">
        <f t="shared" si="6"/>
        <v>-0.91984664607816302</v>
      </c>
      <c r="AA37" s="629">
        <f t="shared" si="7"/>
        <v>-0.29688948959251282</v>
      </c>
      <c r="AB37" s="629">
        <f t="shared" si="8"/>
        <v>-0.25639574619765465</v>
      </c>
      <c r="AC37" s="636">
        <f t="shared" si="84"/>
        <v>1</v>
      </c>
      <c r="AD37" s="637">
        <f t="shared" si="115"/>
        <v>-0.91984664607816302</v>
      </c>
      <c r="AE37" s="629">
        <f t="shared" si="85"/>
        <v>-0.29688948959251282</v>
      </c>
      <c r="AF37" s="633">
        <f t="shared" si="86"/>
        <v>-0.25639574619765465</v>
      </c>
      <c r="AG37" s="602">
        <f t="shared" si="87"/>
        <v>-49.185890321262576</v>
      </c>
      <c r="AH37" s="603">
        <f t="shared" si="88"/>
        <v>156.90367292777063</v>
      </c>
      <c r="AI37" s="585">
        <f t="shared" si="89"/>
        <v>-75.143694583127385</v>
      </c>
      <c r="AJ37" s="586">
        <f t="shared" si="90"/>
        <v>-72.112008229121869</v>
      </c>
      <c r="AK37" s="635">
        <f t="shared" si="211"/>
        <v>0.96462499687438963</v>
      </c>
      <c r="AL37" s="629">
        <f t="shared" si="91"/>
        <v>-6.1317507588223241E-2</v>
      </c>
      <c r="AM37" s="634">
        <f t="shared" si="92"/>
        <v>-0.25639574619765465</v>
      </c>
      <c r="AN37" s="581">
        <f t="shared" si="93"/>
        <v>-13.449773681862853</v>
      </c>
      <c r="AO37" s="582">
        <f t="shared" si="94"/>
        <v>15.285319561176742</v>
      </c>
      <c r="AP37" s="585">
        <f t="shared" si="95"/>
        <v>-3.6371791324872005</v>
      </c>
      <c r="AQ37" s="586">
        <f t="shared" si="9"/>
        <v>1.0062620238116255</v>
      </c>
      <c r="AS37" s="52">
        <f t="shared" si="116"/>
        <v>-157.565829227878</v>
      </c>
      <c r="AT37" s="72">
        <f t="shared" si="10"/>
        <v>6.6151832247641526E-2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4.1109999999999998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1.0607063513911044</v>
      </c>
      <c r="C38" s="708">
        <v>-2.8374301799900743</v>
      </c>
      <c r="D38" s="709">
        <v>-0.29860090058031619</v>
      </c>
      <c r="E38" s="710">
        <v>0.97072421023574773</v>
      </c>
      <c r="F38" s="708">
        <v>0.14608250533153921</v>
      </c>
      <c r="G38" s="711">
        <v>0.19066832274461556</v>
      </c>
      <c r="H38" s="710">
        <v>0.314</v>
      </c>
      <c r="I38" s="708">
        <v>0.52</v>
      </c>
      <c r="J38" s="570">
        <v>4.1180000000000003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4.1180000000000003</v>
      </c>
      <c r="N38" s="632">
        <f t="shared" si="2"/>
        <v>1.0607063513911044</v>
      </c>
      <c r="O38" s="629">
        <f t="shared" si="3"/>
        <v>-2.8374301799900743</v>
      </c>
      <c r="P38" s="633">
        <f t="shared" si="4"/>
        <v>-0.29860090058031619</v>
      </c>
      <c r="Q38" s="585">
        <f t="shared" si="113"/>
        <v>290.49707105180454</v>
      </c>
      <c r="R38" s="629">
        <f t="shared" si="79"/>
        <v>3.0292091360947553</v>
      </c>
      <c r="S38" s="634">
        <f t="shared" si="80"/>
        <v>-0.29860090058031619</v>
      </c>
      <c r="T38" s="635">
        <f t="shared" si="81"/>
        <v>-2.8202456541724414</v>
      </c>
      <c r="U38" s="629">
        <f t="shared" si="82"/>
        <v>-1.1055869211967877</v>
      </c>
      <c r="V38" s="636">
        <f t="shared" si="114"/>
        <v>-0.29860090058031619</v>
      </c>
      <c r="W38" s="585">
        <f t="shared" si="224"/>
        <v>201.40607092056121</v>
      </c>
      <c r="X38" s="629">
        <f t="shared" si="83"/>
        <v>3.0292091360947553</v>
      </c>
      <c r="Y38" s="630">
        <f t="shared" si="223"/>
        <v>-0.29860090058031619</v>
      </c>
      <c r="Z38" s="632">
        <f t="shared" si="6"/>
        <v>-0.97072421023574773</v>
      </c>
      <c r="AA38" s="629">
        <f t="shared" si="7"/>
        <v>-0.14608250533153921</v>
      </c>
      <c r="AB38" s="629">
        <f t="shared" si="8"/>
        <v>-0.19066832274461556</v>
      </c>
      <c r="AC38" s="636">
        <f t="shared" si="84"/>
        <v>1</v>
      </c>
      <c r="AD38" s="637">
        <f t="shared" si="115"/>
        <v>-0.97072421023574773</v>
      </c>
      <c r="AE38" s="629">
        <f t="shared" si="85"/>
        <v>-0.14608250533153921</v>
      </c>
      <c r="AF38" s="633">
        <f t="shared" si="86"/>
        <v>-0.19066832274461556</v>
      </c>
      <c r="AG38" s="602">
        <f t="shared" si="87"/>
        <v>-37.457903722816205</v>
      </c>
      <c r="AH38" s="603">
        <f t="shared" si="88"/>
        <v>166.10184344942499</v>
      </c>
      <c r="AI38" s="585">
        <f t="shared" si="89"/>
        <v>-79.00821068936466</v>
      </c>
      <c r="AJ38" s="586">
        <f t="shared" si="90"/>
        <v>-81.441882016723923</v>
      </c>
      <c r="AK38" s="635">
        <f t="shared" si="211"/>
        <v>0.96041992516664065</v>
      </c>
      <c r="AL38" s="629">
        <f t="shared" si="91"/>
        <v>-0.2030742673128717</v>
      </c>
      <c r="AM38" s="634">
        <f t="shared" si="92"/>
        <v>-0.19066832274461556</v>
      </c>
      <c r="AN38" s="581">
        <f t="shared" si="93"/>
        <v>-46.804664283201035</v>
      </c>
      <c r="AO38" s="582">
        <f t="shared" si="94"/>
        <v>16.174054256869383</v>
      </c>
      <c r="AP38" s="585">
        <f t="shared" si="95"/>
        <v>-11.938953068528454</v>
      </c>
      <c r="AQ38" s="586">
        <f t="shared" si="9"/>
        <v>0.75253818303401032</v>
      </c>
      <c r="AS38" s="52">
        <f t="shared" si="116"/>
        <v>-158.59392907943879</v>
      </c>
      <c r="AT38" s="72">
        <f t="shared" si="10"/>
        <v>-0.18783497769962487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4.1180000000000003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1.189237430357216</v>
      </c>
      <c r="C39" s="708">
        <v>-3.3222752946398741</v>
      </c>
      <c r="D39" s="709">
        <v>-0.8999027141065864</v>
      </c>
      <c r="E39" s="710">
        <v>0.98726774874964096</v>
      </c>
      <c r="F39" s="708">
        <v>-3.4915030258279925E-2</v>
      </c>
      <c r="G39" s="711">
        <v>0.15518805669535016</v>
      </c>
      <c r="H39" s="710">
        <v>0.314</v>
      </c>
      <c r="I39" s="708">
        <v>0.52</v>
      </c>
      <c r="J39" s="570">
        <v>4.125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4.125</v>
      </c>
      <c r="N39" s="632">
        <f t="shared" si="2"/>
        <v>1.189237430357216</v>
      </c>
      <c r="O39" s="629">
        <f t="shared" si="3"/>
        <v>-3.3222752946398741</v>
      </c>
      <c r="P39" s="633">
        <f t="shared" si="4"/>
        <v>-0.8999027141065864</v>
      </c>
      <c r="Q39" s="585">
        <f t="shared" si="113"/>
        <v>289.69527116757013</v>
      </c>
      <c r="R39" s="629">
        <f t="shared" si="79"/>
        <v>3.5287106425912986</v>
      </c>
      <c r="S39" s="634">
        <f t="shared" si="80"/>
        <v>-0.8999027141065864</v>
      </c>
      <c r="T39" s="635">
        <f t="shared" si="81"/>
        <v>-3.3029906872160089</v>
      </c>
      <c r="U39" s="629">
        <f t="shared" si="82"/>
        <v>-1.2417935896522478</v>
      </c>
      <c r="V39" s="636">
        <f t="shared" si="114"/>
        <v>-0.8999027141065864</v>
      </c>
      <c r="W39" s="585">
        <f t="shared" si="224"/>
        <v>200.60427103632679</v>
      </c>
      <c r="X39" s="629">
        <f t="shared" si="83"/>
        <v>3.5287106425912986</v>
      </c>
      <c r="Y39" s="630">
        <f t="shared" si="223"/>
        <v>-0.8999027141065864</v>
      </c>
      <c r="Z39" s="632">
        <f t="shared" si="6"/>
        <v>-0.98726774874964096</v>
      </c>
      <c r="AA39" s="629">
        <f t="shared" si="7"/>
        <v>3.4915030258279925E-2</v>
      </c>
      <c r="AB39" s="629">
        <f t="shared" si="8"/>
        <v>-0.15518805669535016</v>
      </c>
      <c r="AC39" s="636">
        <f t="shared" si="84"/>
        <v>1</v>
      </c>
      <c r="AD39" s="637">
        <f t="shared" si="115"/>
        <v>-0.98726774874964096</v>
      </c>
      <c r="AE39" s="629">
        <f t="shared" si="85"/>
        <v>3.4915030258279925E-2</v>
      </c>
      <c r="AF39" s="633">
        <f t="shared" si="86"/>
        <v>-0.15518805669535016</v>
      </c>
      <c r="AG39" s="602">
        <f t="shared" si="87"/>
        <v>12.679581392009789</v>
      </c>
      <c r="AH39" s="603">
        <f t="shared" si="88"/>
        <v>170.84723935446956</v>
      </c>
      <c r="AI39" s="585">
        <f t="shared" si="89"/>
        <v>-81.072296916253251</v>
      </c>
      <c r="AJ39" s="586">
        <f t="shared" si="90"/>
        <v>-92.025438892363326</v>
      </c>
      <c r="AK39" s="635">
        <f t="shared" si="211"/>
        <v>0.9177439915057215</v>
      </c>
      <c r="AL39" s="629">
        <f t="shared" si="91"/>
        <v>-0.36559900589890432</v>
      </c>
      <c r="AM39" s="634">
        <f t="shared" si="92"/>
        <v>-0.15518805669535016</v>
      </c>
      <c r="AN39" s="581">
        <f t="shared" si="93"/>
        <v>-66.999935482024895</v>
      </c>
      <c r="AO39" s="582">
        <f t="shared" si="94"/>
        <v>23.4015341254429</v>
      </c>
      <c r="AP39" s="585">
        <f t="shared" si="95"/>
        <v>-21.720710059933467</v>
      </c>
      <c r="AQ39" s="586">
        <f t="shared" si="9"/>
        <v>0.64602350662095798</v>
      </c>
      <c r="AS39" s="52">
        <f t="shared" si="116"/>
        <v>-159.39572896367321</v>
      </c>
      <c r="AT39" s="72">
        <f t="shared" si="10"/>
        <v>-0.78857998575073229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4.125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1.2055445438753614</v>
      </c>
      <c r="C40" s="708">
        <v>-3.501161349229998</v>
      </c>
      <c r="D40" s="709">
        <v>-1.7026999999999992</v>
      </c>
      <c r="E40" s="710">
        <v>0.96126157994161443</v>
      </c>
      <c r="F40" s="708">
        <v>-0.27563776034523019</v>
      </c>
      <c r="G40" s="711">
        <v>1.3008419221378574E-7</v>
      </c>
      <c r="H40" s="710">
        <v>0.314</v>
      </c>
      <c r="I40" s="708">
        <v>0.52</v>
      </c>
      <c r="J40" s="570">
        <v>4.1319999999999997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4.1319999999999997</v>
      </c>
      <c r="N40" s="632">
        <f t="shared" si="2"/>
        <v>1.2055445438753614</v>
      </c>
      <c r="O40" s="629">
        <f t="shared" si="3"/>
        <v>-3.501161349229998</v>
      </c>
      <c r="P40" s="633">
        <f t="shared" si="4"/>
        <v>-1.7026999999999992</v>
      </c>
      <c r="Q40" s="585">
        <f t="shared" si="113"/>
        <v>288.99997092614836</v>
      </c>
      <c r="R40" s="629">
        <f t="shared" si="79"/>
        <v>3.7029000041332027</v>
      </c>
      <c r="S40" s="634">
        <f t="shared" si="80"/>
        <v>-1.7026999999999992</v>
      </c>
      <c r="T40" s="635">
        <f t="shared" si="81"/>
        <v>-3.4815955273465278</v>
      </c>
      <c r="U40" s="629">
        <f t="shared" si="82"/>
        <v>-1.2609365664339853</v>
      </c>
      <c r="V40" s="636">
        <f t="shared" si="114"/>
        <v>-1.7026999999999992</v>
      </c>
      <c r="W40" s="585">
        <f t="shared" si="224"/>
        <v>199.90897079490503</v>
      </c>
      <c r="X40" s="629">
        <f t="shared" si="83"/>
        <v>3.7029000041332027</v>
      </c>
      <c r="Y40" s="630">
        <f t="shared" si="223"/>
        <v>-1.7026999999999992</v>
      </c>
      <c r="Z40" s="632">
        <f t="shared" si="6"/>
        <v>-0.96126157994161443</v>
      </c>
      <c r="AA40" s="629">
        <f t="shared" si="7"/>
        <v>0.27563776034523019</v>
      </c>
      <c r="AB40" s="629">
        <f t="shared" si="8"/>
        <v>-1.3008419221378574E-7</v>
      </c>
      <c r="AC40" s="636">
        <f t="shared" si="84"/>
        <v>1</v>
      </c>
      <c r="AD40" s="637">
        <f t="shared" si="115"/>
        <v>-0.96126157994161443</v>
      </c>
      <c r="AE40" s="629">
        <f t="shared" si="85"/>
        <v>0.27563776034523019</v>
      </c>
      <c r="AF40" s="633">
        <f t="shared" si="86"/>
        <v>-1.3008419221378574E-7</v>
      </c>
      <c r="AG40" s="602">
        <f t="shared" si="87"/>
        <v>89.999972959890599</v>
      </c>
      <c r="AH40" s="603">
        <f t="shared" si="88"/>
        <v>163.99997588818576</v>
      </c>
      <c r="AI40" s="585">
        <f t="shared" si="89"/>
        <v>-89.999992546724798</v>
      </c>
      <c r="AJ40" s="586">
        <f t="shared" si="90"/>
        <v>-106.00002411181258</v>
      </c>
      <c r="AK40" s="635">
        <f t="shared" si="211"/>
        <v>0.81915209396294919</v>
      </c>
      <c r="AL40" s="629">
        <f t="shared" si="91"/>
        <v>-0.57357636540926171</v>
      </c>
      <c r="AM40" s="634">
        <f t="shared" si="92"/>
        <v>-1.3008419221378574E-7</v>
      </c>
      <c r="AN40" s="581">
        <f t="shared" si="93"/>
        <v>-89.99998700560964</v>
      </c>
      <c r="AO40" s="582">
        <f t="shared" si="94"/>
        <v>34.999995037961625</v>
      </c>
      <c r="AP40" s="585">
        <f t="shared" si="95"/>
        <v>-34.999995037960943</v>
      </c>
      <c r="AQ40" s="586">
        <f t="shared" si="9"/>
        <v>0.61563609480284531</v>
      </c>
      <c r="AS40" s="52">
        <f t="shared" si="116"/>
        <v>-160.09102920509497</v>
      </c>
      <c r="AT40" s="72">
        <f t="shared" si="10"/>
        <v>-1.5908944242542689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4.1319999999999997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0.21259304875399582</v>
      </c>
      <c r="C41" s="708">
        <v>-3.040242496491163</v>
      </c>
      <c r="D41" s="709">
        <v>-0.30105292272370576</v>
      </c>
      <c r="E41" s="710">
        <v>2.8705822558874747E-2</v>
      </c>
      <c r="F41" s="708">
        <v>-0.41051187212633655</v>
      </c>
      <c r="G41" s="711">
        <v>0.91140330183434637</v>
      </c>
      <c r="H41" s="710">
        <v>0.25700000000000001</v>
      </c>
      <c r="I41" s="708">
        <v>0.41499999999999992</v>
      </c>
      <c r="J41" s="570">
        <v>4.218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CPS-32193r1</v>
      </c>
      <c r="L41" s="320"/>
      <c r="M41" s="168">
        <f t="shared" ref="M41:M72" si="239">IF(J41="","",VALUE(J41))</f>
        <v>4.218</v>
      </c>
      <c r="N41" s="632">
        <f t="shared" ref="N41:N72" si="240">IF(M41="","",B41)</f>
        <v>0.21259304875399582</v>
      </c>
      <c r="O41" s="629">
        <f t="shared" ref="O41:O72" si="241">IF(M41="","",C41)</f>
        <v>-3.040242496491163</v>
      </c>
      <c r="P41" s="633">
        <f t="shared" ref="P41:P72" si="242">IF(M41="","",D41)</f>
        <v>-0.30105292272370576</v>
      </c>
      <c r="Q41" s="585">
        <f t="shared" si="113"/>
        <v>273.99997343369074</v>
      </c>
      <c r="R41" s="629">
        <f t="shared" si="79"/>
        <v>3.0476663599956835</v>
      </c>
      <c r="S41" s="634">
        <f t="shared" si="80"/>
        <v>-0.30105292272370576</v>
      </c>
      <c r="T41" s="635">
        <f t="shared" si="81"/>
        <v>-3.0364872348725824</v>
      </c>
      <c r="U41" s="629">
        <f t="shared" si="82"/>
        <v>-0.26079784183385707</v>
      </c>
      <c r="V41" s="636">
        <f t="shared" si="114"/>
        <v>-0.30105292272370576</v>
      </c>
      <c r="W41" s="585">
        <f t="shared" si="224"/>
        <v>184.90897330244741</v>
      </c>
      <c r="X41" s="629">
        <f t="shared" si="83"/>
        <v>3.0476663599956835</v>
      </c>
      <c r="Y41" s="630">
        <f t="shared" si="223"/>
        <v>-0.30105292272370576</v>
      </c>
      <c r="Z41" s="632">
        <f t="shared" ref="Z41:Z72" si="243">IF(M41="","",-E41)</f>
        <v>-2.8705822558874747E-2</v>
      </c>
      <c r="AA41" s="629">
        <f t="shared" ref="AA41:AA72" si="244">IF(M41="","",-F41)</f>
        <v>0.41051187212633655</v>
      </c>
      <c r="AB41" s="629">
        <f t="shared" ref="AB41:AB72" si="245">IF(M41="","",-G41)</f>
        <v>-0.91140330183434637</v>
      </c>
      <c r="AC41" s="636">
        <f t="shared" si="84"/>
        <v>1</v>
      </c>
      <c r="AD41" s="637">
        <f t="shared" si="115"/>
        <v>-2.8705822558874747E-2</v>
      </c>
      <c r="AE41" s="629">
        <f t="shared" si="85"/>
        <v>0.41051187212633655</v>
      </c>
      <c r="AF41" s="633">
        <f t="shared" si="86"/>
        <v>-0.91140330183434637</v>
      </c>
      <c r="AG41" s="602">
        <f t="shared" si="87"/>
        <v>24.247628412377637</v>
      </c>
      <c r="AH41" s="603">
        <f t="shared" si="88"/>
        <v>91.644948445743196</v>
      </c>
      <c r="AI41" s="585">
        <f t="shared" si="89"/>
        <v>-24.299996491517845</v>
      </c>
      <c r="AJ41" s="586">
        <f t="shared" si="90"/>
        <v>-175.99999498930131</v>
      </c>
      <c r="AK41" s="635">
        <f t="shared" si="211"/>
        <v>2.267948969042477E-7</v>
      </c>
      <c r="AL41" s="629">
        <f t="shared" si="91"/>
        <v>-0.41151430279566209</v>
      </c>
      <c r="AM41" s="634">
        <f t="shared" si="92"/>
        <v>-0.91140330183434637</v>
      </c>
      <c r="AN41" s="581">
        <f t="shared" si="93"/>
        <v>-24.299996491514591</v>
      </c>
      <c r="AO41" s="582">
        <f t="shared" si="94"/>
        <v>0</v>
      </c>
      <c r="AP41" s="585">
        <f t="shared" si="95"/>
        <v>-89.999968422992055</v>
      </c>
      <c r="AQ41" s="586">
        <f t="shared" ref="AQ41:AQ72" si="246">IF(M41="","",DEGREES(ATAN(($AS$5*SIN(RADIANS(90)))/(($X41*2*PI())-($AS$5*COS(RADIANS(90)))))))</f>
        <v>0.74798119377542183</v>
      </c>
      <c r="AS41" s="52">
        <f t="shared" si="116"/>
        <v>-175.09102669755259</v>
      </c>
      <c r="AT41" s="72">
        <f t="shared" ref="AT41:AT72" si="247">IF(M41="","",Y41+(((AS41-$AS$9)*$AS$6)*-1))</f>
        <v>-0.17883068205265767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4.218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4.1180000000000003</v>
      </c>
      <c r="II41" s="734" cm="1">
        <f t="array" ref="II41">IFERROR(ROUND(VALUE(IF($IH41&lt;1,$IH41+LARGE((IF($M$9:$M$150="",0,$M$9:$M$150)-MOD(IF($M$9:$M$150="",0,$M$9:$M$150),1)),1),$IH41)),4),"")</f>
        <v>4.1180000000000003</v>
      </c>
      <c r="IJ41" s="533">
        <f t="shared" si="112"/>
        <v>1613</v>
      </c>
      <c r="IK41" s="533" t="str">
        <f t="shared" ref="IK41:IK72" si="382">IF(ISNUMBER($II41),INDEX($K$9:$K$150,MATCH($IG41,$M$9:$M$150,0)),"")</f>
        <v>CPS-32193r1</v>
      </c>
      <c r="IL41" s="727">
        <f t="shared" si="225"/>
        <v>16.497097618113798</v>
      </c>
      <c r="IM41" s="759">
        <v>3.00318515346812E-2</v>
      </c>
      <c r="IN41" s="5">
        <f t="shared" si="226"/>
        <v>0.94</v>
      </c>
      <c r="IO41" s="771">
        <v>470</v>
      </c>
      <c r="IP41" s="9">
        <f t="shared" si="227"/>
        <v>-3.0292091360947553</v>
      </c>
      <c r="IQ41" s="5">
        <f t="shared" si="228"/>
        <v>-0.29860090058031619</v>
      </c>
      <c r="IR41" s="5">
        <f t="shared" ref="IR41:IR72" si="383">IF(ISNUMBER($II41),INDEX($H$9:$H$150,MATCH($II41,$M$9:$M$150,0)),"")</f>
        <v>0.314</v>
      </c>
      <c r="IS41" s="5">
        <f t="shared" si="229"/>
        <v>0.30157185650232515</v>
      </c>
      <c r="IT41" s="727">
        <f t="shared" si="230"/>
        <v>46.804664283201035</v>
      </c>
      <c r="IU41" s="9">
        <f t="shared" si="231"/>
        <v>-3.0476663599956835</v>
      </c>
      <c r="IV41" s="5">
        <f t="shared" si="232"/>
        <v>-0.30105292272370576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24.299996491514591</v>
      </c>
    </row>
    <row r="42" spans="1:267" ht="15" customHeight="1" x14ac:dyDescent="0.25">
      <c r="A42" s="79"/>
      <c r="B42" s="707">
        <v>0.24779186941593775</v>
      </c>
      <c r="C42" s="708">
        <v>-3.5436124374652822</v>
      </c>
      <c r="D42" s="709">
        <v>-0.91959543895213602</v>
      </c>
      <c r="E42" s="710">
        <v>5.0178495797404819E-2</v>
      </c>
      <c r="F42" s="708">
        <v>-0.71758745185796513</v>
      </c>
      <c r="G42" s="711">
        <v>0.69465845384296776</v>
      </c>
      <c r="H42" s="710">
        <v>0.25700000000000001</v>
      </c>
      <c r="I42" s="708">
        <v>0.41499999999999992</v>
      </c>
      <c r="J42" s="570">
        <v>4.2249999999999996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4.2249999999999996</v>
      </c>
      <c r="N42" s="632">
        <f t="shared" si="240"/>
        <v>0.24779186941593775</v>
      </c>
      <c r="O42" s="629">
        <f t="shared" si="241"/>
        <v>-3.5436124374652822</v>
      </c>
      <c r="P42" s="633">
        <f t="shared" si="242"/>
        <v>-0.91959543895213602</v>
      </c>
      <c r="Q42" s="585">
        <f t="shared" si="113"/>
        <v>273.99997343369074</v>
      </c>
      <c r="R42" s="629">
        <f t="shared" ref="R42:R47" si="385">IF(M42="","",SQRT(N42^2+O42^2))</f>
        <v>3.5522654627022576</v>
      </c>
      <c r="S42" s="634">
        <f t="shared" ref="S42:S47" si="386">IF(M42="","",P42)</f>
        <v>-0.91959543895213602</v>
      </c>
      <c r="T42" s="635">
        <f t="shared" ref="T42:T47" si="387">IF(M42="","",X42*COS(RADIANS(W42)))</f>
        <v>-3.5392354208973944</v>
      </c>
      <c r="U42" s="629">
        <f t="shared" ref="U42:U47" si="388">IF(M42="","",X42*SIN(RADIANS(W42)))</f>
        <v>-0.30397788237391199</v>
      </c>
      <c r="V42" s="636">
        <f t="shared" ref="V42:V47" si="389">IF(M42="","",Y42)</f>
        <v>-0.91959543895213602</v>
      </c>
      <c r="W42" s="585">
        <f t="shared" si="224"/>
        <v>184.90897330244741</v>
      </c>
      <c r="X42" s="629">
        <f t="shared" ref="X42:X47" si="390">IF(M42="","",R42)</f>
        <v>3.5522654627022576</v>
      </c>
      <c r="Y42" s="630">
        <f t="shared" si="223"/>
        <v>-0.91959543895213602</v>
      </c>
      <c r="Z42" s="632">
        <f t="shared" si="243"/>
        <v>-5.0178495797404819E-2</v>
      </c>
      <c r="AA42" s="629">
        <f t="shared" si="244"/>
        <v>0.71758745185796513</v>
      </c>
      <c r="AB42" s="629">
        <f t="shared" si="245"/>
        <v>-0.69465845384296776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-5.0178495797404819E-2</v>
      </c>
      <c r="AE42" s="629">
        <f t="shared" ref="AE42:AE47" si="393">IF(M42="","",AA42*(1/SQRT(Z42^2+AA42^2+AB42^2)))</f>
        <v>0.71758745185796513</v>
      </c>
      <c r="AF42" s="633">
        <f t="shared" ref="AF42:AF47" si="394">IF(M42="","",AB42*(1/SQRT(Z42^2+AA42^2+AB42^2)))</f>
        <v>-0.69465845384296776</v>
      </c>
      <c r="AG42" s="602">
        <f t="shared" ref="AG42:AG47" si="395">IF(M42="","",DEGREES(ATAN2(-AF42,AE42)))</f>
        <v>45.930163361129786</v>
      </c>
      <c r="AH42" s="603">
        <f t="shared" ref="AH42:AH47" si="396">IF(M42="","",DEGREES(ACOS(AD42)))</f>
        <v>92.876223892154272</v>
      </c>
      <c r="AI42" s="585">
        <f t="shared" ref="AI42:AI47" si="397">IF(M42="","",DEGREES(-ACOS(-AF42)))</f>
        <v>-45.999993358424135</v>
      </c>
      <c r="AJ42" s="586">
        <f t="shared" ref="AJ42:AJ47" si="398">IF(M42="","",DEGREES(ATAN2(-AE42,AD42)))</f>
        <v>-176.00000850197881</v>
      </c>
      <c r="AK42" s="635">
        <f t="shared" ref="AK42:AK47" si="399">IF(M42="","",(COS(RADIANS((90-$Q$8)-W42))*AD42)+(-SIN(RADIANS((90-$Q$8)-W42))*AE42))</f>
        <v>2.2679489704996447E-7</v>
      </c>
      <c r="AL42" s="629">
        <f t="shared" ref="AL42:AL47" si="400">IF(M42="","",(SIN(RADIANS((90-$Q$8)-W42))*AD42)+(COS(RADIANS((90-$Q$8)-W42))*AE42))</f>
        <v>-0.71933971981564193</v>
      </c>
      <c r="AM42" s="634">
        <f t="shared" ref="AM42:AM47" si="401">IF(M42="","",AF42)</f>
        <v>-0.69465845384296776</v>
      </c>
      <c r="AN42" s="581">
        <f t="shared" ref="AN42:AN47" si="402">IF(M42="","",DEGREES(ATAN2(-AM42,AL42)))</f>
        <v>-45.999993358422721</v>
      </c>
      <c r="AO42" s="582">
        <f t="shared" si="94"/>
        <v>0</v>
      </c>
      <c r="AP42" s="585">
        <f t="shared" ref="AP42:AP47" si="403">IF(M42="","",DEGREES(ATAN2(AK42,AL42)))</f>
        <v>-89.999981935669538</v>
      </c>
      <c r="AQ42" s="586">
        <f t="shared" si="246"/>
        <v>0.64174013006091835</v>
      </c>
      <c r="AS42" s="52">
        <f t="shared" si="116"/>
        <v>-175.09102669755259</v>
      </c>
      <c r="AT42" s="72">
        <f t="shared" si="247"/>
        <v>-0.79737319828108788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4.2249999999999996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4.125</v>
      </c>
      <c r="II42" s="734" cm="1">
        <f t="array" ref="II42">IFERROR(ROUND(VALUE(IF($IH42&lt;1,$IH42+LARGE((IF($M$9:$M$150="",0,$M$9:$M$150)-MOD(IF($M$9:$M$150="",0,$M$9:$M$150),1)),1),$IH42)),4),"")</f>
        <v>4.125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15.695297733879386</v>
      </c>
      <c r="IM42" s="759">
        <v>1.17130111739123E-2</v>
      </c>
      <c r="IN42" s="5">
        <f t="shared" si="226"/>
        <v>0.9</v>
      </c>
      <c r="IO42" s="771">
        <v>450</v>
      </c>
      <c r="IP42" s="9">
        <f t="shared" si="227"/>
        <v>-3.5287106425912986</v>
      </c>
      <c r="IQ42" s="5">
        <f t="shared" si="228"/>
        <v>-0.8999027141065864</v>
      </c>
      <c r="IR42" s="5">
        <f t="shared" si="383"/>
        <v>0.314</v>
      </c>
      <c r="IS42" s="5">
        <f t="shared" si="229"/>
        <v>0.28817161333279656</v>
      </c>
      <c r="IT42" s="727">
        <f t="shared" si="230"/>
        <v>66.999935482024895</v>
      </c>
      <c r="IU42" s="9">
        <f t="shared" si="231"/>
        <v>-3.5522654627022576</v>
      </c>
      <c r="IV42" s="5">
        <f t="shared" si="232"/>
        <v>-0.91959543895213602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45.999993358422721</v>
      </c>
    </row>
    <row r="43" spans="1:267" ht="15" customHeight="1" x14ac:dyDescent="0.25">
      <c r="A43" s="79"/>
      <c r="B43" s="707">
        <v>0.26158504201510213</v>
      </c>
      <c r="C43" s="708">
        <v>-3.7408653097637661</v>
      </c>
      <c r="D43" s="709">
        <v>-1.6893699840287602</v>
      </c>
      <c r="E43" s="710">
        <v>6.9756237446466765E-2</v>
      </c>
      <c r="F43" s="708">
        <v>-0.99756406678331233</v>
      </c>
      <c r="G43" s="711">
        <v>2.2679489678254405E-7</v>
      </c>
      <c r="H43" s="710">
        <v>0.25700000000000001</v>
      </c>
      <c r="I43" s="708">
        <v>0.41499999999999992</v>
      </c>
      <c r="J43" s="570">
        <v>4.2320000000000002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4.2320000000000002</v>
      </c>
      <c r="N43" s="632">
        <f t="shared" si="240"/>
        <v>0.26158504201510213</v>
      </c>
      <c r="O43" s="629">
        <f t="shared" si="241"/>
        <v>-3.7408653097637661</v>
      </c>
      <c r="P43" s="633">
        <f t="shared" si="242"/>
        <v>-1.6893699840287602</v>
      </c>
      <c r="Q43" s="585">
        <f t="shared" si="113"/>
        <v>273.99997343369074</v>
      </c>
      <c r="R43" s="629">
        <f t="shared" si="385"/>
        <v>3.75</v>
      </c>
      <c r="S43" s="634">
        <f t="shared" si="386"/>
        <v>-1.6893699840287602</v>
      </c>
      <c r="T43" s="635">
        <f t="shared" si="387"/>
        <v>-3.7362446494268853</v>
      </c>
      <c r="U43" s="629">
        <f t="shared" si="388"/>
        <v>-0.32089861269405784</v>
      </c>
      <c r="V43" s="636">
        <f t="shared" si="389"/>
        <v>-1.6893699840287602</v>
      </c>
      <c r="W43" s="585">
        <f t="shared" si="224"/>
        <v>184.90897330244741</v>
      </c>
      <c r="X43" s="629">
        <f t="shared" si="390"/>
        <v>3.75</v>
      </c>
      <c r="Y43" s="630">
        <f t="shared" si="223"/>
        <v>-1.6893699840287602</v>
      </c>
      <c r="Z43" s="632">
        <f t="shared" si="243"/>
        <v>-6.9756237446466765E-2</v>
      </c>
      <c r="AA43" s="629">
        <f t="shared" si="244"/>
        <v>0.99756406678331233</v>
      </c>
      <c r="AB43" s="629">
        <f t="shared" si="245"/>
        <v>-2.2679489678254405E-7</v>
      </c>
      <c r="AC43" s="636">
        <f t="shared" si="391"/>
        <v>1</v>
      </c>
      <c r="AD43" s="637">
        <f t="shared" si="392"/>
        <v>-6.9756237446466765E-2</v>
      </c>
      <c r="AE43" s="629">
        <f t="shared" si="393"/>
        <v>0.99756406678331233</v>
      </c>
      <c r="AF43" s="633">
        <f t="shared" si="394"/>
        <v>-2.2679489678254405E-7</v>
      </c>
      <c r="AG43" s="602">
        <f t="shared" si="395"/>
        <v>89.999986973878848</v>
      </c>
      <c r="AH43" s="603">
        <f t="shared" si="396"/>
        <v>93.999986428081058</v>
      </c>
      <c r="AI43" s="585">
        <f t="shared" si="397"/>
        <v>-89.999987005609597</v>
      </c>
      <c r="AJ43" s="586">
        <f t="shared" si="398"/>
        <v>-176.00001357191883</v>
      </c>
      <c r="AK43" s="635">
        <f t="shared" si="399"/>
        <v>2.2679489720955903E-7</v>
      </c>
      <c r="AL43" s="629">
        <f t="shared" si="400"/>
        <v>-0.9999999999999486</v>
      </c>
      <c r="AM43" s="634">
        <f t="shared" si="401"/>
        <v>-2.2679489678254405E-7</v>
      </c>
      <c r="AN43" s="581">
        <f t="shared" si="402"/>
        <v>-89.999987005609611</v>
      </c>
      <c r="AO43" s="582">
        <f t="shared" si="94"/>
        <v>0</v>
      </c>
      <c r="AP43" s="585">
        <f t="shared" si="403"/>
        <v>-89.999987005609583</v>
      </c>
      <c r="AQ43" s="586">
        <f t="shared" si="246"/>
        <v>0.60790429010098357</v>
      </c>
      <c r="AS43" s="52">
        <f t="shared" ref="AS43:AS74" si="406">IF(G43="","",IF(AND(W43&lt;(AS42+180),W43&gt;(AS42-180)),W43,IF(W43&gt;(AS42+180),W43-360,IF(W43&lt;(AS42-180),W43+360,"Error"))))</f>
        <v>-175.09102669755259</v>
      </c>
      <c r="AT43" s="72">
        <f t="shared" si="247"/>
        <v>-1.5671477433577121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4.2320000000000002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4.1319999999999997</v>
      </c>
      <c r="II43" s="734" cm="1">
        <f t="array" ref="II43">IFERROR(ROUND(VALUE(IF($IH43&lt;1,$IH43+LARGE((IF($M$9:$M$150="",0,$M$9:$M$150)-MOD(IF($M$9:$M$150="",0,$M$9:$M$150),1)),1),$IH43)),4),"")</f>
        <v>4.1319999999999997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14.999997492457624</v>
      </c>
      <c r="IM43" s="759">
        <v>2.38588529578632E-4</v>
      </c>
      <c r="IN43" s="5">
        <f t="shared" si="226"/>
        <v>0</v>
      </c>
      <c r="IO43" s="771">
        <v>0</v>
      </c>
      <c r="IP43" s="9">
        <f t="shared" si="227"/>
        <v>-3.7029000041332027</v>
      </c>
      <c r="IQ43" s="5">
        <f t="shared" si="228"/>
        <v>-1.7026999999999992</v>
      </c>
      <c r="IR43" s="5">
        <f t="shared" si="383"/>
        <v>0.314</v>
      </c>
      <c r="IS43" s="5">
        <f t="shared" si="229"/>
        <v>0.25721375750436609</v>
      </c>
      <c r="IT43" s="727">
        <f t="shared" si="230"/>
        <v>89.99998700560964</v>
      </c>
      <c r="IU43" s="9">
        <f t="shared" si="231"/>
        <v>-3.75</v>
      </c>
      <c r="IV43" s="5">
        <f t="shared" si="232"/>
        <v>-1.6893699840287602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89.999987005609611</v>
      </c>
    </row>
    <row r="44" spans="1:267" ht="15" customHeight="1" x14ac:dyDescent="0.25">
      <c r="A44" s="79"/>
      <c r="B44" s="707">
        <v>-0.23834860214898113</v>
      </c>
      <c r="C44" s="708">
        <v>-0.53533915906429785</v>
      </c>
      <c r="D44" s="709">
        <v>-0.43020129748711328</v>
      </c>
      <c r="E44" s="710">
        <v>0.90291932413584053</v>
      </c>
      <c r="F44" s="708">
        <v>-0.31681224107988654</v>
      </c>
      <c r="G44" s="711">
        <v>0.29045946017304536</v>
      </c>
      <c r="H44" s="710">
        <v>0.314</v>
      </c>
      <c r="I44" s="708">
        <v>0.52</v>
      </c>
      <c r="J44" s="570">
        <v>5.1020000000000003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5.1020000000000003</v>
      </c>
      <c r="N44" s="632">
        <f t="shared" si="240"/>
        <v>-0.23834860214898113</v>
      </c>
      <c r="O44" s="629">
        <f t="shared" si="241"/>
        <v>-0.53533915906429785</v>
      </c>
      <c r="P44" s="633">
        <f t="shared" si="242"/>
        <v>-0.43020129748711328</v>
      </c>
      <c r="Q44" s="585">
        <f t="shared" si="113"/>
        <v>245.99997747639003</v>
      </c>
      <c r="R44" s="629">
        <f t="shared" si="385"/>
        <v>0.58600176738133036</v>
      </c>
      <c r="S44" s="634">
        <f t="shared" si="386"/>
        <v>-0.43020129748711328</v>
      </c>
      <c r="T44" s="635">
        <f t="shared" si="387"/>
        <v>-0.5390530397990283</v>
      </c>
      <c r="U44" s="629">
        <f t="shared" si="388"/>
        <v>0.22982578544947921</v>
      </c>
      <c r="V44" s="636">
        <f t="shared" si="389"/>
        <v>-0.43020129748711328</v>
      </c>
      <c r="W44" s="585">
        <f t="shared" si="224"/>
        <v>156.9089773451467</v>
      </c>
      <c r="X44" s="629">
        <f t="shared" si="390"/>
        <v>0.58600176738133036</v>
      </c>
      <c r="Y44" s="630">
        <f t="shared" si="223"/>
        <v>-0.43020129748711328</v>
      </c>
      <c r="Z44" s="632">
        <f t="shared" si="243"/>
        <v>-0.90291932413584053</v>
      </c>
      <c r="AA44" s="629">
        <f t="shared" si="244"/>
        <v>0.31681224107988654</v>
      </c>
      <c r="AB44" s="629">
        <f t="shared" si="245"/>
        <v>-0.29045946017304536</v>
      </c>
      <c r="AC44" s="636">
        <f t="shared" si="391"/>
        <v>1</v>
      </c>
      <c r="AD44" s="637">
        <f t="shared" si="392"/>
        <v>-0.90291932413584053</v>
      </c>
      <c r="AE44" s="629">
        <f t="shared" si="393"/>
        <v>0.31681224107988654</v>
      </c>
      <c r="AF44" s="633">
        <f t="shared" si="394"/>
        <v>-0.29045946017304536</v>
      </c>
      <c r="AG44" s="602">
        <f t="shared" si="395"/>
        <v>47.484812638638566</v>
      </c>
      <c r="AH44" s="603">
        <f t="shared" si="396"/>
        <v>154.54449284699464</v>
      </c>
      <c r="AI44" s="585">
        <f t="shared" si="397"/>
        <v>-73.114534769632428</v>
      </c>
      <c r="AJ44" s="586">
        <f t="shared" si="398"/>
        <v>-109.3347205748273</v>
      </c>
      <c r="AK44" s="635">
        <f t="shared" si="399"/>
        <v>0.95371696400905348</v>
      </c>
      <c r="AL44" s="629">
        <f t="shared" si="400"/>
        <v>7.7828366019961182E-2</v>
      </c>
      <c r="AM44" s="634">
        <f t="shared" si="401"/>
        <v>-0.29045946017304536</v>
      </c>
      <c r="AN44" s="581">
        <f t="shared" si="402"/>
        <v>14.999997834268203</v>
      </c>
      <c r="AO44" s="582">
        <f t="shared" si="94"/>
        <v>17.499997473312952</v>
      </c>
      <c r="AP44" s="585">
        <f t="shared" si="403"/>
        <v>4.665301948782683</v>
      </c>
      <c r="AQ44" s="586">
        <f t="shared" si="246"/>
        <v>3.8843448334595467</v>
      </c>
      <c r="AS44" s="52">
        <f t="shared" si="406"/>
        <v>-203.0910226548533</v>
      </c>
      <c r="AT44" s="72">
        <f t="shared" si="247"/>
        <v>-0.28853461517905077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-0.53323381811828408</v>
      </c>
      <c r="C45" s="708">
        <v>-1.1976614974970892</v>
      </c>
      <c r="D45" s="709">
        <v>-0.23600071177814663</v>
      </c>
      <c r="E45" s="710">
        <v>0.90966321064955358</v>
      </c>
      <c r="F45" s="708">
        <v>-0.33168186498248137</v>
      </c>
      <c r="G45" s="711">
        <v>0.24999996726497573</v>
      </c>
      <c r="H45" s="710">
        <v>0.314</v>
      </c>
      <c r="I45" s="708">
        <v>0.52</v>
      </c>
      <c r="J45" s="570">
        <v>5.1050000000000004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5.1050000000000004</v>
      </c>
      <c r="N45" s="632">
        <f t="shared" si="240"/>
        <v>-0.53323381811828408</v>
      </c>
      <c r="O45" s="629">
        <f t="shared" si="241"/>
        <v>-1.1976614974970892</v>
      </c>
      <c r="P45" s="633">
        <f t="shared" si="242"/>
        <v>-0.23600071177814663</v>
      </c>
      <c r="Q45" s="585">
        <f t="shared" si="113"/>
        <v>245.99997747639</v>
      </c>
      <c r="R45" s="629">
        <f t="shared" si="385"/>
        <v>1.311003953987925</v>
      </c>
      <c r="S45" s="634">
        <f t="shared" si="386"/>
        <v>-0.23600071177814663</v>
      </c>
      <c r="T45" s="635">
        <f t="shared" si="387"/>
        <v>-1.205970196546972</v>
      </c>
      <c r="U45" s="629">
        <f t="shared" si="388"/>
        <v>0.51416656096291491</v>
      </c>
      <c r="V45" s="636">
        <f t="shared" si="389"/>
        <v>-0.23600071177814663</v>
      </c>
      <c r="W45" s="585">
        <f t="shared" si="224"/>
        <v>156.90897734514664</v>
      </c>
      <c r="X45" s="629">
        <f t="shared" si="390"/>
        <v>1.311003953987925</v>
      </c>
      <c r="Y45" s="630">
        <f t="shared" si="223"/>
        <v>-0.23600071177814663</v>
      </c>
      <c r="Z45" s="632">
        <f t="shared" si="243"/>
        <v>-0.90966321064955358</v>
      </c>
      <c r="AA45" s="629">
        <f t="shared" si="244"/>
        <v>0.33168186498248137</v>
      </c>
      <c r="AB45" s="629">
        <f t="shared" si="245"/>
        <v>-0.24999996726497573</v>
      </c>
      <c r="AC45" s="636">
        <f t="shared" si="391"/>
        <v>1</v>
      </c>
      <c r="AD45" s="637">
        <f t="shared" si="392"/>
        <v>-0.90966321064955358</v>
      </c>
      <c r="AE45" s="629">
        <f t="shared" si="393"/>
        <v>0.33168186498248137</v>
      </c>
      <c r="AF45" s="633">
        <f t="shared" si="394"/>
        <v>-0.24999996726497573</v>
      </c>
      <c r="AG45" s="602">
        <f t="shared" si="395"/>
        <v>52.993416882614419</v>
      </c>
      <c r="AH45" s="603">
        <f t="shared" si="396"/>
        <v>155.45885115311449</v>
      </c>
      <c r="AI45" s="585">
        <f t="shared" si="397"/>
        <v>-75.522489751159455</v>
      </c>
      <c r="AJ45" s="586">
        <f t="shared" si="398"/>
        <v>-110.03289287852346</v>
      </c>
      <c r="AK45" s="635">
        <f t="shared" si="399"/>
        <v>0.96592583607220739</v>
      </c>
      <c r="AL45" s="629">
        <f t="shared" si="400"/>
        <v>6.6987279208207406E-2</v>
      </c>
      <c r="AM45" s="634">
        <f t="shared" si="401"/>
        <v>-0.24999996726497573</v>
      </c>
      <c r="AN45" s="581">
        <f t="shared" si="402"/>
        <v>14.999997834268306</v>
      </c>
      <c r="AO45" s="582">
        <f t="shared" si="94"/>
        <v>14.999997834268255</v>
      </c>
      <c r="AP45" s="585">
        <f t="shared" si="403"/>
        <v>3.9671296450865841</v>
      </c>
      <c r="AQ45" s="586">
        <f t="shared" si="246"/>
        <v>1.7383830542137844</v>
      </c>
      <c r="AS45" s="52">
        <f t="shared" si="406"/>
        <v>-203.09102265485336</v>
      </c>
      <c r="AT45" s="72">
        <f t="shared" si="247"/>
        <v>-9.4334029470084096E-2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-0.88493660014283981</v>
      </c>
      <c r="C46" s="708">
        <v>-1.9553819808126494</v>
      </c>
      <c r="D46" s="709">
        <v>-4.4800135117207492E-2</v>
      </c>
      <c r="E46" s="710">
        <v>0.86130086298768205</v>
      </c>
      <c r="F46" s="708">
        <v>-0.43737790659161929</v>
      </c>
      <c r="G46" s="711">
        <v>0.25857569538184966</v>
      </c>
      <c r="H46" s="710">
        <v>0.314</v>
      </c>
      <c r="I46" s="708">
        <v>0.52</v>
      </c>
      <c r="J46" s="570">
        <v>5.1100000000000003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5.1100000000000003</v>
      </c>
      <c r="N46" s="632">
        <f t="shared" si="240"/>
        <v>-0.88493660014283981</v>
      </c>
      <c r="O46" s="629">
        <f t="shared" si="241"/>
        <v>-1.9553819808126494</v>
      </c>
      <c r="P46" s="633">
        <f t="shared" si="242"/>
        <v>-4.4800135117207492E-2</v>
      </c>
      <c r="Q46" s="585">
        <f t="shared" si="113"/>
        <v>245.65017752689488</v>
      </c>
      <c r="R46" s="629">
        <f t="shared" si="385"/>
        <v>2.1463064732603234</v>
      </c>
      <c r="S46" s="634">
        <f t="shared" si="386"/>
        <v>-4.4800135117207492E-2</v>
      </c>
      <c r="T46" s="635">
        <f t="shared" si="387"/>
        <v>-1.9691748677752763</v>
      </c>
      <c r="U46" s="629">
        <f t="shared" si="388"/>
        <v>0.85380432025224029</v>
      </c>
      <c r="V46" s="636">
        <f t="shared" si="389"/>
        <v>-4.4800135117207492E-2</v>
      </c>
      <c r="W46" s="585">
        <f t="shared" si="224"/>
        <v>156.55917739565155</v>
      </c>
      <c r="X46" s="629">
        <f t="shared" si="390"/>
        <v>2.1463064732603234</v>
      </c>
      <c r="Y46" s="630">
        <f t="shared" si="223"/>
        <v>-4.4800135117207492E-2</v>
      </c>
      <c r="Z46" s="632">
        <f t="shared" si="243"/>
        <v>-0.86130086298768205</v>
      </c>
      <c r="AA46" s="629">
        <f t="shared" si="244"/>
        <v>0.43737790659161929</v>
      </c>
      <c r="AB46" s="629">
        <f t="shared" si="245"/>
        <v>-0.25857569538184966</v>
      </c>
      <c r="AC46" s="636">
        <f t="shared" si="391"/>
        <v>1</v>
      </c>
      <c r="AD46" s="637">
        <f t="shared" si="392"/>
        <v>-0.86130086298768205</v>
      </c>
      <c r="AE46" s="629">
        <f t="shared" si="393"/>
        <v>0.43737790659161929</v>
      </c>
      <c r="AF46" s="633">
        <f t="shared" si="394"/>
        <v>-0.25857569538184966</v>
      </c>
      <c r="AG46" s="602">
        <f t="shared" si="395"/>
        <v>59.408626653949213</v>
      </c>
      <c r="AH46" s="603">
        <f t="shared" si="396"/>
        <v>149.46295897083425</v>
      </c>
      <c r="AI46" s="585">
        <f t="shared" si="397"/>
        <v>-75.014434277589345</v>
      </c>
      <c r="AJ46" s="586">
        <f t="shared" si="398"/>
        <v>-116.9219535650227</v>
      </c>
      <c r="AK46" s="635">
        <f t="shared" si="399"/>
        <v>0.96501777867491967</v>
      </c>
      <c r="AL46" s="629">
        <f t="shared" si="400"/>
        <v>-4.3350854652672355E-2</v>
      </c>
      <c r="AM46" s="634">
        <f t="shared" si="401"/>
        <v>-0.25857569538184966</v>
      </c>
      <c r="AN46" s="581">
        <f t="shared" si="402"/>
        <v>-9.5172693651475839</v>
      </c>
      <c r="AO46" s="582">
        <f t="shared" si="94"/>
        <v>15.199719362739849</v>
      </c>
      <c r="AP46" s="585">
        <f t="shared" si="403"/>
        <v>-2.5721310919175795</v>
      </c>
      <c r="AQ46" s="586">
        <f t="shared" si="246"/>
        <v>1.0620410268517151</v>
      </c>
      <c r="AS46" s="52">
        <f t="shared" si="406"/>
        <v>-203.44082260434845</v>
      </c>
      <c r="AT46" s="72">
        <f t="shared" si="247"/>
        <v>9.7109463822448866E-2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5.1100000000000003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-1.2559161208794649</v>
      </c>
      <c r="C47" s="708">
        <v>-2.650069684670743</v>
      </c>
      <c r="D47" s="709">
        <v>-0.23680071419095389</v>
      </c>
      <c r="E47" s="710">
        <v>0.78882117556782572</v>
      </c>
      <c r="F47" s="708">
        <v>-0.57976471765471949</v>
      </c>
      <c r="G47" s="711">
        <v>0.20404417447831483</v>
      </c>
      <c r="H47" s="710">
        <v>0.314</v>
      </c>
      <c r="I47" s="708">
        <v>0.52</v>
      </c>
      <c r="J47" s="570">
        <v>5.117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5.117</v>
      </c>
      <c r="N47" s="632">
        <f t="shared" si="240"/>
        <v>-1.2559161208794649</v>
      </c>
      <c r="O47" s="629">
        <f t="shared" si="241"/>
        <v>-2.650069684670743</v>
      </c>
      <c r="P47" s="633">
        <f t="shared" si="242"/>
        <v>-0.23680071419095389</v>
      </c>
      <c r="Q47" s="585">
        <f t="shared" si="113"/>
        <v>244.642877672331</v>
      </c>
      <c r="R47" s="629">
        <f t="shared" si="385"/>
        <v>2.9326088447482754</v>
      </c>
      <c r="S47" s="634">
        <f t="shared" si="386"/>
        <v>-0.23680071419095389</v>
      </c>
      <c r="T47" s="635">
        <f t="shared" si="387"/>
        <v>-2.6696605054529634</v>
      </c>
      <c r="U47" s="629">
        <f t="shared" si="388"/>
        <v>1.2137163679873659</v>
      </c>
      <c r="V47" s="636">
        <f t="shared" si="389"/>
        <v>-0.23680071419095389</v>
      </c>
      <c r="W47" s="585">
        <f t="shared" si="224"/>
        <v>155.55187754108766</v>
      </c>
      <c r="X47" s="629">
        <f t="shared" si="390"/>
        <v>2.9326088447482754</v>
      </c>
      <c r="Y47" s="630">
        <f t="shared" si="223"/>
        <v>-0.23680071419095389</v>
      </c>
      <c r="Z47" s="632">
        <f t="shared" si="243"/>
        <v>-0.78882117556782572</v>
      </c>
      <c r="AA47" s="629">
        <f t="shared" si="244"/>
        <v>0.57976471765471949</v>
      </c>
      <c r="AB47" s="629">
        <f t="shared" si="245"/>
        <v>-0.20404417447831483</v>
      </c>
      <c r="AC47" s="636">
        <f t="shared" si="391"/>
        <v>1</v>
      </c>
      <c r="AD47" s="637">
        <f t="shared" si="392"/>
        <v>-0.78882117556782572</v>
      </c>
      <c r="AE47" s="629">
        <f t="shared" si="393"/>
        <v>0.57976471765471949</v>
      </c>
      <c r="AF47" s="633">
        <f t="shared" si="394"/>
        <v>-0.20404417447831483</v>
      </c>
      <c r="AG47" s="602">
        <f t="shared" si="395"/>
        <v>70.61083380098971</v>
      </c>
      <c r="AH47" s="603">
        <f t="shared" si="396"/>
        <v>142.07548459040495</v>
      </c>
      <c r="AI47" s="585">
        <f t="shared" si="397"/>
        <v>-78.226448340880523</v>
      </c>
      <c r="AJ47" s="586">
        <f t="shared" si="398"/>
        <v>-126.31499764660302</v>
      </c>
      <c r="AK47" s="635">
        <f t="shared" si="399"/>
        <v>0.96111247303431702</v>
      </c>
      <c r="AL47" s="629">
        <f t="shared" si="400"/>
        <v>-0.18608812170399947</v>
      </c>
      <c r="AM47" s="634">
        <f t="shared" si="401"/>
        <v>-0.20404417447831483</v>
      </c>
      <c r="AN47" s="581">
        <f t="shared" si="402"/>
        <v>-42.364790059114377</v>
      </c>
      <c r="AO47" s="582">
        <f t="shared" si="94"/>
        <v>16.030989221929691</v>
      </c>
      <c r="AP47" s="585">
        <f t="shared" si="403"/>
        <v>-10.957875318934004</v>
      </c>
      <c r="AQ47" s="586">
        <f t="shared" si="246"/>
        <v>0.77732383768785285</v>
      </c>
      <c r="AS47" s="52">
        <f t="shared" si="406"/>
        <v>-204.44812245891234</v>
      </c>
      <c r="AT47" s="72">
        <f t="shared" si="247"/>
        <v>-9.4191601463405966E-2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-1.5377764063259014</v>
      </c>
      <c r="C48" s="708">
        <v>-3.1219245328177023</v>
      </c>
      <c r="D48" s="709">
        <v>-0.79910241009286886</v>
      </c>
      <c r="E48" s="710">
        <v>0.67768127441908177</v>
      </c>
      <c r="F48" s="708">
        <v>-0.71650085077548265</v>
      </c>
      <c r="G48" s="711">
        <v>0.16545277616207865</v>
      </c>
      <c r="H48" s="710">
        <v>0.314</v>
      </c>
      <c r="I48" s="708">
        <v>0.52</v>
      </c>
      <c r="J48" s="570">
        <v>5.1239999999999997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5.1239999999999997</v>
      </c>
      <c r="N48" s="632">
        <f t="shared" si="240"/>
        <v>-1.5377764063259014</v>
      </c>
      <c r="O48" s="629">
        <f t="shared" si="241"/>
        <v>-3.1219245328177023</v>
      </c>
      <c r="P48" s="633">
        <f t="shared" si="242"/>
        <v>-0.79910241009286886</v>
      </c>
      <c r="Q48" s="585">
        <f t="shared" si="113"/>
        <v>243.77637779743804</v>
      </c>
      <c r="R48" s="629">
        <f t="shared" si="79"/>
        <v>3.4801104960132561</v>
      </c>
      <c r="S48" s="634">
        <f t="shared" si="80"/>
        <v>-0.79910241009286886</v>
      </c>
      <c r="T48" s="635">
        <f t="shared" si="81"/>
        <v>-3.1459275093164081</v>
      </c>
      <c r="U48" s="629">
        <f t="shared" si="82"/>
        <v>1.4880554998345634</v>
      </c>
      <c r="V48" s="636">
        <f t="shared" si="114"/>
        <v>-0.79910241009286886</v>
      </c>
      <c r="W48" s="585">
        <f t="shared" si="224"/>
        <v>154.68537766619471</v>
      </c>
      <c r="X48" s="629">
        <f t="shared" si="83"/>
        <v>3.4801104960132561</v>
      </c>
      <c r="Y48" s="630">
        <f t="shared" si="223"/>
        <v>-0.79910241009286886</v>
      </c>
      <c r="Z48" s="632">
        <f t="shared" si="243"/>
        <v>-0.67768127441908177</v>
      </c>
      <c r="AA48" s="629">
        <f t="shared" si="244"/>
        <v>0.71650085077548265</v>
      </c>
      <c r="AB48" s="629">
        <f t="shared" si="245"/>
        <v>-0.16545277616207865</v>
      </c>
      <c r="AC48" s="636">
        <f t="shared" si="84"/>
        <v>1</v>
      </c>
      <c r="AD48" s="637">
        <f t="shared" si="115"/>
        <v>-0.67768127441908177</v>
      </c>
      <c r="AE48" s="629">
        <f t="shared" si="85"/>
        <v>0.71650085077548265</v>
      </c>
      <c r="AF48" s="633">
        <f t="shared" si="86"/>
        <v>-0.16545277616207865</v>
      </c>
      <c r="AG48" s="602">
        <f t="shared" si="87"/>
        <v>76.997303304870158</v>
      </c>
      <c r="AH48" s="603">
        <f t="shared" si="88"/>
        <v>132.66271428700728</v>
      </c>
      <c r="AI48" s="585">
        <f t="shared" si="89"/>
        <v>-80.476461841409105</v>
      </c>
      <c r="AJ48" s="586">
        <f t="shared" si="90"/>
        <v>-136.59493033043506</v>
      </c>
      <c r="AK48" s="635">
        <f t="shared" si="211"/>
        <v>0.92453613273514135</v>
      </c>
      <c r="AL48" s="629">
        <f t="shared" si="91"/>
        <v>-0.3433049928669995</v>
      </c>
      <c r="AM48" s="634">
        <f t="shared" si="92"/>
        <v>-0.16545277616207865</v>
      </c>
      <c r="AN48" s="581">
        <f t="shared" si="93"/>
        <v>-64.268673168490636</v>
      </c>
      <c r="AO48" s="582">
        <f t="shared" si="94"/>
        <v>22.401488597991872</v>
      </c>
      <c r="AP48" s="585">
        <f t="shared" si="95"/>
        <v>-20.371308127873089</v>
      </c>
      <c r="AQ48" s="586">
        <f t="shared" si="246"/>
        <v>0.65504451909085615</v>
      </c>
      <c r="AS48" s="52">
        <f t="shared" si="406"/>
        <v>-205.31462233380529</v>
      </c>
      <c r="AT48" s="72">
        <f t="shared" si="247"/>
        <v>-0.65589156134108972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5.1239999999999997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-1.6274054132031213</v>
      </c>
      <c r="C49" s="708">
        <v>-3.2635535972179688</v>
      </c>
      <c r="D49" s="709">
        <v>-1.5625047125142126</v>
      </c>
      <c r="E49" s="710">
        <v>0.55148672689532452</v>
      </c>
      <c r="F49" s="708">
        <v>-0.83157559148437588</v>
      </c>
      <c r="G49" s="711">
        <v>6.5912257628550991E-2</v>
      </c>
      <c r="H49" s="710">
        <v>0.314</v>
      </c>
      <c r="I49" s="708">
        <v>0.52</v>
      </c>
      <c r="J49" s="570">
        <v>5.1310000000000002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5.1310000000000002</v>
      </c>
      <c r="N49" s="632">
        <f t="shared" si="240"/>
        <v>-1.6274054132031213</v>
      </c>
      <c r="O49" s="629">
        <f t="shared" si="241"/>
        <v>-3.2635535972179688</v>
      </c>
      <c r="P49" s="633">
        <f t="shared" si="242"/>
        <v>-1.5625047125142126</v>
      </c>
      <c r="Q49" s="585">
        <f t="shared" si="113"/>
        <v>243.49637783786505</v>
      </c>
      <c r="R49" s="629">
        <f t="shared" si="79"/>
        <v>3.6468109987819721</v>
      </c>
      <c r="S49" s="634">
        <f t="shared" si="80"/>
        <v>-1.5625047125142126</v>
      </c>
      <c r="T49" s="635">
        <f t="shared" si="81"/>
        <v>-3.288960658290478</v>
      </c>
      <c r="U49" s="629">
        <f t="shared" si="82"/>
        <v>1.5754263705596121</v>
      </c>
      <c r="V49" s="636">
        <f t="shared" si="114"/>
        <v>-1.5625047125142126</v>
      </c>
      <c r="W49" s="585">
        <f t="shared" si="224"/>
        <v>154.40537770662172</v>
      </c>
      <c r="X49" s="629">
        <f t="shared" si="83"/>
        <v>3.6468109987819721</v>
      </c>
      <c r="Y49" s="630">
        <f t="shared" si="223"/>
        <v>-1.5625047125142126</v>
      </c>
      <c r="Z49" s="632">
        <f t="shared" si="243"/>
        <v>-0.55148672689532452</v>
      </c>
      <c r="AA49" s="629">
        <f t="shared" si="244"/>
        <v>0.83157559148437588</v>
      </c>
      <c r="AB49" s="629">
        <f t="shared" si="245"/>
        <v>-6.5912257628550991E-2</v>
      </c>
      <c r="AC49" s="636">
        <f t="shared" si="84"/>
        <v>1</v>
      </c>
      <c r="AD49" s="637">
        <f t="shared" si="115"/>
        <v>-0.55148672689532452</v>
      </c>
      <c r="AE49" s="629">
        <f t="shared" si="85"/>
        <v>0.83157559148437588</v>
      </c>
      <c r="AF49" s="633">
        <f t="shared" si="86"/>
        <v>-6.5912257628550991E-2</v>
      </c>
      <c r="AG49" s="602">
        <f t="shared" si="87"/>
        <v>85.468102534634454</v>
      </c>
      <c r="AH49" s="603">
        <f t="shared" si="88"/>
        <v>123.46906854718735</v>
      </c>
      <c r="AI49" s="585">
        <f t="shared" si="89"/>
        <v>-86.22076601028138</v>
      </c>
      <c r="AJ49" s="586">
        <f t="shared" si="90"/>
        <v>-146.44834222200282</v>
      </c>
      <c r="AK49" s="635">
        <f t="shared" si="211"/>
        <v>0.86462312181782808</v>
      </c>
      <c r="AL49" s="629">
        <f t="shared" si="91"/>
        <v>-0.49807874027336391</v>
      </c>
      <c r="AM49" s="634">
        <f t="shared" si="92"/>
        <v>-6.5912257628550991E-2</v>
      </c>
      <c r="AN49" s="581">
        <f t="shared" si="93"/>
        <v>-82.461677321515651</v>
      </c>
      <c r="AO49" s="582">
        <f t="shared" si="94"/>
        <v>30.160301482682215</v>
      </c>
      <c r="AP49" s="585">
        <f t="shared" si="95"/>
        <v>-29.944720059867887</v>
      </c>
      <c r="AQ49" s="586">
        <f t="shared" si="246"/>
        <v>0.62510400989920933</v>
      </c>
      <c r="AS49" s="52">
        <f t="shared" si="406"/>
        <v>-205.59462229337828</v>
      </c>
      <c r="AT49" s="72">
        <f t="shared" si="247"/>
        <v>-1.4190994193460633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5.1310000000000002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-1.6810827155248282</v>
      </c>
      <c r="C50" s="708">
        <v>-3.2993074031233118</v>
      </c>
      <c r="D50" s="709">
        <v>-2.3234999999999992</v>
      </c>
      <c r="E50" s="710">
        <v>0.46947129356355372</v>
      </c>
      <c r="F50" s="708">
        <v>-0.88294773600692056</v>
      </c>
      <c r="G50" s="711">
        <v>1.3008419237961695E-7</v>
      </c>
      <c r="H50" s="710">
        <v>0.314</v>
      </c>
      <c r="I50" s="708">
        <v>0.52</v>
      </c>
      <c r="J50" s="570">
        <v>5.1379999999999999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5.1379999999999999</v>
      </c>
      <c r="N50" s="632">
        <f t="shared" si="240"/>
        <v>-1.6810827155248282</v>
      </c>
      <c r="O50" s="629">
        <f t="shared" si="241"/>
        <v>-3.2993074031233118</v>
      </c>
      <c r="P50" s="633">
        <f t="shared" si="242"/>
        <v>-2.3234999999999992</v>
      </c>
      <c r="Q50" s="585">
        <f t="shared" si="113"/>
        <v>242.99997755618094</v>
      </c>
      <c r="R50" s="629">
        <f t="shared" si="79"/>
        <v>3.7029000036107678</v>
      </c>
      <c r="S50" s="634">
        <f t="shared" si="80"/>
        <v>-2.3234999999999992</v>
      </c>
      <c r="T50" s="635">
        <f t="shared" si="81"/>
        <v>-3.3255615215398007</v>
      </c>
      <c r="U50" s="629">
        <f t="shared" si="82"/>
        <v>1.6285297059601067</v>
      </c>
      <c r="V50" s="636">
        <f t="shared" si="114"/>
        <v>-2.3234999999999992</v>
      </c>
      <c r="W50" s="585">
        <f t="shared" si="224"/>
        <v>153.90897742493758</v>
      </c>
      <c r="X50" s="629">
        <f t="shared" si="83"/>
        <v>3.7029000036107678</v>
      </c>
      <c r="Y50" s="630">
        <f t="shared" si="223"/>
        <v>-2.3234999999999992</v>
      </c>
      <c r="Z50" s="632">
        <f t="shared" si="243"/>
        <v>-0.46947129356355372</v>
      </c>
      <c r="AA50" s="629">
        <f t="shared" si="244"/>
        <v>0.88294773600692056</v>
      </c>
      <c r="AB50" s="629">
        <f t="shared" si="245"/>
        <v>-1.3008419237961695E-7</v>
      </c>
      <c r="AC50" s="636">
        <f t="shared" si="84"/>
        <v>1</v>
      </c>
      <c r="AD50" s="637">
        <f t="shared" si="115"/>
        <v>-0.46947129356355372</v>
      </c>
      <c r="AE50" s="629">
        <f t="shared" si="85"/>
        <v>0.88294773600692056</v>
      </c>
      <c r="AF50" s="633">
        <f t="shared" si="86"/>
        <v>-1.3008419237961695E-7</v>
      </c>
      <c r="AG50" s="602">
        <f t="shared" si="87"/>
        <v>89.999991558645092</v>
      </c>
      <c r="AH50" s="603">
        <f t="shared" si="88"/>
        <v>117.99998252976445</v>
      </c>
      <c r="AI50" s="585">
        <f t="shared" si="89"/>
        <v>-89.999992546724798</v>
      </c>
      <c r="AJ50" s="586">
        <f t="shared" si="90"/>
        <v>-152.00001747023529</v>
      </c>
      <c r="AK50" s="635">
        <f t="shared" si="211"/>
        <v>0.8191520940785213</v>
      </c>
      <c r="AL50" s="629">
        <f t="shared" si="91"/>
        <v>-0.57357636524420741</v>
      </c>
      <c r="AM50" s="634">
        <f t="shared" si="92"/>
        <v>-1.3008419237961695E-7</v>
      </c>
      <c r="AN50" s="581">
        <f t="shared" si="93"/>
        <v>-89.999987005609626</v>
      </c>
      <c r="AO50" s="582">
        <f t="shared" si="94"/>
        <v>34.999995026416876</v>
      </c>
      <c r="AP50" s="585">
        <f t="shared" si="95"/>
        <v>-34.999995026416187</v>
      </c>
      <c r="AQ50" s="586">
        <f t="shared" si="246"/>
        <v>0.6156360948896975</v>
      </c>
      <c r="AS50" s="52">
        <f t="shared" si="406"/>
        <v>-206.09102257506242</v>
      </c>
      <c r="AT50" s="72">
        <f t="shared" si="247"/>
        <v>-2.1797499844140136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5.1379999999999999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-1.9773338177457647</v>
      </c>
      <c r="C51" s="708">
        <v>-2.1960501482073829</v>
      </c>
      <c r="D51" s="709">
        <v>-0.19736424839452604</v>
      </c>
      <c r="E51" s="710">
        <v>0.50620653932333259</v>
      </c>
      <c r="F51" s="708">
        <v>-0.78550685956694544</v>
      </c>
      <c r="G51" s="711">
        <v>0.35599706897609518</v>
      </c>
      <c r="H51" s="710">
        <v>0.26600000000000001</v>
      </c>
      <c r="I51" s="708">
        <v>0.52</v>
      </c>
      <c r="J51" s="570">
        <v>5.2169999999999996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5.2169999999999996</v>
      </c>
      <c r="N51" s="632">
        <f t="shared" si="240"/>
        <v>-1.9773338177457647</v>
      </c>
      <c r="O51" s="629">
        <f t="shared" si="241"/>
        <v>-2.1960501482073829</v>
      </c>
      <c r="P51" s="633">
        <f t="shared" si="242"/>
        <v>-0.19736424839452604</v>
      </c>
      <c r="Q51" s="585">
        <f t="shared" si="113"/>
        <v>227.99998007526807</v>
      </c>
      <c r="R51" s="629">
        <f t="shared" si="79"/>
        <v>2.9550778805714595</v>
      </c>
      <c r="S51" s="634">
        <f t="shared" si="80"/>
        <v>-0.19736424839452604</v>
      </c>
      <c r="T51" s="635">
        <f t="shared" si="81"/>
        <v>-2.2271429469726844</v>
      </c>
      <c r="U51" s="629">
        <f t="shared" si="82"/>
        <v>1.9422460127369381</v>
      </c>
      <c r="V51" s="636">
        <f t="shared" si="114"/>
        <v>-0.19736424839452604</v>
      </c>
      <c r="W51" s="585">
        <f t="shared" si="224"/>
        <v>138.90897994402474</v>
      </c>
      <c r="X51" s="629">
        <f t="shared" si="83"/>
        <v>2.9550778805714595</v>
      </c>
      <c r="Y51" s="630">
        <f t="shared" si="223"/>
        <v>-0.19736424839452604</v>
      </c>
      <c r="Z51" s="632">
        <f t="shared" si="243"/>
        <v>-0.50620653932333259</v>
      </c>
      <c r="AA51" s="629">
        <f t="shared" si="244"/>
        <v>0.78550685956694544</v>
      </c>
      <c r="AB51" s="629">
        <f t="shared" si="245"/>
        <v>-0.35599706897609518</v>
      </c>
      <c r="AC51" s="636">
        <f t="shared" si="84"/>
        <v>1</v>
      </c>
      <c r="AD51" s="637">
        <f t="shared" si="115"/>
        <v>-0.50620653932333259</v>
      </c>
      <c r="AE51" s="629">
        <f t="shared" si="85"/>
        <v>0.78550685956694544</v>
      </c>
      <c r="AF51" s="633">
        <f t="shared" si="86"/>
        <v>-0.35599706897609518</v>
      </c>
      <c r="AG51" s="602">
        <f t="shared" si="87"/>
        <v>65.619641950548242</v>
      </c>
      <c r="AH51" s="603">
        <f t="shared" si="88"/>
        <v>120.41147793024281</v>
      </c>
      <c r="AI51" s="585">
        <f t="shared" si="89"/>
        <v>-69.14543519177019</v>
      </c>
      <c r="AJ51" s="586">
        <f t="shared" si="90"/>
        <v>-147.20093217350683</v>
      </c>
      <c r="AK51" s="635">
        <f t="shared" si="211"/>
        <v>0.90179153677066815</v>
      </c>
      <c r="AL51" s="629">
        <f t="shared" si="91"/>
        <v>-0.2450267558639796</v>
      </c>
      <c r="AM51" s="634">
        <f t="shared" si="92"/>
        <v>-0.35599706897609518</v>
      </c>
      <c r="AN51" s="581">
        <f t="shared" si="93"/>
        <v>-34.538978334635928</v>
      </c>
      <c r="AO51" s="582">
        <f t="shared" si="94"/>
        <v>25.605434802262167</v>
      </c>
      <c r="AP51" s="585">
        <f t="shared" si="95"/>
        <v>-15.200912248774895</v>
      </c>
      <c r="AQ51" s="586">
        <f t="shared" si="246"/>
        <v>0.77141414624809246</v>
      </c>
      <c r="AS51" s="52">
        <f t="shared" si="406"/>
        <v>-221.09102005597526</v>
      </c>
      <c r="AT51" s="72">
        <f t="shared" si="247"/>
        <v>-4.3197567891239963E-2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5.2169999999999996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5.117</v>
      </c>
      <c r="II51" s="734" cm="1">
        <f t="array" ref="II51">IFERROR(ROUND(VALUE(IF($IH51&lt;1,$IH51+LARGE((IF($M$9:$M$150="",0,$M$9:$M$150)-MOD(IF($M$9:$M$150="",0,$M$9:$M$150),1)),1),$IH51)),4),"")</f>
        <v>5.117</v>
      </c>
      <c r="IJ51" s="533">
        <f t="shared" si="112"/>
        <v>1613</v>
      </c>
      <c r="IK51" s="533">
        <f t="shared" si="382"/>
        <v>1313</v>
      </c>
      <c r="IL51" s="727">
        <f t="shared" si="225"/>
        <v>16.642897597062927</v>
      </c>
      <c r="IM51" s="759">
        <v>1.6910851831653001E-2</v>
      </c>
      <c r="IN51" s="5">
        <f t="shared" si="226"/>
        <v>0.36</v>
      </c>
      <c r="IO51" s="771">
        <v>180</v>
      </c>
      <c r="IP51" s="9">
        <f t="shared" si="227"/>
        <v>-2.9326088447482754</v>
      </c>
      <c r="IQ51" s="5">
        <f t="shared" si="228"/>
        <v>-0.23680071419095389</v>
      </c>
      <c r="IR51" s="5">
        <f t="shared" si="383"/>
        <v>0.314</v>
      </c>
      <c r="IS51" s="5">
        <f t="shared" si="229"/>
        <v>0.30178931653277552</v>
      </c>
      <c r="IT51" s="727">
        <f t="shared" si="230"/>
        <v>42.364790059114377</v>
      </c>
      <c r="IU51" s="9">
        <f t="shared" si="231"/>
        <v>-2.9550778805714595</v>
      </c>
      <c r="IV51" s="5">
        <f t="shared" si="232"/>
        <v>-0.19736424839452604</v>
      </c>
      <c r="IW51" s="5">
        <f t="shared" si="384"/>
        <v>0.26600000000000001</v>
      </c>
      <c r="IX51" s="5">
        <f t="shared" si="233"/>
        <v>0.23987654878099773</v>
      </c>
      <c r="IY51" s="762">
        <f t="shared" si="234"/>
        <v>34.538978334635928</v>
      </c>
    </row>
    <row r="52" spans="1:259" ht="15" customHeight="1" x14ac:dyDescent="0.25">
      <c r="A52" s="79"/>
      <c r="B52" s="707">
        <v>-2.3582669089647852</v>
      </c>
      <c r="C52" s="708">
        <v>-2.6191189107607498</v>
      </c>
      <c r="D52" s="709">
        <v>-0.76899941885283729</v>
      </c>
      <c r="E52" s="710">
        <v>0.33044167300088145</v>
      </c>
      <c r="F52" s="708">
        <v>-0.90161340632133258</v>
      </c>
      <c r="G52" s="711">
        <v>0.27910852062597846</v>
      </c>
      <c r="H52" s="710">
        <v>0.26600000000000001</v>
      </c>
      <c r="I52" s="708">
        <v>0.52</v>
      </c>
      <c r="J52" s="570">
        <v>5.2240000000000002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5.2240000000000002</v>
      </c>
      <c r="N52" s="632">
        <f t="shared" si="240"/>
        <v>-2.3582669089647852</v>
      </c>
      <c r="O52" s="629">
        <f t="shared" si="241"/>
        <v>-2.6191189107607498</v>
      </c>
      <c r="P52" s="633">
        <f t="shared" si="242"/>
        <v>-0.76899941885283729</v>
      </c>
      <c r="Q52" s="585">
        <f t="shared" si="113"/>
        <v>227.99998007526807</v>
      </c>
      <c r="R52" s="629">
        <f t="shared" si="79"/>
        <v>3.5243732325936903</v>
      </c>
      <c r="S52" s="634">
        <f t="shared" si="80"/>
        <v>-0.76899941885283729</v>
      </c>
      <c r="T52" s="635">
        <f t="shared" si="81"/>
        <v>-2.6562017329818888</v>
      </c>
      <c r="U52" s="629">
        <f t="shared" si="82"/>
        <v>2.3164194430903282</v>
      </c>
      <c r="V52" s="636">
        <f t="shared" si="114"/>
        <v>-0.76899941885283729</v>
      </c>
      <c r="W52" s="585">
        <f t="shared" si="224"/>
        <v>138.90897994402474</v>
      </c>
      <c r="X52" s="629">
        <f t="shared" si="83"/>
        <v>3.5243732325936903</v>
      </c>
      <c r="Y52" s="630">
        <f t="shared" si="223"/>
        <v>-0.76899941885283729</v>
      </c>
      <c r="Z52" s="632">
        <f t="shared" si="243"/>
        <v>-0.33044167300088145</v>
      </c>
      <c r="AA52" s="629">
        <f t="shared" si="244"/>
        <v>0.90161340632133258</v>
      </c>
      <c r="AB52" s="629">
        <f t="shared" si="245"/>
        <v>-0.27910852062597846</v>
      </c>
      <c r="AC52" s="636">
        <f t="shared" si="84"/>
        <v>1</v>
      </c>
      <c r="AD52" s="637">
        <f t="shared" si="115"/>
        <v>-0.33044167300088145</v>
      </c>
      <c r="AE52" s="629">
        <f t="shared" si="85"/>
        <v>0.90161340632133258</v>
      </c>
      <c r="AF52" s="633">
        <f t="shared" si="86"/>
        <v>-0.27910852062597846</v>
      </c>
      <c r="AG52" s="602">
        <f t="shared" si="87"/>
        <v>72.799272248555539</v>
      </c>
      <c r="AH52" s="603">
        <f t="shared" si="88"/>
        <v>109.29558542890685</v>
      </c>
      <c r="AI52" s="585">
        <f t="shared" si="89"/>
        <v>-73.79299435174687</v>
      </c>
      <c r="AJ52" s="586">
        <f t="shared" si="90"/>
        <v>-159.87209447759008</v>
      </c>
      <c r="AK52" s="635">
        <f t="shared" si="211"/>
        <v>0.84886330079886574</v>
      </c>
      <c r="AL52" s="629">
        <f t="shared" si="91"/>
        <v>-0.44892040527339838</v>
      </c>
      <c r="AM52" s="634">
        <f t="shared" si="92"/>
        <v>-0.27910852062597846</v>
      </c>
      <c r="AN52" s="581">
        <f t="shared" si="93"/>
        <v>-58.129429742760792</v>
      </c>
      <c r="AO52" s="582">
        <f t="shared" si="94"/>
        <v>31.911749876430946</v>
      </c>
      <c r="AP52" s="585">
        <f t="shared" si="95"/>
        <v>-27.872074552858134</v>
      </c>
      <c r="AQ52" s="586">
        <f t="shared" si="246"/>
        <v>0.64681849361932953</v>
      </c>
      <c r="AS52" s="52">
        <f t="shared" si="406"/>
        <v>-221.09102005597526</v>
      </c>
      <c r="AT52" s="72">
        <f t="shared" si="247"/>
        <v>-0.61483273834955121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5.2240000000000002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5.1239999999999997</v>
      </c>
      <c r="II52" s="734" cm="1">
        <f t="array" ref="II52">IFERROR(ROUND(VALUE(IF($IH52&lt;1,$IH52+LARGE((IF($M$9:$M$150="",0,$M$9:$M$150)-MOD(IF($M$9:$M$150="",0,$M$9:$M$150),1)),1),$IH52)),4),"")</f>
        <v>5.1239999999999997</v>
      </c>
      <c r="IJ52" s="533">
        <f t="shared" si="112"/>
        <v>1613</v>
      </c>
      <c r="IK52" s="533">
        <f t="shared" si="382"/>
        <v>1313</v>
      </c>
      <c r="IL52" s="727">
        <f t="shared" si="225"/>
        <v>15.776397722169975</v>
      </c>
      <c r="IM52" s="759">
        <v>1.10119731250318E-2</v>
      </c>
      <c r="IN52" s="5">
        <f t="shared" si="226"/>
        <v>0.34</v>
      </c>
      <c r="IO52" s="771">
        <v>170</v>
      </c>
      <c r="IP52" s="9">
        <f t="shared" si="227"/>
        <v>-3.4801104960132561</v>
      </c>
      <c r="IQ52" s="5">
        <f t="shared" si="228"/>
        <v>-0.79910241009286886</v>
      </c>
      <c r="IR52" s="5">
        <f t="shared" si="383"/>
        <v>0.314</v>
      </c>
      <c r="IS52" s="5">
        <f t="shared" si="229"/>
        <v>0.2903043456788344</v>
      </c>
      <c r="IT52" s="727">
        <f t="shared" si="230"/>
        <v>64.268673168490636</v>
      </c>
      <c r="IU52" s="9">
        <f t="shared" si="231"/>
        <v>-3.5243732325936903</v>
      </c>
      <c r="IV52" s="5">
        <f t="shared" si="232"/>
        <v>-0.76899941885283729</v>
      </c>
      <c r="IW52" s="5">
        <f t="shared" si="384"/>
        <v>0.26600000000000001</v>
      </c>
      <c r="IX52" s="5">
        <f t="shared" si="233"/>
        <v>0.2257976380124983</v>
      </c>
      <c r="IY52" s="762">
        <f t="shared" si="234"/>
        <v>58.129429742760792</v>
      </c>
    </row>
    <row r="53" spans="1:259" ht="15" customHeight="1" x14ac:dyDescent="0.25">
      <c r="A53" s="79"/>
      <c r="B53" s="707">
        <v>-2.4493609178328342</v>
      </c>
      <c r="C53" s="708">
        <v>-2.7202889862837312</v>
      </c>
      <c r="D53" s="709">
        <v>-1.5978264781856737</v>
      </c>
      <c r="E53" s="710">
        <v>-0.60643829844400021</v>
      </c>
      <c r="F53" s="708">
        <v>-0.67351783164839119</v>
      </c>
      <c r="G53" s="711">
        <v>0.42261841019055879</v>
      </c>
      <c r="H53" s="710">
        <v>0.25700000000000001</v>
      </c>
      <c r="I53" s="708">
        <v>0.41499999999999992</v>
      </c>
      <c r="J53" s="570">
        <v>5.2309999999999999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5.2309999999999999</v>
      </c>
      <c r="N53" s="632">
        <f t="shared" si="240"/>
        <v>-2.4493609178328342</v>
      </c>
      <c r="O53" s="629">
        <f t="shared" si="241"/>
        <v>-2.7202889862837312</v>
      </c>
      <c r="P53" s="633">
        <f t="shared" si="242"/>
        <v>-1.5978264781856737</v>
      </c>
      <c r="Q53" s="585">
        <f t="shared" si="113"/>
        <v>227.99998007526807</v>
      </c>
      <c r="R53" s="629">
        <f t="shared" ref="R53:R58" si="410">IF(M53="","",SQRT(N53^2+O53^2))</f>
        <v>3.6605110401012961</v>
      </c>
      <c r="S53" s="634">
        <f t="shared" ref="S53:S58" si="411">IF(M53="","",P53)</f>
        <v>-1.5978264781856737</v>
      </c>
      <c r="T53" s="635">
        <f t="shared" ref="T53:T58" si="412">IF(M53="","",X53*COS(RADIANS(W53)))</f>
        <v>-2.7588042260668617</v>
      </c>
      <c r="U53" s="629">
        <f t="shared" ref="U53:U58" si="413">IF(M53="","",X53*SIN(RADIANS(W53)))</f>
        <v>2.4058969880148848</v>
      </c>
      <c r="V53" s="636">
        <f t="shared" ref="V53:V58" si="414">IF(M53="","",Y53)</f>
        <v>-1.5978264781856737</v>
      </c>
      <c r="W53" s="585">
        <f t="shared" si="224"/>
        <v>138.90897994402474</v>
      </c>
      <c r="X53" s="629">
        <f t="shared" ref="X53:X58" si="415">IF(M53="","",R53)</f>
        <v>3.6605110401012961</v>
      </c>
      <c r="Y53" s="630">
        <f t="shared" si="223"/>
        <v>-1.5978264781856737</v>
      </c>
      <c r="Z53" s="632">
        <f t="shared" si="243"/>
        <v>0.60643829844400021</v>
      </c>
      <c r="AA53" s="629">
        <f t="shared" si="244"/>
        <v>0.67351783164839119</v>
      </c>
      <c r="AB53" s="629">
        <f t="shared" si="245"/>
        <v>-0.42261841019055879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0.60643829844400021</v>
      </c>
      <c r="AE53" s="629">
        <f t="shared" ref="AE53:AE58" si="418">IF(M53="","",AA53*(1/SQRT(Z53^2+AA53^2+AB53^2)))</f>
        <v>0.67351783164839119</v>
      </c>
      <c r="AF53" s="633">
        <f t="shared" ref="AF53:AF58" si="419">IF(M53="","",AB53*(1/SQRT(Z53^2+AA53^2+AB53^2)))</f>
        <v>-0.42261841019055879</v>
      </c>
      <c r="AG53" s="602">
        <f t="shared" ref="AG53:AG58" si="420">IF(M53="","",DEGREES(ATAN2(-AF53,AE53)))</f>
        <v>57.892585152133456</v>
      </c>
      <c r="AH53" s="603">
        <f t="shared" ref="AH53:AH58" si="421">IF(M53="","",DEGREES(ACOS(AD53)))</f>
        <v>52.667588078927203</v>
      </c>
      <c r="AI53" s="585">
        <f t="shared" ref="AI53:AI58" si="422">IF(M53="","",DEGREES(-ACOS(-AF53)))</f>
        <v>-64.999990615163128</v>
      </c>
      <c r="AJ53" s="586">
        <f t="shared" ref="AJ53:AJ58" si="423">IF(M53="","",DEGREES(ATAN2(-AE53,AD53)))</f>
        <v>137.99999441299261</v>
      </c>
      <c r="AK53" s="635">
        <f t="shared" ref="AK53:AK58" si="424">IF(M53="","",(COS(RADIANS((90-$Q$8)-W53))*AD53)+(-SIN(RADIANS((90-$Q$8)-W53))*AE53))</f>
        <v>2.2679489691812549E-7</v>
      </c>
      <c r="AL53" s="629">
        <f t="shared" ref="AL53:AL58" si="425">IF(M53="","",(SIN(RADIANS((90-$Q$8)-W53))*AD53)+(COS(RADIANS((90-$Q$8)-W53))*AE53))</f>
        <v>-0.90630771781330066</v>
      </c>
      <c r="AM53" s="634">
        <f t="shared" ref="AM53:AM58" si="426">IF(M53="","",AF53)</f>
        <v>-0.42261841019055879</v>
      </c>
      <c r="AN53" s="581">
        <f t="shared" ref="AN53:AN58" si="427">IF(M53="","",DEGREES(ATAN2(-AM53,AL53)))</f>
        <v>-64.999990615162446</v>
      </c>
      <c r="AO53" s="582">
        <f t="shared" si="94"/>
        <v>0</v>
      </c>
      <c r="AP53" s="585">
        <f t="shared" ref="AP53:AP58" si="428">IF(M53="","",DEGREES(ATAN2(AK53,AL53)))</f>
        <v>-89.999985662275449</v>
      </c>
      <c r="AQ53" s="586">
        <f t="shared" si="246"/>
        <v>0.62276464391607611</v>
      </c>
      <c r="AS53" s="52">
        <f t="shared" si="406"/>
        <v>-221.09102005597526</v>
      </c>
      <c r="AT53" s="72">
        <f t="shared" si="247"/>
        <v>-1.4436597976823875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5.2309999999999999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5.1310000000000002</v>
      </c>
      <c r="II53" s="734" cm="1">
        <f t="array" ref="II53">IFERROR(ROUND(VALUE(IF($IH53&lt;1,$IH53+LARGE((IF($M$9:$M$150="",0,$M$9:$M$150)-MOD(IF($M$9:$M$150="",0,$M$9:$M$150),1)),1),$IH53)),4),"")</f>
        <v>5.1310000000000002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15.496397762596985</v>
      </c>
      <c r="IM53" s="759">
        <v>9.5679082886035495E-5</v>
      </c>
      <c r="IN53" s="5">
        <f t="shared" si="226"/>
        <v>0</v>
      </c>
      <c r="IO53" s="771">
        <v>0</v>
      </c>
      <c r="IP53" s="9">
        <f t="shared" si="227"/>
        <v>-3.6468109987819721</v>
      </c>
      <c r="IQ53" s="5">
        <f t="shared" si="228"/>
        <v>-1.5625047125142126</v>
      </c>
      <c r="IR53" s="5">
        <f t="shared" si="383"/>
        <v>0.314</v>
      </c>
      <c r="IS53" s="5">
        <f t="shared" si="229"/>
        <v>0.27149166025079802</v>
      </c>
      <c r="IT53" s="727">
        <f t="shared" si="230"/>
        <v>82.461677321515651</v>
      </c>
      <c r="IU53" s="9">
        <f t="shared" si="231"/>
        <v>-3.6605110401012961</v>
      </c>
      <c r="IV53" s="5">
        <f t="shared" si="232"/>
        <v>-1.5978264781856737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64.999990615162446</v>
      </c>
    </row>
    <row r="54" spans="1:259" ht="15" customHeight="1" x14ac:dyDescent="0.25">
      <c r="A54" s="79"/>
      <c r="B54" s="707">
        <v>-2.5092407429589265</v>
      </c>
      <c r="C54" s="708">
        <v>-2.7867922229464717</v>
      </c>
      <c r="D54" s="709">
        <v>-2.3171718774792711</v>
      </c>
      <c r="E54" s="710">
        <v>-0.66913069624761135</v>
      </c>
      <c r="F54" s="708">
        <v>-0.74314474454115298</v>
      </c>
      <c r="G54" s="711">
        <v>2.267948968127656E-7</v>
      </c>
      <c r="H54" s="710">
        <v>0.25700000000000001</v>
      </c>
      <c r="I54" s="708">
        <v>0.41499999999999992</v>
      </c>
      <c r="J54" s="570">
        <v>5.2380000000000004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5.2380000000000004</v>
      </c>
      <c r="N54" s="632">
        <f t="shared" si="240"/>
        <v>-2.5092407429589265</v>
      </c>
      <c r="O54" s="629">
        <f t="shared" si="241"/>
        <v>-2.7867922229464717</v>
      </c>
      <c r="P54" s="633">
        <f t="shared" si="242"/>
        <v>-2.3171718774792711</v>
      </c>
      <c r="Q54" s="585">
        <f t="shared" si="113"/>
        <v>227.99998007526807</v>
      </c>
      <c r="R54" s="629">
        <f t="shared" si="410"/>
        <v>3.7500000000000004</v>
      </c>
      <c r="S54" s="634">
        <f t="shared" si="411"/>
        <v>-2.3171718774792711</v>
      </c>
      <c r="T54" s="635">
        <f t="shared" si="412"/>
        <v>-2.8262490494945878</v>
      </c>
      <c r="U54" s="629">
        <f t="shared" si="413"/>
        <v>2.4647142451470803</v>
      </c>
      <c r="V54" s="636">
        <f t="shared" si="414"/>
        <v>-2.3171718774792711</v>
      </c>
      <c r="W54" s="585">
        <f t="shared" si="224"/>
        <v>138.90897994402474</v>
      </c>
      <c r="X54" s="629">
        <f t="shared" si="415"/>
        <v>3.7500000000000004</v>
      </c>
      <c r="Y54" s="630">
        <f t="shared" si="223"/>
        <v>-2.3171718774792711</v>
      </c>
      <c r="Z54" s="632">
        <f t="shared" si="243"/>
        <v>0.66913069624761135</v>
      </c>
      <c r="AA54" s="629">
        <f t="shared" si="244"/>
        <v>0.74314474454115298</v>
      </c>
      <c r="AB54" s="629">
        <f t="shared" si="245"/>
        <v>-2.267948968127656E-7</v>
      </c>
      <c r="AC54" s="636">
        <f t="shared" si="416"/>
        <v>1</v>
      </c>
      <c r="AD54" s="637">
        <f t="shared" si="417"/>
        <v>0.66913069624761135</v>
      </c>
      <c r="AE54" s="629">
        <f t="shared" si="418"/>
        <v>0.74314474454115298</v>
      </c>
      <c r="AF54" s="633">
        <f t="shared" si="419"/>
        <v>-2.267948968127656E-7</v>
      </c>
      <c r="AG54" s="602">
        <f t="shared" si="420"/>
        <v>89.999982514321076</v>
      </c>
      <c r="AH54" s="603">
        <f t="shared" si="421"/>
        <v>47.999993069659794</v>
      </c>
      <c r="AI54" s="585">
        <f t="shared" si="422"/>
        <v>-89.999987005609597</v>
      </c>
      <c r="AJ54" s="586">
        <f t="shared" si="423"/>
        <v>137.99999306965847</v>
      </c>
      <c r="AK54" s="635">
        <f t="shared" si="424"/>
        <v>2.2679489691812549E-7</v>
      </c>
      <c r="AL54" s="629">
        <f t="shared" si="425"/>
        <v>-0.99999999999994849</v>
      </c>
      <c r="AM54" s="634">
        <f t="shared" si="426"/>
        <v>-2.267948968127656E-7</v>
      </c>
      <c r="AN54" s="581">
        <f t="shared" si="427"/>
        <v>-89.999987005609611</v>
      </c>
      <c r="AO54" s="582">
        <f t="shared" si="94"/>
        <v>0</v>
      </c>
      <c r="AP54" s="585">
        <f t="shared" si="428"/>
        <v>-89.999987005609597</v>
      </c>
      <c r="AQ54" s="586">
        <f t="shared" si="246"/>
        <v>0.60790429010098346</v>
      </c>
      <c r="AS54" s="52">
        <f t="shared" si="406"/>
        <v>-221.09102005597526</v>
      </c>
      <c r="AT54" s="72">
        <f t="shared" si="247"/>
        <v>-2.1630051969759849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5.2380000000000004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5.1379999999999999</v>
      </c>
      <c r="II54" s="734" cm="1">
        <f t="array" ref="II54">IFERROR(ROUND(VALUE(IF($IH54&lt;1,$IH54+LARGE((IF($M$9:$M$150="",0,$M$9:$M$150)-MOD(IF($M$9:$M$150="",0,$M$9:$M$150),1)),1),$IH54)),4),"")</f>
        <v>5.1379999999999999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14.999997480912839</v>
      </c>
      <c r="IM54" s="759">
        <v>4.8309074747461198E-4</v>
      </c>
      <c r="IN54" s="5">
        <f t="shared" si="226"/>
        <v>0</v>
      </c>
      <c r="IO54" s="771">
        <v>0</v>
      </c>
      <c r="IP54" s="9">
        <f t="shared" si="227"/>
        <v>-3.7029000036107678</v>
      </c>
      <c r="IQ54" s="5">
        <f t="shared" si="228"/>
        <v>-2.3234999999999992</v>
      </c>
      <c r="IR54" s="5">
        <f t="shared" si="383"/>
        <v>0.314</v>
      </c>
      <c r="IS54" s="5">
        <f t="shared" si="229"/>
        <v>0.25721375754065567</v>
      </c>
      <c r="IT54" s="727">
        <f t="shared" si="230"/>
        <v>89.999987005609626</v>
      </c>
      <c r="IU54" s="9">
        <f t="shared" si="231"/>
        <v>-3.7500000000000004</v>
      </c>
      <c r="IV54" s="5">
        <f t="shared" si="232"/>
        <v>-2.3171718774792711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89.999987005609611</v>
      </c>
    </row>
    <row r="55" spans="1:259" ht="15" customHeight="1" x14ac:dyDescent="0.25">
      <c r="A55" s="79"/>
      <c r="B55" s="707">
        <v>-1.9839828706538511</v>
      </c>
      <c r="C55" s="708">
        <v>-0.42170804440719301</v>
      </c>
      <c r="D55" s="709">
        <v>-5.5700167991706691E-2</v>
      </c>
      <c r="E55" s="710">
        <v>0.22289165501894914</v>
      </c>
      <c r="F55" s="708">
        <v>-0.94012811595735712</v>
      </c>
      <c r="G55" s="711">
        <v>0.25783412440827963</v>
      </c>
      <c r="H55" s="710">
        <v>0.314</v>
      </c>
      <c r="I55" s="708">
        <v>0.52</v>
      </c>
      <c r="J55" s="570">
        <v>6.109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6.109</v>
      </c>
      <c r="N55" s="632">
        <f t="shared" si="240"/>
        <v>-1.9839828706538511</v>
      </c>
      <c r="O55" s="629">
        <f t="shared" si="241"/>
        <v>-0.42170804440719301</v>
      </c>
      <c r="P55" s="633">
        <f t="shared" si="242"/>
        <v>-5.5700167991706691E-2</v>
      </c>
      <c r="Q55" s="585">
        <f t="shared" si="113"/>
        <v>191.99998527302421</v>
      </c>
      <c r="R55" s="629">
        <f t="shared" si="410"/>
        <v>2.0283061173712502</v>
      </c>
      <c r="S55" s="634">
        <f t="shared" si="411"/>
        <v>-5.5700167991706691E-2</v>
      </c>
      <c r="T55" s="635">
        <f t="shared" si="412"/>
        <v>-0.45312962208028812</v>
      </c>
      <c r="U55" s="629">
        <f t="shared" si="413"/>
        <v>1.9770430575379512</v>
      </c>
      <c r="V55" s="636">
        <f t="shared" si="414"/>
        <v>-5.5700167991706691E-2</v>
      </c>
      <c r="W55" s="585">
        <f t="shared" si="224"/>
        <v>102.90898514178086</v>
      </c>
      <c r="X55" s="629">
        <f t="shared" si="415"/>
        <v>2.0283061173712502</v>
      </c>
      <c r="Y55" s="630">
        <f t="shared" si="223"/>
        <v>-5.5700167991706691E-2</v>
      </c>
      <c r="Z55" s="632">
        <f t="shared" si="243"/>
        <v>-0.22289165501894914</v>
      </c>
      <c r="AA55" s="629">
        <f t="shared" si="244"/>
        <v>0.94012811595735712</v>
      </c>
      <c r="AB55" s="629">
        <f t="shared" si="245"/>
        <v>-0.25783412440827963</v>
      </c>
      <c r="AC55" s="636">
        <f t="shared" si="416"/>
        <v>1</v>
      </c>
      <c r="AD55" s="637">
        <f t="shared" si="417"/>
        <v>-0.22289165501894914</v>
      </c>
      <c r="AE55" s="629">
        <f t="shared" si="418"/>
        <v>0.94012811595735712</v>
      </c>
      <c r="AF55" s="633">
        <f t="shared" si="419"/>
        <v>-0.25783412440827963</v>
      </c>
      <c r="AG55" s="602">
        <f t="shared" si="420"/>
        <v>74.663480899391459</v>
      </c>
      <c r="AH55" s="603">
        <f t="shared" si="421"/>
        <v>102.87893080099171</v>
      </c>
      <c r="AI55" s="585">
        <f t="shared" si="422"/>
        <v>-75.058414528502141</v>
      </c>
      <c r="AJ55" s="586">
        <f t="shared" si="423"/>
        <v>-166.662212137426</v>
      </c>
      <c r="AK55" s="635">
        <f t="shared" si="424"/>
        <v>0.9659258360722075</v>
      </c>
      <c r="AL55" s="629">
        <f t="shared" si="425"/>
        <v>2.2557559682354622E-2</v>
      </c>
      <c r="AM55" s="634">
        <f t="shared" si="426"/>
        <v>-0.25783412440827963</v>
      </c>
      <c r="AN55" s="581">
        <f t="shared" si="427"/>
        <v>4.9999992780894695</v>
      </c>
      <c r="AO55" s="582">
        <f>IF(ROUND(IF(M55="",0,DEGREES(ACOS(AK55))),4)=90,0,IF(M55="","",DEGREES(ACOS(AK55))))</f>
        <v>14.99999783426823</v>
      </c>
      <c r="AP55" s="585">
        <f t="shared" si="428"/>
        <v>1.3378025895497925</v>
      </c>
      <c r="AQ55" s="586">
        <f t="shared" si="246"/>
        <v>1.1238117632879077</v>
      </c>
      <c r="AS55" s="52">
        <f t="shared" si="406"/>
        <v>-257.09101485821913</v>
      </c>
      <c r="AT55" s="72">
        <f t="shared" si="247"/>
        <v>0.12346650890202651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6.109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-2.7813334726030452</v>
      </c>
      <c r="C56" s="708">
        <v>-0.53014944297890665</v>
      </c>
      <c r="D56" s="709">
        <v>-0.18300055192966475</v>
      </c>
      <c r="E56" s="710">
        <v>1.5102583857571268E-2</v>
      </c>
      <c r="F56" s="708">
        <v>-0.97622526396484077</v>
      </c>
      <c r="G56" s="711">
        <v>0.21623169508099888</v>
      </c>
      <c r="H56" s="710">
        <v>0.314</v>
      </c>
      <c r="I56" s="708">
        <v>0.52</v>
      </c>
      <c r="J56" s="570">
        <v>6.1159999999999997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6.1159999999999997</v>
      </c>
      <c r="N56" s="632">
        <f t="shared" si="240"/>
        <v>-2.7813334726030452</v>
      </c>
      <c r="O56" s="629">
        <f t="shared" si="241"/>
        <v>-0.53014944297890665</v>
      </c>
      <c r="P56" s="633">
        <f t="shared" si="242"/>
        <v>-0.18300055192966475</v>
      </c>
      <c r="Q56" s="585">
        <f t="shared" si="113"/>
        <v>190.79168544748114</v>
      </c>
      <c r="R56" s="629">
        <f t="shared" si="410"/>
        <v>2.8314085395281552</v>
      </c>
      <c r="S56" s="634">
        <f t="shared" si="411"/>
        <v>-0.18300055192966475</v>
      </c>
      <c r="T56" s="635">
        <f t="shared" si="412"/>
        <v>-0.57420684263516675</v>
      </c>
      <c r="U56" s="629">
        <f t="shared" si="413"/>
        <v>2.7725729601912938</v>
      </c>
      <c r="V56" s="636">
        <f t="shared" si="414"/>
        <v>-0.18300055192966475</v>
      </c>
      <c r="W56" s="585">
        <f t="shared" si="224"/>
        <v>101.7006853162378</v>
      </c>
      <c r="X56" s="629">
        <f t="shared" si="415"/>
        <v>2.8314085395281552</v>
      </c>
      <c r="Y56" s="630">
        <f t="shared" si="223"/>
        <v>-0.18300055192966475</v>
      </c>
      <c r="Z56" s="632">
        <f t="shared" si="243"/>
        <v>-1.5102583857571268E-2</v>
      </c>
      <c r="AA56" s="629">
        <f t="shared" si="244"/>
        <v>0.97622526396484077</v>
      </c>
      <c r="AB56" s="629">
        <f t="shared" si="245"/>
        <v>-0.21623169508099888</v>
      </c>
      <c r="AC56" s="636">
        <f t="shared" si="416"/>
        <v>1</v>
      </c>
      <c r="AD56" s="637">
        <f t="shared" si="417"/>
        <v>-1.5102583857571268E-2</v>
      </c>
      <c r="AE56" s="629">
        <f t="shared" si="418"/>
        <v>0.97622526396484077</v>
      </c>
      <c r="AF56" s="633">
        <f t="shared" si="419"/>
        <v>-0.21623169508099888</v>
      </c>
      <c r="AG56" s="602">
        <f t="shared" si="420"/>
        <v>77.510754425676708</v>
      </c>
      <c r="AH56" s="603">
        <f t="shared" si="421"/>
        <v>90.865347212798866</v>
      </c>
      <c r="AI56" s="585">
        <f t="shared" si="422"/>
        <v>-77.512201823816298</v>
      </c>
      <c r="AJ56" s="586">
        <f t="shared" si="423"/>
        <v>-179.11368274936186</v>
      </c>
      <c r="AK56" s="635">
        <f t="shared" si="424"/>
        <v>0.96178795531202421</v>
      </c>
      <c r="AL56" s="629">
        <f t="shared" si="425"/>
        <v>-0.16795172836000788</v>
      </c>
      <c r="AM56" s="634">
        <f t="shared" si="426"/>
        <v>-0.21623169508099888</v>
      </c>
      <c r="AN56" s="581">
        <f t="shared" si="427"/>
        <v>-37.837242644959026</v>
      </c>
      <c r="AO56" s="582">
        <f t="shared" ref="AO56:AO119" si="461">IF(ROUND(IF(M56="",0,DEGREES(ACOS(AK56))),4)=90,0,IF(M56="","",DEGREES(ACOS(AK56))))</f>
        <v>15.890241596609888</v>
      </c>
      <c r="AP56" s="585">
        <f t="shared" si="428"/>
        <v>-9.9053681968429821</v>
      </c>
      <c r="AQ56" s="586">
        <f t="shared" si="246"/>
        <v>0.80510338011469418</v>
      </c>
      <c r="AS56" s="52">
        <f t="shared" si="406"/>
        <v>-258.29931468376219</v>
      </c>
      <c r="AT56" s="72">
        <f t="shared" si="247"/>
        <v>-2.9947779348599712E-3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6.1159999999999997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-3.3718382395523787</v>
      </c>
      <c r="C57" s="708">
        <v>-0.58675701315081308</v>
      </c>
      <c r="D57" s="709">
        <v>-0.70270211934959181</v>
      </c>
      <c r="E57" s="710">
        <v>-0.15607972186656807</v>
      </c>
      <c r="F57" s="708">
        <v>-0.97227633636901445</v>
      </c>
      <c r="G57" s="711">
        <v>0.17412020606150766</v>
      </c>
      <c r="H57" s="710">
        <v>0.314</v>
      </c>
      <c r="I57" s="708">
        <v>0.52</v>
      </c>
      <c r="J57" s="570">
        <v>6.1230000000000002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6.1230000000000002</v>
      </c>
      <c r="N57" s="632">
        <f t="shared" si="240"/>
        <v>-3.3718382395523787</v>
      </c>
      <c r="O57" s="629">
        <f t="shared" si="241"/>
        <v>-0.58675701315081308</v>
      </c>
      <c r="P57" s="633">
        <f t="shared" si="242"/>
        <v>-0.70270211934959181</v>
      </c>
      <c r="Q57" s="585">
        <f t="shared" si="113"/>
        <v>189.87158558032712</v>
      </c>
      <c r="R57" s="629">
        <f t="shared" si="410"/>
        <v>3.4225103222911319</v>
      </c>
      <c r="S57" s="634">
        <f t="shared" si="411"/>
        <v>-0.70270211934959181</v>
      </c>
      <c r="T57" s="635">
        <f t="shared" si="412"/>
        <v>-0.64017527801768592</v>
      </c>
      <c r="U57" s="629">
        <f t="shared" si="413"/>
        <v>3.3621053700924257</v>
      </c>
      <c r="V57" s="636">
        <f t="shared" si="414"/>
        <v>-0.70270211934959181</v>
      </c>
      <c r="W57" s="585">
        <f t="shared" si="224"/>
        <v>100.78058544908377</v>
      </c>
      <c r="X57" s="629">
        <f t="shared" si="415"/>
        <v>3.4225103222911319</v>
      </c>
      <c r="Y57" s="630">
        <f t="shared" si="223"/>
        <v>-0.70270211934959181</v>
      </c>
      <c r="Z57" s="632">
        <f t="shared" si="243"/>
        <v>0.15607972186656807</v>
      </c>
      <c r="AA57" s="629">
        <f t="shared" si="244"/>
        <v>0.97227633636901445</v>
      </c>
      <c r="AB57" s="629">
        <f t="shared" si="245"/>
        <v>-0.17412020606150766</v>
      </c>
      <c r="AC57" s="636">
        <f t="shared" si="416"/>
        <v>1</v>
      </c>
      <c r="AD57" s="637">
        <f t="shared" si="417"/>
        <v>0.15607972186656807</v>
      </c>
      <c r="AE57" s="629">
        <f t="shared" si="418"/>
        <v>0.97227633636901445</v>
      </c>
      <c r="AF57" s="633">
        <f t="shared" si="419"/>
        <v>-0.17412020606150766</v>
      </c>
      <c r="AG57" s="602">
        <f t="shared" si="420"/>
        <v>79.846809105717298</v>
      </c>
      <c r="AH57" s="603">
        <f t="shared" si="421"/>
        <v>81.020578059072506</v>
      </c>
      <c r="AI57" s="585">
        <f t="shared" si="422"/>
        <v>-79.972536387190729</v>
      </c>
      <c r="AJ57" s="586">
        <f t="shared" si="423"/>
        <v>170.88010517023372</v>
      </c>
      <c r="AK57" s="635">
        <f t="shared" si="424"/>
        <v>0.93112287732466836</v>
      </c>
      <c r="AL57" s="629">
        <f t="shared" si="425"/>
        <v>-0.3204564575160388</v>
      </c>
      <c r="AM57" s="634">
        <f t="shared" si="426"/>
        <v>-0.17412020606150766</v>
      </c>
      <c r="AN57" s="581">
        <f t="shared" si="427"/>
        <v>-61.482528628382759</v>
      </c>
      <c r="AO57" s="582">
        <f t="shared" si="461"/>
        <v>21.389467019136085</v>
      </c>
      <c r="AP57" s="585">
        <f t="shared" si="428"/>
        <v>-18.991480410093406</v>
      </c>
      <c r="AQ57" s="586">
        <f t="shared" si="246"/>
        <v>0.66606780417069733</v>
      </c>
      <c r="AS57" s="52">
        <f t="shared" si="406"/>
        <v>-259.21941455091621</v>
      </c>
      <c r="AT57" s="72">
        <f t="shared" si="247"/>
        <v>-0.52205738711370786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6.1230000000000002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-3.5926171365438395</v>
      </c>
      <c r="C58" s="708">
        <v>-0.6014290534845339</v>
      </c>
      <c r="D58" s="709">
        <v>-1.4464043623555574</v>
      </c>
      <c r="E58" s="710">
        <v>-0.31466626907074574</v>
      </c>
      <c r="F58" s="708">
        <v>-0.9457990315579895</v>
      </c>
      <c r="G58" s="711">
        <v>8.0307726982316072E-2</v>
      </c>
      <c r="H58" s="710">
        <v>0.314</v>
      </c>
      <c r="I58" s="708">
        <v>0.52</v>
      </c>
      <c r="J58" s="570">
        <v>6.13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6.13</v>
      </c>
      <c r="N58" s="632">
        <f t="shared" si="240"/>
        <v>-3.5926171365438395</v>
      </c>
      <c r="O58" s="629">
        <f t="shared" si="241"/>
        <v>-0.6014290534845339</v>
      </c>
      <c r="P58" s="633">
        <f t="shared" si="242"/>
        <v>-1.4464043623555574</v>
      </c>
      <c r="Q58" s="585">
        <f t="shared" si="113"/>
        <v>189.50358563345975</v>
      </c>
      <c r="R58" s="629">
        <f t="shared" si="410"/>
        <v>3.6426109861147347</v>
      </c>
      <c r="S58" s="634">
        <f t="shared" si="411"/>
        <v>-1.4464043623555574</v>
      </c>
      <c r="T58" s="635">
        <f t="shared" si="412"/>
        <v>-0.65834799114931686</v>
      </c>
      <c r="U58" s="629">
        <f t="shared" si="413"/>
        <v>3.5826237199451216</v>
      </c>
      <c r="V58" s="636">
        <f t="shared" si="414"/>
        <v>-1.4464043623555574</v>
      </c>
      <c r="W58" s="585">
        <f t="shared" si="224"/>
        <v>100.4125855022164</v>
      </c>
      <c r="X58" s="629">
        <f t="shared" si="415"/>
        <v>3.6426109861147347</v>
      </c>
      <c r="Y58" s="630">
        <f t="shared" si="223"/>
        <v>-1.4464043623555574</v>
      </c>
      <c r="Z58" s="632">
        <f t="shared" si="243"/>
        <v>0.31466626907074574</v>
      </c>
      <c r="AA58" s="629">
        <f t="shared" si="244"/>
        <v>0.9457990315579895</v>
      </c>
      <c r="AB58" s="629">
        <f t="shared" si="245"/>
        <v>-8.0307726982316072E-2</v>
      </c>
      <c r="AC58" s="636">
        <f t="shared" si="416"/>
        <v>1</v>
      </c>
      <c r="AD58" s="637">
        <f t="shared" si="417"/>
        <v>0.31466626907074574</v>
      </c>
      <c r="AE58" s="629">
        <f t="shared" si="418"/>
        <v>0.9457990315579895</v>
      </c>
      <c r="AF58" s="633">
        <f t="shared" si="419"/>
        <v>-8.0307726982316072E-2</v>
      </c>
      <c r="AG58" s="602">
        <f t="shared" si="420"/>
        <v>85.146660887911949</v>
      </c>
      <c r="AH58" s="603">
        <f t="shared" si="421"/>
        <v>71.659332056115929</v>
      </c>
      <c r="AI58" s="585">
        <f t="shared" si="422"/>
        <v>-85.393745894536352</v>
      </c>
      <c r="AJ58" s="586">
        <f t="shared" si="423"/>
        <v>161.5977742648052</v>
      </c>
      <c r="AK58" s="635">
        <f t="shared" si="424"/>
        <v>0.88086385956724478</v>
      </c>
      <c r="AL58" s="629">
        <f t="shared" si="425"/>
        <v>-0.46650780260916441</v>
      </c>
      <c r="AM58" s="634">
        <f t="shared" si="426"/>
        <v>-8.0307726982316072E-2</v>
      </c>
      <c r="AN58" s="581">
        <f t="shared" si="427"/>
        <v>-80.232461332931237</v>
      </c>
      <c r="AO58" s="582">
        <f t="shared" si="461"/>
        <v>28.253253511865797</v>
      </c>
      <c r="AP58" s="585">
        <f t="shared" si="428"/>
        <v>-27.905811368654557</v>
      </c>
      <c r="AQ58" s="586">
        <f t="shared" si="246"/>
        <v>0.6258247116363117</v>
      </c>
      <c r="AS58" s="52">
        <f t="shared" si="406"/>
        <v>-259.58741449778358</v>
      </c>
      <c r="AT58" s="72">
        <f t="shared" si="247"/>
        <v>-1.2655040746010155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-3.6573113086094571</v>
      </c>
      <c r="C59" s="708">
        <v>-0.57926024737064818</v>
      </c>
      <c r="D59" s="709">
        <v>-2.2149999999999985</v>
      </c>
      <c r="E59" s="710">
        <v>-0.4383712985380287</v>
      </c>
      <c r="F59" s="708">
        <v>-0.89879397228623303</v>
      </c>
      <c r="G59" s="711">
        <v>1.300841922877809E-7</v>
      </c>
      <c r="H59" s="710">
        <v>0.314</v>
      </c>
      <c r="I59" s="708">
        <v>0.52</v>
      </c>
      <c r="J59" s="570">
        <v>6.1369999999999996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6.1369999999999996</v>
      </c>
      <c r="N59" s="632">
        <f t="shared" si="240"/>
        <v>-3.6573113086094571</v>
      </c>
      <c r="O59" s="629">
        <f t="shared" si="241"/>
        <v>-0.57926024737064818</v>
      </c>
      <c r="P59" s="633">
        <f t="shared" si="242"/>
        <v>-2.2149999999999985</v>
      </c>
      <c r="Q59" s="585">
        <f t="shared" si="113"/>
        <v>188.9999853693038</v>
      </c>
      <c r="R59" s="629">
        <f t="shared" si="79"/>
        <v>3.702900004356926</v>
      </c>
      <c r="S59" s="634">
        <f t="shared" si="80"/>
        <v>-2.2149999999999985</v>
      </c>
      <c r="T59" s="635">
        <f t="shared" si="81"/>
        <v>-0.63720830752698665</v>
      </c>
      <c r="U59" s="629">
        <f t="shared" si="82"/>
        <v>3.6476614446909839</v>
      </c>
      <c r="V59" s="636">
        <f t="shared" si="114"/>
        <v>-2.2149999999999985</v>
      </c>
      <c r="W59" s="585">
        <f t="shared" si="224"/>
        <v>99.908985238060453</v>
      </c>
      <c r="X59" s="629">
        <f t="shared" si="83"/>
        <v>3.702900004356926</v>
      </c>
      <c r="Y59" s="630">
        <f t="shared" si="223"/>
        <v>-2.2149999999999985</v>
      </c>
      <c r="Z59" s="632">
        <f t="shared" si="243"/>
        <v>0.4383712985380287</v>
      </c>
      <c r="AA59" s="629">
        <f t="shared" si="244"/>
        <v>0.89879397228623303</v>
      </c>
      <c r="AB59" s="629">
        <f t="shared" si="245"/>
        <v>-1.300841922877809E-7</v>
      </c>
      <c r="AC59" s="636">
        <f t="shared" si="84"/>
        <v>1</v>
      </c>
      <c r="AD59" s="637">
        <f t="shared" si="115"/>
        <v>0.4383712985380287</v>
      </c>
      <c r="AE59" s="629">
        <f t="shared" si="85"/>
        <v>0.89879397228623303</v>
      </c>
      <c r="AF59" s="633">
        <f t="shared" si="86"/>
        <v>-1.300841922877809E-7</v>
      </c>
      <c r="AG59" s="602">
        <f t="shared" si="87"/>
        <v>89.999991707470869</v>
      </c>
      <c r="AH59" s="603">
        <f t="shared" si="88"/>
        <v>63.999990326399185</v>
      </c>
      <c r="AI59" s="585">
        <f t="shared" si="89"/>
        <v>-89.999992546724798</v>
      </c>
      <c r="AJ59" s="586">
        <f t="shared" si="90"/>
        <v>153.99999032639894</v>
      </c>
      <c r="AK59" s="635">
        <f t="shared" si="211"/>
        <v>0.81915209391345689</v>
      </c>
      <c r="AL59" s="629">
        <f t="shared" si="91"/>
        <v>-0.57357636547994406</v>
      </c>
      <c r="AM59" s="634">
        <f t="shared" si="92"/>
        <v>-1.300841922877809E-7</v>
      </c>
      <c r="AN59" s="581">
        <f t="shared" si="93"/>
        <v>-89.999987005609626</v>
      </c>
      <c r="AO59" s="582">
        <f t="shared" si="461"/>
        <v>34.999995042905518</v>
      </c>
      <c r="AP59" s="585">
        <f t="shared" si="95"/>
        <v>-34.999995042904835</v>
      </c>
      <c r="AQ59" s="586">
        <f t="shared" si="246"/>
        <v>0.6156360947656524</v>
      </c>
      <c r="AS59" s="52">
        <f t="shared" si="406"/>
        <v>-260.09101476193956</v>
      </c>
      <c r="AT59" s="72">
        <f t="shared" si="247"/>
        <v>-2.0337499898397926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6.1369999999999996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-3.4270954615711902</v>
      </c>
      <c r="C60" s="708">
        <v>0.36020298111593702</v>
      </c>
      <c r="D60" s="709">
        <v>-0.71717665286935928</v>
      </c>
      <c r="E60" s="710">
        <v>-0.6366030444868882</v>
      </c>
      <c r="F60" s="708">
        <v>6.6909584356151672E-2</v>
      </c>
      <c r="G60" s="711">
        <v>0.7682835877924975</v>
      </c>
      <c r="H60" s="710">
        <v>0.25700000000000001</v>
      </c>
      <c r="I60" s="708">
        <v>0.41499999999999992</v>
      </c>
      <c r="J60" s="570">
        <v>6.2229999999999999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6.2229999999999999</v>
      </c>
      <c r="N60" s="632">
        <f t="shared" si="240"/>
        <v>-3.4270954615711902</v>
      </c>
      <c r="O60" s="629">
        <f t="shared" si="241"/>
        <v>0.36020298111593702</v>
      </c>
      <c r="P60" s="633">
        <f t="shared" si="242"/>
        <v>-0.71717665286935928</v>
      </c>
      <c r="Q60" s="585">
        <f t="shared" si="113"/>
        <v>173.99998787190228</v>
      </c>
      <c r="R60" s="629">
        <f t="shared" si="79"/>
        <v>3.4459729381303412</v>
      </c>
      <c r="S60" s="634">
        <f t="shared" si="80"/>
        <v>-0.71717665286935928</v>
      </c>
      <c r="T60" s="635">
        <f t="shared" si="81"/>
        <v>0.30578892276771924</v>
      </c>
      <c r="U60" s="629">
        <f t="shared" si="82"/>
        <v>3.4323785666850934</v>
      </c>
      <c r="V60" s="636">
        <f t="shared" si="114"/>
        <v>-0.71717665286935928</v>
      </c>
      <c r="W60" s="585">
        <f t="shared" si="224"/>
        <v>84.90898774065893</v>
      </c>
      <c r="X60" s="629">
        <f t="shared" si="83"/>
        <v>3.4459729381303412</v>
      </c>
      <c r="Y60" s="630">
        <f t="shared" si="223"/>
        <v>-0.71717665286935928</v>
      </c>
      <c r="Z60" s="632">
        <f t="shared" si="243"/>
        <v>0.6366030444868882</v>
      </c>
      <c r="AA60" s="629">
        <f t="shared" si="244"/>
        <v>-6.6909584356151672E-2</v>
      </c>
      <c r="AB60" s="629">
        <f t="shared" si="245"/>
        <v>-0.7682835877924975</v>
      </c>
      <c r="AC60" s="636">
        <f t="shared" si="84"/>
        <v>1</v>
      </c>
      <c r="AD60" s="637">
        <f t="shared" si="115"/>
        <v>0.6366030444868882</v>
      </c>
      <c r="AE60" s="629">
        <f t="shared" si="85"/>
        <v>-6.6909584356151672E-2</v>
      </c>
      <c r="AF60" s="633">
        <f t="shared" si="86"/>
        <v>-0.7682835877924975</v>
      </c>
      <c r="AG60" s="602">
        <f t="shared" si="87"/>
        <v>-4.9773137196652657</v>
      </c>
      <c r="AH60" s="603">
        <f t="shared" si="88"/>
        <v>50.461019063289442</v>
      </c>
      <c r="AI60" s="585">
        <f t="shared" si="89"/>
        <v>-39.799994253593574</v>
      </c>
      <c r="AJ60" s="586">
        <f t="shared" si="90"/>
        <v>84.000008172160165</v>
      </c>
      <c r="AK60" s="635">
        <f t="shared" si="211"/>
        <v>2.2679489697363664E-7</v>
      </c>
      <c r="AL60" s="629">
        <f t="shared" si="91"/>
        <v>-0.64010962243090563</v>
      </c>
      <c r="AM60" s="634">
        <f t="shared" si="92"/>
        <v>-0.7682835877924975</v>
      </c>
      <c r="AN60" s="581">
        <f t="shared" si="93"/>
        <v>-39.799994253591819</v>
      </c>
      <c r="AO60" s="582">
        <f t="shared" si="461"/>
        <v>0</v>
      </c>
      <c r="AP60" s="585">
        <f t="shared" si="95"/>
        <v>-89.999979699742113</v>
      </c>
      <c r="AQ60" s="586">
        <f t="shared" si="246"/>
        <v>0.66153314887885728</v>
      </c>
      <c r="AS60" s="52">
        <f t="shared" si="406"/>
        <v>-275.09101225934108</v>
      </c>
      <c r="AT60" s="72">
        <f t="shared" si="247"/>
        <v>-0.52550997778040254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6.2229999999999999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6.1230000000000002</v>
      </c>
      <c r="II60" s="734" cm="1">
        <f t="array" ref="II60">IFERROR(ROUND(VALUE(IF($IH60&lt;1,$IH60+LARGE((IF($M$9:$M$150="",0,$M$9:$M$150)-MOD(IF($M$9:$M$150="",0,$M$9:$M$150),1)),1),$IH60)),4),"")</f>
        <v>6.1230000000000002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15.871597708424844</v>
      </c>
      <c r="IM60" s="759">
        <v>1.68159138115807E-2</v>
      </c>
      <c r="IN60" s="5">
        <f t="shared" si="226"/>
        <v>0.92</v>
      </c>
      <c r="IO60" s="771">
        <v>460</v>
      </c>
      <c r="IP60" s="9">
        <f t="shared" si="227"/>
        <v>-3.4225103222911319</v>
      </c>
      <c r="IQ60" s="5">
        <f t="shared" si="228"/>
        <v>-0.70270211934959181</v>
      </c>
      <c r="IR60" s="5">
        <f t="shared" si="383"/>
        <v>0.314</v>
      </c>
      <c r="IS60" s="5">
        <f t="shared" si="229"/>
        <v>0.29237258347994588</v>
      </c>
      <c r="IT60" s="727">
        <f t="shared" si="230"/>
        <v>61.482528628382759</v>
      </c>
      <c r="IU60" s="9">
        <f t="shared" si="231"/>
        <v>-3.4459729381303412</v>
      </c>
      <c r="IV60" s="5">
        <f t="shared" si="232"/>
        <v>-0.71717665286935928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39.799994253591819</v>
      </c>
    </row>
    <row r="61" spans="1:259" ht="15" customHeight="1" x14ac:dyDescent="0.25">
      <c r="A61" s="79"/>
      <c r="B61" s="707">
        <v>-3.6404582966251642</v>
      </c>
      <c r="C61" s="708">
        <v>0.38262836439094922</v>
      </c>
      <c r="D61" s="709">
        <v>-1.4784664487203403</v>
      </c>
      <c r="E61" s="710">
        <v>-0.87565393735809993</v>
      </c>
      <c r="F61" s="708">
        <v>9.2034896801098914E-2</v>
      </c>
      <c r="G61" s="711">
        <v>0.47408834594415827</v>
      </c>
      <c r="H61" s="710">
        <v>0.25700000000000001</v>
      </c>
      <c r="I61" s="708">
        <v>0.41499999999999992</v>
      </c>
      <c r="J61" s="570">
        <v>6.23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CPS-32193r1</v>
      </c>
      <c r="L61" s="320"/>
      <c r="M61" s="168">
        <f t="shared" si="239"/>
        <v>6.23</v>
      </c>
      <c r="N61" s="632">
        <f t="shared" si="240"/>
        <v>-3.6404582966251642</v>
      </c>
      <c r="O61" s="629">
        <f t="shared" si="241"/>
        <v>0.38262836439094922</v>
      </c>
      <c r="P61" s="633">
        <f t="shared" si="242"/>
        <v>-1.4784664487203403</v>
      </c>
      <c r="Q61" s="585">
        <f t="shared" si="113"/>
        <v>173.99998787190228</v>
      </c>
      <c r="R61" s="629">
        <f t="shared" si="79"/>
        <v>3.6605110401012979</v>
      </c>
      <c r="S61" s="634">
        <f t="shared" si="80"/>
        <v>-1.4784664487203403</v>
      </c>
      <c r="T61" s="635">
        <f t="shared" si="81"/>
        <v>0.3248266158292103</v>
      </c>
      <c r="U61" s="629">
        <f t="shared" si="82"/>
        <v>3.646070315332993</v>
      </c>
      <c r="V61" s="636">
        <f t="shared" si="114"/>
        <v>-1.4784664487203403</v>
      </c>
      <c r="W61" s="585">
        <f t="shared" si="224"/>
        <v>84.90898774065893</v>
      </c>
      <c r="X61" s="629">
        <f t="shared" si="83"/>
        <v>3.6605110401012979</v>
      </c>
      <c r="Y61" s="630">
        <f t="shared" si="223"/>
        <v>-1.4784664487203403</v>
      </c>
      <c r="Z61" s="632">
        <f t="shared" si="243"/>
        <v>0.87565393735809993</v>
      </c>
      <c r="AA61" s="629">
        <f t="shared" si="244"/>
        <v>-9.2034896801098914E-2</v>
      </c>
      <c r="AB61" s="629">
        <f t="shared" si="245"/>
        <v>-0.47408834594415827</v>
      </c>
      <c r="AC61" s="636">
        <f t="shared" si="84"/>
        <v>1</v>
      </c>
      <c r="AD61" s="637">
        <f t="shared" si="115"/>
        <v>0.87565393735809993</v>
      </c>
      <c r="AE61" s="629">
        <f t="shared" si="85"/>
        <v>-9.2034896801098914E-2</v>
      </c>
      <c r="AF61" s="633">
        <f t="shared" si="86"/>
        <v>-0.47408834594415827</v>
      </c>
      <c r="AG61" s="602">
        <f t="shared" si="87"/>
        <v>-10.986194545546804</v>
      </c>
      <c r="AH61" s="603">
        <f t="shared" si="88"/>
        <v>28.877536384620065</v>
      </c>
      <c r="AI61" s="585">
        <f t="shared" si="89"/>
        <v>-61.699991091624291</v>
      </c>
      <c r="AJ61" s="586">
        <f t="shared" si="90"/>
        <v>84.000002630250634</v>
      </c>
      <c r="AK61" s="635">
        <f t="shared" si="211"/>
        <v>2.2679489711241452E-7</v>
      </c>
      <c r="AL61" s="629">
        <f t="shared" si="91"/>
        <v>-0.88047727979765655</v>
      </c>
      <c r="AM61" s="634">
        <f t="shared" si="92"/>
        <v>-0.47408834594415827</v>
      </c>
      <c r="AN61" s="581">
        <f t="shared" si="93"/>
        <v>-61.699991091623502</v>
      </c>
      <c r="AO61" s="582">
        <f t="shared" si="461"/>
        <v>0</v>
      </c>
      <c r="AP61" s="585">
        <f t="shared" si="95"/>
        <v>-89.999985241651643</v>
      </c>
      <c r="AQ61" s="586">
        <f t="shared" si="246"/>
        <v>0.62276464391607578</v>
      </c>
      <c r="AS61" s="52">
        <f t="shared" si="406"/>
        <v>-275.09101225934108</v>
      </c>
      <c r="AT61" s="72">
        <f t="shared" si="247"/>
        <v>-1.2867997736313834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>Gage</v>
      </c>
      <c r="IG61" s="847">
        <f t="shared" si="210"/>
        <v>6.23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6.13</v>
      </c>
      <c r="II61" s="734" cm="1">
        <f t="array" ref="II61">IFERROR(ROUND(VALUE(IF($IH61&lt;1,$IH61+LARGE((IF($M$9:$M$150="",0,$M$9:$M$150)-MOD(IF($M$9:$M$150="",0,$M$9:$M$150),1)),1),$IH61)),4),"")</f>
        <v>6.13</v>
      </c>
      <c r="IJ61" s="533">
        <f t="shared" si="112"/>
        <v>1613</v>
      </c>
      <c r="IK61" s="533" t="str">
        <f t="shared" si="382"/>
        <v>CPS-32193r1</v>
      </c>
      <c r="IL61" s="727">
        <f t="shared" si="225"/>
        <v>15.503597761557472</v>
      </c>
      <c r="IM61" s="759">
        <v>8.6041584802036498E-4</v>
      </c>
      <c r="IN61" s="5">
        <f t="shared" si="226"/>
        <v>0</v>
      </c>
      <c r="IO61" s="771">
        <v>0</v>
      </c>
      <c r="IP61" s="9">
        <f t="shared" si="227"/>
        <v>-3.6426109861147347</v>
      </c>
      <c r="IQ61" s="5">
        <f t="shared" si="228"/>
        <v>-1.4464043623555574</v>
      </c>
      <c r="IR61" s="5">
        <f t="shared" si="383"/>
        <v>0.314</v>
      </c>
      <c r="IS61" s="5">
        <f t="shared" si="229"/>
        <v>0.27659125190411488</v>
      </c>
      <c r="IT61" s="727">
        <f t="shared" si="230"/>
        <v>80.232461332931237</v>
      </c>
      <c r="IU61" s="9">
        <f t="shared" si="231"/>
        <v>-3.6605110401012979</v>
      </c>
      <c r="IV61" s="5">
        <f t="shared" si="232"/>
        <v>-1.4784664487203403</v>
      </c>
      <c r="IW61" s="5">
        <f t="shared" si="384"/>
        <v>0.25700000000000001</v>
      </c>
      <c r="IX61" s="5">
        <f t="shared" si="233"/>
        <v>0.25700000000000001</v>
      </c>
      <c r="IY61" s="762">
        <f t="shared" si="234"/>
        <v>61.699991091623502</v>
      </c>
    </row>
    <row r="62" spans="1:259" ht="15" customHeight="1" x14ac:dyDescent="0.25">
      <c r="A62" s="79"/>
      <c r="B62" s="707">
        <v>-3.7294570246581147</v>
      </c>
      <c r="C62" s="708">
        <v>0.39198252668740829</v>
      </c>
      <c r="D62" s="709">
        <v>-2.1993615221632399</v>
      </c>
      <c r="E62" s="710">
        <v>-0.99452189694868243</v>
      </c>
      <c r="F62" s="708">
        <v>0.10452844823081799</v>
      </c>
      <c r="G62" s="711">
        <v>2.267948967329994E-7</v>
      </c>
      <c r="H62" s="710">
        <v>0.25700000000000001</v>
      </c>
      <c r="I62" s="708">
        <v>0.41499999999999992</v>
      </c>
      <c r="J62" s="570">
        <v>6.2370000000000001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CPS-32193r1</v>
      </c>
      <c r="L62" s="320"/>
      <c r="M62" s="168">
        <f t="shared" si="239"/>
        <v>6.2370000000000001</v>
      </c>
      <c r="N62" s="632">
        <f t="shared" si="240"/>
        <v>-3.7294570246581147</v>
      </c>
      <c r="O62" s="629">
        <f t="shared" si="241"/>
        <v>0.39198252668740829</v>
      </c>
      <c r="P62" s="633">
        <f t="shared" si="242"/>
        <v>-2.1993615221632399</v>
      </c>
      <c r="Q62" s="585">
        <f t="shared" si="113"/>
        <v>173.99998787190228</v>
      </c>
      <c r="R62" s="629">
        <f t="shared" si="79"/>
        <v>3.7500000000000004</v>
      </c>
      <c r="S62" s="634">
        <f t="shared" si="80"/>
        <v>-2.1993615221632399</v>
      </c>
      <c r="T62" s="635">
        <f t="shared" si="81"/>
        <v>0.33276769172804627</v>
      </c>
      <c r="U62" s="629">
        <f t="shared" si="82"/>
        <v>3.7352062410718356</v>
      </c>
      <c r="V62" s="636">
        <f t="shared" si="114"/>
        <v>-2.1993615221632399</v>
      </c>
      <c r="W62" s="585">
        <f t="shared" si="224"/>
        <v>84.90898774065893</v>
      </c>
      <c r="X62" s="629">
        <f t="shared" si="83"/>
        <v>3.7500000000000004</v>
      </c>
      <c r="Y62" s="630">
        <f t="shared" si="223"/>
        <v>-2.1993615221632399</v>
      </c>
      <c r="Z62" s="632">
        <f t="shared" si="243"/>
        <v>0.99452189694868243</v>
      </c>
      <c r="AA62" s="629">
        <f t="shared" si="244"/>
        <v>-0.10452844823081799</v>
      </c>
      <c r="AB62" s="629">
        <f t="shared" si="245"/>
        <v>-2.267948967329994E-7</v>
      </c>
      <c r="AC62" s="636">
        <f t="shared" si="84"/>
        <v>1</v>
      </c>
      <c r="AD62" s="637">
        <f t="shared" si="115"/>
        <v>0.99452189694868243</v>
      </c>
      <c r="AE62" s="629">
        <f t="shared" si="85"/>
        <v>-0.10452844823081799</v>
      </c>
      <c r="AF62" s="633">
        <f t="shared" si="86"/>
        <v>-2.267948967329994E-7</v>
      </c>
      <c r="AG62" s="602">
        <f t="shared" si="87"/>
        <v>-89.99987568560887</v>
      </c>
      <c r="AH62" s="603">
        <f t="shared" si="88"/>
        <v>5.999999133721337</v>
      </c>
      <c r="AI62" s="585">
        <f t="shared" si="89"/>
        <v>-89.999987005609611</v>
      </c>
      <c r="AJ62" s="586">
        <f t="shared" si="90"/>
        <v>84.000000866292694</v>
      </c>
      <c r="AK62" s="635">
        <f t="shared" si="211"/>
        <v>2.2679489718180346E-7</v>
      </c>
      <c r="AL62" s="629">
        <f t="shared" si="91"/>
        <v>-0.99999999999994849</v>
      </c>
      <c r="AM62" s="634">
        <f t="shared" si="92"/>
        <v>-2.267948967329994E-7</v>
      </c>
      <c r="AN62" s="581">
        <f t="shared" si="93"/>
        <v>-89.999987005609611</v>
      </c>
      <c r="AO62" s="582">
        <f t="shared" si="461"/>
        <v>0</v>
      </c>
      <c r="AP62" s="585">
        <f t="shared" si="95"/>
        <v>-89.999987005609583</v>
      </c>
      <c r="AQ62" s="586">
        <f t="shared" si="246"/>
        <v>0.60790429010098346</v>
      </c>
      <c r="AS62" s="52">
        <f t="shared" si="406"/>
        <v>-275.09101225934108</v>
      </c>
      <c r="AT62" s="72">
        <f t="shared" si="247"/>
        <v>-2.007694847074283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>Gage</v>
      </c>
      <c r="IG62" s="847">
        <f t="shared" si="210"/>
        <v>6.2370000000000001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6.1369999999999996</v>
      </c>
      <c r="II62" s="734" cm="1">
        <f t="array" ref="II62">IFERROR(ROUND(VALUE(IF($IH62&lt;1,$IH62+LARGE((IF($M$9:$M$150="",0,$M$9:$M$150)-MOD(IF($M$9:$M$150="",0,$M$9:$M$150),1)),1),$IH62)),4),"")</f>
        <v>6.1369999999999996</v>
      </c>
      <c r="IJ62" s="533">
        <f t="shared" si="112"/>
        <v>1613</v>
      </c>
      <c r="IK62" s="533" t="str">
        <f t="shared" si="382"/>
        <v>CPS-32193r1</v>
      </c>
      <c r="IL62" s="727">
        <f t="shared" si="225"/>
        <v>14.999997497401523</v>
      </c>
      <c r="IM62" s="759">
        <v>8.8439699527824E-4</v>
      </c>
      <c r="IN62" s="5">
        <f t="shared" si="226"/>
        <v>0</v>
      </c>
      <c r="IO62" s="771">
        <v>0</v>
      </c>
      <c r="IP62" s="9">
        <f t="shared" si="227"/>
        <v>-3.702900004356926</v>
      </c>
      <c r="IQ62" s="5">
        <f t="shared" si="228"/>
        <v>-2.2149999999999985</v>
      </c>
      <c r="IR62" s="5">
        <f t="shared" si="383"/>
        <v>0.314</v>
      </c>
      <c r="IS62" s="5">
        <f t="shared" si="229"/>
        <v>0.25721375748882552</v>
      </c>
      <c r="IT62" s="727">
        <f t="shared" si="230"/>
        <v>89.999987005609626</v>
      </c>
      <c r="IU62" s="9">
        <f t="shared" si="231"/>
        <v>-3.7500000000000004</v>
      </c>
      <c r="IV62" s="5">
        <f t="shared" si="232"/>
        <v>-2.1993615221632399</v>
      </c>
      <c r="IW62" s="5">
        <f t="shared" si="384"/>
        <v>0.25700000000000001</v>
      </c>
      <c r="IX62" s="5">
        <f t="shared" si="233"/>
        <v>0.25700000000000001</v>
      </c>
      <c r="IY62" s="762">
        <f t="shared" si="234"/>
        <v>89.999987005609611</v>
      </c>
    </row>
    <row r="63" spans="1:259" ht="15" customHeight="1" x14ac:dyDescent="0.25">
      <c r="A63" s="79"/>
      <c r="B63" s="707">
        <v>-1.5062869442714215</v>
      </c>
      <c r="C63" s="708">
        <v>1.1768406568152316</v>
      </c>
      <c r="D63" s="709">
        <v>-7.6300230121494103E-2</v>
      </c>
      <c r="E63" s="710">
        <v>-0.55926751245483508</v>
      </c>
      <c r="F63" s="708">
        <v>-0.78882981900527471</v>
      </c>
      <c r="G63" s="711">
        <v>0.25488696742024014</v>
      </c>
      <c r="H63" s="710">
        <v>0.314</v>
      </c>
      <c r="I63" s="708">
        <v>0.52</v>
      </c>
      <c r="J63" s="570">
        <v>7.1079999999999997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7.1079999999999997</v>
      </c>
      <c r="N63" s="632">
        <f t="shared" si="240"/>
        <v>-1.5062869442714215</v>
      </c>
      <c r="O63" s="629">
        <f t="shared" si="241"/>
        <v>1.1768406568152316</v>
      </c>
      <c r="P63" s="633">
        <f t="shared" si="242"/>
        <v>-7.6300230121494103E-2</v>
      </c>
      <c r="Q63" s="585">
        <f t="shared" si="113"/>
        <v>141.99999249212999</v>
      </c>
      <c r="R63" s="629">
        <f t="shared" si="79"/>
        <v>1.9115057651013878</v>
      </c>
      <c r="S63" s="634">
        <f t="shared" si="80"/>
        <v>-7.6300230121494103E-2</v>
      </c>
      <c r="T63" s="635">
        <f t="shared" si="81"/>
        <v>1.1527962537474281</v>
      </c>
      <c r="U63" s="629">
        <f t="shared" si="82"/>
        <v>1.5247672239924812</v>
      </c>
      <c r="V63" s="636">
        <f t="shared" si="114"/>
        <v>-7.6300230121494103E-2</v>
      </c>
      <c r="W63" s="585">
        <f t="shared" si="224"/>
        <v>52.908992360886643</v>
      </c>
      <c r="X63" s="629">
        <f t="shared" si="83"/>
        <v>1.9115057651013878</v>
      </c>
      <c r="Y63" s="630">
        <f t="shared" si="223"/>
        <v>-7.6300230121494103E-2</v>
      </c>
      <c r="Z63" s="632">
        <f t="shared" si="243"/>
        <v>0.55926751245483508</v>
      </c>
      <c r="AA63" s="629">
        <f t="shared" si="244"/>
        <v>0.78882981900527471</v>
      </c>
      <c r="AB63" s="629">
        <f t="shared" si="245"/>
        <v>-0.25488696742024014</v>
      </c>
      <c r="AC63" s="636">
        <f t="shared" si="84"/>
        <v>1</v>
      </c>
      <c r="AD63" s="637">
        <f t="shared" si="115"/>
        <v>0.55926751245483508</v>
      </c>
      <c r="AE63" s="629">
        <f t="shared" si="85"/>
        <v>0.78882981900527471</v>
      </c>
      <c r="AF63" s="633">
        <f t="shared" si="86"/>
        <v>-0.25488696742024014</v>
      </c>
      <c r="AG63" s="602">
        <f t="shared" si="87"/>
        <v>72.093299495518636</v>
      </c>
      <c r="AH63" s="603">
        <f t="shared" si="88"/>
        <v>55.994843527239979</v>
      </c>
      <c r="AI63" s="585">
        <f t="shared" si="89"/>
        <v>-75.233112454846449</v>
      </c>
      <c r="AJ63" s="586">
        <f t="shared" si="90"/>
        <v>144.66397932637651</v>
      </c>
      <c r="AK63" s="635">
        <f t="shared" si="211"/>
        <v>0.96592583607220739</v>
      </c>
      <c r="AL63" s="629">
        <f t="shared" si="91"/>
        <v>4.4943442764442065E-2</v>
      </c>
      <c r="AM63" s="634">
        <f t="shared" si="92"/>
        <v>-0.25488696742024014</v>
      </c>
      <c r="AN63" s="581">
        <f t="shared" si="93"/>
        <v>9.9999985561789071</v>
      </c>
      <c r="AO63" s="582">
        <f t="shared" si="461"/>
        <v>14.999997834268255</v>
      </c>
      <c r="AP63" s="585">
        <f t="shared" si="95"/>
        <v>2.6639868342465323</v>
      </c>
      <c r="AQ63" s="586">
        <f t="shared" si="246"/>
        <v>1.1924617259884609</v>
      </c>
      <c r="AS63" s="52">
        <f t="shared" si="406"/>
        <v>-307.09100763911334</v>
      </c>
      <c r="AT63" s="72">
        <f t="shared" si="247"/>
        <v>0.1375886639811934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7.1079999999999997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-2.1168400116021084</v>
      </c>
      <c r="C64" s="708">
        <v>1.7177468972530048</v>
      </c>
      <c r="D64" s="709">
        <v>-0.13750041470125074</v>
      </c>
      <c r="E64" s="710">
        <v>-0.72196365138122598</v>
      </c>
      <c r="F64" s="708">
        <v>-0.65359472561077614</v>
      </c>
      <c r="G64" s="711">
        <v>0.22711763634306795</v>
      </c>
      <c r="H64" s="710">
        <v>0.314</v>
      </c>
      <c r="I64" s="708">
        <v>0.52</v>
      </c>
      <c r="J64" s="570">
        <v>7.1150000000000002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7.1150000000000002</v>
      </c>
      <c r="N64" s="632">
        <f t="shared" si="240"/>
        <v>-2.1168400116021084</v>
      </c>
      <c r="O64" s="629">
        <f t="shared" si="241"/>
        <v>1.7177468972530048</v>
      </c>
      <c r="P64" s="633">
        <f t="shared" si="242"/>
        <v>-0.13750041470125074</v>
      </c>
      <c r="Q64" s="585">
        <f t="shared" si="113"/>
        <v>140.94179264491515</v>
      </c>
      <c r="R64" s="629">
        <f t="shared" si="79"/>
        <v>2.7261082219423973</v>
      </c>
      <c r="S64" s="634">
        <f t="shared" si="80"/>
        <v>-0.13750041470125074</v>
      </c>
      <c r="T64" s="635">
        <f t="shared" si="81"/>
        <v>1.6839483798271002</v>
      </c>
      <c r="U64" s="629">
        <f t="shared" si="82"/>
        <v>2.1438245944618752</v>
      </c>
      <c r="V64" s="636">
        <f t="shared" si="114"/>
        <v>-0.13750041470125074</v>
      </c>
      <c r="W64" s="585">
        <f t="shared" si="224"/>
        <v>51.850792513671806</v>
      </c>
      <c r="X64" s="629">
        <f t="shared" si="83"/>
        <v>2.7261082219423973</v>
      </c>
      <c r="Y64" s="630">
        <f t="shared" si="223"/>
        <v>-0.13750041470125074</v>
      </c>
      <c r="Z64" s="632">
        <f t="shared" si="243"/>
        <v>0.72196365138122598</v>
      </c>
      <c r="AA64" s="629">
        <f t="shared" si="244"/>
        <v>0.65359472561077614</v>
      </c>
      <c r="AB64" s="629">
        <f t="shared" si="245"/>
        <v>-0.22711763634306795</v>
      </c>
      <c r="AC64" s="636">
        <f t="shared" si="84"/>
        <v>1</v>
      </c>
      <c r="AD64" s="637">
        <f t="shared" si="115"/>
        <v>0.72196365138122598</v>
      </c>
      <c r="AE64" s="629">
        <f t="shared" si="85"/>
        <v>0.65359472561077614</v>
      </c>
      <c r="AF64" s="633">
        <f t="shared" si="86"/>
        <v>-0.22711763634306795</v>
      </c>
      <c r="AG64" s="602">
        <f t="shared" si="87"/>
        <v>70.83817146879781</v>
      </c>
      <c r="AH64" s="603">
        <f t="shared" si="88"/>
        <v>43.783157989886817</v>
      </c>
      <c r="AI64" s="585">
        <f t="shared" si="89"/>
        <v>-76.872565885871879</v>
      </c>
      <c r="AJ64" s="586">
        <f t="shared" si="90"/>
        <v>132.15458822599174</v>
      </c>
      <c r="AK64" s="635">
        <f t="shared" si="211"/>
        <v>0.9624365854284056</v>
      </c>
      <c r="AL64" s="629">
        <f t="shared" si="91"/>
        <v>-0.14877297567384157</v>
      </c>
      <c r="AM64" s="634">
        <f t="shared" si="92"/>
        <v>-0.22711763634306795</v>
      </c>
      <c r="AN64" s="581">
        <f t="shared" si="93"/>
        <v>-33.226727208926732</v>
      </c>
      <c r="AO64" s="582">
        <f t="shared" si="461"/>
        <v>15.753936387842909</v>
      </c>
      <c r="AP64" s="585">
        <f t="shared" si="95"/>
        <v>-8.7872044189234089</v>
      </c>
      <c r="AQ64" s="586">
        <f t="shared" si="246"/>
        <v>0.83619746031763109</v>
      </c>
      <c r="AS64" s="52">
        <f t="shared" si="406"/>
        <v>-308.14920748632818</v>
      </c>
      <c r="AT64" s="72">
        <f t="shared" si="247"/>
        <v>7.7123340406447083E-2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7.1150000000000002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-2.5705363605383664</v>
      </c>
      <c r="C65" s="708">
        <v>2.1585120663492758</v>
      </c>
      <c r="D65" s="709">
        <v>-0.61160184459116351</v>
      </c>
      <c r="E65" s="710">
        <v>-0.82646958802139503</v>
      </c>
      <c r="F65" s="708">
        <v>-0.53734850383720778</v>
      </c>
      <c r="G65" s="711">
        <v>0.16794226835332446</v>
      </c>
      <c r="H65" s="710">
        <v>0.314</v>
      </c>
      <c r="I65" s="708">
        <v>0.52</v>
      </c>
      <c r="J65" s="570">
        <v>7.1219999999999999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7.1219999999999999</v>
      </c>
      <c r="N65" s="632">
        <f t="shared" si="240"/>
        <v>-2.5705363605383664</v>
      </c>
      <c r="O65" s="629">
        <f t="shared" si="241"/>
        <v>2.1585120663492758</v>
      </c>
      <c r="P65" s="633">
        <f t="shared" si="242"/>
        <v>-0.61160184459116351</v>
      </c>
      <c r="Q65" s="585">
        <f t="shared" si="113"/>
        <v>139.97939278386849</v>
      </c>
      <c r="R65" s="629">
        <f t="shared" si="79"/>
        <v>3.3566101235361328</v>
      </c>
      <c r="S65" s="634">
        <f t="shared" si="80"/>
        <v>-0.61160184459116351</v>
      </c>
      <c r="T65" s="635">
        <f t="shared" si="81"/>
        <v>2.1174604708450211</v>
      </c>
      <c r="U65" s="629">
        <f t="shared" si="82"/>
        <v>2.6044563109858525</v>
      </c>
      <c r="V65" s="636">
        <f t="shared" si="114"/>
        <v>-0.61160184459116351</v>
      </c>
      <c r="W65" s="585">
        <f t="shared" si="224"/>
        <v>50.888392652625143</v>
      </c>
      <c r="X65" s="629">
        <f t="shared" si="83"/>
        <v>3.3566101235361328</v>
      </c>
      <c r="Y65" s="630">
        <f t="shared" si="223"/>
        <v>-0.61160184459116351</v>
      </c>
      <c r="Z65" s="632">
        <f t="shared" si="243"/>
        <v>0.82646958802139503</v>
      </c>
      <c r="AA65" s="629">
        <f t="shared" si="244"/>
        <v>0.53734850383720778</v>
      </c>
      <c r="AB65" s="629">
        <f t="shared" si="245"/>
        <v>-0.16794226835332446</v>
      </c>
      <c r="AC65" s="636">
        <f t="shared" si="84"/>
        <v>1</v>
      </c>
      <c r="AD65" s="637">
        <f t="shared" si="115"/>
        <v>0.82646958802139503</v>
      </c>
      <c r="AE65" s="629">
        <f t="shared" si="85"/>
        <v>0.53734850383720778</v>
      </c>
      <c r="AF65" s="633">
        <f t="shared" si="86"/>
        <v>-0.16794226835332446</v>
      </c>
      <c r="AG65" s="602">
        <f t="shared" si="87"/>
        <v>72.643948947942263</v>
      </c>
      <c r="AH65" s="603">
        <f t="shared" si="88"/>
        <v>34.262230961110916</v>
      </c>
      <c r="AI65" s="585">
        <f t="shared" si="89"/>
        <v>-80.331800312206127</v>
      </c>
      <c r="AJ65" s="586">
        <f t="shared" si="90"/>
        <v>123.03084938562384</v>
      </c>
      <c r="AK65" s="635">
        <f t="shared" si="211"/>
        <v>0.94298066475317199</v>
      </c>
      <c r="AL65" s="629">
        <f t="shared" si="91"/>
        <v>-0.28737233757271435</v>
      </c>
      <c r="AM65" s="634">
        <f t="shared" si="92"/>
        <v>-0.16794226835332446</v>
      </c>
      <c r="AN65" s="581">
        <f t="shared" si="93"/>
        <v>-59.697706321968482</v>
      </c>
      <c r="AO65" s="582">
        <f t="shared" si="461"/>
        <v>19.44169927184533</v>
      </c>
      <c r="AP65" s="585">
        <f t="shared" si="95"/>
        <v>-16.948543398244656</v>
      </c>
      <c r="AQ65" s="586">
        <f t="shared" si="246"/>
        <v>0.67914347496244121</v>
      </c>
      <c r="AS65" s="52">
        <f t="shared" si="406"/>
        <v>-309.11160734737484</v>
      </c>
      <c r="AT65" s="72">
        <f t="shared" si="247"/>
        <v>-0.39630975624662773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7.1219999999999999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-2.7662760284887766</v>
      </c>
      <c r="C66" s="708">
        <v>2.3615716320382028</v>
      </c>
      <c r="D66" s="709">
        <v>-1.3375040339121664</v>
      </c>
      <c r="E66" s="710">
        <v>-0.91778202287635946</v>
      </c>
      <c r="F66" s="708">
        <v>-0.38487509336752307</v>
      </c>
      <c r="G66" s="711">
        <v>9.7710393461075837E-2</v>
      </c>
      <c r="H66" s="710">
        <v>0.314</v>
      </c>
      <c r="I66" s="708">
        <v>0.52</v>
      </c>
      <c r="J66" s="570">
        <v>7.1289999999999996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7.1289999999999996</v>
      </c>
      <c r="N66" s="632">
        <f t="shared" si="240"/>
        <v>-2.7662760284887766</v>
      </c>
      <c r="O66" s="629">
        <f t="shared" si="241"/>
        <v>2.3615716320382028</v>
      </c>
      <c r="P66" s="633">
        <f t="shared" si="242"/>
        <v>-1.3375040339121664</v>
      </c>
      <c r="Q66" s="585">
        <f t="shared" si="113"/>
        <v>139.51259285126608</v>
      </c>
      <c r="R66" s="629">
        <f t="shared" si="79"/>
        <v>3.6372109698282857</v>
      </c>
      <c r="S66" s="634">
        <f t="shared" si="80"/>
        <v>-1.3375040339121664</v>
      </c>
      <c r="T66" s="635">
        <f t="shared" si="81"/>
        <v>2.3173891945623675</v>
      </c>
      <c r="U66" s="629">
        <f t="shared" si="82"/>
        <v>2.8033927587772638</v>
      </c>
      <c r="V66" s="636">
        <f t="shared" si="114"/>
        <v>-1.3375040339121664</v>
      </c>
      <c r="W66" s="585">
        <f t="shared" si="224"/>
        <v>50.42159272002273</v>
      </c>
      <c r="X66" s="629">
        <f t="shared" si="83"/>
        <v>3.6372109698282857</v>
      </c>
      <c r="Y66" s="630">
        <f t="shared" si="223"/>
        <v>-1.3375040339121664</v>
      </c>
      <c r="Z66" s="632">
        <f t="shared" si="243"/>
        <v>0.91778202287635946</v>
      </c>
      <c r="AA66" s="629">
        <f t="shared" si="244"/>
        <v>0.38487509336752307</v>
      </c>
      <c r="AB66" s="629">
        <f t="shared" si="245"/>
        <v>-9.7710393461075837E-2</v>
      </c>
      <c r="AC66" s="636">
        <f t="shared" si="84"/>
        <v>1</v>
      </c>
      <c r="AD66" s="637">
        <f t="shared" si="115"/>
        <v>0.91778202287635946</v>
      </c>
      <c r="AE66" s="629">
        <f t="shared" si="85"/>
        <v>0.38487509336752307</v>
      </c>
      <c r="AF66" s="633">
        <f t="shared" si="86"/>
        <v>-9.7710393461075837E-2</v>
      </c>
      <c r="AG66" s="602">
        <f t="shared" si="87"/>
        <v>75.754954682362097</v>
      </c>
      <c r="AH66" s="603">
        <f t="shared" si="88"/>
        <v>23.396047143464632</v>
      </c>
      <c r="AI66" s="585">
        <f t="shared" si="89"/>
        <v>-84.392660072529139</v>
      </c>
      <c r="AJ66" s="586">
        <f t="shared" si="90"/>
        <v>112.75091057220466</v>
      </c>
      <c r="AK66" s="635">
        <f t="shared" si="211"/>
        <v>0.88861458990843023</v>
      </c>
      <c r="AL66" s="629">
        <f t="shared" si="91"/>
        <v>-0.44812586358249207</v>
      </c>
      <c r="AM66" s="634">
        <f t="shared" si="92"/>
        <v>-9.7710393461075837E-2</v>
      </c>
      <c r="AN66" s="581">
        <f t="shared" si="93"/>
        <v>-77.69961503116555</v>
      </c>
      <c r="AO66" s="582">
        <f t="shared" si="461"/>
        <v>27.30033013741139</v>
      </c>
      <c r="AP66" s="585">
        <f t="shared" si="95"/>
        <v>-26.761682279061414</v>
      </c>
      <c r="AQ66" s="586">
        <f t="shared" si="246"/>
        <v>0.6267537735683022</v>
      </c>
      <c r="AS66" s="52">
        <f t="shared" si="406"/>
        <v>-309.57840727997728</v>
      </c>
      <c r="AT66" s="72">
        <f t="shared" si="247"/>
        <v>-1.1218877789477679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7.1289999999999996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-2.7946137961580826</v>
      </c>
      <c r="C67" s="708">
        <v>2.4293213421829969</v>
      </c>
      <c r="D67" s="709">
        <v>-2.1140999999999988</v>
      </c>
      <c r="E67" s="710">
        <v>-0.97029573663968538</v>
      </c>
      <c r="F67" s="708">
        <v>-0.24192185403314367</v>
      </c>
      <c r="G67" s="711">
        <v>1.300841922288031E-7</v>
      </c>
      <c r="H67" s="710">
        <v>0.314</v>
      </c>
      <c r="I67" s="708">
        <v>0.52</v>
      </c>
      <c r="J67" s="570">
        <v>7.1360000000000001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7.1360000000000001</v>
      </c>
      <c r="N67" s="632">
        <f t="shared" si="240"/>
        <v>-2.7946137961580826</v>
      </c>
      <c r="O67" s="629">
        <f t="shared" si="241"/>
        <v>2.4293213421829969</v>
      </c>
      <c r="P67" s="633">
        <f t="shared" si="242"/>
        <v>-2.1140999999999988</v>
      </c>
      <c r="Q67" s="585">
        <f t="shared" si="113"/>
        <v>138.99999262122142</v>
      </c>
      <c r="R67" s="629">
        <f>IF(M67="","",SQRT(N67^2+O67^2))</f>
        <v>3.7029000058417574</v>
      </c>
      <c r="S67" s="634">
        <f>IF(M67="","",P67)</f>
        <v>-2.1140999999999988</v>
      </c>
      <c r="T67" s="635">
        <f>IF(M67="","",X67*COS(RADIANS(W67)))</f>
        <v>2.3846808176261858</v>
      </c>
      <c r="U67" s="629">
        <f>IF(M67="","",X67*SIN(RADIANS(W67)))</f>
        <v>2.8328017670335837</v>
      </c>
      <c r="V67" s="636">
        <f>IF(M67="","",Y67)</f>
        <v>-2.1140999999999988</v>
      </c>
      <c r="W67" s="585">
        <f t="shared" si="224"/>
        <v>49.908992489978075</v>
      </c>
      <c r="X67" s="629">
        <f>IF(M67="","",R67)</f>
        <v>3.7029000058417574</v>
      </c>
      <c r="Y67" s="630">
        <f t="shared" si="223"/>
        <v>-2.1140999999999988</v>
      </c>
      <c r="Z67" s="632">
        <f t="shared" si="243"/>
        <v>0.97029573663968538</v>
      </c>
      <c r="AA67" s="629">
        <f t="shared" si="244"/>
        <v>0.24192185403314367</v>
      </c>
      <c r="AB67" s="629">
        <f t="shared" si="245"/>
        <v>-1.300841922288031E-7</v>
      </c>
      <c r="AC67" s="636">
        <f>IF(M67="","",SQRT(Z67^2+AA67^2+AB67^2))</f>
        <v>1</v>
      </c>
      <c r="AD67" s="637">
        <f>IF(M67="","",Z67*(1/SQRT(Z67^2+AA67^2+AB67^2)))</f>
        <v>0.97029573663968538</v>
      </c>
      <c r="AE67" s="629">
        <f>IF(M67="","",AA67*(1/SQRT(Z67^2+AA67^2+AB67^2)))</f>
        <v>0.24192185403314367</v>
      </c>
      <c r="AF67" s="633">
        <f>IF(M67="","",AB67*(1/SQRT(Z67^2+AA67^2+AB67^2)))</f>
        <v>-1.300841922288031E-7</v>
      </c>
      <c r="AG67" s="602">
        <f>IF(M67="","",DEGREES(ATAN2(-AF67,AE67)))</f>
        <v>89.999969191393532</v>
      </c>
      <c r="AH67" s="603">
        <f>IF(M67="","",DEGREES(ACOS(AD67)))</f>
        <v>13.999997545506636</v>
      </c>
      <c r="AI67" s="585">
        <f>IF(M67="","",DEGREES(-ACOS(-AF67)))</f>
        <v>-89.999992546724798</v>
      </c>
      <c r="AJ67" s="586">
        <f>IF(M67="","",DEGREES(ATAN2(-AE67,AD67)))</f>
        <v>103.99999754550473</v>
      </c>
      <c r="AK67" s="635">
        <f>IF(M67="","",(COS(RADIANS((90-$Q$8)-W67))*AD67)+(-SIN(RADIANS((90-$Q$8)-W67))*AE67))</f>
        <v>0.81915209358498409</v>
      </c>
      <c r="AL67" s="629">
        <f>IF(M67="","",(SIN(RADIANS((90-$Q$8)-W67))*AD67)+(COS(RADIANS((90-$Q$8)-W67))*AE67))</f>
        <v>-0.57357636594905193</v>
      </c>
      <c r="AM67" s="634">
        <f>IF(M67="","",AF67)</f>
        <v>-1.300841922288031E-7</v>
      </c>
      <c r="AN67" s="581">
        <f>IF(M67="","",DEGREES(ATAN2(-AM67,AL67)))</f>
        <v>-89.99998700560964</v>
      </c>
      <c r="AO67" s="582">
        <f t="shared" si="461"/>
        <v>34.999995075717372</v>
      </c>
      <c r="AP67" s="585">
        <f>IF(M67="","",DEGREES(ATAN2(AK67,AL67)))</f>
        <v>-34.999995075716697</v>
      </c>
      <c r="AQ67" s="586">
        <f t="shared" si="246"/>
        <v>0.61563609451880652</v>
      </c>
      <c r="AS67" s="52">
        <f t="shared" si="406"/>
        <v>-310.09100751002194</v>
      </c>
      <c r="AT67" s="72">
        <f t="shared" si="247"/>
        <v>-1.8981277726536248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7.1360000000000001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-1.8904284332454271</v>
      </c>
      <c r="C68" s="708">
        <v>2.8026759268688339</v>
      </c>
      <c r="D68" s="709">
        <v>-0.62212124606947239</v>
      </c>
      <c r="E68" s="710">
        <v>-0.33418784523233702</v>
      </c>
      <c r="F68" s="708">
        <v>0.49545354148396775</v>
      </c>
      <c r="G68" s="711">
        <v>0.80177569951325034</v>
      </c>
      <c r="H68" s="710">
        <v>0.25700000000000001</v>
      </c>
      <c r="I68" s="708">
        <v>0.41499999999999992</v>
      </c>
      <c r="J68" s="570">
        <v>7.2220000000000004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CPS-32193r1</v>
      </c>
      <c r="L68" s="320"/>
      <c r="M68" s="168">
        <f t="shared" si="239"/>
        <v>7.2220000000000004</v>
      </c>
      <c r="N68" s="632">
        <f t="shared" si="240"/>
        <v>-1.8904284332454271</v>
      </c>
      <c r="O68" s="629">
        <f t="shared" si="241"/>
        <v>2.8026759268688339</v>
      </c>
      <c r="P68" s="633">
        <f t="shared" si="242"/>
        <v>-0.62212124606947239</v>
      </c>
      <c r="Q68" s="585">
        <f t="shared" si="113"/>
        <v>123.99999509100806</v>
      </c>
      <c r="R68" s="629">
        <f>IF(M68="","",SQRT(N68^2+O68^2))</f>
        <v>3.3806378114599673</v>
      </c>
      <c r="S68" s="634">
        <f>IF(M68="","",P68)</f>
        <v>-0.62212124606947239</v>
      </c>
      <c r="T68" s="635">
        <f>IF(M68="","",X68*COS(RADIANS(W68)))</f>
        <v>2.7723327524540662</v>
      </c>
      <c r="U68" s="629">
        <f>IF(M68="","",X68*SIN(RADIANS(W68)))</f>
        <v>1.9346532304119257</v>
      </c>
      <c r="V68" s="636">
        <f>IF(M68="","",Y68)</f>
        <v>-0.62212124606947239</v>
      </c>
      <c r="W68" s="585">
        <f t="shared" si="224"/>
        <v>34.908994959764712</v>
      </c>
      <c r="X68" s="629">
        <f>IF(M68="","",R68)</f>
        <v>3.3806378114599673</v>
      </c>
      <c r="Y68" s="630">
        <f t="shared" si="223"/>
        <v>-0.62212124606947239</v>
      </c>
      <c r="Z68" s="632">
        <f t="shared" si="243"/>
        <v>0.33418784523233702</v>
      </c>
      <c r="AA68" s="629">
        <f t="shared" si="244"/>
        <v>-0.49545354148396775</v>
      </c>
      <c r="AB68" s="629">
        <f t="shared" si="245"/>
        <v>-0.80177569951325034</v>
      </c>
      <c r="AC68" s="636">
        <f>IF(M68="","",SQRT(Z68^2+AA68^2+AB68^2))</f>
        <v>1</v>
      </c>
      <c r="AD68" s="637">
        <f>IF(M68="","",Z68*(1/SQRT(Z68^2+AA68^2+AB68^2)))</f>
        <v>0.33418784523233702</v>
      </c>
      <c r="AE68" s="629">
        <f>IF(M68="","",AA68*(1/SQRT(Z68^2+AA68^2+AB68^2)))</f>
        <v>-0.49545354148396775</v>
      </c>
      <c r="AF68" s="633">
        <f>IF(M68="","",AB68*(1/SQRT(Z68^2+AA68^2+AB68^2)))</f>
        <v>-0.80177569951325034</v>
      </c>
      <c r="AG68" s="602">
        <f>IF(M68="","",DEGREES(ATAN2(-AF68,AE68)))</f>
        <v>-31.713798107886277</v>
      </c>
      <c r="AH68" s="603">
        <f>IF(M68="","",DEGREES(ACOS(AD68)))</f>
        <v>70.47684119263775</v>
      </c>
      <c r="AI68" s="585">
        <f>IF(M68="","",DEGREES(-ACOS(-AF68)))</f>
        <v>-36.699994701178348</v>
      </c>
      <c r="AJ68" s="586">
        <f>IF(M68="","",DEGREES(ATAN2(-AE68,AD68)))</f>
        <v>34.000016834390316</v>
      </c>
      <c r="AK68" s="635">
        <f>IF(M68="","",(COS(RADIANS((90-$Q$8)-W68))*AD68)+(-SIN(RADIANS((90-$Q$8)-W68))*AE68))</f>
        <v>2.2679489680710319E-7</v>
      </c>
      <c r="AL68" s="629">
        <f>IF(M68="","",(SIN(RADIANS((90-$Q$8)-W68))*AD68)+(COS(RADIANS((90-$Q$8)-W68))*AE68))</f>
        <v>-0.59762507282575317</v>
      </c>
      <c r="AM68" s="634">
        <f>IF(M68="","",AF68)</f>
        <v>-0.80177569951325034</v>
      </c>
      <c r="AN68" s="581">
        <f>IF(M68="","",DEGREES(ATAN2(-AM68,AL68)))</f>
        <v>-36.699994701176372</v>
      </c>
      <c r="AO68" s="582">
        <f t="shared" si="461"/>
        <v>0</v>
      </c>
      <c r="AP68" s="585">
        <f>IF(M68="","",DEGREES(ATAN2(AK68,AL68)))</f>
        <v>-89.999978256617752</v>
      </c>
      <c r="AQ68" s="586">
        <f t="shared" si="246"/>
        <v>0.6743169492597999</v>
      </c>
      <c r="AS68" s="52">
        <f t="shared" si="406"/>
        <v>-325.0910050402353</v>
      </c>
      <c r="AT68" s="72">
        <f t="shared" si="247"/>
        <v>-0.3957323537715613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7.2220000000000004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0.122</v>
      </c>
      <c r="II68" s="734" cm="1">
        <f t="array" ref="II68">IFERROR(ROUND(VALUE(IF($IH68&lt;1,$IH68+LARGE((IF($M$9:$M$150="",0,$M$9:$M$150)-MOD(IF($M$9:$M$150="",0,$M$9:$M$150),1)),1),$IH68)),4),"")</f>
        <v>7.1219999999999999</v>
      </c>
      <c r="IJ68" s="533">
        <f t="shared" si="112"/>
        <v>1613</v>
      </c>
      <c r="IK68" s="533" t="str">
        <f t="shared" si="382"/>
        <v>CPS-32193r1</v>
      </c>
      <c r="IL68" s="727">
        <f t="shared" si="225"/>
        <v>15.979397692860431</v>
      </c>
      <c r="IM68" s="759">
        <v>1.9417914049508399E-2</v>
      </c>
      <c r="IN68" s="5">
        <f t="shared" si="226"/>
        <v>0.94</v>
      </c>
      <c r="IO68" s="771">
        <v>470</v>
      </c>
      <c r="IP68" s="9">
        <f t="shared" si="227"/>
        <v>-3.3566101235361328</v>
      </c>
      <c r="IQ68" s="5">
        <f t="shared" si="228"/>
        <v>-0.61160184459116351</v>
      </c>
      <c r="IR68" s="5">
        <f t="shared" si="383"/>
        <v>0.314</v>
      </c>
      <c r="IS68" s="5">
        <f t="shared" si="229"/>
        <v>0.29609592873249602</v>
      </c>
      <c r="IT68" s="727">
        <f t="shared" si="230"/>
        <v>59.697706321968482</v>
      </c>
      <c r="IU68" s="9">
        <f t="shared" si="231"/>
        <v>-3.3806378114599673</v>
      </c>
      <c r="IV68" s="5">
        <f t="shared" si="232"/>
        <v>-0.62212124606947239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36.699994701176372</v>
      </c>
    </row>
    <row r="69" spans="1:259" ht="15" customHeight="1" x14ac:dyDescent="0.25">
      <c r="A69" s="79"/>
      <c r="B69" s="707">
        <v>-2.0452969760122284</v>
      </c>
      <c r="C69" s="708">
        <v>3.0322780260589166</v>
      </c>
      <c r="D69" s="709">
        <v>-1.3673022104003323</v>
      </c>
      <c r="E69" s="710">
        <v>-0.4772996329591303</v>
      </c>
      <c r="F69" s="708">
        <v>0.7076255313140497</v>
      </c>
      <c r="G69" s="711">
        <v>0.52100975788327464</v>
      </c>
      <c r="H69" s="710">
        <v>0.25700000000000001</v>
      </c>
      <c r="I69" s="708">
        <v>0.41499999999999992</v>
      </c>
      <c r="J69" s="570">
        <v>7.2290000000000001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CPS-32193r1</v>
      </c>
      <c r="L69" s="320"/>
      <c r="M69" s="168">
        <f t="shared" si="239"/>
        <v>7.2290000000000001</v>
      </c>
      <c r="N69" s="632">
        <f t="shared" si="240"/>
        <v>-2.0452969760122284</v>
      </c>
      <c r="O69" s="629">
        <f t="shared" si="241"/>
        <v>3.0322780260589166</v>
      </c>
      <c r="P69" s="633">
        <f t="shared" si="242"/>
        <v>-1.3673022104003323</v>
      </c>
      <c r="Q69" s="585">
        <f t="shared" si="113"/>
        <v>123.99999509100806</v>
      </c>
      <c r="R69" s="629">
        <f t="shared" si="79"/>
        <v>3.6575879685121073</v>
      </c>
      <c r="S69" s="634">
        <f t="shared" si="80"/>
        <v>-1.3673022104003323</v>
      </c>
      <c r="T69" s="635">
        <f t="shared" si="81"/>
        <v>2.9994490642311513</v>
      </c>
      <c r="U69" s="629">
        <f t="shared" si="82"/>
        <v>2.0931447772400729</v>
      </c>
      <c r="V69" s="636">
        <f t="shared" si="114"/>
        <v>-1.3673022104003323</v>
      </c>
      <c r="W69" s="585">
        <f t="shared" si="224"/>
        <v>34.908994959764712</v>
      </c>
      <c r="X69" s="629">
        <f t="shared" si="83"/>
        <v>3.6575879685121073</v>
      </c>
      <c r="Y69" s="630">
        <f t="shared" si="223"/>
        <v>-1.3673022104003323</v>
      </c>
      <c r="Z69" s="632">
        <f t="shared" si="243"/>
        <v>0.4772996329591303</v>
      </c>
      <c r="AA69" s="629">
        <f t="shared" si="244"/>
        <v>-0.7076255313140497</v>
      </c>
      <c r="AB69" s="629">
        <f t="shared" si="245"/>
        <v>-0.52100975788327464</v>
      </c>
      <c r="AC69" s="636">
        <f t="shared" si="84"/>
        <v>1</v>
      </c>
      <c r="AD69" s="637">
        <f t="shared" si="115"/>
        <v>0.4772996329591303</v>
      </c>
      <c r="AE69" s="629">
        <f t="shared" si="85"/>
        <v>-0.7076255313140497</v>
      </c>
      <c r="AF69" s="633">
        <f t="shared" si="86"/>
        <v>-0.52100975788327464</v>
      </c>
      <c r="AG69" s="602">
        <f t="shared" si="87"/>
        <v>-53.636567485074536</v>
      </c>
      <c r="AH69" s="603">
        <f t="shared" si="88"/>
        <v>61.490815196555999</v>
      </c>
      <c r="AI69" s="585">
        <f t="shared" si="89"/>
        <v>-58.599991539208908</v>
      </c>
      <c r="AJ69" s="586">
        <f t="shared" si="90"/>
        <v>34.000010314931011</v>
      </c>
      <c r="AK69" s="635">
        <f t="shared" si="211"/>
        <v>2.2679489675159203E-7</v>
      </c>
      <c r="AL69" s="629">
        <f t="shared" si="91"/>
        <v>-0.85355072033849289</v>
      </c>
      <c r="AM69" s="634">
        <f t="shared" si="92"/>
        <v>-0.52100975788327464</v>
      </c>
      <c r="AN69" s="581">
        <f t="shared" si="93"/>
        <v>-58.59999153920802</v>
      </c>
      <c r="AO69" s="582">
        <f t="shared" si="461"/>
        <v>0</v>
      </c>
      <c r="AP69" s="585">
        <f t="shared" si="95"/>
        <v>-89.999984776077056</v>
      </c>
      <c r="AQ69" s="586">
        <f t="shared" si="246"/>
        <v>0.62326230579300079</v>
      </c>
      <c r="AS69" s="52">
        <f t="shared" si="406"/>
        <v>-325.0910050402353</v>
      </c>
      <c r="AT69" s="72">
        <f t="shared" si="247"/>
        <v>-1.1409133181024211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>Gage</v>
      </c>
      <c r="IG69" s="847">
        <f t="shared" si="210"/>
        <v>7.2290000000000001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0.129</v>
      </c>
      <c r="II69" s="734" cm="1">
        <f t="array" ref="II69">IFERROR(ROUND(VALUE(IF($IH69&lt;1,$IH69+LARGE((IF($M$9:$M$150="",0,$M$9:$M$150)-MOD(IF($M$9:$M$150="",0,$M$9:$M$150),1)),1),$IH69)),4),"")</f>
        <v>7.1289999999999996</v>
      </c>
      <c r="IJ69" s="533">
        <f t="shared" si="112"/>
        <v>1613</v>
      </c>
      <c r="IK69" s="533" t="str">
        <f t="shared" si="382"/>
        <v>CPS-32193r1</v>
      </c>
      <c r="IL69" s="727">
        <f t="shared" si="225"/>
        <v>15.512597760258018</v>
      </c>
      <c r="IM69" s="759">
        <v>2.0907091356982001E-3</v>
      </c>
      <c r="IN69" s="5">
        <f t="shared" si="226"/>
        <v>0.74</v>
      </c>
      <c r="IO69" s="771">
        <v>370</v>
      </c>
      <c r="IP69" s="9">
        <f t="shared" si="227"/>
        <v>-3.6372109698282857</v>
      </c>
      <c r="IQ69" s="5">
        <f t="shared" si="228"/>
        <v>-1.3375040339121664</v>
      </c>
      <c r="IR69" s="5">
        <f t="shared" si="383"/>
        <v>0.314</v>
      </c>
      <c r="IS69" s="5">
        <f t="shared" si="229"/>
        <v>0.27902498123124708</v>
      </c>
      <c r="IT69" s="727">
        <f t="shared" si="230"/>
        <v>77.69961503116555</v>
      </c>
      <c r="IU69" s="9">
        <f t="shared" si="231"/>
        <v>-3.6575879685121073</v>
      </c>
      <c r="IV69" s="5">
        <f t="shared" si="232"/>
        <v>-1.3673022104003323</v>
      </c>
      <c r="IW69" s="5">
        <f t="shared" si="384"/>
        <v>0.25700000000000001</v>
      </c>
      <c r="IX69" s="5">
        <f t="shared" si="233"/>
        <v>0.25700000000000001</v>
      </c>
      <c r="IY69" s="762">
        <f t="shared" si="234"/>
        <v>58.59999153920802</v>
      </c>
    </row>
    <row r="70" spans="1:259" ht="15" customHeight="1" x14ac:dyDescent="0.25">
      <c r="A70" s="79"/>
      <c r="B70" s="707">
        <v>-2.0969731216515148</v>
      </c>
      <c r="C70" s="708">
        <v>3.108891076746032</v>
      </c>
      <c r="D70" s="709">
        <v>-2.0785611578293408</v>
      </c>
      <c r="E70" s="710">
        <v>-0.55919302046187669</v>
      </c>
      <c r="F70" s="708">
        <v>0.82903749364348533</v>
      </c>
      <c r="G70" s="711">
        <v>2.2679489664470489E-7</v>
      </c>
      <c r="H70" s="710">
        <v>0.25700000000000001</v>
      </c>
      <c r="I70" s="708">
        <v>0.41499999999999992</v>
      </c>
      <c r="J70" s="570">
        <v>7.2359999999999998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CPS-32193r1</v>
      </c>
      <c r="L70" s="320"/>
      <c r="M70" s="168">
        <f t="shared" si="239"/>
        <v>7.2359999999999998</v>
      </c>
      <c r="N70" s="632">
        <f t="shared" si="240"/>
        <v>-2.0969731216515148</v>
      </c>
      <c r="O70" s="629">
        <f t="shared" si="241"/>
        <v>3.108891076746032</v>
      </c>
      <c r="P70" s="633">
        <f t="shared" si="242"/>
        <v>-2.0785611578293408</v>
      </c>
      <c r="Q70" s="585">
        <f t="shared" si="113"/>
        <v>123.99999509100806</v>
      </c>
      <c r="R70" s="629">
        <f t="shared" si="79"/>
        <v>3.75</v>
      </c>
      <c r="S70" s="634">
        <f t="shared" si="80"/>
        <v>-2.0785611578293408</v>
      </c>
      <c r="T70" s="635">
        <f t="shared" si="81"/>
        <v>3.0752326636295324</v>
      </c>
      <c r="U70" s="629">
        <f t="shared" si="82"/>
        <v>2.1460298377576237</v>
      </c>
      <c r="V70" s="636">
        <f t="shared" si="114"/>
        <v>-2.0785611578293408</v>
      </c>
      <c r="W70" s="585">
        <f t="shared" si="224"/>
        <v>34.908994959764712</v>
      </c>
      <c r="X70" s="629">
        <f t="shared" si="83"/>
        <v>3.75</v>
      </c>
      <c r="Y70" s="630">
        <f t="shared" si="223"/>
        <v>-2.0785611578293408</v>
      </c>
      <c r="Z70" s="632">
        <f t="shared" si="243"/>
        <v>0.55919302046187669</v>
      </c>
      <c r="AA70" s="629">
        <f t="shared" si="244"/>
        <v>-0.82903749364348533</v>
      </c>
      <c r="AB70" s="629">
        <f t="shared" si="245"/>
        <v>-2.2679489664470489E-7</v>
      </c>
      <c r="AC70" s="636">
        <f t="shared" si="84"/>
        <v>1</v>
      </c>
      <c r="AD70" s="637">
        <f t="shared" si="115"/>
        <v>0.55919302046187669</v>
      </c>
      <c r="AE70" s="629">
        <f t="shared" si="85"/>
        <v>-0.82903749364348533</v>
      </c>
      <c r="AF70" s="633">
        <f t="shared" si="86"/>
        <v>-2.2679489664470489E-7</v>
      </c>
      <c r="AG70" s="602">
        <f t="shared" si="87"/>
        <v>-89.999984325931592</v>
      </c>
      <c r="AH70" s="603">
        <f t="shared" si="88"/>
        <v>55.999991914602518</v>
      </c>
      <c r="AI70" s="585">
        <f t="shared" si="89"/>
        <v>-89.999987005609611</v>
      </c>
      <c r="AJ70" s="586">
        <f t="shared" si="90"/>
        <v>34.00000808539847</v>
      </c>
      <c r="AK70" s="635">
        <f t="shared" si="211"/>
        <v>2.2679489691812549E-7</v>
      </c>
      <c r="AL70" s="629">
        <f t="shared" si="91"/>
        <v>-0.99999999999994871</v>
      </c>
      <c r="AM70" s="634">
        <f t="shared" si="92"/>
        <v>-2.2679489664470489E-7</v>
      </c>
      <c r="AN70" s="581">
        <f t="shared" si="93"/>
        <v>-89.999987005609611</v>
      </c>
      <c r="AO70" s="582">
        <f t="shared" si="461"/>
        <v>0</v>
      </c>
      <c r="AP70" s="585">
        <f t="shared" si="95"/>
        <v>-89.999987005609597</v>
      </c>
      <c r="AQ70" s="586">
        <f t="shared" si="246"/>
        <v>0.60790429010098357</v>
      </c>
      <c r="AS70" s="52">
        <f t="shared" si="406"/>
        <v>-325.0910050402353</v>
      </c>
      <c r="AT70" s="72">
        <f t="shared" si="247"/>
        <v>-1.8521722655314297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>Gage</v>
      </c>
      <c r="IG70" s="847">
        <f t="shared" si="210"/>
        <v>7.2359999999999998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0.13600000000000001</v>
      </c>
      <c r="II70" s="734" cm="1">
        <f t="array" ref="II70">IFERROR(ROUND(VALUE(IF($IH70&lt;1,$IH70+LARGE((IF($M$9:$M$150="",0,$M$9:$M$150)-MOD(IF($M$9:$M$150="",0,$M$9:$M$150),1)),1),$IH70)),4),"")</f>
        <v>7.1360000000000001</v>
      </c>
      <c r="IJ70" s="533">
        <f t="shared" si="112"/>
        <v>1613</v>
      </c>
      <c r="IK70" s="533" t="str">
        <f t="shared" si="382"/>
        <v>CPS-32193r1</v>
      </c>
      <c r="IL70" s="727">
        <f t="shared" si="225"/>
        <v>14.999997530213363</v>
      </c>
      <c r="IM70" s="759">
        <v>3.7478655733369802E-4</v>
      </c>
      <c r="IN70" s="5">
        <f t="shared" si="226"/>
        <v>0</v>
      </c>
      <c r="IO70" s="771">
        <v>0</v>
      </c>
      <c r="IP70" s="9">
        <f t="shared" si="227"/>
        <v>-3.7029000058417574</v>
      </c>
      <c r="IQ70" s="5">
        <f t="shared" si="228"/>
        <v>-2.1140999999999988</v>
      </c>
      <c r="IR70" s="5">
        <f t="shared" si="383"/>
        <v>0.314</v>
      </c>
      <c r="IS70" s="5">
        <f t="shared" si="229"/>
        <v>0.25721375738568503</v>
      </c>
      <c r="IT70" s="727">
        <f t="shared" si="230"/>
        <v>89.99998700560964</v>
      </c>
      <c r="IU70" s="9">
        <f t="shared" si="231"/>
        <v>-3.75</v>
      </c>
      <c r="IV70" s="5">
        <f t="shared" si="232"/>
        <v>-2.0785611578293408</v>
      </c>
      <c r="IW70" s="5">
        <f t="shared" si="384"/>
        <v>0.25700000000000001</v>
      </c>
      <c r="IX70" s="5">
        <f t="shared" si="233"/>
        <v>0.25700000000000001</v>
      </c>
      <c r="IY70" s="762">
        <f t="shared" si="234"/>
        <v>89.999987005609611</v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8.852130215629557E-2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0.96089198209416138</v>
      </c>
      <c r="F157" s="170">
        <f t="shared" si="929"/>
        <v>-0.14353494016811438</v>
      </c>
      <c r="G157" s="170">
        <f t="shared" si="929"/>
        <v>-0.23682128218994525</v>
      </c>
      <c r="H157" s="139"/>
      <c r="I157" s="86"/>
      <c r="J157" s="79">
        <f t="shared" si="930"/>
        <v>1.1140000000000001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0.93948851336091665</v>
      </c>
      <c r="F158" s="170">
        <f t="shared" si="929"/>
        <v>-0.29625628196016235</v>
      </c>
      <c r="G158" s="170">
        <f t="shared" si="929"/>
        <v>-0.1720277554990351</v>
      </c>
      <c r="H158" s="139"/>
      <c r="I158" s="86"/>
      <c r="J158" s="79">
        <f t="shared" si="930"/>
        <v>1.121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0.87691222519662104</v>
      </c>
      <c r="F159" s="170">
        <f t="shared" si="929"/>
        <v>-0.4666214331930808</v>
      </c>
      <c r="G159" s="170">
        <f t="shared" si="929"/>
        <v>-0.11527960524544595</v>
      </c>
      <c r="H159" s="139"/>
      <c r="I159" s="86"/>
      <c r="J159" s="79">
        <f t="shared" si="930"/>
        <v>1.1279999999999999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0.78801080790683986</v>
      </c>
      <c r="F160" s="170">
        <f t="shared" si="929"/>
        <v>-0.61566140582465689</v>
      </c>
      <c r="G160" s="170">
        <f t="shared" si="929"/>
        <v>-1.3008419220637057E-7</v>
      </c>
      <c r="H160" s="139"/>
      <c r="I160" s="86"/>
      <c r="J160" s="79">
        <f t="shared" si="930"/>
        <v>1.135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0.78565336189541879</v>
      </c>
      <c r="F161" s="170">
        <f t="shared" si="929"/>
        <v>-0.47475545718627421</v>
      </c>
      <c r="G161" s="170">
        <f t="shared" si="929"/>
        <v>-0.3966812962748279</v>
      </c>
      <c r="H161" s="139"/>
      <c r="I161" s="86"/>
      <c r="J161" s="79">
        <f t="shared" si="930"/>
        <v>1.214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0.73141724041092682</v>
      </c>
      <c r="F162" s="170">
        <f t="shared" si="929"/>
        <v>-0.6097039117797457</v>
      </c>
      <c r="G162" s="170">
        <f t="shared" si="929"/>
        <v>-0.30543405244036054</v>
      </c>
      <c r="H162" s="139"/>
      <c r="I162" s="86"/>
      <c r="J162" s="79">
        <f t="shared" si="930"/>
        <v>1.2210000000000001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-0.25405620482684121</v>
      </c>
      <c r="F163" s="170">
        <f t="shared" si="929"/>
        <v>-0.7819054537146839</v>
      </c>
      <c r="G163" s="170">
        <f t="shared" si="929"/>
        <v>-0.56927963799895076</v>
      </c>
      <c r="H163" s="139"/>
      <c r="I163" s="86"/>
      <c r="J163" s="79">
        <f t="shared" si="930"/>
        <v>1.228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-0.30901673554121095</v>
      </c>
      <c r="F164" s="170">
        <f t="shared" si="929"/>
        <v>-0.95105660039526674</v>
      </c>
      <c r="G164" s="170">
        <f t="shared" si="929"/>
        <v>-2.2679489667692386E-7</v>
      </c>
      <c r="H164" s="139"/>
      <c r="I164" s="86"/>
      <c r="J164" s="79">
        <f t="shared" si="930"/>
        <v>1.2350000000000001</v>
      </c>
    </row>
    <row r="165" spans="5:16" x14ac:dyDescent="0.25">
      <c r="E165" s="170">
        <f t="shared" si="929"/>
        <v>0.4689295107615965</v>
      </c>
      <c r="F165" s="170">
        <f t="shared" si="929"/>
        <v>-0.84857319267626918</v>
      </c>
      <c r="G165" s="170">
        <f t="shared" si="929"/>
        <v>-0.24500745010732472</v>
      </c>
      <c r="H165" s="139"/>
      <c r="I165" s="86"/>
      <c r="J165" s="79">
        <f t="shared" si="930"/>
        <v>2.113</v>
      </c>
    </row>
    <row r="166" spans="5:16" x14ac:dyDescent="0.25">
      <c r="E166" s="170">
        <f t="shared" si="929"/>
        <v>0.33639370929163537</v>
      </c>
      <c r="F166" s="170">
        <f t="shared" si="929"/>
        <v>-0.92531601221074533</v>
      </c>
      <c r="G166" s="170">
        <f t="shared" si="929"/>
        <v>-0.17501299921839739</v>
      </c>
      <c r="H166" s="139"/>
      <c r="I166" s="86"/>
      <c r="J166" s="79">
        <f t="shared" si="930"/>
        <v>2.12</v>
      </c>
    </row>
    <row r="167" spans="5:16" x14ac:dyDescent="0.25">
      <c r="E167" s="170">
        <f t="shared" si="929"/>
        <v>0.16066965547527057</v>
      </c>
      <c r="F167" s="170">
        <f t="shared" si="929"/>
        <v>-0.97827243340859382</v>
      </c>
      <c r="G167" s="170">
        <f t="shared" si="929"/>
        <v>-0.13102788955900344</v>
      </c>
      <c r="H167" s="139"/>
      <c r="I167" s="86"/>
      <c r="J167" s="79">
        <f t="shared" si="930"/>
        <v>2.1269999999999998</v>
      </c>
    </row>
    <row r="168" spans="5:16" x14ac:dyDescent="0.25">
      <c r="E168" s="170">
        <f t="shared" si="929"/>
        <v>-3.4900179191106731E-2</v>
      </c>
      <c r="F168" s="170">
        <f t="shared" si="929"/>
        <v>-0.99939080318582674</v>
      </c>
      <c r="G168" s="170">
        <f t="shared" si="929"/>
        <v>-1.300841922044553E-7</v>
      </c>
      <c r="H168" s="139"/>
      <c r="I168" s="86"/>
      <c r="J168" s="79">
        <f t="shared" si="930"/>
        <v>2.1339999999999999</v>
      </c>
    </row>
    <row r="169" spans="5:16" x14ac:dyDescent="0.25">
      <c r="E169" s="170">
        <f t="shared" si="929"/>
        <v>-0.48269764812212018</v>
      </c>
      <c r="F169" s="170">
        <f t="shared" si="929"/>
        <v>-0.15683782436800334</v>
      </c>
      <c r="G169" s="170">
        <f t="shared" si="929"/>
        <v>-0.86162919945002181</v>
      </c>
      <c r="H169" s="139"/>
      <c r="I169" s="86"/>
      <c r="J169" s="79">
        <f t="shared" si="930"/>
        <v>2.2200000000000002</v>
      </c>
    </row>
    <row r="170" spans="5:16" x14ac:dyDescent="0.25">
      <c r="E170" s="170">
        <f t="shared" si="929"/>
        <v>-0.75148210384892178</v>
      </c>
      <c r="F170" s="170">
        <f t="shared" si="929"/>
        <v>-0.2441709724123747</v>
      </c>
      <c r="G170" s="170">
        <f t="shared" si="929"/>
        <v>-0.6129071575907673</v>
      </c>
      <c r="H170" s="139"/>
      <c r="I170" s="86"/>
      <c r="J170" s="79">
        <f t="shared" si="930"/>
        <v>2.2269999999999999</v>
      </c>
    </row>
    <row r="171" spans="5:16" x14ac:dyDescent="0.25">
      <c r="E171" s="170">
        <f t="shared" si="929"/>
        <v>-0.95105667047866083</v>
      </c>
      <c r="F171" s="170">
        <f t="shared" si="929"/>
        <v>-0.30901651984641942</v>
      </c>
      <c r="G171" s="170">
        <f t="shared" si="929"/>
        <v>-2.2679489664145123E-7</v>
      </c>
      <c r="H171" s="139"/>
      <c r="I171" s="86"/>
      <c r="J171" s="79">
        <f t="shared" si="930"/>
        <v>2.234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-0.13530445066904165</v>
      </c>
      <c r="F172" s="170">
        <f t="shared" si="929"/>
        <v>-0.95874538955692512</v>
      </c>
      <c r="G172" s="170">
        <f t="shared" si="929"/>
        <v>-0.24999996726497564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-0.13530445066904162</v>
      </c>
      <c r="F173" s="170">
        <f t="shared" si="929"/>
        <v>-0.95874538955692512</v>
      </c>
      <c r="G173" s="170">
        <f t="shared" si="929"/>
        <v>-0.24999996726497559</v>
      </c>
      <c r="H173" s="139"/>
      <c r="I173" s="86"/>
      <c r="J173" s="79">
        <f t="shared" si="930"/>
        <v>3.1059999999999999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-0.29293237467838579</v>
      </c>
      <c r="F174" s="170">
        <f t="shared" si="933"/>
        <v>-0.92245913032790172</v>
      </c>
      <c r="G174" s="170">
        <f t="shared" si="933"/>
        <v>-0.25151496325263262</v>
      </c>
      <c r="H174" s="139"/>
      <c r="I174" s="86"/>
      <c r="J174" s="79">
        <f t="shared" si="930"/>
        <v>3.1120000000000001</v>
      </c>
    </row>
    <row r="175" spans="5:16" x14ac:dyDescent="0.25">
      <c r="E175" s="170">
        <f t="shared" si="933"/>
        <v>-0.43897182483099051</v>
      </c>
      <c r="F175" s="170">
        <f t="shared" si="933"/>
        <v>-0.88104431497757874</v>
      </c>
      <c r="G175" s="170">
        <f t="shared" si="933"/>
        <v>-0.17625167247501278</v>
      </c>
      <c r="H175" s="139"/>
      <c r="I175" s="86"/>
      <c r="J175" s="79">
        <f t="shared" si="930"/>
        <v>3.1190000000000002</v>
      </c>
    </row>
    <row r="176" spans="5:16" x14ac:dyDescent="0.25">
      <c r="E176" s="170">
        <f t="shared" si="933"/>
        <v>-0.60132532085675849</v>
      </c>
      <c r="F176" s="170">
        <f t="shared" si="933"/>
        <v>-0.78605441019587774</v>
      </c>
      <c r="G176" s="170">
        <f t="shared" si="933"/>
        <v>-0.14327010402776738</v>
      </c>
      <c r="H176" s="139"/>
      <c r="I176" s="86"/>
      <c r="J176" s="79">
        <f t="shared" si="930"/>
        <v>3.1259999999999999</v>
      </c>
    </row>
    <row r="177" spans="5:10" x14ac:dyDescent="0.25">
      <c r="E177" s="170">
        <f t="shared" si="933"/>
        <v>-0.76604480433163968</v>
      </c>
      <c r="F177" s="170">
        <f t="shared" si="933"/>
        <v>-0.64278717920979345</v>
      </c>
      <c r="G177" s="170">
        <f t="shared" si="933"/>
        <v>-1.3008419223321922E-7</v>
      </c>
      <c r="H177" s="139"/>
      <c r="I177" s="86"/>
      <c r="J177" s="79">
        <f t="shared" si="930"/>
        <v>3.133</v>
      </c>
    </row>
    <row r="178" spans="5:10" x14ac:dyDescent="0.25">
      <c r="E178" s="170">
        <f t="shared" si="933"/>
        <v>-0.57644133149671706</v>
      </c>
      <c r="F178" s="170">
        <f t="shared" si="933"/>
        <v>-0.70432923790006974</v>
      </c>
      <c r="G178" s="170">
        <f t="shared" si="933"/>
        <v>-0.41428941089701904</v>
      </c>
      <c r="H178" s="139"/>
      <c r="I178" s="86"/>
      <c r="J178" s="79">
        <f t="shared" si="930"/>
        <v>3.2120000000000002</v>
      </c>
    </row>
    <row r="179" spans="5:10" x14ac:dyDescent="0.25">
      <c r="E179" s="170">
        <f t="shared" si="933"/>
        <v>-0.70457017589521187</v>
      </c>
      <c r="F179" s="170">
        <f t="shared" si="933"/>
        <v>-0.63301312048843372</v>
      </c>
      <c r="G179" s="170">
        <f t="shared" si="933"/>
        <v>-0.32074172869847456</v>
      </c>
      <c r="H179" s="139"/>
      <c r="I179" s="86"/>
      <c r="J179" s="79">
        <f t="shared" si="930"/>
        <v>3.2189999999999999</v>
      </c>
    </row>
    <row r="180" spans="5:10" x14ac:dyDescent="0.25">
      <c r="E180" s="170">
        <f t="shared" si="933"/>
        <v>-0.65458812051306892</v>
      </c>
      <c r="F180" s="170">
        <f t="shared" si="933"/>
        <v>0.37792689355443726</v>
      </c>
      <c r="G180" s="170">
        <f t="shared" si="933"/>
        <v>-0.654740907238475</v>
      </c>
      <c r="H180" s="139"/>
      <c r="I180" s="86"/>
      <c r="J180" s="79">
        <f t="shared" si="930"/>
        <v>3.226</v>
      </c>
    </row>
    <row r="181" spans="5:10" x14ac:dyDescent="0.25">
      <c r="E181" s="170">
        <f t="shared" si="933"/>
        <v>-0.86602521478860761</v>
      </c>
      <c r="F181" s="170">
        <f t="shared" si="933"/>
        <v>0.50000032735018773</v>
      </c>
      <c r="G181" s="170">
        <f t="shared" si="933"/>
        <v>-2.2679489661303812E-7</v>
      </c>
      <c r="H181" s="139"/>
      <c r="I181" s="86"/>
      <c r="J181" s="79">
        <f t="shared" si="930"/>
        <v>3.2330000000000001</v>
      </c>
    </row>
    <row r="182" spans="5:10" x14ac:dyDescent="0.25">
      <c r="E182" s="170">
        <f t="shared" si="933"/>
        <v>-0.91984664607816302</v>
      </c>
      <c r="F182" s="170">
        <f t="shared" si="933"/>
        <v>-0.29688948959251282</v>
      </c>
      <c r="G182" s="170">
        <f t="shared" si="933"/>
        <v>-0.25639574619765465</v>
      </c>
      <c r="H182" s="139"/>
      <c r="I182" s="86"/>
      <c r="J182" s="79">
        <f t="shared" si="930"/>
        <v>4.1109999999999998</v>
      </c>
    </row>
    <row r="183" spans="5:10" x14ac:dyDescent="0.25">
      <c r="E183" s="170">
        <f t="shared" si="933"/>
        <v>-0.97072421023574773</v>
      </c>
      <c r="F183" s="170">
        <f t="shared" si="933"/>
        <v>-0.14608250533153921</v>
      </c>
      <c r="G183" s="170">
        <f t="shared" si="933"/>
        <v>-0.19066832274461556</v>
      </c>
      <c r="H183" s="139"/>
      <c r="I183" s="86"/>
      <c r="J183" s="79">
        <f t="shared" si="930"/>
        <v>4.1180000000000003</v>
      </c>
    </row>
    <row r="184" spans="5:10" x14ac:dyDescent="0.25">
      <c r="E184" s="170">
        <f t="shared" si="933"/>
        <v>-0.98726774874964096</v>
      </c>
      <c r="F184" s="170">
        <f t="shared" si="933"/>
        <v>3.4915030258279925E-2</v>
      </c>
      <c r="G184" s="170">
        <f t="shared" si="933"/>
        <v>-0.15518805669535016</v>
      </c>
      <c r="H184" s="139"/>
      <c r="I184" s="86"/>
      <c r="J184" s="79">
        <f t="shared" si="930"/>
        <v>4.125</v>
      </c>
    </row>
    <row r="185" spans="5:10" x14ac:dyDescent="0.25">
      <c r="E185" s="170">
        <f t="shared" si="933"/>
        <v>-0.96126157994161443</v>
      </c>
      <c r="F185" s="170">
        <f t="shared" si="933"/>
        <v>0.27563776034523019</v>
      </c>
      <c r="G185" s="170">
        <f t="shared" si="933"/>
        <v>-1.3008419221378574E-7</v>
      </c>
      <c r="H185" s="139"/>
      <c r="I185" s="86"/>
      <c r="J185" s="79">
        <f t="shared" si="930"/>
        <v>4.1319999999999997</v>
      </c>
    </row>
    <row r="186" spans="5:10" x14ac:dyDescent="0.25">
      <c r="E186" s="170">
        <f t="shared" si="933"/>
        <v>-2.8705822558874747E-2</v>
      </c>
      <c r="F186" s="170">
        <f t="shared" si="933"/>
        <v>0.41051187212633655</v>
      </c>
      <c r="G186" s="170">
        <f t="shared" si="933"/>
        <v>-0.91140330183434637</v>
      </c>
      <c r="H186" s="139"/>
      <c r="I186" s="86"/>
      <c r="J186" s="79">
        <f t="shared" si="930"/>
        <v>4.218</v>
      </c>
    </row>
    <row r="187" spans="5:10" x14ac:dyDescent="0.25">
      <c r="E187" s="170">
        <f t="shared" si="933"/>
        <v>-5.0178495797404819E-2</v>
      </c>
      <c r="F187" s="170">
        <f t="shared" si="933"/>
        <v>0.71758745185796513</v>
      </c>
      <c r="G187" s="170">
        <f t="shared" si="933"/>
        <v>-0.69465845384296776</v>
      </c>
      <c r="H187" s="139"/>
      <c r="I187" s="86"/>
      <c r="J187" s="79">
        <f t="shared" si="930"/>
        <v>4.2249999999999996</v>
      </c>
    </row>
    <row r="188" spans="5:10" x14ac:dyDescent="0.25">
      <c r="E188" s="170">
        <f t="shared" si="933"/>
        <v>-6.9756237446466765E-2</v>
      </c>
      <c r="F188" s="170">
        <f t="shared" si="933"/>
        <v>0.99756406678331233</v>
      </c>
      <c r="G188" s="170">
        <f t="shared" si="933"/>
        <v>-2.2679489678254405E-7</v>
      </c>
      <c r="H188" s="139"/>
      <c r="I188" s="86"/>
      <c r="J188" s="79">
        <f t="shared" si="930"/>
        <v>4.2320000000000002</v>
      </c>
    </row>
    <row r="189" spans="5:10" x14ac:dyDescent="0.25">
      <c r="E189" s="170">
        <f t="shared" si="933"/>
        <v>-0.90291932413584053</v>
      </c>
      <c r="F189" s="170">
        <f t="shared" si="933"/>
        <v>0.31681224107988654</v>
      </c>
      <c r="G189" s="170">
        <f t="shared" si="933"/>
        <v>-0.29045946017304536</v>
      </c>
      <c r="H189" s="139"/>
      <c r="I189" s="86"/>
      <c r="J189" s="79">
        <f t="shared" si="930"/>
        <v>5.1020000000000003</v>
      </c>
    </row>
    <row r="190" spans="5:10" x14ac:dyDescent="0.25">
      <c r="E190" s="170">
        <f t="shared" si="933"/>
        <v>-0.90966321064955358</v>
      </c>
      <c r="F190" s="170">
        <f t="shared" si="933"/>
        <v>0.33168186498248137</v>
      </c>
      <c r="G190" s="170">
        <f t="shared" si="933"/>
        <v>-0.24999996726497573</v>
      </c>
      <c r="H190" s="139"/>
      <c r="I190" s="86"/>
      <c r="J190" s="79">
        <f t="shared" si="930"/>
        <v>5.1050000000000004</v>
      </c>
    </row>
    <row r="191" spans="5:10" x14ac:dyDescent="0.25">
      <c r="E191" s="170">
        <f t="shared" si="933"/>
        <v>-0.86130086298768205</v>
      </c>
      <c r="F191" s="170">
        <f t="shared" si="933"/>
        <v>0.43737790659161929</v>
      </c>
      <c r="G191" s="170">
        <f t="shared" si="933"/>
        <v>-0.25857569538184966</v>
      </c>
      <c r="H191" s="139"/>
      <c r="I191" s="86"/>
      <c r="J191" s="79">
        <f t="shared" si="930"/>
        <v>5.1100000000000003</v>
      </c>
    </row>
    <row r="192" spans="5:10" x14ac:dyDescent="0.25">
      <c r="E192" s="170">
        <f t="shared" si="933"/>
        <v>-0.78882117556782572</v>
      </c>
      <c r="F192" s="170">
        <f t="shared" si="933"/>
        <v>0.57976471765471949</v>
      </c>
      <c r="G192" s="170">
        <f t="shared" si="933"/>
        <v>-0.20404417447831483</v>
      </c>
      <c r="H192" s="139"/>
      <c r="I192" s="86"/>
      <c r="J192" s="79">
        <f t="shared" si="930"/>
        <v>5.117</v>
      </c>
    </row>
    <row r="193" spans="5:10" x14ac:dyDescent="0.25">
      <c r="E193" s="170">
        <f t="shared" si="933"/>
        <v>-0.67768127441908177</v>
      </c>
      <c r="F193" s="170">
        <f t="shared" si="933"/>
        <v>0.71650085077548265</v>
      </c>
      <c r="G193" s="170">
        <f t="shared" si="933"/>
        <v>-0.16545277616207865</v>
      </c>
      <c r="H193" s="139"/>
      <c r="I193" s="86"/>
      <c r="J193" s="79">
        <f t="shared" si="930"/>
        <v>5.1239999999999997</v>
      </c>
    </row>
    <row r="194" spans="5:10" x14ac:dyDescent="0.25">
      <c r="E194" s="170">
        <f t="shared" ref="E194:G213" si="934">E49*-1</f>
        <v>-0.55148672689532452</v>
      </c>
      <c r="F194" s="170">
        <f t="shared" si="934"/>
        <v>0.83157559148437588</v>
      </c>
      <c r="G194" s="170">
        <f t="shared" si="934"/>
        <v>-6.5912257628550991E-2</v>
      </c>
      <c r="H194" s="139"/>
      <c r="I194" s="86"/>
      <c r="J194" s="79">
        <f t="shared" si="930"/>
        <v>5.1310000000000002</v>
      </c>
    </row>
    <row r="195" spans="5:10" x14ac:dyDescent="0.25">
      <c r="E195" s="170">
        <f t="shared" si="934"/>
        <v>-0.46947129356355372</v>
      </c>
      <c r="F195" s="170">
        <f t="shared" si="934"/>
        <v>0.88294773600692056</v>
      </c>
      <c r="G195" s="170">
        <f t="shared" si="934"/>
        <v>-1.3008419237961695E-7</v>
      </c>
      <c r="H195" s="139"/>
      <c r="I195" s="86"/>
      <c r="J195" s="79">
        <f t="shared" si="930"/>
        <v>5.1379999999999999</v>
      </c>
    </row>
    <row r="196" spans="5:10" x14ac:dyDescent="0.25">
      <c r="E196" s="170">
        <f t="shared" si="934"/>
        <v>-0.50620653932333259</v>
      </c>
      <c r="F196" s="170">
        <f t="shared" si="934"/>
        <v>0.78550685956694544</v>
      </c>
      <c r="G196" s="170">
        <f t="shared" si="934"/>
        <v>-0.35599706897609518</v>
      </c>
      <c r="H196" s="139"/>
      <c r="I196" s="86"/>
      <c r="J196" s="79">
        <f t="shared" si="930"/>
        <v>5.2169999999999996</v>
      </c>
    </row>
    <row r="197" spans="5:10" x14ac:dyDescent="0.25">
      <c r="E197" s="170">
        <f t="shared" si="934"/>
        <v>-0.33044167300088145</v>
      </c>
      <c r="F197" s="170">
        <f t="shared" si="934"/>
        <v>0.90161340632133258</v>
      </c>
      <c r="G197" s="170">
        <f t="shared" si="934"/>
        <v>-0.27910852062597846</v>
      </c>
      <c r="H197" s="139"/>
      <c r="I197" s="86"/>
      <c r="J197" s="79">
        <f t="shared" si="930"/>
        <v>5.2240000000000002</v>
      </c>
    </row>
    <row r="198" spans="5:10" x14ac:dyDescent="0.25">
      <c r="E198" s="170">
        <f t="shared" si="934"/>
        <v>0.60643829844400021</v>
      </c>
      <c r="F198" s="170">
        <f t="shared" si="934"/>
        <v>0.67351783164839119</v>
      </c>
      <c r="G198" s="170">
        <f t="shared" si="934"/>
        <v>-0.42261841019055879</v>
      </c>
      <c r="H198" s="139"/>
      <c r="I198" s="86"/>
      <c r="J198" s="79">
        <f t="shared" si="930"/>
        <v>5.2309999999999999</v>
      </c>
    </row>
    <row r="199" spans="5:10" x14ac:dyDescent="0.25">
      <c r="E199" s="170">
        <f t="shared" si="934"/>
        <v>0.66913069624761135</v>
      </c>
      <c r="F199" s="170">
        <f t="shared" si="934"/>
        <v>0.74314474454115298</v>
      </c>
      <c r="G199" s="170">
        <f t="shared" si="934"/>
        <v>-2.267948968127656E-7</v>
      </c>
      <c r="H199" s="139"/>
      <c r="I199" s="86"/>
      <c r="J199" s="79">
        <f t="shared" si="930"/>
        <v>5.2380000000000004</v>
      </c>
    </row>
    <row r="200" spans="5:10" x14ac:dyDescent="0.25">
      <c r="E200" s="170">
        <f t="shared" si="934"/>
        <v>-0.22289165501894914</v>
      </c>
      <c r="F200" s="170">
        <f t="shared" si="934"/>
        <v>0.94012811595735712</v>
      </c>
      <c r="G200" s="170">
        <f t="shared" si="934"/>
        <v>-0.25783412440827963</v>
      </c>
      <c r="H200" s="139"/>
      <c r="I200" s="86"/>
      <c r="J200" s="79">
        <f t="shared" si="930"/>
        <v>6.109</v>
      </c>
    </row>
    <row r="201" spans="5:10" x14ac:dyDescent="0.25">
      <c r="E201" s="170">
        <f t="shared" si="934"/>
        <v>-1.5102583857571268E-2</v>
      </c>
      <c r="F201" s="170">
        <f t="shared" si="934"/>
        <v>0.97622526396484077</v>
      </c>
      <c r="G201" s="170">
        <f t="shared" si="934"/>
        <v>-0.21623169508099888</v>
      </c>
      <c r="H201" s="139"/>
      <c r="I201" s="86"/>
      <c r="J201" s="79">
        <f t="shared" si="930"/>
        <v>6.1159999999999997</v>
      </c>
    </row>
    <row r="202" spans="5:10" x14ac:dyDescent="0.25">
      <c r="E202" s="170">
        <f t="shared" si="934"/>
        <v>0.15607972186656807</v>
      </c>
      <c r="F202" s="170">
        <f t="shared" si="934"/>
        <v>0.97227633636901445</v>
      </c>
      <c r="G202" s="170">
        <f t="shared" si="934"/>
        <v>-0.17412020606150766</v>
      </c>
      <c r="H202" s="139"/>
      <c r="I202" s="86"/>
      <c r="J202" s="79">
        <f t="shared" si="930"/>
        <v>6.1230000000000002</v>
      </c>
    </row>
    <row r="203" spans="5:10" x14ac:dyDescent="0.25">
      <c r="E203" s="170">
        <f t="shared" si="934"/>
        <v>0.31466626907074574</v>
      </c>
      <c r="F203" s="170">
        <f t="shared" si="934"/>
        <v>0.9457990315579895</v>
      </c>
      <c r="G203" s="170">
        <f t="shared" si="934"/>
        <v>-8.0307726982316072E-2</v>
      </c>
      <c r="H203" s="139"/>
      <c r="I203" s="86"/>
      <c r="J203" s="79">
        <f t="shared" si="930"/>
        <v>6.13</v>
      </c>
    </row>
    <row r="204" spans="5:10" x14ac:dyDescent="0.25">
      <c r="E204" s="170">
        <f t="shared" si="934"/>
        <v>0.4383712985380287</v>
      </c>
      <c r="F204" s="170">
        <f t="shared" si="934"/>
        <v>0.89879397228623303</v>
      </c>
      <c r="G204" s="170">
        <f t="shared" si="934"/>
        <v>-1.300841922877809E-7</v>
      </c>
      <c r="H204" s="139"/>
      <c r="I204" s="86"/>
      <c r="J204" s="79">
        <f t="shared" si="930"/>
        <v>6.1369999999999996</v>
      </c>
    </row>
    <row r="205" spans="5:10" x14ac:dyDescent="0.25">
      <c r="E205" s="170">
        <f t="shared" si="934"/>
        <v>0.6366030444868882</v>
      </c>
      <c r="F205" s="170">
        <f t="shared" si="934"/>
        <v>-6.6909584356151672E-2</v>
      </c>
      <c r="G205" s="170">
        <f t="shared" si="934"/>
        <v>-0.7682835877924975</v>
      </c>
      <c r="H205" s="139"/>
      <c r="I205" s="86"/>
      <c r="J205" s="79">
        <f t="shared" si="930"/>
        <v>6.2229999999999999</v>
      </c>
    </row>
    <row r="206" spans="5:10" x14ac:dyDescent="0.25">
      <c r="E206" s="170">
        <f t="shared" si="934"/>
        <v>0.87565393735809993</v>
      </c>
      <c r="F206" s="170">
        <f t="shared" si="934"/>
        <v>-9.2034896801098914E-2</v>
      </c>
      <c r="G206" s="170">
        <f t="shared" si="934"/>
        <v>-0.47408834594415827</v>
      </c>
      <c r="H206" s="139"/>
      <c r="I206" s="86"/>
      <c r="J206" s="79">
        <f t="shared" si="930"/>
        <v>6.23</v>
      </c>
    </row>
    <row r="207" spans="5:10" x14ac:dyDescent="0.25">
      <c r="E207" s="170">
        <f t="shared" si="934"/>
        <v>0.99452189694868243</v>
      </c>
      <c r="F207" s="170">
        <f t="shared" si="934"/>
        <v>-0.10452844823081799</v>
      </c>
      <c r="G207" s="170">
        <f t="shared" si="934"/>
        <v>-2.267948967329994E-7</v>
      </c>
      <c r="H207" s="139"/>
      <c r="I207" s="86"/>
      <c r="J207" s="79">
        <f t="shared" si="930"/>
        <v>6.2370000000000001</v>
      </c>
    </row>
    <row r="208" spans="5:10" x14ac:dyDescent="0.25">
      <c r="E208" s="170">
        <f t="shared" si="934"/>
        <v>0.55926751245483508</v>
      </c>
      <c r="F208" s="170">
        <f t="shared" si="934"/>
        <v>0.78882981900527471</v>
      </c>
      <c r="G208" s="170">
        <f t="shared" si="934"/>
        <v>-0.25488696742024014</v>
      </c>
      <c r="H208" s="139"/>
      <c r="I208" s="86"/>
      <c r="J208" s="79">
        <f t="shared" si="930"/>
        <v>7.1079999999999997</v>
      </c>
    </row>
    <row r="209" spans="5:10" x14ac:dyDescent="0.25">
      <c r="E209" s="170">
        <f t="shared" si="934"/>
        <v>0.72196365138122598</v>
      </c>
      <c r="F209" s="170">
        <f t="shared" si="934"/>
        <v>0.65359472561077614</v>
      </c>
      <c r="G209" s="170">
        <f t="shared" si="934"/>
        <v>-0.22711763634306795</v>
      </c>
      <c r="H209" s="139"/>
      <c r="I209" s="86"/>
      <c r="J209" s="79">
        <f t="shared" si="930"/>
        <v>7.1150000000000002</v>
      </c>
    </row>
    <row r="210" spans="5:10" x14ac:dyDescent="0.25">
      <c r="E210" s="170">
        <f t="shared" si="934"/>
        <v>0.82646958802139503</v>
      </c>
      <c r="F210" s="170">
        <f t="shared" si="934"/>
        <v>0.53734850383720778</v>
      </c>
      <c r="G210" s="170">
        <f t="shared" si="934"/>
        <v>-0.16794226835332446</v>
      </c>
      <c r="H210" s="139"/>
      <c r="I210" s="86"/>
      <c r="J210" s="79">
        <f t="shared" si="930"/>
        <v>7.1219999999999999</v>
      </c>
    </row>
    <row r="211" spans="5:10" x14ac:dyDescent="0.25">
      <c r="E211" s="170">
        <f t="shared" si="934"/>
        <v>0.91778202287635946</v>
      </c>
      <c r="F211" s="170">
        <f t="shared" si="934"/>
        <v>0.38487509336752307</v>
      </c>
      <c r="G211" s="170">
        <f t="shared" si="934"/>
        <v>-9.7710393461075837E-2</v>
      </c>
      <c r="H211" s="139"/>
      <c r="I211" s="86"/>
      <c r="J211" s="79">
        <f t="shared" si="930"/>
        <v>7.1289999999999996</v>
      </c>
    </row>
    <row r="212" spans="5:10" x14ac:dyDescent="0.25">
      <c r="E212" s="170">
        <f t="shared" si="934"/>
        <v>0.97029573663968538</v>
      </c>
      <c r="F212" s="170">
        <f t="shared" si="934"/>
        <v>0.24192185403314367</v>
      </c>
      <c r="G212" s="170">
        <f t="shared" si="934"/>
        <v>-1.300841922288031E-7</v>
      </c>
      <c r="H212" s="139"/>
      <c r="I212" s="86"/>
      <c r="J212" s="79">
        <f t="shared" si="930"/>
        <v>7.1360000000000001</v>
      </c>
    </row>
    <row r="213" spans="5:10" x14ac:dyDescent="0.25">
      <c r="E213" s="170">
        <f t="shared" si="934"/>
        <v>0.33418784523233702</v>
      </c>
      <c r="F213" s="170">
        <f t="shared" si="934"/>
        <v>-0.49545354148396775</v>
      </c>
      <c r="G213" s="170">
        <f t="shared" si="934"/>
        <v>-0.80177569951325034</v>
      </c>
      <c r="H213" s="139"/>
      <c r="I213" s="86"/>
      <c r="J213" s="79">
        <f t="shared" si="930"/>
        <v>7.2220000000000004</v>
      </c>
    </row>
    <row r="214" spans="5:10" x14ac:dyDescent="0.25">
      <c r="E214" s="170">
        <f t="shared" ref="E214:G233" si="935">E69*-1</f>
        <v>0.4772996329591303</v>
      </c>
      <c r="F214" s="170">
        <f t="shared" si="935"/>
        <v>-0.7076255313140497</v>
      </c>
      <c r="G214" s="170">
        <f t="shared" si="935"/>
        <v>-0.52100975788327464</v>
      </c>
      <c r="H214" s="139"/>
      <c r="I214" s="86"/>
      <c r="J214" s="79">
        <f t="shared" si="930"/>
        <v>7.2290000000000001</v>
      </c>
    </row>
    <row r="215" spans="5:10" x14ac:dyDescent="0.25">
      <c r="E215" s="170">
        <f t="shared" si="935"/>
        <v>0.55919302046187669</v>
      </c>
      <c r="F215" s="170">
        <f t="shared" si="935"/>
        <v>-0.82903749364348533</v>
      </c>
      <c r="G215" s="170">
        <f t="shared" si="935"/>
        <v>-2.2679489664470489E-7</v>
      </c>
      <c r="H215" s="139"/>
      <c r="I215" s="86"/>
      <c r="J215" s="79">
        <f t="shared" si="930"/>
        <v>7.2359999999999998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92654D1-3BB0-4F99-8A62-EC8218CDDC7D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401BF605-0720-4A23-90A1-BAFD70FC53A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1.1140000000000001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1.121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1.1279999999999999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1.135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1.214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1.2210000000000001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1.228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1.2350000000000001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2.113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2.1269999999999998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2.1339999999999999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2.2200000000000002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2.2269999999999999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2.234</v>
      </c>
      <c r="N181" s="869" t="str">
        <f>Assy.Model!K26</f>
        <v>CPS-32193r1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3.1120000000000001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3.1190000000000002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3.133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3.2120000000000002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3.2189999999999999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3.226</v>
      </c>
      <c r="N190" s="869" t="str">
        <f>Assy.Model!K35</f>
        <v>CPS-32193r1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3.2330000000000001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4.1109999999999998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4.1180000000000003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4.125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4.1319999999999997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4.218</v>
      </c>
      <c r="N196" s="869" t="str">
        <f>Assy.Model!K41</f>
        <v>CPS-32193r1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4.2249999999999996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4.2320000000000002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5.1020000000000003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5.1050000000000004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5.1100000000000003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5.1239999999999997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5.1310000000000002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5.1379999999999999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5.2169999999999996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5.2240000000000002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5.2309999999999999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5.2380000000000004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6.109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6.1159999999999997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6.1230000000000002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6.1369999999999996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6.2229999999999999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6.23</v>
      </c>
      <c r="N216" s="869" t="str">
        <f>Assy.Model!K61</f>
        <v>CPS-32193r1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6.2370000000000001</v>
      </c>
      <c r="N217" s="869" t="str">
        <f>Assy.Model!K62</f>
        <v>CPS-32193r1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7.1079999999999997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7.1150000000000002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7.1219999999999999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7.1289999999999996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7.1360000000000001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7.2220000000000004</v>
      </c>
      <c r="N223" s="869" t="str">
        <f>Assy.Model!K68</f>
        <v>CPS-32193r1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7.2290000000000001</v>
      </c>
      <c r="N224" s="869" t="str">
        <f>Assy.Model!K69</f>
        <v>CPS-32193r1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7.2359999999999998</v>
      </c>
      <c r="N225" s="869" t="str">
        <f>Assy.Model!K70</f>
        <v>CPS-32193r1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2023-03-28T20:05:47Z</dcterms:modified>
</cp:coreProperties>
</file>