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08\"/>
    </mc:Choice>
  </mc:AlternateContent>
  <xr:revisionPtr revIDLastSave="0" documentId="13_ncr:1_{C0C1A095-D199-4617-A8B4-21B24E65707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K125" i="1"/>
  <c r="IW125" i="1"/>
  <c r="IN125" i="1"/>
  <c r="IR125" i="1"/>
  <c r="IK109" i="1"/>
  <c r="IW109" i="1"/>
  <c r="IR109" i="1"/>
  <c r="IN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N123" i="1"/>
  <c r="IK123" i="1"/>
  <c r="IW123" i="1"/>
  <c r="IR123" i="1"/>
  <c r="IR73" i="1"/>
  <c r="IW73" i="1"/>
  <c r="IK73" i="1"/>
  <c r="IN73" i="1"/>
  <c r="IN108" i="1"/>
  <c r="IK108" i="1"/>
  <c r="IW108" i="1"/>
  <c r="IR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K126" i="1"/>
  <c r="IR126" i="1"/>
  <c r="IW126" i="1"/>
  <c r="IN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K122" i="1"/>
  <c r="IW122" i="1"/>
  <c r="IR122" i="1"/>
  <c r="IN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R121" i="1"/>
  <c r="IW121" i="1"/>
  <c r="IK121" i="1"/>
  <c r="IN121" i="1"/>
  <c r="IW77" i="1"/>
  <c r="IK77" i="1"/>
  <c r="IN77" i="1"/>
  <c r="IR77" i="1"/>
  <c r="IW110" i="1"/>
  <c r="IK110" i="1"/>
  <c r="IR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R120" i="1"/>
  <c r="IW120" i="1"/>
  <c r="IN120" i="1"/>
  <c r="IK120" i="1"/>
  <c r="IN75" i="1"/>
  <c r="IW75" i="1"/>
  <c r="IK75" i="1"/>
  <c r="IR75" i="1"/>
  <c r="IK107" i="1"/>
  <c r="IW107" i="1"/>
  <c r="IN107" i="1"/>
  <c r="IR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K124" i="1"/>
  <c r="IN124" i="1"/>
  <c r="IR124" i="1"/>
  <c r="IW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W72" i="1"/>
  <c r="IK72" i="1"/>
  <c r="IR72" i="1"/>
  <c r="IN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N74" i="1"/>
  <c r="IW74" i="1"/>
  <c r="IK74" i="1"/>
  <c r="IR74" i="1"/>
  <c r="IW89" i="1"/>
  <c r="IR89" i="1"/>
  <c r="IK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85" i="1"/>
  <c r="IF129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47" i="1"/>
  <c r="IF142" i="1"/>
  <c r="IF143" i="1"/>
  <c r="IF137" i="1"/>
  <c r="IF135" i="1"/>
  <c r="IF145" i="1"/>
  <c r="IF69" i="1"/>
  <c r="IF88" i="1"/>
  <c r="IF103" i="1"/>
  <c r="IF13" i="1"/>
  <c r="IF131" i="1"/>
  <c r="IF141" i="1"/>
  <c r="IF146" i="1"/>
  <c r="IF11" i="1"/>
  <c r="IF134" i="1"/>
  <c r="IF84" i="1"/>
  <c r="IF12" i="1"/>
  <c r="IF50" i="1"/>
  <c r="IF133" i="1"/>
  <c r="IF149" i="1"/>
  <c r="IF87" i="1"/>
  <c r="IF104" i="1"/>
  <c r="IF130" i="1"/>
  <c r="IF132" i="1"/>
  <c r="IF119" i="1"/>
  <c r="IF32" i="1"/>
  <c r="IF144" i="1"/>
  <c r="IF70" i="1"/>
  <c r="IF139" i="1"/>
  <c r="IF140" i="1"/>
  <c r="IF14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V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Q126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99" i="1" l="1"/>
  <c r="IV90" i="1"/>
  <c r="IQ113" i="1"/>
  <c r="IV106" i="1"/>
  <c r="IV113" i="1"/>
  <c r="IQ120" i="1"/>
  <c r="IV81" i="1"/>
  <c r="IQ89" i="1"/>
  <c r="IV71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Q61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IP109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IQ125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5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Q109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8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IQ20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IQ124" i="1" s="1"/>
  <c r="AA101" i="1"/>
  <c r="O101" i="1"/>
  <c r="R101" i="1" s="1"/>
  <c r="X101" i="1" s="1"/>
  <c r="IP108" i="1" s="1"/>
  <c r="P101" i="1"/>
  <c r="S101" i="1" s="1"/>
  <c r="Y101" i="1" s="1"/>
  <c r="IQ108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7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7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IQ72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IV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P125" i="1"/>
  <c r="S125" i="1" s="1"/>
  <c r="Y125" i="1" s="1"/>
  <c r="IV125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V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90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IV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Q110" i="1" s="1"/>
  <c r="AB103" i="1"/>
  <c r="AA103" i="1"/>
  <c r="O103" i="1"/>
  <c r="M222" i="7"/>
  <c r="P67" i="1"/>
  <c r="S67" i="1" s="1"/>
  <c r="Y67" i="1" s="1"/>
  <c r="IQ74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V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7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D86" i="1" l="1"/>
  <c r="AH86" i="1" s="1"/>
  <c r="AQ91" i="1"/>
  <c r="IU91" i="1"/>
  <c r="IE91" i="1" s="1"/>
  <c r="IQ98" i="1"/>
  <c r="IV89" i="1"/>
  <c r="IV99" i="1"/>
  <c r="IQ106" i="1"/>
  <c r="IQ94" i="1"/>
  <c r="IV98" i="1"/>
  <c r="IQ105" i="1"/>
  <c r="IV114" i="1"/>
  <c r="IQ121" i="1"/>
  <c r="IQ114" i="1"/>
  <c r="IV107" i="1"/>
  <c r="IQ52" i="1"/>
  <c r="IQ56" i="1"/>
  <c r="AQ121" i="1"/>
  <c r="IU121" i="1"/>
  <c r="IE121" i="1" s="1"/>
  <c r="IV83" i="1"/>
  <c r="IQ91" i="1"/>
  <c r="IQ93" i="1"/>
  <c r="IQ92" i="1"/>
  <c r="IQ78" i="1"/>
  <c r="IV72" i="1"/>
  <c r="IQ59" i="1"/>
  <c r="IV56" i="1"/>
  <c r="IV115" i="1"/>
  <c r="IQ122" i="1"/>
  <c r="AQ125" i="1"/>
  <c r="IU125" i="1"/>
  <c r="IE125" i="1" s="1"/>
  <c r="V102" i="1"/>
  <c r="IQ96" i="1"/>
  <c r="Q98" i="1"/>
  <c r="IQ75" i="1"/>
  <c r="IQ64" i="1"/>
  <c r="IV55" i="1"/>
  <c r="IV116" i="1"/>
  <c r="IQ123" i="1"/>
  <c r="IQ77" i="1"/>
  <c r="AQ124" i="1"/>
  <c r="IU124" i="1"/>
  <c r="IE124" i="1" s="1"/>
  <c r="IV64" i="1"/>
  <c r="IQ71" i="1"/>
  <c r="IQ112" i="1"/>
  <c r="IV105" i="1"/>
  <c r="IU82" i="1"/>
  <c r="IE82" i="1" s="1"/>
  <c r="IP90" i="1"/>
  <c r="IQ115" i="1"/>
  <c r="IV108" i="1"/>
  <c r="IQ54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Q122" i="1"/>
  <c r="AD97" i="1"/>
  <c r="AH97" i="1" s="1"/>
  <c r="Y10" i="1"/>
  <c r="V10" i="1" s="1"/>
  <c r="Y9" i="1"/>
  <c r="BJ128" i="1"/>
  <c r="V129" i="1"/>
  <c r="R117" i="1"/>
  <c r="X117" i="1" s="1"/>
  <c r="IP124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P120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8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20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7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7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7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IP74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IP92" i="1" s="1"/>
  <c r="Q84" i="1"/>
  <c r="R83" i="1"/>
  <c r="X83" i="1" s="1"/>
  <c r="IP91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IP71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IP125" i="1" s="1"/>
  <c r="AE117" i="1"/>
  <c r="AF117" i="1"/>
  <c r="AC117" i="1"/>
  <c r="AD117" i="1"/>
  <c r="V115" i="1"/>
  <c r="AF115" i="1"/>
  <c r="AE115" i="1"/>
  <c r="Q115" i="1"/>
  <c r="R115" i="1"/>
  <c r="X115" i="1" s="1"/>
  <c r="IP122" i="1" s="1"/>
  <c r="V114" i="1"/>
  <c r="R114" i="1"/>
  <c r="X114" i="1" s="1"/>
  <c r="IP121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P106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3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P55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119" i="1" l="1"/>
  <c r="IP126" i="1"/>
  <c r="IP102" i="1"/>
  <c r="IP89" i="1"/>
  <c r="IP52" i="1"/>
  <c r="IP56" i="1"/>
  <c r="AQ37" i="1"/>
  <c r="IU37" i="1"/>
  <c r="IE37" i="1" s="1"/>
  <c r="AQ110" i="1"/>
  <c r="IU110" i="1"/>
  <c r="IE110" i="1" s="1"/>
  <c r="IP59" i="1"/>
  <c r="IU56" i="1"/>
  <c r="IE56" i="1" s="1"/>
  <c r="AQ109" i="1"/>
  <c r="IU109" i="1"/>
  <c r="IE109" i="1" s="1"/>
  <c r="AQ122" i="1"/>
  <c r="IU122" i="1"/>
  <c r="IE122" i="1" s="1"/>
  <c r="AQ103" i="1"/>
  <c r="IP110" i="1"/>
  <c r="AQ120" i="1"/>
  <c r="IU120" i="1"/>
  <c r="IE120" i="1" s="1"/>
  <c r="AQ126" i="1"/>
  <c r="IU126" i="1"/>
  <c r="IE126" i="1" s="1"/>
  <c r="AQ92" i="1"/>
  <c r="IU92" i="1"/>
  <c r="IE92" i="1" s="1"/>
  <c r="IP28" i="1"/>
  <c r="IP123" i="1"/>
  <c r="AQ123" i="1"/>
  <c r="IU123" i="1"/>
  <c r="IE123" i="1" s="1"/>
  <c r="AQ73" i="1"/>
  <c r="IU73" i="1"/>
  <c r="IE73" i="1" s="1"/>
  <c r="IP54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IL121" i="1" s="1"/>
  <c r="W95" i="1"/>
  <c r="W109" i="1"/>
  <c r="W104" i="1"/>
  <c r="W99" i="1"/>
  <c r="W94" i="1"/>
  <c r="W121" i="1"/>
  <c r="W107" i="1"/>
  <c r="W132" i="1"/>
  <c r="W108" i="1"/>
  <c r="W124" i="1"/>
  <c r="W116" i="1"/>
  <c r="W117" i="1"/>
  <c r="IL124" i="1" s="1"/>
  <c r="W111" i="1"/>
  <c r="W102" i="1"/>
  <c r="IL109" i="1" s="1"/>
  <c r="W122" i="1"/>
  <c r="W131" i="1"/>
  <c r="W110" i="1"/>
  <c r="W127" i="1"/>
  <c r="W97" i="1"/>
  <c r="W112" i="1"/>
  <c r="W103" i="1"/>
  <c r="IL110" i="1" s="1"/>
  <c r="W101" i="1"/>
  <c r="IL108" i="1" s="1"/>
  <c r="W123" i="1"/>
  <c r="W120" i="1"/>
  <c r="W129" i="1"/>
  <c r="W133" i="1"/>
  <c r="W106" i="1"/>
  <c r="W93" i="1"/>
  <c r="W118" i="1"/>
  <c r="IL125" i="1" s="1"/>
  <c r="W135" i="1"/>
  <c r="W115" i="1"/>
  <c r="IL122" i="1" s="1"/>
  <c r="W113" i="1"/>
  <c r="IL120" i="1" s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IL92" i="1" s="1"/>
  <c r="W81" i="1"/>
  <c r="IL89" i="1" s="1"/>
  <c r="W82" i="1"/>
  <c r="IL90" i="1" s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IL72" i="1" s="1"/>
  <c r="W66" i="1"/>
  <c r="W63" i="1"/>
  <c r="W64" i="1"/>
  <c r="IL71" i="1" s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IL57" i="1" s="1"/>
  <c r="W50" i="1"/>
  <c r="W47" i="1"/>
  <c r="IL55" i="1" s="1"/>
  <c r="W48" i="1"/>
  <c r="IL56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IL38" i="1" s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6" i="1" l="1"/>
  <c r="IL37" i="1"/>
  <c r="IL106" i="1"/>
  <c r="IL126" i="1"/>
  <c r="IL23" i="1"/>
  <c r="IL123" i="1"/>
  <c r="IL105" i="1"/>
  <c r="IL107" i="1"/>
  <c r="IL73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IY124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IY123" i="1" s="1"/>
  <c r="U122" i="1"/>
  <c r="T122" i="1"/>
  <c r="AL122" i="1"/>
  <c r="AN122" i="1" s="1"/>
  <c r="IY122" i="1" s="1"/>
  <c r="AK122" i="1"/>
  <c r="AL107" i="1"/>
  <c r="AN107" i="1" s="1"/>
  <c r="U107" i="1"/>
  <c r="T107" i="1"/>
  <c r="AK107" i="1"/>
  <c r="T125" i="1"/>
  <c r="AK125" i="1"/>
  <c r="AL125" i="1"/>
  <c r="AN125" i="1" s="1"/>
  <c r="IY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8" i="1" s="1"/>
  <c r="AL102" i="1"/>
  <c r="AN102" i="1" s="1"/>
  <c r="IT109" i="1" s="1"/>
  <c r="AW101" i="7"/>
  <c r="T102" i="1"/>
  <c r="AK102" i="1"/>
  <c r="U102" i="1"/>
  <c r="AK121" i="1"/>
  <c r="T121" i="1"/>
  <c r="AL121" i="1"/>
  <c r="AN121" i="1" s="1"/>
  <c r="IY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Y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IT125" i="1" s="1"/>
  <c r="U103" i="1"/>
  <c r="AL103" i="1"/>
  <c r="AN103" i="1" s="1"/>
  <c r="IT110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IY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IT124" i="1" s="1"/>
  <c r="U117" i="1"/>
  <c r="AL99" i="1"/>
  <c r="AN99" i="1" s="1"/>
  <c r="T99" i="1"/>
  <c r="U99" i="1"/>
  <c r="AK99" i="1"/>
  <c r="AW98" i="7"/>
  <c r="T119" i="1"/>
  <c r="AL119" i="1"/>
  <c r="AN119" i="1" s="1"/>
  <c r="IT126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5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IT73" i="1" s="1"/>
  <c r="U65" i="1"/>
  <c r="T65" i="1"/>
  <c r="AL65" i="1"/>
  <c r="AN65" i="1" s="1"/>
  <c r="IT72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IF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U50" i="1"/>
  <c r="T50" i="1"/>
  <c r="T49" i="1"/>
  <c r="AK49" i="1"/>
  <c r="AO49" i="1" s="1"/>
  <c r="IS57" i="1" s="1"/>
  <c r="AK48" i="1"/>
  <c r="U48" i="1"/>
  <c r="AL48" i="1"/>
  <c r="AN48" i="1" s="1"/>
  <c r="IT56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6" i="1" l="1"/>
  <c r="IT98" i="1"/>
  <c r="IY89" i="1"/>
  <c r="IT20" i="1"/>
  <c r="IY82" i="1"/>
  <c r="IT90" i="1"/>
  <c r="IY116" i="1"/>
  <c r="IT123" i="1"/>
  <c r="IT112" i="1"/>
  <c r="IY105" i="1"/>
  <c r="IY114" i="1"/>
  <c r="IT121" i="1"/>
  <c r="IT93" i="1"/>
  <c r="IT92" i="1"/>
  <c r="IT77" i="1"/>
  <c r="IY71" i="1"/>
  <c r="IY113" i="1"/>
  <c r="IT120" i="1"/>
  <c r="IY64" i="1"/>
  <c r="IT71" i="1"/>
  <c r="IX71" i="1"/>
  <c r="IT99" i="1"/>
  <c r="IY90" i="1"/>
  <c r="IS98" i="1"/>
  <c r="IX89" i="1"/>
  <c r="IY99" i="1"/>
  <c r="IT106" i="1"/>
  <c r="IT114" i="1"/>
  <c r="IY107" i="1"/>
  <c r="IY81" i="1"/>
  <c r="IT89" i="1"/>
  <c r="IT113" i="1"/>
  <c r="IY106" i="1"/>
  <c r="IY115" i="1"/>
  <c r="IT122" i="1"/>
  <c r="IY83" i="1"/>
  <c r="IT91" i="1"/>
  <c r="IY98" i="1"/>
  <c r="IT105" i="1"/>
  <c r="IT78" i="1"/>
  <c r="IY72" i="1"/>
  <c r="IT115" i="1"/>
  <c r="IY108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IX126" i="1" s="1"/>
  <c r="IF126" i="1" s="1"/>
  <c r="AO120" i="1"/>
  <c r="IX120" i="1" s="1"/>
  <c r="IF120" i="1" s="1"/>
  <c r="AP120" i="1"/>
  <c r="AO102" i="1"/>
  <c r="IS109" i="1" s="1"/>
  <c r="AP102" i="1"/>
  <c r="AO101" i="1"/>
  <c r="IS108" i="1" s="1"/>
  <c r="AP101" i="1"/>
  <c r="AO128" i="1"/>
  <c r="AP128" i="1"/>
  <c r="AO122" i="1"/>
  <c r="IX122" i="1" s="1"/>
  <c r="IF122" i="1" s="1"/>
  <c r="AP122" i="1"/>
  <c r="BA77" i="7"/>
  <c r="BA81" i="7"/>
  <c r="AO98" i="1"/>
  <c r="AP98" i="1"/>
  <c r="AO106" i="1"/>
  <c r="AP106" i="1"/>
  <c r="AO119" i="1"/>
  <c r="IS126" i="1" s="1"/>
  <c r="AP119" i="1"/>
  <c r="AP94" i="1"/>
  <c r="AO94" i="1"/>
  <c r="IX94" i="1" s="1"/>
  <c r="IF94" i="1" s="1"/>
  <c r="AO114" i="1"/>
  <c r="AP114" i="1"/>
  <c r="AP123" i="1"/>
  <c r="AO123" i="1"/>
  <c r="IX123" i="1" s="1"/>
  <c r="IF123" i="1" s="1"/>
  <c r="AO108" i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IS124" i="1" s="1"/>
  <c r="AO103" i="1"/>
  <c r="IS110" i="1" s="1"/>
  <c r="AP103" i="1"/>
  <c r="AP91" i="1"/>
  <c r="AO91" i="1"/>
  <c r="IX91" i="1" s="1"/>
  <c r="IF91" i="1" s="1"/>
  <c r="AP125" i="1"/>
  <c r="AO125" i="1"/>
  <c r="IX125" i="1" s="1"/>
  <c r="IF125" i="1" s="1"/>
  <c r="AP115" i="1"/>
  <c r="AO115" i="1"/>
  <c r="AP110" i="1"/>
  <c r="AO110" i="1"/>
  <c r="IX110" i="1" s="1"/>
  <c r="IF110" i="1" s="1"/>
  <c r="AP134" i="1"/>
  <c r="AO134" i="1"/>
  <c r="AO109" i="1"/>
  <c r="IX109" i="1" s="1"/>
  <c r="IF109" i="1" s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AP99" i="1"/>
  <c r="AP112" i="1"/>
  <c r="AO112" i="1"/>
  <c r="IX112" i="1" s="1"/>
  <c r="IF112" i="1" s="1"/>
  <c r="AP121" i="1"/>
  <c r="AO121" i="1"/>
  <c r="IX121" i="1" s="1"/>
  <c r="IF121" i="1" s="1"/>
  <c r="AP107" i="1"/>
  <c r="AO107" i="1"/>
  <c r="AP100" i="1"/>
  <c r="AO100" i="1"/>
  <c r="IS107" i="1" s="1"/>
  <c r="AO116" i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IX124" i="1" s="1"/>
  <c r="IF124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6" i="1" s="1"/>
  <c r="AP87" i="1"/>
  <c r="AO88" i="1"/>
  <c r="IS97" i="1" s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AP69" i="1"/>
  <c r="AP70" i="1"/>
  <c r="AO70" i="1"/>
  <c r="IS77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IS73" i="1" s="1"/>
  <c r="AO63" i="1"/>
  <c r="IX63" i="1" s="1"/>
  <c r="IF63" i="1" s="1"/>
  <c r="AP63" i="1"/>
  <c r="AO64" i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8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28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78" i="1" l="1"/>
  <c r="IX72" i="1"/>
  <c r="IS93" i="1"/>
  <c r="IS92" i="1"/>
  <c r="IX99" i="1"/>
  <c r="IF99" i="1" s="1"/>
  <c r="IS106" i="1"/>
  <c r="IX115" i="1"/>
  <c r="IF115" i="1" s="1"/>
  <c r="IS122" i="1"/>
  <c r="IS114" i="1"/>
  <c r="IX107" i="1"/>
  <c r="IF89" i="1"/>
  <c r="IX64" i="1"/>
  <c r="IF64" i="1" s="1"/>
  <c r="IS71" i="1"/>
  <c r="IS99" i="1"/>
  <c r="IX90" i="1"/>
  <c r="IF90" i="1" s="1"/>
  <c r="IX113" i="1"/>
  <c r="IF113" i="1" s="1"/>
  <c r="IS120" i="1"/>
  <c r="IS115" i="1"/>
  <c r="IX108" i="1"/>
  <c r="IF107" i="1"/>
  <c r="IF71" i="1"/>
  <c r="IS52" i="1"/>
  <c r="IS56" i="1"/>
  <c r="IS20" i="1"/>
  <c r="IX82" i="1"/>
  <c r="IF82" i="1" s="1"/>
  <c r="IS90" i="1"/>
  <c r="IS95" i="1"/>
  <c r="IT29" i="1"/>
  <c r="IT55" i="1"/>
  <c r="IS113" i="1"/>
  <c r="IX106" i="1"/>
  <c r="IF108" i="1"/>
  <c r="IS94" i="1"/>
  <c r="IS54" i="1"/>
  <c r="IX81" i="1"/>
  <c r="IF81" i="1" s="1"/>
  <c r="IS89" i="1"/>
  <c r="IF106" i="1"/>
  <c r="IT60" i="1"/>
  <c r="IY57" i="1"/>
  <c r="IF57" i="1" s="1"/>
  <c r="IS75" i="1"/>
  <c r="IX83" i="1"/>
  <c r="IF83" i="1" s="1"/>
  <c r="IS91" i="1"/>
  <c r="IX116" i="1"/>
  <c r="IF116" i="1" s="1"/>
  <c r="IS123" i="1"/>
  <c r="IS46" i="1"/>
  <c r="IS125" i="1"/>
  <c r="IX114" i="1"/>
  <c r="IF114" i="1" s="1"/>
  <c r="IS121" i="1"/>
  <c r="IX98" i="1"/>
  <c r="IF98" i="1" s="1"/>
  <c r="IS105" i="1"/>
  <c r="IS112" i="1"/>
  <c r="IX105" i="1"/>
  <c r="IF105" i="1" s="1"/>
  <c r="IF72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<sst xmlns="http://schemas.openxmlformats.org/spreadsheetml/2006/main" count="734" uniqueCount="391">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</sst>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D31" sqref="D31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65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1.112's θ about Z Axis</v>
      </c>
      <c r="U5" s="1136"/>
      <c r="V5" s="1137"/>
      <c r="W5" s="1136" t="str">
        <f>CONCATENATE("Relative to ",M8,"'s θ about Z Axis")</f>
        <v>Relative to 1.112's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1.112's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>Inactive Element</v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-0.18590056067609104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0.34260103328471642</v>
      </c>
      <c r="D9" s="704">
        <v>-0.77540233861345331</v>
      </c>
      <c r="E9" s="705">
        <v>-0.93969263802333458</v>
      </c>
      <c r="F9" s="703">
        <v>-8.8521302156295598E-2</v>
      </c>
      <c r="G9" s="706">
        <v>0.33036604714967338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0.34260103328471642</v>
      </c>
      <c r="P9" s="625">
        <f t="shared" ref="P9:P40" si="4">IF(M9="","",D9)</f>
        <v>-0.77540233861345331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0.34260103328471642</v>
      </c>
      <c r="S9" s="626">
        <f>IF(M9="","",P9)</f>
        <v>-0.77540233861345331</v>
      </c>
      <c r="T9" s="627">
        <f>IF(M9="","",X9*COS(RADIANS(W9)))</f>
        <v>0.34260103328471642</v>
      </c>
      <c r="U9" s="624">
        <f>IF(M9="","",X9*SIN(RADIANS(W9)))</f>
        <v>0</v>
      </c>
      <c r="V9" s="628">
        <f>IF(M9="","",Y9)</f>
        <v>-0.77540233861345331</v>
      </c>
      <c r="W9" s="583">
        <f t="shared" ref="W9:W14" si="5">IF(M9="","",IF(Q9-$Q$8&lt;0,360+Q9-$Q$8,Q9-$Q$8))</f>
        <v>0</v>
      </c>
      <c r="X9" s="629">
        <f>IF(M9="","",R9)</f>
        <v>0.34260103328471642</v>
      </c>
      <c r="Y9" s="630">
        <f>IF(M9="","",S9)</f>
        <v>-0.77540233861345331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6.6244962074998197</v>
      </c>
      <c r="AS9" s="51">
        <f>IF(M9="","",W9)</f>
        <v>0</v>
      </c>
      <c r="AT9" s="71">
        <f t="shared" ref="AT9:AT40" si="10">IF(M9="","",Y9+(((AS9-$AS$9)*$AS$6)*-1))</f>
        <v>-0.77540233861345331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65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1.1303034089950816</v>
      </c>
      <c r="D10" s="709">
        <v>-0.56440170223553399</v>
      </c>
      <c r="E10" s="710">
        <v>-0.95371696400905337</v>
      </c>
      <c r="F10" s="708">
        <v>-7.7828366019961556E-2</v>
      </c>
      <c r="G10" s="711">
        <v>0.29045946017304536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1.1303034089950816</v>
      </c>
      <c r="P10" s="633">
        <f t="shared" si="4"/>
        <v>-0.56440170223553399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1.1303034089950816</v>
      </c>
      <c r="S10" s="634">
        <f t="shared" ref="S10:S105" si="80">IF(M10="","",P10)</f>
        <v>-0.56440170223553399</v>
      </c>
      <c r="T10" s="635">
        <f t="shared" ref="T10:T105" si="81">IF(M10="","",X10*COS(RADIANS(W10)))</f>
        <v>1.1303034089950816</v>
      </c>
      <c r="U10" s="629">
        <f t="shared" ref="U10:U105" si="82">IF(M10="","",X10*SIN(RADIANS(W10)))</f>
        <v>0</v>
      </c>
      <c r="V10" s="636">
        <f>IF(M10="","",Y10)</f>
        <v>-0.56440170223553399</v>
      </c>
      <c r="W10" s="585">
        <f t="shared" si="5"/>
        <v>0</v>
      </c>
      <c r="X10" s="629">
        <f t="shared" ref="X10:X105" si="83">IF(M10="","",R10)</f>
        <v>1.1303034089950816</v>
      </c>
      <c r="Y10" s="630">
        <f>IF(M10="","",S10)</f>
        <v>-0.56440170223553399</v>
      </c>
      <c r="Z10" s="632">
        <f t="shared" si="6"/>
        <v>0.95371696400905337</v>
      </c>
      <c r="AA10" s="629">
        <f t="shared" si="7"/>
        <v>7.7828366019961556E-2</v>
      </c>
      <c r="AB10" s="629">
        <f t="shared" si="8"/>
        <v>-0.29045946017304536</v>
      </c>
      <c r="AC10" s="636">
        <f t="shared" ref="AC10:AC105" si="84">IF(M10="","",SQRT(Z10^2+AA10^2+AB10^2))</f>
        <v>1</v>
      </c>
      <c r="AD10" s="637">
        <f>IF(M10="","",Z10*(1/SQRT(Z10^2+AA10^2+AB10^2)))</f>
        <v>0.95371696400905337</v>
      </c>
      <c r="AE10" s="629">
        <f t="shared" ref="AE10:AE105" si="85">IF(M10="","",AA10*(1/SQRT(Z10^2+AA10^2+AB10^2)))</f>
        <v>7.7828366019961556E-2</v>
      </c>
      <c r="AF10" s="633">
        <f t="shared" ref="AF10:AF105" si="86">IF(M10="","",AB10*(1/SQRT(Z10^2+AA10^2+AB10^2)))</f>
        <v>-0.29045946017304536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17.49999747331298</v>
      </c>
      <c r="AI10" s="585">
        <f t="shared" ref="AI10:AI105" si="89">IF(M10="","",DEGREES(-ACOS(-AF10)))</f>
        <v>-73.114534769632428</v>
      </c>
      <c r="AJ10" s="586">
        <f t="shared" ref="AJ10:AJ105" si="90">IF(M10="","",DEGREES(ATAN2(-AE10,AD10)))</f>
        <v>94.665301948782698</v>
      </c>
      <c r="AK10" s="635">
        <f>IF(M10="","",(COS(RADIANS((90-$Q$8)-W10))*AD10)+(-SIN(RADIANS((90-$Q$8)-W10))*AE10))</f>
        <v>0.95371696400905337</v>
      </c>
      <c r="AL10" s="629">
        <f t="shared" ref="AL10:AL105" si="91">IF(M10="","",(SIN(RADIANS((90-$Q$8)-W10))*AD10)+(COS(RADIANS((90-$Q$8)-W10))*AE10))</f>
        <v>7.7828366019961556E-2</v>
      </c>
      <c r="AM10" s="634">
        <f t="shared" ref="AM10:AM105" si="92">IF(M10="","",AF10)</f>
        <v>-0.29045946017304536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17.49999747331298</v>
      </c>
      <c r="AP10" s="585">
        <f t="shared" ref="AP10:AP105" si="95">IF(M10="","",DEGREES(ATAN2(AK10,AL10)))</f>
        <v>4.6653019487827061</v>
      </c>
      <c r="AQ10" s="586">
        <f t="shared" si="9"/>
        <v>2.0160831671579897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-0.56440170223553399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1.8727056480802349</v>
      </c>
      <c r="D11" s="709">
        <v>-0.36540110204972376</v>
      </c>
      <c r="E11" s="710">
        <v>-0.95371696400905337</v>
      </c>
      <c r="F11" s="708">
        <v>-7.7828366019961556E-2</v>
      </c>
      <c r="G11" s="711">
        <v>0.29045946017304536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1.8727056480802349</v>
      </c>
      <c r="P11" s="633">
        <f t="shared" si="4"/>
        <v>-0.36540110204972376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1.8727056480802349</v>
      </c>
      <c r="S11" s="634">
        <f t="shared" si="80"/>
        <v>-0.36540110204972376</v>
      </c>
      <c r="T11" s="635">
        <f t="shared" si="81"/>
        <v>1.8727056480802349</v>
      </c>
      <c r="U11" s="629">
        <f t="shared" si="82"/>
        <v>0</v>
      </c>
      <c r="V11" s="636">
        <f t="shared" ref="V11:V105" si="114">IF(M11="","",Y11)</f>
        <v>-0.36540110204972376</v>
      </c>
      <c r="W11" s="585">
        <f t="shared" si="5"/>
        <v>0</v>
      </c>
      <c r="X11" s="629">
        <f>IF(M11="","",R11)</f>
        <v>1.8727056480802349</v>
      </c>
      <c r="Y11" s="630">
        <f>IF(M11="","",S11)</f>
        <v>-0.36540110204972376</v>
      </c>
      <c r="Z11" s="632">
        <f t="shared" si="6"/>
        <v>0.95371696400905337</v>
      </c>
      <c r="AA11" s="629">
        <f t="shared" si="7"/>
        <v>7.7828366019961556E-2</v>
      </c>
      <c r="AB11" s="629">
        <f t="shared" si="8"/>
        <v>-0.29045946017304536</v>
      </c>
      <c r="AC11" s="636">
        <f t="shared" si="84"/>
        <v>1</v>
      </c>
      <c r="AD11" s="637">
        <f t="shared" ref="AD11:AD105" si="115">IF(M11="","",Z11*(1/SQRT(Z11^2+AA11^2+AB11^2)))</f>
        <v>0.95371696400905337</v>
      </c>
      <c r="AE11" s="629">
        <f t="shared" si="85"/>
        <v>7.7828366019961556E-2</v>
      </c>
      <c r="AF11" s="633">
        <f t="shared" si="86"/>
        <v>-0.29045946017304536</v>
      </c>
      <c r="AG11" s="602">
        <f>IF(M11="","",DEGREES(ATAN2(-AF11,AE11)))</f>
        <v>14.999997834268271</v>
      </c>
      <c r="AH11" s="603">
        <f t="shared" si="88"/>
        <v>17.49999747331298</v>
      </c>
      <c r="AI11" s="585">
        <f t="shared" si="89"/>
        <v>-73.114534769632428</v>
      </c>
      <c r="AJ11" s="586">
        <f t="shared" si="90"/>
        <v>94.665301948782698</v>
      </c>
      <c r="AK11" s="635">
        <f>IF(M11="","",(COS(RADIANS((90-$Q$8)-W11))*AD11)+(-SIN(RADIANS((90-$Q$8)-W11))*AE11))</f>
        <v>0.95371696400905337</v>
      </c>
      <c r="AL11" s="629">
        <f t="shared" si="91"/>
        <v>7.7828366019961556E-2</v>
      </c>
      <c r="AM11" s="634">
        <f t="shared" si="92"/>
        <v>-0.29045946017304536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17.49999747331298</v>
      </c>
      <c r="AP11" s="585">
        <f t="shared" si="95"/>
        <v>4.6653019487827061</v>
      </c>
      <c r="AQ11" s="586">
        <f t="shared" si="9"/>
        <v>1.2171606833974671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-0.36540110204972376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2.5616077258089009</v>
      </c>
      <c r="D12" s="709">
        <v>-0.18590056067609104</v>
      </c>
      <c r="E12" s="710">
        <v>-0.95371696400905348</v>
      </c>
      <c r="F12" s="708">
        <v>-6.5084628803148747E-2</v>
      </c>
      <c r="G12" s="711">
        <v>0.29357783236291934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0</v>
      </c>
      <c r="O12" s="629">
        <f t="shared" si="3"/>
        <v>2.5616077258089009</v>
      </c>
      <c r="P12" s="633">
        <f t="shared" si="4"/>
        <v>-0.18590056067609104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2.5616077258089009</v>
      </c>
      <c r="S12" s="634">
        <f t="shared" si="80"/>
        <v>-0.18590056067609104</v>
      </c>
      <c r="T12" s="635">
        <f>IF(M12="","",X12*COS(RADIANS(W12)))</f>
        <v>2.5616077258089009</v>
      </c>
      <c r="U12" s="629">
        <f t="shared" si="82"/>
        <v>0</v>
      </c>
      <c r="V12" s="636">
        <f t="shared" si="114"/>
        <v>-0.18590056067609104</v>
      </c>
      <c r="W12" s="585">
        <f>IF(M12="","",IF(Q12-$Q$8&lt;0,360+Q12-$Q$8,Q12-$Q$8))</f>
        <v>0</v>
      </c>
      <c r="X12" s="629">
        <f t="shared" si="83"/>
        <v>2.5616077258089009</v>
      </c>
      <c r="Y12" s="630">
        <f>IF(M12="","",S12)</f>
        <v>-0.18590056067609104</v>
      </c>
      <c r="Z12" s="632">
        <f t="shared" si="6"/>
        <v>0.95371696400905348</v>
      </c>
      <c r="AA12" s="629">
        <f t="shared" si="7"/>
        <v>6.5084628803148747E-2</v>
      </c>
      <c r="AB12" s="629">
        <f t="shared" si="8"/>
        <v>-0.29357783236291934</v>
      </c>
      <c r="AC12" s="636">
        <f t="shared" si="84"/>
        <v>1</v>
      </c>
      <c r="AD12" s="637">
        <f t="shared" si="115"/>
        <v>0.95371696400905348</v>
      </c>
      <c r="AE12" s="629">
        <f t="shared" si="85"/>
        <v>6.5084628803148747E-2</v>
      </c>
      <c r="AF12" s="633">
        <f t="shared" si="86"/>
        <v>-0.29357783236291934</v>
      </c>
      <c r="AG12" s="602">
        <f t="shared" si="87"/>
        <v>12.499998195223558</v>
      </c>
      <c r="AH12" s="603">
        <f t="shared" si="88"/>
        <v>17.499997473312952</v>
      </c>
      <c r="AI12" s="585">
        <f t="shared" si="89"/>
        <v>-72.927722444134986</v>
      </c>
      <c r="AJ12" s="586">
        <f t="shared" si="90"/>
        <v>93.903990264240576</v>
      </c>
      <c r="AK12" s="635">
        <f t="shared" ref="AK12:AK105" si="211">IF(M12="","",(COS(RADIANS((90-$Q$8)-W12))*AD12)+(-SIN(RADIANS((90-$Q$8)-W12))*AE12))</f>
        <v>0.95371696400905348</v>
      </c>
      <c r="AL12" s="629">
        <f>IF(M12="","",(SIN(RADIANS((90-$Q$8)-W12))*AD12)+(COS(RADIANS((90-$Q$8)-W12))*AE12))</f>
        <v>6.5084628803148747E-2</v>
      </c>
      <c r="AM12" s="634">
        <f t="shared" si="92"/>
        <v>-0.29357783236291934</v>
      </c>
      <c r="AN12" s="581">
        <f>IF(M12="","",DEGREES(ATAN2(-AM12,AL12)))</f>
        <v>12.499998195223558</v>
      </c>
      <c r="AO12" s="582">
        <f t="shared" si="94"/>
        <v>17.499997473312952</v>
      </c>
      <c r="AP12" s="585">
        <f t="shared" si="95"/>
        <v>3.9039902642405777</v>
      </c>
      <c r="AQ12" s="586">
        <f t="shared" si="9"/>
        <v>0.88988774346946398</v>
      </c>
      <c r="AS12" s="52">
        <f t="shared" si="116"/>
        <v>0</v>
      </c>
      <c r="AT12" s="72">
        <f>IF(M12="","",Y12+(((AS12-$AS$9)*$AS$6)*-1))</f>
        <v>-0.18590056067609104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1.1975099798050302E-2</v>
      </c>
      <c r="C13" s="708">
        <v>3.3145883648341528</v>
      </c>
      <c r="D13" s="709">
        <v>-0.13740041439964984</v>
      </c>
      <c r="E13" s="710">
        <v>-0.95306811962867055</v>
      </c>
      <c r="F13" s="708">
        <v>5.4079180531737672E-2</v>
      </c>
      <c r="G13" s="711">
        <v>0.29788689393876683</v>
      </c>
      <c r="H13" s="710">
        <v>0.314</v>
      </c>
      <c r="I13" s="708">
        <v>0.52</v>
      </c>
      <c r="J13" s="570">
        <v>1.119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10</v>
      </c>
      <c r="M13" s="168">
        <f t="shared" si="1"/>
        <v>1.119</v>
      </c>
      <c r="N13" s="632">
        <f t="shared" si="2"/>
        <v>1.1975099798050302E-2</v>
      </c>
      <c r="O13" s="629">
        <f t="shared" si="3"/>
        <v>3.3145883648341528</v>
      </c>
      <c r="P13" s="633">
        <f t="shared" si="4"/>
        <v>-0.13740041439964984</v>
      </c>
      <c r="Q13" s="585">
        <f t="shared" si="113"/>
        <v>89.793000029887111</v>
      </c>
      <c r="R13" s="629">
        <f t="shared" si="79"/>
        <v>3.314609996863751</v>
      </c>
      <c r="S13" s="634">
        <f t="shared" si="80"/>
        <v>-0.13740041439964984</v>
      </c>
      <c r="T13" s="635">
        <f>IF(M13="","",X13*COS(RADIANS(W13)))</f>
        <v>3.3145883648341528</v>
      </c>
      <c r="U13" s="629">
        <f t="shared" si="82"/>
        <v>-1.1975099798047756E-2</v>
      </c>
      <c r="V13" s="636">
        <f t="shared" si="114"/>
        <v>-0.13740041439964984</v>
      </c>
      <c r="W13" s="585">
        <f t="shared" si="5"/>
        <v>359.79300002988714</v>
      </c>
      <c r="X13" s="629">
        <f t="shared" si="83"/>
        <v>3.314609996863751</v>
      </c>
      <c r="Y13" s="630">
        <f>IF(M13="","",S13)</f>
        <v>-0.13740041439964984</v>
      </c>
      <c r="Z13" s="632">
        <f t="shared" si="6"/>
        <v>0.95306811962867055</v>
      </c>
      <c r="AA13" s="629">
        <f t="shared" si="7"/>
        <v>-5.4079180531737672E-2</v>
      </c>
      <c r="AB13" s="629">
        <f t="shared" si="8"/>
        <v>-0.29788689393876683</v>
      </c>
      <c r="AC13" s="636">
        <f t="shared" si="84"/>
        <v>1</v>
      </c>
      <c r="AD13" s="637">
        <f>IF(M13="","",Z13*(1/SQRT(Z13^2+AA13^2+AB13^2)))</f>
        <v>0.95306811962867055</v>
      </c>
      <c r="AE13" s="629">
        <f t="shared" si="85"/>
        <v>-5.4079180531737672E-2</v>
      </c>
      <c r="AF13" s="633">
        <f t="shared" si="86"/>
        <v>-0.29788689393876683</v>
      </c>
      <c r="AG13" s="602">
        <f>IF(M13="","",DEGREES(ATAN2(-AF13,AE13)))</f>
        <v>-10.289564916039096</v>
      </c>
      <c r="AH13" s="603">
        <f t="shared" si="88"/>
        <v>17.623206718816455</v>
      </c>
      <c r="AI13" s="585">
        <f t="shared" si="89"/>
        <v>-72.669270806909324</v>
      </c>
      <c r="AJ13" s="586">
        <f t="shared" si="90"/>
        <v>86.752393926251955</v>
      </c>
      <c r="AK13" s="635">
        <f t="shared" si="211"/>
        <v>0.95325727816819239</v>
      </c>
      <c r="AL13" s="629">
        <f t="shared" si="91"/>
        <v>-5.063556101085135E-2</v>
      </c>
      <c r="AM13" s="634">
        <f t="shared" si="92"/>
        <v>-0.29788689393876683</v>
      </c>
      <c r="AN13" s="581">
        <f t="shared" si="93"/>
        <v>-9.6470711860077714</v>
      </c>
      <c r="AO13" s="582">
        <f t="shared" si="94"/>
        <v>17.587373678282745</v>
      </c>
      <c r="AP13" s="585">
        <f t="shared" si="95"/>
        <v>-3.0406061036351932</v>
      </c>
      <c r="AQ13" s="586">
        <f t="shared" si="9"/>
        <v>0.68774822463816021</v>
      </c>
      <c r="AS13" s="52">
        <f t="shared" si="116"/>
        <v>-0.20699997011286086</v>
      </c>
      <c r="AT13" s="72">
        <f t="shared" si="10"/>
        <v>-0.13725666442040479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1.119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5.1205655495440483E-2</v>
      </c>
      <c r="C14" s="708">
        <v>4.0520886957802693</v>
      </c>
      <c r="D14" s="709">
        <v>-0.29530089062748616</v>
      </c>
      <c r="E14" s="710">
        <v>-0.94747330794515383</v>
      </c>
      <c r="F14" s="708">
        <v>0.15809110831621812</v>
      </c>
      <c r="G14" s="711">
        <v>0.27803153095074934</v>
      </c>
      <c r="H14" s="710">
        <v>0.314</v>
      </c>
      <c r="I14" s="708">
        <v>0.52</v>
      </c>
      <c r="J14" s="570">
        <v>1.1259999999999999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1.1259999999999999</v>
      </c>
      <c r="N14" s="632">
        <f t="shared" si="2"/>
        <v>5.1205655495440483E-2</v>
      </c>
      <c r="O14" s="629">
        <f t="shared" si="3"/>
        <v>4.0520886957802693</v>
      </c>
      <c r="P14" s="633">
        <f t="shared" si="4"/>
        <v>-0.29530089062748616</v>
      </c>
      <c r="Q14" s="585">
        <f t="shared" si="113"/>
        <v>89.276000104532656</v>
      </c>
      <c r="R14" s="629">
        <f t="shared" si="79"/>
        <v>4.0524122220752616</v>
      </c>
      <c r="S14" s="634">
        <f t="shared" si="80"/>
        <v>-0.29530089062748616</v>
      </c>
      <c r="T14" s="635">
        <f t="shared" si="81"/>
        <v>4.0520886957802693</v>
      </c>
      <c r="U14" s="629">
        <f t="shared" si="82"/>
        <v>-5.1205655495439879E-2</v>
      </c>
      <c r="V14" s="636">
        <f t="shared" si="114"/>
        <v>-0.29530089062748616</v>
      </c>
      <c r="W14" s="585">
        <f t="shared" si="5"/>
        <v>359.27600010453267</v>
      </c>
      <c r="X14" s="629">
        <f t="shared" si="83"/>
        <v>4.0524122220752616</v>
      </c>
      <c r="Y14" s="630">
        <f t="shared" ref="Y14:Y75" si="223">IF(M14="","",S14)</f>
        <v>-0.29530089062748616</v>
      </c>
      <c r="Z14" s="632">
        <f t="shared" si="6"/>
        <v>0.94747330794515383</v>
      </c>
      <c r="AA14" s="629">
        <f t="shared" si="7"/>
        <v>-0.15809110831621812</v>
      </c>
      <c r="AB14" s="629">
        <f t="shared" si="8"/>
        <v>-0.27803153095074934</v>
      </c>
      <c r="AC14" s="636">
        <f t="shared" si="84"/>
        <v>1</v>
      </c>
      <c r="AD14" s="637">
        <f>IF(M14="","",Z14*(1/SQRT(Z14^2+AA14^2+AB14^2)))</f>
        <v>0.94747330794515383</v>
      </c>
      <c r="AE14" s="629">
        <f t="shared" si="85"/>
        <v>-0.15809110831621812</v>
      </c>
      <c r="AF14" s="633">
        <f t="shared" si="86"/>
        <v>-0.27803153095074934</v>
      </c>
      <c r="AG14" s="602">
        <f t="shared" si="87"/>
        <v>-29.622930811866947</v>
      </c>
      <c r="AH14" s="603">
        <f t="shared" si="88"/>
        <v>18.65293755865202</v>
      </c>
      <c r="AI14" s="585">
        <f t="shared" si="89"/>
        <v>-73.857244605922233</v>
      </c>
      <c r="AJ14" s="586">
        <f t="shared" si="90"/>
        <v>80.52715260117472</v>
      </c>
      <c r="AK14" s="635">
        <f>IF(M14="","",(COS(RADIANS((90-$Q$8)-W14))*AD14)+(-SIN(RADIANS((90-$Q$8)-W14))*AE14))</f>
        <v>0.94939528080319147</v>
      </c>
      <c r="AL14" s="629">
        <f t="shared" si="91"/>
        <v>-0.14610636052483036</v>
      </c>
      <c r="AM14" s="634">
        <f t="shared" si="92"/>
        <v>-0.27803153095074934</v>
      </c>
      <c r="AN14" s="581">
        <f t="shared" si="93"/>
        <v>-27.722053845328713</v>
      </c>
      <c r="AO14" s="582">
        <f t="shared" si="94"/>
        <v>18.30550936781383</v>
      </c>
      <c r="AP14" s="585">
        <f>IF(M14="","",DEGREES(ATAN2(AK14,AL14)))</f>
        <v>-8.7488475033579451</v>
      </c>
      <c r="AQ14" s="586">
        <f t="shared" si="9"/>
        <v>0.56254232130050319</v>
      </c>
      <c r="AS14" s="52">
        <f t="shared" si="116"/>
        <v>-0.72399989546732968</v>
      </c>
      <c r="AT14" s="72">
        <f t="shared" si="10"/>
        <v>-0.29479811292230051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1.1259999999999999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0.11036948440882502</v>
      </c>
      <c r="C15" s="708">
        <v>4.7183235474108933</v>
      </c>
      <c r="D15" s="709">
        <v>-0.64790195407229356</v>
      </c>
      <c r="E15" s="710">
        <v>-0.93663487934216794</v>
      </c>
      <c r="F15" s="708">
        <v>0.25511138236050829</v>
      </c>
      <c r="G15" s="711">
        <v>0.24006933454690368</v>
      </c>
      <c r="H15" s="710">
        <v>0.314</v>
      </c>
      <c r="I15" s="708">
        <v>0.52</v>
      </c>
      <c r="J15" s="570">
        <v>1.133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0</v>
      </c>
      <c r="M15" s="168">
        <f t="shared" si="1"/>
        <v>1.133</v>
      </c>
      <c r="N15" s="632">
        <f t="shared" si="2"/>
        <v>0.11036948440882502</v>
      </c>
      <c r="O15" s="629">
        <f t="shared" si="3"/>
        <v>4.7183235474108933</v>
      </c>
      <c r="P15" s="633">
        <f t="shared" si="4"/>
        <v>-0.64790195407229356</v>
      </c>
      <c r="Q15" s="585">
        <f t="shared" si="113"/>
        <v>88.660000193472044</v>
      </c>
      <c r="R15" s="629">
        <f t="shared" si="79"/>
        <v>4.7196142343565315</v>
      </c>
      <c r="S15" s="634">
        <f t="shared" si="80"/>
        <v>-0.64790195407229356</v>
      </c>
      <c r="T15" s="635">
        <f t="shared" si="81"/>
        <v>4.7183235474108933</v>
      </c>
      <c r="U15" s="629">
        <f t="shared" si="82"/>
        <v>-0.11036948440882459</v>
      </c>
      <c r="V15" s="636">
        <f t="shared" si="114"/>
        <v>-0.64790195407229356</v>
      </c>
      <c r="W15" s="585">
        <f t="shared" ref="W15:W78" si="224">IF(M15="","",IF(Q15-$Q$8&lt;0,360+Q15-$Q$8,Q15-$Q$8))</f>
        <v>358.66000019347206</v>
      </c>
      <c r="X15" s="629">
        <f>IF(M15="","",R15)</f>
        <v>4.7196142343565315</v>
      </c>
      <c r="Y15" s="630">
        <f>IF(M15="","",S15)</f>
        <v>-0.64790195407229356</v>
      </c>
      <c r="Z15" s="632">
        <f t="shared" si="6"/>
        <v>0.93663487934216794</v>
      </c>
      <c r="AA15" s="629">
        <f t="shared" si="7"/>
        <v>-0.25511138236050829</v>
      </c>
      <c r="AB15" s="629">
        <f t="shared" si="8"/>
        <v>-0.24006933454690368</v>
      </c>
      <c r="AC15" s="636">
        <f t="shared" si="84"/>
        <v>1</v>
      </c>
      <c r="AD15" s="637">
        <f t="shared" si="115"/>
        <v>0.93663487934216794</v>
      </c>
      <c r="AE15" s="629">
        <f t="shared" si="85"/>
        <v>-0.25511138236050829</v>
      </c>
      <c r="AF15" s="633">
        <f t="shared" si="86"/>
        <v>-0.24006933454690368</v>
      </c>
      <c r="AG15" s="602">
        <f t="shared" si="87"/>
        <v>-46.739932273824564</v>
      </c>
      <c r="AH15" s="603">
        <f t="shared" si="88"/>
        <v>20.506103228551332</v>
      </c>
      <c r="AI15" s="585">
        <f t="shared" si="89"/>
        <v>-76.109367421737574</v>
      </c>
      <c r="AJ15" s="586">
        <f t="shared" si="90"/>
        <v>74.763928086505118</v>
      </c>
      <c r="AK15" s="635">
        <f t="shared" si="211"/>
        <v>0.94234458526054365</v>
      </c>
      <c r="AL15" s="629">
        <f t="shared" si="91"/>
        <v>-0.23313815054671111</v>
      </c>
      <c r="AM15" s="634">
        <f t="shared" si="92"/>
        <v>-0.24006933454690368</v>
      </c>
      <c r="AN15" s="581">
        <f>IF(M15="","",DEGREES(ATAN2(-AM15,AL15)))</f>
        <v>-44.160834927033548</v>
      </c>
      <c r="AO15" s="582">
        <f t="shared" si="94"/>
        <v>19.55089812310354</v>
      </c>
      <c r="AP15" s="585">
        <f t="shared" si="95"/>
        <v>-13.896072106966933</v>
      </c>
      <c r="AQ15" s="586">
        <f t="shared" si="9"/>
        <v>0.4830209656395652</v>
      </c>
      <c r="AS15" s="52">
        <f t="shared" si="116"/>
        <v>-1.3399998065279419</v>
      </c>
      <c r="AT15" s="72">
        <f t="shared" si="10"/>
        <v>-0.64697139865109365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1.133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65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0.17550758989016141</v>
      </c>
      <c r="C16" s="708">
        <v>5.2628902692211099</v>
      </c>
      <c r="D16" s="709">
        <v>-1.1684035239050279</v>
      </c>
      <c r="E16" s="710">
        <v>-0.91789894548703721</v>
      </c>
      <c r="F16" s="708">
        <v>0.34710799670597792</v>
      </c>
      <c r="G16" s="711">
        <v>0.19229551345922746</v>
      </c>
      <c r="H16" s="710">
        <v>0.314</v>
      </c>
      <c r="I16" s="708">
        <v>0.52</v>
      </c>
      <c r="J16" s="570">
        <v>1.1399999999999999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1.1399999999999999</v>
      </c>
      <c r="N16" s="632">
        <f t="shared" si="2"/>
        <v>0.17550758989016141</v>
      </c>
      <c r="O16" s="629">
        <f t="shared" si="3"/>
        <v>5.2628902692211099</v>
      </c>
      <c r="P16" s="633">
        <f t="shared" si="4"/>
        <v>-1.1684035239050279</v>
      </c>
      <c r="Q16" s="585">
        <f>IF(M16="","",IF(DEGREES(ATAN2(N16,O16))&lt;0,DEGREES(ATAN2(N16,O16))+360,IF(DEGREES(ATAN2(N16,O16))&gt;360,DEGREES(ATAN2(N16,O16))-360,DEGREES(ATAN2(N16,O16)))))</f>
        <v>88.090000275769839</v>
      </c>
      <c r="R16" s="629">
        <f t="shared" si="79"/>
        <v>5.2658158817006981</v>
      </c>
      <c r="S16" s="634">
        <f t="shared" si="80"/>
        <v>-1.1684035239050279</v>
      </c>
      <c r="T16" s="635">
        <f t="shared" si="81"/>
        <v>5.2628902692211099</v>
      </c>
      <c r="U16" s="629">
        <f t="shared" si="82"/>
        <v>-0.1755075898901591</v>
      </c>
      <c r="V16" s="636">
        <f t="shared" si="114"/>
        <v>-1.1684035239050279</v>
      </c>
      <c r="W16" s="585">
        <f>IF(M16="","",IF(Q16-$Q$8&lt;0,360+Q16-$Q$8,Q16-$Q$8))</f>
        <v>358.09000027576985</v>
      </c>
      <c r="X16" s="629">
        <f t="shared" si="83"/>
        <v>5.2658158817006981</v>
      </c>
      <c r="Y16" s="630">
        <f t="shared" si="223"/>
        <v>-1.1684035239050279</v>
      </c>
      <c r="Z16" s="632">
        <f t="shared" si="6"/>
        <v>0.91789894548703721</v>
      </c>
      <c r="AA16" s="629">
        <f t="shared" si="7"/>
        <v>-0.34710799670597792</v>
      </c>
      <c r="AB16" s="629">
        <f t="shared" si="8"/>
        <v>-0.19229551345922746</v>
      </c>
      <c r="AC16" s="636">
        <f t="shared" si="84"/>
        <v>1</v>
      </c>
      <c r="AD16" s="637">
        <f t="shared" si="115"/>
        <v>0.91789894548703721</v>
      </c>
      <c r="AE16" s="629">
        <f t="shared" si="85"/>
        <v>-0.34710799670597792</v>
      </c>
      <c r="AF16" s="633">
        <f t="shared" si="86"/>
        <v>-0.19229551345922746</v>
      </c>
      <c r="AG16" s="602">
        <f t="shared" si="87"/>
        <v>-61.013839785065493</v>
      </c>
      <c r="AH16" s="603">
        <f t="shared" si="88"/>
        <v>23.3791705034673</v>
      </c>
      <c r="AI16" s="585">
        <f t="shared" si="89"/>
        <v>-78.913221857111495</v>
      </c>
      <c r="AJ16" s="586">
        <f t="shared" si="90"/>
        <v>69.285642019513304</v>
      </c>
      <c r="AK16" s="635">
        <f t="shared" si="211"/>
        <v>0.92895794804842979</v>
      </c>
      <c r="AL16" s="629">
        <f t="shared" si="91"/>
        <v>-0.31632193452415347</v>
      </c>
      <c r="AM16" s="634">
        <f t="shared" si="92"/>
        <v>-0.19229551345922746</v>
      </c>
      <c r="AN16" s="581">
        <f t="shared" si="93"/>
        <v>-58.704131128508429</v>
      </c>
      <c r="AO16" s="582">
        <f t="shared" si="94"/>
        <v>21.727043534371298</v>
      </c>
      <c r="AP16" s="585">
        <f t="shared" si="95"/>
        <v>-18.80435825625657</v>
      </c>
      <c r="AQ16" s="586">
        <f t="shared" si="9"/>
        <v>0.43292118421313497</v>
      </c>
      <c r="AS16" s="52">
        <f t="shared" si="116"/>
        <v>-1.909999724230147</v>
      </c>
      <c r="AT16" s="72">
        <f t="shared" si="10"/>
        <v>-1.1670771352076459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1.1399999999999999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0.23048536322643998</v>
      </c>
      <c r="C17" s="708">
        <v>5.6452138186178011</v>
      </c>
      <c r="D17" s="709">
        <v>-1.8179054828029362</v>
      </c>
      <c r="E17" s="710">
        <v>-0.88316131111063845</v>
      </c>
      <c r="F17" s="708">
        <v>0.44743514513402344</v>
      </c>
      <c r="G17" s="711">
        <v>0.14081153878938221</v>
      </c>
      <c r="H17" s="710">
        <v>0.314</v>
      </c>
      <c r="I17" s="708">
        <v>0.52</v>
      </c>
      <c r="J17" s="570">
        <v>1.147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1.147</v>
      </c>
      <c r="N17" s="632">
        <f t="shared" si="2"/>
        <v>0.23048536322643998</v>
      </c>
      <c r="O17" s="629">
        <f t="shared" si="3"/>
        <v>5.6452138186178011</v>
      </c>
      <c r="P17" s="633">
        <f t="shared" si="4"/>
        <v>-1.8179054828029362</v>
      </c>
      <c r="Q17" s="585">
        <f>IF(M17="","",IF(DEGREES(ATAN2(N17,O17))&lt;0,DEGREES(ATAN2(N17,O17))+360,IF(DEGREES(ATAN2(N17,O17))&gt;360,DEGREES(ATAN2(N17,O17))-360,DEGREES(ATAN2(N17,O17)))))</f>
        <v>87.662000337565388</v>
      </c>
      <c r="R17" s="629">
        <f>IF(M17="","",SQRT(N17^2+O17^2))</f>
        <v>5.6499170401497931</v>
      </c>
      <c r="S17" s="634">
        <f>IF(M17="","",P17)</f>
        <v>-1.8179054828029362</v>
      </c>
      <c r="T17" s="635">
        <f>IF(M17="","",X17*COS(RADIANS(W17)))</f>
        <v>5.6452138186178002</v>
      </c>
      <c r="U17" s="629">
        <f>IF(M17="","",X17*SIN(RADIANS(W17)))</f>
        <v>-0.23048536322644395</v>
      </c>
      <c r="V17" s="636">
        <f>IF(M17="","",Y17)</f>
        <v>-1.8179054828029362</v>
      </c>
      <c r="W17" s="585">
        <f t="shared" si="224"/>
        <v>357.66200033756536</v>
      </c>
      <c r="X17" s="629">
        <f>IF(M17="","",R17)</f>
        <v>5.6499170401497931</v>
      </c>
      <c r="Y17" s="630">
        <f t="shared" si="223"/>
        <v>-1.8179054828029362</v>
      </c>
      <c r="Z17" s="632">
        <f t="shared" si="6"/>
        <v>0.88316131111063845</v>
      </c>
      <c r="AA17" s="629">
        <f t="shared" si="7"/>
        <v>-0.44743514513402344</v>
      </c>
      <c r="AB17" s="629">
        <f t="shared" si="8"/>
        <v>-0.14081153878938221</v>
      </c>
      <c r="AC17" s="636">
        <f>IF(M17="","",SQRT(Z17^2+AA17^2+AB17^2))</f>
        <v>1</v>
      </c>
      <c r="AD17" s="637">
        <f>IF(M17="","",Z17*(1/SQRT(Z17^2+AA17^2+AB17^2)))</f>
        <v>0.88316131111063845</v>
      </c>
      <c r="AE17" s="629">
        <f>IF(M17="","",AA17*(1/SQRT(Z17^2+AA17^2+AB17^2)))</f>
        <v>-0.44743514513402344</v>
      </c>
      <c r="AF17" s="633">
        <f>IF(M17="","",AB17*(1/SQRT(Z17^2+AA17^2+AB17^2)))</f>
        <v>-0.14081153878938221</v>
      </c>
      <c r="AG17" s="602">
        <f>IF(M17="","",DEGREES(ATAN2(-AF17,AE17)))</f>
        <v>-72.53078021764307</v>
      </c>
      <c r="AH17" s="603">
        <f>IF(M17="","",DEGREES(ACOS(AD17)))</f>
        <v>27.973905979280662</v>
      </c>
      <c r="AI17" s="585">
        <f>IF(M17="","",DEGREES(-ACOS(-AF17)))</f>
        <v>-81.905190790825571</v>
      </c>
      <c r="AJ17" s="586">
        <f>IF(M17="","",DEGREES(ATAN2(-AE17,AD17)))</f>
        <v>63.131903547552774</v>
      </c>
      <c r="AK17" s="635">
        <f>IF(M17="","",(COS(RADIANS((90-$Q$8)-W17))*AD17)+(-SIN(RADIANS((90-$Q$8)-W17))*AE17))</f>
        <v>0.90067901056507671</v>
      </c>
      <c r="AL17" s="629">
        <f>IF(M17="","",(SIN(RADIANS((90-$Q$8)-W17))*AD17)+(COS(RADIANS((90-$Q$8)-W17))*AE17))</f>
        <v>-0.41103458549285216</v>
      </c>
      <c r="AM17" s="634">
        <f>IF(M17="","",AF17)</f>
        <v>-0.14081153878938221</v>
      </c>
      <c r="AN17" s="581">
        <f>IF(M17="","",DEGREES(ATAN2(-AM17,AL17)))</f>
        <v>-71.089651661246037</v>
      </c>
      <c r="AO17" s="582">
        <f t="shared" si="94"/>
        <v>25.752535822612529</v>
      </c>
      <c r="AP17" s="585">
        <f>IF(M17="","",DEGREES(ATAN2(AK17,AL17)))</f>
        <v>-24.530096790012568</v>
      </c>
      <c r="AQ17" s="586">
        <f t="shared" si="9"/>
        <v>0.40349069364126217</v>
      </c>
      <c r="AS17" s="52">
        <f t="shared" si="116"/>
        <v>-2.3379996624346404</v>
      </c>
      <c r="AT17" s="72">
        <f t="shared" si="10"/>
        <v>-1.8162818719262455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1.147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0.26088422723063837</v>
      </c>
      <c r="C18" s="708">
        <v>5.8372907221036874</v>
      </c>
      <c r="D18" s="709">
        <v>-2.5473076826799712</v>
      </c>
      <c r="E18" s="710">
        <v>-0.83661375620125233</v>
      </c>
      <c r="F18" s="708">
        <v>0.54389473329816029</v>
      </c>
      <c r="G18" s="711">
        <v>6.523758138798999E-2</v>
      </c>
      <c r="H18" s="710">
        <v>0.314</v>
      </c>
      <c r="I18" s="708">
        <v>0.52</v>
      </c>
      <c r="J18" s="570">
        <v>1.1539999999999999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1.1539999999999999</v>
      </c>
      <c r="N18" s="632">
        <f t="shared" si="2"/>
        <v>0.26088422723063837</v>
      </c>
      <c r="O18" s="629">
        <f t="shared" si="3"/>
        <v>5.8372907221036874</v>
      </c>
      <c r="P18" s="633">
        <f t="shared" si="4"/>
        <v>-2.5473076826799712</v>
      </c>
      <c r="Q18" s="585">
        <f t="shared" si="113"/>
        <v>87.441000369473826</v>
      </c>
      <c r="R18" s="629">
        <f>IF(M18="","",SQRT(N18^2+O18^2))</f>
        <v>5.843117622842751</v>
      </c>
      <c r="S18" s="634">
        <f>IF(M18="","",P18)</f>
        <v>-2.5473076826799712</v>
      </c>
      <c r="T18" s="635">
        <f>IF(M18="","",X18*COS(RADIANS(W18)))</f>
        <v>5.8372907221036883</v>
      </c>
      <c r="U18" s="629">
        <f>IF(M18="","",X18*SIN(RADIANS(W18)))</f>
        <v>-0.26088422723063986</v>
      </c>
      <c r="V18" s="636">
        <f>IF(M18="","",Y18)</f>
        <v>-2.5473076826799712</v>
      </c>
      <c r="W18" s="585">
        <f t="shared" si="224"/>
        <v>357.44100036947384</v>
      </c>
      <c r="X18" s="629">
        <f>IF(M18="","",R18)</f>
        <v>5.843117622842751</v>
      </c>
      <c r="Y18" s="630">
        <f t="shared" si="223"/>
        <v>-2.5473076826799712</v>
      </c>
      <c r="Z18" s="632">
        <f t="shared" si="6"/>
        <v>0.83661375620125233</v>
      </c>
      <c r="AA18" s="629">
        <f t="shared" si="7"/>
        <v>-0.54389473329816029</v>
      </c>
      <c r="AB18" s="629">
        <f t="shared" si="8"/>
        <v>-6.523758138798999E-2</v>
      </c>
      <c r="AC18" s="636">
        <f>IF(M18="","",SQRT(Z18^2+AA18^2+AB18^2))</f>
        <v>1</v>
      </c>
      <c r="AD18" s="637">
        <f>IF(M18="","",Z18*(1/SQRT(Z18^2+AA18^2+AB18^2)))</f>
        <v>0.83661375620125233</v>
      </c>
      <c r="AE18" s="629">
        <f>IF(M18="","",AA18*(1/SQRT(Z18^2+AA18^2+AB18^2)))</f>
        <v>-0.54389473329816029</v>
      </c>
      <c r="AF18" s="633">
        <f>IF(M18="","",AB18*(1/SQRT(Z18^2+AA18^2+AB18^2)))</f>
        <v>-6.523758138798999E-2</v>
      </c>
      <c r="AG18" s="602">
        <f>IF(M18="","",DEGREES(ATAN2(-AF18,AE18)))</f>
        <v>-83.160319889911833</v>
      </c>
      <c r="AH18" s="603">
        <f>IF(M18="","",DEGREES(ACOS(AD18)))</f>
        <v>33.215750663374017</v>
      </c>
      <c r="AI18" s="585">
        <f>IF(M18="","",DEGREES(-ACOS(-AF18)))</f>
        <v>-86.259505493127051</v>
      </c>
      <c r="AJ18" s="586">
        <f>IF(M18="","",DEGREES(ATAN2(-AE18,AD18)))</f>
        <v>56.971520852813867</v>
      </c>
      <c r="AK18" s="635">
        <f>IF(M18="","",(COS(RADIANS((90-$Q$8)-W18))*AD18)+(-SIN(RADIANS((90-$Q$8)-W18))*AE18))</f>
        <v>0.86006334265854589</v>
      </c>
      <c r="AL18" s="629">
        <f>IF(M18="","",(SIN(RADIANS((90-$Q$8)-W18))*AD18)+(COS(RADIANS((90-$Q$8)-W18))*AE18))</f>
        <v>-0.50599911520639462</v>
      </c>
      <c r="AM18" s="634">
        <f>IF(M18="","",AF18)</f>
        <v>-6.523758138798999E-2</v>
      </c>
      <c r="AN18" s="581">
        <f>IF(M18="","",DEGREES(ATAN2(-AM18,AL18)))</f>
        <v>-82.653482241159764</v>
      </c>
      <c r="AO18" s="582">
        <f t="shared" si="94"/>
        <v>30.676304255469674</v>
      </c>
      <c r="AP18" s="585">
        <f>IF(M18="","",DEGREES(ATAN2(AK18,AL18)))</f>
        <v>-30.469479516659945</v>
      </c>
      <c r="AQ18" s="586">
        <f t="shared" si="9"/>
        <v>0.39014983842510609</v>
      </c>
      <c r="AS18" s="52">
        <f t="shared" si="116"/>
        <v>-2.5589996305261593</v>
      </c>
      <c r="AT18" s="72">
        <f t="shared" si="10"/>
        <v>-2.5455305996032171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1.1539999999999999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0.27278503766568496</v>
      </c>
      <c r="C19" s="708">
        <v>5.9093250689007801</v>
      </c>
      <c r="D19" s="709">
        <v>-3.3173100050069753</v>
      </c>
      <c r="E19" s="710">
        <v>-0.73558896294884757</v>
      </c>
      <c r="F19" s="708">
        <v>0.67742813462965779</v>
      </c>
      <c r="G19" s="711">
        <v>1.4578093199048389E-7</v>
      </c>
      <c r="H19" s="710">
        <v>0.314</v>
      </c>
      <c r="I19" s="708">
        <v>0.52</v>
      </c>
      <c r="J19" s="570">
        <v>1.161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1.161</v>
      </c>
      <c r="N19" s="632">
        <f t="shared" si="2"/>
        <v>0.27278503766568496</v>
      </c>
      <c r="O19" s="629">
        <f t="shared" si="3"/>
        <v>5.9093250689007801</v>
      </c>
      <c r="P19" s="633">
        <f t="shared" si="4"/>
        <v>-3.3173100050069753</v>
      </c>
      <c r="Q19" s="585">
        <f t="shared" si="113"/>
        <v>87.357000381601935</v>
      </c>
      <c r="R19" s="629">
        <f>IF(M19="","",SQRT(N19^2+O19^2))</f>
        <v>5.9156178415034111</v>
      </c>
      <c r="S19" s="634">
        <f>IF(M19="","",P19)</f>
        <v>-3.3173100050069753</v>
      </c>
      <c r="T19" s="635">
        <f>IF(M19="","",X19*COS(RADIANS(W19)))</f>
        <v>5.9093250689007801</v>
      </c>
      <c r="U19" s="629">
        <f>IF(M19="","",X19*SIN(RADIANS(W19)))</f>
        <v>-0.27278503766568551</v>
      </c>
      <c r="V19" s="636">
        <f>IF(M19="","",Y19)</f>
        <v>-3.3173100050069753</v>
      </c>
      <c r="W19" s="585">
        <f t="shared" si="224"/>
        <v>357.35700038160195</v>
      </c>
      <c r="X19" s="629">
        <f>IF(M19="","",R19)</f>
        <v>5.9156178415034111</v>
      </c>
      <c r="Y19" s="630">
        <f t="shared" si="223"/>
        <v>-3.3173100050069753</v>
      </c>
      <c r="Z19" s="632">
        <f t="shared" si="6"/>
        <v>0.73558896294884757</v>
      </c>
      <c r="AA19" s="629">
        <f t="shared" si="7"/>
        <v>-0.67742813462965779</v>
      </c>
      <c r="AB19" s="629">
        <f t="shared" si="8"/>
        <v>-1.4578093199048389E-7</v>
      </c>
      <c r="AC19" s="636">
        <f>IF(M19="","",SQRT(Z19^2+AA19^2+AB19^2))</f>
        <v>1</v>
      </c>
      <c r="AD19" s="637">
        <f>IF(M19="","",Z19*(1/SQRT(Z19^2+AA19^2+AB19^2)))</f>
        <v>0.73558896294884757</v>
      </c>
      <c r="AE19" s="629">
        <f>IF(M19="","",AA19*(1/SQRT(Z19^2+AA19^2+AB19^2)))</f>
        <v>-0.67742813462965779</v>
      </c>
      <c r="AF19" s="633">
        <f>IF(M19="","",AB19*(1/SQRT(Z19^2+AA19^2+AB19^2)))</f>
        <v>-1.4578093199048389E-7</v>
      </c>
      <c r="AG19" s="602">
        <f>IF(M19="","",DEGREES(ATAN2(-AF19,AE19)))</f>
        <v>-89.999987670083797</v>
      </c>
      <c r="AH19" s="603">
        <f>IF(M19="","",DEGREES(ACOS(AD19)))</f>
        <v>42.642993843113381</v>
      </c>
      <c r="AI19" s="585">
        <f>IF(M19="","",DEGREES(-ACOS(-AF19)))</f>
        <v>-89.999991647367864</v>
      </c>
      <c r="AJ19" s="586">
        <f>IF(M19="","",DEGREES(ATAN2(-AE19,AD19)))</f>
        <v>47.35700615688728</v>
      </c>
      <c r="AK19" s="635">
        <f>IF(M19="","",(COS(RADIANS((90-$Q$8)-W19))*AD19)+(-SIN(RADIANS((90-$Q$8)-W19))*AE19))</f>
        <v>0.76604450791050738</v>
      </c>
      <c r="AL19" s="629">
        <f>IF(M19="","",(SIN(RADIANS((90-$Q$8)-W19))*AD19)+(COS(RADIANS((90-$Q$8)-W19))*AE19))</f>
        <v>-0.64278753247097709</v>
      </c>
      <c r="AM19" s="634">
        <f>IF(M19="","",AF19)</f>
        <v>-1.4578093199048389E-7</v>
      </c>
      <c r="AN19" s="581">
        <f>IF(M19="","",DEGREES(ATAN2(-AM19,AL19)))</f>
        <v>-89.999987005609611</v>
      </c>
      <c r="AO19" s="582">
        <f t="shared" si="94"/>
        <v>39.999994224715365</v>
      </c>
      <c r="AP19" s="585">
        <f>IF(M19="","",DEGREES(ATAN2(AK19,AL19)))</f>
        <v>-39.999994224714648</v>
      </c>
      <c r="AQ19" s="586">
        <f t="shared" si="9"/>
        <v>0.38536841220789192</v>
      </c>
      <c r="AS19" s="52">
        <f t="shared" si="116"/>
        <v>-2.6429996183980506</v>
      </c>
      <c r="AT19" s="72">
        <f t="shared" si="10"/>
        <v>-3.3154745886053099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1.161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1.0555802260674361</v>
      </c>
      <c r="C20" s="708">
        <v>2.3237791100768517</v>
      </c>
      <c r="D20" s="709">
        <v>-0.17316484649593958</v>
      </c>
      <c r="E20" s="710">
        <v>-2.0648932828124283E-7</v>
      </c>
      <c r="F20" s="708">
        <v>9.3798094222275634E-8</v>
      </c>
      <c r="G20" s="711">
        <v>0.99999999999997435</v>
      </c>
      <c r="H20" s="710">
        <v>0.26250000000000001</v>
      </c>
      <c r="I20" s="708">
        <v>0.40699999999999997</v>
      </c>
      <c r="J20" s="570">
        <v>1.212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Inactive</v>
      </c>
      <c r="L20" s="774">
        <f>IF($L19=$JH$22,$JH$30,IF($L19=$JI$22,$JI$30,""))</f>
        <v>150</v>
      </c>
      <c r="M20" s="168">
        <f t="shared" si="1"/>
        <v>1.212</v>
      </c>
      <c r="N20" s="632">
        <f t="shared" si="2"/>
        <v>1.0555802260674361</v>
      </c>
      <c r="O20" s="629">
        <f t="shared" si="3"/>
        <v>2.3237791100768517</v>
      </c>
      <c r="P20" s="633">
        <f t="shared" si="4"/>
        <v>-0.17316484649593958</v>
      </c>
      <c r="Q20" s="585">
        <f t="shared" si="113"/>
        <v>65.570003527255082</v>
      </c>
      <c r="R20" s="629">
        <f>IF(M20="","",SQRT(N20^2+O20^2))</f>
        <v>2.5522928840738763</v>
      </c>
      <c r="S20" s="634">
        <f>IF(M20="","",P20)</f>
        <v>-0.17316484649593958</v>
      </c>
      <c r="T20" s="635">
        <f>IF(M20="","",X20*COS(RADIANS(W20)))</f>
        <v>2.3237791100768517</v>
      </c>
      <c r="U20" s="629">
        <f>IF(M20="","",X20*SIN(RADIANS(W20)))</f>
        <v>-1.0555802260674365</v>
      </c>
      <c r="V20" s="636">
        <f>IF(M20="","",Y20)</f>
        <v>-0.17316484649593958</v>
      </c>
      <c r="W20" s="585">
        <f t="shared" si="224"/>
        <v>335.5700035272551</v>
      </c>
      <c r="X20" s="629">
        <f>IF(M20="","",R20)</f>
        <v>2.5522928840738763</v>
      </c>
      <c r="Y20" s="630">
        <f t="shared" si="223"/>
        <v>-0.17316484649593958</v>
      </c>
      <c r="Z20" s="632">
        <f t="shared" si="6"/>
        <v>2.0648932828124283E-7</v>
      </c>
      <c r="AA20" s="629">
        <f t="shared" si="7"/>
        <v>-9.3798094222275634E-8</v>
      </c>
      <c r="AB20" s="629">
        <f t="shared" si="8"/>
        <v>-0.99999999999997435</v>
      </c>
      <c r="AC20" s="636">
        <f>IF(M20="","",SQRT(Z20^2+AA20^2+AB20^2))</f>
        <v>1</v>
      </c>
      <c r="AD20" s="637">
        <f>IF(M20="","",Z20*(1/SQRT(Z20^2+AA20^2+AB20^2)))</f>
        <v>2.0648932828124283E-7</v>
      </c>
      <c r="AE20" s="629">
        <f>IF(M20="","",AA20*(1/SQRT(Z20^2+AA20^2+AB20^2)))</f>
        <v>-9.3798094222275634E-8</v>
      </c>
      <c r="AF20" s="633">
        <f>IF(M20="","",AB20*(1/SQRT(Z20^2+AA20^2+AB20^2)))</f>
        <v>-0.99999999999997435</v>
      </c>
      <c r="AG20" s="602">
        <f>IF(M20="","",DEGREES(ATAN2(-AF20,AE20)))</f>
        <v>-5.3742349253069475E-6</v>
      </c>
      <c r="AH20" s="603">
        <f>IF(M20="","",DEGREES(ACOS(AD20)))</f>
        <v>89.999988169032974</v>
      </c>
      <c r="AI20" s="585">
        <f>IF(M20="","",DEGREES(-ACOS(-AF20)))</f>
        <v>-1.2976235990044085E-5</v>
      </c>
      <c r="AJ20" s="586">
        <f>IF(M20="","",DEGREES(ATAN2(-AE20,AD20)))</f>
        <v>65.570003518236092</v>
      </c>
      <c r="AK20" s="635">
        <f>IF(M20="","",(COS(RADIANS((90-$Q$8)-W20))*AD20)+(-SIN(RADIANS((90-$Q$8)-W20))*AE20))</f>
        <v>2.2679489671015476E-7</v>
      </c>
      <c r="AL20" s="629">
        <f>IF(M20="","",(SIN(RADIANS((90-$Q$8)-W20))*AD20)+(COS(RADIANS((90-$Q$8)-W20))*AE20))</f>
        <v>-3.5700016741935204E-17</v>
      </c>
      <c r="AM20" s="634">
        <f>IF(M20="","",AF20)</f>
        <v>-0.99999999999997435</v>
      </c>
      <c r="AN20" s="581">
        <f>IF(M20="","",DEGREES(ATAN2(-AM20,AL20)))</f>
        <v>-2.0454602878593197E-15</v>
      </c>
      <c r="AO20" s="582">
        <f t="shared" si="94"/>
        <v>0</v>
      </c>
      <c r="AP20" s="585">
        <f>IF(M20="","",DEGREES(ATAN2(AK20,AL20)))</f>
        <v>-9.0189872767436091E-9</v>
      </c>
      <c r="AQ20" s="586">
        <f t="shared" si="9"/>
        <v>0.89313495042569124</v>
      </c>
      <c r="AS20" s="52">
        <f t="shared" si="116"/>
        <v>-24.429996472744904</v>
      </c>
      <c r="AT20" s="72">
        <f t="shared" si="10"/>
        <v>-0.15619957116764449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1.212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1.1120000000000001</v>
      </c>
      <c r="II20" s="734" cm="1">
        <f t="array" ref="II20">IFERROR(ROUND(VALUE(IF($IH20&lt;1,$IH20+LARGE((IF($M$9:$M$150="",0,$M$9:$M$150)-MOD(IF($M$9:$M$150="",0,$M$9:$M$150),1)),1),$IH20)),4),"")</f>
        <v>1.1120000000000001</v>
      </c>
      <c r="IJ20" s="533">
        <f t="shared" si="112"/>
        <v>1613</v>
      </c>
      <c r="IK20" s="533" t="str">
        <f t="shared" si="66"/>
        <v>Inactive</v>
      </c>
      <c r="IL20" s="727">
        <f t="shared" si="225"/>
        <v>24.429996472744904</v>
      </c>
      <c r="IM20" s="759">
        <v>2.20673145638111E-2</v>
      </c>
      <c r="IN20" s="5">
        <f t="shared" si="226"/>
        <v>0.32</v>
      </c>
      <c r="IO20" s="771">
        <v>160</v>
      </c>
      <c r="IP20" s="9">
        <f t="shared" si="227"/>
        <v>-2.5616077258089009</v>
      </c>
      <c r="IQ20" s="5">
        <f t="shared" si="228"/>
        <v>-0.18590056067609104</v>
      </c>
      <c r="IR20" s="5">
        <f t="shared" si="71"/>
        <v>0.314</v>
      </c>
      <c r="IS20" s="5">
        <f t="shared" si="229"/>
        <v>0.29946712669884279</v>
      </c>
      <c r="IT20" s="727">
        <f t="shared" si="230"/>
        <v>-12.499998195223558</v>
      </c>
      <c r="IU20" s="9">
        <f t="shared" si="231"/>
        <v>-2.5522928840738763</v>
      </c>
      <c r="IV20" s="5">
        <f t="shared" si="232"/>
        <v>-0.17316484649593958</v>
      </c>
      <c r="IW20" s="5">
        <f t="shared" si="76"/>
        <v>0.26250000000000001</v>
      </c>
      <c r="IX20" s="5">
        <f t="shared" si="233"/>
        <v>0.26250000000000001</v>
      </c>
      <c r="IY20" s="762">
        <f t="shared" si="234"/>
        <v>2.0454602878593197E-15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1.1090161920141544</v>
      </c>
      <c r="C21" s="708">
        <v>3.1265619978543882</v>
      </c>
      <c r="D21" s="709">
        <v>-0.12282561232857571</v>
      </c>
      <c r="E21" s="710">
        <v>2.1864070982041923E-2</v>
      </c>
      <c r="F21" s="708">
        <v>6.1640331600288895E-2</v>
      </c>
      <c r="G21" s="711">
        <v>0.99785892385662345</v>
      </c>
      <c r="H21" s="710">
        <v>0.26250000000000001</v>
      </c>
      <c r="I21" s="708">
        <v>0.40699999999999997</v>
      </c>
      <c r="J21" s="570">
        <v>1.2190000000000001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1.2190000000000001</v>
      </c>
      <c r="N21" s="632">
        <f t="shared" si="2"/>
        <v>1.1090161920141544</v>
      </c>
      <c r="O21" s="629">
        <f t="shared" si="3"/>
        <v>3.1265619978543882</v>
      </c>
      <c r="P21" s="633">
        <f t="shared" si="4"/>
        <v>-0.12282561232857571</v>
      </c>
      <c r="Q21" s="585">
        <f t="shared" si="113"/>
        <v>70.470002819782721</v>
      </c>
      <c r="R21" s="629">
        <f>IF(M21="","",SQRT(N21^2+O21^2))</f>
        <v>3.3174247302051629</v>
      </c>
      <c r="S21" s="634">
        <f>IF(M21="","",P21)</f>
        <v>-0.12282561232857571</v>
      </c>
      <c r="T21" s="635">
        <f>IF(M21="","",X21*COS(RADIANS(W21)))</f>
        <v>3.1265619978543882</v>
      </c>
      <c r="U21" s="629">
        <f>IF(M21="","",X21*SIN(RADIANS(W21)))</f>
        <v>-1.1090161920141541</v>
      </c>
      <c r="V21" s="636">
        <f>IF(M21="","",Y21)</f>
        <v>-0.12282561232857571</v>
      </c>
      <c r="W21" s="585">
        <f t="shared" si="224"/>
        <v>340.47000281978274</v>
      </c>
      <c r="X21" s="629">
        <f>IF(M21="","",R21)</f>
        <v>3.3174247302051629</v>
      </c>
      <c r="Y21" s="630">
        <f t="shared" si="223"/>
        <v>-0.12282561232857571</v>
      </c>
      <c r="Z21" s="632">
        <f t="shared" si="6"/>
        <v>-2.1864070982041923E-2</v>
      </c>
      <c r="AA21" s="629">
        <f t="shared" si="7"/>
        <v>-6.1640331600288895E-2</v>
      </c>
      <c r="AB21" s="629">
        <f t="shared" si="8"/>
        <v>-0.99785892385662345</v>
      </c>
      <c r="AC21" s="636">
        <f>IF(M21="","",SQRT(Z21^2+AA21^2+AB21^2))</f>
        <v>1</v>
      </c>
      <c r="AD21" s="637">
        <f>IF(M21="","",Z21*(1/SQRT(Z21^2+AA21^2+AB21^2)))</f>
        <v>-2.1864070982041923E-2</v>
      </c>
      <c r="AE21" s="629">
        <f>IF(M21="","",AA21*(1/SQRT(Z21^2+AA21^2+AB21^2)))</f>
        <v>-6.1640331600288895E-2</v>
      </c>
      <c r="AF21" s="633">
        <f>IF(M21="","",AB21*(1/SQRT(Z21^2+AA21^2+AB21^2)))</f>
        <v>-0.99785892385662345</v>
      </c>
      <c r="AG21" s="602">
        <f>IF(M21="","",DEGREES(ATAN2(-AF21,AE21)))</f>
        <v>-3.534817229649847</v>
      </c>
      <c r="AH21" s="603">
        <f>IF(M21="","",DEGREES(ACOS(AD21)))</f>
        <v>91.252818819518481</v>
      </c>
      <c r="AI21" s="585">
        <f>IF(M21="","",DEGREES(-ACOS(-AF21)))</f>
        <v>-3.7499994585895533</v>
      </c>
      <c r="AJ21" s="586">
        <f>IF(M21="","",DEGREES(ATAN2(-AE21,AD21)))</f>
        <v>-19.52979849871042</v>
      </c>
      <c r="AK21" s="635">
        <f>IF(M21="","",(COS(RADIANS((90-$Q$8)-W21))*AD21)+(-SIN(RADIANS((90-$Q$8)-W21))*AE21))</f>
        <v>2.2679489668914199E-7</v>
      </c>
      <c r="AL21" s="629">
        <f>IF(M21="","",(SIN(RADIANS((90-$Q$8)-W21))*AD21)+(COS(RADIANS((90-$Q$8)-W21))*AE21))</f>
        <v>-6.5403119800586773E-2</v>
      </c>
      <c r="AM21" s="634">
        <f>IF(M21="","",AF21)</f>
        <v>-0.99785892385662345</v>
      </c>
      <c r="AN21" s="581">
        <f>IF(M21="","",DEGREES(ATAN2(-AM21,AL21)))</f>
        <v>-3.7499994585670686</v>
      </c>
      <c r="AO21" s="582">
        <f>IF(ROUND(IF(M21="",0,DEGREES(ACOS(AK21))),4)=90,0,IF(M21="","",DEGREES(ACOS(AK21))))</f>
        <v>0</v>
      </c>
      <c r="AP21" s="585">
        <f>IF(M21="","",DEGREES(ATAN2(AK21,AL21)))</f>
        <v>-89.999801318493141</v>
      </c>
      <c r="AQ21" s="586">
        <f t="shared" si="9"/>
        <v>0.6871647472993444</v>
      </c>
      <c r="AS21" s="52">
        <f t="shared" si="116"/>
        <v>-19.529997180217265</v>
      </c>
      <c r="AT21" s="72">
        <f t="shared" si="10"/>
        <v>-0.10926311428675817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1.2190000000000001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1.119</v>
      </c>
      <c r="II21" s="734" cm="1">
        <f t="array" ref="II21">IFERROR(ROUND(VALUE(IF($IH21&lt;1,$IH21+LARGE((IF($M$9:$M$150="",0,$M$9:$M$150)-MOD(IF($M$9:$M$150="",0,$M$9:$M$150),1)),1),$IH21)),4),"")</f>
        <v>1.119</v>
      </c>
      <c r="IJ21" s="533">
        <f t="shared" si="112"/>
        <v>1613</v>
      </c>
      <c r="IK21" s="533" t="str">
        <f t="shared" si="66"/>
        <v>Inactive</v>
      </c>
      <c r="IL21" s="727">
        <f t="shared" si="225"/>
        <v>19.322997210104404</v>
      </c>
      <c r="IM21" s="759">
        <v>2.1985650119353901E-2</v>
      </c>
      <c r="IN21" s="5">
        <f t="shared" si="226"/>
        <v>0.4</v>
      </c>
      <c r="IO21" s="771">
        <v>200</v>
      </c>
      <c r="IP21" s="9">
        <f t="shared" si="227"/>
        <v>-3.314609996863751</v>
      </c>
      <c r="IQ21" s="5">
        <f t="shared" si="228"/>
        <v>-0.13740041439964984</v>
      </c>
      <c r="IR21" s="5">
        <f t="shared" si="71"/>
        <v>0.314</v>
      </c>
      <c r="IS21" s="5">
        <f t="shared" si="229"/>
        <v>0.29932278534481244</v>
      </c>
      <c r="IT21" s="727">
        <f t="shared" si="230"/>
        <v>9.6470711860077714</v>
      </c>
      <c r="IU21" s="9">
        <f t="shared" si="231"/>
        <v>-3.3174247302051629</v>
      </c>
      <c r="IV21" s="5">
        <f t="shared" si="232"/>
        <v>-0.12282561232857571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3.7499994585670686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1.1595416233410347</v>
      </c>
      <c r="C22" s="708">
        <v>3.896808655035656</v>
      </c>
      <c r="D22" s="709">
        <v>-0.25408200337956222</v>
      </c>
      <c r="E22" s="710">
        <v>-0.86829409945425196</v>
      </c>
      <c r="F22" s="708">
        <v>0.41080874461251699</v>
      </c>
      <c r="G22" s="711">
        <v>0.27803153095074945</v>
      </c>
      <c r="H22" s="710">
        <v>0.26600000000000001</v>
      </c>
      <c r="I22" s="708">
        <v>0.52</v>
      </c>
      <c r="J22" s="570">
        <v>1.226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1.226</v>
      </c>
      <c r="N22" s="632">
        <f t="shared" si="2"/>
        <v>1.1595416233410347</v>
      </c>
      <c r="O22" s="629">
        <f t="shared" si="3"/>
        <v>3.896808655035656</v>
      </c>
      <c r="P22" s="633">
        <f t="shared" si="4"/>
        <v>-0.25408200337956222</v>
      </c>
      <c r="Q22" s="585">
        <f t="shared" si="113"/>
        <v>73.429002392556043</v>
      </c>
      <c r="R22" s="629">
        <f t="shared" si="79"/>
        <v>4.0656677766661113</v>
      </c>
      <c r="S22" s="634">
        <f t="shared" si="80"/>
        <v>-0.25408200337956222</v>
      </c>
      <c r="T22" s="635">
        <f t="shared" si="81"/>
        <v>3.8968086550356569</v>
      </c>
      <c r="U22" s="629">
        <f t="shared" si="82"/>
        <v>-1.1595416233410309</v>
      </c>
      <c r="V22" s="636">
        <f t="shared" si="114"/>
        <v>-0.25408200337956222</v>
      </c>
      <c r="W22" s="585">
        <f t="shared" si="224"/>
        <v>343.42900239255607</v>
      </c>
      <c r="X22" s="629">
        <f t="shared" si="83"/>
        <v>4.0656677766661113</v>
      </c>
      <c r="Y22" s="630">
        <f t="shared" si="223"/>
        <v>-0.25408200337956222</v>
      </c>
      <c r="Z22" s="632">
        <f t="shared" si="6"/>
        <v>0.86829409945425196</v>
      </c>
      <c r="AA22" s="629">
        <f t="shared" si="7"/>
        <v>-0.41080874461251699</v>
      </c>
      <c r="AB22" s="629">
        <f t="shared" si="8"/>
        <v>-0.27803153095074945</v>
      </c>
      <c r="AC22" s="636">
        <f t="shared" si="84"/>
        <v>1</v>
      </c>
      <c r="AD22" s="637">
        <f t="shared" si="115"/>
        <v>0.86829409945425196</v>
      </c>
      <c r="AE22" s="629">
        <f t="shared" si="85"/>
        <v>-0.41080874461251699</v>
      </c>
      <c r="AF22" s="633">
        <f t="shared" si="86"/>
        <v>-0.27803153095074945</v>
      </c>
      <c r="AG22" s="602">
        <f t="shared" si="87"/>
        <v>-55.910224305356529</v>
      </c>
      <c r="AH22" s="603">
        <f t="shared" si="88"/>
        <v>29.738996045564086</v>
      </c>
      <c r="AI22" s="585">
        <f t="shared" si="89"/>
        <v>-73.857244605922233</v>
      </c>
      <c r="AJ22" s="586">
        <f t="shared" si="90"/>
        <v>64.680154889198107</v>
      </c>
      <c r="AK22" s="635">
        <f t="shared" si="211"/>
        <v>0.94939528080319135</v>
      </c>
      <c r="AL22" s="629">
        <f t="shared" si="91"/>
        <v>-0.14610636052483103</v>
      </c>
      <c r="AM22" s="634">
        <f t="shared" si="92"/>
        <v>-0.27803153095074945</v>
      </c>
      <c r="AN22" s="581">
        <f t="shared" si="93"/>
        <v>-27.722053845328809</v>
      </c>
      <c r="AO22" s="582">
        <f t="shared" si="94"/>
        <v>18.305509367813855</v>
      </c>
      <c r="AP22" s="585">
        <f t="shared" si="95"/>
        <v>-8.748847503357986</v>
      </c>
      <c r="AQ22" s="586">
        <f t="shared" si="9"/>
        <v>0.56070834617068499</v>
      </c>
      <c r="AS22" s="52">
        <f t="shared" si="116"/>
        <v>-16.570997607443928</v>
      </c>
      <c r="AT22" s="72">
        <f t="shared" si="10"/>
        <v>-0.2425743661521706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1.226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1.1259999999999999</v>
      </c>
      <c r="II22" s="734" cm="1">
        <f t="array" ref="II22">IFERROR(ROUND(VALUE(IF($IH22&lt;1,$IH22+LARGE((IF($M$9:$M$150="",0,$M$9:$M$150)-MOD(IF($M$9:$M$150="",0,$M$9:$M$150),1)),1),$IH22)),4),"")</f>
        <v>1.1259999999999999</v>
      </c>
      <c r="IJ22" s="533">
        <f t="shared" si="112"/>
        <v>1613</v>
      </c>
      <c r="IK22" s="533">
        <f t="shared" si="66"/>
        <v>1313</v>
      </c>
      <c r="IL22" s="727">
        <f t="shared" si="225"/>
        <v>15.846997711976599</v>
      </c>
      <c r="IM22" s="759">
        <v>2.3423015079185698E-3</v>
      </c>
      <c r="IN22" s="5">
        <f t="shared" si="226"/>
        <v>0.02</v>
      </c>
      <c r="IO22" s="771">
        <v>10</v>
      </c>
      <c r="IP22" s="9">
        <f t="shared" si="227"/>
        <v>-4.0524122220752616</v>
      </c>
      <c r="IQ22" s="5">
        <f t="shared" si="228"/>
        <v>-0.29530089062748616</v>
      </c>
      <c r="IR22" s="5">
        <f t="shared" si="71"/>
        <v>0.314</v>
      </c>
      <c r="IS22" s="5">
        <f t="shared" si="229"/>
        <v>0.29811011817220212</v>
      </c>
      <c r="IT22" s="727">
        <f t="shared" si="230"/>
        <v>27.722053845328713</v>
      </c>
      <c r="IU22" s="9">
        <f t="shared" si="231"/>
        <v>-4.0656677766661113</v>
      </c>
      <c r="IV22" s="5">
        <f t="shared" si="232"/>
        <v>-0.25408200337956222</v>
      </c>
      <c r="IW22" s="5">
        <f t="shared" si="76"/>
        <v>0.26600000000000001</v>
      </c>
      <c r="IX22" s="5">
        <f t="shared" si="233"/>
        <v>0.25253914469364891</v>
      </c>
      <c r="IY22" s="762">
        <f t="shared" si="234"/>
        <v>27.722053845328809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1.2315559509675877</v>
      </c>
      <c r="C23" s="708">
        <v>4.5796007727271215</v>
      </c>
      <c r="D23" s="709">
        <v>-0.61073035064199921</v>
      </c>
      <c r="E23" s="710">
        <v>-0.84946831313906057</v>
      </c>
      <c r="F23" s="708">
        <v>0.4698620005734514</v>
      </c>
      <c r="G23" s="711">
        <v>0.24006933454690352</v>
      </c>
      <c r="H23" s="710">
        <v>0.26600000000000001</v>
      </c>
      <c r="I23" s="708">
        <v>0.52</v>
      </c>
      <c r="J23" s="570">
        <v>1.2330000000000001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1.2330000000000001</v>
      </c>
      <c r="N23" s="632">
        <f t="shared" si="2"/>
        <v>1.2315559509675877</v>
      </c>
      <c r="O23" s="629">
        <f t="shared" si="3"/>
        <v>4.5796007727271215</v>
      </c>
      <c r="P23" s="633">
        <f t="shared" si="4"/>
        <v>-0.61073035064199921</v>
      </c>
      <c r="Q23" s="585">
        <f t="shared" si="113"/>
        <v>74.948002173239601</v>
      </c>
      <c r="R23" s="629">
        <f t="shared" si="79"/>
        <v>4.7423067486115373</v>
      </c>
      <c r="S23" s="634">
        <f t="shared" si="80"/>
        <v>-0.61073035064199921</v>
      </c>
      <c r="T23" s="635">
        <f t="shared" si="81"/>
        <v>4.5796007727271215</v>
      </c>
      <c r="U23" s="629">
        <f t="shared" si="82"/>
        <v>-1.2315559509675869</v>
      </c>
      <c r="V23" s="636">
        <f t="shared" si="114"/>
        <v>-0.61073035064199921</v>
      </c>
      <c r="W23" s="585">
        <f t="shared" si="224"/>
        <v>344.94800217323962</v>
      </c>
      <c r="X23" s="629">
        <f t="shared" si="83"/>
        <v>4.7423067486115373</v>
      </c>
      <c r="Y23" s="630">
        <f t="shared" si="223"/>
        <v>-0.61073035064199921</v>
      </c>
      <c r="Z23" s="632">
        <f t="shared" si="6"/>
        <v>0.84946831313906057</v>
      </c>
      <c r="AA23" s="629">
        <f t="shared" si="7"/>
        <v>-0.4698620005734514</v>
      </c>
      <c r="AB23" s="629">
        <f t="shared" si="8"/>
        <v>-0.24006933454690352</v>
      </c>
      <c r="AC23" s="636">
        <f t="shared" si="84"/>
        <v>1</v>
      </c>
      <c r="AD23" s="637">
        <f t="shared" si="115"/>
        <v>0.84946831313906057</v>
      </c>
      <c r="AE23" s="629">
        <f t="shared" si="85"/>
        <v>-0.4698620005734514</v>
      </c>
      <c r="AF23" s="633">
        <f t="shared" si="86"/>
        <v>-0.24006933454690352</v>
      </c>
      <c r="AG23" s="602">
        <f t="shared" si="87"/>
        <v>-62.935882736720359</v>
      </c>
      <c r="AH23" s="603">
        <f t="shared" si="88"/>
        <v>31.84611279768885</v>
      </c>
      <c r="AI23" s="585">
        <f t="shared" si="89"/>
        <v>-76.109367421737588</v>
      </c>
      <c r="AJ23" s="586">
        <f t="shared" si="90"/>
        <v>61.051930066272661</v>
      </c>
      <c r="AK23" s="635">
        <f t="shared" si="211"/>
        <v>0.94234458526054365</v>
      </c>
      <c r="AL23" s="629">
        <f t="shared" si="91"/>
        <v>-0.23313815054671139</v>
      </c>
      <c r="AM23" s="634">
        <f t="shared" si="92"/>
        <v>-0.24006933454690352</v>
      </c>
      <c r="AN23" s="581">
        <f t="shared" si="93"/>
        <v>-44.160834927033598</v>
      </c>
      <c r="AO23" s="582">
        <f t="shared" si="94"/>
        <v>19.55089812310354</v>
      </c>
      <c r="AP23" s="585">
        <f t="shared" si="95"/>
        <v>-13.896072106966951</v>
      </c>
      <c r="AQ23" s="586">
        <f t="shared" si="9"/>
        <v>0.48070976032804336</v>
      </c>
      <c r="AS23" s="52">
        <f t="shared" si="116"/>
        <v>-15.051997826760385</v>
      </c>
      <c r="AT23" s="72">
        <f t="shared" si="10"/>
        <v>-0.60027757437341556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1.2330000000000001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1.133</v>
      </c>
      <c r="II23" s="734" cm="1">
        <f t="array" ref="II23">IFERROR(ROUND(VALUE(IF($IH23&lt;1,$IH23+LARGE((IF($M$9:$M$150="",0,$M$9:$M$150)-MOD(IF($M$9:$M$150="",0,$M$9:$M$150),1)),1),$IH23)),4),"")</f>
        <v>1.133</v>
      </c>
      <c r="IJ23" s="533">
        <f t="shared" si="112"/>
        <v>1613</v>
      </c>
      <c r="IK23" s="533">
        <f t="shared" si="66"/>
        <v>1313</v>
      </c>
      <c r="IL23" s="727">
        <f t="shared" si="225"/>
        <v>13.711998020232443</v>
      </c>
      <c r="IM23" s="759">
        <v>1.80515380492039E-3</v>
      </c>
      <c r="IN23" s="5">
        <f t="shared" si="226"/>
        <v>0.02</v>
      </c>
      <c r="IO23" s="771">
        <v>10</v>
      </c>
      <c r="IP23" s="9">
        <f t="shared" si="227"/>
        <v>-4.7196142343565315</v>
      </c>
      <c r="IQ23" s="5">
        <f t="shared" si="228"/>
        <v>-0.64790195407229356</v>
      </c>
      <c r="IR23" s="5">
        <f t="shared" si="71"/>
        <v>0.314</v>
      </c>
      <c r="IS23" s="5">
        <f t="shared" si="229"/>
        <v>0.2958961997718107</v>
      </c>
      <c r="IT23" s="727">
        <f t="shared" si="230"/>
        <v>44.160834927033548</v>
      </c>
      <c r="IU23" s="9">
        <f t="shared" si="231"/>
        <v>-4.7423067486115373</v>
      </c>
      <c r="IV23" s="5">
        <f t="shared" si="232"/>
        <v>-0.61073035064199921</v>
      </c>
      <c r="IW23" s="5">
        <f t="shared" si="76"/>
        <v>0.26600000000000001</v>
      </c>
      <c r="IX23" s="5">
        <f t="shared" si="233"/>
        <v>0.25066365967930465</v>
      </c>
      <c r="IY23" s="762">
        <f t="shared" si="234"/>
        <v>44.160834927033598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36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8</v>
      </c>
      <c r="JG23" s="801">
        <v>21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10</v>
      </c>
      <c r="JI23" s="801">
        <v>0</v>
      </c>
    </row>
    <row r="24" spans="1:269" ht="15" customHeight="1" x14ac:dyDescent="0.25">
      <c r="A24" s="79"/>
      <c r="B24" s="707">
        <v>1.308576500182473</v>
      </c>
      <c r="C24" s="708">
        <v>5.1322538874523955</v>
      </c>
      <c r="D24" s="709">
        <v>-1.1376274930127344</v>
      </c>
      <c r="E24" s="710">
        <v>-0.82200625931431459</v>
      </c>
      <c r="F24" s="708">
        <v>0.53602998531009449</v>
      </c>
      <c r="G24" s="711">
        <v>0.19229551345922744</v>
      </c>
      <c r="H24" s="710">
        <v>0.26600000000000001</v>
      </c>
      <c r="I24" s="708">
        <v>0.52</v>
      </c>
      <c r="J24" s="570">
        <v>1.24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1.24</v>
      </c>
      <c r="N24" s="632">
        <f t="shared" si="2"/>
        <v>1.308576500182473</v>
      </c>
      <c r="O24" s="629">
        <f t="shared" si="3"/>
        <v>5.1322538874523955</v>
      </c>
      <c r="P24" s="633">
        <f t="shared" si="4"/>
        <v>-1.1376274930127344</v>
      </c>
      <c r="Q24" s="585">
        <f t="shared" si="113"/>
        <v>75.696002065241785</v>
      </c>
      <c r="R24" s="629">
        <f t="shared" si="79"/>
        <v>5.296451871026493</v>
      </c>
      <c r="S24" s="634">
        <f t="shared" si="80"/>
        <v>-1.1376274930127344</v>
      </c>
      <c r="T24" s="635">
        <f t="shared" si="81"/>
        <v>5.1322538874523946</v>
      </c>
      <c r="U24" s="629">
        <f t="shared" si="82"/>
        <v>-1.3085765001824752</v>
      </c>
      <c r="V24" s="636">
        <f t="shared" si="114"/>
        <v>-1.1376274930127344</v>
      </c>
      <c r="W24" s="585">
        <f t="shared" si="224"/>
        <v>345.69600206524177</v>
      </c>
      <c r="X24" s="629">
        <f t="shared" si="83"/>
        <v>5.296451871026493</v>
      </c>
      <c r="Y24" s="630">
        <f t="shared" si="223"/>
        <v>-1.1376274930127344</v>
      </c>
      <c r="Z24" s="632">
        <f t="shared" si="6"/>
        <v>0.82200625931431459</v>
      </c>
      <c r="AA24" s="629">
        <f t="shared" si="7"/>
        <v>-0.53602998531009449</v>
      </c>
      <c r="AB24" s="629">
        <f t="shared" si="8"/>
        <v>-0.19229551345922744</v>
      </c>
      <c r="AC24" s="636">
        <f t="shared" si="84"/>
        <v>1</v>
      </c>
      <c r="AD24" s="637">
        <f t="shared" si="115"/>
        <v>0.82200625931431459</v>
      </c>
      <c r="AE24" s="629">
        <f t="shared" si="85"/>
        <v>-0.53602998531009449</v>
      </c>
      <c r="AF24" s="633">
        <f t="shared" si="86"/>
        <v>-0.19229551345922744</v>
      </c>
      <c r="AG24" s="602">
        <f t="shared" si="87"/>
        <v>-70.265048209678383</v>
      </c>
      <c r="AH24" s="603">
        <f t="shared" si="88"/>
        <v>34.713864773661406</v>
      </c>
      <c r="AI24" s="585">
        <f t="shared" si="89"/>
        <v>-78.913221857111495</v>
      </c>
      <c r="AJ24" s="586">
        <f t="shared" si="90"/>
        <v>56.891643808985236</v>
      </c>
      <c r="AK24" s="635">
        <f>IF(M24="","",(COS(RADIANS((90-$Q$8)-W24))*AD24)+(-SIN(RADIANS((90-$Q$8)-W24))*AE24))</f>
        <v>0.92895794804843024</v>
      </c>
      <c r="AL24" s="629">
        <f t="shared" si="91"/>
        <v>-0.3163219345241528</v>
      </c>
      <c r="AM24" s="634">
        <f t="shared" si="92"/>
        <v>-0.19229551345922744</v>
      </c>
      <c r="AN24" s="581">
        <f t="shared" si="93"/>
        <v>-58.704131128508379</v>
      </c>
      <c r="AO24" s="582">
        <f t="shared" si="94"/>
        <v>21.727043534371234</v>
      </c>
      <c r="AP24" s="585">
        <f t="shared" si="95"/>
        <v>-18.804358256256528</v>
      </c>
      <c r="AQ24" s="586">
        <f t="shared" si="9"/>
        <v>0.4304171553509118</v>
      </c>
      <c r="AS24" s="52">
        <f t="shared" si="116"/>
        <v>-14.303997934758229</v>
      </c>
      <c r="AT24" s="72">
        <f t="shared" si="10"/>
        <v>-1.1276941611135967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1.24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1.1399999999999999</v>
      </c>
      <c r="II24" s="734" cm="1">
        <f t="array" ref="II24">IFERROR(ROUND(VALUE(IF($IH24&lt;1,$IH24+LARGE((IF($M$9:$M$150="",0,$M$9:$M$150)-MOD(IF($M$9:$M$150="",0,$M$9:$M$150),1)),1),$IH24)),4),"")</f>
        <v>1.1399999999999999</v>
      </c>
      <c r="IJ24" s="533">
        <f t="shared" si="112"/>
        <v>1613</v>
      </c>
      <c r="IK24" s="533">
        <f t="shared" si="66"/>
        <v>1313</v>
      </c>
      <c r="IL24" s="727">
        <f t="shared" si="225"/>
        <v>12.393998210528082</v>
      </c>
      <c r="IM24" s="759">
        <v>1.3470757669015801E-3</v>
      </c>
      <c r="IN24" s="5">
        <f t="shared" si="226"/>
        <v>0</v>
      </c>
      <c r="IO24" s="771">
        <v>0</v>
      </c>
      <c r="IP24" s="9">
        <f t="shared" si="227"/>
        <v>-5.2658158817006981</v>
      </c>
      <c r="IQ24" s="5">
        <f t="shared" si="228"/>
        <v>-1.1684035239050279</v>
      </c>
      <c r="IR24" s="5">
        <f t="shared" si="71"/>
        <v>0.314</v>
      </c>
      <c r="IS24" s="5">
        <f t="shared" si="229"/>
        <v>0.29169279568720696</v>
      </c>
      <c r="IT24" s="727">
        <f t="shared" si="230"/>
        <v>58.704131128508429</v>
      </c>
      <c r="IU24" s="9">
        <f t="shared" si="231"/>
        <v>-5.296451871026493</v>
      </c>
      <c r="IV24" s="5">
        <f t="shared" si="232"/>
        <v>-1.1376274930127344</v>
      </c>
      <c r="IW24" s="5">
        <f t="shared" si="76"/>
        <v>0.26600000000000001</v>
      </c>
      <c r="IX24" s="5">
        <f t="shared" si="233"/>
        <v>0.24710281418088245</v>
      </c>
      <c r="IY24" s="762">
        <f t="shared" si="234"/>
        <v>58.704131128508379</v>
      </c>
      <c r="JA24" s="798" t="str">
        <v>Inactive</v>
      </c>
      <c r="JB24" s="856" cm="1">
        <f t="array" ref="JB24">IF($JA24="","",COUNT(IF(IF($II$9:$II$150&lt;&gt;"",$IK$9:$IK$150,"")=$JA24,$IG$9:$IG$150,"")))</f>
        <v>17</v>
      </c>
      <c r="JC24" s="5"/>
      <c r="JD24" s="5"/>
      <c r="JE24" s="10"/>
      <c r="JF24" s="247">
        <v>10</v>
      </c>
      <c r="JG24" s="803" t="str">
        <v/>
      </c>
      <c r="JH24" s="787">
        <v>150</v>
      </c>
      <c r="JI24" s="803" t="str">
        <v/>
      </c>
    </row>
    <row r="25" spans="1:269" ht="15" customHeight="1" x14ac:dyDescent="0.25">
      <c r="A25" s="79"/>
      <c r="B25" s="707">
        <v>1.3722185717907225</v>
      </c>
      <c r="C25" s="708">
        <v>5.5180265764458714</v>
      </c>
      <c r="D25" s="709">
        <v>-1.7955452136441004</v>
      </c>
      <c r="E25" s="710">
        <v>-0.77486333802368712</v>
      </c>
      <c r="F25" s="708">
        <v>0.61624582589300791</v>
      </c>
      <c r="G25" s="711">
        <v>0.14081153878938252</v>
      </c>
      <c r="H25" s="710">
        <v>0.26600000000000001</v>
      </c>
      <c r="I25" s="708">
        <v>0.52</v>
      </c>
      <c r="J25" s="570">
        <v>1.2470000000000001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1.2470000000000001</v>
      </c>
      <c r="N25" s="632">
        <f t="shared" si="2"/>
        <v>1.3722185717907225</v>
      </c>
      <c r="O25" s="629">
        <f t="shared" si="3"/>
        <v>5.5180265764458714</v>
      </c>
      <c r="P25" s="633">
        <f t="shared" si="4"/>
        <v>-1.7955452136441004</v>
      </c>
      <c r="Q25" s="585">
        <f t="shared" si="113"/>
        <v>76.035002016296247</v>
      </c>
      <c r="R25" s="629">
        <f>IF(M25="","",SQRT(N25^2+O25^2))</f>
        <v>5.6860883836896443</v>
      </c>
      <c r="S25" s="634">
        <f>IF(M25="","",P25)</f>
        <v>-1.7955452136441004</v>
      </c>
      <c r="T25" s="635">
        <f>IF(M25="","",X25*COS(RADIANS(W25)))</f>
        <v>5.5180265764458705</v>
      </c>
      <c r="U25" s="629">
        <f>IF(M25="","",X25*SIN(RADIANS(W25)))</f>
        <v>-1.3722185717907247</v>
      </c>
      <c r="V25" s="636">
        <f>IF(M25="","",Y25)</f>
        <v>-1.7955452136441004</v>
      </c>
      <c r="W25" s="585">
        <f t="shared" si="224"/>
        <v>346.03500201629623</v>
      </c>
      <c r="X25" s="629">
        <f>IF(M25="","",R25)</f>
        <v>5.6860883836896443</v>
      </c>
      <c r="Y25" s="630">
        <f t="shared" si="223"/>
        <v>-1.7955452136441004</v>
      </c>
      <c r="Z25" s="632">
        <f t="shared" si="6"/>
        <v>0.77486333802368712</v>
      </c>
      <c r="AA25" s="629">
        <f t="shared" si="7"/>
        <v>-0.61624582589300791</v>
      </c>
      <c r="AB25" s="629">
        <f t="shared" si="8"/>
        <v>-0.14081153878938252</v>
      </c>
      <c r="AC25" s="636">
        <f>IF(M25="","",SQRT(Z25^2+AA25^2+AB25^2))</f>
        <v>1</v>
      </c>
      <c r="AD25" s="637">
        <f>IF(M25="","",Z25*(1/SQRT(Z25^2+AA25^2+AB25^2)))</f>
        <v>0.77486333802368712</v>
      </c>
      <c r="AE25" s="629">
        <f>IF(M25="","",AA25*(1/SQRT(Z25^2+AA25^2+AB25^2)))</f>
        <v>-0.61624582589300791</v>
      </c>
      <c r="AF25" s="633">
        <f>IF(M25="","",AB25*(1/SQRT(Z25^2+AA25^2+AB25^2)))</f>
        <v>-0.14081153878938252</v>
      </c>
      <c r="AG25" s="602">
        <f>IF(M25="","",DEGREES(ATAN2(-AF25,AE25)))</f>
        <v>-77.128943739878139</v>
      </c>
      <c r="AH25" s="603">
        <f>IF(M25="","",DEGREES(ACOS(AD25)))</f>
        <v>39.207356028516884</v>
      </c>
      <c r="AI25" s="585">
        <f>IF(M25="","",DEGREES(-ACOS(-AF25)))</f>
        <v>-81.905190790825543</v>
      </c>
      <c r="AJ25" s="586">
        <f>IF(M25="","",DEGREES(ATAN2(-AE25,AD25)))</f>
        <v>51.504905226283647</v>
      </c>
      <c r="AK25" s="635">
        <f>IF(M25="","",(COS(RADIANS((90-$Q$8)-W25))*AD25)+(-SIN(RADIANS((90-$Q$8)-W25))*AE25))</f>
        <v>0.9006790105650766</v>
      </c>
      <c r="AL25" s="629">
        <f>IF(M25="","",(SIN(RADIANS((90-$Q$8)-W25))*AD25)+(COS(RADIANS((90-$Q$8)-W25))*AE25))</f>
        <v>-0.41103458549285221</v>
      </c>
      <c r="AM25" s="634">
        <f>IF(M25="","",AF25)</f>
        <v>-0.14081153878938252</v>
      </c>
      <c r="AN25" s="581">
        <f>IF(M25="","",DEGREES(ATAN2(-AM25,AL25)))</f>
        <v>-71.089651661245995</v>
      </c>
      <c r="AO25" s="582">
        <f>IF(ROUND(IF(M25="",0,DEGREES(ACOS(AK25))),4)=90,0,IF(M25="","",DEGREES(ACOS(AK25))))</f>
        <v>25.752535822612543</v>
      </c>
      <c r="AP25" s="585">
        <f>IF(M25="","",DEGREES(ATAN2(AK25,AL25)))</f>
        <v>-24.530096790012575</v>
      </c>
      <c r="AQ25" s="586">
        <f t="shared" si="9"/>
        <v>0.40092402186721438</v>
      </c>
      <c r="AS25" s="52">
        <f t="shared" si="116"/>
        <v>-13.964997983703768</v>
      </c>
      <c r="AT25" s="72">
        <f t="shared" si="10"/>
        <v>-1.7858472983776394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1.2470000000000001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1.147</v>
      </c>
      <c r="II25" s="734" cm="1">
        <f t="array" ref="II25">IFERROR(ROUND(VALUE(IF($IH25&lt;1,$IH25+LARGE((IF($M$9:$M$150="",0,$M$9:$M$150)-MOD(IF($M$9:$M$150="",0,$M$9:$M$150),1)),1),$IH25)),4),"")</f>
        <v>1.147</v>
      </c>
      <c r="IJ25" s="533">
        <f t="shared" si="112"/>
        <v>1613</v>
      </c>
      <c r="IK25" s="533">
        <f t="shared" si="66"/>
        <v>1313</v>
      </c>
      <c r="IL25" s="727">
        <f t="shared" si="225"/>
        <v>11.626998321269127</v>
      </c>
      <c r="IM25" s="759">
        <v>9.0959865458534899E-4</v>
      </c>
      <c r="IN25" s="5">
        <f t="shared" si="226"/>
        <v>0</v>
      </c>
      <c r="IO25" s="771">
        <v>0</v>
      </c>
      <c r="IP25" s="9">
        <f t="shared" si="227"/>
        <v>-5.6499170401497931</v>
      </c>
      <c r="IQ25" s="5">
        <f t="shared" si="228"/>
        <v>-1.8179054828029362</v>
      </c>
      <c r="IR25" s="5">
        <f t="shared" si="71"/>
        <v>0.314</v>
      </c>
      <c r="IS25" s="5">
        <f t="shared" si="229"/>
        <v>0.28281320931743409</v>
      </c>
      <c r="IT25" s="727">
        <f t="shared" si="230"/>
        <v>71.089651661246037</v>
      </c>
      <c r="IU25" s="9">
        <f t="shared" si="231"/>
        <v>-5.6860883836896443</v>
      </c>
      <c r="IV25" s="5">
        <f t="shared" si="232"/>
        <v>-1.7955452136441004</v>
      </c>
      <c r="IW25" s="5">
        <f t="shared" si="76"/>
        <v>0.26600000000000001</v>
      </c>
      <c r="IX25" s="5">
        <f t="shared" si="233"/>
        <v>0.2395806168103104</v>
      </c>
      <c r="IY25" s="762">
        <f t="shared" si="234"/>
        <v>71.089651661245995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1.4072462080587449</v>
      </c>
      <c r="C26" s="708">
        <v>5.7112050594107666</v>
      </c>
      <c r="D26" s="709">
        <v>-2.534423412782012</v>
      </c>
      <c r="E26" s="710">
        <v>-0.71402851325435179</v>
      </c>
      <c r="F26" s="708">
        <v>0.6970705417921671</v>
      </c>
      <c r="G26" s="711">
        <v>6.5237581387990254E-2</v>
      </c>
      <c r="H26" s="710">
        <v>0.26600000000000001</v>
      </c>
      <c r="I26" s="708">
        <v>0.52</v>
      </c>
      <c r="J26" s="570">
        <v>1.254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1.254</v>
      </c>
      <c r="N26" s="632">
        <f t="shared" si="2"/>
        <v>1.4072462080587449</v>
      </c>
      <c r="O26" s="629">
        <f t="shared" si="3"/>
        <v>5.7112050594107666</v>
      </c>
      <c r="P26" s="633">
        <f t="shared" si="4"/>
        <v>-2.534423412782012</v>
      </c>
      <c r="Q26" s="585">
        <f t="shared" si="113"/>
        <v>76.158001998537245</v>
      </c>
      <c r="R26" s="629">
        <f>IF(M26="","",SQRT(N26^2+O26^2))</f>
        <v>5.8820238966477225</v>
      </c>
      <c r="S26" s="634">
        <f>IF(M26="","",P26)</f>
        <v>-2.534423412782012</v>
      </c>
      <c r="T26" s="635">
        <f>IF(M26="","",X26*COS(RADIANS(W26)))</f>
        <v>5.7112050594107675</v>
      </c>
      <c r="U26" s="629">
        <f>IF(M26="","",X26*SIN(RADIANS(W26)))</f>
        <v>-1.4072462080587422</v>
      </c>
      <c r="V26" s="636">
        <f>IF(M26="","",Y26)</f>
        <v>-2.534423412782012</v>
      </c>
      <c r="W26" s="585">
        <f t="shared" si="224"/>
        <v>346.15800199853726</v>
      </c>
      <c r="X26" s="629">
        <f>IF(M26="","",R26)</f>
        <v>5.8820238966477225</v>
      </c>
      <c r="Y26" s="630">
        <f t="shared" si="223"/>
        <v>-2.534423412782012</v>
      </c>
      <c r="Z26" s="632">
        <f t="shared" si="6"/>
        <v>0.71402851325435179</v>
      </c>
      <c r="AA26" s="629">
        <f t="shared" si="7"/>
        <v>-0.6970705417921671</v>
      </c>
      <c r="AB26" s="629">
        <f t="shared" si="8"/>
        <v>-6.5237581387990254E-2</v>
      </c>
      <c r="AC26" s="636">
        <f>IF(M26="","",SQRT(Z26^2+AA26^2+AB26^2))</f>
        <v>1</v>
      </c>
      <c r="AD26" s="637">
        <f>IF(M26="","",Z26*(1/SQRT(Z26^2+AA26^2+AB26^2)))</f>
        <v>0.71402851325435179</v>
      </c>
      <c r="AE26" s="629">
        <f>IF(M26="","",AA26*(1/SQRT(Z26^2+AA26^2+AB26^2)))</f>
        <v>-0.6970705417921671</v>
      </c>
      <c r="AF26" s="633">
        <f>IF(M26="","",AB26*(1/SQRT(Z26^2+AA26^2+AB26^2)))</f>
        <v>-6.5237581387990254E-2</v>
      </c>
      <c r="AG26" s="602">
        <f>IF(M26="","",DEGREES(ATAN2(-AF26,AE26)))</f>
        <v>-84.653364448851832</v>
      </c>
      <c r="AH26" s="603">
        <f>IF(M26="","",DEGREES(ACOS(AD26)))</f>
        <v>44.436361226395711</v>
      </c>
      <c r="AI26" s="585">
        <f>IF(M26="","",DEGREES(-ACOS(-AF26)))</f>
        <v>-86.259505493127037</v>
      </c>
      <c r="AJ26" s="586">
        <f>IF(M26="","",DEGREES(ATAN2(-AE26,AD26)))</f>
        <v>45.688522481877271</v>
      </c>
      <c r="AK26" s="635">
        <f>IF(M26="","",(COS(RADIANS((90-$Q$8)-W26))*AD26)+(-SIN(RADIANS((90-$Q$8)-W26))*AE26))</f>
        <v>0.86006334265854534</v>
      </c>
      <c r="AL26" s="629">
        <f>IF(M26="","",(SIN(RADIANS((90-$Q$8)-W26))*AD26)+(COS(RADIANS((90-$Q$8)-W26))*AE26))</f>
        <v>-0.5059991152063954</v>
      </c>
      <c r="AM26" s="634">
        <f>IF(M26="","",AF26)</f>
        <v>-6.5237581387990254E-2</v>
      </c>
      <c r="AN26" s="581">
        <f>IF(M26="","",DEGREES(ATAN2(-AM26,AL26)))</f>
        <v>-82.653482241159764</v>
      </c>
      <c r="AO26" s="582">
        <f t="shared" si="94"/>
        <v>30.676304255469738</v>
      </c>
      <c r="AP26" s="585">
        <f>IF(M26="","",DEGREES(ATAN2(AK26,AL26)))</f>
        <v>-30.469479516660002</v>
      </c>
      <c r="AQ26" s="586">
        <f t="shared" si="9"/>
        <v>0.38756929605843204</v>
      </c>
      <c r="AS26" s="52">
        <f t="shared" si="116"/>
        <v>-13.841998001462741</v>
      </c>
      <c r="AT26" s="72">
        <f t="shared" si="10"/>
        <v>-2.5248109141698851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1.254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1.1539999999999999</v>
      </c>
      <c r="II26" s="734" cm="1">
        <f t="array" ref="II26">IFERROR(ROUND(VALUE(IF($IH26&lt;1,$IH26+LARGE((IF($M$9:$M$150="",0,$M$9:$M$150)-MOD(IF($M$9:$M$150="",0,$M$9:$M$150),1)),1),$IH26)),4),"")</f>
        <v>1.1539999999999999</v>
      </c>
      <c r="IJ26" s="533">
        <f t="shared" si="112"/>
        <v>1613</v>
      </c>
      <c r="IK26" s="533">
        <f t="shared" si="66"/>
        <v>1313</v>
      </c>
      <c r="IL26" s="727">
        <f t="shared" si="225"/>
        <v>11.282998370936582</v>
      </c>
      <c r="IM26" s="759">
        <v>4.9686070652138101E-4</v>
      </c>
      <c r="IN26" s="5">
        <f t="shared" si="226"/>
        <v>0</v>
      </c>
      <c r="IO26" s="771">
        <v>0</v>
      </c>
      <c r="IP26" s="9">
        <f t="shared" si="227"/>
        <v>-5.843117622842751</v>
      </c>
      <c r="IQ26" s="5">
        <f t="shared" si="228"/>
        <v>-2.5473076826799712</v>
      </c>
      <c r="IR26" s="5">
        <f t="shared" si="71"/>
        <v>0.314</v>
      </c>
      <c r="IS26" s="5">
        <f t="shared" si="229"/>
        <v>0.27005988959478344</v>
      </c>
      <c r="IT26" s="727">
        <f t="shared" si="230"/>
        <v>82.653482241159764</v>
      </c>
      <c r="IU26" s="9">
        <f t="shared" si="231"/>
        <v>-5.8820238966477225</v>
      </c>
      <c r="IV26" s="5">
        <f t="shared" si="232"/>
        <v>-2.534423412782012</v>
      </c>
      <c r="IW26" s="5">
        <f t="shared" si="76"/>
        <v>0.26600000000000001</v>
      </c>
      <c r="IX26" s="5">
        <f t="shared" si="233"/>
        <v>0.22877684914717311</v>
      </c>
      <c r="IY26" s="762">
        <f t="shared" si="234"/>
        <v>82.653482241159764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1.6530687842726088</v>
      </c>
      <c r="C27" s="708">
        <v>5.6636951235626389</v>
      </c>
      <c r="D27" s="709">
        <v>-3.3444299979119845</v>
      </c>
      <c r="E27" s="710">
        <v>0.28018061480640505</v>
      </c>
      <c r="F27" s="708">
        <v>0.95994730224458336</v>
      </c>
      <c r="G27" s="711">
        <v>2.2679489666592363E-7</v>
      </c>
      <c r="H27" s="710">
        <v>0.26250000000000001</v>
      </c>
      <c r="I27" s="708">
        <v>0.40699999999999997</v>
      </c>
      <c r="J27" s="570">
        <v>1.2609999999999999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Inactive</v>
      </c>
      <c r="L27" s="320"/>
      <c r="M27" s="168">
        <f t="shared" si="1"/>
        <v>1.2609999999999999</v>
      </c>
      <c r="N27" s="632">
        <f t="shared" si="2"/>
        <v>1.6530687842726088</v>
      </c>
      <c r="O27" s="629">
        <f t="shared" si="3"/>
        <v>5.6636951235626389</v>
      </c>
      <c r="P27" s="633">
        <f t="shared" si="4"/>
        <v>-3.3444299979119845</v>
      </c>
      <c r="Q27" s="585">
        <f t="shared" si="113"/>
        <v>73.729002349241412</v>
      </c>
      <c r="R27" s="629">
        <f t="shared" si="79"/>
        <v>5.900006682894837</v>
      </c>
      <c r="S27" s="634">
        <f t="shared" si="80"/>
        <v>-3.3444299979119845</v>
      </c>
      <c r="T27" s="635">
        <f t="shared" si="81"/>
        <v>5.6636951235626389</v>
      </c>
      <c r="U27" s="629">
        <f t="shared" si="82"/>
        <v>-1.6530687842726095</v>
      </c>
      <c r="V27" s="636">
        <f t="shared" si="114"/>
        <v>-3.3444299979119845</v>
      </c>
      <c r="W27" s="585">
        <f t="shared" si="224"/>
        <v>343.7290023492414</v>
      </c>
      <c r="X27" s="629">
        <f t="shared" si="83"/>
        <v>5.900006682894837</v>
      </c>
      <c r="Y27" s="630">
        <f t="shared" si="223"/>
        <v>-3.3444299979119845</v>
      </c>
      <c r="Z27" s="632">
        <f t="shared" si="6"/>
        <v>-0.28018061480640505</v>
      </c>
      <c r="AA27" s="629">
        <f t="shared" si="7"/>
        <v>-0.95994730224458336</v>
      </c>
      <c r="AB27" s="629">
        <f t="shared" si="8"/>
        <v>-2.2679489666592363E-7</v>
      </c>
      <c r="AC27" s="636">
        <f t="shared" si="84"/>
        <v>1</v>
      </c>
      <c r="AD27" s="637">
        <f t="shared" si="115"/>
        <v>-0.28018061480640505</v>
      </c>
      <c r="AE27" s="629">
        <f t="shared" si="85"/>
        <v>-0.95994730224458336</v>
      </c>
      <c r="AF27" s="633">
        <f t="shared" si="86"/>
        <v>-2.2679489666592363E-7</v>
      </c>
      <c r="AG27" s="602">
        <f t="shared" si="87"/>
        <v>-89.999986463433601</v>
      </c>
      <c r="AH27" s="603">
        <f t="shared" si="88"/>
        <v>106.27098465636777</v>
      </c>
      <c r="AI27" s="585">
        <f t="shared" si="89"/>
        <v>-89.999987005609611</v>
      </c>
      <c r="AJ27" s="586">
        <f t="shared" si="90"/>
        <v>-16.270984656368206</v>
      </c>
      <c r="AK27" s="635">
        <f t="shared" si="211"/>
        <v>2.2679489675159203E-7</v>
      </c>
      <c r="AL27" s="629">
        <f t="shared" si="91"/>
        <v>-0.9999999999999486</v>
      </c>
      <c r="AM27" s="634">
        <f t="shared" si="92"/>
        <v>-2.2679489666592363E-7</v>
      </c>
      <c r="AN27" s="581">
        <f t="shared" si="93"/>
        <v>-89.999987005609611</v>
      </c>
      <c r="AO27" s="582">
        <f t="shared" si="94"/>
        <v>0</v>
      </c>
      <c r="AP27" s="585">
        <f t="shared" si="95"/>
        <v>-89.999987005609611</v>
      </c>
      <c r="AQ27" s="586">
        <f t="shared" si="9"/>
        <v>0.38638804923078213</v>
      </c>
      <c r="AS27" s="52">
        <f t="shared" si="116"/>
        <v>-16.270997650758602</v>
      </c>
      <c r="AT27" s="72">
        <f t="shared" si="10"/>
        <v>-3.3331306939878464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>Gage</v>
      </c>
      <c r="IG27" s="847">
        <f t="shared" si="210"/>
        <v>1.2609999999999999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1.161</v>
      </c>
      <c r="II27" s="734" cm="1">
        <f t="array" ref="II27">IFERROR(ROUND(VALUE(IF($IH27&lt;1,$IH27+LARGE((IF($M$9:$M$150="",0,$M$9:$M$150)-MOD(IF($M$9:$M$150="",0,$M$9:$M$150),1)),1),$IH27)),4),"")</f>
        <v>1.161</v>
      </c>
      <c r="IJ27" s="533">
        <f t="shared" si="112"/>
        <v>1613</v>
      </c>
      <c r="IK27" s="533" t="str">
        <f t="shared" si="66"/>
        <v>Inactive</v>
      </c>
      <c r="IL27" s="727">
        <f t="shared" si="225"/>
        <v>13.627998032360551</v>
      </c>
      <c r="IM27" s="759">
        <v>4.0172827225910498E-4</v>
      </c>
      <c r="IN27" s="5">
        <f t="shared" si="226"/>
        <v>0</v>
      </c>
      <c r="IO27" s="771">
        <v>0</v>
      </c>
      <c r="IP27" s="9">
        <f t="shared" si="227"/>
        <v>-5.9156178415034111</v>
      </c>
      <c r="IQ27" s="5">
        <f t="shared" si="228"/>
        <v>-3.3173100050069753</v>
      </c>
      <c r="IR27" s="5">
        <f t="shared" si="71"/>
        <v>0.314</v>
      </c>
      <c r="IS27" s="5">
        <f t="shared" si="229"/>
        <v>0.24053797548389932</v>
      </c>
      <c r="IT27" s="727">
        <f t="shared" si="230"/>
        <v>89.999987005609611</v>
      </c>
      <c r="IU27" s="9">
        <f t="shared" si="231"/>
        <v>-5.900006682894837</v>
      </c>
      <c r="IV27" s="5">
        <f t="shared" si="232"/>
        <v>-3.3444299979119845</v>
      </c>
      <c r="IW27" s="5">
        <f t="shared" si="76"/>
        <v>0.26250000000000001</v>
      </c>
      <c r="IX27" s="5">
        <f t="shared" si="233"/>
        <v>0.26250000000000001</v>
      </c>
      <c r="IY27" s="762">
        <f t="shared" si="234"/>
        <v>89.999987005609611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0.88563121908655551</v>
      </c>
      <c r="C28" s="708">
        <v>5.8387325645477395</v>
      </c>
      <c r="D28" s="709">
        <v>-9.9000298584900541</v>
      </c>
      <c r="E28" s="710">
        <v>-0.66244907560214383</v>
      </c>
      <c r="F28" s="708">
        <v>0.74074454615549123</v>
      </c>
      <c r="G28" s="711">
        <v>-0.11161872412261618</v>
      </c>
      <c r="H28" s="710">
        <v>0.26600000000000001</v>
      </c>
      <c r="I28" s="708">
        <v>0.52</v>
      </c>
      <c r="J28" s="570">
        <v>1.3037000000000001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1.3037000000000001</v>
      </c>
      <c r="N28" s="632">
        <f t="shared" si="2"/>
        <v>0.88563121908655551</v>
      </c>
      <c r="O28" s="629">
        <f t="shared" si="3"/>
        <v>5.8387325645477395</v>
      </c>
      <c r="P28" s="633">
        <f t="shared" si="4"/>
        <v>-9.9000298584900541</v>
      </c>
      <c r="Q28" s="585">
        <f t="shared" si="113"/>
        <v>81.375001245295763</v>
      </c>
      <c r="R28" s="629">
        <f t="shared" si="79"/>
        <v>5.9055178110417179</v>
      </c>
      <c r="S28" s="634">
        <f t="shared" si="80"/>
        <v>-9.9000298584900541</v>
      </c>
      <c r="T28" s="635">
        <f t="shared" si="81"/>
        <v>5.8387325645477404</v>
      </c>
      <c r="U28" s="629">
        <f t="shared" si="82"/>
        <v>-0.88563121908655085</v>
      </c>
      <c r="V28" s="636">
        <f t="shared" si="114"/>
        <v>-9.9000298584900541</v>
      </c>
      <c r="W28" s="585">
        <f t="shared" si="224"/>
        <v>351.37500124529578</v>
      </c>
      <c r="X28" s="629">
        <f t="shared" si="83"/>
        <v>5.9055178110417179</v>
      </c>
      <c r="Y28" s="630">
        <f t="shared" si="223"/>
        <v>-9.9000298584900541</v>
      </c>
      <c r="Z28" s="632">
        <f t="shared" si="6"/>
        <v>0.66244907560214383</v>
      </c>
      <c r="AA28" s="629">
        <f t="shared" si="7"/>
        <v>-0.74074454615549123</v>
      </c>
      <c r="AB28" s="629">
        <f t="shared" si="8"/>
        <v>0.11161872412261618</v>
      </c>
      <c r="AC28" s="636">
        <f t="shared" si="84"/>
        <v>1</v>
      </c>
      <c r="AD28" s="637">
        <f t="shared" si="115"/>
        <v>0.66244907560214383</v>
      </c>
      <c r="AE28" s="629">
        <f t="shared" si="85"/>
        <v>-0.74074454615549123</v>
      </c>
      <c r="AF28" s="633">
        <f t="shared" si="86"/>
        <v>0.11161872412261618</v>
      </c>
      <c r="AG28" s="602">
        <f t="shared" si="87"/>
        <v>-98.569117898646368</v>
      </c>
      <c r="AH28" s="603">
        <f t="shared" si="88"/>
        <v>48.513078236740093</v>
      </c>
      <c r="AI28" s="585">
        <f t="shared" si="89"/>
        <v>-96.408636339561326</v>
      </c>
      <c r="AJ28" s="586">
        <f t="shared" si="90"/>
        <v>41.806318799325943</v>
      </c>
      <c r="AK28" s="635">
        <f t="shared" si="211"/>
        <v>0.76604450791050693</v>
      </c>
      <c r="AL28" s="629">
        <f t="shared" si="91"/>
        <v>-0.63302217364432734</v>
      </c>
      <c r="AM28" s="634">
        <f t="shared" si="92"/>
        <v>0.11161872412261618</v>
      </c>
      <c r="AN28" s="581">
        <f t="shared" si="93"/>
        <v>-99.999985561788435</v>
      </c>
      <c r="AO28" s="582">
        <f t="shared" si="94"/>
        <v>39.999994224715408</v>
      </c>
      <c r="AP28" s="585">
        <f t="shared" si="95"/>
        <v>-39.568682445969856</v>
      </c>
      <c r="AQ28" s="586">
        <f t="shared" si="9"/>
        <v>0.38602747634774542</v>
      </c>
      <c r="AS28" s="52">
        <f t="shared" si="116"/>
        <v>-8.6249987547042224</v>
      </c>
      <c r="AT28" s="72">
        <f t="shared" si="10"/>
        <v>-9.89404027602151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>Gage</v>
      </c>
      <c r="IG28" s="847">
        <f t="shared" si="210"/>
        <v>1.3037000000000001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1.1040000000000001</v>
      </c>
      <c r="II28" s="734" cm="1">
        <f t="array" ref="II28">IFERROR(ROUND(VALUE(IF($IH28&lt;1,$IH28+LARGE((IF($M$9:$M$150="",0,$M$9:$M$150)-MOD(IF($M$9:$M$150="",0,$M$9:$M$150),1)),1),$IH28)),4),"")</f>
        <v>1.1040000000000001</v>
      </c>
      <c r="IJ28" s="533">
        <f t="shared" si="112"/>
        <v>1613</v>
      </c>
      <c r="IK28" s="533">
        <f t="shared" si="66"/>
        <v>1313</v>
      </c>
      <c r="IL28" s="727">
        <f t="shared" si="225"/>
        <v>8.6249987547042224</v>
      </c>
      <c r="IM28" s="759">
        <v>10.4559366170703</v>
      </c>
      <c r="IN28" s="5">
        <f t="shared" si="226"/>
        <v>4</v>
      </c>
      <c r="IO28" s="771">
        <v>2000</v>
      </c>
      <c r="IP28" s="9">
        <f t="shared" si="227"/>
        <v>-1.1303034089950816</v>
      </c>
      <c r="IQ28" s="5">
        <f t="shared" si="228"/>
        <v>-0.56440170223553399</v>
      </c>
      <c r="IR28" s="5">
        <f t="shared" si="71"/>
        <v>0.314</v>
      </c>
      <c r="IS28" s="5">
        <f t="shared" si="229"/>
        <v>0.29946712669884273</v>
      </c>
      <c r="IT28" s="727">
        <f t="shared" si="230"/>
        <v>-14.999997834268271</v>
      </c>
      <c r="IU28" s="9">
        <f t="shared" si="231"/>
        <v>-5.9055178110417179</v>
      </c>
      <c r="IV28" s="5">
        <f t="shared" si="232"/>
        <v>-9.9000298584900541</v>
      </c>
      <c r="IW28" s="5">
        <f t="shared" si="76"/>
        <v>0.26600000000000001</v>
      </c>
      <c r="IX28" s="5">
        <f t="shared" si="233"/>
        <v>0.20376783910419485</v>
      </c>
      <c r="IY28" s="762">
        <f t="shared" si="234"/>
        <v>99.999985561788435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2.0304030917774507</v>
      </c>
      <c r="C29" s="708">
        <v>1.3695219149571933</v>
      </c>
      <c r="D29" s="709">
        <v>-0.21140063758432298</v>
      </c>
      <c r="E29" s="710">
        <v>-0.59783382547364128</v>
      </c>
      <c r="F29" s="708">
        <v>0.74714658475799445</v>
      </c>
      <c r="G29" s="711">
        <v>0.29045946017304525</v>
      </c>
      <c r="H29" s="710">
        <v>0.314</v>
      </c>
      <c r="I29" s="708">
        <v>0.52</v>
      </c>
      <c r="J29" s="570">
        <v>2.1110000000000002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2.1110000000000002</v>
      </c>
      <c r="N29" s="632">
        <f t="shared" si="2"/>
        <v>2.0304030917774507</v>
      </c>
      <c r="O29" s="629">
        <f t="shared" si="3"/>
        <v>1.3695219149571933</v>
      </c>
      <c r="P29" s="633">
        <f t="shared" si="4"/>
        <v>-0.21140063758432298</v>
      </c>
      <c r="Q29" s="585">
        <f t="shared" si="113"/>
        <v>33.999956107836866</v>
      </c>
      <c r="R29" s="629">
        <f>IF(M29="","",SQRT(N29^2+O29^2))</f>
        <v>2.4491073865078778</v>
      </c>
      <c r="S29" s="634">
        <f>IF(M29="","",P29)</f>
        <v>-0.21140063758432298</v>
      </c>
      <c r="T29" s="635">
        <f>IF(M29="","",X29*COS(RADIANS(W29)))</f>
        <v>1.3695219149571916</v>
      </c>
      <c r="U29" s="629">
        <f>IF(M29="","",X29*SIN(RADIANS(W29)))</f>
        <v>-2.0304030917774516</v>
      </c>
      <c r="V29" s="636">
        <f>IF(M29="","",Y29)</f>
        <v>-0.21140063758432298</v>
      </c>
      <c r="W29" s="585">
        <f t="shared" si="224"/>
        <v>303.99995610783685</v>
      </c>
      <c r="X29" s="629">
        <f>IF(M29="","",R29)</f>
        <v>2.4491073865078778</v>
      </c>
      <c r="Y29" s="630">
        <f t="shared" si="223"/>
        <v>-0.21140063758432298</v>
      </c>
      <c r="Z29" s="632">
        <f t="shared" si="6"/>
        <v>0.59783382547364128</v>
      </c>
      <c r="AA29" s="629">
        <f t="shared" si="7"/>
        <v>-0.74714658475799445</v>
      </c>
      <c r="AB29" s="629">
        <f t="shared" si="8"/>
        <v>-0.29045946017304525</v>
      </c>
      <c r="AC29" s="636">
        <f>IF(M29="","",SQRT(Z29^2+AA29^2+AB29^2))</f>
        <v>1</v>
      </c>
      <c r="AD29" s="637">
        <f>IF(M29="","",Z29*(1/SQRT(Z29^2+AA29^2+AB29^2)))</f>
        <v>0.59783382547364128</v>
      </c>
      <c r="AE29" s="629">
        <f>IF(M29="","",AA29*(1/SQRT(Z29^2+AA29^2+AB29^2)))</f>
        <v>-0.74714658475799445</v>
      </c>
      <c r="AF29" s="633">
        <f>IF(M29="","",AB29*(1/SQRT(Z29^2+AA29^2+AB29^2)))</f>
        <v>-0.29045946017304525</v>
      </c>
      <c r="AG29" s="602">
        <f>IF(M29="","",DEGREES(ATAN2(-AF29,AE29)))</f>
        <v>-68.755992455468288</v>
      </c>
      <c r="AH29" s="603">
        <f>IF(M29="","",DEGREES(ACOS(AD29)))</f>
        <v>53.285086155420743</v>
      </c>
      <c r="AI29" s="585">
        <f>IF(M29="","",DEGREES(-ACOS(-AF29)))</f>
        <v>-73.114534769632428</v>
      </c>
      <c r="AJ29" s="586">
        <f>IF(M29="","",DEGREES(ATAN2(-AE29,AD29)))</f>
        <v>38.665258056619578</v>
      </c>
      <c r="AK29" s="635">
        <f>IF(M29="","",(COS(RADIANS((90-$Q$8)-W29))*AD29)+(-SIN(RADIANS((90-$Q$8)-W29))*AE29))</f>
        <v>0.95371696400905326</v>
      </c>
      <c r="AL29" s="629">
        <f>IF(M29="","",(SIN(RADIANS((90-$Q$8)-W29))*AD29)+(COS(RADIANS((90-$Q$8)-W29))*AE29))</f>
        <v>7.7828366019962292E-2</v>
      </c>
      <c r="AM29" s="634">
        <f>IF(M29="","",AF29)</f>
        <v>-0.29045946017304525</v>
      </c>
      <c r="AN29" s="581">
        <f>IF(M29="","",DEGREES(ATAN2(-AM29,AL29)))</f>
        <v>14.999997834268411</v>
      </c>
      <c r="AO29" s="582">
        <f t="shared" si="94"/>
        <v>17.499997473312991</v>
      </c>
      <c r="AP29" s="585">
        <f>IF(M29="","",DEGREES(ATAN2(AK29,AL29)))</f>
        <v>4.6653019487827505</v>
      </c>
      <c r="AQ29" s="586">
        <f t="shared" si="9"/>
        <v>0.93075791865641833</v>
      </c>
      <c r="AS29" s="52">
        <f t="shared" si="116"/>
        <v>-56.000043892163148</v>
      </c>
      <c r="AT29" s="72">
        <f t="shared" si="10"/>
        <v>-0.17251171821476524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2.1110000000000002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36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2.6631488564045447</v>
      </c>
      <c r="C30" s="708">
        <v>1.7860525612775764</v>
      </c>
      <c r="D30" s="709">
        <v>-0.13160039690679706</v>
      </c>
      <c r="E30" s="710">
        <v>-0.50078674441594728</v>
      </c>
      <c r="F30" s="708">
        <v>0.81207915051956869</v>
      </c>
      <c r="G30" s="711">
        <v>0.29956650331552825</v>
      </c>
      <c r="H30" s="710">
        <v>0.314</v>
      </c>
      <c r="I30" s="708">
        <v>0.52</v>
      </c>
      <c r="J30" s="570">
        <v>2.1179999999999999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2.1179999999999999</v>
      </c>
      <c r="N30" s="632">
        <f t="shared" si="2"/>
        <v>2.6631488564045447</v>
      </c>
      <c r="O30" s="629">
        <f t="shared" si="3"/>
        <v>1.7860525612775764</v>
      </c>
      <c r="P30" s="633">
        <f t="shared" si="4"/>
        <v>-0.13160039690679706</v>
      </c>
      <c r="Q30" s="585">
        <f t="shared" si="113"/>
        <v>33.847956129782951</v>
      </c>
      <c r="R30" s="629">
        <f>IF(M30="","",SQRT(N30^2+O30^2))</f>
        <v>3.206609671134768</v>
      </c>
      <c r="S30" s="634">
        <f>IF(M30="","",P30)</f>
        <v>-0.13160039690679706</v>
      </c>
      <c r="T30" s="635">
        <f>IF(M30="","",X30*COS(RADIANS(W30)))</f>
        <v>1.7860525612775762</v>
      </c>
      <c r="U30" s="629">
        <f>IF(M30="","",X30*SIN(RADIANS(W30)))</f>
        <v>-2.6631488564045447</v>
      </c>
      <c r="V30" s="636">
        <f>IF(M30="","",Y30)</f>
        <v>-0.13160039690679706</v>
      </c>
      <c r="W30" s="585">
        <f t="shared" si="224"/>
        <v>303.84795612978297</v>
      </c>
      <c r="X30" s="629">
        <f>IF(M30="","",R30)</f>
        <v>3.206609671134768</v>
      </c>
      <c r="Y30" s="630">
        <f t="shared" si="223"/>
        <v>-0.13160039690679706</v>
      </c>
      <c r="Z30" s="632">
        <f t="shared" si="6"/>
        <v>0.50078674441594728</v>
      </c>
      <c r="AA30" s="629">
        <f t="shared" si="7"/>
        <v>-0.81207915051956869</v>
      </c>
      <c r="AB30" s="629">
        <f t="shared" si="8"/>
        <v>-0.29956650331552825</v>
      </c>
      <c r="AC30" s="636">
        <f>IF(M30="","",SQRT(Z30^2+AA30^2+AB30^2))</f>
        <v>1</v>
      </c>
      <c r="AD30" s="637">
        <f>IF(M30="","",Z30*(1/SQRT(Z30^2+AA30^2+AB30^2)))</f>
        <v>0.50078674441594728</v>
      </c>
      <c r="AE30" s="629">
        <f>IF(M30="","",AA30*(1/SQRT(Z30^2+AA30^2+AB30^2)))</f>
        <v>-0.81207915051956869</v>
      </c>
      <c r="AF30" s="633">
        <f>IF(M30="","",AB30*(1/SQRT(Z30^2+AA30^2+AB30^2)))</f>
        <v>-0.29956650331552825</v>
      </c>
      <c r="AG30" s="602">
        <f>IF(M30="","",DEGREES(ATAN2(-AF30,AE30)))</f>
        <v>-69.751571963755254</v>
      </c>
      <c r="AH30" s="603">
        <f>IF(M30="","",DEGREES(ACOS(AD30)))</f>
        <v>59.947935743918329</v>
      </c>
      <c r="AI30" s="585">
        <f>IF(M30="","",DEGREES(-ACOS(-AF30)))</f>
        <v>-72.568431823522261</v>
      </c>
      <c r="AJ30" s="586">
        <f>IF(M30="","",DEGREES(ATAN2(-AE30,AD30)))</f>
        <v>31.66098631169438</v>
      </c>
      <c r="AK30" s="635">
        <f>IF(M30="","",(COS(RADIANS((90-$Q$8)-W30))*AD30)+(-SIN(RADIANS((90-$Q$8)-W30))*AE30))</f>
        <v>0.9533804928157219</v>
      </c>
      <c r="AL30" s="629">
        <f>IF(M30="","",(SIN(RADIANS((90-$Q$8)-W30))*AD30)+(COS(RADIANS((90-$Q$8)-W30))*AE30))</f>
        <v>-3.6408048694743123E-2</v>
      </c>
      <c r="AM30" s="634">
        <f>IF(M30="","",AF30)</f>
        <v>-0.29956650331552825</v>
      </c>
      <c r="AN30" s="581">
        <f>IF(M30="","",DEGREES(ATAN2(-AM30,AL30)))</f>
        <v>-6.9295021897594982</v>
      </c>
      <c r="AO30" s="582">
        <f>IF(ROUND(IF(M30="",0,DEGREES(ACOS(AK30))),4)=90,0,IF(M30="","",DEGREES(ACOS(AK30))))</f>
        <v>17.563994573259301</v>
      </c>
      <c r="AP30" s="585">
        <f>IF(M30="","",DEGREES(ATAN2(AK30,AL30)))</f>
        <v>-2.1869698180885671</v>
      </c>
      <c r="AQ30" s="586">
        <f t="shared" si="9"/>
        <v>0.71090961343776826</v>
      </c>
      <c r="AS30" s="52">
        <f t="shared" si="116"/>
        <v>-56.152043870217028</v>
      </c>
      <c r="AT30" s="72">
        <f t="shared" si="10"/>
        <v>-9.2605921996924134E-2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2.1179999999999999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17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150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3.2992614072378599</v>
      </c>
      <c r="C31" s="708">
        <v>2.1721552191733435</v>
      </c>
      <c r="D31" s="709">
        <v>-0.26040078536876871</v>
      </c>
      <c r="E31" s="710">
        <v>-0.41403794415925549</v>
      </c>
      <c r="F31" s="708">
        <v>0.86751165659678997</v>
      </c>
      <c r="G31" s="711">
        <v>0.27567391328355817</v>
      </c>
      <c r="H31" s="710">
        <v>0.314</v>
      </c>
      <c r="I31" s="708">
        <v>0.52</v>
      </c>
      <c r="J31" s="570">
        <v>2.125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2.125</v>
      </c>
      <c r="N31" s="632">
        <f t="shared" si="2"/>
        <v>3.2992614072378599</v>
      </c>
      <c r="O31" s="629">
        <f t="shared" si="3"/>
        <v>2.1721552191733435</v>
      </c>
      <c r="P31" s="633">
        <f t="shared" si="4"/>
        <v>-0.26040078536876871</v>
      </c>
      <c r="Q31" s="585">
        <f t="shared" si="113"/>
        <v>33.359956200241427</v>
      </c>
      <c r="R31" s="629">
        <f>IF(M31="","",SQRT(N31^2+O31^2))</f>
        <v>3.9501119135375315</v>
      </c>
      <c r="S31" s="634">
        <f>IF(M31="","",P31)</f>
        <v>-0.26040078536876871</v>
      </c>
      <c r="T31" s="635">
        <f>IF(M31="","",X31*COS(RADIANS(W31)))</f>
        <v>2.1721552191733418</v>
      </c>
      <c r="U31" s="629">
        <f>IF(M31="","",X31*SIN(RADIANS(W31)))</f>
        <v>-3.2992614072378608</v>
      </c>
      <c r="V31" s="636">
        <f>IF(M31="","",Y31)</f>
        <v>-0.26040078536876871</v>
      </c>
      <c r="W31" s="585">
        <f t="shared" si="224"/>
        <v>303.35995620024141</v>
      </c>
      <c r="X31" s="629">
        <f>IF(M31="","",R31)</f>
        <v>3.9501119135375315</v>
      </c>
      <c r="Y31" s="630">
        <f t="shared" si="223"/>
        <v>-0.26040078536876871</v>
      </c>
      <c r="Z31" s="632">
        <f t="shared" si="6"/>
        <v>0.41403794415925549</v>
      </c>
      <c r="AA31" s="629">
        <f t="shared" si="7"/>
        <v>-0.86751165659678997</v>
      </c>
      <c r="AB31" s="629">
        <f t="shared" si="8"/>
        <v>-0.27567391328355817</v>
      </c>
      <c r="AC31" s="636">
        <f>IF(M31="","",SQRT(Z31^2+AA31^2+AB31^2))</f>
        <v>1</v>
      </c>
      <c r="AD31" s="637">
        <f>IF(M31="","",Z31*(1/SQRT(Z31^2+AA31^2+AB31^2)))</f>
        <v>0.41403794415925549</v>
      </c>
      <c r="AE31" s="629">
        <f>IF(M31="","",AA31*(1/SQRT(Z31^2+AA31^2+AB31^2)))</f>
        <v>-0.86751165659678997</v>
      </c>
      <c r="AF31" s="633">
        <f>IF(M31="","",AB31*(1/SQRT(Z31^2+AA31^2+AB31^2)))</f>
        <v>-0.27567391328355817</v>
      </c>
      <c r="AG31" s="602">
        <f>IF(M31="","",DEGREES(ATAN2(-AF31,AE31)))</f>
        <v>-72.371020589812019</v>
      </c>
      <c r="AH31" s="603">
        <f>IF(M31="","",DEGREES(ACOS(AD31)))</f>
        <v>65.541254154051245</v>
      </c>
      <c r="AI31" s="585">
        <f>IF(M31="","",DEGREES(-ACOS(-AF31)))</f>
        <v>-73.997820988838015</v>
      </c>
      <c r="AJ31" s="586">
        <f>IF(M31="","",DEGREES(ATAN2(-AE31,AD31)))</f>
        <v>25.513778435161726</v>
      </c>
      <c r="AK31" s="635">
        <f>IF(M31="","",(COS(RADIANS((90-$Q$8)-W31))*AD31)+(-SIN(RADIANS((90-$Q$8)-W31))*AE31))</f>
        <v>0.95225211148802091</v>
      </c>
      <c r="AL31" s="629">
        <f>IF(M31="","",(SIN(RADIANS((90-$Q$8)-W31))*AD31)+(COS(RADIANS((90-$Q$8)-W31))*AE31))</f>
        <v>-0.13122427253193514</v>
      </c>
      <c r="AM31" s="634">
        <f>IF(M31="","",AF31)</f>
        <v>-0.27567391328355817</v>
      </c>
      <c r="AN31" s="581">
        <f>IF(M31="","",DEGREES(ATAN2(-AM31,AL31)))</f>
        <v>-25.455039534637436</v>
      </c>
      <c r="AO31" s="582">
        <f t="shared" si="94"/>
        <v>17.77698470491638</v>
      </c>
      <c r="AP31" s="585">
        <f>IF(M31="","",DEGREES(ATAN2(AK31,AL31)))</f>
        <v>-7.8461777650796645</v>
      </c>
      <c r="AQ31" s="586">
        <f t="shared" si="9"/>
        <v>0.57711011359018438</v>
      </c>
      <c r="AS31" s="52">
        <f t="shared" si="116"/>
        <v>-56.640043799758587</v>
      </c>
      <c r="AT31" s="72">
        <f t="shared" si="10"/>
        <v>-0.22106742161893636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2.125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3.8946163504957472</v>
      </c>
      <c r="C32" s="708">
        <v>2.5049050249327007</v>
      </c>
      <c r="D32" s="709">
        <v>-0.58640176858773418</v>
      </c>
      <c r="E32" s="710">
        <v>-0.33216690974845403</v>
      </c>
      <c r="F32" s="708">
        <v>0.91361753541419188</v>
      </c>
      <c r="G32" s="711">
        <v>0.23445285891168052</v>
      </c>
      <c r="H32" s="710">
        <v>0.314</v>
      </c>
      <c r="I32" s="708">
        <v>0.52</v>
      </c>
      <c r="J32" s="570">
        <v>2.1320000000000001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2.1320000000000001</v>
      </c>
      <c r="N32" s="632">
        <f t="shared" si="2"/>
        <v>3.8946163504957472</v>
      </c>
      <c r="O32" s="629">
        <f t="shared" si="3"/>
        <v>2.5049050249327007</v>
      </c>
      <c r="P32" s="633">
        <f t="shared" si="4"/>
        <v>-0.58640176858773418</v>
      </c>
      <c r="Q32" s="585">
        <f t="shared" si="113"/>
        <v>32.747956288603277</v>
      </c>
      <c r="R32" s="629">
        <f t="shared" si="79"/>
        <v>4.6306139659317216</v>
      </c>
      <c r="S32" s="634">
        <f t="shared" si="80"/>
        <v>-0.58640176858773418</v>
      </c>
      <c r="T32" s="635">
        <f t="shared" si="81"/>
        <v>2.5049050249327007</v>
      </c>
      <c r="U32" s="629">
        <f t="shared" si="82"/>
        <v>-3.8946163504957472</v>
      </c>
      <c r="V32" s="636">
        <f t="shared" si="114"/>
        <v>-0.58640176858773418</v>
      </c>
      <c r="W32" s="585">
        <f t="shared" si="224"/>
        <v>302.74795628860329</v>
      </c>
      <c r="X32" s="629">
        <f t="shared" si="83"/>
        <v>4.6306139659317216</v>
      </c>
      <c r="Y32" s="630">
        <f t="shared" si="223"/>
        <v>-0.58640176858773418</v>
      </c>
      <c r="Z32" s="632">
        <f t="shared" si="6"/>
        <v>0.33216690974845403</v>
      </c>
      <c r="AA32" s="629">
        <f t="shared" si="7"/>
        <v>-0.91361753541419188</v>
      </c>
      <c r="AB32" s="629">
        <f t="shared" si="8"/>
        <v>-0.23445285891168052</v>
      </c>
      <c r="AC32" s="636">
        <f t="shared" si="84"/>
        <v>1</v>
      </c>
      <c r="AD32" s="637">
        <f t="shared" si="115"/>
        <v>0.33216690974845403</v>
      </c>
      <c r="AE32" s="629">
        <f t="shared" si="85"/>
        <v>-0.91361753541419188</v>
      </c>
      <c r="AF32" s="633">
        <f t="shared" si="86"/>
        <v>-0.23445285891168052</v>
      </c>
      <c r="AG32" s="602">
        <f t="shared" si="87"/>
        <v>-75.60731067555362</v>
      </c>
      <c r="AH32" s="603">
        <f t="shared" si="88"/>
        <v>70.59964902494751</v>
      </c>
      <c r="AI32" s="585">
        <f t="shared" si="89"/>
        <v>-76.44062711618956</v>
      </c>
      <c r="AJ32" s="586">
        <f t="shared" si="90"/>
        <v>19.979913363563895</v>
      </c>
      <c r="AK32" s="635">
        <f t="shared" si="211"/>
        <v>0.94808947262043097</v>
      </c>
      <c r="AL32" s="629">
        <f t="shared" si="91"/>
        <v>-0.21484461560498264</v>
      </c>
      <c r="AM32" s="634">
        <f t="shared" si="92"/>
        <v>-0.23445285891168052</v>
      </c>
      <c r="AN32" s="581">
        <f t="shared" si="93"/>
        <v>-42.501082912415427</v>
      </c>
      <c r="AO32" s="582">
        <f t="shared" si="94"/>
        <v>18.542239876432962</v>
      </c>
      <c r="AP32" s="585">
        <f t="shared" si="95"/>
        <v>-12.768042925039385</v>
      </c>
      <c r="AQ32" s="586">
        <f t="shared" si="9"/>
        <v>0.49230416221526585</v>
      </c>
      <c r="AS32" s="52">
        <f t="shared" si="116"/>
        <v>-57.252043711396709</v>
      </c>
      <c r="AT32" s="72">
        <f t="shared" si="10"/>
        <v>-0.54664340489926422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2.1320000000000001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4.3987682131988421</v>
      </c>
      <c r="C33" s="708">
        <v>2.7672606223276563</v>
      </c>
      <c r="D33" s="709">
        <v>-1.0852032729730712</v>
      </c>
      <c r="E33" s="710">
        <v>-0.24615355281010692</v>
      </c>
      <c r="F33" s="708">
        <v>0.95006094590144852</v>
      </c>
      <c r="G33" s="711">
        <v>0.19181404409429156</v>
      </c>
      <c r="H33" s="710">
        <v>0.314</v>
      </c>
      <c r="I33" s="708">
        <v>0.52</v>
      </c>
      <c r="J33" s="570">
        <v>2.1389999999999998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2.1389999999999998</v>
      </c>
      <c r="N33" s="632">
        <f t="shared" si="2"/>
        <v>4.3987682131988421</v>
      </c>
      <c r="O33" s="629">
        <f t="shared" si="3"/>
        <v>2.7672606223276563</v>
      </c>
      <c r="P33" s="633">
        <f t="shared" si="4"/>
        <v>-1.0852032729730712</v>
      </c>
      <c r="Q33" s="585">
        <f t="shared" si="113"/>
        <v>32.17395637147861</v>
      </c>
      <c r="R33" s="629">
        <f t="shared" si="79"/>
        <v>5.1968156735960704</v>
      </c>
      <c r="S33" s="634">
        <f t="shared" si="80"/>
        <v>-1.0852032729730712</v>
      </c>
      <c r="T33" s="635">
        <f t="shared" si="81"/>
        <v>2.7672606223276555</v>
      </c>
      <c r="U33" s="629">
        <f t="shared" si="82"/>
        <v>-4.3987682131988421</v>
      </c>
      <c r="V33" s="636">
        <f t="shared" si="114"/>
        <v>-1.0852032729730712</v>
      </c>
      <c r="W33" s="585">
        <f t="shared" si="224"/>
        <v>302.1739563714786</v>
      </c>
      <c r="X33" s="629">
        <f t="shared" si="83"/>
        <v>5.1968156735960704</v>
      </c>
      <c r="Y33" s="630">
        <f t="shared" si="223"/>
        <v>-1.0852032729730712</v>
      </c>
      <c r="Z33" s="632">
        <f t="shared" si="6"/>
        <v>0.24615355281010692</v>
      </c>
      <c r="AA33" s="629">
        <f t="shared" si="7"/>
        <v>-0.95006094590144852</v>
      </c>
      <c r="AB33" s="629">
        <f t="shared" si="8"/>
        <v>-0.19181404409429156</v>
      </c>
      <c r="AC33" s="636">
        <f t="shared" si="84"/>
        <v>1</v>
      </c>
      <c r="AD33" s="637">
        <f t="shared" si="115"/>
        <v>0.24615355281010692</v>
      </c>
      <c r="AE33" s="629">
        <f t="shared" si="85"/>
        <v>-0.95006094590144852</v>
      </c>
      <c r="AF33" s="633">
        <f t="shared" si="86"/>
        <v>-0.19181404409429156</v>
      </c>
      <c r="AG33" s="602">
        <f t="shared" si="87"/>
        <v>-78.585619846516067</v>
      </c>
      <c r="AH33" s="603">
        <f t="shared" si="88"/>
        <v>75.749984643120868</v>
      </c>
      <c r="AI33" s="585">
        <f t="shared" si="89"/>
        <v>-78.941331299554619</v>
      </c>
      <c r="AJ33" s="586">
        <f t="shared" si="90"/>
        <v>14.525495508487081</v>
      </c>
      <c r="AK33" s="635">
        <f t="shared" si="211"/>
        <v>0.93523981384684918</v>
      </c>
      <c r="AL33" s="629">
        <f t="shared" si="91"/>
        <v>-0.29754640492518858</v>
      </c>
      <c r="AM33" s="634">
        <f t="shared" si="92"/>
        <v>-0.19181404409429156</v>
      </c>
      <c r="AN33" s="581">
        <f t="shared" si="93"/>
        <v>-57.192045435604577</v>
      </c>
      <c r="AO33" s="582">
        <f t="shared" si="94"/>
        <v>20.733076867569704</v>
      </c>
      <c r="AP33" s="585">
        <f t="shared" si="95"/>
        <v>-17.648460862991527</v>
      </c>
      <c r="AQ33" s="586">
        <f t="shared" si="9"/>
        <v>0.43866902943274805</v>
      </c>
      <c r="AS33" s="52">
        <f t="shared" si="116"/>
        <v>-57.826043628521404</v>
      </c>
      <c r="AT33" s="72">
        <f t="shared" si="10"/>
        <v>-1.0450462982310424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2.1389999999999998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4.7692167738389815</v>
      </c>
      <c r="C34" s="708">
        <v>2.946903355660742</v>
      </c>
      <c r="D34" s="709">
        <v>-1.7190051845196368</v>
      </c>
      <c r="E34" s="710">
        <v>-0.14325524689416366</v>
      </c>
      <c r="F34" s="708">
        <v>0.97884579388132809</v>
      </c>
      <c r="G34" s="711">
        <v>0.14607821890386311</v>
      </c>
      <c r="H34" s="710">
        <v>0.314</v>
      </c>
      <c r="I34" s="708">
        <v>0.52</v>
      </c>
      <c r="J34" s="570">
        <v>2.1459999999999999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2.1459999999999999</v>
      </c>
      <c r="N34" s="632">
        <f t="shared" si="2"/>
        <v>4.7692167738389815</v>
      </c>
      <c r="O34" s="629">
        <f t="shared" si="3"/>
        <v>2.946903355660742</v>
      </c>
      <c r="P34" s="633">
        <f t="shared" si="4"/>
        <v>-1.7190051845196368</v>
      </c>
      <c r="Q34" s="585">
        <f t="shared" si="113"/>
        <v>31.711956438183154</v>
      </c>
      <c r="R34" s="629">
        <f>IF(M34="","",SQRT(N34^2+O34^2))</f>
        <v>5.6062169083501976</v>
      </c>
      <c r="S34" s="634">
        <f>IF(M34="","",P34)</f>
        <v>-1.7190051845196368</v>
      </c>
      <c r="T34" s="635">
        <f>IF(M34="","",X34*COS(RADIANS(W34)))</f>
        <v>2.9469033556607407</v>
      </c>
      <c r="U34" s="629">
        <f>IF(M34="","",X34*SIN(RADIANS(W34)))</f>
        <v>-4.7692167738389823</v>
      </c>
      <c r="V34" s="636">
        <f>IF(M34="","",Y34)</f>
        <v>-1.7190051845196368</v>
      </c>
      <c r="W34" s="585">
        <f t="shared" si="224"/>
        <v>301.71195643818317</v>
      </c>
      <c r="X34" s="629">
        <f>IF(M34="","",R34)</f>
        <v>5.6062169083501976</v>
      </c>
      <c r="Y34" s="630">
        <f t="shared" si="223"/>
        <v>-1.7190051845196368</v>
      </c>
      <c r="Z34" s="632">
        <f t="shared" si="6"/>
        <v>0.14325524689416366</v>
      </c>
      <c r="AA34" s="629">
        <f t="shared" si="7"/>
        <v>-0.97884579388132809</v>
      </c>
      <c r="AB34" s="629">
        <f t="shared" si="8"/>
        <v>-0.14607821890386311</v>
      </c>
      <c r="AC34" s="636">
        <f>IF(M34="","",SQRT(Z34^2+AA34^2+AB34^2))</f>
        <v>1</v>
      </c>
      <c r="AD34" s="637">
        <f>IF(M34="","",Z34*(1/SQRT(Z34^2+AA34^2+AB34^2)))</f>
        <v>0.14325524689416366</v>
      </c>
      <c r="AE34" s="629">
        <f>IF(M34="","",AA34*(1/SQRT(Z34^2+AA34^2+AB34^2)))</f>
        <v>-0.97884579388132809</v>
      </c>
      <c r="AF34" s="633">
        <f>IF(M34="","",AB34*(1/SQRT(Z34^2+AA34^2+AB34^2)))</f>
        <v>-0.14607821890386311</v>
      </c>
      <c r="AG34" s="602">
        <f>IF(M34="","",DEGREES(ATAN2(-AF34,AE34)))</f>
        <v>-81.512096408476481</v>
      </c>
      <c r="AH34" s="603">
        <f>IF(M34="","",DEGREES(ACOS(AD34)))</f>
        <v>81.763742571416515</v>
      </c>
      <c r="AI34" s="585">
        <f>IF(M34="","",DEGREES(-ACOS(-AF34)))</f>
        <v>-81.600278561350223</v>
      </c>
      <c r="AJ34" s="586">
        <f>IF(M34="","",DEGREES(ATAN2(-AE34,AD34)))</f>
        <v>8.3261959449492</v>
      </c>
      <c r="AK34" s="635">
        <f>IF(M34="","",(COS(RADIANS((90-$Q$8)-W34))*AD34)+(-SIN(RADIANS((90-$Q$8)-W34))*AE34))</f>
        <v>0.90800752632081394</v>
      </c>
      <c r="AL34" s="629">
        <f>IF(M34="","",(SIN(RADIANS((90-$Q$8)-W34))*AD34)+(COS(RADIANS((90-$Q$8)-W34))*AE34))</f>
        <v>-0.39266205075946875</v>
      </c>
      <c r="AM34" s="634">
        <f>IF(M34="","",AF34)</f>
        <v>-0.14607821890386311</v>
      </c>
      <c r="AN34" s="581">
        <f>IF(M34="","",DEGREES(ATAN2(-AM34,AL34)))</f>
        <v>-69.5937817389526</v>
      </c>
      <c r="AO34" s="582">
        <f t="shared" si="94"/>
        <v>24.768557553274107</v>
      </c>
      <c r="AP34" s="585">
        <f>IF(M34="","",DEGREES(ATAN2(AK34,AL34)))</f>
        <v>-23.385760493233931</v>
      </c>
      <c r="AQ34" s="586">
        <f t="shared" si="9"/>
        <v>0.40663577471493001</v>
      </c>
      <c r="AS34" s="52">
        <f t="shared" si="116"/>
        <v>-58.288043561816835</v>
      </c>
      <c r="AT34" s="72">
        <f t="shared" si="10"/>
        <v>-1.6785273764905972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2.1459999999999999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4.9714028172781424</v>
      </c>
      <c r="C35" s="708">
        <v>3.0413446553552017</v>
      </c>
      <c r="D35" s="709">
        <v>-2.4403073599669973</v>
      </c>
      <c r="E35" s="710">
        <v>-1.9405347818854064E-2</v>
      </c>
      <c r="F35" s="708">
        <v>0.99642452470435838</v>
      </c>
      <c r="G35" s="711">
        <v>8.2228942859086537E-2</v>
      </c>
      <c r="H35" s="710">
        <v>0.314</v>
      </c>
      <c r="I35" s="708">
        <v>0.52</v>
      </c>
      <c r="J35" s="570">
        <v>2.153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2.153</v>
      </c>
      <c r="N35" s="632">
        <f t="shared" si="2"/>
        <v>4.9714028172781424</v>
      </c>
      <c r="O35" s="629">
        <f t="shared" si="3"/>
        <v>3.0413446553552017</v>
      </c>
      <c r="P35" s="633">
        <f t="shared" si="4"/>
        <v>-2.4403073599669973</v>
      </c>
      <c r="Q35" s="585">
        <f t="shared" si="113"/>
        <v>31.456956475000595</v>
      </c>
      <c r="R35" s="629">
        <f>IF(M35="","",SQRT(N35^2+O35^2))</f>
        <v>5.8279175769994129</v>
      </c>
      <c r="S35" s="634">
        <f>IF(M35="","",P35)</f>
        <v>-2.4403073599669973</v>
      </c>
      <c r="T35" s="635">
        <f>IF(M35="","",X35*COS(RADIANS(W35)))</f>
        <v>3.0413446553551999</v>
      </c>
      <c r="U35" s="629">
        <f>IF(M35="","",X35*SIN(RADIANS(W35)))</f>
        <v>-4.9714028172781441</v>
      </c>
      <c r="V35" s="636">
        <f>IF(M35="","",Y35)</f>
        <v>-2.4403073599669973</v>
      </c>
      <c r="W35" s="585">
        <f t="shared" si="224"/>
        <v>301.4569564750006</v>
      </c>
      <c r="X35" s="629">
        <f>IF(M35="","",R35)</f>
        <v>5.8279175769994129</v>
      </c>
      <c r="Y35" s="630">
        <f t="shared" si="223"/>
        <v>-2.4403073599669973</v>
      </c>
      <c r="Z35" s="632">
        <f t="shared" si="6"/>
        <v>1.9405347818854064E-2</v>
      </c>
      <c r="AA35" s="629">
        <f t="shared" si="7"/>
        <v>-0.99642452470435838</v>
      </c>
      <c r="AB35" s="629">
        <f t="shared" si="8"/>
        <v>-8.2228942859086537E-2</v>
      </c>
      <c r="AC35" s="636">
        <f>IF(M35="","",SQRT(Z35^2+AA35^2+AB35^2))</f>
        <v>1</v>
      </c>
      <c r="AD35" s="637">
        <f>IF(M35="","",Z35*(1/SQRT(Z35^2+AA35^2+AB35^2)))</f>
        <v>1.9405347818854064E-2</v>
      </c>
      <c r="AE35" s="629">
        <f>IF(M35="","",AA35*(1/SQRT(Z35^2+AA35^2+AB35^2)))</f>
        <v>-0.99642452470435838</v>
      </c>
      <c r="AF35" s="633">
        <f>IF(M35="","",AB35*(1/SQRT(Z35^2+AA35^2+AB35^2)))</f>
        <v>-8.2228942859086537E-2</v>
      </c>
      <c r="AG35" s="602">
        <f>IF(M35="","",DEGREES(ATAN2(-AF35,AE35)))</f>
        <v>-85.282412658233369</v>
      </c>
      <c r="AH35" s="603">
        <f>IF(M35="","",DEGREES(ACOS(AD35)))</f>
        <v>88.888085677411937</v>
      </c>
      <c r="AI35" s="585">
        <f>IF(M35="","",DEGREES(-ACOS(-AF35)))</f>
        <v>-85.283302999311189</v>
      </c>
      <c r="AJ35" s="586">
        <f>IF(M35="","",DEGREES(ATAN2(-AE35,AD35)))</f>
        <v>1.1156931303181825</v>
      </c>
      <c r="AK35" s="635">
        <f>IF(M35="","",(COS(RADIANS((90-$Q$8)-W35))*AD35)+(-SIN(RADIANS((90-$Q$8)-W35))*AE35))</f>
        <v>0.8601092884321978</v>
      </c>
      <c r="AL35" s="629">
        <f>IF(M35="","",(SIN(RADIANS((90-$Q$8)-W35))*AD35)+(COS(RADIANS((90-$Q$8)-W35))*AE35))</f>
        <v>-0.50343858901452476</v>
      </c>
      <c r="AM35" s="634">
        <f>IF(M35="","",AF35)</f>
        <v>-8.2228942859086537E-2</v>
      </c>
      <c r="AN35" s="581">
        <f>IF(M35="","",DEGREES(ATAN2(-AM35,AL35)))</f>
        <v>-80.723530845427888</v>
      </c>
      <c r="AO35" s="582">
        <f t="shared" si="94"/>
        <v>30.671143995791919</v>
      </c>
      <c r="AP35" s="585">
        <f>IF(M35="","",DEGREES(ATAN2(AK35,AL35)))</f>
        <v>-30.341263344682389</v>
      </c>
      <c r="AQ35" s="586">
        <f t="shared" si="9"/>
        <v>0.39116737364561127</v>
      </c>
      <c r="AS35" s="52">
        <f t="shared" si="116"/>
        <v>-58.543043524999405</v>
      </c>
      <c r="AT35" s="72">
        <f t="shared" si="10"/>
        <v>-2.3996524686301921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2.153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5.0515943259680833</v>
      </c>
      <c r="C36" s="708">
        <v>3.0782997275380026</v>
      </c>
      <c r="D36" s="709">
        <v>-3.2140096934532352</v>
      </c>
      <c r="E36" s="710">
        <v>0.15027800572468811</v>
      </c>
      <c r="F36" s="708">
        <v>0.98864377861562935</v>
      </c>
      <c r="G36" s="711">
        <v>1.4578093225161044E-7</v>
      </c>
      <c r="H36" s="710">
        <v>0.314</v>
      </c>
      <c r="I36" s="708">
        <v>0.52</v>
      </c>
      <c r="J36" s="570">
        <v>2.16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2.16</v>
      </c>
      <c r="N36" s="632">
        <f t="shared" si="2"/>
        <v>5.0515943259680833</v>
      </c>
      <c r="O36" s="629">
        <f t="shared" si="3"/>
        <v>3.0782997275380026</v>
      </c>
      <c r="P36" s="633">
        <f t="shared" si="4"/>
        <v>-3.2140096934532352</v>
      </c>
      <c r="Q36" s="585">
        <f t="shared" si="113"/>
        <v>31.356956489438808</v>
      </c>
      <c r="R36" s="629">
        <f>IF(M36="","",SQRT(N36^2+O36^2))</f>
        <v>5.9156178415034111</v>
      </c>
      <c r="S36" s="634">
        <f>IF(M36="","",P36)</f>
        <v>-3.2140096934532352</v>
      </c>
      <c r="T36" s="635">
        <f>IF(M36="","",X36*COS(RADIANS(W36)))</f>
        <v>3.0782997275380031</v>
      </c>
      <c r="U36" s="629">
        <f>IF(M36="","",X36*SIN(RADIANS(W36)))</f>
        <v>-5.0515943259680833</v>
      </c>
      <c r="V36" s="636">
        <f>IF(M36="","",Y36)</f>
        <v>-3.2140096934532352</v>
      </c>
      <c r="W36" s="585">
        <f t="shared" si="224"/>
        <v>301.3569564894388</v>
      </c>
      <c r="X36" s="629">
        <f>IF(M36="","",R36)</f>
        <v>5.9156178415034111</v>
      </c>
      <c r="Y36" s="630">
        <f t="shared" si="223"/>
        <v>-3.2140096934532352</v>
      </c>
      <c r="Z36" s="632">
        <f t="shared" si="6"/>
        <v>-0.15027800572468811</v>
      </c>
      <c r="AA36" s="629">
        <f t="shared" si="7"/>
        <v>-0.98864377861562935</v>
      </c>
      <c r="AB36" s="629">
        <f t="shared" si="8"/>
        <v>-1.4578093225161044E-7</v>
      </c>
      <c r="AC36" s="636">
        <f>IF(M36="","",SQRT(Z36^2+AA36^2+AB36^2))</f>
        <v>1</v>
      </c>
      <c r="AD36" s="637">
        <f>IF(M36="","",Z36*(1/SQRT(Z36^2+AA36^2+AB36^2)))</f>
        <v>-0.15027800572468811</v>
      </c>
      <c r="AE36" s="629">
        <f>IF(M36="","",AA36*(1/SQRT(Z36^2+AA36^2+AB36^2)))</f>
        <v>-0.98864377861562935</v>
      </c>
      <c r="AF36" s="633">
        <f>IF(M36="","",AB36*(1/SQRT(Z36^2+AA36^2+AB36^2)))</f>
        <v>-1.4578093225161044E-7</v>
      </c>
      <c r="AG36" s="602">
        <f>IF(M36="","",DEGREES(ATAN2(-AF36,AE36)))</f>
        <v>-89.999991551423946</v>
      </c>
      <c r="AH36" s="603">
        <f>IF(M36="","",DEGREES(ACOS(AD36)))</f>
        <v>98.643037735275769</v>
      </c>
      <c r="AI36" s="585">
        <f>IF(M36="","",DEGREES(-ACOS(-AF36)))</f>
        <v>-89.99999164736785</v>
      </c>
      <c r="AJ36" s="586">
        <f>IF(M36="","",DEGREES(ATAN2(-AE36,AD36)))</f>
        <v>-8.6430377352758612</v>
      </c>
      <c r="AK36" s="635">
        <f>IF(M36="","",(COS(RADIANS((90-$Q$8)-W36))*AD36)+(-SIN(RADIANS((90-$Q$8)-W36))*AE36))</f>
        <v>0.76604450791050716</v>
      </c>
      <c r="AL36" s="629">
        <f>IF(M36="","",(SIN(RADIANS((90-$Q$8)-W36))*AD36)+(COS(RADIANS((90-$Q$8)-W36))*AE36))</f>
        <v>-0.64278753247097753</v>
      </c>
      <c r="AM36" s="634">
        <f>IF(M36="","",AF36)</f>
        <v>-1.4578093225161044E-7</v>
      </c>
      <c r="AN36" s="581">
        <f>IF(M36="","",DEGREES(ATAN2(-AM36,AL36)))</f>
        <v>-89.999987005609583</v>
      </c>
      <c r="AO36" s="582">
        <f t="shared" si="94"/>
        <v>39.999994224715394</v>
      </c>
      <c r="AP36" s="585">
        <f>IF(M36="","",DEGREES(ATAN2(AK36,AL36)))</f>
        <v>-39.999994224714676</v>
      </c>
      <c r="AQ36" s="586">
        <f t="shared" si="9"/>
        <v>0.38536841220789192</v>
      </c>
      <c r="AS36" s="52">
        <f t="shared" si="116"/>
        <v>-58.643043510561199</v>
      </c>
      <c r="AT36" s="72">
        <f t="shared" si="10"/>
        <v>-3.1732853576820119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2.16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3.1145501236212807</v>
      </c>
      <c r="C37" s="708">
        <v>0.76875208164243225</v>
      </c>
      <c r="D37" s="709">
        <v>-0.11707406022684551</v>
      </c>
      <c r="E37" s="710">
        <v>3.1850373436262708E-2</v>
      </c>
      <c r="F37" s="708">
        <v>7.8617352334215251E-3</v>
      </c>
      <c r="G37" s="711">
        <v>0.99946172854746684</v>
      </c>
      <c r="H37" s="710">
        <v>0.26250000000000001</v>
      </c>
      <c r="I37" s="708">
        <v>0.40699999999999997</v>
      </c>
      <c r="J37" s="570">
        <v>2.218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Inactive</v>
      </c>
      <c r="L37" s="320"/>
      <c r="M37" s="168">
        <f t="shared" si="1"/>
        <v>2.218</v>
      </c>
      <c r="N37" s="632">
        <f t="shared" si="2"/>
        <v>3.1145501236212807</v>
      </c>
      <c r="O37" s="629">
        <f t="shared" si="3"/>
        <v>0.76875208164243225</v>
      </c>
      <c r="P37" s="633">
        <f t="shared" si="4"/>
        <v>-0.11707406022684551</v>
      </c>
      <c r="Q37" s="585">
        <f t="shared" si="113"/>
        <v>13.864959014970763</v>
      </c>
      <c r="R37" s="629">
        <f t="shared" si="79"/>
        <v>3.2080215453732395</v>
      </c>
      <c r="S37" s="634">
        <f t="shared" si="80"/>
        <v>-0.11707406022684551</v>
      </c>
      <c r="T37" s="635">
        <f t="shared" si="81"/>
        <v>0.76875208164243036</v>
      </c>
      <c r="U37" s="629">
        <f t="shared" si="82"/>
        <v>-3.1145501236212811</v>
      </c>
      <c r="V37" s="636">
        <f t="shared" si="114"/>
        <v>-0.11707406022684551</v>
      </c>
      <c r="W37" s="585">
        <f t="shared" si="224"/>
        <v>283.86495901497074</v>
      </c>
      <c r="X37" s="629">
        <f t="shared" si="83"/>
        <v>3.2080215453732395</v>
      </c>
      <c r="Y37" s="630">
        <f t="shared" si="223"/>
        <v>-0.11707406022684551</v>
      </c>
      <c r="Z37" s="632">
        <f t="shared" si="6"/>
        <v>-3.1850373436262708E-2</v>
      </c>
      <c r="AA37" s="629">
        <f t="shared" si="7"/>
        <v>-7.8617352334215251E-3</v>
      </c>
      <c r="AB37" s="629">
        <f t="shared" si="8"/>
        <v>-0.99946172854746684</v>
      </c>
      <c r="AC37" s="636">
        <f t="shared" si="84"/>
        <v>1</v>
      </c>
      <c r="AD37" s="637">
        <f t="shared" si="115"/>
        <v>-3.1850373436262708E-2</v>
      </c>
      <c r="AE37" s="629">
        <f t="shared" si="85"/>
        <v>-7.8617352334215251E-3</v>
      </c>
      <c r="AF37" s="633">
        <f t="shared" si="86"/>
        <v>-0.99946172854746684</v>
      </c>
      <c r="AG37" s="602">
        <f t="shared" si="87"/>
        <v>-0.45067754554302858</v>
      </c>
      <c r="AH37" s="603">
        <f t="shared" si="88"/>
        <v>91.825200657229942</v>
      </c>
      <c r="AI37" s="585">
        <f t="shared" si="89"/>
        <v>-1.879999728606409</v>
      </c>
      <c r="AJ37" s="586">
        <f t="shared" si="90"/>
        <v>-76.134644890641681</v>
      </c>
      <c r="AK37" s="635">
        <f t="shared" si="211"/>
        <v>2.2679489672383646E-7</v>
      </c>
      <c r="AL37" s="629">
        <f t="shared" si="91"/>
        <v>-3.2806297701178877E-2</v>
      </c>
      <c r="AM37" s="634">
        <f t="shared" si="92"/>
        <v>-0.99946172854746684</v>
      </c>
      <c r="AN37" s="581">
        <f t="shared" si="93"/>
        <v>-1.8799997285616177</v>
      </c>
      <c r="AO37" s="582">
        <f t="shared" si="94"/>
        <v>0</v>
      </c>
      <c r="AP37" s="585">
        <f t="shared" si="95"/>
        <v>-89.999603905612403</v>
      </c>
      <c r="AQ37" s="586">
        <f t="shared" si="9"/>
        <v>0.71059676889774881</v>
      </c>
      <c r="AS37" s="52">
        <f t="shared" si="116"/>
        <v>-76.135040985029264</v>
      </c>
      <c r="AT37" s="72">
        <f t="shared" si="10"/>
        <v>-6.4202503987241852E-2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2.218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2.1179999999999999</v>
      </c>
      <c r="II37" s="734" cm="1">
        <f t="array" ref="II37">IFERROR(ROUND(VALUE(IF($IH37&lt;1,$IH37+LARGE((IF($M$9:$M$150="",0,$M$9:$M$150)-MOD(IF($M$9:$M$150="",0,$M$9:$M$150),1)),1),$IH37)),4),"")</f>
        <v>2.1179999999999999</v>
      </c>
      <c r="IJ37" s="533">
        <f t="shared" si="112"/>
        <v>1613</v>
      </c>
      <c r="IK37" s="533" t="str">
        <f t="shared" si="66"/>
        <v>Inactive</v>
      </c>
      <c r="IL37" s="727">
        <f t="shared" si="225"/>
        <v>19.982997114812235</v>
      </c>
      <c r="IM37" s="759">
        <v>2.22716637418191E-2</v>
      </c>
      <c r="IN37" s="5">
        <f t="shared" si="226"/>
        <v>0.38</v>
      </c>
      <c r="IO37" s="771">
        <v>190</v>
      </c>
      <c r="IP37" s="9">
        <f t="shared" si="227"/>
        <v>-3.206609671134768</v>
      </c>
      <c r="IQ37" s="5">
        <f t="shared" si="228"/>
        <v>-0.13160039690679706</v>
      </c>
      <c r="IR37" s="5">
        <f t="shared" si="71"/>
        <v>0.314</v>
      </c>
      <c r="IS37" s="5">
        <f t="shared" si="229"/>
        <v>0.29936147474413666</v>
      </c>
      <c r="IT37" s="727">
        <f t="shared" si="230"/>
        <v>6.9295021897594982</v>
      </c>
      <c r="IU37" s="9">
        <f t="shared" si="231"/>
        <v>-3.2080215453732395</v>
      </c>
      <c r="IV37" s="5">
        <f t="shared" si="232"/>
        <v>-0.11707406022684551</v>
      </c>
      <c r="IW37" s="5">
        <f t="shared" si="76"/>
        <v>0.26250000000000001</v>
      </c>
      <c r="IX37" s="5">
        <f t="shared" si="233"/>
        <v>0.26250000000000001</v>
      </c>
      <c r="IY37" s="762">
        <f t="shared" si="234"/>
        <v>1.8799997285616177</v>
      </c>
    </row>
    <row r="38" spans="1:267" ht="15" customHeight="1" x14ac:dyDescent="0.25">
      <c r="A38" s="79"/>
      <c r="B38" s="707">
        <v>3.7864893286483916</v>
      </c>
      <c r="C38" s="708">
        <v>1.1660307806178007</v>
      </c>
      <c r="D38" s="709">
        <v>-0.21870895205317001</v>
      </c>
      <c r="E38" s="710">
        <v>-0.15484152358574477</v>
      </c>
      <c r="F38" s="708">
        <v>0.94869805318055467</v>
      </c>
      <c r="G38" s="711">
        <v>0.27567391328355828</v>
      </c>
      <c r="H38" s="710">
        <v>0.26600000000000001</v>
      </c>
      <c r="I38" s="708">
        <v>0.52</v>
      </c>
      <c r="J38" s="570">
        <v>2.2250000000000001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2.2250000000000001</v>
      </c>
      <c r="N38" s="632">
        <f t="shared" si="2"/>
        <v>3.7864893286483916</v>
      </c>
      <c r="O38" s="629">
        <f t="shared" si="3"/>
        <v>1.1660307806178007</v>
      </c>
      <c r="P38" s="633">
        <f t="shared" si="4"/>
        <v>-0.21870895205317001</v>
      </c>
      <c r="Q38" s="585">
        <f t="shared" si="113"/>
        <v>17.115958545584505</v>
      </c>
      <c r="R38" s="629">
        <f t="shared" si="79"/>
        <v>3.9619602745757438</v>
      </c>
      <c r="S38" s="634">
        <f t="shared" si="80"/>
        <v>-0.21870895205317001</v>
      </c>
      <c r="T38" s="635">
        <f t="shared" si="81"/>
        <v>1.1660307806177972</v>
      </c>
      <c r="U38" s="629">
        <f t="shared" si="82"/>
        <v>-3.7864893286483925</v>
      </c>
      <c r="V38" s="636">
        <f t="shared" si="114"/>
        <v>-0.21870895205317001</v>
      </c>
      <c r="W38" s="585">
        <f t="shared" si="224"/>
        <v>287.11595854558448</v>
      </c>
      <c r="X38" s="629">
        <f t="shared" si="83"/>
        <v>3.9619602745757438</v>
      </c>
      <c r="Y38" s="630">
        <f t="shared" si="223"/>
        <v>-0.21870895205317001</v>
      </c>
      <c r="Z38" s="632">
        <f t="shared" si="6"/>
        <v>0.15484152358574477</v>
      </c>
      <c r="AA38" s="629">
        <f t="shared" si="7"/>
        <v>-0.94869805318055467</v>
      </c>
      <c r="AB38" s="629">
        <f t="shared" si="8"/>
        <v>-0.27567391328355828</v>
      </c>
      <c r="AC38" s="636">
        <f t="shared" si="84"/>
        <v>1</v>
      </c>
      <c r="AD38" s="637">
        <f t="shared" si="115"/>
        <v>0.15484152358574477</v>
      </c>
      <c r="AE38" s="629">
        <f t="shared" si="85"/>
        <v>-0.94869805318055467</v>
      </c>
      <c r="AF38" s="633">
        <f t="shared" si="86"/>
        <v>-0.27567391328355828</v>
      </c>
      <c r="AG38" s="602">
        <f t="shared" si="87"/>
        <v>-73.797123489495704</v>
      </c>
      <c r="AH38" s="603">
        <f t="shared" si="88"/>
        <v>81.092394740502357</v>
      </c>
      <c r="AI38" s="585">
        <f t="shared" si="89"/>
        <v>-73.997820988838015</v>
      </c>
      <c r="AJ38" s="586">
        <f t="shared" si="90"/>
        <v>9.2697807805048207</v>
      </c>
      <c r="AK38" s="635">
        <f t="shared" si="211"/>
        <v>0.95225211148802069</v>
      </c>
      <c r="AL38" s="629">
        <f t="shared" si="91"/>
        <v>-0.13122427253193458</v>
      </c>
      <c r="AM38" s="634">
        <f t="shared" si="92"/>
        <v>-0.27567391328355828</v>
      </c>
      <c r="AN38" s="581">
        <f t="shared" si="93"/>
        <v>-25.455039534637329</v>
      </c>
      <c r="AO38" s="582">
        <f t="shared" si="94"/>
        <v>17.776984704916419</v>
      </c>
      <c r="AP38" s="585">
        <f t="shared" si="95"/>
        <v>-7.8461777650796325</v>
      </c>
      <c r="AQ38" s="586">
        <f t="shared" si="9"/>
        <v>0.57538436469132559</v>
      </c>
      <c r="AS38" s="52">
        <f t="shared" si="116"/>
        <v>-72.884041454415524</v>
      </c>
      <c r="AT38" s="72">
        <f t="shared" si="10"/>
        <v>-0.16809503437649256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Nose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2.2250000000000001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2.125</v>
      </c>
      <c r="II38" s="734" cm="1">
        <f t="array" ref="II38">IFERROR(ROUND(VALUE(IF($IH38&lt;1,$IH38+LARGE((IF($M$9:$M$150="",0,$M$9:$M$150)-MOD(IF($M$9:$M$150="",0,$M$9:$M$150),1)),1),$IH38)),4),"")</f>
        <v>2.125</v>
      </c>
      <c r="IJ38" s="533">
        <f t="shared" si="112"/>
        <v>1613</v>
      </c>
      <c r="IK38" s="533">
        <f t="shared" si="66"/>
        <v>1313</v>
      </c>
      <c r="IL38" s="727">
        <f t="shared" si="225"/>
        <v>16.243997654656937</v>
      </c>
      <c r="IM38" s="759">
        <v>2.4255217201055801E-3</v>
      </c>
      <c r="IN38" s="5">
        <f t="shared" si="226"/>
        <v>0.02</v>
      </c>
      <c r="IO38" s="771">
        <v>10</v>
      </c>
      <c r="IP38" s="9">
        <f t="shared" si="227"/>
        <v>-3.9501119135375315</v>
      </c>
      <c r="IQ38" s="5">
        <f t="shared" si="228"/>
        <v>-0.26040078536876871</v>
      </c>
      <c r="IR38" s="5">
        <f t="shared" si="71"/>
        <v>0.314</v>
      </c>
      <c r="IS38" s="5">
        <f t="shared" si="229"/>
        <v>0.29900716300723856</v>
      </c>
      <c r="IT38" s="727">
        <f t="shared" si="230"/>
        <v>25.455039534637436</v>
      </c>
      <c r="IU38" s="9">
        <f t="shared" si="231"/>
        <v>-3.9619602745757438</v>
      </c>
      <c r="IV38" s="5">
        <f t="shared" si="232"/>
        <v>-0.21870895205317001</v>
      </c>
      <c r="IW38" s="5">
        <f t="shared" si="76"/>
        <v>0.26600000000000001</v>
      </c>
      <c r="IX38" s="5">
        <f t="shared" si="233"/>
        <v>0.25329906165581351</v>
      </c>
      <c r="IY38" s="762">
        <f t="shared" si="234"/>
        <v>25.455039534637329</v>
      </c>
    </row>
    <row r="39" spans="1:267" ht="15" customHeight="1" x14ac:dyDescent="0.25">
      <c r="A39" s="79"/>
      <c r="B39" s="707">
        <v>4.4042310222935743</v>
      </c>
      <c r="C39" s="708">
        <v>1.4983754811837542</v>
      </c>
      <c r="D39" s="709">
        <v>-0.54831459747398126</v>
      </c>
      <c r="E39" s="710">
        <v>-0.10196790944180383</v>
      </c>
      <c r="F39" s="708">
        <v>0.96676491578470503</v>
      </c>
      <c r="G39" s="711">
        <v>0.23445285891168052</v>
      </c>
      <c r="H39" s="710">
        <v>0.26600000000000001</v>
      </c>
      <c r="I39" s="708">
        <v>0.52</v>
      </c>
      <c r="J39" s="570">
        <v>2.2320000000000002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2.2320000000000002</v>
      </c>
      <c r="N39" s="632">
        <f t="shared" si="2"/>
        <v>4.4042310222935743</v>
      </c>
      <c r="O39" s="629">
        <f t="shared" si="3"/>
        <v>1.4983754811837542</v>
      </c>
      <c r="P39" s="633">
        <f t="shared" si="4"/>
        <v>-0.54831459747398126</v>
      </c>
      <c r="Q39" s="585">
        <f t="shared" si="113"/>
        <v>18.788958304033226</v>
      </c>
      <c r="R39" s="629">
        <f t="shared" si="79"/>
        <v>4.652137141179927</v>
      </c>
      <c r="S39" s="634">
        <f t="shared" si="80"/>
        <v>-0.54831459747398126</v>
      </c>
      <c r="T39" s="635">
        <f t="shared" si="81"/>
        <v>1.4983754811837506</v>
      </c>
      <c r="U39" s="629">
        <f t="shared" si="82"/>
        <v>-4.4042310222935752</v>
      </c>
      <c r="V39" s="636">
        <f t="shared" si="114"/>
        <v>-0.54831459747398126</v>
      </c>
      <c r="W39" s="585">
        <f t="shared" si="224"/>
        <v>288.7889583040332</v>
      </c>
      <c r="X39" s="629">
        <f t="shared" si="83"/>
        <v>4.652137141179927</v>
      </c>
      <c r="Y39" s="630">
        <f t="shared" si="223"/>
        <v>-0.54831459747398126</v>
      </c>
      <c r="Z39" s="632">
        <f t="shared" si="6"/>
        <v>0.10196790944180383</v>
      </c>
      <c r="AA39" s="629">
        <f t="shared" si="7"/>
        <v>-0.96676491578470503</v>
      </c>
      <c r="AB39" s="629">
        <f t="shared" si="8"/>
        <v>-0.23445285891168052</v>
      </c>
      <c r="AC39" s="636">
        <f t="shared" si="84"/>
        <v>1</v>
      </c>
      <c r="AD39" s="637">
        <f t="shared" si="115"/>
        <v>0.10196790944180383</v>
      </c>
      <c r="AE39" s="629">
        <f t="shared" si="85"/>
        <v>-0.96676491578470503</v>
      </c>
      <c r="AF39" s="633">
        <f t="shared" si="86"/>
        <v>-0.23445285891168052</v>
      </c>
      <c r="AG39" s="602">
        <f t="shared" si="87"/>
        <v>-76.368213339181523</v>
      </c>
      <c r="AH39" s="603">
        <f t="shared" si="88"/>
        <v>84.147497249896659</v>
      </c>
      <c r="AI39" s="585">
        <f t="shared" si="89"/>
        <v>-76.44062711618956</v>
      </c>
      <c r="AJ39" s="586">
        <f t="shared" si="90"/>
        <v>6.0209153789938377</v>
      </c>
      <c r="AK39" s="635">
        <f t="shared" si="211"/>
        <v>0.94808947262043108</v>
      </c>
      <c r="AL39" s="629">
        <f t="shared" si="91"/>
        <v>-0.21484461560498203</v>
      </c>
      <c r="AM39" s="634">
        <f t="shared" si="92"/>
        <v>-0.23445285891168052</v>
      </c>
      <c r="AN39" s="581">
        <f t="shared" si="93"/>
        <v>-42.501082912415349</v>
      </c>
      <c r="AO39" s="582">
        <f t="shared" si="94"/>
        <v>18.542239876432951</v>
      </c>
      <c r="AP39" s="585">
        <f t="shared" si="95"/>
        <v>-12.768042925039348</v>
      </c>
      <c r="AQ39" s="586">
        <f t="shared" si="9"/>
        <v>0.49002662169161659</v>
      </c>
      <c r="AS39" s="52">
        <f t="shared" si="116"/>
        <v>-71.211041695966799</v>
      </c>
      <c r="AT39" s="72">
        <f t="shared" si="10"/>
        <v>-0.49886248518511545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2.2320000000000002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2.1320000000000001</v>
      </c>
      <c r="II39" s="734" cm="1">
        <f t="array" ref="II39">IFERROR(ROUND(VALUE(IF($IH39&lt;1,$IH39+LARGE((IF($M$9:$M$150="",0,$M$9:$M$150)-MOD(IF($M$9:$M$150="",0,$M$9:$M$150),1)),1),$IH39)),4),"")</f>
        <v>2.1320000000000001</v>
      </c>
      <c r="IJ39" s="533">
        <f t="shared" si="112"/>
        <v>1613</v>
      </c>
      <c r="IK39" s="533">
        <f t="shared" si="66"/>
        <v>1313</v>
      </c>
      <c r="IL39" s="727">
        <f t="shared" si="225"/>
        <v>13.95899798457009</v>
      </c>
      <c r="IM39" s="759">
        <v>1.8829222939821099E-3</v>
      </c>
      <c r="IN39" s="5">
        <f t="shared" si="226"/>
        <v>0.02</v>
      </c>
      <c r="IO39" s="771">
        <v>10</v>
      </c>
      <c r="IP39" s="9">
        <f t="shared" si="227"/>
        <v>-4.6306139659317216</v>
      </c>
      <c r="IQ39" s="5">
        <f t="shared" si="228"/>
        <v>-0.58640176858773418</v>
      </c>
      <c r="IR39" s="5">
        <f t="shared" si="71"/>
        <v>0.314</v>
      </c>
      <c r="IS39" s="5">
        <f t="shared" si="229"/>
        <v>0.29770009440281531</v>
      </c>
      <c r="IT39" s="727">
        <f t="shared" si="230"/>
        <v>42.501082912415427</v>
      </c>
      <c r="IU39" s="9">
        <f t="shared" si="231"/>
        <v>-4.652137141179927</v>
      </c>
      <c r="IV39" s="5">
        <f t="shared" si="232"/>
        <v>-0.54831459747398126</v>
      </c>
      <c r="IW39" s="5">
        <f t="shared" si="76"/>
        <v>0.26600000000000001</v>
      </c>
      <c r="IX39" s="5">
        <f t="shared" si="233"/>
        <v>0.2521917997170347</v>
      </c>
      <c r="IY39" s="762">
        <f t="shared" si="234"/>
        <v>42.501082912415349</v>
      </c>
    </row>
    <row r="40" spans="1:267" ht="15" customHeight="1" x14ac:dyDescent="0.25">
      <c r="A40" s="79"/>
      <c r="B40" s="707">
        <v>4.9231047458367811</v>
      </c>
      <c r="C40" s="708">
        <v>1.7549713212795874</v>
      </c>
      <c r="D40" s="709">
        <v>-1.0532441017118028</v>
      </c>
      <c r="E40" s="710">
        <v>-3.3763522888835801E-2</v>
      </c>
      <c r="F40" s="708">
        <v>0.9808503438396341</v>
      </c>
      <c r="G40" s="711">
        <v>0.19181404409429187</v>
      </c>
      <c r="H40" s="710">
        <v>0.26600000000000001</v>
      </c>
      <c r="I40" s="708">
        <v>0.52</v>
      </c>
      <c r="J40" s="570">
        <v>2.2389999999999999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2.2389999999999999</v>
      </c>
      <c r="N40" s="632">
        <f t="shared" si="2"/>
        <v>4.9231047458367811</v>
      </c>
      <c r="O40" s="629">
        <f t="shared" si="3"/>
        <v>1.7549713212795874</v>
      </c>
      <c r="P40" s="633">
        <f t="shared" si="4"/>
        <v>-1.0532441017118028</v>
      </c>
      <c r="Q40" s="585">
        <f t="shared" si="113"/>
        <v>19.61995818405169</v>
      </c>
      <c r="R40" s="629">
        <f t="shared" si="79"/>
        <v>5.2265557183478357</v>
      </c>
      <c r="S40" s="634">
        <f t="shared" si="80"/>
        <v>-1.0532441017118028</v>
      </c>
      <c r="T40" s="635">
        <f t="shared" si="81"/>
        <v>1.7549713212795888</v>
      </c>
      <c r="U40" s="629">
        <f t="shared" si="82"/>
        <v>-4.9231047458367811</v>
      </c>
      <c r="V40" s="636">
        <f t="shared" si="114"/>
        <v>-1.0532441017118028</v>
      </c>
      <c r="W40" s="585">
        <f t="shared" si="224"/>
        <v>289.61995818405171</v>
      </c>
      <c r="X40" s="629">
        <f t="shared" si="83"/>
        <v>5.2265557183478357</v>
      </c>
      <c r="Y40" s="630">
        <f t="shared" si="223"/>
        <v>-1.0532441017118028</v>
      </c>
      <c r="Z40" s="632">
        <f t="shared" si="6"/>
        <v>3.3763522888835801E-2</v>
      </c>
      <c r="AA40" s="629">
        <f t="shared" si="7"/>
        <v>-0.9808503438396341</v>
      </c>
      <c r="AB40" s="629">
        <f t="shared" si="8"/>
        <v>-0.19181404409429187</v>
      </c>
      <c r="AC40" s="636">
        <f t="shared" si="84"/>
        <v>1</v>
      </c>
      <c r="AD40" s="637">
        <f t="shared" si="115"/>
        <v>3.3763522888835801E-2</v>
      </c>
      <c r="AE40" s="629">
        <f t="shared" si="85"/>
        <v>-0.9808503438396341</v>
      </c>
      <c r="AF40" s="633">
        <f t="shared" si="86"/>
        <v>-0.19181404409429187</v>
      </c>
      <c r="AG40" s="602">
        <f t="shared" si="87"/>
        <v>-78.934943005632036</v>
      </c>
      <c r="AH40" s="603">
        <f t="shared" si="88"/>
        <v>88.065124899807387</v>
      </c>
      <c r="AI40" s="585">
        <f t="shared" si="89"/>
        <v>-78.941331299554591</v>
      </c>
      <c r="AJ40" s="586">
        <f t="shared" si="90"/>
        <v>1.9714973210601752</v>
      </c>
      <c r="AK40" s="635">
        <f t="shared" si="211"/>
        <v>0.93523981384684918</v>
      </c>
      <c r="AL40" s="629">
        <f t="shared" si="91"/>
        <v>-0.29754640492518863</v>
      </c>
      <c r="AM40" s="634">
        <f t="shared" si="92"/>
        <v>-0.19181404409429187</v>
      </c>
      <c r="AN40" s="581">
        <f t="shared" si="93"/>
        <v>-57.192045435604541</v>
      </c>
      <c r="AO40" s="582">
        <f t="shared" si="94"/>
        <v>20.733076867569704</v>
      </c>
      <c r="AP40" s="585">
        <f t="shared" si="95"/>
        <v>-17.648460862991527</v>
      </c>
      <c r="AQ40" s="586">
        <f t="shared" si="9"/>
        <v>0.43617302024439047</v>
      </c>
      <c r="AS40" s="52">
        <f t="shared" si="116"/>
        <v>-70.380041815948289</v>
      </c>
      <c r="AT40" s="72">
        <f t="shared" si="10"/>
        <v>-1.0043690726729499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2.2389999999999999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2.1389999999999998</v>
      </c>
      <c r="II40" s="734" cm="1">
        <f t="array" ref="II40">IFERROR(ROUND(VALUE(IF($IH40&lt;1,$IH40+LARGE((IF($M$9:$M$150="",0,$M$9:$M$150)-MOD(IF($M$9:$M$150="",0,$M$9:$M$150),1)),1),$IH40)),4),"")</f>
        <v>2.1389999999999998</v>
      </c>
      <c r="IJ40" s="533">
        <f t="shared" si="112"/>
        <v>1613</v>
      </c>
      <c r="IK40" s="533">
        <f t="shared" si="66"/>
        <v>1313</v>
      </c>
      <c r="IL40" s="727">
        <f t="shared" si="225"/>
        <v>12.553998187426885</v>
      </c>
      <c r="IM40" s="759">
        <v>1.41476784392522E-3</v>
      </c>
      <c r="IN40" s="5">
        <f t="shared" si="226"/>
        <v>0</v>
      </c>
      <c r="IO40" s="771">
        <v>0</v>
      </c>
      <c r="IP40" s="9">
        <f t="shared" si="227"/>
        <v>-5.1968156735960704</v>
      </c>
      <c r="IQ40" s="5">
        <f t="shared" si="228"/>
        <v>-1.0852032729730712</v>
      </c>
      <c r="IR40" s="5">
        <f t="shared" si="71"/>
        <v>0.314</v>
      </c>
      <c r="IS40" s="5">
        <f t="shared" si="229"/>
        <v>0.29366530154791065</v>
      </c>
      <c r="IT40" s="727">
        <f t="shared" si="230"/>
        <v>57.192045435604577</v>
      </c>
      <c r="IU40" s="9">
        <f t="shared" si="231"/>
        <v>-5.2265557183478357</v>
      </c>
      <c r="IV40" s="5">
        <f t="shared" si="232"/>
        <v>-1.0532441017118028</v>
      </c>
      <c r="IW40" s="5">
        <f t="shared" si="76"/>
        <v>0.26600000000000001</v>
      </c>
      <c r="IX40" s="5">
        <f t="shared" si="233"/>
        <v>0.2487737904832619</v>
      </c>
      <c r="IY40" s="762">
        <f t="shared" si="234"/>
        <v>57.192045435604541</v>
      </c>
    </row>
    <row r="41" spans="1:267" ht="15" customHeight="1" x14ac:dyDescent="0.25">
      <c r="A41" s="79"/>
      <c r="B41" s="707">
        <v>5.3015171330450395</v>
      </c>
      <c r="C41" s="708">
        <v>1.9299044110708821</v>
      </c>
      <c r="D41" s="709">
        <v>-1.6952878705661687</v>
      </c>
      <c r="E41" s="710">
        <v>5.8373781077015817E-2</v>
      </c>
      <c r="F41" s="708">
        <v>0.98754931808221491</v>
      </c>
      <c r="G41" s="711">
        <v>0.14607821890386266</v>
      </c>
      <c r="H41" s="710">
        <v>0.26600000000000001</v>
      </c>
      <c r="I41" s="708">
        <v>0.52</v>
      </c>
      <c r="J41" s="570">
        <v>2.246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2.246</v>
      </c>
      <c r="N41" s="632">
        <f t="shared" ref="N41:N72" si="240">IF(M41="","",B41)</f>
        <v>5.3015171330450395</v>
      </c>
      <c r="O41" s="629">
        <f t="shared" ref="O41:O72" si="241">IF(M41="","",C41)</f>
        <v>1.9299044110708821</v>
      </c>
      <c r="P41" s="633">
        <f t="shared" ref="P41:P72" si="242">IF(M41="","",D41)</f>
        <v>-1.6952878705661687</v>
      </c>
      <c r="Q41" s="585">
        <f t="shared" si="113"/>
        <v>20.002958128753345</v>
      </c>
      <c r="R41" s="629">
        <f t="shared" si="79"/>
        <v>5.6418627196911606</v>
      </c>
      <c r="S41" s="634">
        <f t="shared" si="80"/>
        <v>-1.6952878705661687</v>
      </c>
      <c r="T41" s="635">
        <f t="shared" si="81"/>
        <v>1.9299044110708816</v>
      </c>
      <c r="U41" s="629">
        <f t="shared" si="82"/>
        <v>-5.3015171330450395</v>
      </c>
      <c r="V41" s="636">
        <f t="shared" si="114"/>
        <v>-1.6952878705661687</v>
      </c>
      <c r="W41" s="585">
        <f t="shared" si="224"/>
        <v>290.00295812875333</v>
      </c>
      <c r="X41" s="629">
        <f t="shared" si="83"/>
        <v>5.6418627196911606</v>
      </c>
      <c r="Y41" s="630">
        <f t="shared" si="223"/>
        <v>-1.6952878705661687</v>
      </c>
      <c r="Z41" s="632">
        <f t="shared" ref="Z41:Z72" si="243">IF(M41="","",-E41)</f>
        <v>-5.8373781077015817E-2</v>
      </c>
      <c r="AA41" s="629">
        <f t="shared" ref="AA41:AA72" si="244">IF(M41="","",-F41)</f>
        <v>-0.98754931808221491</v>
      </c>
      <c r="AB41" s="629">
        <f t="shared" ref="AB41:AB72" si="245">IF(M41="","",-G41)</f>
        <v>-0.14607821890386266</v>
      </c>
      <c r="AC41" s="636">
        <f t="shared" si="84"/>
        <v>1</v>
      </c>
      <c r="AD41" s="637">
        <f t="shared" si="115"/>
        <v>-5.8373781077015817E-2</v>
      </c>
      <c r="AE41" s="629">
        <f t="shared" si="85"/>
        <v>-0.98754931808221491</v>
      </c>
      <c r="AF41" s="633">
        <f t="shared" si="86"/>
        <v>-0.14607821890386266</v>
      </c>
      <c r="AG41" s="602">
        <f t="shared" si="87"/>
        <v>-81.585826915863009</v>
      </c>
      <c r="AH41" s="603">
        <f t="shared" si="88"/>
        <v>93.346473645242725</v>
      </c>
      <c r="AI41" s="585">
        <f t="shared" si="89"/>
        <v>-81.600278561350251</v>
      </c>
      <c r="AJ41" s="586">
        <f t="shared" si="90"/>
        <v>-3.3828023644806193</v>
      </c>
      <c r="AK41" s="635">
        <f t="shared" si="211"/>
        <v>0.90800752632081361</v>
      </c>
      <c r="AL41" s="629">
        <f t="shared" si="91"/>
        <v>-0.39266205075946919</v>
      </c>
      <c r="AM41" s="634">
        <f t="shared" si="92"/>
        <v>-0.14607821890386266</v>
      </c>
      <c r="AN41" s="581">
        <f t="shared" si="93"/>
        <v>-69.5937817389527</v>
      </c>
      <c r="AO41" s="582">
        <f t="shared" si="94"/>
        <v>24.768557553274146</v>
      </c>
      <c r="AP41" s="585">
        <f t="shared" si="95"/>
        <v>-23.385760493233963</v>
      </c>
      <c r="AQ41" s="586">
        <f t="shared" ref="AQ41:AQ72" si="246">IF(M41="","",DEGREES(ATAN(($AS$5*SIN(RADIANS(90)))/(($X41*2*PI())-($AS$5*COS(RADIANS(90)))))))</f>
        <v>0.40406669767296871</v>
      </c>
      <c r="AS41" s="52">
        <f t="shared" si="116"/>
        <v>-69.997041871246665</v>
      </c>
      <c r="AT41" s="72">
        <f t="shared" ref="AT41:AT72" si="247">IF(M41="","",Y41+(((AS41-$AS$9)*$AS$6)*-1))</f>
        <v>-1.6466788137111363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2.246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2.1459999999999999</v>
      </c>
      <c r="II41" s="734" cm="1">
        <f t="array" ref="II41">IFERROR(ROUND(VALUE(IF($IH41&lt;1,$IH41+LARGE((IF($M$9:$M$150="",0,$M$9:$M$150)-MOD(IF($M$9:$M$150="",0,$M$9:$M$150),1)),1),$IH41)),4),"")</f>
        <v>2.1459999999999999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11.70899830942983</v>
      </c>
      <c r="IM41" s="759">
        <v>9.7027323133748596E-4</v>
      </c>
      <c r="IN41" s="5">
        <f t="shared" si="226"/>
        <v>0</v>
      </c>
      <c r="IO41" s="771">
        <v>0</v>
      </c>
      <c r="IP41" s="9">
        <f t="shared" si="227"/>
        <v>-5.6062169083501976</v>
      </c>
      <c r="IQ41" s="5">
        <f t="shared" si="228"/>
        <v>-1.7190051845196368</v>
      </c>
      <c r="IR41" s="5">
        <f t="shared" ref="IR41:IR72" si="383">IF(ISNUMBER($II41),INDEX($H$9:$H$150,MATCH($II41,$M$9:$M$150,0)),"")</f>
        <v>0.314</v>
      </c>
      <c r="IS41" s="5">
        <f t="shared" si="229"/>
        <v>0.2851143632647356</v>
      </c>
      <c r="IT41" s="727">
        <f t="shared" si="230"/>
        <v>69.5937817389526</v>
      </c>
      <c r="IU41" s="9">
        <f t="shared" si="231"/>
        <v>-5.6418627196911606</v>
      </c>
      <c r="IV41" s="5">
        <f t="shared" si="232"/>
        <v>-1.6952878705661687</v>
      </c>
      <c r="IW41" s="5">
        <f t="shared" ref="IW41:IW72" si="384">IF(ISNUMBER($II41),$H41,"")</f>
        <v>0.26600000000000001</v>
      </c>
      <c r="IX41" s="5">
        <f t="shared" si="233"/>
        <v>0.24153000200133642</v>
      </c>
      <c r="IY41" s="762">
        <f t="shared" si="234"/>
        <v>69.5937817389527</v>
      </c>
    </row>
    <row r="42" spans="1:267" ht="15" customHeight="1" x14ac:dyDescent="0.25">
      <c r="A42" s="79"/>
      <c r="B42" s="707">
        <v>5.5073052167960848</v>
      </c>
      <c r="C42" s="708">
        <v>2.0207252683605961</v>
      </c>
      <c r="D42" s="709">
        <v>-2.4261584879625127</v>
      </c>
      <c r="E42" s="710">
        <v>0.17635330644884567</v>
      </c>
      <c r="F42" s="708">
        <v>0.98088628915936871</v>
      </c>
      <c r="G42" s="711">
        <v>8.2228942859086968E-2</v>
      </c>
      <c r="H42" s="710">
        <v>0.26600000000000001</v>
      </c>
      <c r="I42" s="708">
        <v>0.52</v>
      </c>
      <c r="J42" s="570">
        <v>2.2530000000000001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2.2530000000000001</v>
      </c>
      <c r="N42" s="632">
        <f t="shared" si="240"/>
        <v>5.5073052167960848</v>
      </c>
      <c r="O42" s="629">
        <f t="shared" si="241"/>
        <v>2.0207252683605961</v>
      </c>
      <c r="P42" s="633">
        <f t="shared" si="242"/>
        <v>-2.4261584879625127</v>
      </c>
      <c r="Q42" s="585">
        <f t="shared" si="113"/>
        <v>20.14895810767355</v>
      </c>
      <c r="R42" s="629">
        <f t="shared" ref="R42:R47" si="385">IF(M42="","",SQRT(N42^2+O42^2))</f>
        <v>5.8663226437982745</v>
      </c>
      <c r="S42" s="634">
        <f t="shared" ref="S42:S47" si="386">IF(M42="","",P42)</f>
        <v>-2.4261584879625127</v>
      </c>
      <c r="T42" s="635">
        <f t="shared" ref="T42:T47" si="387">IF(M42="","",X42*COS(RADIANS(W42)))</f>
        <v>2.0207252683605952</v>
      </c>
      <c r="U42" s="629">
        <f t="shared" ref="U42:U47" si="388">IF(M42="","",X42*SIN(RADIANS(W42)))</f>
        <v>-5.5073052167960856</v>
      </c>
      <c r="V42" s="636">
        <f t="shared" ref="V42:V47" si="389">IF(M42="","",Y42)</f>
        <v>-2.4261584879625127</v>
      </c>
      <c r="W42" s="585">
        <f t="shared" si="224"/>
        <v>290.14895810767354</v>
      </c>
      <c r="X42" s="629">
        <f t="shared" ref="X42:X47" si="390">IF(M42="","",R42)</f>
        <v>5.8663226437982745</v>
      </c>
      <c r="Y42" s="630">
        <f t="shared" si="223"/>
        <v>-2.4261584879625127</v>
      </c>
      <c r="Z42" s="632">
        <f t="shared" si="243"/>
        <v>-0.17635330644884567</v>
      </c>
      <c r="AA42" s="629">
        <f t="shared" si="244"/>
        <v>-0.98088628915936871</v>
      </c>
      <c r="AB42" s="629">
        <f t="shared" si="245"/>
        <v>-8.2228942859086968E-2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-0.17635330644884567</v>
      </c>
      <c r="AE42" s="629">
        <f t="shared" ref="AE42:AE47" si="393">IF(M42="","",AA42*(1/SQRT(Z42^2+AA42^2+AB42^2)))</f>
        <v>-0.98088628915936871</v>
      </c>
      <c r="AF42" s="633">
        <f t="shared" ref="AF42:AF47" si="394">IF(M42="","",AB42*(1/SQRT(Z42^2+AA42^2+AB42^2)))</f>
        <v>-8.2228942859086968E-2</v>
      </c>
      <c r="AG42" s="602">
        <f t="shared" ref="AG42:AG47" si="395">IF(M42="","",DEGREES(ATAN2(-AF42,AE42)))</f>
        <v>-85.208026594202096</v>
      </c>
      <c r="AH42" s="603">
        <f t="shared" ref="AH42:AH47" si="396">IF(M42="","",DEGREES(ACOS(AD42)))</f>
        <v>100.15742180139429</v>
      </c>
      <c r="AI42" s="585">
        <f t="shared" ref="AI42:AI47" si="397">IF(M42="","",DEGREES(-ACOS(-AF42)))</f>
        <v>-85.283302999311161</v>
      </c>
      <c r="AJ42" s="586">
        <f t="shared" ref="AJ42:AJ47" si="398">IF(M42="","",DEGREES(ATAN2(-AE42,AD42)))</f>
        <v>-10.192305237008853</v>
      </c>
      <c r="AK42" s="635">
        <f t="shared" ref="AK42:AK47" si="399">IF(M42="","",(COS(RADIANS((90-$Q$8)-W42))*AD42)+(-SIN(RADIANS((90-$Q$8)-W42))*AE42))</f>
        <v>0.86010928843219769</v>
      </c>
      <c r="AL42" s="629">
        <f t="shared" ref="AL42:AL47" si="400">IF(M42="","",(SIN(RADIANS((90-$Q$8)-W42))*AD42)+(COS(RADIANS((90-$Q$8)-W42))*AE42))</f>
        <v>-0.50343858901452476</v>
      </c>
      <c r="AM42" s="634">
        <f t="shared" ref="AM42:AM47" si="401">IF(M42="","",AF42)</f>
        <v>-8.2228942859086968E-2</v>
      </c>
      <c r="AN42" s="581">
        <f t="shared" ref="AN42:AN47" si="402">IF(M42="","",DEGREES(ATAN2(-AM42,AL42)))</f>
        <v>-80.723530845427845</v>
      </c>
      <c r="AO42" s="582">
        <f t="shared" si="94"/>
        <v>30.67114399579193</v>
      </c>
      <c r="AP42" s="585">
        <f t="shared" ref="AP42:AP47" si="403">IF(M42="","",DEGREES(ATAN2(AK42,AL42)))</f>
        <v>-30.341263344682392</v>
      </c>
      <c r="AQ42" s="586">
        <f t="shared" si="246"/>
        <v>0.38860659617136045</v>
      </c>
      <c r="AS42" s="52">
        <f t="shared" si="116"/>
        <v>-69.851041892326464</v>
      </c>
      <c r="AT42" s="72">
        <f t="shared" si="247"/>
        <v>-2.3776508199817306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>Gage</v>
      </c>
      <c r="IG42" s="847">
        <f t="shared" si="210"/>
        <v>2.2530000000000001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2.153</v>
      </c>
      <c r="II42" s="734" cm="1">
        <f t="array" ref="II42">IFERROR(ROUND(VALUE(IF($IH42&lt;1,$IH42+LARGE((IF($M$9:$M$150="",0,$M$9:$M$150)-MOD(IF($M$9:$M$150="",0,$M$9:$M$150),1)),1),$IH42)),4),"")</f>
        <v>2.153</v>
      </c>
      <c r="IJ42" s="533">
        <f t="shared" si="112"/>
        <v>1613</v>
      </c>
      <c r="IK42" s="533">
        <f t="shared" si="382"/>
        <v>1313</v>
      </c>
      <c r="IL42" s="727">
        <f t="shared" si="225"/>
        <v>11.307998367327059</v>
      </c>
      <c r="IM42" s="759">
        <v>5.5588348530184696E-4</v>
      </c>
      <c r="IN42" s="5">
        <f t="shared" si="226"/>
        <v>0</v>
      </c>
      <c r="IO42" s="771">
        <v>0</v>
      </c>
      <c r="IP42" s="9">
        <f t="shared" si="227"/>
        <v>-5.8279175769994129</v>
      </c>
      <c r="IQ42" s="5">
        <f t="shared" si="228"/>
        <v>-2.4403073599669973</v>
      </c>
      <c r="IR42" s="5">
        <f t="shared" si="383"/>
        <v>0.314</v>
      </c>
      <c r="IS42" s="5">
        <f t="shared" si="229"/>
        <v>0.27007431656771014</v>
      </c>
      <c r="IT42" s="727">
        <f t="shared" si="230"/>
        <v>80.723530845427888</v>
      </c>
      <c r="IU42" s="9">
        <f t="shared" si="231"/>
        <v>-5.8663226437982745</v>
      </c>
      <c r="IV42" s="5">
        <f t="shared" si="232"/>
        <v>-2.4261584879625127</v>
      </c>
      <c r="IW42" s="5">
        <f t="shared" si="384"/>
        <v>0.26600000000000001</v>
      </c>
      <c r="IX42" s="5">
        <f t="shared" si="233"/>
        <v>0.22878907072296459</v>
      </c>
      <c r="IY42" s="762">
        <f t="shared" si="234"/>
        <v>80.723530845427845</v>
      </c>
    </row>
    <row r="43" spans="1:267" ht="15" customHeight="1" x14ac:dyDescent="0.25">
      <c r="A43" s="79"/>
      <c r="B43" s="707">
        <v>5.61980176638333</v>
      </c>
      <c r="C43" s="708">
        <v>1.7966376832178867</v>
      </c>
      <c r="D43" s="709">
        <v>-3.2411296863582448</v>
      </c>
      <c r="E43" s="710">
        <v>0.95250762600109973</v>
      </c>
      <c r="F43" s="708">
        <v>0.30451473266444412</v>
      </c>
      <c r="G43" s="711">
        <v>2.2679489677719276E-7</v>
      </c>
      <c r="H43" s="710">
        <v>0.26250000000000001</v>
      </c>
      <c r="I43" s="708">
        <v>0.40699999999999997</v>
      </c>
      <c r="J43" s="570">
        <v>2.2599999999999998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Inactive</v>
      </c>
      <c r="L43" s="320"/>
      <c r="M43" s="168">
        <f t="shared" si="239"/>
        <v>2.2599999999999998</v>
      </c>
      <c r="N43" s="632">
        <f t="shared" si="240"/>
        <v>5.61980176638333</v>
      </c>
      <c r="O43" s="629">
        <f t="shared" si="241"/>
        <v>1.7966376832178867</v>
      </c>
      <c r="P43" s="633">
        <f t="shared" si="242"/>
        <v>-3.2411296863582448</v>
      </c>
      <c r="Q43" s="585">
        <f t="shared" si="113"/>
        <v>17.728958457078278</v>
      </c>
      <c r="R43" s="629">
        <f t="shared" si="385"/>
        <v>5.9000066828948361</v>
      </c>
      <c r="S43" s="634">
        <f t="shared" si="386"/>
        <v>-3.2411296863582448</v>
      </c>
      <c r="T43" s="635">
        <f t="shared" si="387"/>
        <v>1.7966376832178874</v>
      </c>
      <c r="U43" s="629">
        <f t="shared" si="388"/>
        <v>-5.6198017663833291</v>
      </c>
      <c r="V43" s="636">
        <f t="shared" si="389"/>
        <v>-3.2411296863582448</v>
      </c>
      <c r="W43" s="585">
        <f t="shared" si="224"/>
        <v>287.72895845707831</v>
      </c>
      <c r="X43" s="629">
        <f t="shared" si="390"/>
        <v>5.9000066828948361</v>
      </c>
      <c r="Y43" s="630">
        <f t="shared" si="223"/>
        <v>-3.2411296863582448</v>
      </c>
      <c r="Z43" s="632">
        <f t="shared" si="243"/>
        <v>-0.95250762600109973</v>
      </c>
      <c r="AA43" s="629">
        <f t="shared" si="244"/>
        <v>-0.30451473266444412</v>
      </c>
      <c r="AB43" s="629">
        <f t="shared" si="245"/>
        <v>-2.2679489677719276E-7</v>
      </c>
      <c r="AC43" s="636">
        <f t="shared" si="391"/>
        <v>1</v>
      </c>
      <c r="AD43" s="637">
        <f t="shared" si="392"/>
        <v>-0.95250762600109973</v>
      </c>
      <c r="AE43" s="629">
        <f t="shared" si="393"/>
        <v>-0.30451473266444412</v>
      </c>
      <c r="AF43" s="633">
        <f t="shared" si="394"/>
        <v>-2.2679489677719276E-7</v>
      </c>
      <c r="AG43" s="602">
        <f t="shared" si="395"/>
        <v>-89.999957327547719</v>
      </c>
      <c r="AH43" s="603">
        <f t="shared" si="396"/>
        <v>162.27102854852674</v>
      </c>
      <c r="AI43" s="585">
        <f t="shared" si="397"/>
        <v>-89.999987005609597</v>
      </c>
      <c r="AJ43" s="586">
        <f t="shared" si="398"/>
        <v>-72.271028548531334</v>
      </c>
      <c r="AK43" s="635">
        <f t="shared" si="399"/>
        <v>2.2679489641852513E-7</v>
      </c>
      <c r="AL43" s="629">
        <f t="shared" si="400"/>
        <v>-0.9999999999999486</v>
      </c>
      <c r="AM43" s="634">
        <f t="shared" si="401"/>
        <v>-2.2679489677719276E-7</v>
      </c>
      <c r="AN43" s="581">
        <f t="shared" si="402"/>
        <v>-89.999987005609611</v>
      </c>
      <c r="AO43" s="582">
        <f t="shared" si="94"/>
        <v>0</v>
      </c>
      <c r="AP43" s="585">
        <f t="shared" si="403"/>
        <v>-89.999987005609626</v>
      </c>
      <c r="AQ43" s="586">
        <f t="shared" si="246"/>
        <v>0.38638804923078224</v>
      </c>
      <c r="AS43" s="52">
        <f t="shared" ref="AS43:AS74" si="406">IF(G43="","",IF(AND(W43&lt;(AS42+180),W43&gt;(AS42-180)),W43,IF(W43&gt;(AS42+180),W43-360,IF(W43&lt;(AS42-180),W43+360,"Error"))))</f>
        <v>-72.271041542921694</v>
      </c>
      <c r="AT43" s="72">
        <f t="shared" si="247"/>
        <v>-3.1909414630645494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>Gage</v>
      </c>
      <c r="IG43" s="847">
        <f t="shared" si="210"/>
        <v>2.2599999999999998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2.16</v>
      </c>
      <c r="II43" s="734" cm="1">
        <f t="array" ref="II43">IFERROR(ROUND(VALUE(IF($IH43&lt;1,$IH43+LARGE((IF($M$9:$M$150="",0,$M$9:$M$150)-MOD(IF($M$9:$M$150="",0,$M$9:$M$150),1)),1),$IH43)),4),"")</f>
        <v>2.16</v>
      </c>
      <c r="IJ43" s="533">
        <f t="shared" si="112"/>
        <v>1613</v>
      </c>
      <c r="IK43" s="533" t="str">
        <f t="shared" si="382"/>
        <v>Inactive</v>
      </c>
      <c r="IL43" s="727">
        <f t="shared" si="225"/>
        <v>13.627998032360495</v>
      </c>
      <c r="IM43" s="759">
        <v>4.0172827225910498E-4</v>
      </c>
      <c r="IN43" s="5">
        <f t="shared" si="226"/>
        <v>0</v>
      </c>
      <c r="IO43" s="771">
        <v>0</v>
      </c>
      <c r="IP43" s="9">
        <f t="shared" si="227"/>
        <v>-5.9156178415034111</v>
      </c>
      <c r="IQ43" s="5">
        <f t="shared" si="228"/>
        <v>-3.2140096934532352</v>
      </c>
      <c r="IR43" s="5">
        <f t="shared" si="383"/>
        <v>0.314</v>
      </c>
      <c r="IS43" s="5">
        <f t="shared" si="229"/>
        <v>0.24053797548389924</v>
      </c>
      <c r="IT43" s="727">
        <f t="shared" si="230"/>
        <v>89.999987005609583</v>
      </c>
      <c r="IU43" s="9">
        <f t="shared" si="231"/>
        <v>-5.9000066828948361</v>
      </c>
      <c r="IV43" s="5">
        <f t="shared" si="232"/>
        <v>-3.2411296863582448</v>
      </c>
      <c r="IW43" s="5">
        <f t="shared" si="384"/>
        <v>0.26250000000000001</v>
      </c>
      <c r="IX43" s="5">
        <f t="shared" si="233"/>
        <v>0.26250000000000001</v>
      </c>
      <c r="IY43" s="762">
        <f t="shared" si="234"/>
        <v>89.999987005609611</v>
      </c>
    </row>
    <row r="44" spans="1:267" ht="15" customHeight="1" x14ac:dyDescent="0.25">
      <c r="A44" s="79"/>
      <c r="B44" s="707">
        <v>0.83889545818694056</v>
      </c>
      <c r="C44" s="708">
        <v>-0.24054998286679607</v>
      </c>
      <c r="D44" s="709">
        <v>-0.63340191034016158</v>
      </c>
      <c r="E44" s="710">
        <v>0.18526611423554606</v>
      </c>
      <c r="F44" s="708">
        <v>0.93625942181631272</v>
      </c>
      <c r="G44" s="711">
        <v>0.29848745698311235</v>
      </c>
      <c r="H44" s="710">
        <v>0.314</v>
      </c>
      <c r="I44" s="708">
        <v>0.52</v>
      </c>
      <c r="J44" s="570">
        <v>3.1030000000000002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3.1030000000000002</v>
      </c>
      <c r="N44" s="632">
        <f t="shared" si="240"/>
        <v>0.83889545818694056</v>
      </c>
      <c r="O44" s="629">
        <f t="shared" si="241"/>
        <v>-0.24054998286679607</v>
      </c>
      <c r="P44" s="633">
        <f t="shared" si="242"/>
        <v>-0.63340191034016158</v>
      </c>
      <c r="Q44" s="585">
        <f t="shared" si="113"/>
        <v>343.99996332694263</v>
      </c>
      <c r="R44" s="629">
        <f t="shared" si="385"/>
        <v>0.87270263207113841</v>
      </c>
      <c r="S44" s="634">
        <f t="shared" si="386"/>
        <v>-0.63340191034016158</v>
      </c>
      <c r="T44" s="635">
        <f t="shared" si="387"/>
        <v>-0.24054998286679607</v>
      </c>
      <c r="U44" s="629">
        <f t="shared" si="388"/>
        <v>-0.83889545818694056</v>
      </c>
      <c r="V44" s="636">
        <f t="shared" si="389"/>
        <v>-0.63340191034016158</v>
      </c>
      <c r="W44" s="585">
        <f t="shared" si="224"/>
        <v>253.99996332694263</v>
      </c>
      <c r="X44" s="629">
        <f t="shared" si="390"/>
        <v>0.87270263207113841</v>
      </c>
      <c r="Y44" s="630">
        <f t="shared" si="223"/>
        <v>-0.63340191034016158</v>
      </c>
      <c r="Z44" s="632">
        <f t="shared" si="243"/>
        <v>-0.18526611423554606</v>
      </c>
      <c r="AA44" s="629">
        <f t="shared" si="244"/>
        <v>-0.93625942181631272</v>
      </c>
      <c r="AB44" s="629">
        <f t="shared" si="245"/>
        <v>-0.29848745698311235</v>
      </c>
      <c r="AC44" s="636">
        <f t="shared" si="391"/>
        <v>1</v>
      </c>
      <c r="AD44" s="637">
        <f t="shared" si="392"/>
        <v>-0.18526611423554606</v>
      </c>
      <c r="AE44" s="629">
        <f t="shared" si="393"/>
        <v>-0.93625942181631272</v>
      </c>
      <c r="AF44" s="633">
        <f t="shared" si="394"/>
        <v>-0.29848745698311235</v>
      </c>
      <c r="AG44" s="602">
        <f t="shared" si="395"/>
        <v>-72.317276682383536</v>
      </c>
      <c r="AH44" s="603">
        <f t="shared" si="396"/>
        <v>100.67664782837802</v>
      </c>
      <c r="AI44" s="585">
        <f t="shared" si="397"/>
        <v>-72.633221083348261</v>
      </c>
      <c r="AJ44" s="586">
        <f t="shared" si="398"/>
        <v>-11.193036746669543</v>
      </c>
      <c r="AK44" s="635">
        <f t="shared" si="399"/>
        <v>0.951056530311848</v>
      </c>
      <c r="AL44" s="629">
        <f t="shared" si="400"/>
        <v>7.9979460956820347E-2</v>
      </c>
      <c r="AM44" s="634">
        <f t="shared" si="401"/>
        <v>-0.29848745698311235</v>
      </c>
      <c r="AN44" s="581">
        <f t="shared" si="402"/>
        <v>14.999997834268267</v>
      </c>
      <c r="AO44" s="582">
        <f t="shared" si="94"/>
        <v>17.999997401121927</v>
      </c>
      <c r="AP44" s="585">
        <f t="shared" si="403"/>
        <v>4.8069999263878076</v>
      </c>
      <c r="AQ44" s="586">
        <f t="shared" si="246"/>
        <v>2.6104527564904569</v>
      </c>
      <c r="AS44" s="52">
        <f t="shared" si="406"/>
        <v>-106.00003667305737</v>
      </c>
      <c r="AT44" s="72">
        <f t="shared" si="247"/>
        <v>-0.55979077376164954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3.1030000000000002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1.5670532553412977</v>
      </c>
      <c r="C45" s="708">
        <v>-0.44934637569548636</v>
      </c>
      <c r="D45" s="709">
        <v>-0.43040129809031502</v>
      </c>
      <c r="E45" s="710">
        <v>0.18806719556967622</v>
      </c>
      <c r="F45" s="708">
        <v>0.93822387091063741</v>
      </c>
      <c r="G45" s="711">
        <v>0.29045946017304536</v>
      </c>
      <c r="H45" s="710">
        <v>0.314</v>
      </c>
      <c r="I45" s="708">
        <v>0.52</v>
      </c>
      <c r="J45" s="570">
        <v>3.1059999999999999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3.1059999999999999</v>
      </c>
      <c r="N45" s="632">
        <f t="shared" si="240"/>
        <v>1.5670532553412977</v>
      </c>
      <c r="O45" s="629">
        <f t="shared" si="241"/>
        <v>-0.44934637569548636</v>
      </c>
      <c r="P45" s="633">
        <f t="shared" si="242"/>
        <v>-0.43040129809031502</v>
      </c>
      <c r="Q45" s="585">
        <f t="shared" si="113"/>
        <v>343.99996332694263</v>
      </c>
      <c r="R45" s="629">
        <f t="shared" si="385"/>
        <v>1.630204916698029</v>
      </c>
      <c r="S45" s="634">
        <f t="shared" si="386"/>
        <v>-0.43040129809031502</v>
      </c>
      <c r="T45" s="635">
        <f t="shared" si="387"/>
        <v>-0.44934637569548641</v>
      </c>
      <c r="U45" s="629">
        <f t="shared" si="388"/>
        <v>-1.5670532553412977</v>
      </c>
      <c r="V45" s="636">
        <f t="shared" si="389"/>
        <v>-0.43040129809031502</v>
      </c>
      <c r="W45" s="585">
        <f t="shared" si="224"/>
        <v>253.99996332694263</v>
      </c>
      <c r="X45" s="629">
        <f t="shared" si="390"/>
        <v>1.630204916698029</v>
      </c>
      <c r="Y45" s="630">
        <f t="shared" si="223"/>
        <v>-0.43040129809031502</v>
      </c>
      <c r="Z45" s="632">
        <f t="shared" si="243"/>
        <v>-0.18806719556967622</v>
      </c>
      <c r="AA45" s="629">
        <f t="shared" si="244"/>
        <v>-0.93822387091063741</v>
      </c>
      <c r="AB45" s="629">
        <f t="shared" si="245"/>
        <v>-0.29045946017304536</v>
      </c>
      <c r="AC45" s="636">
        <f t="shared" si="391"/>
        <v>1</v>
      </c>
      <c r="AD45" s="637">
        <f t="shared" si="392"/>
        <v>-0.18806719556967622</v>
      </c>
      <c r="AE45" s="629">
        <f t="shared" si="393"/>
        <v>-0.93822387091063741</v>
      </c>
      <c r="AF45" s="633">
        <f t="shared" si="394"/>
        <v>-0.29045946017304536</v>
      </c>
      <c r="AG45" s="602">
        <f t="shared" si="395"/>
        <v>-72.798291550199608</v>
      </c>
      <c r="AH45" s="603">
        <f t="shared" si="396"/>
        <v>100.84000938254839</v>
      </c>
      <c r="AI45" s="585">
        <f t="shared" si="397"/>
        <v>-73.114534769632428</v>
      </c>
      <c r="AJ45" s="586">
        <f t="shared" si="398"/>
        <v>-11.334734724274641</v>
      </c>
      <c r="AK45" s="635">
        <f t="shared" si="399"/>
        <v>0.95371696400905348</v>
      </c>
      <c r="AL45" s="629">
        <f t="shared" si="400"/>
        <v>7.7828366019961626E-2</v>
      </c>
      <c r="AM45" s="634">
        <f t="shared" si="401"/>
        <v>-0.29045946017304536</v>
      </c>
      <c r="AN45" s="581">
        <f t="shared" si="402"/>
        <v>14.999997834268283</v>
      </c>
      <c r="AO45" s="582">
        <f t="shared" si="94"/>
        <v>17.499997473312952</v>
      </c>
      <c r="AP45" s="585">
        <f t="shared" si="403"/>
        <v>4.6653019487827088</v>
      </c>
      <c r="AQ45" s="586">
        <f t="shared" si="246"/>
        <v>1.3981519034738914</v>
      </c>
      <c r="AS45" s="52">
        <f t="shared" si="406"/>
        <v>-106.00003667305737</v>
      </c>
      <c r="AT45" s="72">
        <f t="shared" si="247"/>
        <v>-0.35679016151180298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3.1059999999999999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2.2470517051195054</v>
      </c>
      <c r="C46" s="708">
        <v>-0.6443332645232297</v>
      </c>
      <c r="D46" s="709">
        <v>-0.24090072655659131</v>
      </c>
      <c r="E46" s="710">
        <v>0.18806719556967633</v>
      </c>
      <c r="F46" s="708">
        <v>0.9382238709106373</v>
      </c>
      <c r="G46" s="711">
        <v>0.29045946017304536</v>
      </c>
      <c r="H46" s="710">
        <v>0.314</v>
      </c>
      <c r="I46" s="708">
        <v>0.52</v>
      </c>
      <c r="J46" s="570">
        <v>3.11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3.11</v>
      </c>
      <c r="N46" s="632">
        <f t="shared" si="240"/>
        <v>2.2470517051195054</v>
      </c>
      <c r="O46" s="629">
        <f t="shared" si="241"/>
        <v>-0.6443332645232297</v>
      </c>
      <c r="P46" s="633">
        <f t="shared" si="242"/>
        <v>-0.24090072655659131</v>
      </c>
      <c r="Q46" s="585">
        <f t="shared" si="113"/>
        <v>343.99996332694263</v>
      </c>
      <c r="R46" s="629">
        <f t="shared" si="385"/>
        <v>2.3376070502228639</v>
      </c>
      <c r="S46" s="634">
        <f t="shared" si="386"/>
        <v>-0.24090072655659131</v>
      </c>
      <c r="T46" s="635">
        <f t="shared" si="387"/>
        <v>-0.6443332645232297</v>
      </c>
      <c r="U46" s="629">
        <f t="shared" si="388"/>
        <v>-2.2470517051195054</v>
      </c>
      <c r="V46" s="636">
        <f t="shared" si="389"/>
        <v>-0.24090072655659131</v>
      </c>
      <c r="W46" s="585">
        <f t="shared" si="224"/>
        <v>253.99996332694263</v>
      </c>
      <c r="X46" s="629">
        <f t="shared" si="390"/>
        <v>2.3376070502228639</v>
      </c>
      <c r="Y46" s="630">
        <f t="shared" si="223"/>
        <v>-0.24090072655659131</v>
      </c>
      <c r="Z46" s="632">
        <f t="shared" si="243"/>
        <v>-0.18806719556967633</v>
      </c>
      <c r="AA46" s="629">
        <f t="shared" si="244"/>
        <v>-0.9382238709106373</v>
      </c>
      <c r="AB46" s="629">
        <f t="shared" si="245"/>
        <v>-0.29045946017304536</v>
      </c>
      <c r="AC46" s="636">
        <f t="shared" si="391"/>
        <v>1</v>
      </c>
      <c r="AD46" s="637">
        <f t="shared" si="392"/>
        <v>-0.18806719556967633</v>
      </c>
      <c r="AE46" s="629">
        <f t="shared" si="393"/>
        <v>-0.9382238709106373</v>
      </c>
      <c r="AF46" s="633">
        <f t="shared" si="394"/>
        <v>-0.29045946017304536</v>
      </c>
      <c r="AG46" s="602">
        <f t="shared" si="395"/>
        <v>-72.798291550199608</v>
      </c>
      <c r="AH46" s="603">
        <f t="shared" si="396"/>
        <v>100.84000938254839</v>
      </c>
      <c r="AI46" s="585">
        <f t="shared" si="397"/>
        <v>-73.114534769632428</v>
      </c>
      <c r="AJ46" s="586">
        <f t="shared" si="398"/>
        <v>-11.33473472427465</v>
      </c>
      <c r="AK46" s="635">
        <f t="shared" si="399"/>
        <v>0.95371696400905337</v>
      </c>
      <c r="AL46" s="629">
        <f t="shared" si="400"/>
        <v>7.7828366019961459E-2</v>
      </c>
      <c r="AM46" s="634">
        <f t="shared" si="401"/>
        <v>-0.29045946017304536</v>
      </c>
      <c r="AN46" s="581">
        <f t="shared" si="402"/>
        <v>14.999997834268255</v>
      </c>
      <c r="AO46" s="582">
        <f t="shared" si="94"/>
        <v>17.49999747331298</v>
      </c>
      <c r="AP46" s="585">
        <f t="shared" si="403"/>
        <v>4.665301948782699</v>
      </c>
      <c r="AQ46" s="586">
        <f t="shared" si="246"/>
        <v>0.97514529219655988</v>
      </c>
      <c r="AS46" s="52">
        <f t="shared" si="406"/>
        <v>-106.00003667305737</v>
      </c>
      <c r="AT46" s="72">
        <f t="shared" si="247"/>
        <v>-0.16728958997807925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3.11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2.9769226427841811</v>
      </c>
      <c r="C47" s="708">
        <v>-0.8594717799769882</v>
      </c>
      <c r="D47" s="709">
        <v>-0.13010039238278343</v>
      </c>
      <c r="E47" s="710">
        <v>0.28559011838465698</v>
      </c>
      <c r="F47" s="708">
        <v>0.90997691469547604</v>
      </c>
      <c r="G47" s="711">
        <v>0.300633163510515</v>
      </c>
      <c r="H47" s="710">
        <v>0.314</v>
      </c>
      <c r="I47" s="708">
        <v>0.52</v>
      </c>
      <c r="J47" s="570">
        <v>3.117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3.117</v>
      </c>
      <c r="N47" s="632">
        <f t="shared" si="240"/>
        <v>2.9769226427841811</v>
      </c>
      <c r="O47" s="629">
        <f t="shared" si="241"/>
        <v>-0.8594717799769882</v>
      </c>
      <c r="P47" s="633">
        <f t="shared" si="242"/>
        <v>-0.13010039238278343</v>
      </c>
      <c r="Q47" s="585">
        <f t="shared" si="113"/>
        <v>343.89596334195841</v>
      </c>
      <c r="R47" s="629">
        <f t="shared" si="385"/>
        <v>3.0985093451041847</v>
      </c>
      <c r="S47" s="634">
        <f t="shared" si="386"/>
        <v>-0.13010039238278343</v>
      </c>
      <c r="T47" s="635">
        <f t="shared" si="387"/>
        <v>-0.85947177997698798</v>
      </c>
      <c r="U47" s="629">
        <f t="shared" si="388"/>
        <v>-2.9769226427841806</v>
      </c>
      <c r="V47" s="636">
        <f t="shared" si="389"/>
        <v>-0.13010039238278343</v>
      </c>
      <c r="W47" s="585">
        <f t="shared" si="224"/>
        <v>253.89596334195841</v>
      </c>
      <c r="X47" s="629">
        <f t="shared" si="390"/>
        <v>3.0985093451041847</v>
      </c>
      <c r="Y47" s="630">
        <f t="shared" si="223"/>
        <v>-0.13010039238278343</v>
      </c>
      <c r="Z47" s="632">
        <f t="shared" si="243"/>
        <v>-0.28559011838465698</v>
      </c>
      <c r="AA47" s="629">
        <f t="shared" si="244"/>
        <v>-0.90997691469547604</v>
      </c>
      <c r="AB47" s="629">
        <f t="shared" si="245"/>
        <v>-0.300633163510515</v>
      </c>
      <c r="AC47" s="636">
        <f t="shared" si="391"/>
        <v>1</v>
      </c>
      <c r="AD47" s="637">
        <f t="shared" si="392"/>
        <v>-0.28559011838465698</v>
      </c>
      <c r="AE47" s="629">
        <f t="shared" si="393"/>
        <v>-0.90997691469547604</v>
      </c>
      <c r="AF47" s="633">
        <f t="shared" si="394"/>
        <v>-0.300633163510515</v>
      </c>
      <c r="AG47" s="602">
        <f t="shared" si="395"/>
        <v>-71.717762432190995</v>
      </c>
      <c r="AH47" s="603">
        <f t="shared" si="396"/>
        <v>106.59412601941747</v>
      </c>
      <c r="AI47" s="585">
        <f t="shared" si="397"/>
        <v>-72.504363648896245</v>
      </c>
      <c r="AJ47" s="586">
        <f t="shared" si="398"/>
        <v>-17.424113498268149</v>
      </c>
      <c r="AK47" s="635">
        <f t="shared" si="399"/>
        <v>0.95348672542422586</v>
      </c>
      <c r="AL47" s="629">
        <f t="shared" si="400"/>
        <v>-2.197192384492308E-2</v>
      </c>
      <c r="AM47" s="634">
        <f t="shared" si="401"/>
        <v>-0.300633163510515</v>
      </c>
      <c r="AN47" s="581">
        <f t="shared" si="402"/>
        <v>-4.1800584516809502</v>
      </c>
      <c r="AO47" s="582">
        <f t="shared" si="94"/>
        <v>17.543813468812861</v>
      </c>
      <c r="AP47" s="585">
        <f t="shared" si="403"/>
        <v>-1.3200768402265457</v>
      </c>
      <c r="AQ47" s="586">
        <f t="shared" si="246"/>
        <v>0.73570904044773522</v>
      </c>
      <c r="AS47" s="52">
        <f t="shared" si="406"/>
        <v>-106.10403665804159</v>
      </c>
      <c r="AT47" s="72">
        <f t="shared" si="247"/>
        <v>-5.6417033592476754E-2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3.117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3.686887762261609</v>
      </c>
      <c r="C48" s="708">
        <v>-1.0962394040903931</v>
      </c>
      <c r="D48" s="709">
        <v>-0.22950069217408764</v>
      </c>
      <c r="E48" s="710">
        <v>0.38502518928352564</v>
      </c>
      <c r="F48" s="708">
        <v>0.87917437919091534</v>
      </c>
      <c r="G48" s="711">
        <v>0.28072765198935057</v>
      </c>
      <c r="H48" s="710">
        <v>0.314</v>
      </c>
      <c r="I48" s="708">
        <v>0.52</v>
      </c>
      <c r="J48" s="570">
        <v>3.1240000000000001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3.1240000000000001</v>
      </c>
      <c r="N48" s="632">
        <f t="shared" si="240"/>
        <v>3.686887762261609</v>
      </c>
      <c r="O48" s="629">
        <f t="shared" si="241"/>
        <v>-1.0962394040903931</v>
      </c>
      <c r="P48" s="633">
        <f t="shared" si="242"/>
        <v>-0.22950069217408764</v>
      </c>
      <c r="Q48" s="585">
        <f t="shared" si="113"/>
        <v>343.44096340765225</v>
      </c>
      <c r="R48" s="629">
        <f t="shared" si="79"/>
        <v>3.846411600777389</v>
      </c>
      <c r="S48" s="634">
        <f t="shared" si="80"/>
        <v>-0.22950069217408764</v>
      </c>
      <c r="T48" s="635">
        <f t="shared" si="81"/>
        <v>-1.0962394040903951</v>
      </c>
      <c r="U48" s="629">
        <f t="shared" si="82"/>
        <v>-3.6868877622616085</v>
      </c>
      <c r="V48" s="636">
        <f t="shared" si="114"/>
        <v>-0.22950069217408764</v>
      </c>
      <c r="W48" s="585">
        <f t="shared" si="224"/>
        <v>253.44096340765225</v>
      </c>
      <c r="X48" s="629">
        <f t="shared" si="83"/>
        <v>3.846411600777389</v>
      </c>
      <c r="Y48" s="630">
        <f t="shared" si="223"/>
        <v>-0.22950069217408764</v>
      </c>
      <c r="Z48" s="632">
        <f t="shared" si="243"/>
        <v>-0.38502518928352564</v>
      </c>
      <c r="AA48" s="629">
        <f t="shared" si="244"/>
        <v>-0.87917437919091534</v>
      </c>
      <c r="AB48" s="629">
        <f t="shared" si="245"/>
        <v>-0.28072765198935057</v>
      </c>
      <c r="AC48" s="636">
        <f t="shared" si="84"/>
        <v>1</v>
      </c>
      <c r="AD48" s="637">
        <f t="shared" si="115"/>
        <v>-0.38502518928352564</v>
      </c>
      <c r="AE48" s="629">
        <f t="shared" si="85"/>
        <v>-0.87917437919091534</v>
      </c>
      <c r="AF48" s="633">
        <f t="shared" si="86"/>
        <v>-0.28072765198935057</v>
      </c>
      <c r="AG48" s="602">
        <f t="shared" si="87"/>
        <v>-72.291287226015541</v>
      </c>
      <c r="AH48" s="603">
        <f t="shared" si="88"/>
        <v>112.6453040530413</v>
      </c>
      <c r="AI48" s="585">
        <f t="shared" si="89"/>
        <v>-73.696361956880367</v>
      </c>
      <c r="AJ48" s="586">
        <f t="shared" si="90"/>
        <v>-23.650510330775639</v>
      </c>
      <c r="AK48" s="635">
        <f t="shared" si="211"/>
        <v>0.95244540206057926</v>
      </c>
      <c r="AL48" s="629">
        <f t="shared" si="91"/>
        <v>-0.11848941514839068</v>
      </c>
      <c r="AM48" s="634">
        <f t="shared" si="92"/>
        <v>-0.28072765198935057</v>
      </c>
      <c r="AN48" s="581">
        <f t="shared" si="93"/>
        <v>-22.883616030321786</v>
      </c>
      <c r="AO48" s="582">
        <f t="shared" si="94"/>
        <v>17.740675419099325</v>
      </c>
      <c r="AP48" s="585">
        <f t="shared" si="95"/>
        <v>-7.0914737384278572</v>
      </c>
      <c r="AQ48" s="586">
        <f t="shared" si="246"/>
        <v>0.59266806542056327</v>
      </c>
      <c r="AS48" s="52">
        <f t="shared" si="406"/>
        <v>-106.55903659234775</v>
      </c>
      <c r="AT48" s="72">
        <f t="shared" si="247"/>
        <v>-0.15550136120717947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3.1240000000000001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4.3370776696382842</v>
      </c>
      <c r="C49" s="708">
        <v>-1.3394843087717885</v>
      </c>
      <c r="D49" s="709">
        <v>-0.52860159426240827</v>
      </c>
      <c r="E49" s="710">
        <v>0.47507890683613518</v>
      </c>
      <c r="F49" s="708">
        <v>0.84578624288953308</v>
      </c>
      <c r="G49" s="711">
        <v>0.24278728059391996</v>
      </c>
      <c r="H49" s="710">
        <v>0.314</v>
      </c>
      <c r="I49" s="708">
        <v>0.52</v>
      </c>
      <c r="J49" s="570">
        <v>3.1309999999999998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3.1309999999999998</v>
      </c>
      <c r="N49" s="632">
        <f t="shared" si="240"/>
        <v>4.3370776696382842</v>
      </c>
      <c r="O49" s="629">
        <f t="shared" si="241"/>
        <v>-1.3394843087717885</v>
      </c>
      <c r="P49" s="633">
        <f t="shared" si="242"/>
        <v>-0.52860159426240827</v>
      </c>
      <c r="Q49" s="585">
        <f t="shared" si="113"/>
        <v>342.83696349485905</v>
      </c>
      <c r="R49" s="629">
        <f t="shared" si="79"/>
        <v>4.5392136902684896</v>
      </c>
      <c r="S49" s="634">
        <f t="shared" si="80"/>
        <v>-0.52860159426240827</v>
      </c>
      <c r="T49" s="635">
        <f t="shared" si="81"/>
        <v>-1.3394843087717876</v>
      </c>
      <c r="U49" s="629">
        <f t="shared" si="82"/>
        <v>-4.3370776696382842</v>
      </c>
      <c r="V49" s="636">
        <f t="shared" si="114"/>
        <v>-0.52860159426240827</v>
      </c>
      <c r="W49" s="585">
        <f t="shared" si="224"/>
        <v>252.83696349485905</v>
      </c>
      <c r="X49" s="629">
        <f t="shared" si="83"/>
        <v>4.5392136902684896</v>
      </c>
      <c r="Y49" s="630">
        <f t="shared" si="223"/>
        <v>-0.52860159426240827</v>
      </c>
      <c r="Z49" s="632">
        <f t="shared" si="243"/>
        <v>-0.47507890683613518</v>
      </c>
      <c r="AA49" s="629">
        <f t="shared" si="244"/>
        <v>-0.84578624288953308</v>
      </c>
      <c r="AB49" s="629">
        <f t="shared" si="245"/>
        <v>-0.24278728059391996</v>
      </c>
      <c r="AC49" s="636">
        <f t="shared" si="84"/>
        <v>1</v>
      </c>
      <c r="AD49" s="637">
        <f t="shared" si="115"/>
        <v>-0.47507890683613518</v>
      </c>
      <c r="AE49" s="629">
        <f t="shared" si="85"/>
        <v>-0.84578624288953308</v>
      </c>
      <c r="AF49" s="633">
        <f t="shared" si="86"/>
        <v>-0.24278728059391996</v>
      </c>
      <c r="AG49" s="602">
        <f t="shared" si="87"/>
        <v>-73.983602613386296</v>
      </c>
      <c r="AH49" s="603">
        <f t="shared" si="88"/>
        <v>118.36448776803051</v>
      </c>
      <c r="AI49" s="585">
        <f t="shared" si="89"/>
        <v>-75.948893489725236</v>
      </c>
      <c r="AJ49" s="586">
        <f t="shared" si="90"/>
        <v>-29.322961996047031</v>
      </c>
      <c r="AK49" s="635">
        <f t="shared" si="211"/>
        <v>0.94831432538358862</v>
      </c>
      <c r="AL49" s="629">
        <f t="shared" si="91"/>
        <v>-0.20433863230940605</v>
      </c>
      <c r="AM49" s="634">
        <f t="shared" si="92"/>
        <v>-0.24278728059391996</v>
      </c>
      <c r="AN49" s="581">
        <f t="shared" si="93"/>
        <v>-40.085188844592153</v>
      </c>
      <c r="AO49" s="582">
        <f t="shared" si="94"/>
        <v>18.501684614337378</v>
      </c>
      <c r="AP49" s="585">
        <f t="shared" si="95"/>
        <v>-12.159925490906092</v>
      </c>
      <c r="AQ49" s="586">
        <f t="shared" si="246"/>
        <v>0.50221655172183999</v>
      </c>
      <c r="AS49" s="52">
        <f t="shared" si="406"/>
        <v>-107.16303650514095</v>
      </c>
      <c r="AT49" s="72">
        <f t="shared" si="247"/>
        <v>-0.45418281891161594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3.1309999999999998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4.8805110087877495</v>
      </c>
      <c r="C50" s="708">
        <v>-1.5631125357824949</v>
      </c>
      <c r="D50" s="709">
        <v>-1.0046030298827373</v>
      </c>
      <c r="E50" s="710">
        <v>0.56093859398701684</v>
      </c>
      <c r="F50" s="708">
        <v>0.80259911934381389</v>
      </c>
      <c r="G50" s="711">
        <v>0.20293483536446663</v>
      </c>
      <c r="H50" s="710">
        <v>0.314</v>
      </c>
      <c r="I50" s="708">
        <v>0.52</v>
      </c>
      <c r="J50" s="570">
        <v>3.1379999999999999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3.1379999999999999</v>
      </c>
      <c r="N50" s="632">
        <f t="shared" si="240"/>
        <v>4.8805110087877495</v>
      </c>
      <c r="O50" s="629">
        <f t="shared" si="241"/>
        <v>-1.5631125357824949</v>
      </c>
      <c r="P50" s="633">
        <f t="shared" si="242"/>
        <v>-1.0046030298827373</v>
      </c>
      <c r="Q50" s="585">
        <f t="shared" si="113"/>
        <v>342.24096358091077</v>
      </c>
      <c r="R50" s="629">
        <f t="shared" si="79"/>
        <v>5.1247154561418133</v>
      </c>
      <c r="S50" s="634">
        <f t="shared" si="80"/>
        <v>-1.0046030298827373</v>
      </c>
      <c r="T50" s="635">
        <f t="shared" si="81"/>
        <v>-1.5631125357824986</v>
      </c>
      <c r="U50" s="629">
        <f t="shared" si="82"/>
        <v>-4.8805110087877477</v>
      </c>
      <c r="V50" s="636">
        <f t="shared" si="114"/>
        <v>-1.0046030298827373</v>
      </c>
      <c r="W50" s="585">
        <f t="shared" si="224"/>
        <v>252.24096358091077</v>
      </c>
      <c r="X50" s="629">
        <f t="shared" si="83"/>
        <v>5.1247154561418133</v>
      </c>
      <c r="Y50" s="630">
        <f t="shared" si="223"/>
        <v>-1.0046030298827373</v>
      </c>
      <c r="Z50" s="632">
        <f t="shared" si="243"/>
        <v>-0.56093859398701684</v>
      </c>
      <c r="AA50" s="629">
        <f t="shared" si="244"/>
        <v>-0.80259911934381389</v>
      </c>
      <c r="AB50" s="629">
        <f t="shared" si="245"/>
        <v>-0.20293483536446663</v>
      </c>
      <c r="AC50" s="636">
        <f t="shared" si="84"/>
        <v>1</v>
      </c>
      <c r="AD50" s="637">
        <f t="shared" si="115"/>
        <v>-0.56093859398701684</v>
      </c>
      <c r="AE50" s="629">
        <f t="shared" si="85"/>
        <v>-0.80259911934381389</v>
      </c>
      <c r="AF50" s="633">
        <f t="shared" si="86"/>
        <v>-0.20293483536446663</v>
      </c>
      <c r="AG50" s="602">
        <f t="shared" si="87"/>
        <v>-75.810330201246387</v>
      </c>
      <c r="AH50" s="603">
        <f t="shared" si="88"/>
        <v>124.12073265097828</v>
      </c>
      <c r="AI50" s="585">
        <f t="shared" si="89"/>
        <v>-78.291367080512373</v>
      </c>
      <c r="AJ50" s="586">
        <f t="shared" si="90"/>
        <v>-34.949798691849473</v>
      </c>
      <c r="AK50" s="635">
        <f t="shared" si="211"/>
        <v>0.93544783641027407</v>
      </c>
      <c r="AL50" s="629">
        <f t="shared" si="91"/>
        <v>-0.28940421204767197</v>
      </c>
      <c r="AM50" s="634">
        <f t="shared" si="92"/>
        <v>-0.20293483536446663</v>
      </c>
      <c r="AN50" s="581">
        <f t="shared" si="93"/>
        <v>-54.961250795004169</v>
      </c>
      <c r="AO50" s="582">
        <f t="shared" si="94"/>
        <v>20.699383133464586</v>
      </c>
      <c r="AP50" s="585">
        <f t="shared" si="95"/>
        <v>-17.190762272760225</v>
      </c>
      <c r="AQ50" s="586">
        <f t="shared" si="246"/>
        <v>0.4448404687086645</v>
      </c>
      <c r="AS50" s="52">
        <f t="shared" si="406"/>
        <v>-107.75903641908923</v>
      </c>
      <c r="AT50" s="72">
        <f t="shared" si="247"/>
        <v>-0.92977036570281424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3.1379999999999999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5.2795629076216946</v>
      </c>
      <c r="C51" s="708">
        <v>-1.7394101238509483</v>
      </c>
      <c r="D51" s="709">
        <v>-1.6219048916651539</v>
      </c>
      <c r="E51" s="710">
        <v>0.64174834716361606</v>
      </c>
      <c r="F51" s="708">
        <v>0.75202497418907233</v>
      </c>
      <c r="G51" s="711">
        <v>0.15039114704227879</v>
      </c>
      <c r="H51" s="710">
        <v>0.314</v>
      </c>
      <c r="I51" s="708">
        <v>0.52</v>
      </c>
      <c r="J51" s="570">
        <v>3.145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3.145</v>
      </c>
      <c r="N51" s="632">
        <f t="shared" si="240"/>
        <v>5.2795629076216946</v>
      </c>
      <c r="O51" s="629">
        <f t="shared" si="241"/>
        <v>-1.7394101238509483</v>
      </c>
      <c r="P51" s="633">
        <f t="shared" si="242"/>
        <v>-1.6219048916651539</v>
      </c>
      <c r="Q51" s="585">
        <f t="shared" si="113"/>
        <v>341.76496364963668</v>
      </c>
      <c r="R51" s="629">
        <f t="shared" si="79"/>
        <v>5.5587167650897644</v>
      </c>
      <c r="S51" s="634">
        <f t="shared" si="80"/>
        <v>-1.6219048916651539</v>
      </c>
      <c r="T51" s="635">
        <f t="shared" si="81"/>
        <v>-1.7394101238509461</v>
      </c>
      <c r="U51" s="629">
        <f t="shared" si="82"/>
        <v>-5.2795629076216954</v>
      </c>
      <c r="V51" s="636">
        <f t="shared" si="114"/>
        <v>-1.6219048916651539</v>
      </c>
      <c r="W51" s="585">
        <f t="shared" si="224"/>
        <v>251.76496364963668</v>
      </c>
      <c r="X51" s="629">
        <f t="shared" si="83"/>
        <v>5.5587167650897644</v>
      </c>
      <c r="Y51" s="630">
        <f t="shared" si="223"/>
        <v>-1.6219048916651539</v>
      </c>
      <c r="Z51" s="632">
        <f t="shared" si="243"/>
        <v>-0.64174834716361606</v>
      </c>
      <c r="AA51" s="629">
        <f t="shared" si="244"/>
        <v>-0.75202497418907233</v>
      </c>
      <c r="AB51" s="629">
        <f t="shared" si="245"/>
        <v>-0.15039114704227879</v>
      </c>
      <c r="AC51" s="636">
        <f t="shared" si="84"/>
        <v>1</v>
      </c>
      <c r="AD51" s="637">
        <f t="shared" si="115"/>
        <v>-0.64174834716361606</v>
      </c>
      <c r="AE51" s="629">
        <f t="shared" si="85"/>
        <v>-0.75202497418907233</v>
      </c>
      <c r="AF51" s="633">
        <f t="shared" si="86"/>
        <v>-0.15039114704227879</v>
      </c>
      <c r="AG51" s="602">
        <f t="shared" si="87"/>
        <v>-78.691081995983254</v>
      </c>
      <c r="AH51" s="603">
        <f t="shared" si="88"/>
        <v>129.92231322709955</v>
      </c>
      <c r="AI51" s="585">
        <f t="shared" si="89"/>
        <v>-81.35040522514619</v>
      </c>
      <c r="AJ51" s="586">
        <f t="shared" si="90"/>
        <v>-40.476129513817142</v>
      </c>
      <c r="AK51" s="635">
        <f t="shared" si="211"/>
        <v>0.91507211939636457</v>
      </c>
      <c r="AL51" s="629">
        <f t="shared" si="91"/>
        <v>-0.37419983858194461</v>
      </c>
      <c r="AM51" s="634">
        <f t="shared" si="92"/>
        <v>-0.15039114704227879</v>
      </c>
      <c r="AN51" s="581">
        <f t="shared" si="93"/>
        <v>-68.104774935533925</v>
      </c>
      <c r="AO51" s="582">
        <f t="shared" si="94"/>
        <v>23.784028965760527</v>
      </c>
      <c r="AP51" s="585">
        <f t="shared" si="95"/>
        <v>-22.24109316345384</v>
      </c>
      <c r="AQ51" s="586">
        <f t="shared" si="246"/>
        <v>0.41011042568968081</v>
      </c>
      <c r="AS51" s="52">
        <f t="shared" si="406"/>
        <v>-108.23503635036332</v>
      </c>
      <c r="AT51" s="72">
        <f t="shared" si="247"/>
        <v>-1.5467416719774016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3.145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5.5078367295218555</v>
      </c>
      <c r="C52" s="708">
        <v>-1.8449314460242596</v>
      </c>
      <c r="D52" s="709">
        <v>-2.3339070390636296</v>
      </c>
      <c r="E52" s="710">
        <v>0.74757695030130078</v>
      </c>
      <c r="F52" s="708">
        <v>0.65673063328097703</v>
      </c>
      <c r="G52" s="711">
        <v>9.9164402325499529E-2</v>
      </c>
      <c r="H52" s="710">
        <v>0.314</v>
      </c>
      <c r="I52" s="708">
        <v>0.52</v>
      </c>
      <c r="J52" s="570">
        <v>3.1520000000000001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3.1520000000000001</v>
      </c>
      <c r="N52" s="632">
        <f t="shared" si="240"/>
        <v>5.5078367295218555</v>
      </c>
      <c r="O52" s="629">
        <f t="shared" si="241"/>
        <v>-1.8449314460242596</v>
      </c>
      <c r="P52" s="633">
        <f t="shared" si="242"/>
        <v>-2.3339070390636296</v>
      </c>
      <c r="Q52" s="585">
        <f t="shared" si="113"/>
        <v>341.4809636906412</v>
      </c>
      <c r="R52" s="629">
        <f t="shared" si="79"/>
        <v>5.8086175187904381</v>
      </c>
      <c r="S52" s="634">
        <f t="shared" si="80"/>
        <v>-2.3339070390636296</v>
      </c>
      <c r="T52" s="635">
        <f t="shared" si="81"/>
        <v>-1.8449314460242594</v>
      </c>
      <c r="U52" s="629">
        <f t="shared" si="82"/>
        <v>-5.5078367295218564</v>
      </c>
      <c r="V52" s="636">
        <f t="shared" si="114"/>
        <v>-2.3339070390636296</v>
      </c>
      <c r="W52" s="585">
        <f t="shared" si="224"/>
        <v>251.4809636906412</v>
      </c>
      <c r="X52" s="629">
        <f t="shared" si="83"/>
        <v>5.8086175187904381</v>
      </c>
      <c r="Y52" s="630">
        <f t="shared" si="223"/>
        <v>-2.3339070390636296</v>
      </c>
      <c r="Z52" s="632">
        <f t="shared" si="243"/>
        <v>-0.74757695030130078</v>
      </c>
      <c r="AA52" s="629">
        <f t="shared" si="244"/>
        <v>-0.65673063328097703</v>
      </c>
      <c r="AB52" s="629">
        <f t="shared" si="245"/>
        <v>-9.9164402325499529E-2</v>
      </c>
      <c r="AC52" s="636">
        <f t="shared" si="84"/>
        <v>1</v>
      </c>
      <c r="AD52" s="637">
        <f t="shared" si="115"/>
        <v>-0.74757695030130078</v>
      </c>
      <c r="AE52" s="629">
        <f t="shared" si="85"/>
        <v>-0.65673063328097703</v>
      </c>
      <c r="AF52" s="633">
        <f t="shared" si="86"/>
        <v>-9.9164402325499529E-2</v>
      </c>
      <c r="AG52" s="602">
        <f t="shared" si="87"/>
        <v>-81.413371690542107</v>
      </c>
      <c r="AH52" s="603">
        <f t="shared" si="88"/>
        <v>138.38091952964831</v>
      </c>
      <c r="AI52" s="585">
        <f t="shared" si="89"/>
        <v>-84.308944909585307</v>
      </c>
      <c r="AJ52" s="586">
        <f t="shared" si="90"/>
        <v>-48.701374077559876</v>
      </c>
      <c r="AK52" s="635">
        <f t="shared" si="211"/>
        <v>0.86016910412123793</v>
      </c>
      <c r="AL52" s="629">
        <f t="shared" si="91"/>
        <v>-0.50027545774972171</v>
      </c>
      <c r="AM52" s="634">
        <f t="shared" si="92"/>
        <v>-9.9164402325499529E-2</v>
      </c>
      <c r="AN52" s="581">
        <f t="shared" si="93"/>
        <v>-78.788186859551999</v>
      </c>
      <c r="AO52" s="582">
        <f t="shared" si="94"/>
        <v>30.664424804385764</v>
      </c>
      <c r="AP52" s="585">
        <f t="shared" si="95"/>
        <v>-30.18233776820108</v>
      </c>
      <c r="AQ52" s="586">
        <f t="shared" si="246"/>
        <v>0.39246704904993718</v>
      </c>
      <c r="AS52" s="52">
        <f t="shared" si="406"/>
        <v>-108.5190363093588</v>
      </c>
      <c r="AT52" s="72">
        <f t="shared" si="247"/>
        <v>-2.2585465971821304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3.1520000000000001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5.6052168806975118</v>
      </c>
      <c r="C53" s="708">
        <v>-1.8910521322949116</v>
      </c>
      <c r="D53" s="709">
        <v>-3.1108093822010967</v>
      </c>
      <c r="E53" s="710">
        <v>0.85394184735594192</v>
      </c>
      <c r="F53" s="708">
        <v>0.52036844767366519</v>
      </c>
      <c r="G53" s="711">
        <v>1.457809313662208E-7</v>
      </c>
      <c r="H53" s="710">
        <v>0.314</v>
      </c>
      <c r="I53" s="708">
        <v>0.52</v>
      </c>
      <c r="J53" s="570">
        <v>3.1589999999999998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3.1589999999999998</v>
      </c>
      <c r="N53" s="632">
        <f t="shared" si="240"/>
        <v>5.6052168806975118</v>
      </c>
      <c r="O53" s="629">
        <f t="shared" si="241"/>
        <v>-1.8910521322949116</v>
      </c>
      <c r="P53" s="633">
        <f t="shared" si="242"/>
        <v>-3.1108093822010967</v>
      </c>
      <c r="Q53" s="585">
        <f t="shared" si="113"/>
        <v>341.35696370854458</v>
      </c>
      <c r="R53" s="629">
        <f t="shared" ref="R53:R58" si="410">IF(M53="","",SQRT(N53^2+O53^2))</f>
        <v>5.9156178415034111</v>
      </c>
      <c r="S53" s="634">
        <f t="shared" ref="S53:S58" si="411">IF(M53="","",P53)</f>
        <v>-3.1108093822010967</v>
      </c>
      <c r="T53" s="635">
        <f t="shared" ref="T53:T58" si="412">IF(M53="","",X53*COS(RADIANS(W53)))</f>
        <v>-1.8910521322949105</v>
      </c>
      <c r="U53" s="629">
        <f t="shared" ref="U53:U58" si="413">IF(M53="","",X53*SIN(RADIANS(W53)))</f>
        <v>-5.6052168806975127</v>
      </c>
      <c r="V53" s="636">
        <f t="shared" ref="V53:V58" si="414">IF(M53="","",Y53)</f>
        <v>-3.1108093822010967</v>
      </c>
      <c r="W53" s="585">
        <f t="shared" si="224"/>
        <v>251.35696370854458</v>
      </c>
      <c r="X53" s="629">
        <f t="shared" ref="X53:X58" si="415">IF(M53="","",R53)</f>
        <v>5.9156178415034111</v>
      </c>
      <c r="Y53" s="630">
        <f t="shared" si="223"/>
        <v>-3.1108093822010967</v>
      </c>
      <c r="Z53" s="632">
        <f t="shared" si="243"/>
        <v>-0.85394184735594192</v>
      </c>
      <c r="AA53" s="629">
        <f t="shared" si="244"/>
        <v>-0.52036844767366519</v>
      </c>
      <c r="AB53" s="629">
        <f t="shared" si="245"/>
        <v>-1.457809313662208E-7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-0.85394184735594192</v>
      </c>
      <c r="AE53" s="629">
        <f t="shared" ref="AE53:AE58" si="418">IF(M53="","",AA53*(1/SQRT(Z53^2+AA53^2+AB53^2)))</f>
        <v>-0.52036844767366519</v>
      </c>
      <c r="AF53" s="633">
        <f t="shared" ref="AF53:AF58" si="419">IF(M53="","",AB53*(1/SQRT(Z53^2+AA53^2+AB53^2)))</f>
        <v>-1.457809313662208E-7</v>
      </c>
      <c r="AG53" s="602">
        <f t="shared" ref="AG53:AG58" si="420">IF(M53="","",DEGREES(ATAN2(-AF53,AE53)))</f>
        <v>-89.999983948619217</v>
      </c>
      <c r="AH53" s="603">
        <f t="shared" ref="AH53:AH58" si="421">IF(M53="","",DEGREES(ACOS(AD53)))</f>
        <v>148.64303051616909</v>
      </c>
      <c r="AI53" s="585">
        <f t="shared" ref="AI53:AI58" si="422">IF(M53="","",DEGREES(-ACOS(-AF53)))</f>
        <v>-89.999991647367906</v>
      </c>
      <c r="AJ53" s="586">
        <f t="shared" ref="AJ53:AJ58" si="423">IF(M53="","",DEGREES(ATAN2(-AE53,AD53)))</f>
        <v>-58.643030516170079</v>
      </c>
      <c r="AK53" s="635">
        <f t="shared" ref="AK53:AK58" si="424">IF(M53="","",(COS(RADIANS((90-$Q$8)-W53))*AD53)+(-SIN(RADIANS((90-$Q$8)-W53))*AE53))</f>
        <v>0.76604450791050716</v>
      </c>
      <c r="AL53" s="629">
        <f t="shared" ref="AL53:AL58" si="425">IF(M53="","",(SIN(RADIANS((90-$Q$8)-W53))*AD53)+(COS(RADIANS((90-$Q$8)-W53))*AE53))</f>
        <v>-0.64278753247097731</v>
      </c>
      <c r="AM53" s="634">
        <f t="shared" ref="AM53:AM58" si="426">IF(M53="","",AF53)</f>
        <v>-1.457809313662208E-7</v>
      </c>
      <c r="AN53" s="581">
        <f t="shared" ref="AN53:AN58" si="427">IF(M53="","",DEGREES(ATAN2(-AM53,AL53)))</f>
        <v>-89.999987005609668</v>
      </c>
      <c r="AO53" s="582">
        <f t="shared" si="94"/>
        <v>39.999994224715394</v>
      </c>
      <c r="AP53" s="585">
        <f t="shared" ref="AP53:AP58" si="428">IF(M53="","",DEGREES(ATAN2(AK53,AL53)))</f>
        <v>-39.999994224714669</v>
      </c>
      <c r="AQ53" s="586">
        <f t="shared" si="246"/>
        <v>0.38536841220789192</v>
      </c>
      <c r="AS53" s="52">
        <f t="shared" si="406"/>
        <v>-108.64303629145542</v>
      </c>
      <c r="AT53" s="72">
        <f t="shared" si="247"/>
        <v>-3.0353628292209192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3.1589999999999998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1.7196339121922855</v>
      </c>
      <c r="C54" s="708">
        <v>-1.566944204032972</v>
      </c>
      <c r="D54" s="709">
        <v>-0.22896395600635286</v>
      </c>
      <c r="E54" s="710">
        <v>1.5275297027080476E-7</v>
      </c>
      <c r="F54" s="708">
        <v>1.6763786942106623E-7</v>
      </c>
      <c r="G54" s="711">
        <v>0.99999999999997435</v>
      </c>
      <c r="H54" s="710">
        <v>0.26250000000000001</v>
      </c>
      <c r="I54" s="708">
        <v>0.40699999999999997</v>
      </c>
      <c r="J54" s="570">
        <v>3.21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Inactive</v>
      </c>
      <c r="L54" s="320"/>
      <c r="M54" s="168">
        <f t="shared" si="239"/>
        <v>3.21</v>
      </c>
      <c r="N54" s="632">
        <f t="shared" si="240"/>
        <v>1.7196339121922855</v>
      </c>
      <c r="O54" s="629">
        <f t="shared" si="241"/>
        <v>-1.566944204032972</v>
      </c>
      <c r="P54" s="633">
        <f t="shared" si="242"/>
        <v>-0.22896395600635286</v>
      </c>
      <c r="Q54" s="585">
        <f t="shared" si="113"/>
        <v>317.65996712996758</v>
      </c>
      <c r="R54" s="629">
        <f t="shared" si="410"/>
        <v>2.3264683386012948</v>
      </c>
      <c r="S54" s="634">
        <f t="shared" si="411"/>
        <v>-0.22896395600635286</v>
      </c>
      <c r="T54" s="635">
        <f t="shared" si="412"/>
        <v>-1.5669442040329715</v>
      </c>
      <c r="U54" s="629">
        <f t="shared" si="413"/>
        <v>-1.7196339121922859</v>
      </c>
      <c r="V54" s="636">
        <f t="shared" si="414"/>
        <v>-0.22896395600635286</v>
      </c>
      <c r="W54" s="585">
        <f t="shared" si="224"/>
        <v>227.65996712996758</v>
      </c>
      <c r="X54" s="629">
        <f t="shared" si="415"/>
        <v>2.3264683386012948</v>
      </c>
      <c r="Y54" s="630">
        <f t="shared" si="223"/>
        <v>-0.22896395600635286</v>
      </c>
      <c r="Z54" s="632">
        <f t="shared" si="243"/>
        <v>-1.5275297027080476E-7</v>
      </c>
      <c r="AA54" s="629">
        <f t="shared" si="244"/>
        <v>-1.6763786942106623E-7</v>
      </c>
      <c r="AB54" s="629">
        <f t="shared" si="245"/>
        <v>-0.99999999999997435</v>
      </c>
      <c r="AC54" s="636">
        <f t="shared" si="416"/>
        <v>1</v>
      </c>
      <c r="AD54" s="637">
        <f t="shared" si="417"/>
        <v>-1.5275297027080476E-7</v>
      </c>
      <c r="AE54" s="629">
        <f t="shared" si="418"/>
        <v>-1.6763786942106623E-7</v>
      </c>
      <c r="AF54" s="633">
        <f t="shared" si="419"/>
        <v>-0.99999999999997435</v>
      </c>
      <c r="AG54" s="602">
        <f t="shared" si="420"/>
        <v>-9.6049424043924518E-6</v>
      </c>
      <c r="AH54" s="603">
        <f t="shared" si="421"/>
        <v>90.000008752100499</v>
      </c>
      <c r="AI54" s="585">
        <f t="shared" si="422"/>
        <v>-1.2976235990044085E-5</v>
      </c>
      <c r="AJ54" s="586">
        <f t="shared" si="423"/>
        <v>-42.340032870032417</v>
      </c>
      <c r="AK54" s="635">
        <f t="shared" si="424"/>
        <v>2.2679489674723244E-7</v>
      </c>
      <c r="AL54" s="629">
        <f t="shared" si="425"/>
        <v>-3.9704669402545328E-23</v>
      </c>
      <c r="AM54" s="634">
        <f t="shared" si="426"/>
        <v>-0.99999999999997435</v>
      </c>
      <c r="AN54" s="581">
        <f t="shared" si="427"/>
        <v>-2.2749099837281215E-21</v>
      </c>
      <c r="AO54" s="582">
        <f t="shared" si="94"/>
        <v>0</v>
      </c>
      <c r="AP54" s="585">
        <f t="shared" si="428"/>
        <v>-1.0030693002159995E-14</v>
      </c>
      <c r="AQ54" s="586">
        <f t="shared" si="246"/>
        <v>0.97981320429974794</v>
      </c>
      <c r="AS54" s="52">
        <f t="shared" si="406"/>
        <v>-132.34003287003242</v>
      </c>
      <c r="AT54" s="72">
        <f t="shared" si="247"/>
        <v>-0.13706115540216368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3.21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3.11</v>
      </c>
      <c r="II54" s="734" cm="1">
        <f t="array" ref="II54">IFERROR(ROUND(VALUE(IF($IH54&lt;1,$IH54+LARGE((IF($M$9:$M$150="",0,$M$9:$M$150)-MOD(IF($M$9:$M$150="",0,$M$9:$M$150),1)),1),$IH54)),4),"")</f>
        <v>3.11</v>
      </c>
      <c r="IJ54" s="533">
        <f t="shared" si="112"/>
        <v>1613</v>
      </c>
      <c r="IK54" s="533" t="str">
        <f t="shared" si="382"/>
        <v>Inactive</v>
      </c>
      <c r="IL54" s="727">
        <f t="shared" si="225"/>
        <v>26.339996196975051</v>
      </c>
      <c r="IM54" s="759">
        <v>2.189047232003E-2</v>
      </c>
      <c r="IN54" s="5">
        <f t="shared" si="226"/>
        <v>0.3</v>
      </c>
      <c r="IO54" s="771">
        <v>150</v>
      </c>
      <c r="IP54" s="9">
        <f t="shared" si="227"/>
        <v>-2.3376070502228639</v>
      </c>
      <c r="IQ54" s="5">
        <f t="shared" si="228"/>
        <v>-0.24090072655659131</v>
      </c>
      <c r="IR54" s="5">
        <f t="shared" si="383"/>
        <v>0.314</v>
      </c>
      <c r="IS54" s="5">
        <f t="shared" si="229"/>
        <v>0.29946712669884273</v>
      </c>
      <c r="IT54" s="727">
        <f t="shared" si="230"/>
        <v>-14.999997834268255</v>
      </c>
      <c r="IU54" s="9">
        <f t="shared" si="231"/>
        <v>-2.3264683386012948</v>
      </c>
      <c r="IV54" s="5">
        <f t="shared" si="232"/>
        <v>-0.22896395600635286</v>
      </c>
      <c r="IW54" s="5">
        <f t="shared" si="384"/>
        <v>0.26250000000000001</v>
      </c>
      <c r="IX54" s="5">
        <f t="shared" si="233"/>
        <v>0.26250000000000001</v>
      </c>
      <c r="IY54" s="762">
        <f t="shared" si="234"/>
        <v>2.2749099837281215E-21</v>
      </c>
    </row>
    <row r="55" spans="1:259" ht="15" customHeight="1" x14ac:dyDescent="0.25">
      <c r="A55" s="79"/>
      <c r="B55" s="707">
        <v>2.4810725450753259</v>
      </c>
      <c r="C55" s="708">
        <v>-1.8560816759430094</v>
      </c>
      <c r="D55" s="709">
        <v>-0.11567813510976789</v>
      </c>
      <c r="E55" s="710">
        <v>1.3585560182490612E-7</v>
      </c>
      <c r="F55" s="708">
        <v>1.8160170867007123E-7</v>
      </c>
      <c r="G55" s="711">
        <v>0.99999999999997435</v>
      </c>
      <c r="H55" s="710">
        <v>0.26250000000000001</v>
      </c>
      <c r="I55" s="708">
        <v>0.40699999999999997</v>
      </c>
      <c r="J55" s="570">
        <v>3.2170000000000001</v>
      </c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Inactive</v>
      </c>
      <c r="L55" s="320"/>
      <c r="M55" s="168">
        <f t="shared" si="239"/>
        <v>3.2170000000000001</v>
      </c>
      <c r="N55" s="632">
        <f t="shared" si="240"/>
        <v>2.4810725450753259</v>
      </c>
      <c r="O55" s="629">
        <f t="shared" si="241"/>
        <v>-1.8560816759430094</v>
      </c>
      <c r="P55" s="633">
        <f t="shared" si="242"/>
        <v>-0.11567813510976789</v>
      </c>
      <c r="Q55" s="585">
        <f t="shared" si="113"/>
        <v>323.19996633009066</v>
      </c>
      <c r="R55" s="629">
        <f t="shared" si="410"/>
        <v>3.0985093451041852</v>
      </c>
      <c r="S55" s="634">
        <f t="shared" si="411"/>
        <v>-0.11567813510976789</v>
      </c>
      <c r="T55" s="635">
        <f t="shared" si="412"/>
        <v>-1.8560816759430099</v>
      </c>
      <c r="U55" s="629">
        <f t="shared" si="413"/>
        <v>-2.4810725450753255</v>
      </c>
      <c r="V55" s="636">
        <f t="shared" si="414"/>
        <v>-0.11567813510976789</v>
      </c>
      <c r="W55" s="585">
        <f t="shared" si="224"/>
        <v>233.19996633009066</v>
      </c>
      <c r="X55" s="629">
        <f t="shared" si="415"/>
        <v>3.0985093451041852</v>
      </c>
      <c r="Y55" s="630">
        <f t="shared" si="223"/>
        <v>-0.11567813510976789</v>
      </c>
      <c r="Z55" s="632">
        <f t="shared" si="243"/>
        <v>-1.3585560182490612E-7</v>
      </c>
      <c r="AA55" s="629">
        <f t="shared" si="244"/>
        <v>-1.8160170867007123E-7</v>
      </c>
      <c r="AB55" s="629">
        <f t="shared" si="245"/>
        <v>-0.99999999999997435</v>
      </c>
      <c r="AC55" s="636">
        <f t="shared" si="416"/>
        <v>1</v>
      </c>
      <c r="AD55" s="637">
        <f t="shared" si="417"/>
        <v>-1.3585560182490612E-7</v>
      </c>
      <c r="AE55" s="629">
        <f t="shared" si="418"/>
        <v>-1.8160170867007123E-7</v>
      </c>
      <c r="AF55" s="633">
        <f t="shared" si="419"/>
        <v>-0.99999999999997435</v>
      </c>
      <c r="AG55" s="602">
        <f t="shared" si="420"/>
        <v>-1.0405011459159565E-5</v>
      </c>
      <c r="AH55" s="603">
        <f t="shared" si="421"/>
        <v>90.000007783952611</v>
      </c>
      <c r="AI55" s="585">
        <f t="shared" si="422"/>
        <v>-1.2976235990044085E-5</v>
      </c>
      <c r="AJ55" s="586">
        <f t="shared" si="423"/>
        <v>-36.80003366990934</v>
      </c>
      <c r="AK55" s="635">
        <f t="shared" si="424"/>
        <v>2.2679489663371364E-7</v>
      </c>
      <c r="AL55" s="629">
        <f t="shared" si="425"/>
        <v>5.2939559203393771E-23</v>
      </c>
      <c r="AM55" s="634">
        <f t="shared" si="426"/>
        <v>-0.99999999999997435</v>
      </c>
      <c r="AN55" s="581">
        <f t="shared" si="427"/>
        <v>3.0332133116374958E-21</v>
      </c>
      <c r="AO55" s="582">
        <f>IF(ROUND(IF(M55="",0,DEGREES(ACOS(AK55))),4)=90,0,IF(M55="","",DEGREES(ACOS(AK55))))</f>
        <v>0</v>
      </c>
      <c r="AP55" s="585">
        <f t="shared" si="428"/>
        <v>1.3374257342907611E-14</v>
      </c>
      <c r="AQ55" s="586">
        <f t="shared" si="246"/>
        <v>0.735709040447735</v>
      </c>
      <c r="AS55" s="52">
        <f t="shared" si="406"/>
        <v>-126.80003366990934</v>
      </c>
      <c r="AT55" s="72">
        <f t="shared" si="247"/>
        <v>-2.762255617233085E-2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3.2170000000000001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3.117</v>
      </c>
      <c r="II55" s="734" cm="1">
        <f t="array" ref="II55">IFERROR(ROUND(VALUE(IF($IH55&lt;1,$IH55+LARGE((IF($M$9:$M$150="",0,$M$9:$M$150)-MOD(IF($M$9:$M$150="",0,$M$9:$M$150),1)),1),$IH55)),4),"")</f>
        <v>3.117</v>
      </c>
      <c r="IJ55" s="533">
        <f t="shared" si="112"/>
        <v>1613</v>
      </c>
      <c r="IK55" s="533" t="str">
        <f t="shared" si="382"/>
        <v>Inactive</v>
      </c>
      <c r="IL55" s="727">
        <f t="shared" si="225"/>
        <v>20.695997011867746</v>
      </c>
      <c r="IM55" s="759">
        <v>2.2516159033845001E-2</v>
      </c>
      <c r="IN55" s="5">
        <f t="shared" si="226"/>
        <v>0.38</v>
      </c>
      <c r="IO55" s="771">
        <v>190</v>
      </c>
      <c r="IP55" s="9">
        <f t="shared" si="227"/>
        <v>-3.0985093451041847</v>
      </c>
      <c r="IQ55" s="5">
        <f t="shared" si="228"/>
        <v>-0.13010039238278343</v>
      </c>
      <c r="IR55" s="5">
        <f t="shared" si="383"/>
        <v>0.314</v>
      </c>
      <c r="IS55" s="5">
        <f t="shared" si="229"/>
        <v>0.29939483178320692</v>
      </c>
      <c r="IT55" s="727">
        <f t="shared" si="230"/>
        <v>4.1800584516809502</v>
      </c>
      <c r="IU55" s="9">
        <f t="shared" si="231"/>
        <v>-3.0985093451041852</v>
      </c>
      <c r="IV55" s="5">
        <f t="shared" si="232"/>
        <v>-0.11567813510976789</v>
      </c>
      <c r="IW55" s="5">
        <f t="shared" si="384"/>
        <v>0.26250000000000001</v>
      </c>
      <c r="IX55" s="5">
        <f t="shared" si="233"/>
        <v>0.26250000000000001</v>
      </c>
      <c r="IY55" s="762">
        <f t="shared" si="234"/>
        <v>-3.0332133116374958E-21</v>
      </c>
    </row>
    <row r="56" spans="1:259" ht="15" customHeight="1" x14ac:dyDescent="0.25">
      <c r="A56" s="79"/>
      <c r="B56" s="707">
        <v>3.2262078792537521</v>
      </c>
      <c r="C56" s="708">
        <v>-2.1134265072632568</v>
      </c>
      <c r="D56" s="709">
        <v>-0.1875118852248599</v>
      </c>
      <c r="E56" s="710">
        <v>0.62102991874901625</v>
      </c>
      <c r="F56" s="708">
        <v>0.73178810145228268</v>
      </c>
      <c r="G56" s="711">
        <v>0.28072765198935062</v>
      </c>
      <c r="H56" s="710">
        <v>0.26600000000000001</v>
      </c>
      <c r="I56" s="708">
        <v>0.52</v>
      </c>
      <c r="J56" s="570">
        <v>3.2240000000000002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3.2240000000000002</v>
      </c>
      <c r="N56" s="632">
        <f t="shared" si="240"/>
        <v>3.2262078792537521</v>
      </c>
      <c r="O56" s="629">
        <f t="shared" si="241"/>
        <v>-2.1134265072632568</v>
      </c>
      <c r="P56" s="633">
        <f t="shared" si="242"/>
        <v>-0.1875118852248599</v>
      </c>
      <c r="Q56" s="585">
        <f t="shared" si="113"/>
        <v>326.77196581435771</v>
      </c>
      <c r="R56" s="629">
        <f t="shared" si="410"/>
        <v>3.8568107137584495</v>
      </c>
      <c r="S56" s="634">
        <f t="shared" si="411"/>
        <v>-0.1875118852248599</v>
      </c>
      <c r="T56" s="635">
        <f t="shared" si="412"/>
        <v>-2.1134265072632585</v>
      </c>
      <c r="U56" s="629">
        <f t="shared" si="413"/>
        <v>-3.2262078792537507</v>
      </c>
      <c r="V56" s="636">
        <f t="shared" si="414"/>
        <v>-0.1875118852248599</v>
      </c>
      <c r="W56" s="585">
        <f t="shared" si="224"/>
        <v>236.77196581435771</v>
      </c>
      <c r="X56" s="629">
        <f t="shared" si="415"/>
        <v>3.8568107137584495</v>
      </c>
      <c r="Y56" s="630">
        <f t="shared" si="223"/>
        <v>-0.1875118852248599</v>
      </c>
      <c r="Z56" s="632">
        <f t="shared" si="243"/>
        <v>-0.62102991874901625</v>
      </c>
      <c r="AA56" s="629">
        <f t="shared" si="244"/>
        <v>-0.73178810145228268</v>
      </c>
      <c r="AB56" s="629">
        <f t="shared" si="245"/>
        <v>-0.28072765198935062</v>
      </c>
      <c r="AC56" s="636">
        <f t="shared" si="416"/>
        <v>1</v>
      </c>
      <c r="AD56" s="637">
        <f t="shared" si="417"/>
        <v>-0.62102991874901625</v>
      </c>
      <c r="AE56" s="629">
        <f t="shared" si="418"/>
        <v>-0.73178810145228268</v>
      </c>
      <c r="AF56" s="633">
        <f t="shared" si="419"/>
        <v>-0.28072765198935062</v>
      </c>
      <c r="AG56" s="602">
        <f t="shared" si="420"/>
        <v>-69.012248866597332</v>
      </c>
      <c r="AH56" s="603">
        <f t="shared" si="421"/>
        <v>128.39138366445394</v>
      </c>
      <c r="AI56" s="585">
        <f t="shared" si="422"/>
        <v>-73.696361956880367</v>
      </c>
      <c r="AJ56" s="586">
        <f t="shared" si="423"/>
        <v>-40.319507924070138</v>
      </c>
      <c r="AK56" s="635">
        <f t="shared" si="424"/>
        <v>0.95244540206057926</v>
      </c>
      <c r="AL56" s="629">
        <f t="shared" si="425"/>
        <v>-0.11848941514839029</v>
      </c>
      <c r="AM56" s="634">
        <f t="shared" si="426"/>
        <v>-0.28072765198935062</v>
      </c>
      <c r="AN56" s="581">
        <f t="shared" si="427"/>
        <v>-22.883616030321715</v>
      </c>
      <c r="AO56" s="582">
        <f t="shared" ref="AO56:AO119" si="461">IF(ROUND(IF(M56="",0,DEGREES(ACOS(AK56))),4)=90,0,IF(M56="","",DEGREES(ACOS(AK56))))</f>
        <v>17.740675419099325</v>
      </c>
      <c r="AP56" s="585">
        <f t="shared" si="428"/>
        <v>-7.0914737384278341</v>
      </c>
      <c r="AQ56" s="586">
        <f t="shared" si="246"/>
        <v>0.59107016892562214</v>
      </c>
      <c r="AS56" s="52">
        <f t="shared" si="406"/>
        <v>-123.22803418564229</v>
      </c>
      <c r="AT56" s="72">
        <f t="shared" si="247"/>
        <v>-0.10193686148483053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Nose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3.2240000000000002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3.1240000000000001</v>
      </c>
      <c r="II56" s="734" cm="1">
        <f t="array" ref="II56">IFERROR(ROUND(VALUE(IF($IH56&lt;1,$IH56+LARGE((IF($M$9:$M$150="",0,$M$9:$M$150)-MOD(IF($M$9:$M$150="",0,$M$9:$M$150),1)),1),$IH56)),4),"")</f>
        <v>3.1240000000000001</v>
      </c>
      <c r="IJ56" s="533">
        <f t="shared" si="112"/>
        <v>1613</v>
      </c>
      <c r="IK56" s="533">
        <f t="shared" si="382"/>
        <v>1313</v>
      </c>
      <c r="IL56" s="727">
        <f t="shared" si="225"/>
        <v>16.668997593294534</v>
      </c>
      <c r="IM56" s="759">
        <v>2.5114516695965302E-3</v>
      </c>
      <c r="IN56" s="5">
        <f t="shared" si="226"/>
        <v>0.02</v>
      </c>
      <c r="IO56" s="771">
        <v>10</v>
      </c>
      <c r="IP56" s="9">
        <f t="shared" si="227"/>
        <v>-3.846411600777389</v>
      </c>
      <c r="IQ56" s="5">
        <f t="shared" si="228"/>
        <v>-0.22950069217408764</v>
      </c>
      <c r="IR56" s="5">
        <f t="shared" si="383"/>
        <v>0.314</v>
      </c>
      <c r="IS56" s="5">
        <f t="shared" si="229"/>
        <v>0.29906785624702187</v>
      </c>
      <c r="IT56" s="727">
        <f t="shared" si="230"/>
        <v>22.883616030321786</v>
      </c>
      <c r="IU56" s="9">
        <f t="shared" si="231"/>
        <v>-3.8568107137584495</v>
      </c>
      <c r="IV56" s="5">
        <f t="shared" si="232"/>
        <v>-0.1875118852248599</v>
      </c>
      <c r="IW56" s="5">
        <f t="shared" si="384"/>
        <v>0.26600000000000001</v>
      </c>
      <c r="IX56" s="5">
        <f t="shared" si="233"/>
        <v>0.25335047694811408</v>
      </c>
      <c r="IY56" s="762">
        <f t="shared" si="234"/>
        <v>22.883616030321715</v>
      </c>
    </row>
    <row r="57" spans="1:259" ht="15" customHeight="1" x14ac:dyDescent="0.25">
      <c r="A57" s="79"/>
      <c r="B57" s="707">
        <v>3.8922622832200879</v>
      </c>
      <c r="C57" s="708">
        <v>-2.3745450353187856</v>
      </c>
      <c r="D57" s="709">
        <v>-0.48987106419193255</v>
      </c>
      <c r="E57" s="710">
        <v>0.66832293441913737</v>
      </c>
      <c r="F57" s="708">
        <v>0.70313497403500191</v>
      </c>
      <c r="G57" s="711">
        <v>0.24278728059391996</v>
      </c>
      <c r="H57" s="710">
        <v>0.26600000000000001</v>
      </c>
      <c r="I57" s="708">
        <v>0.52</v>
      </c>
      <c r="J57" s="570">
        <v>3.2309999999999999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3.2309999999999999</v>
      </c>
      <c r="N57" s="632">
        <f t="shared" si="240"/>
        <v>3.8922622832200879</v>
      </c>
      <c r="O57" s="629">
        <f t="shared" si="241"/>
        <v>-2.3745450353187856</v>
      </c>
      <c r="P57" s="633">
        <f t="shared" si="242"/>
        <v>-0.48987106419193255</v>
      </c>
      <c r="Q57" s="585">
        <f t="shared" si="113"/>
        <v>328.61396554840587</v>
      </c>
      <c r="R57" s="629">
        <f t="shared" si="410"/>
        <v>4.5594045451280971</v>
      </c>
      <c r="S57" s="634">
        <f t="shared" si="411"/>
        <v>-0.48987106419193255</v>
      </c>
      <c r="T57" s="635">
        <f t="shared" si="412"/>
        <v>-2.3745450353187851</v>
      </c>
      <c r="U57" s="629">
        <f t="shared" si="413"/>
        <v>-3.8922622832200888</v>
      </c>
      <c r="V57" s="636">
        <f t="shared" si="414"/>
        <v>-0.48987106419193255</v>
      </c>
      <c r="W57" s="585">
        <f t="shared" si="224"/>
        <v>238.61396554840587</v>
      </c>
      <c r="X57" s="629">
        <f t="shared" si="415"/>
        <v>4.5594045451280971</v>
      </c>
      <c r="Y57" s="630">
        <f t="shared" si="223"/>
        <v>-0.48987106419193255</v>
      </c>
      <c r="Z57" s="632">
        <f t="shared" si="243"/>
        <v>-0.66832293441913737</v>
      </c>
      <c r="AA57" s="629">
        <f t="shared" si="244"/>
        <v>-0.70313497403500191</v>
      </c>
      <c r="AB57" s="629">
        <f t="shared" si="245"/>
        <v>-0.24278728059391996</v>
      </c>
      <c r="AC57" s="636">
        <f t="shared" si="416"/>
        <v>1</v>
      </c>
      <c r="AD57" s="637">
        <f t="shared" si="417"/>
        <v>-0.66832293441913737</v>
      </c>
      <c r="AE57" s="629">
        <f t="shared" si="418"/>
        <v>-0.70313497403500191</v>
      </c>
      <c r="AF57" s="633">
        <f t="shared" si="419"/>
        <v>-0.24278728059391996</v>
      </c>
      <c r="AG57" s="602">
        <f t="shared" si="420"/>
        <v>-70.950587088199782</v>
      </c>
      <c r="AH57" s="603">
        <f t="shared" si="421"/>
        <v>131.93775966622371</v>
      </c>
      <c r="AI57" s="585">
        <f t="shared" si="422"/>
        <v>-75.948893489725236</v>
      </c>
      <c r="AJ57" s="586">
        <f t="shared" si="423"/>
        <v>-43.545959942500204</v>
      </c>
      <c r="AK57" s="635">
        <f t="shared" si="424"/>
        <v>0.94831432538358862</v>
      </c>
      <c r="AL57" s="629">
        <f t="shared" si="425"/>
        <v>-0.20433863230940591</v>
      </c>
      <c r="AM57" s="634">
        <f t="shared" si="426"/>
        <v>-0.24278728059391996</v>
      </c>
      <c r="AN57" s="581">
        <f t="shared" si="427"/>
        <v>-40.085188844592132</v>
      </c>
      <c r="AO57" s="582">
        <f t="shared" si="461"/>
        <v>18.501684614337378</v>
      </c>
      <c r="AP57" s="585">
        <f t="shared" si="428"/>
        <v>-12.159925490906085</v>
      </c>
      <c r="AQ57" s="586">
        <f t="shared" si="246"/>
        <v>0.49999265044941621</v>
      </c>
      <c r="AS57" s="52">
        <f t="shared" si="406"/>
        <v>-121.38603445159413</v>
      </c>
      <c r="AT57" s="72">
        <f t="shared" si="247"/>
        <v>-0.40557520693388105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Nose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3.2309999999999999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3.1309999999999998</v>
      </c>
      <c r="II57" s="734" cm="1">
        <f t="array" ref="II57">IFERROR(ROUND(VALUE(IF($IH57&lt;1,$IH57+LARGE((IF($M$9:$M$150="",0,$M$9:$M$150)-MOD(IF($M$9:$M$150="",0,$M$9:$M$150),1)),1),$IH57)),4),"")</f>
        <v>3.1309999999999998</v>
      </c>
      <c r="IJ57" s="533">
        <f t="shared" si="112"/>
        <v>1613</v>
      </c>
      <c r="IK57" s="533">
        <f t="shared" si="382"/>
        <v>1313</v>
      </c>
      <c r="IL57" s="727">
        <f t="shared" si="225"/>
        <v>14.222997946453177</v>
      </c>
      <c r="IM57" s="759">
        <v>1.9526624991357299E-3</v>
      </c>
      <c r="IN57" s="5">
        <f t="shared" si="226"/>
        <v>0.02</v>
      </c>
      <c r="IO57" s="771">
        <v>10</v>
      </c>
      <c r="IP57" s="9">
        <f t="shared" si="227"/>
        <v>-4.5392136902684896</v>
      </c>
      <c r="IQ57" s="5">
        <f t="shared" si="228"/>
        <v>-0.52860159426240827</v>
      </c>
      <c r="IR57" s="5">
        <f t="shared" si="383"/>
        <v>0.314</v>
      </c>
      <c r="IS57" s="5">
        <f t="shared" si="229"/>
        <v>0.29777069817044682</v>
      </c>
      <c r="IT57" s="727">
        <f t="shared" si="230"/>
        <v>40.085188844592153</v>
      </c>
      <c r="IU57" s="9">
        <f t="shared" si="231"/>
        <v>-4.5594045451280971</v>
      </c>
      <c r="IV57" s="5">
        <f t="shared" si="232"/>
        <v>-0.48987106419193255</v>
      </c>
      <c r="IW57" s="5">
        <f t="shared" si="384"/>
        <v>0.26600000000000001</v>
      </c>
      <c r="IX57" s="5">
        <f t="shared" si="233"/>
        <v>0.2522516105520346</v>
      </c>
      <c r="IY57" s="762">
        <f t="shared" si="234"/>
        <v>40.085188844592132</v>
      </c>
    </row>
    <row r="58" spans="1:259" ht="15" customHeight="1" x14ac:dyDescent="0.25">
      <c r="A58" s="79"/>
      <c r="B58" s="707">
        <v>4.4419029517865676</v>
      </c>
      <c r="C58" s="708">
        <v>-2.6127264862168214</v>
      </c>
      <c r="D58" s="709">
        <v>-0.97171493473834081</v>
      </c>
      <c r="E58" s="710">
        <v>0.72372088630521292</v>
      </c>
      <c r="F58" s="708">
        <v>0.65957981421598544</v>
      </c>
      <c r="G58" s="711">
        <v>0.20293483536446666</v>
      </c>
      <c r="H58" s="710">
        <v>0.26600000000000001</v>
      </c>
      <c r="I58" s="708">
        <v>0.52</v>
      </c>
      <c r="J58" s="570">
        <v>3.238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3.238</v>
      </c>
      <c r="N58" s="632">
        <f t="shared" si="240"/>
        <v>4.4419029517865676</v>
      </c>
      <c r="O58" s="629">
        <f t="shared" si="241"/>
        <v>-2.6127264862168214</v>
      </c>
      <c r="P58" s="633">
        <f t="shared" si="242"/>
        <v>-0.97171493473834081</v>
      </c>
      <c r="Q58" s="585">
        <f t="shared" si="113"/>
        <v>329.5359654152856</v>
      </c>
      <c r="R58" s="629">
        <f t="shared" si="410"/>
        <v>5.1533330500627574</v>
      </c>
      <c r="S58" s="634">
        <f t="shared" si="411"/>
        <v>-0.97171493473834081</v>
      </c>
      <c r="T58" s="635">
        <f t="shared" si="412"/>
        <v>-2.6127264862168209</v>
      </c>
      <c r="U58" s="629">
        <f t="shared" si="413"/>
        <v>-4.4419029517865685</v>
      </c>
      <c r="V58" s="636">
        <f t="shared" si="414"/>
        <v>-0.97171493473834081</v>
      </c>
      <c r="W58" s="585">
        <f t="shared" si="224"/>
        <v>239.5359654152856</v>
      </c>
      <c r="X58" s="629">
        <f t="shared" si="415"/>
        <v>5.1533330500627574</v>
      </c>
      <c r="Y58" s="630">
        <f t="shared" si="223"/>
        <v>-0.97171493473834081</v>
      </c>
      <c r="Z58" s="632">
        <f t="shared" si="243"/>
        <v>-0.72372088630521292</v>
      </c>
      <c r="AA58" s="629">
        <f t="shared" si="244"/>
        <v>-0.65957981421598544</v>
      </c>
      <c r="AB58" s="629">
        <f t="shared" si="245"/>
        <v>-0.20293483536446666</v>
      </c>
      <c r="AC58" s="636">
        <f t="shared" si="416"/>
        <v>1</v>
      </c>
      <c r="AD58" s="637">
        <f t="shared" si="417"/>
        <v>-0.72372088630521292</v>
      </c>
      <c r="AE58" s="629">
        <f t="shared" si="418"/>
        <v>-0.65957981421598544</v>
      </c>
      <c r="AF58" s="633">
        <f t="shared" si="419"/>
        <v>-0.20293483536446666</v>
      </c>
      <c r="AG58" s="602">
        <f t="shared" si="420"/>
        <v>-72.898286753487</v>
      </c>
      <c r="AH58" s="603">
        <f t="shared" si="421"/>
        <v>136.36254440882882</v>
      </c>
      <c r="AI58" s="585">
        <f t="shared" si="422"/>
        <v>-78.291367080512373</v>
      </c>
      <c r="AJ58" s="586">
        <f t="shared" si="423"/>
        <v>-47.654796857474679</v>
      </c>
      <c r="AK58" s="635">
        <f t="shared" si="424"/>
        <v>0.93544783641027396</v>
      </c>
      <c r="AL58" s="629">
        <f t="shared" si="425"/>
        <v>-0.28940421204767258</v>
      </c>
      <c r="AM58" s="634">
        <f t="shared" si="426"/>
        <v>-0.20293483536446666</v>
      </c>
      <c r="AN58" s="581">
        <f t="shared" si="427"/>
        <v>-54.961250795004226</v>
      </c>
      <c r="AO58" s="582">
        <f t="shared" si="461"/>
        <v>20.6993831334646</v>
      </c>
      <c r="AP58" s="585">
        <f t="shared" si="428"/>
        <v>-17.19076227276026</v>
      </c>
      <c r="AQ58" s="586">
        <f t="shared" si="246"/>
        <v>0.44237027001325208</v>
      </c>
      <c r="AS58" s="52">
        <f t="shared" si="406"/>
        <v>-120.4640345847144</v>
      </c>
      <c r="AT58" s="72">
        <f t="shared" si="247"/>
        <v>-0.88805935516562251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3.238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3.1379999999999999</v>
      </c>
      <c r="II58" s="734" cm="1">
        <f t="array" ref="II58">IFERROR(ROUND(VALUE(IF($IH58&lt;1,$IH58+LARGE((IF($M$9:$M$150="",0,$M$9:$M$150)-MOD(IF($M$9:$M$150="",0,$M$9:$M$150),1)),1),$IH58)),4),"")</f>
        <v>3.1379999999999999</v>
      </c>
      <c r="IJ58" s="533">
        <f t="shared" si="112"/>
        <v>1613</v>
      </c>
      <c r="IK58" s="533">
        <f t="shared" si="382"/>
        <v>1313</v>
      </c>
      <c r="IL58" s="727">
        <f t="shared" si="225"/>
        <v>12.70499816562517</v>
      </c>
      <c r="IM58" s="759">
        <v>1.4685966079178801E-3</v>
      </c>
      <c r="IN58" s="5">
        <f t="shared" si="226"/>
        <v>0</v>
      </c>
      <c r="IO58" s="771">
        <v>0</v>
      </c>
      <c r="IP58" s="9">
        <f t="shared" si="227"/>
        <v>-5.1247154561418133</v>
      </c>
      <c r="IQ58" s="5">
        <f t="shared" si="228"/>
        <v>-1.0046030298827373</v>
      </c>
      <c r="IR58" s="5">
        <f t="shared" si="383"/>
        <v>0.314</v>
      </c>
      <c r="IS58" s="5">
        <f t="shared" si="229"/>
        <v>0.29373062063282607</v>
      </c>
      <c r="IT58" s="727">
        <f t="shared" si="230"/>
        <v>54.961250795004169</v>
      </c>
      <c r="IU58" s="9">
        <f t="shared" si="231"/>
        <v>-5.1533330500627574</v>
      </c>
      <c r="IV58" s="5">
        <f t="shared" si="232"/>
        <v>-0.97171493473834081</v>
      </c>
      <c r="IW58" s="5">
        <f t="shared" si="384"/>
        <v>0.26600000000000001</v>
      </c>
      <c r="IX58" s="5">
        <f t="shared" si="233"/>
        <v>0.24882912448513289</v>
      </c>
      <c r="IY58" s="762">
        <f t="shared" si="234"/>
        <v>54.961250795004226</v>
      </c>
    </row>
    <row r="59" spans="1:259" ht="15" customHeight="1" x14ac:dyDescent="0.25">
      <c r="A59" s="79"/>
      <c r="B59" s="707">
        <v>4.8426851738956138</v>
      </c>
      <c r="C59" s="708">
        <v>-2.7997624192053219</v>
      </c>
      <c r="D59" s="709">
        <v>-1.596842559277295</v>
      </c>
      <c r="E59" s="710">
        <v>0.78196209137660644</v>
      </c>
      <c r="F59" s="708">
        <v>0.60491139065257471</v>
      </c>
      <c r="G59" s="711">
        <v>0.15039114704227813</v>
      </c>
      <c r="H59" s="710">
        <v>0.26600000000000001</v>
      </c>
      <c r="I59" s="708">
        <v>0.52</v>
      </c>
      <c r="J59" s="570">
        <v>3.2450000000000001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3.2450000000000001</v>
      </c>
      <c r="N59" s="632">
        <f t="shared" si="240"/>
        <v>4.8426851738956138</v>
      </c>
      <c r="O59" s="629">
        <f t="shared" si="241"/>
        <v>-2.7997624192053219</v>
      </c>
      <c r="P59" s="633">
        <f t="shared" si="242"/>
        <v>-1.596842559277295</v>
      </c>
      <c r="Q59" s="585">
        <f t="shared" si="113"/>
        <v>329.96596535320128</v>
      </c>
      <c r="R59" s="629">
        <f t="shared" si="79"/>
        <v>5.5937705796236248</v>
      </c>
      <c r="S59" s="634">
        <f t="shared" si="80"/>
        <v>-1.596842559277295</v>
      </c>
      <c r="T59" s="635">
        <f t="shared" si="81"/>
        <v>-2.7997624192053201</v>
      </c>
      <c r="U59" s="629">
        <f t="shared" si="82"/>
        <v>-4.8426851738956138</v>
      </c>
      <c r="V59" s="636">
        <f t="shared" si="114"/>
        <v>-1.596842559277295</v>
      </c>
      <c r="W59" s="585">
        <f t="shared" si="224"/>
        <v>239.96596535320128</v>
      </c>
      <c r="X59" s="629">
        <f t="shared" si="83"/>
        <v>5.5937705796236248</v>
      </c>
      <c r="Y59" s="630">
        <f t="shared" si="223"/>
        <v>-1.596842559277295</v>
      </c>
      <c r="Z59" s="632">
        <f t="shared" si="243"/>
        <v>-0.78196209137660644</v>
      </c>
      <c r="AA59" s="629">
        <f t="shared" si="244"/>
        <v>-0.60491139065257471</v>
      </c>
      <c r="AB59" s="629">
        <f t="shared" si="245"/>
        <v>-0.15039114704227813</v>
      </c>
      <c r="AC59" s="636">
        <f t="shared" si="84"/>
        <v>1</v>
      </c>
      <c r="AD59" s="637">
        <f t="shared" si="115"/>
        <v>-0.78196209137660644</v>
      </c>
      <c r="AE59" s="629">
        <f t="shared" si="85"/>
        <v>-0.60491139065257471</v>
      </c>
      <c r="AF59" s="633">
        <f t="shared" si="86"/>
        <v>-0.15039114704227813</v>
      </c>
      <c r="AG59" s="602">
        <f t="shared" si="87"/>
        <v>-76.038369298517779</v>
      </c>
      <c r="AH59" s="603">
        <f t="shared" si="88"/>
        <v>141.44057534969616</v>
      </c>
      <c r="AI59" s="585">
        <f t="shared" si="89"/>
        <v>-81.350405225146233</v>
      </c>
      <c r="AJ59" s="586">
        <f t="shared" si="90"/>
        <v>-52.27512781025257</v>
      </c>
      <c r="AK59" s="635">
        <f t="shared" si="211"/>
        <v>0.91507211939636446</v>
      </c>
      <c r="AL59" s="629">
        <f t="shared" si="91"/>
        <v>-0.37419983858194478</v>
      </c>
      <c r="AM59" s="634">
        <f t="shared" si="92"/>
        <v>-0.15039114704227813</v>
      </c>
      <c r="AN59" s="581">
        <f t="shared" si="93"/>
        <v>-68.104774935534024</v>
      </c>
      <c r="AO59" s="582">
        <f t="shared" si="461"/>
        <v>23.784028965760552</v>
      </c>
      <c r="AP59" s="585">
        <f t="shared" si="95"/>
        <v>-22.241093163453851</v>
      </c>
      <c r="AQ59" s="586">
        <f t="shared" si="246"/>
        <v>0.40754052258329937</v>
      </c>
      <c r="AS59" s="52">
        <f t="shared" si="406"/>
        <v>-120.03403464679872</v>
      </c>
      <c r="AT59" s="72">
        <f t="shared" si="247"/>
        <v>-1.5134855907725737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3.2450000000000001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3.145</v>
      </c>
      <c r="II59" s="734" cm="1">
        <f t="array" ref="II59">IFERROR(ROUND(VALUE(IF($IH59&lt;1,$IH59+LARGE((IF($M$9:$M$150="",0,$M$9:$M$150)-MOD(IF($M$9:$M$150="",0,$M$9:$M$150),1)),1),$IH59)),4),"")</f>
        <v>3.145</v>
      </c>
      <c r="IJ59" s="533">
        <f t="shared" si="112"/>
        <v>1613</v>
      </c>
      <c r="IK59" s="533">
        <f>IF(ISNUMBER($II59),INDEX($K$9:$K$150,MATCH($IG59,$M$9:$M$150,0)),"")</f>
        <v>1313</v>
      </c>
      <c r="IL59" s="727">
        <f t="shared" si="225"/>
        <v>11.7989982964354</v>
      </c>
      <c r="IM59" s="759">
        <v>1.03188175755985E-3</v>
      </c>
      <c r="IN59" s="5">
        <f t="shared" si="226"/>
        <v>0</v>
      </c>
      <c r="IO59" s="771">
        <v>0</v>
      </c>
      <c r="IP59" s="9">
        <f t="shared" si="227"/>
        <v>-5.5587167650897644</v>
      </c>
      <c r="IQ59" s="5">
        <f t="shared" si="228"/>
        <v>-1.6219048916651539</v>
      </c>
      <c r="IR59" s="5">
        <f t="shared" si="383"/>
        <v>0.314</v>
      </c>
      <c r="IS59" s="5">
        <f t="shared" si="229"/>
        <v>0.28733264549045845</v>
      </c>
      <c r="IT59" s="727">
        <f t="shared" si="230"/>
        <v>68.104774935533925</v>
      </c>
      <c r="IU59" s="9">
        <f t="shared" si="231"/>
        <v>-5.5937705796236248</v>
      </c>
      <c r="IV59" s="5">
        <f t="shared" si="232"/>
        <v>-1.596842559277295</v>
      </c>
      <c r="IW59" s="5">
        <f t="shared" si="384"/>
        <v>0.26600000000000001</v>
      </c>
      <c r="IX59" s="5">
        <f t="shared" si="233"/>
        <v>0.24340918375943296</v>
      </c>
      <c r="IY59" s="762">
        <f t="shared" si="234"/>
        <v>68.104774935534024</v>
      </c>
    </row>
    <row r="60" spans="1:259" ht="15" customHeight="1" x14ac:dyDescent="0.25">
      <c r="A60" s="79"/>
      <c r="B60" s="707">
        <v>5.0702271567592483</v>
      </c>
      <c r="C60" s="708">
        <v>-2.9110411157000886</v>
      </c>
      <c r="D60" s="709">
        <v>-2.3185188545710167</v>
      </c>
      <c r="E60" s="710">
        <v>0.86214187504284623</v>
      </c>
      <c r="F60" s="708">
        <v>0.49686799917989477</v>
      </c>
      <c r="G60" s="711">
        <v>9.9164402325499917E-2</v>
      </c>
      <c r="H60" s="710">
        <v>0.26600000000000001</v>
      </c>
      <c r="I60" s="708">
        <v>0.52</v>
      </c>
      <c r="J60" s="570">
        <v>3.2519999999999998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3.2519999999999998</v>
      </c>
      <c r="N60" s="632">
        <f t="shared" si="240"/>
        <v>5.0702271567592483</v>
      </c>
      <c r="O60" s="629">
        <f t="shared" si="241"/>
        <v>-2.9110411157000886</v>
      </c>
      <c r="P60" s="633">
        <f t="shared" si="242"/>
        <v>-2.3185188545710167</v>
      </c>
      <c r="Q60" s="585">
        <f t="shared" si="113"/>
        <v>330.13796532836756</v>
      </c>
      <c r="R60" s="629">
        <f t="shared" si="79"/>
        <v>5.8464830281490929</v>
      </c>
      <c r="S60" s="634">
        <f t="shared" si="80"/>
        <v>-2.3185188545710167</v>
      </c>
      <c r="T60" s="635">
        <f t="shared" si="81"/>
        <v>-2.9110411157000846</v>
      </c>
      <c r="U60" s="629">
        <f t="shared" si="82"/>
        <v>-5.0702271567592501</v>
      </c>
      <c r="V60" s="636">
        <f t="shared" si="114"/>
        <v>-2.3185188545710167</v>
      </c>
      <c r="W60" s="585">
        <f t="shared" si="224"/>
        <v>240.13796532836756</v>
      </c>
      <c r="X60" s="629">
        <f t="shared" si="83"/>
        <v>5.8464830281490929</v>
      </c>
      <c r="Y60" s="630">
        <f t="shared" si="223"/>
        <v>-2.3185188545710167</v>
      </c>
      <c r="Z60" s="632">
        <f t="shared" si="243"/>
        <v>-0.86214187504284623</v>
      </c>
      <c r="AA60" s="629">
        <f t="shared" si="244"/>
        <v>-0.49686799917989477</v>
      </c>
      <c r="AB60" s="629">
        <f t="shared" si="245"/>
        <v>-9.9164402325499917E-2</v>
      </c>
      <c r="AC60" s="636">
        <f t="shared" si="84"/>
        <v>1</v>
      </c>
      <c r="AD60" s="637">
        <f t="shared" si="115"/>
        <v>-0.86214187504284623</v>
      </c>
      <c r="AE60" s="629">
        <f t="shared" si="85"/>
        <v>-0.49686799917989477</v>
      </c>
      <c r="AF60" s="633">
        <f t="shared" si="86"/>
        <v>-9.9164402325499917E-2</v>
      </c>
      <c r="AG60" s="602">
        <f t="shared" si="87"/>
        <v>-78.713264958483492</v>
      </c>
      <c r="AH60" s="603">
        <f t="shared" si="88"/>
        <v>149.55792984947868</v>
      </c>
      <c r="AI60" s="585">
        <f t="shared" si="89"/>
        <v>-84.308944909585279</v>
      </c>
      <c r="AJ60" s="586">
        <f t="shared" si="90"/>
        <v>-60.044372439833545</v>
      </c>
      <c r="AK60" s="635">
        <f t="shared" si="211"/>
        <v>0.86016910412123759</v>
      </c>
      <c r="AL60" s="629">
        <f t="shared" si="91"/>
        <v>-0.50027545774972215</v>
      </c>
      <c r="AM60" s="634">
        <f t="shared" si="92"/>
        <v>-9.9164402325499917E-2</v>
      </c>
      <c r="AN60" s="581">
        <f t="shared" si="93"/>
        <v>-78.788186859551971</v>
      </c>
      <c r="AO60" s="582">
        <f t="shared" si="461"/>
        <v>30.664424804385803</v>
      </c>
      <c r="AP60" s="585">
        <f t="shared" si="95"/>
        <v>-30.182337768201105</v>
      </c>
      <c r="AQ60" s="586">
        <f t="shared" si="246"/>
        <v>0.38992526379146231</v>
      </c>
      <c r="AS60" s="52">
        <f t="shared" si="406"/>
        <v>-119.86203467163244</v>
      </c>
      <c r="AT60" s="72">
        <f t="shared" si="247"/>
        <v>-2.235281330493494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3.2519999999999998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3.1520000000000001</v>
      </c>
      <c r="II60" s="734" cm="1">
        <f t="array" ref="II60">IFERROR(ROUND(VALUE(IF($IH60&lt;1,$IH60+LARGE((IF($M$9:$M$150="",0,$M$9:$M$150)-MOD(IF($M$9:$M$150="",0,$M$9:$M$150),1)),1),$IH60)),4),"")</f>
        <v>3.1520000000000001</v>
      </c>
      <c r="IJ60" s="533">
        <f t="shared" si="112"/>
        <v>1613</v>
      </c>
      <c r="IK60" s="533">
        <f t="shared" si="382"/>
        <v>1313</v>
      </c>
      <c r="IL60" s="727">
        <f t="shared" si="225"/>
        <v>11.342998362273647</v>
      </c>
      <c r="IM60" s="759">
        <v>6.1705232821796603E-4</v>
      </c>
      <c r="IN60" s="5">
        <f t="shared" si="226"/>
        <v>0</v>
      </c>
      <c r="IO60" s="771">
        <v>0</v>
      </c>
      <c r="IP60" s="9">
        <f t="shared" si="227"/>
        <v>-5.8086175187904381</v>
      </c>
      <c r="IQ60" s="5">
        <f t="shared" si="228"/>
        <v>-2.3339070390636296</v>
      </c>
      <c r="IR60" s="5">
        <f t="shared" si="383"/>
        <v>0.314</v>
      </c>
      <c r="IS60" s="5">
        <f t="shared" si="229"/>
        <v>0.27009309869406872</v>
      </c>
      <c r="IT60" s="727">
        <f t="shared" si="230"/>
        <v>78.788186859551999</v>
      </c>
      <c r="IU60" s="9">
        <f t="shared" si="231"/>
        <v>-5.8464830281490929</v>
      </c>
      <c r="IV60" s="5">
        <f t="shared" si="232"/>
        <v>-2.3185188545710167</v>
      </c>
      <c r="IW60" s="5">
        <f t="shared" si="384"/>
        <v>0.26600000000000001</v>
      </c>
      <c r="IX60" s="5">
        <f t="shared" si="233"/>
        <v>0.22880498169624922</v>
      </c>
      <c r="IY60" s="762">
        <f t="shared" si="234"/>
        <v>78.788186859551971</v>
      </c>
    </row>
    <row r="61" spans="1:259" ht="15" customHeight="1" x14ac:dyDescent="0.25">
      <c r="A61" s="79"/>
      <c r="B61" s="707">
        <v>4.9886436547643234</v>
      </c>
      <c r="C61" s="708">
        <v>-3.1501608441448474</v>
      </c>
      <c r="D61" s="709">
        <v>-3.1379293751061073</v>
      </c>
      <c r="E61" s="710">
        <v>0.84553198620391967</v>
      </c>
      <c r="F61" s="708">
        <v>-0.5339247702682498</v>
      </c>
      <c r="G61" s="711">
        <v>2.2679489676580927E-7</v>
      </c>
      <c r="H61" s="710">
        <v>0.26250000000000001</v>
      </c>
      <c r="I61" s="708">
        <v>0.40699999999999997</v>
      </c>
      <c r="J61" s="570">
        <v>3.2589999999999999</v>
      </c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Inactive</v>
      </c>
      <c r="L61" s="320"/>
      <c r="M61" s="168">
        <f t="shared" si="239"/>
        <v>3.2589999999999999</v>
      </c>
      <c r="N61" s="632">
        <f t="shared" si="240"/>
        <v>4.9886436547643234</v>
      </c>
      <c r="O61" s="629">
        <f t="shared" si="241"/>
        <v>-3.1501608441448474</v>
      </c>
      <c r="P61" s="633">
        <f t="shared" si="242"/>
        <v>-3.1379293751061073</v>
      </c>
      <c r="Q61" s="585">
        <f t="shared" si="113"/>
        <v>327.72896567618403</v>
      </c>
      <c r="R61" s="629">
        <f t="shared" si="79"/>
        <v>5.9000066828948361</v>
      </c>
      <c r="S61" s="634">
        <f t="shared" si="80"/>
        <v>-3.1379293751061073</v>
      </c>
      <c r="T61" s="635">
        <f t="shared" si="81"/>
        <v>-3.1501608441448514</v>
      </c>
      <c r="U61" s="629">
        <f t="shared" si="82"/>
        <v>-4.9886436547643216</v>
      </c>
      <c r="V61" s="636">
        <f t="shared" si="114"/>
        <v>-3.1379293751061073</v>
      </c>
      <c r="W61" s="585">
        <f t="shared" si="224"/>
        <v>237.72896567618403</v>
      </c>
      <c r="X61" s="629">
        <f t="shared" si="83"/>
        <v>5.9000066828948361</v>
      </c>
      <c r="Y61" s="630">
        <f t="shared" si="223"/>
        <v>-3.1379293751061073</v>
      </c>
      <c r="Z61" s="632">
        <f t="shared" si="243"/>
        <v>-0.84553198620391967</v>
      </c>
      <c r="AA61" s="629">
        <f t="shared" si="244"/>
        <v>0.5339247702682498</v>
      </c>
      <c r="AB61" s="629">
        <f t="shared" si="245"/>
        <v>-2.2679489676580927E-7</v>
      </c>
      <c r="AC61" s="636">
        <f t="shared" si="84"/>
        <v>1</v>
      </c>
      <c r="AD61" s="637">
        <f t="shared" si="115"/>
        <v>-0.84553198620391967</v>
      </c>
      <c r="AE61" s="629">
        <f t="shared" si="85"/>
        <v>0.5339247702682498</v>
      </c>
      <c r="AF61" s="633">
        <f t="shared" si="86"/>
        <v>-2.2679489676580927E-7</v>
      </c>
      <c r="AG61" s="602">
        <f t="shared" si="87"/>
        <v>89.999975662506927</v>
      </c>
      <c r="AH61" s="603">
        <f t="shared" si="88"/>
        <v>147.72897867057213</v>
      </c>
      <c r="AI61" s="585">
        <f t="shared" si="89"/>
        <v>-89.999987005609597</v>
      </c>
      <c r="AJ61" s="586">
        <f t="shared" si="90"/>
        <v>-122.27102132942554</v>
      </c>
      <c r="AK61" s="635">
        <f t="shared" si="211"/>
        <v>2.267948973622147E-7</v>
      </c>
      <c r="AL61" s="629">
        <f t="shared" si="91"/>
        <v>-0.9999999999999486</v>
      </c>
      <c r="AM61" s="634">
        <f t="shared" si="92"/>
        <v>-2.2679489676580927E-7</v>
      </c>
      <c r="AN61" s="581">
        <f t="shared" si="93"/>
        <v>-89.999987005609611</v>
      </c>
      <c r="AO61" s="582">
        <f t="shared" si="461"/>
        <v>0</v>
      </c>
      <c r="AP61" s="585">
        <f t="shared" si="95"/>
        <v>-89.999987005609569</v>
      </c>
      <c r="AQ61" s="586">
        <f t="shared" si="246"/>
        <v>0.38638804923078224</v>
      </c>
      <c r="AS61" s="52">
        <f t="shared" si="406"/>
        <v>-122.27103432381597</v>
      </c>
      <c r="AT61" s="72">
        <f t="shared" si="247"/>
        <v>-3.0530189346034571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>Gage</v>
      </c>
      <c r="IG61" s="847">
        <f t="shared" si="210"/>
        <v>3.2589999999999999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3.1589999999999998</v>
      </c>
      <c r="II61" s="734" cm="1">
        <f t="array" ref="II61">IFERROR(ROUND(VALUE(IF($IH61&lt;1,$IH61+LARGE((IF($M$9:$M$150="",0,$M$9:$M$150)-MOD(IF($M$9:$M$150="",0,$M$9:$M$150),1)),1),$IH61)),4),"")</f>
        <v>3.1589999999999998</v>
      </c>
      <c r="IJ61" s="533">
        <f t="shared" si="112"/>
        <v>1613</v>
      </c>
      <c r="IK61" s="533" t="str">
        <f t="shared" si="382"/>
        <v>Inactive</v>
      </c>
      <c r="IL61" s="727">
        <f t="shared" si="225"/>
        <v>13.627998032360551</v>
      </c>
      <c r="IM61" s="759">
        <v>4.0172827225088998E-4</v>
      </c>
      <c r="IN61" s="5">
        <f t="shared" si="226"/>
        <v>0</v>
      </c>
      <c r="IO61" s="771">
        <v>0</v>
      </c>
      <c r="IP61" s="9">
        <f t="shared" si="227"/>
        <v>-5.9156178415034111</v>
      </c>
      <c r="IQ61" s="5">
        <f t="shared" si="228"/>
        <v>-3.1108093822010967</v>
      </c>
      <c r="IR61" s="5">
        <f t="shared" si="383"/>
        <v>0.314</v>
      </c>
      <c r="IS61" s="5">
        <f t="shared" si="229"/>
        <v>0.24053797548389924</v>
      </c>
      <c r="IT61" s="727">
        <f t="shared" si="230"/>
        <v>89.999987005609668</v>
      </c>
      <c r="IU61" s="9">
        <f t="shared" si="231"/>
        <v>-5.9000066828948361</v>
      </c>
      <c r="IV61" s="5">
        <f t="shared" si="232"/>
        <v>-3.1379293751061073</v>
      </c>
      <c r="IW61" s="5">
        <f t="shared" si="384"/>
        <v>0.26250000000000001</v>
      </c>
      <c r="IX61" s="5">
        <f t="shared" si="233"/>
        <v>0.26250000000000001</v>
      </c>
      <c r="IY61" s="762">
        <f t="shared" si="234"/>
        <v>89.999987005609611</v>
      </c>
    </row>
    <row r="62" spans="1:259" ht="15" customHeight="1" x14ac:dyDescent="0.25">
      <c r="A62" s="79"/>
      <c r="B62" s="707">
        <v>0.61230161424675067</v>
      </c>
      <c r="C62" s="708">
        <v>-2.1353534740040154</v>
      </c>
      <c r="D62" s="709">
        <v>-0.2720008203544742</v>
      </c>
      <c r="E62" s="710">
        <v>0.89531934804087354</v>
      </c>
      <c r="F62" s="708">
        <v>0.33769300706358762</v>
      </c>
      <c r="G62" s="711">
        <v>0.29045946017304536</v>
      </c>
      <c r="H62" s="710">
        <v>0.314</v>
      </c>
      <c r="I62" s="708">
        <v>0.52</v>
      </c>
      <c r="J62" s="570">
        <v>4.109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4.109</v>
      </c>
      <c r="N62" s="632">
        <f t="shared" si="240"/>
        <v>0.61230161424675067</v>
      </c>
      <c r="O62" s="629">
        <f t="shared" si="241"/>
        <v>-2.1353534740040154</v>
      </c>
      <c r="P62" s="633">
        <f t="shared" si="242"/>
        <v>-0.2720008203544742</v>
      </c>
      <c r="Q62" s="585">
        <f t="shared" si="113"/>
        <v>285.99997170110538</v>
      </c>
      <c r="R62" s="629">
        <f t="shared" si="79"/>
        <v>2.2214066997626065</v>
      </c>
      <c r="S62" s="634">
        <f t="shared" si="80"/>
        <v>-0.2720008203544742</v>
      </c>
      <c r="T62" s="635">
        <f t="shared" si="81"/>
        <v>-2.1353534740040154</v>
      </c>
      <c r="U62" s="629">
        <f t="shared" si="82"/>
        <v>-0.61230161424675067</v>
      </c>
      <c r="V62" s="636">
        <f t="shared" si="114"/>
        <v>-0.2720008203544742</v>
      </c>
      <c r="W62" s="585">
        <f t="shared" si="224"/>
        <v>195.99997170110538</v>
      </c>
      <c r="X62" s="629">
        <f t="shared" si="83"/>
        <v>2.2214066997626065</v>
      </c>
      <c r="Y62" s="630">
        <f t="shared" si="223"/>
        <v>-0.2720008203544742</v>
      </c>
      <c r="Z62" s="632">
        <f t="shared" si="243"/>
        <v>-0.89531934804087354</v>
      </c>
      <c r="AA62" s="629">
        <f t="shared" si="244"/>
        <v>-0.33769300706358762</v>
      </c>
      <c r="AB62" s="629">
        <f t="shared" si="245"/>
        <v>-0.29045946017304536</v>
      </c>
      <c r="AC62" s="636">
        <f t="shared" si="84"/>
        <v>1</v>
      </c>
      <c r="AD62" s="637">
        <f t="shared" si="115"/>
        <v>-0.89531934804087354</v>
      </c>
      <c r="AE62" s="629">
        <f t="shared" si="85"/>
        <v>-0.33769300706358762</v>
      </c>
      <c r="AF62" s="633">
        <f t="shared" si="86"/>
        <v>-0.29045946017304536</v>
      </c>
      <c r="AG62" s="602">
        <f t="shared" si="87"/>
        <v>-49.300229075192696</v>
      </c>
      <c r="AH62" s="603">
        <f t="shared" si="88"/>
        <v>153.54947854859586</v>
      </c>
      <c r="AI62" s="585">
        <f t="shared" si="89"/>
        <v>-73.114534769632428</v>
      </c>
      <c r="AJ62" s="586">
        <f t="shared" si="90"/>
        <v>-69.334726350111922</v>
      </c>
      <c r="AK62" s="635">
        <f t="shared" si="211"/>
        <v>0.95371696400905326</v>
      </c>
      <c r="AL62" s="629">
        <f t="shared" si="91"/>
        <v>7.7828366019961626E-2</v>
      </c>
      <c r="AM62" s="634">
        <f t="shared" si="92"/>
        <v>-0.29045946017304536</v>
      </c>
      <c r="AN62" s="581">
        <f t="shared" si="93"/>
        <v>14.999997834268283</v>
      </c>
      <c r="AO62" s="582">
        <f t="shared" si="461"/>
        <v>17.499997473312991</v>
      </c>
      <c r="AP62" s="585">
        <f t="shared" si="95"/>
        <v>4.6653019487827105</v>
      </c>
      <c r="AQ62" s="586">
        <f t="shared" si="246"/>
        <v>1.0261438770476163</v>
      </c>
      <c r="AS62" s="52">
        <f t="shared" si="406"/>
        <v>-164.00002829889462</v>
      </c>
      <c r="AT62" s="72">
        <f t="shared" si="247"/>
        <v>-0.15811191181357515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4.109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0.82105558086286445</v>
      </c>
      <c r="C63" s="708">
        <v>-2.8754849737897583</v>
      </c>
      <c r="D63" s="709">
        <v>-0.132800400526008</v>
      </c>
      <c r="E63" s="710">
        <v>0.91805291519329157</v>
      </c>
      <c r="F63" s="708">
        <v>0.25787936789425303</v>
      </c>
      <c r="G63" s="711">
        <v>0.30112634643876607</v>
      </c>
      <c r="H63" s="710">
        <v>0.314</v>
      </c>
      <c r="I63" s="708">
        <v>0.52</v>
      </c>
      <c r="J63" s="570">
        <v>4.1159999999999997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4.1159999999999997</v>
      </c>
      <c r="N63" s="632">
        <f t="shared" si="240"/>
        <v>0.82105558086286445</v>
      </c>
      <c r="O63" s="629">
        <f t="shared" si="241"/>
        <v>-2.8754849737897583</v>
      </c>
      <c r="P63" s="633">
        <f t="shared" si="242"/>
        <v>-0.132800400526008</v>
      </c>
      <c r="Q63" s="585">
        <f t="shared" si="113"/>
        <v>285.93597171034583</v>
      </c>
      <c r="R63" s="629">
        <f t="shared" si="79"/>
        <v>2.9904090190736023</v>
      </c>
      <c r="S63" s="634">
        <f t="shared" si="80"/>
        <v>-0.132800400526008</v>
      </c>
      <c r="T63" s="635">
        <f t="shared" si="81"/>
        <v>-2.8754849737897588</v>
      </c>
      <c r="U63" s="629">
        <f t="shared" si="82"/>
        <v>-0.82105558086286379</v>
      </c>
      <c r="V63" s="636">
        <f t="shared" si="114"/>
        <v>-0.132800400526008</v>
      </c>
      <c r="W63" s="585">
        <f t="shared" si="224"/>
        <v>195.93597171034583</v>
      </c>
      <c r="X63" s="629">
        <f t="shared" si="83"/>
        <v>2.9904090190736023</v>
      </c>
      <c r="Y63" s="630">
        <f t="shared" si="223"/>
        <v>-0.132800400526008</v>
      </c>
      <c r="Z63" s="632">
        <f t="shared" si="243"/>
        <v>-0.91805291519329157</v>
      </c>
      <c r="AA63" s="629">
        <f t="shared" si="244"/>
        <v>-0.25787936789425303</v>
      </c>
      <c r="AB63" s="629">
        <f t="shared" si="245"/>
        <v>-0.30112634643876607</v>
      </c>
      <c r="AC63" s="636">
        <f t="shared" si="84"/>
        <v>1</v>
      </c>
      <c r="AD63" s="637">
        <f t="shared" si="115"/>
        <v>-0.91805291519329157</v>
      </c>
      <c r="AE63" s="629">
        <f t="shared" si="85"/>
        <v>-0.25787936789425303</v>
      </c>
      <c r="AF63" s="633">
        <f t="shared" si="86"/>
        <v>-0.30112634643876607</v>
      </c>
      <c r="AG63" s="602">
        <f t="shared" si="87"/>
        <v>-40.576174907934437</v>
      </c>
      <c r="AH63" s="603">
        <f t="shared" si="88"/>
        <v>156.64307108123236</v>
      </c>
      <c r="AI63" s="585">
        <f t="shared" si="89"/>
        <v>-72.474733341516412</v>
      </c>
      <c r="AJ63" s="586">
        <f t="shared" si="90"/>
        <v>-74.310045507359803</v>
      </c>
      <c r="AK63" s="635">
        <f t="shared" si="211"/>
        <v>0.95357546034440055</v>
      </c>
      <c r="AL63" s="629">
        <f t="shared" si="91"/>
        <v>-4.0944974545123469E-3</v>
      </c>
      <c r="AM63" s="634">
        <f t="shared" si="92"/>
        <v>-0.30112634643876607</v>
      </c>
      <c r="AN63" s="581">
        <f t="shared" si="93"/>
        <v>-0.77901840816301671</v>
      </c>
      <c r="AO63" s="582">
        <f t="shared" si="461"/>
        <v>17.526939165515429</v>
      </c>
      <c r="AP63" s="585">
        <f t="shared" si="95"/>
        <v>-0.24601721770560295</v>
      </c>
      <c r="AQ63" s="586">
        <f t="shared" si="246"/>
        <v>0.76230111039860049</v>
      </c>
      <c r="AS63" s="52">
        <f t="shared" si="406"/>
        <v>-164.06402828965417</v>
      </c>
      <c r="AT63" s="72">
        <f t="shared" si="247"/>
        <v>-1.8867047547081489E-2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4.1159999999999997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1.0011856115292519</v>
      </c>
      <c r="C64" s="708">
        <v>-3.6052781739516848</v>
      </c>
      <c r="D64" s="709">
        <v>-0.20280061164664473</v>
      </c>
      <c r="E64" s="710">
        <v>0.94610056991297142</v>
      </c>
      <c r="F64" s="708">
        <v>0.1533281624268705</v>
      </c>
      <c r="G64" s="711">
        <v>0.28527913736750887</v>
      </c>
      <c r="H64" s="710">
        <v>0.314</v>
      </c>
      <c r="I64" s="708">
        <v>0.52</v>
      </c>
      <c r="J64" s="570">
        <v>4.1230000000000002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4.1230000000000002</v>
      </c>
      <c r="N64" s="632">
        <f t="shared" si="240"/>
        <v>1.0011856115292519</v>
      </c>
      <c r="O64" s="629">
        <f t="shared" si="241"/>
        <v>-3.6052781739516848</v>
      </c>
      <c r="P64" s="633">
        <f t="shared" si="242"/>
        <v>-0.20280061164664473</v>
      </c>
      <c r="Q64" s="585">
        <f t="shared" si="113"/>
        <v>285.5199717704088</v>
      </c>
      <c r="R64" s="629">
        <f t="shared" si="79"/>
        <v>3.7417112850012355</v>
      </c>
      <c r="S64" s="634">
        <f t="shared" si="80"/>
        <v>-0.20280061164664473</v>
      </c>
      <c r="T64" s="635">
        <f t="shared" si="81"/>
        <v>-3.6052781739516848</v>
      </c>
      <c r="U64" s="629">
        <f t="shared" si="82"/>
        <v>-1.0011856115292526</v>
      </c>
      <c r="V64" s="636">
        <f t="shared" si="114"/>
        <v>-0.20280061164664473</v>
      </c>
      <c r="W64" s="585">
        <f t="shared" si="224"/>
        <v>195.5199717704088</v>
      </c>
      <c r="X64" s="629">
        <f t="shared" si="83"/>
        <v>3.7417112850012355</v>
      </c>
      <c r="Y64" s="630">
        <f t="shared" si="223"/>
        <v>-0.20280061164664473</v>
      </c>
      <c r="Z64" s="632">
        <f t="shared" si="243"/>
        <v>-0.94610056991297142</v>
      </c>
      <c r="AA64" s="629">
        <f t="shared" si="244"/>
        <v>-0.1533281624268705</v>
      </c>
      <c r="AB64" s="629">
        <f t="shared" si="245"/>
        <v>-0.28527913736750887</v>
      </c>
      <c r="AC64" s="636">
        <f t="shared" si="84"/>
        <v>1</v>
      </c>
      <c r="AD64" s="637">
        <f t="shared" si="115"/>
        <v>-0.94610056991297142</v>
      </c>
      <c r="AE64" s="629">
        <f t="shared" si="85"/>
        <v>-0.1533281624268705</v>
      </c>
      <c r="AF64" s="633">
        <f t="shared" si="86"/>
        <v>-0.28527913736750887</v>
      </c>
      <c r="AG64" s="602">
        <f t="shared" si="87"/>
        <v>-28.256568925111839</v>
      </c>
      <c r="AH64" s="603">
        <f t="shared" si="88"/>
        <v>161.10269078081362</v>
      </c>
      <c r="AI64" s="585">
        <f t="shared" si="89"/>
        <v>-73.42446531375154</v>
      </c>
      <c r="AJ64" s="586">
        <f t="shared" si="90"/>
        <v>-80.794493858793885</v>
      </c>
      <c r="AK64" s="635">
        <f t="shared" si="211"/>
        <v>0.95262980321938762</v>
      </c>
      <c r="AL64" s="629">
        <f t="shared" si="91"/>
        <v>-0.10541476083092483</v>
      </c>
      <c r="AM64" s="634">
        <f t="shared" si="92"/>
        <v>-0.28527913736750887</v>
      </c>
      <c r="AN64" s="581">
        <f t="shared" si="93"/>
        <v>-20.279999345194781</v>
      </c>
      <c r="AO64" s="582">
        <f t="shared" si="461"/>
        <v>17.705968829425181</v>
      </c>
      <c r="AP64" s="585">
        <f t="shared" si="95"/>
        <v>-6.3144656292026804</v>
      </c>
      <c r="AQ64" s="586">
        <f t="shared" si="246"/>
        <v>0.6092508306626192</v>
      </c>
      <c r="AS64" s="52">
        <f t="shared" si="406"/>
        <v>-164.4800282295912</v>
      </c>
      <c r="AT64" s="72">
        <f t="shared" si="247"/>
        <v>-8.8578369820539724E-2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4.1230000000000002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1.1450860462325982</v>
      </c>
      <c r="C65" s="708">
        <v>-4.295712473526323</v>
      </c>
      <c r="D65" s="709">
        <v>-0.47430143049311485</v>
      </c>
      <c r="E65" s="710">
        <v>0.96636502553961368</v>
      </c>
      <c r="F65" s="708">
        <v>5.7375553317845995E-2</v>
      </c>
      <c r="G65" s="711">
        <v>0.25069240773364682</v>
      </c>
      <c r="H65" s="710">
        <v>0.314</v>
      </c>
      <c r="I65" s="708">
        <v>0.52</v>
      </c>
      <c r="J65" s="570">
        <v>4.13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4.13</v>
      </c>
      <c r="N65" s="632">
        <f t="shared" si="240"/>
        <v>1.1450860462325982</v>
      </c>
      <c r="O65" s="629">
        <f t="shared" si="241"/>
        <v>-4.295712473526323</v>
      </c>
      <c r="P65" s="633">
        <f t="shared" si="242"/>
        <v>-0.47430143049311485</v>
      </c>
      <c r="Q65" s="585">
        <f t="shared" si="113"/>
        <v>284.92597185617177</v>
      </c>
      <c r="R65" s="629">
        <f t="shared" si="79"/>
        <v>4.4457134082716401</v>
      </c>
      <c r="S65" s="634">
        <f t="shared" si="80"/>
        <v>-0.47430143049311485</v>
      </c>
      <c r="T65" s="635">
        <f t="shared" si="81"/>
        <v>-4.295712473526323</v>
      </c>
      <c r="U65" s="629">
        <f t="shared" si="82"/>
        <v>-1.145086046232598</v>
      </c>
      <c r="V65" s="636">
        <f t="shared" si="114"/>
        <v>-0.47430143049311485</v>
      </c>
      <c r="W65" s="585">
        <f t="shared" si="224"/>
        <v>194.92597185617177</v>
      </c>
      <c r="X65" s="629">
        <f t="shared" si="83"/>
        <v>4.4457134082716401</v>
      </c>
      <c r="Y65" s="630">
        <f t="shared" si="223"/>
        <v>-0.47430143049311485</v>
      </c>
      <c r="Z65" s="632">
        <f t="shared" si="243"/>
        <v>-0.96636502553961368</v>
      </c>
      <c r="AA65" s="629">
        <f t="shared" si="244"/>
        <v>-5.7375553317845995E-2</v>
      </c>
      <c r="AB65" s="629">
        <f t="shared" si="245"/>
        <v>-0.25069240773364682</v>
      </c>
      <c r="AC65" s="636">
        <f t="shared" si="84"/>
        <v>1</v>
      </c>
      <c r="AD65" s="637">
        <f t="shared" si="115"/>
        <v>-0.96636502553961368</v>
      </c>
      <c r="AE65" s="629">
        <f t="shared" si="85"/>
        <v>-5.7375553317845995E-2</v>
      </c>
      <c r="AF65" s="633">
        <f t="shared" si="86"/>
        <v>-0.25069240773364682</v>
      </c>
      <c r="AG65" s="602">
        <f t="shared" si="87"/>
        <v>-12.891167228015728</v>
      </c>
      <c r="AH65" s="603">
        <f t="shared" si="88"/>
        <v>165.09753713293867</v>
      </c>
      <c r="AI65" s="585">
        <f t="shared" si="89"/>
        <v>-75.481510919602499</v>
      </c>
      <c r="AJ65" s="586">
        <f t="shared" si="90"/>
        <v>-86.60219240338381</v>
      </c>
      <c r="AK65" s="635">
        <f t="shared" si="211"/>
        <v>0.94853758045745384</v>
      </c>
      <c r="AL65" s="629">
        <f t="shared" si="91"/>
        <v>-0.19346776259787199</v>
      </c>
      <c r="AM65" s="634">
        <f t="shared" si="92"/>
        <v>-0.25069240773364682</v>
      </c>
      <c r="AN65" s="581">
        <f t="shared" si="93"/>
        <v>-37.658576782277692</v>
      </c>
      <c r="AO65" s="582">
        <f t="shared" si="461"/>
        <v>18.461332466022249</v>
      </c>
      <c r="AP65" s="585">
        <f t="shared" si="95"/>
        <v>-11.528164259555565</v>
      </c>
      <c r="AQ65" s="586">
        <f t="shared" si="246"/>
        <v>0.51277839036069872</v>
      </c>
      <c r="AS65" s="52">
        <f t="shared" si="406"/>
        <v>-165.07402814382823</v>
      </c>
      <c r="AT65" s="72">
        <f t="shared" si="247"/>
        <v>-0.35966668872656749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4.13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1.2489914613635813</v>
      </c>
      <c r="C66" s="708">
        <v>-4.8925059514184444</v>
      </c>
      <c r="D66" s="709">
        <v>-0.92700279584043233</v>
      </c>
      <c r="E66" s="710">
        <v>0.97602556862326695</v>
      </c>
      <c r="F66" s="708">
        <v>-4.0572751765661857E-2</v>
      </c>
      <c r="G66" s="711">
        <v>0.21384092500686253</v>
      </c>
      <c r="H66" s="710">
        <v>0.314</v>
      </c>
      <c r="I66" s="708">
        <v>0.52</v>
      </c>
      <c r="J66" s="570">
        <v>4.1369999999999996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4.1369999999999996</v>
      </c>
      <c r="N66" s="632">
        <f t="shared" si="240"/>
        <v>1.2489914613635813</v>
      </c>
      <c r="O66" s="629">
        <f t="shared" si="241"/>
        <v>-4.8925059514184444</v>
      </c>
      <c r="P66" s="633">
        <f t="shared" si="242"/>
        <v>-0.92700279584043233</v>
      </c>
      <c r="Q66" s="585">
        <f t="shared" si="113"/>
        <v>284.32097194352298</v>
      </c>
      <c r="R66" s="629">
        <f t="shared" si="79"/>
        <v>5.0494152290363319</v>
      </c>
      <c r="S66" s="634">
        <f t="shared" si="80"/>
        <v>-0.92700279584043233</v>
      </c>
      <c r="T66" s="635">
        <f t="shared" si="81"/>
        <v>-4.8925059514184435</v>
      </c>
      <c r="U66" s="629">
        <f t="shared" si="82"/>
        <v>-1.2489914613635851</v>
      </c>
      <c r="V66" s="636">
        <f t="shared" si="114"/>
        <v>-0.92700279584043233</v>
      </c>
      <c r="W66" s="585">
        <f t="shared" si="224"/>
        <v>194.32097194352298</v>
      </c>
      <c r="X66" s="629">
        <f t="shared" si="83"/>
        <v>5.0494152290363319</v>
      </c>
      <c r="Y66" s="630">
        <f t="shared" si="223"/>
        <v>-0.92700279584043233</v>
      </c>
      <c r="Z66" s="632">
        <f t="shared" si="243"/>
        <v>-0.97602556862326695</v>
      </c>
      <c r="AA66" s="629">
        <f t="shared" si="244"/>
        <v>4.0572751765661857E-2</v>
      </c>
      <c r="AB66" s="629">
        <f t="shared" si="245"/>
        <v>-0.21384092500686253</v>
      </c>
      <c r="AC66" s="636">
        <f t="shared" si="84"/>
        <v>1</v>
      </c>
      <c r="AD66" s="637">
        <f t="shared" si="115"/>
        <v>-0.97602556862326695</v>
      </c>
      <c r="AE66" s="629">
        <f t="shared" si="85"/>
        <v>4.0572751765661857E-2</v>
      </c>
      <c r="AF66" s="633">
        <f t="shared" si="86"/>
        <v>-0.21384092500686253</v>
      </c>
      <c r="AG66" s="602">
        <f t="shared" si="87"/>
        <v>10.74321991007916</v>
      </c>
      <c r="AH66" s="603">
        <f t="shared" si="88"/>
        <v>167.42861026161108</v>
      </c>
      <c r="AI66" s="585">
        <f t="shared" si="89"/>
        <v>-77.652464188160621</v>
      </c>
      <c r="AJ66" s="586">
        <f t="shared" si="90"/>
        <v>-92.380378030160458</v>
      </c>
      <c r="AK66" s="635">
        <f t="shared" si="211"/>
        <v>0.9356600058435347</v>
      </c>
      <c r="AL66" s="629">
        <f t="shared" si="91"/>
        <v>-0.28073548449935215</v>
      </c>
      <c r="AM66" s="634">
        <f t="shared" si="92"/>
        <v>-0.21384092500686253</v>
      </c>
      <c r="AN66" s="581">
        <f t="shared" si="93"/>
        <v>-52.702867556730155</v>
      </c>
      <c r="AO66" s="582">
        <f t="shared" si="461"/>
        <v>20.664963621653452</v>
      </c>
      <c r="AP66" s="585">
        <f t="shared" si="95"/>
        <v>-16.701349973683453</v>
      </c>
      <c r="AQ66" s="586">
        <f t="shared" si="246"/>
        <v>0.45147395208694546</v>
      </c>
      <c r="AS66" s="52">
        <f t="shared" si="406"/>
        <v>-165.67902805647702</v>
      </c>
      <c r="AT66" s="72">
        <f t="shared" si="247"/>
        <v>-0.81194791524565657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4.1369999999999996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1.3158235179439193</v>
      </c>
      <c r="C67" s="708">
        <v>-5.3478168174634053</v>
      </c>
      <c r="D67" s="709">
        <v>-1.5267046045410875</v>
      </c>
      <c r="E67" s="710">
        <v>0.97846122951798098</v>
      </c>
      <c r="F67" s="708">
        <v>-0.13200364319664326</v>
      </c>
      <c r="G67" s="711">
        <v>0.15870935861811777</v>
      </c>
      <c r="H67" s="710">
        <v>0.314</v>
      </c>
      <c r="I67" s="708">
        <v>0.52</v>
      </c>
      <c r="J67" s="570">
        <v>4.1440000000000001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4.1440000000000001</v>
      </c>
      <c r="N67" s="632">
        <f t="shared" si="240"/>
        <v>1.3158235179439193</v>
      </c>
      <c r="O67" s="629">
        <f t="shared" si="241"/>
        <v>-5.3478168174634053</v>
      </c>
      <c r="P67" s="633">
        <f t="shared" si="242"/>
        <v>-1.5267046045410875</v>
      </c>
      <c r="Q67" s="585">
        <f t="shared" si="113"/>
        <v>283.82297201542519</v>
      </c>
      <c r="R67" s="629">
        <f>IF(M67="","",SQRT(N67^2+O67^2))</f>
        <v>5.5073166100668969</v>
      </c>
      <c r="S67" s="634">
        <f>IF(M67="","",P67)</f>
        <v>-1.5267046045410875</v>
      </c>
      <c r="T67" s="635">
        <f>IF(M67="","",X67*COS(RADIANS(W67)))</f>
        <v>-5.3478168174634062</v>
      </c>
      <c r="U67" s="629">
        <f>IF(M67="","",X67*SIN(RADIANS(W67)))</f>
        <v>-1.3158235179439168</v>
      </c>
      <c r="V67" s="636">
        <f>IF(M67="","",Y67)</f>
        <v>-1.5267046045410875</v>
      </c>
      <c r="W67" s="585">
        <f t="shared" si="224"/>
        <v>193.82297201542519</v>
      </c>
      <c r="X67" s="629">
        <f>IF(M67="","",R67)</f>
        <v>5.5073166100668969</v>
      </c>
      <c r="Y67" s="630">
        <f t="shared" si="223"/>
        <v>-1.5267046045410875</v>
      </c>
      <c r="Z67" s="632">
        <f t="shared" si="243"/>
        <v>-0.97846122951798098</v>
      </c>
      <c r="AA67" s="629">
        <f t="shared" si="244"/>
        <v>0.13200364319664326</v>
      </c>
      <c r="AB67" s="629">
        <f t="shared" si="245"/>
        <v>-0.15870935861811777</v>
      </c>
      <c r="AC67" s="636">
        <f>IF(M67="","",SQRT(Z67^2+AA67^2+AB67^2))</f>
        <v>1</v>
      </c>
      <c r="AD67" s="637">
        <f>IF(M67="","",Z67*(1/SQRT(Z67^2+AA67^2+AB67^2)))</f>
        <v>-0.97846122951798098</v>
      </c>
      <c r="AE67" s="629">
        <f>IF(M67="","",AA67*(1/SQRT(Z67^2+AA67^2+AB67^2)))</f>
        <v>0.13200364319664326</v>
      </c>
      <c r="AF67" s="633">
        <f>IF(M67="","",AB67*(1/SQRT(Z67^2+AA67^2+AB67^2)))</f>
        <v>-0.15870935861811777</v>
      </c>
      <c r="AG67" s="602">
        <f>IF(M67="","",DEGREES(ATAN2(-AF67,AE67)))</f>
        <v>39.75137916760405</v>
      </c>
      <c r="AH67" s="603">
        <f>IF(M67="","",DEGREES(ACOS(AD67)))</f>
        <v>168.08673794354155</v>
      </c>
      <c r="AI67" s="585">
        <f>IF(M67="","",DEGREES(-ACOS(-AF67)))</f>
        <v>-80.868009276011435</v>
      </c>
      <c r="AJ67" s="586">
        <f>IF(M67="","",DEGREES(ATAN2(-AE67,AD67)))</f>
        <v>-97.683351107367415</v>
      </c>
      <c r="AK67" s="635">
        <f>IF(M67="","",(COS(RADIANS((90-$Q$8)-W67))*AD67)+(-SIN(RADIANS((90-$Q$8)-W67))*AE67))</f>
        <v>0.91858490776296753</v>
      </c>
      <c r="AL67" s="629">
        <f>IF(M67="","",(SIN(RADIANS((90-$Q$8)-W67))*AD67)+(COS(RADIANS((90-$Q$8)-W67))*AE67))</f>
        <v>-0.36195732720463913</v>
      </c>
      <c r="AM67" s="634">
        <f>IF(M67="","",AF67)</f>
        <v>-0.15870935861811777</v>
      </c>
      <c r="AN67" s="581">
        <f>IF(M67="","",DEGREES(ATAN2(-AM67,AL67)))</f>
        <v>-66.323734574388482</v>
      </c>
      <c r="AO67" s="582">
        <f t="shared" si="461"/>
        <v>23.279925927370254</v>
      </c>
      <c r="AP67" s="585">
        <f>IF(M67="","",DEGREES(ATAN2(AK67,AL67)))</f>
        <v>-21.506323122792612</v>
      </c>
      <c r="AQ67" s="586">
        <f t="shared" si="246"/>
        <v>0.41393788120928521</v>
      </c>
      <c r="AS67" s="52">
        <f t="shared" si="406"/>
        <v>-166.17702798457481</v>
      </c>
      <c r="AT67" s="72">
        <f t="shared" si="247"/>
        <v>-1.4113038906629105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4.1440000000000001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1.3512681697662623</v>
      </c>
      <c r="C68" s="708">
        <v>-5.6249889957722576</v>
      </c>
      <c r="D68" s="709">
        <v>-2.2283067205730696</v>
      </c>
      <c r="E68" s="710">
        <v>0.95755122066174025</v>
      </c>
      <c r="F68" s="708">
        <v>-0.26665378216829044</v>
      </c>
      <c r="G68" s="711">
        <v>0.10950534354339567</v>
      </c>
      <c r="H68" s="710">
        <v>0.314</v>
      </c>
      <c r="I68" s="708">
        <v>0.52</v>
      </c>
      <c r="J68" s="570">
        <v>4.1509999999999998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4.1509999999999998</v>
      </c>
      <c r="N68" s="632">
        <f t="shared" si="240"/>
        <v>1.3512681697662623</v>
      </c>
      <c r="O68" s="629">
        <f t="shared" si="241"/>
        <v>-5.6249889957722576</v>
      </c>
      <c r="P68" s="633">
        <f t="shared" si="242"/>
        <v>-2.2283067205730696</v>
      </c>
      <c r="Q68" s="585">
        <f t="shared" si="113"/>
        <v>283.50797206090562</v>
      </c>
      <c r="R68" s="629">
        <f>IF(M68="","",SQRT(N68^2+O68^2))</f>
        <v>5.7850174476126224</v>
      </c>
      <c r="S68" s="634">
        <f>IF(M68="","",P68)</f>
        <v>-2.2283067205730696</v>
      </c>
      <c r="T68" s="635">
        <f>IF(M68="","",X68*COS(RADIANS(W68)))</f>
        <v>-5.6249889957722576</v>
      </c>
      <c r="U68" s="629">
        <f>IF(M68="","",X68*SIN(RADIANS(W68)))</f>
        <v>-1.3512681697662621</v>
      </c>
      <c r="V68" s="636">
        <f>IF(M68="","",Y68)</f>
        <v>-2.2283067205730696</v>
      </c>
      <c r="W68" s="585">
        <f t="shared" si="224"/>
        <v>193.50797206090562</v>
      </c>
      <c r="X68" s="629">
        <f>IF(M68="","",R68)</f>
        <v>5.7850174476126224</v>
      </c>
      <c r="Y68" s="630">
        <f t="shared" si="223"/>
        <v>-2.2283067205730696</v>
      </c>
      <c r="Z68" s="632">
        <f t="shared" si="243"/>
        <v>-0.95755122066174025</v>
      </c>
      <c r="AA68" s="629">
        <f t="shared" si="244"/>
        <v>0.26665378216829044</v>
      </c>
      <c r="AB68" s="629">
        <f t="shared" si="245"/>
        <v>-0.10950534354339567</v>
      </c>
      <c r="AC68" s="636">
        <f>IF(M68="","",SQRT(Z68^2+AA68^2+AB68^2))</f>
        <v>1</v>
      </c>
      <c r="AD68" s="637">
        <f>IF(M68="","",Z68*(1/SQRT(Z68^2+AA68^2+AB68^2)))</f>
        <v>-0.95755122066174025</v>
      </c>
      <c r="AE68" s="629">
        <f>IF(M68="","",AA68*(1/SQRT(Z68^2+AA68^2+AB68^2)))</f>
        <v>0.26665378216829044</v>
      </c>
      <c r="AF68" s="633">
        <f>IF(M68="","",AB68*(1/SQRT(Z68^2+AA68^2+AB68^2)))</f>
        <v>-0.10950534354339567</v>
      </c>
      <c r="AG68" s="602">
        <f>IF(M68="","",DEGREES(ATAN2(-AF68,AE68)))</f>
        <v>67.673765802678446</v>
      </c>
      <c r="AH68" s="603">
        <f>IF(M68="","",DEGREES(ACOS(AD68)))</f>
        <v>163.2459964392842</v>
      </c>
      <c r="AI68" s="585">
        <f>IF(M68="","",DEGREES(-ACOS(-AF68)))</f>
        <v>-83.713198413232945</v>
      </c>
      <c r="AJ68" s="586">
        <f>IF(M68="","",DEGREES(ATAN2(-AE68,AD68)))</f>
        <v>-105.56117429265917</v>
      </c>
      <c r="AK68" s="635">
        <f>IF(M68="","",(COS(RADIANS((90-$Q$8)-W68))*AD68)+(-SIN(RADIANS((90-$Q$8)-W68))*AE68))</f>
        <v>0.86877772736759595</v>
      </c>
      <c r="AL68" s="629">
        <f>IF(M68="","",(SIN(RADIANS((90-$Q$8)-W68))*AD68)+(COS(RADIANS((90-$Q$8)-W68))*AE68))</f>
        <v>-0.48294289534626966</v>
      </c>
      <c r="AM68" s="634">
        <f>IF(M68="","",AF68)</f>
        <v>-0.10950534354339567</v>
      </c>
      <c r="AN68" s="581">
        <f>IF(M68="","",DEGREES(ATAN2(-AM68,AL68)))</f>
        <v>-77.224437124434871</v>
      </c>
      <c r="AO68" s="582">
        <f t="shared" si="461"/>
        <v>29.683087283213602</v>
      </c>
      <c r="AP68" s="585">
        <f>IF(M68="","",DEGREES(ATAN2(AK68,AL68)))</f>
        <v>-29.06914635356479</v>
      </c>
      <c r="AQ68" s="586">
        <f t="shared" si="246"/>
        <v>0.39406807426353496</v>
      </c>
      <c r="AS68" s="52">
        <f t="shared" si="406"/>
        <v>-166.49202793909438</v>
      </c>
      <c r="AT68" s="72">
        <f t="shared" si="247"/>
        <v>-2.1126872567264763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4.1509999999999998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1.3605010611935484</v>
      </c>
      <c r="C69" s="708">
        <v>-5.7032912535882199</v>
      </c>
      <c r="D69" s="709">
        <v>-2.979108984992699</v>
      </c>
      <c r="E69" s="710">
        <v>0.95488492663034064</v>
      </c>
      <c r="F69" s="708">
        <v>-0.29660907873389808</v>
      </c>
      <c r="G69" s="711">
        <v>1.4759109281972684E-2</v>
      </c>
      <c r="H69" s="710">
        <v>0.314</v>
      </c>
      <c r="I69" s="708">
        <v>0.52</v>
      </c>
      <c r="J69" s="570">
        <v>4.1580000000000004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4.1580000000000004</v>
      </c>
      <c r="N69" s="632">
        <f t="shared" si="240"/>
        <v>1.3605010611935484</v>
      </c>
      <c r="O69" s="629">
        <f t="shared" si="241"/>
        <v>-5.7032912535882199</v>
      </c>
      <c r="P69" s="633">
        <f t="shared" si="242"/>
        <v>-2.979108984992699</v>
      </c>
      <c r="Q69" s="585">
        <f t="shared" si="113"/>
        <v>283.41697207404434</v>
      </c>
      <c r="R69" s="629">
        <f t="shared" si="79"/>
        <v>5.8633176837661338</v>
      </c>
      <c r="S69" s="634">
        <f t="shared" si="80"/>
        <v>-2.979108984992699</v>
      </c>
      <c r="T69" s="635">
        <f t="shared" si="81"/>
        <v>-5.7032912535882208</v>
      </c>
      <c r="U69" s="629">
        <f t="shared" si="82"/>
        <v>-1.3605010611935446</v>
      </c>
      <c r="V69" s="636">
        <f t="shared" si="114"/>
        <v>-2.979108984992699</v>
      </c>
      <c r="W69" s="585">
        <f t="shared" si="224"/>
        <v>193.41697207404434</v>
      </c>
      <c r="X69" s="629">
        <f t="shared" si="83"/>
        <v>5.8633176837661338</v>
      </c>
      <c r="Y69" s="630">
        <f t="shared" si="223"/>
        <v>-2.979108984992699</v>
      </c>
      <c r="Z69" s="632">
        <f t="shared" si="243"/>
        <v>-0.95488492663034064</v>
      </c>
      <c r="AA69" s="629">
        <f t="shared" si="244"/>
        <v>0.29660907873389808</v>
      </c>
      <c r="AB69" s="629">
        <f t="shared" si="245"/>
        <v>-1.4759109281972684E-2</v>
      </c>
      <c r="AC69" s="636">
        <f t="shared" si="84"/>
        <v>1</v>
      </c>
      <c r="AD69" s="637">
        <f t="shared" si="115"/>
        <v>-0.95488492663034064</v>
      </c>
      <c r="AE69" s="629">
        <f t="shared" si="85"/>
        <v>0.29660907873389808</v>
      </c>
      <c r="AF69" s="633">
        <f t="shared" si="86"/>
        <v>-1.4759109281972684E-2</v>
      </c>
      <c r="AG69" s="602">
        <f t="shared" si="87"/>
        <v>87.151342170222591</v>
      </c>
      <c r="AH69" s="603">
        <f t="shared" si="88"/>
        <v>162.72393185603659</v>
      </c>
      <c r="AI69" s="585">
        <f t="shared" si="89"/>
        <v>-89.154334624809863</v>
      </c>
      <c r="AJ69" s="586">
        <f t="shared" si="90"/>
        <v>-107.25598839553069</v>
      </c>
      <c r="AK69" s="635">
        <f t="shared" si="211"/>
        <v>0.85999943305443938</v>
      </c>
      <c r="AL69" s="629">
        <f t="shared" si="91"/>
        <v>-0.51008150705475064</v>
      </c>
      <c r="AM69" s="634">
        <f t="shared" si="92"/>
        <v>-1.4759109281972684E-2</v>
      </c>
      <c r="AN69" s="581">
        <f t="shared" si="93"/>
        <v>-88.342620183072427</v>
      </c>
      <c r="AO69" s="582">
        <f t="shared" si="461"/>
        <v>30.683480765525434</v>
      </c>
      <c r="AP69" s="585">
        <f t="shared" si="95"/>
        <v>-30.672960469575031</v>
      </c>
      <c r="AQ69" s="586">
        <f t="shared" si="246"/>
        <v>0.38880575158356184</v>
      </c>
      <c r="AS69" s="52">
        <f t="shared" si="406"/>
        <v>-166.58302792595566</v>
      </c>
      <c r="AT69" s="72">
        <f t="shared" si="247"/>
        <v>-2.8634263267107856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4.1580000000000004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1.3666100859808457</v>
      </c>
      <c r="C70" s="708">
        <v>-5.7555982590525634</v>
      </c>
      <c r="D70" s="709">
        <v>-3.7303112506187319</v>
      </c>
      <c r="E70" s="710">
        <v>0.89381777233944781</v>
      </c>
      <c r="F70" s="708">
        <v>-0.44843036231964267</v>
      </c>
      <c r="G70" s="711">
        <v>1.4578093183271212E-7</v>
      </c>
      <c r="H70" s="710">
        <v>0.314</v>
      </c>
      <c r="I70" s="708">
        <v>0.52</v>
      </c>
      <c r="J70" s="570">
        <v>4.165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4.165</v>
      </c>
      <c r="N70" s="632">
        <f t="shared" si="240"/>
        <v>1.3666100859808457</v>
      </c>
      <c r="O70" s="629">
        <f t="shared" si="241"/>
        <v>-5.7555982590525634</v>
      </c>
      <c r="P70" s="633">
        <f t="shared" si="242"/>
        <v>-3.7303112506187319</v>
      </c>
      <c r="Q70" s="585">
        <f t="shared" si="113"/>
        <v>283.35697208270733</v>
      </c>
      <c r="R70" s="629">
        <f t="shared" si="79"/>
        <v>5.9156178415034111</v>
      </c>
      <c r="S70" s="634">
        <f t="shared" si="80"/>
        <v>-3.7303112506187319</v>
      </c>
      <c r="T70" s="635">
        <f t="shared" si="81"/>
        <v>-5.7555982590525634</v>
      </c>
      <c r="U70" s="629">
        <f t="shared" si="82"/>
        <v>-1.366610085980849</v>
      </c>
      <c r="V70" s="636">
        <f t="shared" si="114"/>
        <v>-3.7303112506187319</v>
      </c>
      <c r="W70" s="585">
        <f t="shared" si="224"/>
        <v>193.35697208270733</v>
      </c>
      <c r="X70" s="629">
        <f t="shared" si="83"/>
        <v>5.9156178415034111</v>
      </c>
      <c r="Y70" s="630">
        <f t="shared" si="223"/>
        <v>-3.7303112506187319</v>
      </c>
      <c r="Z70" s="632">
        <f t="shared" si="243"/>
        <v>-0.89381777233944781</v>
      </c>
      <c r="AA70" s="629">
        <f t="shared" si="244"/>
        <v>0.44843036231964267</v>
      </c>
      <c r="AB70" s="629">
        <f t="shared" si="245"/>
        <v>-1.4578093183271212E-7</v>
      </c>
      <c r="AC70" s="636">
        <f t="shared" si="84"/>
        <v>1</v>
      </c>
      <c r="AD70" s="637">
        <f t="shared" si="115"/>
        <v>-0.89381777233944781</v>
      </c>
      <c r="AE70" s="629">
        <f t="shared" si="85"/>
        <v>0.44843036231964267</v>
      </c>
      <c r="AF70" s="633">
        <f t="shared" si="86"/>
        <v>-1.4578093183271212E-7</v>
      </c>
      <c r="AG70" s="602">
        <f t="shared" si="87"/>
        <v>89.999981373624919</v>
      </c>
      <c r="AH70" s="603">
        <f t="shared" si="88"/>
        <v>153.35697785799144</v>
      </c>
      <c r="AI70" s="585">
        <f t="shared" si="89"/>
        <v>-89.999991647367878</v>
      </c>
      <c r="AJ70" s="586">
        <f t="shared" si="90"/>
        <v>-116.64302214200735</v>
      </c>
      <c r="AK70" s="635">
        <f t="shared" si="211"/>
        <v>0.76604450791050693</v>
      </c>
      <c r="AL70" s="629">
        <f t="shared" si="91"/>
        <v>-0.64278753247097775</v>
      </c>
      <c r="AM70" s="634">
        <f t="shared" si="92"/>
        <v>-1.4578093183271212E-7</v>
      </c>
      <c r="AN70" s="581">
        <f t="shared" si="93"/>
        <v>-89.999987005609626</v>
      </c>
      <c r="AO70" s="582">
        <f t="shared" si="461"/>
        <v>39.999994224715408</v>
      </c>
      <c r="AP70" s="585">
        <f t="shared" si="95"/>
        <v>-39.99999422471469</v>
      </c>
      <c r="AQ70" s="586">
        <f t="shared" si="246"/>
        <v>0.38536841220789192</v>
      </c>
      <c r="AS70" s="52">
        <f t="shared" si="406"/>
        <v>-166.64302791729267</v>
      </c>
      <c r="AT70" s="72">
        <f t="shared" si="247"/>
        <v>-3.6145869256761674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4.165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-0.10510338368508207</v>
      </c>
      <c r="C71" s="708">
        <v>-3.7486341807968553</v>
      </c>
      <c r="D71" s="709">
        <v>-0.18857077902798006</v>
      </c>
      <c r="E71" s="710">
        <v>-5.4675234872776195E-3</v>
      </c>
      <c r="F71" s="708">
        <v>-0.19501366383536245</v>
      </c>
      <c r="G71" s="711">
        <v>0.98078528593389103</v>
      </c>
      <c r="H71" s="710">
        <v>0.26250000000000001</v>
      </c>
      <c r="I71" s="708">
        <v>0.40699999999999997</v>
      </c>
      <c r="J71" s="570">
        <v>4.2229999999999999</v>
      </c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Inactive</v>
      </c>
      <c r="L71" s="320"/>
      <c r="M71" s="168">
        <f t="shared" si="239"/>
        <v>4.2229999999999999</v>
      </c>
      <c r="N71" s="632">
        <f t="shared" si="240"/>
        <v>-0.10510338368508207</v>
      </c>
      <c r="O71" s="629">
        <f t="shared" si="241"/>
        <v>-3.7486341807968553</v>
      </c>
      <c r="P71" s="633">
        <f t="shared" si="242"/>
        <v>-0.18857077902798006</v>
      </c>
      <c r="Q71" s="585">
        <f t="shared" si="113"/>
        <v>268.39397424309692</v>
      </c>
      <c r="R71" s="629">
        <f t="shared" si="79"/>
        <v>3.7501073241576117</v>
      </c>
      <c r="S71" s="634">
        <f t="shared" si="80"/>
        <v>-0.18857077902798006</v>
      </c>
      <c r="T71" s="635">
        <f t="shared" si="81"/>
        <v>-3.7486341807968548</v>
      </c>
      <c r="U71" s="629">
        <f t="shared" si="82"/>
        <v>0.10510338368508025</v>
      </c>
      <c r="V71" s="636">
        <f t="shared" si="114"/>
        <v>-0.18857077902798006</v>
      </c>
      <c r="W71" s="585">
        <f t="shared" si="224"/>
        <v>178.39397424309692</v>
      </c>
      <c r="X71" s="629">
        <f t="shared" si="83"/>
        <v>3.7501073241576117</v>
      </c>
      <c r="Y71" s="630">
        <f t="shared" si="223"/>
        <v>-0.18857077902798006</v>
      </c>
      <c r="Z71" s="632">
        <f t="shared" si="243"/>
        <v>5.4675234872776195E-3</v>
      </c>
      <c r="AA71" s="629">
        <f t="shared" si="244"/>
        <v>0.19501366383536245</v>
      </c>
      <c r="AB71" s="629">
        <f t="shared" si="245"/>
        <v>-0.98078528593389103</v>
      </c>
      <c r="AC71" s="636">
        <f t="shared" si="84"/>
        <v>1</v>
      </c>
      <c r="AD71" s="637">
        <f t="shared" si="115"/>
        <v>5.4675234872776195E-3</v>
      </c>
      <c r="AE71" s="629">
        <f t="shared" si="85"/>
        <v>0.19501366383536245</v>
      </c>
      <c r="AF71" s="633">
        <f t="shared" si="86"/>
        <v>-0.98078528593389103</v>
      </c>
      <c r="AG71" s="602">
        <f t="shared" si="87"/>
        <v>11.24569207826497</v>
      </c>
      <c r="AH71" s="603">
        <f t="shared" si="88"/>
        <v>89.686732418983368</v>
      </c>
      <c r="AI71" s="585">
        <f t="shared" si="89"/>
        <v>-11.249998375708598</v>
      </c>
      <c r="AJ71" s="586">
        <f t="shared" si="90"/>
        <v>178.39404085015414</v>
      </c>
      <c r="AK71" s="635">
        <f t="shared" si="211"/>
        <v>2.2679489660934471E-7</v>
      </c>
      <c r="AL71" s="629">
        <f t="shared" si="91"/>
        <v>-0.19509029421148621</v>
      </c>
      <c r="AM71" s="634">
        <f t="shared" si="92"/>
        <v>-0.98078528593389103</v>
      </c>
      <c r="AN71" s="581">
        <f t="shared" si="93"/>
        <v>-11.249998375701205</v>
      </c>
      <c r="AO71" s="582">
        <f t="shared" si="461"/>
        <v>0</v>
      </c>
      <c r="AP71" s="585">
        <f t="shared" si="95"/>
        <v>-89.999933392942779</v>
      </c>
      <c r="AQ71" s="586">
        <f t="shared" si="246"/>
        <v>0.60788689382022632</v>
      </c>
      <c r="AS71" s="52">
        <f t="shared" si="406"/>
        <v>-181.60602575690308</v>
      </c>
      <c r="AT71" s="72">
        <f t="shared" si="247"/>
        <v>-6.2455483363464015E-2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Nose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4.2229999999999999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4.1230000000000002</v>
      </c>
      <c r="II71" s="734" cm="1">
        <f t="array" ref="II71">IFERROR(ROUND(VALUE(IF($IH71&lt;1,$IH71+LARGE((IF($M$9:$M$150="",0,$M$9:$M$150)-MOD(IF($M$9:$M$150="",0,$M$9:$M$150),1)),1),$IH71)),4),"")</f>
        <v>4.1230000000000002</v>
      </c>
      <c r="IJ71" s="533">
        <f t="shared" si="112"/>
        <v>1613</v>
      </c>
      <c r="IK71" s="533" t="str">
        <f t="shared" si="382"/>
        <v>Inactive</v>
      </c>
      <c r="IL71" s="727">
        <f t="shared" si="225"/>
        <v>17.125997527311881</v>
      </c>
      <c r="IM71" s="759">
        <v>2.0281835361236102E-2</v>
      </c>
      <c r="IN71" s="5">
        <f t="shared" si="226"/>
        <v>0.42</v>
      </c>
      <c r="IO71" s="771">
        <v>210</v>
      </c>
      <c r="IP71" s="9">
        <f t="shared" si="227"/>
        <v>-3.7417112850012355</v>
      </c>
      <c r="IQ71" s="5">
        <f t="shared" si="228"/>
        <v>-0.20280061164664473</v>
      </c>
      <c r="IR71" s="5">
        <f t="shared" si="383"/>
        <v>0.314</v>
      </c>
      <c r="IS71" s="5">
        <f t="shared" si="229"/>
        <v>0.29912575821088772</v>
      </c>
      <c r="IT71" s="727">
        <f t="shared" si="230"/>
        <v>20.279999345194781</v>
      </c>
      <c r="IU71" s="9">
        <f t="shared" si="231"/>
        <v>-3.7501073241576117</v>
      </c>
      <c r="IV71" s="5">
        <f t="shared" si="232"/>
        <v>-0.18857077902798006</v>
      </c>
      <c r="IW71" s="5">
        <f t="shared" si="384"/>
        <v>0.26250000000000001</v>
      </c>
      <c r="IX71" s="5">
        <f t="shared" si="233"/>
        <v>0.26250000000000001</v>
      </c>
      <c r="IY71" s="762">
        <f t="shared" si="234"/>
        <v>11.249998375701205</v>
      </c>
    </row>
    <row r="72" spans="1:259" ht="15" customHeight="1" x14ac:dyDescent="0.25">
      <c r="A72" s="79"/>
      <c r="B72" s="707">
        <v>3.272459266111364E-2</v>
      </c>
      <c r="C72" s="708">
        <v>-4.46443752879755</v>
      </c>
      <c r="D72" s="709">
        <v>-0.4349778622177583</v>
      </c>
      <c r="E72" s="710">
        <v>0.94993019124252098</v>
      </c>
      <c r="F72" s="708">
        <v>-0.18650991520735444</v>
      </c>
      <c r="G72" s="711">
        <v>0.25069240773364687</v>
      </c>
      <c r="H72" s="710">
        <v>0.26600000000000001</v>
      </c>
      <c r="I72" s="708">
        <v>0.52</v>
      </c>
      <c r="J72" s="570">
        <v>4.2300000000000004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4.2300000000000004</v>
      </c>
      <c r="N72" s="632">
        <f t="shared" si="240"/>
        <v>3.272459266111364E-2</v>
      </c>
      <c r="O72" s="629">
        <f t="shared" si="241"/>
        <v>-4.46443752879755</v>
      </c>
      <c r="P72" s="633">
        <f t="shared" si="242"/>
        <v>-0.4349778622177583</v>
      </c>
      <c r="Q72" s="585">
        <f t="shared" si="113"/>
        <v>270.41997395057871</v>
      </c>
      <c r="R72" s="629">
        <f t="shared" si="79"/>
        <v>4.4645574637919951</v>
      </c>
      <c r="S72" s="634">
        <f t="shared" si="80"/>
        <v>-0.4349778622177583</v>
      </c>
      <c r="T72" s="635">
        <f t="shared" si="81"/>
        <v>-4.46443752879755</v>
      </c>
      <c r="U72" s="629">
        <f t="shared" si="82"/>
        <v>-3.2724592661111371E-2</v>
      </c>
      <c r="V72" s="636">
        <f t="shared" si="114"/>
        <v>-0.4349778622177583</v>
      </c>
      <c r="W72" s="585">
        <f t="shared" si="224"/>
        <v>180.41997395057871</v>
      </c>
      <c r="X72" s="629">
        <f t="shared" si="83"/>
        <v>4.4645574637919951</v>
      </c>
      <c r="Y72" s="630">
        <f t="shared" si="223"/>
        <v>-0.4349778622177583</v>
      </c>
      <c r="Z72" s="632">
        <f t="shared" si="243"/>
        <v>-0.94993019124252098</v>
      </c>
      <c r="AA72" s="629">
        <f t="shared" si="244"/>
        <v>0.18650991520735444</v>
      </c>
      <c r="AB72" s="629">
        <f t="shared" si="245"/>
        <v>-0.25069240773364687</v>
      </c>
      <c r="AC72" s="636">
        <f t="shared" si="84"/>
        <v>1</v>
      </c>
      <c r="AD72" s="637">
        <f t="shared" si="115"/>
        <v>-0.94993019124252098</v>
      </c>
      <c r="AE72" s="629">
        <f t="shared" si="85"/>
        <v>0.18650991520735444</v>
      </c>
      <c r="AF72" s="633">
        <f t="shared" si="86"/>
        <v>-0.25069240773364687</v>
      </c>
      <c r="AG72" s="602">
        <f t="shared" si="87"/>
        <v>36.648477138645482</v>
      </c>
      <c r="AH72" s="603">
        <f t="shared" si="88"/>
        <v>161.79232257195841</v>
      </c>
      <c r="AI72" s="585">
        <f t="shared" si="89"/>
        <v>-75.481510919602499</v>
      </c>
      <c r="AJ72" s="586">
        <f t="shared" si="90"/>
        <v>-101.10819030897683</v>
      </c>
      <c r="AK72" s="635">
        <f t="shared" si="211"/>
        <v>0.94853758045745373</v>
      </c>
      <c r="AL72" s="629">
        <f t="shared" si="91"/>
        <v>-0.19346776259787155</v>
      </c>
      <c r="AM72" s="634">
        <f t="shared" si="92"/>
        <v>-0.25069240773364687</v>
      </c>
      <c r="AN72" s="581">
        <f t="shared" si="93"/>
        <v>-37.658576782277628</v>
      </c>
      <c r="AO72" s="582">
        <f t="shared" si="461"/>
        <v>18.461332466022274</v>
      </c>
      <c r="AP72" s="585">
        <f t="shared" si="95"/>
        <v>-11.52816425955554</v>
      </c>
      <c r="AQ72" s="586">
        <f t="shared" si="246"/>
        <v>0.51061416426817285</v>
      </c>
      <c r="AS72" s="52">
        <f t="shared" si="406"/>
        <v>-179.58002604942129</v>
      </c>
      <c r="AT72" s="72">
        <f t="shared" si="247"/>
        <v>-0.31026951079454906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Nose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4.2300000000000004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4.13</v>
      </c>
      <c r="II72" s="734" cm="1">
        <f t="array" ref="II72">IFERROR(ROUND(VALUE(IF($IH72&lt;1,$IH72+LARGE((IF($M$9:$M$150="",0,$M$9:$M$150)-MOD(IF($M$9:$M$150="",0,$M$9:$M$150),1)),1),$IH72)),4),"")</f>
        <v>4.13</v>
      </c>
      <c r="IJ72" s="533">
        <f t="shared" si="112"/>
        <v>1613</v>
      </c>
      <c r="IK72" s="533">
        <f t="shared" si="382"/>
        <v>1313</v>
      </c>
      <c r="IL72" s="727">
        <f t="shared" si="225"/>
        <v>14.505997905593063</v>
      </c>
      <c r="IM72" s="759">
        <v>2.0254143238392099E-3</v>
      </c>
      <c r="IN72" s="5">
        <f t="shared" si="226"/>
        <v>0.02</v>
      </c>
      <c r="IO72" s="771">
        <v>10</v>
      </c>
      <c r="IP72" s="9">
        <f t="shared" si="227"/>
        <v>-4.4457134082716401</v>
      </c>
      <c r="IQ72" s="5">
        <f t="shared" si="228"/>
        <v>-0.47430143049311485</v>
      </c>
      <c r="IR72" s="5">
        <f t="shared" si="383"/>
        <v>0.314</v>
      </c>
      <c r="IS72" s="5">
        <f t="shared" si="229"/>
        <v>0.29784080026364051</v>
      </c>
      <c r="IT72" s="727">
        <f t="shared" si="230"/>
        <v>37.658576782277692</v>
      </c>
      <c r="IU72" s="9">
        <f t="shared" si="231"/>
        <v>-4.4645574637919951</v>
      </c>
      <c r="IV72" s="5">
        <f t="shared" si="232"/>
        <v>-0.4349778622177583</v>
      </c>
      <c r="IW72" s="5">
        <f t="shared" si="384"/>
        <v>0.26600000000000001</v>
      </c>
      <c r="IX72" s="5">
        <f t="shared" si="233"/>
        <v>0.2523109964016827</v>
      </c>
      <c r="IY72" s="762">
        <f t="shared" si="234"/>
        <v>37.658576782277628</v>
      </c>
    </row>
    <row r="73" spans="1:259" ht="15" customHeight="1" x14ac:dyDescent="0.25">
      <c r="A73" s="79"/>
      <c r="B73" s="707">
        <v>0.12775715901715501</v>
      </c>
      <c r="C73" s="708">
        <v>-5.0752659164928771</v>
      </c>
      <c r="D73" s="709">
        <v>-0.89322169653835559</v>
      </c>
      <c r="E73" s="710">
        <v>0.94242828143542479</v>
      </c>
      <c r="F73" s="708">
        <v>-0.25710113407544766</v>
      </c>
      <c r="G73" s="711">
        <v>0.2138409250068625</v>
      </c>
      <c r="H73" s="710">
        <v>0.26600000000000001</v>
      </c>
      <c r="I73" s="708">
        <v>0.52</v>
      </c>
      <c r="J73" s="570">
        <v>4.2370000000000001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4.2370000000000001</v>
      </c>
      <c r="N73" s="632">
        <f t="shared" ref="N73:N104" si="465">IF(M73="","",B73)</f>
        <v>0.12775715901715501</v>
      </c>
      <c r="O73" s="629">
        <f t="shared" ref="O73:O104" si="466">IF(M73="","",C73)</f>
        <v>-5.0752659164928771</v>
      </c>
      <c r="P73" s="633">
        <f t="shared" ref="P73:P104" si="467">IF(M73="","",D73)</f>
        <v>-0.89322169653835559</v>
      </c>
      <c r="Q73" s="585">
        <f t="shared" si="113"/>
        <v>271.44197380302023</v>
      </c>
      <c r="R73" s="629">
        <f>IF(M73="","",SQRT(N73^2+O73^2))</f>
        <v>5.0768736457385284</v>
      </c>
      <c r="S73" s="634">
        <f>IF(M73="","",P73)</f>
        <v>-0.89322169653835559</v>
      </c>
      <c r="T73" s="635">
        <f>IF(M73="","",X73*COS(RADIANS(W73)))</f>
        <v>-5.0752659164928771</v>
      </c>
      <c r="U73" s="629">
        <f>IF(M73="","",X73*SIN(RADIANS(W73)))</f>
        <v>-0.12775715901715717</v>
      </c>
      <c r="V73" s="636">
        <f>IF(M73="","",Y73)</f>
        <v>-0.89322169653835559</v>
      </c>
      <c r="W73" s="585">
        <f t="shared" si="224"/>
        <v>181.44197380302023</v>
      </c>
      <c r="X73" s="629">
        <f>IF(M73="","",R73)</f>
        <v>5.0768736457385284</v>
      </c>
      <c r="Y73" s="630">
        <f t="shared" si="223"/>
        <v>-0.89322169653835559</v>
      </c>
      <c r="Z73" s="632">
        <f t="shared" ref="Z73:Z104" si="468">IF(M73="","",-E73)</f>
        <v>-0.94242828143542479</v>
      </c>
      <c r="AA73" s="629">
        <f t="shared" ref="AA73:AA104" si="469">IF(M73="","",-F73)</f>
        <v>0.25710113407544766</v>
      </c>
      <c r="AB73" s="629">
        <f t="shared" ref="AB73:AB104" si="470">IF(M73="","",-G73)</f>
        <v>-0.2138409250068625</v>
      </c>
      <c r="AC73" s="636">
        <f>IF(M73="","",SQRT(Z73^2+AA73^2+AB73^2))</f>
        <v>1</v>
      </c>
      <c r="AD73" s="637">
        <f>IF(M73="","",Z73*(1/SQRT(Z73^2+AA73^2+AB73^2)))</f>
        <v>-0.94242828143542479</v>
      </c>
      <c r="AE73" s="629">
        <f>IF(M73="","",AA73*(1/SQRT(Z73^2+AA73^2+AB73^2)))</f>
        <v>0.25710113407544766</v>
      </c>
      <c r="AF73" s="633">
        <f>IF(M73="","",AB73*(1/SQRT(Z73^2+AA73^2+AB73^2)))</f>
        <v>-0.2138409250068625</v>
      </c>
      <c r="AG73" s="602">
        <f>IF(M73="","",DEGREES(ATAN2(-AF73,AE73)))</f>
        <v>50.248396996347076</v>
      </c>
      <c r="AH73" s="603">
        <f>IF(M73="","",DEGREES(ACOS(AD73)))</f>
        <v>160.46343688925717</v>
      </c>
      <c r="AI73" s="585">
        <f>IF(M73="","",DEGREES(-ACOS(-AF73)))</f>
        <v>-77.652464188160621</v>
      </c>
      <c r="AJ73" s="586">
        <f>IF(M73="","",DEGREES(ATAN2(-AE73,AD73)))</f>
        <v>-105.2593761706632</v>
      </c>
      <c r="AK73" s="635">
        <f>IF(M73="","",(COS(RADIANS((90-$Q$8)-W73))*AD73)+(-SIN(RADIANS((90-$Q$8)-W73))*AE73))</f>
        <v>0.93566000584353493</v>
      </c>
      <c r="AL73" s="629">
        <f>IF(M73="","",(SIN(RADIANS((90-$Q$8)-W73))*AD73)+(COS(RADIANS((90-$Q$8)-W73))*AE73))</f>
        <v>-0.28073548449935187</v>
      </c>
      <c r="AM73" s="634">
        <f>IF(M73="","",AF73)</f>
        <v>-0.2138409250068625</v>
      </c>
      <c r="AN73" s="581">
        <f>IF(M73="","",DEGREES(ATAN2(-AM73,AL73)))</f>
        <v>-52.702867556730133</v>
      </c>
      <c r="AO73" s="582">
        <f t="shared" si="461"/>
        <v>20.664963621653413</v>
      </c>
      <c r="AP73" s="585">
        <f>IF(M73="","",DEGREES(ATAN2(AK73,AL73)))</f>
        <v>-16.701349973683438</v>
      </c>
      <c r="AQ73" s="586">
        <f t="shared" ref="AQ73:AQ104" si="471">IF(M73="","",DEGREES(ATAN(($AS$5*SIN(RADIANS(90)))/(($X73*2*PI())-($AS$5*COS(RADIANS(90)))))))</f>
        <v>0.44903224252476126</v>
      </c>
      <c r="AS73" s="52">
        <f t="shared" si="406"/>
        <v>-178.55802619697977</v>
      </c>
      <c r="AT73" s="72">
        <f t="shared" ref="AT73:AT104" si="472">IF(M73="","",Y73+(((AS73-$AS$9)*$AS$6)*-1))</f>
        <v>-0.76922306723489742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4.2370000000000001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4.1369999999999996</v>
      </c>
      <c r="II73" s="734" cm="1">
        <f t="array" ref="II73">IFERROR(ROUND(VALUE(IF($IH73&lt;1,$IH73+LARGE((IF($M$9:$M$150="",0,$M$9:$M$150)-MOD(IF($M$9:$M$150="",0,$M$9:$M$150),1)),1),$IH73)),4),"")</f>
        <v>4.1369999999999996</v>
      </c>
      <c r="IJ73" s="533">
        <f t="shared" si="112"/>
        <v>1613</v>
      </c>
      <c r="IK73" s="533">
        <f t="shared" ref="IK73:IK104" si="517">IF(ISNUMBER($II73),INDEX($K$9:$K$150,MATCH($IG73,$M$9:$M$150,0)),"")</f>
        <v>1313</v>
      </c>
      <c r="IL73" s="727">
        <f t="shared" si="225"/>
        <v>12.878998140502745</v>
      </c>
      <c r="IM73" s="759">
        <v>1.5419690844795299E-3</v>
      </c>
      <c r="IN73" s="5">
        <f t="shared" si="226"/>
        <v>0</v>
      </c>
      <c r="IO73" s="771">
        <v>0</v>
      </c>
      <c r="IP73" s="9">
        <f t="shared" si="227"/>
        <v>-5.0494152290363319</v>
      </c>
      <c r="IQ73" s="5">
        <f t="shared" si="228"/>
        <v>-0.92700279584043233</v>
      </c>
      <c r="IR73" s="5">
        <f t="shared" ref="IR73:IR104" si="518">IF(ISNUMBER($II73),INDEX($H$9:$H$150,MATCH($II73,$M$9:$M$150,0)),"")</f>
        <v>0.314</v>
      </c>
      <c r="IS73" s="5">
        <f t="shared" si="229"/>
        <v>0.29379724183486988</v>
      </c>
      <c r="IT73" s="727">
        <f t="shared" si="230"/>
        <v>52.702867556730155</v>
      </c>
      <c r="IU73" s="9">
        <f t="shared" si="231"/>
        <v>-5.0768736457385284</v>
      </c>
      <c r="IV73" s="5">
        <f t="shared" si="232"/>
        <v>-0.89322169653835559</v>
      </c>
      <c r="IW73" s="5">
        <f t="shared" ref="IW73:IW104" si="519">IF(ISNUMBER($II73),$H73,"")</f>
        <v>0.26600000000000001</v>
      </c>
      <c r="IX73" s="5">
        <f t="shared" si="233"/>
        <v>0.2488855615543803</v>
      </c>
      <c r="IY73" s="762">
        <f t="shared" si="234"/>
        <v>52.702867556730133</v>
      </c>
    </row>
    <row r="74" spans="1:259" ht="15" customHeight="1" x14ac:dyDescent="0.25">
      <c r="A74" s="79"/>
      <c r="B74" s="707">
        <v>0.18605014020374608</v>
      </c>
      <c r="C74" s="708">
        <v>-5.5384752128280228</v>
      </c>
      <c r="D74" s="709">
        <v>-1.5004255298497742</v>
      </c>
      <c r="E74" s="710">
        <v>0.93021918653328717</v>
      </c>
      <c r="F74" s="708">
        <v>-0.33091328847958829</v>
      </c>
      <c r="G74" s="711">
        <v>0.15870935861811791</v>
      </c>
      <c r="H74" s="710">
        <v>0.26600000000000001</v>
      </c>
      <c r="I74" s="708">
        <v>0.52</v>
      </c>
      <c r="J74" s="570">
        <v>4.2439999999999998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1313</v>
      </c>
      <c r="L74" s="320"/>
      <c r="M74" s="168">
        <f t="shared" si="464"/>
        <v>4.2439999999999998</v>
      </c>
      <c r="N74" s="632">
        <f t="shared" si="465"/>
        <v>0.18605014020374608</v>
      </c>
      <c r="O74" s="629">
        <f t="shared" si="466"/>
        <v>-5.5384752128280228</v>
      </c>
      <c r="P74" s="633">
        <f t="shared" si="467"/>
        <v>-1.5004255298497742</v>
      </c>
      <c r="Q74" s="585">
        <f t="shared" ref="Q74:Q129" si="520">IF(M74="","",IF(DEGREES(ATAN2(N74,O74))&lt;0,DEGREES(ATAN2(N74,O74))+360,IF(DEGREES(ATAN2(N74,O74))&gt;360,DEGREES(ATAN2(N74,O74))-360,DEGREES(ATAN2(N74,O74)))))</f>
        <v>271.923973733428</v>
      </c>
      <c r="R74" s="629">
        <f>IF(M74="","",SQRT(N74^2+O74^2))</f>
        <v>5.5415992581366122</v>
      </c>
      <c r="S74" s="634">
        <f>IF(M74="","",P74)</f>
        <v>-1.5004255298497742</v>
      </c>
      <c r="T74" s="635">
        <f>IF(M74="","",X74*COS(RADIANS(W74)))</f>
        <v>-5.5384752128280237</v>
      </c>
      <c r="U74" s="629">
        <f>IF(M74="","",X74*SIN(RADIANS(W74)))</f>
        <v>-0.18605014020374464</v>
      </c>
      <c r="V74" s="636">
        <f>IF(M74="","",Y74)</f>
        <v>-1.5004255298497742</v>
      </c>
      <c r="W74" s="585">
        <f t="shared" si="224"/>
        <v>181.923973733428</v>
      </c>
      <c r="X74" s="629">
        <f>IF(M74="","",R74)</f>
        <v>5.5415992581366122</v>
      </c>
      <c r="Y74" s="630">
        <f t="shared" si="223"/>
        <v>-1.5004255298497742</v>
      </c>
      <c r="Z74" s="632">
        <f t="shared" si="468"/>
        <v>-0.93021918653328717</v>
      </c>
      <c r="AA74" s="629">
        <f t="shared" si="469"/>
        <v>0.33091328847958829</v>
      </c>
      <c r="AB74" s="629">
        <f t="shared" si="470"/>
        <v>-0.15870935861811791</v>
      </c>
      <c r="AC74" s="636">
        <f>IF(M74="","",SQRT(Z74^2+AA74^2+AB74^2))</f>
        <v>1</v>
      </c>
      <c r="AD74" s="637">
        <f>IF(M74="","",Z74*(1/SQRT(Z74^2+AA74^2+AB74^2)))</f>
        <v>-0.93021918653328717</v>
      </c>
      <c r="AE74" s="629">
        <f>IF(M74="","",AA74*(1/SQRT(Z74^2+AA74^2+AB74^2)))</f>
        <v>0.33091328847958829</v>
      </c>
      <c r="AF74" s="633">
        <f>IF(M74="","",AB74*(1/SQRT(Z74^2+AA74^2+AB74^2)))</f>
        <v>-0.15870935861811791</v>
      </c>
      <c r="AG74" s="602">
        <f>IF(M74="","",DEGREES(ATAN2(-AF74,AE74)))</f>
        <v>64.377152873032585</v>
      </c>
      <c r="AH74" s="603">
        <f>IF(M74="","",DEGREES(ACOS(AD74)))</f>
        <v>158.46900795765424</v>
      </c>
      <c r="AI74" s="585">
        <f>IF(M74="","",DEGREES(-ACOS(-AF74)))</f>
        <v>-80.868009276011421</v>
      </c>
      <c r="AJ74" s="586">
        <f>IF(M74="","",DEGREES(ATAN2(-AE74,AD74)))</f>
        <v>-109.58234938936461</v>
      </c>
      <c r="AK74" s="635">
        <f>IF(M74="","",(COS(RADIANS((90-$Q$8)-W74))*AD74)+(-SIN(RADIANS((90-$Q$8)-W74))*AE74))</f>
        <v>0.91858490776296753</v>
      </c>
      <c r="AL74" s="629">
        <f>IF(M74="","",(SIN(RADIANS((90-$Q$8)-W74))*AD74)+(COS(RADIANS((90-$Q$8)-W74))*AE74))</f>
        <v>-0.3619573272046393</v>
      </c>
      <c r="AM74" s="634">
        <f>IF(M74="","",AF74)</f>
        <v>-0.15870935861811791</v>
      </c>
      <c r="AN74" s="581">
        <f>IF(M74="","",DEGREES(ATAN2(-AM74,AL74)))</f>
        <v>-66.323734574388482</v>
      </c>
      <c r="AO74" s="582">
        <f t="shared" si="461"/>
        <v>23.279925927370254</v>
      </c>
      <c r="AP74" s="585">
        <f>IF(M74="","",DEGREES(ATAN2(AK74,AL74)))</f>
        <v>-21.506323122792619</v>
      </c>
      <c r="AQ74" s="586">
        <f t="shared" si="471"/>
        <v>0.4113771768296165</v>
      </c>
      <c r="AS74" s="52">
        <f t="shared" si="406"/>
        <v>-178.076026266572</v>
      </c>
      <c r="AT74" s="72">
        <f t="shared" si="472"/>
        <v>-1.3767616227202102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Taper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4.2439999999999998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4.1440000000000001</v>
      </c>
      <c r="II74" s="734" cm="1">
        <f t="array" ref="II74">IFERROR(ROUND(VALUE(IF($IH74&lt;1,$IH74+LARGE((IF($M$9:$M$150="",0,$M$9:$M$150)-MOD(IF($M$9:$M$150="",0,$M$9:$M$150),1)),1),$IH74)),4),"")</f>
        <v>4.1440000000000001</v>
      </c>
      <c r="IJ74" s="533">
        <f t="shared" ref="IJ74:IJ137" si="542">IF(ISNUMBER($II74),INDEX($K$9:$K$150,MATCH($II74,$M$9:$M$150,0)),$K74)</f>
        <v>1613</v>
      </c>
      <c r="IK74" s="533">
        <f t="shared" si="517"/>
        <v>1313</v>
      </c>
      <c r="IL74" s="727">
        <f t="shared" si="225"/>
        <v>11.898998281997194</v>
      </c>
      <c r="IM74" s="759">
        <v>1.1006139626174301E-3</v>
      </c>
      <c r="IN74" s="5">
        <f t="shared" si="226"/>
        <v>0</v>
      </c>
      <c r="IO74" s="771">
        <v>0</v>
      </c>
      <c r="IP74" s="9">
        <f t="shared" si="227"/>
        <v>-5.5073166100668969</v>
      </c>
      <c r="IQ74" s="5">
        <f t="shared" si="228"/>
        <v>-1.5267046045410875</v>
      </c>
      <c r="IR74" s="5">
        <f t="shared" si="518"/>
        <v>0.314</v>
      </c>
      <c r="IS74" s="5">
        <f t="shared" si="229"/>
        <v>0.28843566103757179</v>
      </c>
      <c r="IT74" s="727">
        <f t="shared" si="230"/>
        <v>66.323734574388482</v>
      </c>
      <c r="IU74" s="9">
        <f t="shared" si="231"/>
        <v>-5.5415992581366122</v>
      </c>
      <c r="IV74" s="5">
        <f t="shared" si="232"/>
        <v>-1.5004255298497742</v>
      </c>
      <c r="IW74" s="5">
        <f t="shared" si="519"/>
        <v>0.26600000000000001</v>
      </c>
      <c r="IX74" s="5">
        <f t="shared" si="233"/>
        <v>0.24434358546494939</v>
      </c>
      <c r="IY74" s="762">
        <f t="shared" si="234"/>
        <v>66.323734574388482</v>
      </c>
    </row>
    <row r="75" spans="1:259" ht="15" customHeight="1" x14ac:dyDescent="0.25">
      <c r="A75" s="79"/>
      <c r="B75" s="707">
        <v>0.21579888466053707</v>
      </c>
      <c r="C75" s="708">
        <v>-5.8186695182268782</v>
      </c>
      <c r="D75" s="709">
        <v>-2.2115094629308856</v>
      </c>
      <c r="E75" s="710">
        <v>0.88607960885339332</v>
      </c>
      <c r="F75" s="708">
        <v>-0.45041259586035171</v>
      </c>
      <c r="G75" s="711">
        <v>0.10950534354339558</v>
      </c>
      <c r="H75" s="710">
        <v>0.26600000000000001</v>
      </c>
      <c r="I75" s="708">
        <v>0.52</v>
      </c>
      <c r="J75" s="570">
        <v>4.2510000000000003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4.2510000000000003</v>
      </c>
      <c r="N75" s="632">
        <f t="shared" si="465"/>
        <v>0.21579888466053707</v>
      </c>
      <c r="O75" s="629">
        <f t="shared" si="466"/>
        <v>-5.8186695182268782</v>
      </c>
      <c r="P75" s="633">
        <f t="shared" si="467"/>
        <v>-2.2115094629308856</v>
      </c>
      <c r="Q75" s="585">
        <f t="shared" si="520"/>
        <v>272.12397370455159</v>
      </c>
      <c r="R75" s="629">
        <f>IF(M75="","",SQRT(N75^2+O75^2))</f>
        <v>5.8226698447502017</v>
      </c>
      <c r="S75" s="634">
        <f>IF(M75="","",P75)</f>
        <v>-2.2115094629308856</v>
      </c>
      <c r="T75" s="635">
        <f>IF(M75="","",X75*COS(RADIANS(W75)))</f>
        <v>-5.8186695182268782</v>
      </c>
      <c r="U75" s="629">
        <f>IF(M75="","",X75*SIN(RADIANS(W75)))</f>
        <v>-0.21579888466053498</v>
      </c>
      <c r="V75" s="636">
        <f>IF(M75="","",Y75)</f>
        <v>-2.2115094629308856</v>
      </c>
      <c r="W75" s="585">
        <f t="shared" si="224"/>
        <v>182.12397370455159</v>
      </c>
      <c r="X75" s="629">
        <f>IF(M75="","",R75)</f>
        <v>5.8226698447502017</v>
      </c>
      <c r="Y75" s="630">
        <f t="shared" si="223"/>
        <v>-2.2115094629308856</v>
      </c>
      <c r="Z75" s="632">
        <f t="shared" si="468"/>
        <v>-0.88607960885339332</v>
      </c>
      <c r="AA75" s="629">
        <f t="shared" si="469"/>
        <v>0.45041259586035171</v>
      </c>
      <c r="AB75" s="629">
        <f t="shared" si="470"/>
        <v>-0.10950534354339558</v>
      </c>
      <c r="AC75" s="636">
        <f>IF(M75="","",SQRT(Z75^2+AA75^2+AB75^2))</f>
        <v>1</v>
      </c>
      <c r="AD75" s="637">
        <f>IF(M75="","",Z75*(1/SQRT(Z75^2+AA75^2+AB75^2)))</f>
        <v>-0.88607960885339332</v>
      </c>
      <c r="AE75" s="629">
        <f>IF(M75="","",AA75*(1/SQRT(Z75^2+AA75^2+AB75^2)))</f>
        <v>0.45041259586035171</v>
      </c>
      <c r="AF75" s="633">
        <f>IF(M75="","",AB75*(1/SQRT(Z75^2+AA75^2+AB75^2)))</f>
        <v>-0.10950534354339558</v>
      </c>
      <c r="AG75" s="602">
        <f>IF(M75="","",DEGREES(ATAN2(-AF75,AE75)))</f>
        <v>76.335235814230856</v>
      </c>
      <c r="AH75" s="603">
        <f>IF(M75="","",DEGREES(ACOS(AD75)))</f>
        <v>152.38467251580985</v>
      </c>
      <c r="AI75" s="585">
        <f>IF(M75="","",DEGREES(-ACOS(-AF75)))</f>
        <v>-83.713198413232945</v>
      </c>
      <c r="AJ75" s="586">
        <f>IF(M75="","",DEGREES(ATAN2(-AE75,AD75)))</f>
        <v>-116.9451726490132</v>
      </c>
      <c r="AK75" s="635">
        <f>IF(M75="","",(COS(RADIANS((90-$Q$8)-W75))*AD75)+(-SIN(RADIANS((90-$Q$8)-W75))*AE75))</f>
        <v>0.86877772736759618</v>
      </c>
      <c r="AL75" s="629">
        <f>IF(M75="","",(SIN(RADIANS((90-$Q$8)-W75))*AD75)+(COS(RADIANS((90-$Q$8)-W75))*AE75))</f>
        <v>-0.48294289534626944</v>
      </c>
      <c r="AM75" s="634">
        <f>IF(M75="","",AF75)</f>
        <v>-0.10950534354339558</v>
      </c>
      <c r="AN75" s="581">
        <f>IF(M75="","",DEGREES(ATAN2(-AM75,AL75)))</f>
        <v>-77.224437124434886</v>
      </c>
      <c r="AO75" s="582">
        <f t="shared" si="461"/>
        <v>29.683087283213577</v>
      </c>
      <c r="AP75" s="585">
        <f>IF(M75="","",DEGREES(ATAN2(AK75,AL75)))</f>
        <v>-29.069146353564769</v>
      </c>
      <c r="AQ75" s="586">
        <f t="shared" si="471"/>
        <v>0.39151990570134115</v>
      </c>
      <c r="AS75" s="52">
        <f t="shared" ref="AS75:AS106" si="543">IF(G75="","",IF(AND(W75&lt;(AS74+180),W75&gt;(AS74-180)),W75,IF(W75&gt;(AS74+180),W75-360,IF(W75&lt;(AS74-180),W75+360,"Error"))))</f>
        <v>-177.87602629544841</v>
      </c>
      <c r="AT75" s="72">
        <f t="shared" si="472"/>
        <v>-2.0879844446701576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Taper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4.2510000000000003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4.1509999999999998</v>
      </c>
      <c r="II75" s="734" cm="1">
        <f t="array" ref="II75">IFERROR(ROUND(VALUE(IF($IH75&lt;1,$IH75+LARGE((IF($M$9:$M$150="",0,$M$9:$M$150)-MOD(IF($M$9:$M$150="",0,$M$9:$M$150),1)),1),$IH75)),4),"")</f>
        <v>4.1509999999999998</v>
      </c>
      <c r="IJ75" s="533">
        <f t="shared" si="542"/>
        <v>1613</v>
      </c>
      <c r="IK75" s="533">
        <f t="shared" si="517"/>
        <v>1313</v>
      </c>
      <c r="IL75" s="727">
        <f t="shared" si="225"/>
        <v>11.383998356354027</v>
      </c>
      <c r="IM75" s="759">
        <v>6.9220597532154097E-4</v>
      </c>
      <c r="IN75" s="5">
        <f t="shared" si="226"/>
        <v>0</v>
      </c>
      <c r="IO75" s="771">
        <v>0</v>
      </c>
      <c r="IP75" s="9">
        <f t="shared" si="227"/>
        <v>-5.7850174476126224</v>
      </c>
      <c r="IQ75" s="5">
        <f t="shared" si="228"/>
        <v>-2.2283067205730696</v>
      </c>
      <c r="IR75" s="5">
        <f t="shared" si="518"/>
        <v>0.314</v>
      </c>
      <c r="IS75" s="5">
        <f t="shared" si="229"/>
        <v>0.27279620639342511</v>
      </c>
      <c r="IT75" s="727">
        <f t="shared" si="230"/>
        <v>77.224437124434871</v>
      </c>
      <c r="IU75" s="9">
        <f t="shared" si="231"/>
        <v>-5.8226698447502017</v>
      </c>
      <c r="IV75" s="5">
        <f t="shared" si="232"/>
        <v>-2.2115094629308856</v>
      </c>
      <c r="IW75" s="5">
        <f t="shared" si="519"/>
        <v>0.26600000000000001</v>
      </c>
      <c r="IX75" s="5">
        <f t="shared" si="233"/>
        <v>0.23109487547978058</v>
      </c>
      <c r="IY75" s="762">
        <f t="shared" si="234"/>
        <v>77.224437124434886</v>
      </c>
    </row>
    <row r="76" spans="1:259" ht="15" customHeight="1" x14ac:dyDescent="0.25">
      <c r="A76" s="79"/>
      <c r="B76" s="707">
        <v>0.22342683010801964</v>
      </c>
      <c r="C76" s="708">
        <v>-5.8992410891941205</v>
      </c>
      <c r="D76" s="709">
        <v>-2.9700997410436911</v>
      </c>
      <c r="E76" s="710">
        <v>0.87868819019896394</v>
      </c>
      <c r="F76" s="708">
        <v>-0.47716792966216026</v>
      </c>
      <c r="G76" s="711">
        <v>1.4759109281972702E-2</v>
      </c>
      <c r="H76" s="710">
        <v>0.26600000000000001</v>
      </c>
      <c r="I76" s="708">
        <v>0.52</v>
      </c>
      <c r="J76" s="570">
        <v>4.258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1313</v>
      </c>
      <c r="L76" s="320"/>
      <c r="M76" s="168">
        <f t="shared" si="464"/>
        <v>4.258</v>
      </c>
      <c r="N76" s="632">
        <f t="shared" si="465"/>
        <v>0.22342683010801964</v>
      </c>
      <c r="O76" s="629">
        <f t="shared" si="466"/>
        <v>-5.8992410891941205</v>
      </c>
      <c r="P76" s="633">
        <f t="shared" si="467"/>
        <v>-2.9700997410436911</v>
      </c>
      <c r="Q76" s="585">
        <f t="shared" si="520"/>
        <v>272.1689736980544</v>
      </c>
      <c r="R76" s="629">
        <f t="shared" si="79"/>
        <v>5.9034705874467059</v>
      </c>
      <c r="S76" s="634">
        <f t="shared" si="80"/>
        <v>-2.9700997410436911</v>
      </c>
      <c r="T76" s="635">
        <f t="shared" si="81"/>
        <v>-5.8992410891941214</v>
      </c>
      <c r="U76" s="629">
        <f t="shared" si="82"/>
        <v>-0.22342683010801828</v>
      </c>
      <c r="V76" s="636">
        <f t="shared" si="114"/>
        <v>-2.9700997410436911</v>
      </c>
      <c r="W76" s="585">
        <f t="shared" si="224"/>
        <v>182.1689736980544</v>
      </c>
      <c r="X76" s="629">
        <f t="shared" si="83"/>
        <v>5.9034705874467059</v>
      </c>
      <c r="Y76" s="630">
        <f t="shared" ref="Y76:Y129" si="644">IF(M76="","",S76)</f>
        <v>-2.9700997410436911</v>
      </c>
      <c r="Z76" s="632">
        <f t="shared" si="468"/>
        <v>-0.87868819019896394</v>
      </c>
      <c r="AA76" s="629">
        <f t="shared" si="469"/>
        <v>0.47716792966216026</v>
      </c>
      <c r="AB76" s="629">
        <f t="shared" si="470"/>
        <v>-1.4759109281972702E-2</v>
      </c>
      <c r="AC76" s="636">
        <f t="shared" si="84"/>
        <v>1</v>
      </c>
      <c r="AD76" s="637">
        <f t="shared" si="115"/>
        <v>-0.87868819019896394</v>
      </c>
      <c r="AE76" s="629">
        <f t="shared" si="85"/>
        <v>0.47716792966216026</v>
      </c>
      <c r="AF76" s="633">
        <f t="shared" si="86"/>
        <v>-1.4759109281972702E-2</v>
      </c>
      <c r="AG76" s="602">
        <f t="shared" si="87"/>
        <v>88.228369722238057</v>
      </c>
      <c r="AH76" s="603">
        <f t="shared" si="88"/>
        <v>151.48452323056705</v>
      </c>
      <c r="AI76" s="585">
        <f t="shared" si="89"/>
        <v>-89.154334624809863</v>
      </c>
      <c r="AJ76" s="586">
        <f t="shared" si="90"/>
        <v>-118.50398677152066</v>
      </c>
      <c r="AK76" s="635">
        <f t="shared" si="211"/>
        <v>0.85999943305443927</v>
      </c>
      <c r="AL76" s="629">
        <f t="shared" si="91"/>
        <v>-0.51008150705475108</v>
      </c>
      <c r="AM76" s="634">
        <f t="shared" si="92"/>
        <v>-1.4759109281972702E-2</v>
      </c>
      <c r="AN76" s="581">
        <f t="shared" si="93"/>
        <v>-88.342620183072427</v>
      </c>
      <c r="AO76" s="582">
        <f t="shared" si="461"/>
        <v>30.683480765525449</v>
      </c>
      <c r="AP76" s="585">
        <f t="shared" si="95"/>
        <v>-30.672960469575063</v>
      </c>
      <c r="AQ76" s="586">
        <f t="shared" si="471"/>
        <v>0.38616134008404346</v>
      </c>
      <c r="AS76" s="52">
        <f t="shared" si="543"/>
        <v>-177.8310263019456</v>
      </c>
      <c r="AT76" s="72">
        <f t="shared" si="472"/>
        <v>-2.846605972778451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Taper</v>
      </c>
      <c r="IF76" s="533" t="str">
        <f>IFERROR(IF((((($IW76*COS(RADIANS(180-$IY76)))*COS(RADIANS($IY76)))-(($IX76*SIN(RADIANS(180-$IY76)))*SIN(RADIANS($IY76))))+$IU76)&lt;(((Settings!$C$19+$IF$8)/2)*-1),"Gage",""),"")</f>
        <v>Gage</v>
      </c>
      <c r="IG76" s="847">
        <f t="shared" si="643"/>
        <v>4.258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4.1580000000000004</v>
      </c>
      <c r="II76" s="734" cm="1">
        <f t="array" ref="II76">IFERROR(ROUND(VALUE(IF($IH76&lt;1,$IH76+LARGE((IF($M$9:$M$150="",0,$M$9:$M$150)-MOD(IF($M$9:$M$150="",0,$M$9:$M$150),1)),1),$IH76)),4),"")</f>
        <v>4.1580000000000004</v>
      </c>
      <c r="IJ76" s="533">
        <f t="shared" si="542"/>
        <v>1613</v>
      </c>
      <c r="IK76" s="533">
        <f t="shared" si="517"/>
        <v>1313</v>
      </c>
      <c r="IL76" s="727">
        <f t="shared" si="225"/>
        <v>11.247998375989937</v>
      </c>
      <c r="IM76" s="759">
        <v>3.2664937562292299E-4</v>
      </c>
      <c r="IN76" s="5">
        <f t="shared" si="226"/>
        <v>0</v>
      </c>
      <c r="IO76" s="771">
        <v>0</v>
      </c>
      <c r="IP76" s="9">
        <f t="shared" si="227"/>
        <v>-5.8633176837661338</v>
      </c>
      <c r="IQ76" s="5">
        <f t="shared" si="228"/>
        <v>-2.979108984992699</v>
      </c>
      <c r="IR76" s="5">
        <f t="shared" si="518"/>
        <v>0.314</v>
      </c>
      <c r="IS76" s="5">
        <f t="shared" si="229"/>
        <v>0.27003982197909399</v>
      </c>
      <c r="IT76" s="727">
        <f t="shared" si="230"/>
        <v>88.342620183072427</v>
      </c>
      <c r="IU76" s="9">
        <f t="shared" si="231"/>
        <v>-5.9034705874467059</v>
      </c>
      <c r="IV76" s="5">
        <f t="shared" si="232"/>
        <v>-2.9700997410436911</v>
      </c>
      <c r="IW76" s="5">
        <f t="shared" si="519"/>
        <v>0.26600000000000001</v>
      </c>
      <c r="IX76" s="5">
        <f t="shared" si="233"/>
        <v>0.22875984919248088</v>
      </c>
      <c r="IY76" s="762">
        <f t="shared" si="234"/>
        <v>88.342620183072427</v>
      </c>
    </row>
    <row r="77" spans="1:259" ht="15" customHeight="1" x14ac:dyDescent="0.25">
      <c r="A77" s="79"/>
      <c r="B77" s="707">
        <v>-2.7908669093273983E-2</v>
      </c>
      <c r="C77" s="708">
        <v>-5.8999406746503116</v>
      </c>
      <c r="D77" s="709">
        <v>-3.757431243523742</v>
      </c>
      <c r="E77" s="710">
        <v>-4.7300507468483024E-3</v>
      </c>
      <c r="F77" s="708">
        <v>-0.99998881324736877</v>
      </c>
      <c r="G77" s="711">
        <v>2.2679489680849465E-7</v>
      </c>
      <c r="H77" s="710">
        <v>0.26250000000000001</v>
      </c>
      <c r="I77" s="708">
        <v>0.40699999999999997</v>
      </c>
      <c r="J77" s="570">
        <v>4.2649999999999997</v>
      </c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Inactive</v>
      </c>
      <c r="L77" s="320"/>
      <c r="M77" s="168">
        <f t="shared" si="464"/>
        <v>4.2649999999999997</v>
      </c>
      <c r="N77" s="632">
        <f t="shared" si="465"/>
        <v>-2.7908669093273983E-2</v>
      </c>
      <c r="O77" s="629">
        <f t="shared" si="466"/>
        <v>-5.8999406746503116</v>
      </c>
      <c r="P77" s="633">
        <f t="shared" si="467"/>
        <v>-3.757431243523742</v>
      </c>
      <c r="Q77" s="585">
        <f t="shared" si="520"/>
        <v>269.72897405034678</v>
      </c>
      <c r="R77" s="629">
        <f t="shared" si="79"/>
        <v>5.9000066828948361</v>
      </c>
      <c r="S77" s="634">
        <f t="shared" si="80"/>
        <v>-3.757431243523742</v>
      </c>
      <c r="T77" s="635">
        <f t="shared" si="81"/>
        <v>-5.8999406746503116</v>
      </c>
      <c r="U77" s="629">
        <f t="shared" si="82"/>
        <v>2.7908669093273119E-2</v>
      </c>
      <c r="V77" s="636">
        <f t="shared" si="114"/>
        <v>-3.757431243523742</v>
      </c>
      <c r="W77" s="585">
        <f t="shared" si="224"/>
        <v>179.72897405034678</v>
      </c>
      <c r="X77" s="629">
        <f t="shared" si="83"/>
        <v>5.9000066828948361</v>
      </c>
      <c r="Y77" s="630">
        <f t="shared" si="644"/>
        <v>-3.757431243523742</v>
      </c>
      <c r="Z77" s="632">
        <f t="shared" si="468"/>
        <v>4.7300507468483024E-3</v>
      </c>
      <c r="AA77" s="629">
        <f t="shared" si="469"/>
        <v>0.99998881324736877</v>
      </c>
      <c r="AB77" s="629">
        <f t="shared" si="470"/>
        <v>-2.2679489680849465E-7</v>
      </c>
      <c r="AC77" s="636">
        <f t="shared" si="84"/>
        <v>1</v>
      </c>
      <c r="AD77" s="637">
        <f t="shared" si="115"/>
        <v>4.7300507468483024E-3</v>
      </c>
      <c r="AE77" s="629">
        <f t="shared" si="85"/>
        <v>0.99998881324736877</v>
      </c>
      <c r="AF77" s="633">
        <f t="shared" si="86"/>
        <v>-2.2679489680849465E-7</v>
      </c>
      <c r="AG77" s="602">
        <f t="shared" si="87"/>
        <v>89.999987005464234</v>
      </c>
      <c r="AH77" s="603">
        <f t="shared" si="88"/>
        <v>89.728987044737181</v>
      </c>
      <c r="AI77" s="585">
        <f t="shared" si="89"/>
        <v>-89.999987005609597</v>
      </c>
      <c r="AJ77" s="586">
        <f t="shared" si="90"/>
        <v>179.72898704473718</v>
      </c>
      <c r="AK77" s="635">
        <f t="shared" si="211"/>
        <v>2.2679489655556828E-7</v>
      </c>
      <c r="AL77" s="629">
        <f t="shared" si="91"/>
        <v>-0.99999999999994871</v>
      </c>
      <c r="AM77" s="634">
        <f t="shared" si="92"/>
        <v>-2.2679489680849465E-7</v>
      </c>
      <c r="AN77" s="581">
        <f t="shared" si="93"/>
        <v>-89.999987005609611</v>
      </c>
      <c r="AO77" s="582">
        <f t="shared" si="461"/>
        <v>0</v>
      </c>
      <c r="AP77" s="585">
        <f t="shared" si="95"/>
        <v>-89.999987005609626</v>
      </c>
      <c r="AQ77" s="586">
        <f t="shared" si="471"/>
        <v>0.38638804923078224</v>
      </c>
      <c r="AS77" s="52">
        <f t="shared" si="543"/>
        <v>-180.27102594965322</v>
      </c>
      <c r="AT77" s="72">
        <f t="shared" si="472"/>
        <v>-3.6322430310587048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Taper</v>
      </c>
      <c r="IF77" s="533" t="str">
        <f>IFERROR(IF((((($IW77*COS(RADIANS(180-$IY77)))*COS(RADIANS($IY77)))-(($IX77*SIN(RADIANS(180-$IY77)))*SIN(RADIANS($IY77))))+$IU77)&lt;(((Settings!$C$19+$IF$8)/2)*-1),"Gage",""),"")</f>
        <v>Gage</v>
      </c>
      <c r="IG77" s="847">
        <f t="shared" si="643"/>
        <v>4.2649999999999997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4.165</v>
      </c>
      <c r="II77" s="734" cm="1">
        <f t="array" ref="II77">IFERROR(ROUND(VALUE(IF($IH77&lt;1,$IH77+LARGE((IF($M$9:$M$150="",0,$M$9:$M$150)-MOD(IF($M$9:$M$150="",0,$M$9:$M$150),1)),1),$IH77)),4),"")</f>
        <v>4.165</v>
      </c>
      <c r="IJ77" s="533">
        <f t="shared" si="542"/>
        <v>1613</v>
      </c>
      <c r="IK77" s="533" t="str">
        <f t="shared" si="517"/>
        <v>Inactive</v>
      </c>
      <c r="IL77" s="727">
        <f t="shared" si="225"/>
        <v>13.627998032360551</v>
      </c>
      <c r="IM77" s="759">
        <v>4.0172827225088998E-4</v>
      </c>
      <c r="IN77" s="5">
        <f t="shared" si="226"/>
        <v>0</v>
      </c>
      <c r="IO77" s="771">
        <v>0</v>
      </c>
      <c r="IP77" s="9">
        <f t="shared" si="227"/>
        <v>-5.9156178415034111</v>
      </c>
      <c r="IQ77" s="5">
        <f t="shared" si="228"/>
        <v>-3.7303112506187319</v>
      </c>
      <c r="IR77" s="5">
        <f t="shared" si="518"/>
        <v>0.314</v>
      </c>
      <c r="IS77" s="5">
        <f t="shared" si="229"/>
        <v>0.24053797548389919</v>
      </c>
      <c r="IT77" s="727">
        <f t="shared" si="230"/>
        <v>89.999987005609626</v>
      </c>
      <c r="IU77" s="9">
        <f t="shared" si="231"/>
        <v>-5.9000066828948361</v>
      </c>
      <c r="IV77" s="5">
        <f t="shared" si="232"/>
        <v>-3.757431243523742</v>
      </c>
      <c r="IW77" s="5">
        <f t="shared" si="519"/>
        <v>0.26250000000000001</v>
      </c>
      <c r="IX77" s="5">
        <f t="shared" si="233"/>
        <v>0.26250000000000001</v>
      </c>
      <c r="IY77" s="762">
        <f t="shared" si="234"/>
        <v>89.999987005609611</v>
      </c>
    </row>
    <row r="78" spans="1:259" ht="15" customHeight="1" x14ac:dyDescent="0.25">
      <c r="A78" s="79"/>
      <c r="B78" s="707">
        <v>-0.37567793734975485</v>
      </c>
      <c r="C78" s="708">
        <v>-0.48084547765165037</v>
      </c>
      <c r="D78" s="709">
        <v>-0.70370212236560103</v>
      </c>
      <c r="E78" s="710">
        <v>0.79695624846544399</v>
      </c>
      <c r="F78" s="708">
        <v>-0.51571933622513799</v>
      </c>
      <c r="G78" s="711">
        <v>0.31447464806465492</v>
      </c>
      <c r="H78" s="710">
        <v>0.314</v>
      </c>
      <c r="I78" s="708">
        <v>0.52</v>
      </c>
      <c r="J78" s="570">
        <v>5.1020000000000003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5.1020000000000003</v>
      </c>
      <c r="N78" s="632">
        <f t="shared" si="465"/>
        <v>-0.37567793734975485</v>
      </c>
      <c r="O78" s="629">
        <f t="shared" si="466"/>
        <v>-0.48084547765165037</v>
      </c>
      <c r="P78" s="633">
        <f t="shared" si="467"/>
        <v>-0.70370212236560103</v>
      </c>
      <c r="Q78" s="585">
        <f t="shared" si="520"/>
        <v>231.99997949773959</v>
      </c>
      <c r="R78" s="629">
        <f>IF(M78="","",SQRT(N78^2+O78^2))</f>
        <v>0.61020184036875058</v>
      </c>
      <c r="S78" s="634">
        <f>IF(M78="","",P78)</f>
        <v>-0.70370212236560103</v>
      </c>
      <c r="T78" s="635">
        <f>IF(M78="","",X78*COS(RADIANS(W78)))</f>
        <v>-0.48084547765165037</v>
      </c>
      <c r="U78" s="629">
        <f>IF(M78="","",X78*SIN(RADIANS(W78)))</f>
        <v>0.37567793734975491</v>
      </c>
      <c r="V78" s="636">
        <f>IF(M78="","",Y78)</f>
        <v>-0.70370212236560103</v>
      </c>
      <c r="W78" s="585">
        <f t="shared" si="224"/>
        <v>141.99997949773959</v>
      </c>
      <c r="X78" s="629">
        <f>IF(M78="","",R78)</f>
        <v>0.61020184036875058</v>
      </c>
      <c r="Y78" s="630">
        <f t="shared" si="644"/>
        <v>-0.70370212236560103</v>
      </c>
      <c r="Z78" s="632">
        <f t="shared" si="468"/>
        <v>-0.79695624846544399</v>
      </c>
      <c r="AA78" s="629">
        <f t="shared" si="469"/>
        <v>0.51571933622513799</v>
      </c>
      <c r="AB78" s="629">
        <f t="shared" si="470"/>
        <v>-0.31447464806465492</v>
      </c>
      <c r="AC78" s="636">
        <f>IF(M78="","",SQRT(Z78^2+AA78^2+AB78^2))</f>
        <v>1</v>
      </c>
      <c r="AD78" s="637">
        <f>IF(M78="","",Z78*(1/SQRT(Z78^2+AA78^2+AB78^2)))</f>
        <v>-0.79695624846544399</v>
      </c>
      <c r="AE78" s="629">
        <f>IF(M78="","",AA78*(1/SQRT(Z78^2+AA78^2+AB78^2)))</f>
        <v>0.51571933622513799</v>
      </c>
      <c r="AF78" s="633">
        <f>IF(M78="","",AB78*(1/SQRT(Z78^2+AA78^2+AB78^2)))</f>
        <v>-0.31447464806465492</v>
      </c>
      <c r="AG78" s="602">
        <f>IF(M78="","",DEGREES(ATAN2(-AF78,AE78)))</f>
        <v>58.626052323741973</v>
      </c>
      <c r="AH78" s="603">
        <f>IF(M78="","",DEGREES(ACOS(AD78)))</f>
        <v>142.84042065757876</v>
      </c>
      <c r="AI78" s="585">
        <f>IF(M78="","",DEGREES(-ACOS(-AF78)))</f>
        <v>-71.670898301613491</v>
      </c>
      <c r="AJ78" s="586">
        <f>IF(M78="","",DEGREES(ATAN2(-AE78,AD78)))</f>
        <v>-122.90735928816895</v>
      </c>
      <c r="AK78" s="635">
        <f>IF(M78="","",(COS(RADIANS((90-$Q$8)-W78))*AD78)+(-SIN(RADIANS((90-$Q$8)-W78))*AE78))</f>
        <v>0.94551859118716819</v>
      </c>
      <c r="AL78" s="629">
        <f>IF(M78="","",(SIN(RADIANS((90-$Q$8)-W78))*AD78)+(COS(RADIANS((90-$Q$8)-W78))*AE78))</f>
        <v>8.426321524867264E-2</v>
      </c>
      <c r="AM78" s="634">
        <f>IF(M78="","",AF78)</f>
        <v>-0.31447464806465492</v>
      </c>
      <c r="AN78" s="581">
        <f>IF(M78="","",DEGREES(ATAN2(-AM78,AL78)))</f>
        <v>14.999997834268283</v>
      </c>
      <c r="AO78" s="582">
        <f t="shared" si="461"/>
        <v>18.999997256739807</v>
      </c>
      <c r="AP78" s="585">
        <f>IF(M78="","",DEGREES(ATAN2(AK78,AL78)))</f>
        <v>5.0926612140914616</v>
      </c>
      <c r="AQ78" s="586">
        <f t="shared" si="471"/>
        <v>3.7307391016610647</v>
      </c>
      <c r="AS78" s="52">
        <f t="shared" si="543"/>
        <v>-218.00002050226041</v>
      </c>
      <c r="AT78" s="72">
        <f t="shared" si="472"/>
        <v>-0.55231321923903132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5.1020000000000003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-0.85127807927483778</v>
      </c>
      <c r="C79" s="708">
        <v>-1.0895854505882283</v>
      </c>
      <c r="D79" s="709">
        <v>-0.49670149805171815</v>
      </c>
      <c r="E79" s="710">
        <v>0.79945496202092159</v>
      </c>
      <c r="F79" s="708">
        <v>-0.52583748981611211</v>
      </c>
      <c r="G79" s="711">
        <v>0.29045946017304536</v>
      </c>
      <c r="H79" s="710">
        <v>0.314</v>
      </c>
      <c r="I79" s="708">
        <v>0.52</v>
      </c>
      <c r="J79" s="570">
        <v>5.1050000000000004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5.1050000000000004</v>
      </c>
      <c r="N79" s="632">
        <f t="shared" si="465"/>
        <v>-0.85127807927483778</v>
      </c>
      <c r="O79" s="629">
        <f t="shared" si="466"/>
        <v>-1.0895854505882283</v>
      </c>
      <c r="P79" s="633">
        <f t="shared" si="467"/>
        <v>-0.49670149805171815</v>
      </c>
      <c r="Q79" s="585">
        <f t="shared" si="520"/>
        <v>231.99997949773959</v>
      </c>
      <c r="R79" s="629">
        <f>IF(M79="","",SQRT(N79^2+O79^2))</f>
        <v>1.3827041702357774</v>
      </c>
      <c r="S79" s="634">
        <f>IF(M79="","",P79)</f>
        <v>-0.49670149805171815</v>
      </c>
      <c r="T79" s="635">
        <f>IF(M79="","",X79*COS(RADIANS(W79)))</f>
        <v>-1.0895854505882283</v>
      </c>
      <c r="U79" s="629">
        <f>IF(M79="","",X79*SIN(RADIANS(W79)))</f>
        <v>0.8512780792748379</v>
      </c>
      <c r="V79" s="636">
        <f>IF(M79="","",Y79)</f>
        <v>-0.49670149805171815</v>
      </c>
      <c r="W79" s="585">
        <f t="shared" ref="W79:W129" si="645">IF(M79="","",IF(Q79-$Q$8&lt;0,360+Q79-$Q$8,Q79-$Q$8))</f>
        <v>141.99997949773959</v>
      </c>
      <c r="X79" s="629">
        <f>IF(M79="","",R79)</f>
        <v>1.3827041702357774</v>
      </c>
      <c r="Y79" s="630">
        <f t="shared" si="644"/>
        <v>-0.49670149805171815</v>
      </c>
      <c r="Z79" s="632">
        <f t="shared" si="468"/>
        <v>-0.79945496202092159</v>
      </c>
      <c r="AA79" s="629">
        <f t="shared" si="469"/>
        <v>0.52583748981611211</v>
      </c>
      <c r="AB79" s="629">
        <f t="shared" si="470"/>
        <v>-0.29045946017304536</v>
      </c>
      <c r="AC79" s="636">
        <f>IF(M79="","",SQRT(Z79^2+AA79^2+AB79^2))</f>
        <v>1</v>
      </c>
      <c r="AD79" s="637">
        <f>IF(M79="","",Z79*(1/SQRT(Z79^2+AA79^2+AB79^2)))</f>
        <v>-0.79945496202092159</v>
      </c>
      <c r="AE79" s="629">
        <f>IF(M79="","",AA79*(1/SQRT(Z79^2+AA79^2+AB79^2)))</f>
        <v>0.52583748981611211</v>
      </c>
      <c r="AF79" s="633">
        <f>IF(M79="","",AB79*(1/SQRT(Z79^2+AA79^2+AB79^2)))</f>
        <v>-0.29045946017304536</v>
      </c>
      <c r="AG79" s="602">
        <f>IF(M79="","",DEGREES(ATAN2(-AF79,AE79)))</f>
        <v>61.084838914487548</v>
      </c>
      <c r="AH79" s="603">
        <f>IF(M79="","",DEGREES(ACOS(AD79)))</f>
        <v>143.07808653549645</v>
      </c>
      <c r="AI79" s="585">
        <f>IF(M79="","",DEGREES(-ACOS(-AF79)))</f>
        <v>-73.114534769632428</v>
      </c>
      <c r="AJ79" s="586">
        <f>IF(M79="","",DEGREES(ATAN2(-AE79,AD79)))</f>
        <v>-123.3347185534777</v>
      </c>
      <c r="AK79" s="635">
        <f>IF(M79="","",(COS(RADIANS((90-$Q$8)-W79))*AD79)+(-SIN(RADIANS((90-$Q$8)-W79))*AE79))</f>
        <v>0.95371696400905326</v>
      </c>
      <c r="AL79" s="629">
        <f>IF(M79="","",(SIN(RADIANS((90-$Q$8)-W79))*AD79)+(COS(RADIANS((90-$Q$8)-W79))*AE79))</f>
        <v>7.7828366019961404E-2</v>
      </c>
      <c r="AM79" s="634">
        <f>IF(M79="","",AF79)</f>
        <v>-0.29045946017304536</v>
      </c>
      <c r="AN79" s="581">
        <f>IF(M79="","",DEGREES(ATAN2(-AM79,AL79)))</f>
        <v>14.999997834268243</v>
      </c>
      <c r="AO79" s="582">
        <f t="shared" si="461"/>
        <v>17.499997473312991</v>
      </c>
      <c r="AP79" s="585">
        <f>IF(M79="","",DEGREES(ATAN2(AK79,AL79)))</f>
        <v>4.6653019487826972</v>
      </c>
      <c r="AQ79" s="586">
        <f t="shared" si="471"/>
        <v>1.6482901718384932</v>
      </c>
      <c r="AS79" s="52">
        <f t="shared" si="543"/>
        <v>-218.00002050226041</v>
      </c>
      <c r="AT79" s="72">
        <f t="shared" si="472"/>
        <v>-0.34531259492514843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5.1050000000000004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-1.2960950404927956</v>
      </c>
      <c r="C80" s="708">
        <v>-1.6589247780272931</v>
      </c>
      <c r="D80" s="709">
        <v>-0.30310091415235707</v>
      </c>
      <c r="E80" s="710">
        <v>0.7994549620209217</v>
      </c>
      <c r="F80" s="708">
        <v>-0.52583748981611222</v>
      </c>
      <c r="G80" s="711">
        <v>0.29045946017304541</v>
      </c>
      <c r="H80" s="710">
        <v>0.314</v>
      </c>
      <c r="I80" s="708">
        <v>0.52</v>
      </c>
      <c r="J80" s="570">
        <v>5.1079999999999997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5.1079999999999997</v>
      </c>
      <c r="N80" s="632">
        <f t="shared" si="465"/>
        <v>-1.2960950404927956</v>
      </c>
      <c r="O80" s="629">
        <f t="shared" si="466"/>
        <v>-1.6589247780272931</v>
      </c>
      <c r="P80" s="633">
        <f t="shared" si="467"/>
        <v>-0.30310091415235707</v>
      </c>
      <c r="Q80" s="585">
        <f t="shared" si="520"/>
        <v>231.99997949773959</v>
      </c>
      <c r="R80" s="629">
        <f t="shared" si="79"/>
        <v>2.1052063493023492</v>
      </c>
      <c r="S80" s="634">
        <f t="shared" si="80"/>
        <v>-0.30310091415235707</v>
      </c>
      <c r="T80" s="635">
        <f t="shared" si="81"/>
        <v>-1.6589247780272929</v>
      </c>
      <c r="U80" s="629">
        <f t="shared" si="82"/>
        <v>1.2960950404927956</v>
      </c>
      <c r="V80" s="636">
        <f t="shared" si="114"/>
        <v>-0.30310091415235707</v>
      </c>
      <c r="W80" s="585">
        <f t="shared" si="645"/>
        <v>141.99997949773959</v>
      </c>
      <c r="X80" s="629">
        <f t="shared" si="83"/>
        <v>2.1052063493023492</v>
      </c>
      <c r="Y80" s="630">
        <f t="shared" si="644"/>
        <v>-0.30310091415235707</v>
      </c>
      <c r="Z80" s="632">
        <f t="shared" si="468"/>
        <v>-0.7994549620209217</v>
      </c>
      <c r="AA80" s="629">
        <f t="shared" si="469"/>
        <v>0.52583748981611222</v>
      </c>
      <c r="AB80" s="629">
        <f t="shared" si="470"/>
        <v>-0.29045946017304541</v>
      </c>
      <c r="AC80" s="636">
        <f t="shared" si="84"/>
        <v>1</v>
      </c>
      <c r="AD80" s="637">
        <f t="shared" si="115"/>
        <v>-0.7994549620209217</v>
      </c>
      <c r="AE80" s="629">
        <f t="shared" si="85"/>
        <v>0.52583748981611222</v>
      </c>
      <c r="AF80" s="633">
        <f t="shared" si="86"/>
        <v>-0.29045946017304541</v>
      </c>
      <c r="AG80" s="602">
        <f t="shared" si="87"/>
        <v>61.084838914487563</v>
      </c>
      <c r="AH80" s="603">
        <f t="shared" si="88"/>
        <v>143.07808653549645</v>
      </c>
      <c r="AI80" s="585">
        <f t="shared" si="89"/>
        <v>-73.114534769632428</v>
      </c>
      <c r="AJ80" s="586">
        <f t="shared" si="90"/>
        <v>-123.3347185534777</v>
      </c>
      <c r="AK80" s="635">
        <f t="shared" si="211"/>
        <v>0.95371696400905348</v>
      </c>
      <c r="AL80" s="629">
        <f t="shared" si="91"/>
        <v>7.7828366019961404E-2</v>
      </c>
      <c r="AM80" s="634">
        <f t="shared" si="92"/>
        <v>-0.29045946017304541</v>
      </c>
      <c r="AN80" s="581">
        <f t="shared" si="93"/>
        <v>14.999997834268239</v>
      </c>
      <c r="AO80" s="582">
        <f t="shared" si="461"/>
        <v>17.499997473312952</v>
      </c>
      <c r="AP80" s="585">
        <f t="shared" si="95"/>
        <v>4.6653019487826954</v>
      </c>
      <c r="AQ80" s="586">
        <f t="shared" si="471"/>
        <v>1.0827704558471207</v>
      </c>
      <c r="AS80" s="52">
        <f t="shared" si="543"/>
        <v>-218.00002050226041</v>
      </c>
      <c r="AT80" s="72">
        <f t="shared" si="472"/>
        <v>-0.15171201102578732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5.1079999999999997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-1.7759583328311783</v>
      </c>
      <c r="C81" s="708">
        <v>-2.2704247111484537</v>
      </c>
      <c r="D81" s="709">
        <v>-0.13970042133647073</v>
      </c>
      <c r="E81" s="710">
        <v>0.75970528611777133</v>
      </c>
      <c r="F81" s="708">
        <v>-0.57660919406105637</v>
      </c>
      <c r="G81" s="711">
        <v>0.30061556108919996</v>
      </c>
      <c r="H81" s="710">
        <v>0.314</v>
      </c>
      <c r="I81" s="708">
        <v>0.52</v>
      </c>
      <c r="J81" s="570">
        <v>5.1150000000000002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5.1150000000000002</v>
      </c>
      <c r="N81" s="632">
        <f t="shared" si="465"/>
        <v>-1.7759583328311783</v>
      </c>
      <c r="O81" s="629">
        <f t="shared" si="466"/>
        <v>-2.2704247111484537</v>
      </c>
      <c r="P81" s="633">
        <f t="shared" si="467"/>
        <v>-0.13970042133647073</v>
      </c>
      <c r="Q81" s="585">
        <f t="shared" si="520"/>
        <v>231.96697950250419</v>
      </c>
      <c r="R81" s="629">
        <f t="shared" si="79"/>
        <v>2.8825086936462196</v>
      </c>
      <c r="S81" s="634">
        <f t="shared" si="80"/>
        <v>-0.13970042133647073</v>
      </c>
      <c r="T81" s="635">
        <f t="shared" si="81"/>
        <v>-2.2704247111484528</v>
      </c>
      <c r="U81" s="629">
        <f t="shared" si="82"/>
        <v>1.7759583328311788</v>
      </c>
      <c r="V81" s="636">
        <f t="shared" si="114"/>
        <v>-0.13970042133647073</v>
      </c>
      <c r="W81" s="585">
        <f t="shared" si="645"/>
        <v>141.96697950250419</v>
      </c>
      <c r="X81" s="629">
        <f t="shared" si="83"/>
        <v>2.8825086936462196</v>
      </c>
      <c r="Y81" s="630">
        <f t="shared" si="644"/>
        <v>-0.13970042133647073</v>
      </c>
      <c r="Z81" s="632">
        <f t="shared" si="468"/>
        <v>-0.75970528611777133</v>
      </c>
      <c r="AA81" s="629">
        <f t="shared" si="469"/>
        <v>0.57660919406105637</v>
      </c>
      <c r="AB81" s="629">
        <f t="shared" si="470"/>
        <v>-0.30061556108919996</v>
      </c>
      <c r="AC81" s="636">
        <f t="shared" si="84"/>
        <v>1</v>
      </c>
      <c r="AD81" s="637">
        <f t="shared" si="115"/>
        <v>-0.75970528611777133</v>
      </c>
      <c r="AE81" s="629">
        <f t="shared" si="85"/>
        <v>0.57660919406105637</v>
      </c>
      <c r="AF81" s="633">
        <f t="shared" si="86"/>
        <v>-0.30061556108919996</v>
      </c>
      <c r="AG81" s="602">
        <f t="shared" si="87"/>
        <v>62.464688284188369</v>
      </c>
      <c r="AH81" s="603">
        <f t="shared" si="88"/>
        <v>139.43822344906027</v>
      </c>
      <c r="AI81" s="585">
        <f t="shared" si="89"/>
        <v>-72.505421108660798</v>
      </c>
      <c r="AJ81" s="586">
        <f t="shared" si="90"/>
        <v>-127.19815754713601</v>
      </c>
      <c r="AK81" s="635">
        <f t="shared" si="211"/>
        <v>0.95364415164850758</v>
      </c>
      <c r="AL81" s="629">
        <f t="shared" si="91"/>
        <v>1.389663475896219E-2</v>
      </c>
      <c r="AM81" s="634">
        <f t="shared" si="92"/>
        <v>-0.30061556108919996</v>
      </c>
      <c r="AN81" s="581">
        <f t="shared" si="93"/>
        <v>2.6467428432046192</v>
      </c>
      <c r="AO81" s="582">
        <f t="shared" si="461"/>
        <v>17.513865649127009</v>
      </c>
      <c r="AP81" s="585">
        <f t="shared" si="95"/>
        <v>0.83486295035981284</v>
      </c>
      <c r="AQ81" s="586">
        <f t="shared" si="471"/>
        <v>0.7908326045531604</v>
      </c>
      <c r="AS81" s="52">
        <f t="shared" si="543"/>
        <v>-218.03302049749581</v>
      </c>
      <c r="AT81" s="72">
        <f t="shared" si="472"/>
        <v>1.1711398453456923E-2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5.1150000000000002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-2.2586876943225507</v>
      </c>
      <c r="C82" s="708">
        <v>-2.8492417327285695</v>
      </c>
      <c r="D82" s="709">
        <v>-0.18010054318323837</v>
      </c>
      <c r="E82" s="710">
        <v>0.68943981310718883</v>
      </c>
      <c r="F82" s="708">
        <v>-0.66407277597058068</v>
      </c>
      <c r="G82" s="711">
        <v>0.28927511527515026</v>
      </c>
      <c r="H82" s="710">
        <v>0.314</v>
      </c>
      <c r="I82" s="708">
        <v>0.52</v>
      </c>
      <c r="J82" s="570">
        <v>5.1219999999999999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5.1219999999999999</v>
      </c>
      <c r="N82" s="632">
        <f t="shared" si="465"/>
        <v>-2.2586876943225507</v>
      </c>
      <c r="O82" s="629">
        <f t="shared" si="466"/>
        <v>-2.8492417327285695</v>
      </c>
      <c r="P82" s="633">
        <f t="shared" si="467"/>
        <v>-0.18010054318323837</v>
      </c>
      <c r="Q82" s="585">
        <f t="shared" si="520"/>
        <v>231.59497955621435</v>
      </c>
      <c r="R82" s="629">
        <f t="shared" si="79"/>
        <v>3.6359109659074744</v>
      </c>
      <c r="S82" s="634">
        <f t="shared" si="80"/>
        <v>-0.18010054318323837</v>
      </c>
      <c r="T82" s="635">
        <f t="shared" si="81"/>
        <v>-2.8492417327285695</v>
      </c>
      <c r="U82" s="629">
        <f t="shared" si="82"/>
        <v>2.2586876943225516</v>
      </c>
      <c r="V82" s="636">
        <f t="shared" si="114"/>
        <v>-0.18010054318323837</v>
      </c>
      <c r="W82" s="585">
        <f t="shared" si="645"/>
        <v>141.59497955621435</v>
      </c>
      <c r="X82" s="629">
        <f t="shared" si="83"/>
        <v>3.6359109659074744</v>
      </c>
      <c r="Y82" s="630">
        <f t="shared" si="644"/>
        <v>-0.18010054318323837</v>
      </c>
      <c r="Z82" s="632">
        <f t="shared" si="468"/>
        <v>-0.68943981310718883</v>
      </c>
      <c r="AA82" s="629">
        <f t="shared" si="469"/>
        <v>0.66407277597058068</v>
      </c>
      <c r="AB82" s="629">
        <f t="shared" si="470"/>
        <v>-0.28927511527515026</v>
      </c>
      <c r="AC82" s="636">
        <f t="shared" si="84"/>
        <v>1</v>
      </c>
      <c r="AD82" s="637">
        <f t="shared" si="115"/>
        <v>-0.68943981310718883</v>
      </c>
      <c r="AE82" s="629">
        <f t="shared" si="85"/>
        <v>0.66407277597058068</v>
      </c>
      <c r="AF82" s="633">
        <f t="shared" si="86"/>
        <v>-0.28927511527515026</v>
      </c>
      <c r="AG82" s="602">
        <f t="shared" si="87"/>
        <v>66.461695052477637</v>
      </c>
      <c r="AH82" s="603">
        <f t="shared" si="88"/>
        <v>133.58578156584133</v>
      </c>
      <c r="AI82" s="585">
        <f t="shared" si="89"/>
        <v>-73.185436786198309</v>
      </c>
      <c r="AJ82" s="586">
        <f t="shared" si="90"/>
        <v>-133.92630918760571</v>
      </c>
      <c r="AK82" s="635">
        <f t="shared" si="211"/>
        <v>0.95280487542530046</v>
      </c>
      <c r="AL82" s="629">
        <f t="shared" si="91"/>
        <v>-9.2101992640367447E-2</v>
      </c>
      <c r="AM82" s="634">
        <f t="shared" si="92"/>
        <v>-0.28927511527515026</v>
      </c>
      <c r="AN82" s="581">
        <f t="shared" si="93"/>
        <v>-17.660898957842644</v>
      </c>
      <c r="AO82" s="582">
        <f t="shared" si="461"/>
        <v>17.672957016554133</v>
      </c>
      <c r="AP82" s="585">
        <f t="shared" si="95"/>
        <v>-5.5212887438200706</v>
      </c>
      <c r="AQ82" s="586">
        <f t="shared" si="471"/>
        <v>0.62697784872842155</v>
      </c>
      <c r="AS82" s="52">
        <f t="shared" si="543"/>
        <v>-218.40502044378565</v>
      </c>
      <c r="AT82" s="72">
        <f t="shared" si="472"/>
        <v>-2.8430390097276104E-2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5.1219999999999999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-2.7367899553777502</v>
      </c>
      <c r="C83" s="708">
        <v>-3.3813406951130731</v>
      </c>
      <c r="D83" s="709">
        <v>-0.42380127818465513</v>
      </c>
      <c r="E83" s="710">
        <v>0.62286745149887057</v>
      </c>
      <c r="F83" s="708">
        <v>-0.73848518719364431</v>
      </c>
      <c r="G83" s="711">
        <v>0.25821651023679837</v>
      </c>
      <c r="H83" s="710">
        <v>0.314</v>
      </c>
      <c r="I83" s="708">
        <v>0.52</v>
      </c>
      <c r="J83" s="570">
        <v>5.1289999999999996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5.1289999999999996</v>
      </c>
      <c r="N83" s="632">
        <f t="shared" si="465"/>
        <v>-2.7367899553777502</v>
      </c>
      <c r="O83" s="629">
        <f t="shared" si="466"/>
        <v>-3.3813406951130731</v>
      </c>
      <c r="P83" s="633">
        <f t="shared" si="467"/>
        <v>-0.42380127818465513</v>
      </c>
      <c r="Q83" s="585">
        <f t="shared" si="520"/>
        <v>231.01397964010036</v>
      </c>
      <c r="R83" s="629">
        <f t="shared" si="79"/>
        <v>4.3501131199411711</v>
      </c>
      <c r="S83" s="634">
        <f t="shared" si="80"/>
        <v>-0.42380127818465513</v>
      </c>
      <c r="T83" s="635">
        <f t="shared" si="81"/>
        <v>-3.3813406951130731</v>
      </c>
      <c r="U83" s="629">
        <f t="shared" si="82"/>
        <v>2.7367899553777502</v>
      </c>
      <c r="V83" s="636">
        <f t="shared" si="114"/>
        <v>-0.42380127818465513</v>
      </c>
      <c r="W83" s="585">
        <f t="shared" si="645"/>
        <v>141.01397964010036</v>
      </c>
      <c r="X83" s="629">
        <f t="shared" si="83"/>
        <v>4.3501131199411711</v>
      </c>
      <c r="Y83" s="630">
        <f t="shared" si="644"/>
        <v>-0.42380127818465513</v>
      </c>
      <c r="Z83" s="632">
        <f t="shared" si="468"/>
        <v>-0.62286745149887057</v>
      </c>
      <c r="AA83" s="629">
        <f t="shared" si="469"/>
        <v>0.73848518719364431</v>
      </c>
      <c r="AB83" s="629">
        <f t="shared" si="470"/>
        <v>-0.25821651023679837</v>
      </c>
      <c r="AC83" s="636">
        <f t="shared" si="84"/>
        <v>1</v>
      </c>
      <c r="AD83" s="637">
        <f t="shared" si="115"/>
        <v>-0.62286745149887057</v>
      </c>
      <c r="AE83" s="629">
        <f t="shared" si="85"/>
        <v>0.73848518719364431</v>
      </c>
      <c r="AF83" s="633">
        <f t="shared" si="86"/>
        <v>-0.25821651023679837</v>
      </c>
      <c r="AG83" s="602">
        <f t="shared" si="87"/>
        <v>70.727463741680211</v>
      </c>
      <c r="AH83" s="603">
        <f t="shared" si="88"/>
        <v>128.52583467703505</v>
      </c>
      <c r="AI83" s="585">
        <f t="shared" si="89"/>
        <v>-75.035737549886463</v>
      </c>
      <c r="AJ83" s="586">
        <f t="shared" si="90"/>
        <v>-139.85439973225817</v>
      </c>
      <c r="AK83" s="635">
        <f t="shared" si="211"/>
        <v>0.94875829435376546</v>
      </c>
      <c r="AL83" s="629">
        <f t="shared" si="91"/>
        <v>-0.18215908633956041</v>
      </c>
      <c r="AM83" s="634">
        <f t="shared" si="92"/>
        <v>-0.25821651023679837</v>
      </c>
      <c r="AN83" s="581">
        <f t="shared" si="93"/>
        <v>-35.201092784164466</v>
      </c>
      <c r="AO83" s="582">
        <f t="shared" si="461"/>
        <v>18.421355768025091</v>
      </c>
      <c r="AP83" s="585">
        <f t="shared" si="95"/>
        <v>-10.868379372358536</v>
      </c>
      <c r="AQ83" s="586">
        <f t="shared" si="471"/>
        <v>0.52404684616674757</v>
      </c>
      <c r="AS83" s="52">
        <f t="shared" si="543"/>
        <v>-218.98602035989964</v>
      </c>
      <c r="AT83" s="72">
        <f t="shared" si="472"/>
        <v>-0.27172765293472478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5.1289999999999996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-3.1685087486115244</v>
      </c>
      <c r="C84" s="708">
        <v>-3.830474720245074</v>
      </c>
      <c r="D84" s="709">
        <v>-0.85240257084615367</v>
      </c>
      <c r="E84" s="710">
        <v>0.55856458651030982</v>
      </c>
      <c r="F84" s="708">
        <v>-0.80215072971995993</v>
      </c>
      <c r="G84" s="711">
        <v>0.21109194562157602</v>
      </c>
      <c r="H84" s="710">
        <v>0.314</v>
      </c>
      <c r="I84" s="708">
        <v>0.52</v>
      </c>
      <c r="J84" s="570">
        <v>5.1360000000000001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5.1360000000000001</v>
      </c>
      <c r="N84" s="632">
        <f t="shared" si="465"/>
        <v>-3.1685087486115244</v>
      </c>
      <c r="O84" s="629">
        <f t="shared" si="466"/>
        <v>-3.830474720245074</v>
      </c>
      <c r="P84" s="633">
        <f t="shared" si="467"/>
        <v>-0.85240257084615367</v>
      </c>
      <c r="Q84" s="585">
        <f t="shared" si="520"/>
        <v>230.40297972831783</v>
      </c>
      <c r="R84" s="629">
        <f t="shared" si="79"/>
        <v>4.9711149928828187</v>
      </c>
      <c r="S84" s="634">
        <f t="shared" si="80"/>
        <v>-0.85240257084615367</v>
      </c>
      <c r="T84" s="635">
        <f t="shared" si="81"/>
        <v>-3.830474720245074</v>
      </c>
      <c r="U84" s="629">
        <f t="shared" si="82"/>
        <v>3.1685087486115244</v>
      </c>
      <c r="V84" s="636">
        <f t="shared" si="114"/>
        <v>-0.85240257084615367</v>
      </c>
      <c r="W84" s="585">
        <f t="shared" si="645"/>
        <v>140.40297972831783</v>
      </c>
      <c r="X84" s="629">
        <f t="shared" si="83"/>
        <v>4.9711149928828187</v>
      </c>
      <c r="Y84" s="630">
        <f t="shared" si="644"/>
        <v>-0.85240257084615367</v>
      </c>
      <c r="Z84" s="632">
        <f t="shared" si="468"/>
        <v>-0.55856458651030982</v>
      </c>
      <c r="AA84" s="629">
        <f t="shared" si="469"/>
        <v>0.80215072971995993</v>
      </c>
      <c r="AB84" s="629">
        <f t="shared" si="470"/>
        <v>-0.21109194562157602</v>
      </c>
      <c r="AC84" s="636">
        <f t="shared" si="84"/>
        <v>1</v>
      </c>
      <c r="AD84" s="637">
        <f t="shared" si="115"/>
        <v>-0.55856458651030982</v>
      </c>
      <c r="AE84" s="629">
        <f t="shared" si="85"/>
        <v>0.80215072971995993</v>
      </c>
      <c r="AF84" s="633">
        <f t="shared" si="86"/>
        <v>-0.21109194562157602</v>
      </c>
      <c r="AG84" s="602">
        <f t="shared" si="87"/>
        <v>75.256460655843725</v>
      </c>
      <c r="AH84" s="603">
        <f t="shared" si="88"/>
        <v>123.95658735169235</v>
      </c>
      <c r="AI84" s="585">
        <f t="shared" si="89"/>
        <v>-77.813649283448242</v>
      </c>
      <c r="AJ84" s="586">
        <f t="shared" si="90"/>
        <v>-145.1492049466334</v>
      </c>
      <c r="AK84" s="635">
        <f t="shared" si="211"/>
        <v>0.9416779011905354</v>
      </c>
      <c r="AL84" s="629">
        <f t="shared" si="91"/>
        <v>-0.26207426600695821</v>
      </c>
      <c r="AM84" s="634">
        <f t="shared" si="92"/>
        <v>-0.21109194562157602</v>
      </c>
      <c r="AN84" s="581">
        <f t="shared" si="93"/>
        <v>-51.149732999472391</v>
      </c>
      <c r="AO84" s="582">
        <f t="shared" si="461"/>
        <v>19.664725493042404</v>
      </c>
      <c r="AP84" s="585">
        <f t="shared" si="95"/>
        <v>-15.552184674951244</v>
      </c>
      <c r="AQ84" s="586">
        <f t="shared" si="471"/>
        <v>0.4585848354828021</v>
      </c>
      <c r="AS84" s="52">
        <f t="shared" si="543"/>
        <v>-219.59702027168217</v>
      </c>
      <c r="AT84" s="72">
        <f t="shared" si="472"/>
        <v>-0.69990464010192999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5.1360000000000001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-3.5131318408964645</v>
      </c>
      <c r="C85" s="708">
        <v>-4.169611405877629</v>
      </c>
      <c r="D85" s="709">
        <v>-1.4337043240522414</v>
      </c>
      <c r="E85" s="710">
        <v>0.4799585450687231</v>
      </c>
      <c r="F85" s="708">
        <v>-0.86134113354662067</v>
      </c>
      <c r="G85" s="711">
        <v>0.16652701485385832</v>
      </c>
      <c r="H85" s="710">
        <v>0.314</v>
      </c>
      <c r="I85" s="708">
        <v>0.52</v>
      </c>
      <c r="J85" s="570">
        <v>5.1429999999999998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5.1429999999999998</v>
      </c>
      <c r="N85" s="632">
        <f t="shared" si="465"/>
        <v>-3.5131318408964645</v>
      </c>
      <c r="O85" s="629">
        <f t="shared" si="466"/>
        <v>-4.169611405877629</v>
      </c>
      <c r="P85" s="633">
        <f t="shared" si="467"/>
        <v>-1.4337043240522414</v>
      </c>
      <c r="Q85" s="585">
        <f t="shared" si="520"/>
        <v>229.88397980325215</v>
      </c>
      <c r="R85" s="629">
        <f t="shared" si="79"/>
        <v>5.4523164441863976</v>
      </c>
      <c r="S85" s="634">
        <f t="shared" si="80"/>
        <v>-1.4337043240522414</v>
      </c>
      <c r="T85" s="635">
        <f t="shared" si="81"/>
        <v>-4.169611405877629</v>
      </c>
      <c r="U85" s="629">
        <f t="shared" si="82"/>
        <v>3.5131318408964654</v>
      </c>
      <c r="V85" s="636">
        <f t="shared" si="114"/>
        <v>-1.4337043240522414</v>
      </c>
      <c r="W85" s="585">
        <f t="shared" si="645"/>
        <v>139.88397980325215</v>
      </c>
      <c r="X85" s="629">
        <f t="shared" si="83"/>
        <v>5.4523164441863976</v>
      </c>
      <c r="Y85" s="630">
        <f t="shared" si="644"/>
        <v>-1.4337043240522414</v>
      </c>
      <c r="Z85" s="632">
        <f t="shared" si="468"/>
        <v>-0.4799585450687231</v>
      </c>
      <c r="AA85" s="629">
        <f t="shared" si="469"/>
        <v>0.86134113354662067</v>
      </c>
      <c r="AB85" s="629">
        <f t="shared" si="470"/>
        <v>-0.16652701485385832</v>
      </c>
      <c r="AC85" s="636">
        <f t="shared" si="84"/>
        <v>1</v>
      </c>
      <c r="AD85" s="637">
        <f t="shared" si="115"/>
        <v>-0.4799585450687231</v>
      </c>
      <c r="AE85" s="629">
        <f t="shared" si="85"/>
        <v>0.86134113354662067</v>
      </c>
      <c r="AF85" s="633">
        <f t="shared" si="86"/>
        <v>-0.16652701485385832</v>
      </c>
      <c r="AG85" s="602">
        <f t="shared" si="87"/>
        <v>79.057746469293662</v>
      </c>
      <c r="AH85" s="603">
        <f t="shared" si="88"/>
        <v>118.68269456260261</v>
      </c>
      <c r="AI85" s="585">
        <f t="shared" si="89"/>
        <v>-80.414046637055122</v>
      </c>
      <c r="AJ85" s="586">
        <f t="shared" si="90"/>
        <v>-150.87247017266569</v>
      </c>
      <c r="AK85" s="635">
        <f t="shared" si="211"/>
        <v>0.92203848354470197</v>
      </c>
      <c r="AL85" s="629">
        <f t="shared" si="91"/>
        <v>-0.34944783328338064</v>
      </c>
      <c r="AM85" s="634">
        <f t="shared" si="92"/>
        <v>-0.16652701485385832</v>
      </c>
      <c r="AN85" s="581">
        <f t="shared" si="93"/>
        <v>-64.520179712485799</v>
      </c>
      <c r="AO85" s="582">
        <f t="shared" si="461"/>
        <v>22.774062479135512</v>
      </c>
      <c r="AP85" s="585">
        <f t="shared" si="95"/>
        <v>-20.756449975917835</v>
      </c>
      <c r="AQ85" s="586">
        <f t="shared" si="471"/>
        <v>0.41811332629741194</v>
      </c>
      <c r="AS85" s="52">
        <f t="shared" si="543"/>
        <v>-220.11602019674785</v>
      </c>
      <c r="AT85" s="72">
        <f t="shared" si="472"/>
        <v>-1.2808459766933886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5.1429999999999998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-3.7360228053956872</v>
      </c>
      <c r="C86" s="708">
        <v>-4.3805064579538886</v>
      </c>
      <c r="D86" s="709">
        <v>-2.1238064054001189</v>
      </c>
      <c r="E86" s="710">
        <v>0.3654200569951519</v>
      </c>
      <c r="F86" s="708">
        <v>-0.923233072475662</v>
      </c>
      <c r="G86" s="711">
        <v>0.11878078898883061</v>
      </c>
      <c r="H86" s="710">
        <v>0.314</v>
      </c>
      <c r="I86" s="708">
        <v>0.52</v>
      </c>
      <c r="J86" s="570">
        <v>5.15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5.15</v>
      </c>
      <c r="N86" s="632">
        <f t="shared" si="465"/>
        <v>-3.7360228053956872</v>
      </c>
      <c r="O86" s="629">
        <f t="shared" si="466"/>
        <v>-4.3805064579538886</v>
      </c>
      <c r="P86" s="633">
        <f t="shared" si="467"/>
        <v>-2.1238064054001189</v>
      </c>
      <c r="Q86" s="585">
        <f t="shared" si="520"/>
        <v>229.5399798529196</v>
      </c>
      <c r="R86" s="629">
        <f t="shared" si="79"/>
        <v>5.7573173640691708</v>
      </c>
      <c r="S86" s="634">
        <f t="shared" si="80"/>
        <v>-2.1238064054001189</v>
      </c>
      <c r="T86" s="635">
        <f t="shared" si="81"/>
        <v>-4.3805064579538877</v>
      </c>
      <c r="U86" s="629">
        <f t="shared" si="82"/>
        <v>3.7360228053956881</v>
      </c>
      <c r="V86" s="636">
        <f t="shared" si="114"/>
        <v>-2.1238064054001189</v>
      </c>
      <c r="W86" s="585">
        <f t="shared" si="645"/>
        <v>139.5399798529196</v>
      </c>
      <c r="X86" s="629">
        <f t="shared" si="83"/>
        <v>5.7573173640691708</v>
      </c>
      <c r="Y86" s="630">
        <f t="shared" si="644"/>
        <v>-2.1238064054001189</v>
      </c>
      <c r="Z86" s="632">
        <f t="shared" si="468"/>
        <v>-0.3654200569951519</v>
      </c>
      <c r="AA86" s="629">
        <f t="shared" si="469"/>
        <v>0.923233072475662</v>
      </c>
      <c r="AB86" s="629">
        <f t="shared" si="470"/>
        <v>-0.11878078898883061</v>
      </c>
      <c r="AC86" s="636">
        <f t="shared" si="84"/>
        <v>1</v>
      </c>
      <c r="AD86" s="637">
        <f t="shared" si="115"/>
        <v>-0.3654200569951519</v>
      </c>
      <c r="AE86" s="629">
        <f t="shared" si="85"/>
        <v>0.923233072475662</v>
      </c>
      <c r="AF86" s="633">
        <f t="shared" si="86"/>
        <v>-0.11878078898883061</v>
      </c>
      <c r="AG86" s="602">
        <f t="shared" si="87"/>
        <v>82.668746334068373</v>
      </c>
      <c r="AH86" s="603">
        <f t="shared" si="88"/>
        <v>111.43343601040085</v>
      </c>
      <c r="AI86" s="585">
        <f t="shared" si="89"/>
        <v>-83.1782563204968</v>
      </c>
      <c r="AJ86" s="586">
        <f t="shared" si="90"/>
        <v>-158.4061042699968</v>
      </c>
      <c r="AK86" s="635">
        <f t="shared" si="211"/>
        <v>0.87713502898310458</v>
      </c>
      <c r="AL86" s="629">
        <f t="shared" si="91"/>
        <v>-0.46532275368608306</v>
      </c>
      <c r="AM86" s="634">
        <f t="shared" si="92"/>
        <v>-0.11878078898883061</v>
      </c>
      <c r="AN86" s="581">
        <f t="shared" si="93"/>
        <v>-75.680172320011025</v>
      </c>
      <c r="AO86" s="582">
        <f t="shared" si="461"/>
        <v>28.701328462890721</v>
      </c>
      <c r="AP86" s="585">
        <f t="shared" si="95"/>
        <v>-27.946084122916414</v>
      </c>
      <c r="AQ86" s="586">
        <f t="shared" si="471"/>
        <v>0.39596398709343722</v>
      </c>
      <c r="AS86" s="52">
        <f t="shared" si="543"/>
        <v>-220.4600201470804</v>
      </c>
      <c r="AT86" s="72">
        <f t="shared" si="472"/>
        <v>-1.9707091691868686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5.15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-3.8142987628539564</v>
      </c>
      <c r="C87" s="708">
        <v>-4.4530460595479395</v>
      </c>
      <c r="D87" s="709">
        <v>-2.8709086586605141</v>
      </c>
      <c r="E87" s="710">
        <v>0.32132214675647119</v>
      </c>
      <c r="F87" s="708">
        <v>-0.94685492378559011</v>
      </c>
      <c r="G87" s="711">
        <v>1.4759109281972591E-2</v>
      </c>
      <c r="H87" s="710">
        <v>0.314</v>
      </c>
      <c r="I87" s="708">
        <v>0.52</v>
      </c>
      <c r="J87" s="570">
        <v>5.157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5.157</v>
      </c>
      <c r="N87" s="632">
        <f t="shared" si="465"/>
        <v>-3.8142987628539564</v>
      </c>
      <c r="O87" s="629">
        <f t="shared" si="466"/>
        <v>-4.4530460595479395</v>
      </c>
      <c r="P87" s="633">
        <f t="shared" si="467"/>
        <v>-2.8709086586605141</v>
      </c>
      <c r="Q87" s="585">
        <f t="shared" si="520"/>
        <v>229.41797987053423</v>
      </c>
      <c r="R87" s="629">
        <f t="shared" si="79"/>
        <v>5.8633176837661329</v>
      </c>
      <c r="S87" s="634">
        <f t="shared" si="80"/>
        <v>-2.8709086586605141</v>
      </c>
      <c r="T87" s="635">
        <f t="shared" si="81"/>
        <v>-4.4530460595479395</v>
      </c>
      <c r="U87" s="629">
        <f t="shared" si="82"/>
        <v>3.8142987628539564</v>
      </c>
      <c r="V87" s="636">
        <f t="shared" si="114"/>
        <v>-2.8709086586605141</v>
      </c>
      <c r="W87" s="585">
        <f t="shared" si="645"/>
        <v>139.41797987053423</v>
      </c>
      <c r="X87" s="629">
        <f t="shared" si="83"/>
        <v>5.8633176837661329</v>
      </c>
      <c r="Y87" s="630">
        <f t="shared" si="644"/>
        <v>-2.8709086586605141</v>
      </c>
      <c r="Z87" s="632">
        <f t="shared" si="468"/>
        <v>-0.32132214675647119</v>
      </c>
      <c r="AA87" s="629">
        <f t="shared" si="469"/>
        <v>0.94685492378559011</v>
      </c>
      <c r="AB87" s="629">
        <f t="shared" si="470"/>
        <v>-1.4759109281972591E-2</v>
      </c>
      <c r="AC87" s="636">
        <f t="shared" si="84"/>
        <v>1</v>
      </c>
      <c r="AD87" s="637">
        <f t="shared" si="115"/>
        <v>-0.32132214675647119</v>
      </c>
      <c r="AE87" s="629">
        <f t="shared" si="85"/>
        <v>0.94685492378559011</v>
      </c>
      <c r="AF87" s="633">
        <f t="shared" si="86"/>
        <v>-1.4759109281972591E-2</v>
      </c>
      <c r="AG87" s="602">
        <f t="shared" si="87"/>
        <v>89.106973864845529</v>
      </c>
      <c r="AH87" s="603">
        <f t="shared" si="88"/>
        <v>108.74290157103481</v>
      </c>
      <c r="AI87" s="585">
        <f t="shared" si="89"/>
        <v>-89.154334624809863</v>
      </c>
      <c r="AJ87" s="586">
        <f t="shared" si="90"/>
        <v>-161.25498059904083</v>
      </c>
      <c r="AK87" s="635">
        <f t="shared" si="211"/>
        <v>0.85999943305443927</v>
      </c>
      <c r="AL87" s="629">
        <f t="shared" si="91"/>
        <v>-0.51008150705475108</v>
      </c>
      <c r="AM87" s="634">
        <f t="shared" si="92"/>
        <v>-1.4759109281972591E-2</v>
      </c>
      <c r="AN87" s="581">
        <f t="shared" si="93"/>
        <v>-88.342620183072441</v>
      </c>
      <c r="AO87" s="582">
        <f t="shared" si="461"/>
        <v>30.683480765525449</v>
      </c>
      <c r="AP87" s="585">
        <f t="shared" si="95"/>
        <v>-30.672960469575063</v>
      </c>
      <c r="AQ87" s="586">
        <f t="shared" si="471"/>
        <v>0.3888057515835619</v>
      </c>
      <c r="AS87" s="52">
        <f t="shared" si="543"/>
        <v>-220.58202012946577</v>
      </c>
      <c r="AT87" s="72">
        <f t="shared" si="472"/>
        <v>-2.7177267002372743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5.157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-3.8531029393906597</v>
      </c>
      <c r="C88" s="708">
        <v>-4.4886670833525324</v>
      </c>
      <c r="D88" s="709">
        <v>-3.6270109390649927</v>
      </c>
      <c r="E88" s="710">
        <v>0.16258525517410005</v>
      </c>
      <c r="F88" s="708">
        <v>-0.98669449922453278</v>
      </c>
      <c r="G88" s="711">
        <v>1.4578093204018212E-7</v>
      </c>
      <c r="H88" s="710">
        <v>0.314</v>
      </c>
      <c r="I88" s="708">
        <v>0.52</v>
      </c>
      <c r="J88" s="570">
        <v>5.1639999999999997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5.1639999999999997</v>
      </c>
      <c r="N88" s="632">
        <f t="shared" si="465"/>
        <v>-3.8531029393906597</v>
      </c>
      <c r="O88" s="629">
        <f t="shared" si="466"/>
        <v>-4.4886670833525324</v>
      </c>
      <c r="P88" s="633">
        <f t="shared" si="467"/>
        <v>-3.6270109390649927</v>
      </c>
      <c r="Q88" s="585">
        <f t="shared" si="520"/>
        <v>229.35697987934151</v>
      </c>
      <c r="R88" s="629">
        <f t="shared" si="79"/>
        <v>5.9156178415034111</v>
      </c>
      <c r="S88" s="634">
        <f t="shared" si="80"/>
        <v>-3.6270109390649927</v>
      </c>
      <c r="T88" s="635">
        <f t="shared" si="81"/>
        <v>-4.4886670833525315</v>
      </c>
      <c r="U88" s="629">
        <f t="shared" si="82"/>
        <v>3.8531029393906611</v>
      </c>
      <c r="V88" s="636">
        <f t="shared" si="114"/>
        <v>-3.6270109390649927</v>
      </c>
      <c r="W88" s="585">
        <f t="shared" si="645"/>
        <v>139.35697987934151</v>
      </c>
      <c r="X88" s="629">
        <f t="shared" si="83"/>
        <v>5.9156178415034111</v>
      </c>
      <c r="Y88" s="630">
        <f t="shared" si="644"/>
        <v>-3.6270109390649927</v>
      </c>
      <c r="Z88" s="632">
        <f t="shared" si="468"/>
        <v>-0.16258525517410005</v>
      </c>
      <c r="AA88" s="629">
        <f t="shared" si="469"/>
        <v>0.98669449922453278</v>
      </c>
      <c r="AB88" s="629">
        <f t="shared" si="470"/>
        <v>-1.4578093204018212E-7</v>
      </c>
      <c r="AC88" s="636">
        <f t="shared" si="84"/>
        <v>1</v>
      </c>
      <c r="AD88" s="637">
        <f t="shared" si="115"/>
        <v>-0.16258525517410005</v>
      </c>
      <c r="AE88" s="629">
        <f t="shared" si="85"/>
        <v>0.98669449922453278</v>
      </c>
      <c r="AF88" s="633">
        <f t="shared" si="86"/>
        <v>-1.4578093204018212E-7</v>
      </c>
      <c r="AG88" s="602">
        <f t="shared" si="87"/>
        <v>89.999991534733255</v>
      </c>
      <c r="AH88" s="603">
        <f t="shared" si="88"/>
        <v>99.356985654626769</v>
      </c>
      <c r="AI88" s="585">
        <f t="shared" si="89"/>
        <v>-89.999991647367864</v>
      </c>
      <c r="AJ88" s="586">
        <f t="shared" si="90"/>
        <v>-170.64301434537313</v>
      </c>
      <c r="AK88" s="635">
        <f t="shared" si="211"/>
        <v>0.76604450791050738</v>
      </c>
      <c r="AL88" s="629">
        <f t="shared" si="91"/>
        <v>-0.64278753247097709</v>
      </c>
      <c r="AM88" s="634">
        <f t="shared" si="92"/>
        <v>-1.4578093204018212E-7</v>
      </c>
      <c r="AN88" s="581">
        <f t="shared" si="93"/>
        <v>-89.999987005609611</v>
      </c>
      <c r="AO88" s="582">
        <f t="shared" si="461"/>
        <v>39.999994224715365</v>
      </c>
      <c r="AP88" s="585">
        <f t="shared" si="95"/>
        <v>-39.999994224714648</v>
      </c>
      <c r="AQ88" s="586">
        <f t="shared" si="471"/>
        <v>0.38536841220789192</v>
      </c>
      <c r="AS88" s="52">
        <f t="shared" si="543"/>
        <v>-220.64302012065849</v>
      </c>
      <c r="AT88" s="72">
        <f t="shared" si="472"/>
        <v>-3.4737866195367575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5.1639999999999997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-2.499459189735262</v>
      </c>
      <c r="C89" s="708">
        <v>-1.4282682627969792</v>
      </c>
      <c r="D89" s="709">
        <v>-0.12570357684578248</v>
      </c>
      <c r="E89" s="710">
        <v>1.1252212789133954E-7</v>
      </c>
      <c r="F89" s="708">
        <v>-1.9691291455833568E-7</v>
      </c>
      <c r="G89" s="711">
        <v>0.99999999999997435</v>
      </c>
      <c r="H89" s="710">
        <v>0.26250000000000001</v>
      </c>
      <c r="I89" s="708">
        <v>0.40699999999999997</v>
      </c>
      <c r="J89" s="570">
        <v>5.2149999999999999</v>
      </c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Inactive</v>
      </c>
      <c r="L89" s="320"/>
      <c r="M89" s="168">
        <f t="shared" si="464"/>
        <v>5.2149999999999999</v>
      </c>
      <c r="N89" s="632">
        <f t="shared" si="465"/>
        <v>-2.499459189735262</v>
      </c>
      <c r="O89" s="629">
        <f t="shared" si="466"/>
        <v>-1.4282682627969792</v>
      </c>
      <c r="P89" s="633">
        <f t="shared" si="467"/>
        <v>-0.12570357684578248</v>
      </c>
      <c r="Q89" s="585">
        <f t="shared" si="520"/>
        <v>209.74498271096357</v>
      </c>
      <c r="R89" s="629">
        <f t="shared" si="79"/>
        <v>2.8787578001049607</v>
      </c>
      <c r="S89" s="634">
        <f t="shared" si="80"/>
        <v>-0.12570357684578248</v>
      </c>
      <c r="T89" s="635">
        <f t="shared" si="81"/>
        <v>-1.4282682627969785</v>
      </c>
      <c r="U89" s="629">
        <f t="shared" si="82"/>
        <v>2.499459189735262</v>
      </c>
      <c r="V89" s="636">
        <f t="shared" si="114"/>
        <v>-0.12570357684578248</v>
      </c>
      <c r="W89" s="585">
        <f t="shared" si="645"/>
        <v>119.74498271096357</v>
      </c>
      <c r="X89" s="629">
        <f t="shared" si="83"/>
        <v>2.8787578001049607</v>
      </c>
      <c r="Y89" s="630">
        <f t="shared" si="644"/>
        <v>-0.12570357684578248</v>
      </c>
      <c r="Z89" s="632">
        <f t="shared" si="468"/>
        <v>-1.1252212789133954E-7</v>
      </c>
      <c r="AA89" s="629">
        <f t="shared" si="469"/>
        <v>1.9691291455833568E-7</v>
      </c>
      <c r="AB89" s="629">
        <f t="shared" si="470"/>
        <v>-0.99999999999997435</v>
      </c>
      <c r="AC89" s="636">
        <f t="shared" si="84"/>
        <v>1</v>
      </c>
      <c r="AD89" s="637">
        <f t="shared" si="115"/>
        <v>-1.1252212789133954E-7</v>
      </c>
      <c r="AE89" s="629">
        <f t="shared" si="85"/>
        <v>1.9691291455833568E-7</v>
      </c>
      <c r="AF89" s="633">
        <f t="shared" si="86"/>
        <v>-0.99999999999997435</v>
      </c>
      <c r="AG89" s="602">
        <f t="shared" si="87"/>
        <v>1.1282278935812963E-5</v>
      </c>
      <c r="AH89" s="603">
        <f t="shared" si="88"/>
        <v>90.00000644704302</v>
      </c>
      <c r="AI89" s="585">
        <f t="shared" si="89"/>
        <v>-1.2976235990044085E-5</v>
      </c>
      <c r="AJ89" s="586">
        <f t="shared" si="90"/>
        <v>-150.25501727077838</v>
      </c>
      <c r="AK89" s="635">
        <f t="shared" si="211"/>
        <v>2.2679489673503101E-7</v>
      </c>
      <c r="AL89" s="629">
        <f t="shared" si="91"/>
        <v>7.2271140695672452E-17</v>
      </c>
      <c r="AM89" s="634">
        <f t="shared" si="92"/>
        <v>-0.99999999999997435</v>
      </c>
      <c r="AN89" s="581">
        <f t="shared" si="93"/>
        <v>4.1408313424583056E-15</v>
      </c>
      <c r="AO89" s="582">
        <f t="shared" si="461"/>
        <v>0</v>
      </c>
      <c r="AP89" s="585">
        <f t="shared" si="95"/>
        <v>1.8258044612423599E-8</v>
      </c>
      <c r="AQ89" s="586">
        <f t="shared" si="471"/>
        <v>0.79186289318582759</v>
      </c>
      <c r="AS89" s="52">
        <f t="shared" si="543"/>
        <v>-240.25501728903643</v>
      </c>
      <c r="AT89" s="72">
        <f t="shared" si="472"/>
        <v>4.1140185160492809E-2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Nose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5.2149999999999999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5.1150000000000002</v>
      </c>
      <c r="II89" s="734" cm="1">
        <f t="array" ref="II89">IFERROR(ROUND(VALUE(IF($IH89&lt;1,$IH89+LARGE((IF($M$9:$M$150="",0,$M$9:$M$150)-MOD(IF($M$9:$M$150="",0,$M$9:$M$150),1)),1),$IH89)),4),"")</f>
        <v>5.1150000000000002</v>
      </c>
      <c r="IJ89" s="533">
        <f t="shared" si="542"/>
        <v>1613</v>
      </c>
      <c r="IK89" s="533" t="str">
        <f t="shared" si="517"/>
        <v>Inactive</v>
      </c>
      <c r="IL89" s="727">
        <f t="shared" si="647"/>
        <v>22.221996791540619</v>
      </c>
      <c r="IM89" s="759">
        <v>2.2680608952587999E-2</v>
      </c>
      <c r="IN89" s="5">
        <f t="shared" si="648"/>
        <v>0.36</v>
      </c>
      <c r="IO89" s="771">
        <v>180</v>
      </c>
      <c r="IP89" s="9">
        <f t="shared" si="649"/>
        <v>-2.8825086936462196</v>
      </c>
      <c r="IQ89" s="5">
        <f t="shared" si="650"/>
        <v>-0.13970042133647073</v>
      </c>
      <c r="IR89" s="5">
        <f t="shared" si="518"/>
        <v>0.314</v>
      </c>
      <c r="IS89" s="5">
        <f t="shared" si="651"/>
        <v>0.29944426361763138</v>
      </c>
      <c r="IT89" s="727">
        <f t="shared" si="652"/>
        <v>-2.6467428432046192</v>
      </c>
      <c r="IU89" s="9">
        <f t="shared" si="653"/>
        <v>-2.8787578001049607</v>
      </c>
      <c r="IV89" s="5">
        <f t="shared" si="654"/>
        <v>-0.12570357684578248</v>
      </c>
      <c r="IW89" s="5">
        <f t="shared" si="519"/>
        <v>0.26250000000000001</v>
      </c>
      <c r="IX89" s="5">
        <f t="shared" si="655"/>
        <v>0.26250000000000001</v>
      </c>
      <c r="IY89" s="762">
        <f t="shared" si="656"/>
        <v>-4.1408313424583056E-15</v>
      </c>
    </row>
    <row r="90" spans="1:259" ht="15" customHeight="1" x14ac:dyDescent="0.25">
      <c r="A90" s="79"/>
      <c r="B90" s="707">
        <v>-3.0209044272258869</v>
      </c>
      <c r="C90" s="708">
        <v>-2.0359371549886576</v>
      </c>
      <c r="D90" s="709">
        <v>-0.1657060116902932</v>
      </c>
      <c r="E90" s="710">
        <v>-0.13515271512808261</v>
      </c>
      <c r="F90" s="708">
        <v>-9.1086383946405794E-2</v>
      </c>
      <c r="G90" s="711">
        <v>0.98662911686868204</v>
      </c>
      <c r="H90" s="710">
        <v>0.26250000000000001</v>
      </c>
      <c r="I90" s="708">
        <v>0.40699999999999997</v>
      </c>
      <c r="J90" s="570">
        <v>5.2220000000000004</v>
      </c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Inactive</v>
      </c>
      <c r="L90" s="320"/>
      <c r="M90" s="168">
        <f t="shared" si="464"/>
        <v>5.2220000000000004</v>
      </c>
      <c r="N90" s="632">
        <f t="shared" si="465"/>
        <v>-3.0209044272258869</v>
      </c>
      <c r="O90" s="629">
        <f t="shared" si="466"/>
        <v>-2.0359371549886576</v>
      </c>
      <c r="P90" s="633">
        <f t="shared" si="467"/>
        <v>-0.1657060116902932</v>
      </c>
      <c r="Q90" s="585">
        <f t="shared" si="520"/>
        <v>213.97798209979408</v>
      </c>
      <c r="R90" s="629">
        <f t="shared" si="79"/>
        <v>3.6429251512344134</v>
      </c>
      <c r="S90" s="634">
        <f t="shared" si="80"/>
        <v>-0.1657060116902932</v>
      </c>
      <c r="T90" s="635">
        <f t="shared" si="81"/>
        <v>-2.0359371549886571</v>
      </c>
      <c r="U90" s="629">
        <f t="shared" si="82"/>
        <v>3.0209044272258869</v>
      </c>
      <c r="V90" s="636">
        <f t="shared" si="114"/>
        <v>-0.1657060116902932</v>
      </c>
      <c r="W90" s="585">
        <f t="shared" si="645"/>
        <v>123.97798209979408</v>
      </c>
      <c r="X90" s="629">
        <f t="shared" si="83"/>
        <v>3.6429251512344134</v>
      </c>
      <c r="Y90" s="630">
        <f t="shared" si="644"/>
        <v>-0.1657060116902932</v>
      </c>
      <c r="Z90" s="632">
        <f t="shared" si="468"/>
        <v>0.13515271512808261</v>
      </c>
      <c r="AA90" s="629">
        <f t="shared" si="469"/>
        <v>9.1086383946405794E-2</v>
      </c>
      <c r="AB90" s="629">
        <f t="shared" si="470"/>
        <v>-0.98662911686868204</v>
      </c>
      <c r="AC90" s="636">
        <f t="shared" si="84"/>
        <v>1</v>
      </c>
      <c r="AD90" s="637">
        <f t="shared" si="115"/>
        <v>0.13515271512808261</v>
      </c>
      <c r="AE90" s="629">
        <f t="shared" si="85"/>
        <v>9.1086383946405794E-2</v>
      </c>
      <c r="AF90" s="633">
        <f t="shared" si="86"/>
        <v>-0.98662911686868204</v>
      </c>
      <c r="AG90" s="602">
        <f t="shared" si="87"/>
        <v>5.2746403143378631</v>
      </c>
      <c r="AH90" s="603">
        <f t="shared" si="88"/>
        <v>82.232549245909937</v>
      </c>
      <c r="AI90" s="585">
        <f t="shared" si="89"/>
        <v>-9.3799986457046529</v>
      </c>
      <c r="AJ90" s="586">
        <f t="shared" si="90"/>
        <v>123.97806182900496</v>
      </c>
      <c r="AK90" s="635">
        <f t="shared" si="211"/>
        <v>2.267948966822031E-7</v>
      </c>
      <c r="AL90" s="629">
        <f t="shared" si="91"/>
        <v>-0.16298155032663442</v>
      </c>
      <c r="AM90" s="634">
        <f t="shared" si="92"/>
        <v>-0.98662911686868204</v>
      </c>
      <c r="AN90" s="581">
        <f t="shared" si="93"/>
        <v>-9.3799986456957622</v>
      </c>
      <c r="AO90" s="582">
        <f t="shared" si="461"/>
        <v>0</v>
      </c>
      <c r="AP90" s="585">
        <f t="shared" si="95"/>
        <v>-89.999920270789133</v>
      </c>
      <c r="AQ90" s="586">
        <f t="shared" si="471"/>
        <v>0.62577074493325802</v>
      </c>
      <c r="AS90" s="52">
        <f t="shared" si="543"/>
        <v>-236.02201790020592</v>
      </c>
      <c r="AT90" s="72">
        <f t="shared" si="472"/>
        <v>-1.8018325929279599E-3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Nose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5.2220000000000004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5.1219999999999999</v>
      </c>
      <c r="II90" s="734" cm="1">
        <f t="array" ref="II90">IFERROR(ROUND(VALUE(IF($IH90&lt;1,$IH90+LARGE((IF($M$9:$M$150="",0,$M$9:$M$150)-MOD(IF($M$9:$M$150="",0,$M$9:$M$150),1)),1),$IH90)),4),"")</f>
        <v>5.1219999999999999</v>
      </c>
      <c r="IJ90" s="533">
        <f t="shared" si="542"/>
        <v>1613</v>
      </c>
      <c r="IK90" s="533" t="str">
        <f t="shared" si="517"/>
        <v>Inactive</v>
      </c>
      <c r="IL90" s="727">
        <f t="shared" si="647"/>
        <v>17.616997456420279</v>
      </c>
      <c r="IM90" s="759">
        <v>2.0784337091660499E-2</v>
      </c>
      <c r="IN90" s="5">
        <f t="shared" si="648"/>
        <v>0.42</v>
      </c>
      <c r="IO90" s="771">
        <v>210</v>
      </c>
      <c r="IP90" s="9">
        <f t="shared" si="649"/>
        <v>-3.6359109659074744</v>
      </c>
      <c r="IQ90" s="5">
        <f t="shared" si="650"/>
        <v>-0.18010054318323837</v>
      </c>
      <c r="IR90" s="5">
        <f t="shared" si="518"/>
        <v>0.314</v>
      </c>
      <c r="IS90" s="5">
        <f t="shared" si="651"/>
        <v>0.29918073088354435</v>
      </c>
      <c r="IT90" s="727">
        <f t="shared" si="652"/>
        <v>17.660898957842644</v>
      </c>
      <c r="IU90" s="9">
        <f t="shared" si="653"/>
        <v>-3.6429251512344134</v>
      </c>
      <c r="IV90" s="5">
        <f t="shared" si="654"/>
        <v>-0.1657060116902932</v>
      </c>
      <c r="IW90" s="5">
        <f t="shared" si="519"/>
        <v>0.26250000000000001</v>
      </c>
      <c r="IX90" s="5">
        <f t="shared" si="655"/>
        <v>0.26250000000000001</v>
      </c>
      <c r="IY90" s="762">
        <f t="shared" si="656"/>
        <v>9.3799986456957622</v>
      </c>
    </row>
    <row r="91" spans="1:259" ht="15" customHeight="1" x14ac:dyDescent="0.25">
      <c r="A91" s="79"/>
      <c r="B91" s="707">
        <v>-3.524151742357847</v>
      </c>
      <c r="C91" s="708">
        <v>-2.5799486952884636</v>
      </c>
      <c r="D91" s="709">
        <v>-0.38392870985610428</v>
      </c>
      <c r="E91" s="710">
        <v>0.41345327272988641</v>
      </c>
      <c r="F91" s="708">
        <v>-0.87314410328998704</v>
      </c>
      <c r="G91" s="711">
        <v>0.25821651023679848</v>
      </c>
      <c r="H91" s="710">
        <v>0.26600000000000001</v>
      </c>
      <c r="I91" s="708">
        <v>0.52</v>
      </c>
      <c r="J91" s="570">
        <v>5.2290000000000001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1313</v>
      </c>
      <c r="L91" s="320"/>
      <c r="M91" s="168">
        <f t="shared" si="464"/>
        <v>5.2290000000000001</v>
      </c>
      <c r="N91" s="632">
        <f t="shared" si="465"/>
        <v>-3.524151742357847</v>
      </c>
      <c r="O91" s="629">
        <f t="shared" si="466"/>
        <v>-2.5799486952884636</v>
      </c>
      <c r="P91" s="633">
        <f t="shared" si="467"/>
        <v>-0.38392870985610428</v>
      </c>
      <c r="Q91" s="585">
        <f t="shared" si="520"/>
        <v>216.20698177796632</v>
      </c>
      <c r="R91" s="629">
        <f t="shared" si="79"/>
        <v>4.3675829440875527</v>
      </c>
      <c r="S91" s="634">
        <f t="shared" si="80"/>
        <v>-0.38392870985610428</v>
      </c>
      <c r="T91" s="635">
        <f t="shared" si="81"/>
        <v>-2.5799486952884632</v>
      </c>
      <c r="U91" s="629">
        <f t="shared" si="82"/>
        <v>3.5241517423578479</v>
      </c>
      <c r="V91" s="636">
        <f t="shared" si="114"/>
        <v>-0.38392870985610428</v>
      </c>
      <c r="W91" s="585">
        <f t="shared" si="645"/>
        <v>126.20698177796632</v>
      </c>
      <c r="X91" s="629">
        <f t="shared" si="83"/>
        <v>4.3675829440875527</v>
      </c>
      <c r="Y91" s="630">
        <f t="shared" si="644"/>
        <v>-0.38392870985610428</v>
      </c>
      <c r="Z91" s="632">
        <f t="shared" si="468"/>
        <v>-0.41345327272988641</v>
      </c>
      <c r="AA91" s="629">
        <f t="shared" si="469"/>
        <v>0.87314410328998704</v>
      </c>
      <c r="AB91" s="629">
        <f t="shared" si="470"/>
        <v>-0.25821651023679848</v>
      </c>
      <c r="AC91" s="636">
        <f t="shared" si="84"/>
        <v>1</v>
      </c>
      <c r="AD91" s="637">
        <f t="shared" si="115"/>
        <v>-0.41345327272988641</v>
      </c>
      <c r="AE91" s="629">
        <f t="shared" si="85"/>
        <v>0.87314410328998704</v>
      </c>
      <c r="AF91" s="633">
        <f t="shared" si="86"/>
        <v>-0.25821651023679848</v>
      </c>
      <c r="AG91" s="602">
        <f t="shared" si="87"/>
        <v>73.525374156805839</v>
      </c>
      <c r="AH91" s="603">
        <f t="shared" si="88"/>
        <v>114.42194940389292</v>
      </c>
      <c r="AI91" s="585">
        <f t="shared" si="89"/>
        <v>-75.035737549886449</v>
      </c>
      <c r="AJ91" s="586">
        <f t="shared" si="90"/>
        <v>-154.66139759439218</v>
      </c>
      <c r="AK91" s="635">
        <f t="shared" si="211"/>
        <v>0.94875829435376546</v>
      </c>
      <c r="AL91" s="629">
        <f t="shared" si="91"/>
        <v>-0.18215908633955985</v>
      </c>
      <c r="AM91" s="634">
        <f t="shared" si="92"/>
        <v>-0.25821651023679848</v>
      </c>
      <c r="AN91" s="581">
        <f t="shared" si="93"/>
        <v>-35.201092784164373</v>
      </c>
      <c r="AO91" s="582">
        <f t="shared" si="461"/>
        <v>18.421355768025091</v>
      </c>
      <c r="AP91" s="585">
        <f t="shared" si="95"/>
        <v>-10.868379372358504</v>
      </c>
      <c r="AQ91" s="586">
        <f t="shared" si="471"/>
        <v>0.52195083588978519</v>
      </c>
      <c r="AS91" s="52">
        <f t="shared" si="543"/>
        <v>-233.79301822203368</v>
      </c>
      <c r="AT91" s="72">
        <f t="shared" si="472"/>
        <v>-0.22157244720191421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Nose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5.2290000000000001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5.1289999999999996</v>
      </c>
      <c r="II91" s="734" cm="1">
        <f t="array" ref="II91">IFERROR(ROUND(VALUE(IF($IH91&lt;1,$IH91+LARGE((IF($M$9:$M$150="",0,$M$9:$M$150)-MOD(IF($M$9:$M$150="",0,$M$9:$M$150),1)),1),$IH91)),4),"")</f>
        <v>5.1289999999999996</v>
      </c>
      <c r="IJ91" s="533">
        <f t="shared" si="542"/>
        <v>1613</v>
      </c>
      <c r="IK91" s="533">
        <f t="shared" si="517"/>
        <v>1313</v>
      </c>
      <c r="IL91" s="727">
        <f t="shared" si="647"/>
        <v>14.80699786213404</v>
      </c>
      <c r="IM91" s="759">
        <v>2.1006896638421299E-3</v>
      </c>
      <c r="IN91" s="5">
        <f t="shared" si="648"/>
        <v>0.02</v>
      </c>
      <c r="IO91" s="771">
        <v>10</v>
      </c>
      <c r="IP91" s="9">
        <f t="shared" si="649"/>
        <v>-4.3501131199411711</v>
      </c>
      <c r="IQ91" s="5">
        <f t="shared" si="650"/>
        <v>-0.42380127818465513</v>
      </c>
      <c r="IR91" s="5">
        <f t="shared" si="518"/>
        <v>0.314</v>
      </c>
      <c r="IS91" s="5">
        <f t="shared" si="651"/>
        <v>0.29791010442708238</v>
      </c>
      <c r="IT91" s="727">
        <f t="shared" si="652"/>
        <v>35.201092784164466</v>
      </c>
      <c r="IU91" s="9">
        <f t="shared" si="653"/>
        <v>-4.3675829440875527</v>
      </c>
      <c r="IV91" s="5">
        <f t="shared" si="654"/>
        <v>-0.38392870985610428</v>
      </c>
      <c r="IW91" s="5">
        <f t="shared" si="519"/>
        <v>0.26600000000000001</v>
      </c>
      <c r="IX91" s="5">
        <f t="shared" si="655"/>
        <v>0.25236970629810163</v>
      </c>
      <c r="IY91" s="762">
        <f t="shared" si="656"/>
        <v>35.201092784164373</v>
      </c>
    </row>
    <row r="92" spans="1:259" ht="15" customHeight="1" x14ac:dyDescent="0.25">
      <c r="A92" s="79"/>
      <c r="B92" s="707">
        <v>-3.9734661092980121</v>
      </c>
      <c r="C92" s="708">
        <v>-3.0310250496193554</v>
      </c>
      <c r="D92" s="709">
        <v>-0.81754630300691689</v>
      </c>
      <c r="E92" s="710">
        <v>0.3627586816863812</v>
      </c>
      <c r="F92" s="708">
        <v>-0.90765980926493406</v>
      </c>
      <c r="G92" s="711">
        <v>0.2110919456215761</v>
      </c>
      <c r="H92" s="710">
        <v>0.26600000000000001</v>
      </c>
      <c r="I92" s="708">
        <v>0.52</v>
      </c>
      <c r="J92" s="570">
        <v>5.2359999999999998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1313</v>
      </c>
      <c r="L92" s="320"/>
      <c r="M92" s="168">
        <f t="shared" si="464"/>
        <v>5.2359999999999998</v>
      </c>
      <c r="N92" s="632">
        <f t="shared" si="465"/>
        <v>-3.9734661092980121</v>
      </c>
      <c r="O92" s="629">
        <f t="shared" si="466"/>
        <v>-3.0310250496193554</v>
      </c>
      <c r="P92" s="633">
        <f t="shared" si="467"/>
        <v>-0.81754630300691689</v>
      </c>
      <c r="Q92" s="585">
        <f t="shared" si="520"/>
        <v>217.33698161481456</v>
      </c>
      <c r="R92" s="629">
        <f t="shared" si="79"/>
        <v>4.9975539790141239</v>
      </c>
      <c r="S92" s="634">
        <f t="shared" si="80"/>
        <v>-0.81754630300691689</v>
      </c>
      <c r="T92" s="635">
        <f t="shared" si="81"/>
        <v>-3.0310250496193558</v>
      </c>
      <c r="U92" s="629">
        <f t="shared" si="82"/>
        <v>3.9734661092980121</v>
      </c>
      <c r="V92" s="636">
        <f t="shared" si="114"/>
        <v>-0.81754630300691689</v>
      </c>
      <c r="W92" s="585">
        <f t="shared" si="645"/>
        <v>127.33698161481456</v>
      </c>
      <c r="X92" s="629">
        <f t="shared" si="83"/>
        <v>4.9975539790141239</v>
      </c>
      <c r="Y92" s="630">
        <f t="shared" si="644"/>
        <v>-0.81754630300691689</v>
      </c>
      <c r="Z92" s="632">
        <f t="shared" si="468"/>
        <v>-0.3627586816863812</v>
      </c>
      <c r="AA92" s="629">
        <f t="shared" si="469"/>
        <v>0.90765980926493406</v>
      </c>
      <c r="AB92" s="629">
        <f t="shared" si="470"/>
        <v>-0.2110919456215761</v>
      </c>
      <c r="AC92" s="636">
        <f t="shared" si="84"/>
        <v>1</v>
      </c>
      <c r="AD92" s="637">
        <f t="shared" si="115"/>
        <v>-0.3627586816863812</v>
      </c>
      <c r="AE92" s="629">
        <f t="shared" si="85"/>
        <v>0.90765980926493406</v>
      </c>
      <c r="AF92" s="633">
        <f t="shared" si="86"/>
        <v>-0.2110919456215761</v>
      </c>
      <c r="AG92" s="602">
        <f t="shared" si="87"/>
        <v>76.907611737226077</v>
      </c>
      <c r="AH92" s="603">
        <f t="shared" si="88"/>
        <v>111.26971307730128</v>
      </c>
      <c r="AI92" s="585">
        <f t="shared" si="89"/>
        <v>-77.813649283448242</v>
      </c>
      <c r="AJ92" s="586">
        <f t="shared" si="90"/>
        <v>-158.2152030601367</v>
      </c>
      <c r="AK92" s="635">
        <f t="shared" si="211"/>
        <v>0.9416779011905354</v>
      </c>
      <c r="AL92" s="629">
        <f t="shared" si="91"/>
        <v>-0.26207426600695832</v>
      </c>
      <c r="AM92" s="634">
        <f t="shared" si="92"/>
        <v>-0.2110919456215761</v>
      </c>
      <c r="AN92" s="581">
        <f t="shared" si="93"/>
        <v>-51.149732999472391</v>
      </c>
      <c r="AO92" s="582">
        <f t="shared" si="461"/>
        <v>19.664725493042404</v>
      </c>
      <c r="AP92" s="585">
        <f t="shared" si="95"/>
        <v>-15.552184674951249</v>
      </c>
      <c r="AQ92" s="586">
        <f t="shared" si="471"/>
        <v>0.45615884779799182</v>
      </c>
      <c r="AS92" s="52">
        <f t="shared" si="543"/>
        <v>-232.66301838518544</v>
      </c>
      <c r="AT92" s="73">
        <f t="shared" si="472"/>
        <v>-0.65597476246164921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5.2359999999999998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5.1360000000000001</v>
      </c>
      <c r="II92" s="734" cm="1">
        <f t="array" ref="II92">IFERROR(ROUND(VALUE(IF($IH92&lt;1,$IH92+LARGE((IF($M$9:$M$150="",0,$M$9:$M$150)-MOD(IF($M$9:$M$150="",0,$M$9:$M$150),1)),1),$IH92)),4),"")</f>
        <v>5.1360000000000001</v>
      </c>
      <c r="IJ92" s="533">
        <f t="shared" si="542"/>
        <v>1613</v>
      </c>
      <c r="IK92" s="533">
        <f t="shared" si="517"/>
        <v>1313</v>
      </c>
      <c r="IL92" s="727">
        <f t="shared" si="647"/>
        <v>13.065998113503269</v>
      </c>
      <c r="IM92" s="759">
        <v>1.60437399859626E-3</v>
      </c>
      <c r="IN92" s="5">
        <f t="shared" si="648"/>
        <v>0</v>
      </c>
      <c r="IO92" s="771">
        <v>0</v>
      </c>
      <c r="IP92" s="9">
        <f t="shared" si="649"/>
        <v>-4.9711149928828187</v>
      </c>
      <c r="IQ92" s="5">
        <f t="shared" si="650"/>
        <v>-0.85240257084615367</v>
      </c>
      <c r="IR92" s="5">
        <f t="shared" si="518"/>
        <v>0.314</v>
      </c>
      <c r="IS92" s="5">
        <f t="shared" si="651"/>
        <v>0.29568686097382813</v>
      </c>
      <c r="IT92" s="727">
        <f t="shared" si="652"/>
        <v>51.149732999472391</v>
      </c>
      <c r="IU92" s="9">
        <f t="shared" si="653"/>
        <v>-4.9975539790141239</v>
      </c>
      <c r="IV92" s="5">
        <f t="shared" si="654"/>
        <v>-0.81754630300691689</v>
      </c>
      <c r="IW92" s="5">
        <f t="shared" si="519"/>
        <v>0.26600000000000001</v>
      </c>
      <c r="IX92" s="5">
        <f t="shared" si="655"/>
        <v>0.25048632171668245</v>
      </c>
      <c r="IY92" s="762">
        <f t="shared" si="656"/>
        <v>51.149732999472391</v>
      </c>
    </row>
    <row r="93" spans="1:259" ht="15" customHeight="1" x14ac:dyDescent="0.25">
      <c r="A93" s="79"/>
      <c r="B93" s="707">
        <v>-4.3300928321703456</v>
      </c>
      <c r="C93" s="708">
        <v>-3.3680923151267859</v>
      </c>
      <c r="D93" s="709">
        <v>-1.406227926610808</v>
      </c>
      <c r="E93" s="710">
        <v>0.29027230959928263</v>
      </c>
      <c r="F93" s="708">
        <v>-0.94234321751884076</v>
      </c>
      <c r="G93" s="711">
        <v>0.1665270148538586</v>
      </c>
      <c r="H93" s="710">
        <v>0.26600000000000001</v>
      </c>
      <c r="I93" s="708">
        <v>0.52</v>
      </c>
      <c r="J93" s="570">
        <v>5.2430000000000003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1313</v>
      </c>
      <c r="L93" s="320"/>
      <c r="M93" s="168">
        <f t="shared" si="464"/>
        <v>5.2430000000000003</v>
      </c>
      <c r="N93" s="632">
        <f t="shared" si="465"/>
        <v>-4.3300928321703456</v>
      </c>
      <c r="O93" s="629">
        <f t="shared" si="466"/>
        <v>-3.3680923151267859</v>
      </c>
      <c r="P93" s="633">
        <f t="shared" si="467"/>
        <v>-1.406227926610808</v>
      </c>
      <c r="Q93" s="585">
        <f t="shared" si="520"/>
        <v>217.87698153684823</v>
      </c>
      <c r="R93" s="629">
        <f t="shared" si="79"/>
        <v>5.4857770441778912</v>
      </c>
      <c r="S93" s="634">
        <f t="shared" si="80"/>
        <v>-1.406227926610808</v>
      </c>
      <c r="T93" s="635">
        <f t="shared" si="81"/>
        <v>-3.3680923151267876</v>
      </c>
      <c r="U93" s="629">
        <f t="shared" si="82"/>
        <v>4.3300928321703447</v>
      </c>
      <c r="V93" s="636">
        <f t="shared" si="114"/>
        <v>-1.406227926610808</v>
      </c>
      <c r="W93" s="585">
        <f t="shared" si="645"/>
        <v>127.87698153684823</v>
      </c>
      <c r="X93" s="629">
        <f t="shared" si="83"/>
        <v>5.4857770441778912</v>
      </c>
      <c r="Y93" s="630">
        <f t="shared" si="644"/>
        <v>-1.406227926610808</v>
      </c>
      <c r="Z93" s="632">
        <f t="shared" si="468"/>
        <v>-0.29027230959928263</v>
      </c>
      <c r="AA93" s="629">
        <f t="shared" si="469"/>
        <v>0.94234321751884076</v>
      </c>
      <c r="AB93" s="629">
        <f t="shared" si="470"/>
        <v>-0.1665270148538586</v>
      </c>
      <c r="AC93" s="636">
        <f t="shared" si="84"/>
        <v>1</v>
      </c>
      <c r="AD93" s="637">
        <f t="shared" si="115"/>
        <v>-0.29027230959928263</v>
      </c>
      <c r="AE93" s="629">
        <f t="shared" si="85"/>
        <v>0.94234321751884076</v>
      </c>
      <c r="AF93" s="633">
        <f t="shared" si="86"/>
        <v>-0.1665270148538586</v>
      </c>
      <c r="AG93" s="602">
        <f t="shared" si="87"/>
        <v>79.978390812865243</v>
      </c>
      <c r="AH93" s="603">
        <f t="shared" si="88"/>
        <v>106.87425950132022</v>
      </c>
      <c r="AI93" s="585">
        <f t="shared" si="89"/>
        <v>-80.414046637055108</v>
      </c>
      <c r="AJ93" s="586">
        <f t="shared" si="90"/>
        <v>-162.8794684390696</v>
      </c>
      <c r="AK93" s="635">
        <f t="shared" si="211"/>
        <v>0.92203848354470186</v>
      </c>
      <c r="AL93" s="629">
        <f t="shared" si="91"/>
        <v>-0.3494478332833808</v>
      </c>
      <c r="AM93" s="634">
        <f t="shared" si="92"/>
        <v>-0.1665270148538586</v>
      </c>
      <c r="AN93" s="581">
        <f t="shared" si="93"/>
        <v>-64.520179712485771</v>
      </c>
      <c r="AO93" s="582">
        <f t="shared" si="461"/>
        <v>22.774062479135527</v>
      </c>
      <c r="AP93" s="585">
        <f t="shared" si="95"/>
        <v>-20.756449975917846</v>
      </c>
      <c r="AQ93" s="586">
        <f t="shared" si="471"/>
        <v>0.41556312593256578</v>
      </c>
      <c r="AS93" s="52">
        <f t="shared" si="543"/>
        <v>-232.12301846315177</v>
      </c>
      <c r="AT93" s="73">
        <f t="shared" si="472"/>
        <v>-1.2450313860113971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>Taper</v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5.2430000000000003</v>
      </c>
      <c r="IH93" s="731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5.1429999999999998</v>
      </c>
      <c r="II93" s="734" cm="1">
        <f t="array" ref="II93">IFERROR(ROUND(VALUE(IF($IH93&lt;1,$IH93+LARGE((IF($M$9:$M$150="",0,$M$9:$M$150)-MOD(IF($M$9:$M$150="",0,$M$9:$M$150),1)),1),$IH93)),4),"")</f>
        <v>5.1429999999999998</v>
      </c>
      <c r="IJ93" s="533">
        <f t="shared" si="542"/>
        <v>1613</v>
      </c>
      <c r="IK93" s="533">
        <f t="shared" si="517"/>
        <v>1313</v>
      </c>
      <c r="IL93" s="727">
        <f t="shared" si="647"/>
        <v>12.006998266403912</v>
      </c>
      <c r="IM93" s="759">
        <v>1.1638986731867199E-3</v>
      </c>
      <c r="IN93" s="5">
        <f t="shared" si="648"/>
        <v>0</v>
      </c>
      <c r="IO93" s="771">
        <v>0</v>
      </c>
      <c r="IP93" s="9">
        <f t="shared" si="649"/>
        <v>-5.4523164441863976</v>
      </c>
      <c r="IQ93" s="5">
        <f t="shared" si="650"/>
        <v>-1.4337043240522414</v>
      </c>
      <c r="IR93" s="5">
        <f t="shared" si="518"/>
        <v>0.314</v>
      </c>
      <c r="IS93" s="5">
        <f t="shared" si="651"/>
        <v>0.2895200838330364</v>
      </c>
      <c r="IT93" s="727">
        <f t="shared" si="652"/>
        <v>64.520179712485799</v>
      </c>
      <c r="IU93" s="9">
        <f t="shared" si="653"/>
        <v>-5.4857770441778912</v>
      </c>
      <c r="IV93" s="5">
        <f t="shared" si="654"/>
        <v>-1.406227926610808</v>
      </c>
      <c r="IW93" s="5">
        <f t="shared" si="519"/>
        <v>0.26600000000000001</v>
      </c>
      <c r="IX93" s="5">
        <f t="shared" si="655"/>
        <v>0.24526223662289071</v>
      </c>
      <c r="IY93" s="762">
        <f t="shared" si="656"/>
        <v>64.520179712485771</v>
      </c>
    </row>
    <row r="94" spans="1:259" ht="15" customHeight="1" x14ac:dyDescent="0.25">
      <c r="A94" s="79"/>
      <c r="B94" s="707">
        <v>-4.5596137877297647</v>
      </c>
      <c r="C94" s="708">
        <v>-3.576091151536088</v>
      </c>
      <c r="D94" s="709">
        <v>-2.105609585556389</v>
      </c>
      <c r="E94" s="710">
        <v>0.17516410018005699</v>
      </c>
      <c r="F94" s="708">
        <v>-0.97734776931003542</v>
      </c>
      <c r="G94" s="711">
        <v>0.11878078898882993</v>
      </c>
      <c r="H94" s="710">
        <v>0.26600000000000001</v>
      </c>
      <c r="I94" s="708">
        <v>0.52</v>
      </c>
      <c r="J94" s="570">
        <v>5.25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1313</v>
      </c>
      <c r="L94" s="320"/>
      <c r="M94" s="168">
        <f t="shared" si="464"/>
        <v>5.25</v>
      </c>
      <c r="N94" s="632">
        <f t="shared" si="465"/>
        <v>-4.5596137877297647</v>
      </c>
      <c r="O94" s="629">
        <f t="shared" si="466"/>
        <v>-3.576091151536088</v>
      </c>
      <c r="P94" s="633">
        <f t="shared" si="467"/>
        <v>-2.105609585556389</v>
      </c>
      <c r="Q94" s="585">
        <f t="shared" si="520"/>
        <v>218.10698150364036</v>
      </c>
      <c r="R94" s="629">
        <f t="shared" si="79"/>
        <v>5.7946963524718083</v>
      </c>
      <c r="S94" s="634">
        <f t="shared" si="80"/>
        <v>-2.105609585556389</v>
      </c>
      <c r="T94" s="635">
        <f t="shared" si="81"/>
        <v>-3.5760911515360911</v>
      </c>
      <c r="U94" s="629">
        <f t="shared" si="82"/>
        <v>4.5596137877297629</v>
      </c>
      <c r="V94" s="636">
        <f t="shared" si="114"/>
        <v>-2.105609585556389</v>
      </c>
      <c r="W94" s="585">
        <f t="shared" si="645"/>
        <v>128.10698150364036</v>
      </c>
      <c r="X94" s="629">
        <f t="shared" si="83"/>
        <v>5.7946963524718083</v>
      </c>
      <c r="Y94" s="630">
        <f t="shared" si="644"/>
        <v>-2.105609585556389</v>
      </c>
      <c r="Z94" s="632">
        <f t="shared" si="468"/>
        <v>-0.17516410018005699</v>
      </c>
      <c r="AA94" s="629">
        <f t="shared" si="469"/>
        <v>0.97734776931003542</v>
      </c>
      <c r="AB94" s="629">
        <f t="shared" si="470"/>
        <v>-0.11878078898882993</v>
      </c>
      <c r="AC94" s="636">
        <f t="shared" si="84"/>
        <v>1</v>
      </c>
      <c r="AD94" s="637">
        <f t="shared" si="115"/>
        <v>-0.17516410018005699</v>
      </c>
      <c r="AE94" s="629">
        <f t="shared" si="85"/>
        <v>0.97734776931003542</v>
      </c>
      <c r="AF94" s="633">
        <f t="shared" si="86"/>
        <v>-0.11878078898882993</v>
      </c>
      <c r="AG94" s="602">
        <f t="shared" si="87"/>
        <v>83.070609576176849</v>
      </c>
      <c r="AH94" s="603">
        <f t="shared" si="88"/>
        <v>100.08820786251607</v>
      </c>
      <c r="AI94" s="585">
        <f t="shared" si="89"/>
        <v>-83.178256320496843</v>
      </c>
      <c r="AJ94" s="586">
        <f t="shared" si="90"/>
        <v>-169.8391026192761</v>
      </c>
      <c r="AK94" s="635">
        <f t="shared" si="211"/>
        <v>0.87713502898310425</v>
      </c>
      <c r="AL94" s="629">
        <f t="shared" si="91"/>
        <v>-0.46532275368608406</v>
      </c>
      <c r="AM94" s="634">
        <f t="shared" si="92"/>
        <v>-0.11878078898882993</v>
      </c>
      <c r="AN94" s="581">
        <f t="shared" si="93"/>
        <v>-75.680172320011152</v>
      </c>
      <c r="AO94" s="582">
        <f t="shared" si="461"/>
        <v>28.701328462890757</v>
      </c>
      <c r="AP94" s="585">
        <f t="shared" si="95"/>
        <v>-27.946084122916478</v>
      </c>
      <c r="AQ94" s="586">
        <f t="shared" si="471"/>
        <v>0.39340988146336292</v>
      </c>
      <c r="AS94" s="52">
        <f t="shared" si="543"/>
        <v>-231.89301849635964</v>
      </c>
      <c r="AT94" s="73">
        <f t="shared" si="472"/>
        <v>-1.9445727671561392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>Taper</v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5.25</v>
      </c>
      <c r="IH94" s="731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5.15</v>
      </c>
      <c r="II94" s="734" cm="1">
        <f t="array" ref="II94">IFERROR(ROUND(VALUE(IF($IH94&lt;1,$IH94+LARGE((IF($M$9:$M$150="",0,$M$9:$M$150)-MOD(IF($M$9:$M$150="",0,$M$9:$M$150),1)),1),$IH94)),4),"")</f>
        <v>5.15</v>
      </c>
      <c r="IJ94" s="533">
        <f t="shared" si="542"/>
        <v>1613</v>
      </c>
      <c r="IK94" s="533">
        <f t="shared" si="517"/>
        <v>1313</v>
      </c>
      <c r="IL94" s="727">
        <f t="shared" si="647"/>
        <v>11.432998349279245</v>
      </c>
      <c r="IM94" s="759">
        <v>7.4628153947360403E-4</v>
      </c>
      <c r="IN94" s="5">
        <f t="shared" si="648"/>
        <v>0</v>
      </c>
      <c r="IO94" s="771">
        <v>0</v>
      </c>
      <c r="IP94" s="9">
        <f t="shared" si="649"/>
        <v>-5.7573173640691708</v>
      </c>
      <c r="IQ94" s="5">
        <f t="shared" si="650"/>
        <v>-2.1238064054001189</v>
      </c>
      <c r="IR94" s="5">
        <f t="shared" si="518"/>
        <v>0.314</v>
      </c>
      <c r="IS94" s="5">
        <f t="shared" si="651"/>
        <v>0.27542039910069482</v>
      </c>
      <c r="IT94" s="727">
        <f t="shared" si="652"/>
        <v>75.680172320011025</v>
      </c>
      <c r="IU94" s="9">
        <f t="shared" si="653"/>
        <v>-5.7946963524718083</v>
      </c>
      <c r="IV94" s="5">
        <f t="shared" si="654"/>
        <v>-2.105609585556389</v>
      </c>
      <c r="IW94" s="5">
        <f t="shared" si="519"/>
        <v>0.26600000000000001</v>
      </c>
      <c r="IX94" s="5">
        <f t="shared" si="655"/>
        <v>0.23331791770950575</v>
      </c>
      <c r="IY94" s="762">
        <f t="shared" si="656"/>
        <v>75.680172320011152</v>
      </c>
    </row>
    <row r="95" spans="1:259" ht="15" customHeight="1" x14ac:dyDescent="0.25">
      <c r="A95" s="79"/>
      <c r="B95" s="707">
        <v>-4.6412588029272879</v>
      </c>
      <c r="C95" s="708">
        <v>-3.6482436460711223</v>
      </c>
      <c r="D95" s="709">
        <v>-2.8618995702675321</v>
      </c>
      <c r="E95" s="710">
        <v>0.1304431301944376</v>
      </c>
      <c r="F95" s="708">
        <v>-0.99134593279958527</v>
      </c>
      <c r="G95" s="711">
        <v>1.4759109281972755E-2</v>
      </c>
      <c r="H95" s="710">
        <v>0.26600000000000001</v>
      </c>
      <c r="I95" s="708">
        <v>0.52</v>
      </c>
      <c r="J95" s="570">
        <v>5.2569999999999997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1313</v>
      </c>
      <c r="L95" s="320"/>
      <c r="M95" s="168">
        <f t="shared" si="464"/>
        <v>5.2569999999999997</v>
      </c>
      <c r="N95" s="632">
        <f t="shared" si="465"/>
        <v>-4.6412588029272879</v>
      </c>
      <c r="O95" s="629">
        <f t="shared" si="466"/>
        <v>-3.6482436460711223</v>
      </c>
      <c r="P95" s="633">
        <f t="shared" si="467"/>
        <v>-2.8618995702675321</v>
      </c>
      <c r="Q95" s="585">
        <f t="shared" si="520"/>
        <v>218.16898149468864</v>
      </c>
      <c r="R95" s="629">
        <f t="shared" si="79"/>
        <v>5.9034705874467059</v>
      </c>
      <c r="S95" s="634">
        <f t="shared" si="80"/>
        <v>-2.8618995702675321</v>
      </c>
      <c r="T95" s="635">
        <f t="shared" si="81"/>
        <v>-3.6482436460711223</v>
      </c>
      <c r="U95" s="629">
        <f t="shared" si="82"/>
        <v>4.641258802927287</v>
      </c>
      <c r="V95" s="636">
        <f t="shared" si="114"/>
        <v>-2.8618995702675321</v>
      </c>
      <c r="W95" s="585">
        <f t="shared" si="645"/>
        <v>128.16898149468864</v>
      </c>
      <c r="X95" s="629">
        <f t="shared" si="83"/>
        <v>5.9034705874467059</v>
      </c>
      <c r="Y95" s="630">
        <f t="shared" si="644"/>
        <v>-2.8618995702675321</v>
      </c>
      <c r="Z95" s="632">
        <f t="shared" si="468"/>
        <v>-0.1304431301944376</v>
      </c>
      <c r="AA95" s="629">
        <f t="shared" si="469"/>
        <v>0.99134593279958527</v>
      </c>
      <c r="AB95" s="629">
        <f t="shared" si="470"/>
        <v>-1.4759109281972755E-2</v>
      </c>
      <c r="AC95" s="636">
        <f t="shared" si="84"/>
        <v>1</v>
      </c>
      <c r="AD95" s="637">
        <f t="shared" si="115"/>
        <v>-0.1304431301944376</v>
      </c>
      <c r="AE95" s="629">
        <f t="shared" si="85"/>
        <v>0.99134593279958527</v>
      </c>
      <c r="AF95" s="633">
        <f t="shared" si="86"/>
        <v>-1.4759109281972755E-2</v>
      </c>
      <c r="AG95" s="602">
        <f t="shared" si="87"/>
        <v>89.147046280264249</v>
      </c>
      <c r="AH95" s="603">
        <f t="shared" si="88"/>
        <v>97.495199856844238</v>
      </c>
      <c r="AI95" s="585">
        <f t="shared" si="89"/>
        <v>-89.154334624809863</v>
      </c>
      <c r="AJ95" s="586">
        <f t="shared" si="90"/>
        <v>-172.50397897488642</v>
      </c>
      <c r="AK95" s="635">
        <f t="shared" si="211"/>
        <v>0.85999943305443904</v>
      </c>
      <c r="AL95" s="629">
        <f t="shared" si="91"/>
        <v>-0.51008150705475108</v>
      </c>
      <c r="AM95" s="634">
        <f t="shared" si="92"/>
        <v>-1.4759109281972755E-2</v>
      </c>
      <c r="AN95" s="581">
        <f t="shared" si="93"/>
        <v>-88.342620183072412</v>
      </c>
      <c r="AO95" s="582">
        <f t="shared" si="461"/>
        <v>30.683480765525474</v>
      </c>
      <c r="AP95" s="585">
        <f t="shared" si="95"/>
        <v>-30.67296046957507</v>
      </c>
      <c r="AQ95" s="586">
        <f t="shared" si="471"/>
        <v>0.38616134008404346</v>
      </c>
      <c r="AS95" s="52">
        <f t="shared" si="543"/>
        <v>-231.83101850531136</v>
      </c>
      <c r="AT95" s="73">
        <f t="shared" si="472"/>
        <v>-2.7009058074166212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>Taper</v>
      </c>
      <c r="IF95" s="533" t="str">
        <f>IFERROR(IF((((($IW95*COS(RADIANS(180-$IY95)))*COS(RADIANS($IY95)))-(($IX95*SIN(RADIANS(180-$IY95)))*SIN(RADIANS($IY95))))+$IU95)&lt;(((Settings!$C$19+$IF$8)/2)*-1),"Gage",""),"")</f>
        <v>Gage</v>
      </c>
      <c r="IG95" s="847">
        <f t="shared" si="643"/>
        <v>5.2569999999999997</v>
      </c>
      <c r="IH95" s="731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5.157</v>
      </c>
      <c r="II95" s="734" cm="1">
        <f t="array" ref="II95">IFERROR(ROUND(VALUE(IF($IH95&lt;1,$IH95+LARGE((IF($M$9:$M$150="",0,$M$9:$M$150)-MOD(IF($M$9:$M$150="",0,$M$9:$M$150),1)),1),$IH95)),4),"")</f>
        <v>5.157</v>
      </c>
      <c r="IJ95" s="533">
        <f t="shared" si="542"/>
        <v>1613</v>
      </c>
      <c r="IK95" s="533">
        <f t="shared" si="517"/>
        <v>1313</v>
      </c>
      <c r="IL95" s="727">
        <f t="shared" si="647"/>
        <v>11.248998375845588</v>
      </c>
      <c r="IM95" s="759">
        <v>3.2669097479167103E-4</v>
      </c>
      <c r="IN95" s="5">
        <f t="shared" si="648"/>
        <v>0</v>
      </c>
      <c r="IO95" s="771">
        <v>0</v>
      </c>
      <c r="IP95" s="9">
        <f t="shared" si="649"/>
        <v>-5.8633176837661329</v>
      </c>
      <c r="IQ95" s="5">
        <f t="shared" si="650"/>
        <v>-2.8709086586605141</v>
      </c>
      <c r="IR95" s="5">
        <f t="shared" si="518"/>
        <v>0.314</v>
      </c>
      <c r="IS95" s="5">
        <f t="shared" si="651"/>
        <v>0.27003982197909399</v>
      </c>
      <c r="IT95" s="727">
        <f t="shared" si="652"/>
        <v>88.342620183072441</v>
      </c>
      <c r="IU95" s="9">
        <f t="shared" si="653"/>
        <v>-5.9034705874467059</v>
      </c>
      <c r="IV95" s="5">
        <f t="shared" si="654"/>
        <v>-2.8618995702675321</v>
      </c>
      <c r="IW95" s="5">
        <f t="shared" si="519"/>
        <v>0.26600000000000001</v>
      </c>
      <c r="IX95" s="5">
        <f t="shared" si="655"/>
        <v>0.2287598491924808</v>
      </c>
      <c r="IY95" s="762">
        <f t="shared" si="656"/>
        <v>88.342620183072412</v>
      </c>
    </row>
    <row r="96" spans="1:259" ht="15" customHeight="1" x14ac:dyDescent="0.25">
      <c r="A96" s="79"/>
      <c r="B96" s="707">
        <v>-4.7895561068716566</v>
      </c>
      <c r="C96" s="708">
        <v>-3.445320182121272</v>
      </c>
      <c r="D96" s="709">
        <v>-3.6541309319700019</v>
      </c>
      <c r="E96" s="710">
        <v>-0.81178811871114354</v>
      </c>
      <c r="F96" s="708">
        <v>-0.58395209591144603</v>
      </c>
      <c r="G96" s="711">
        <v>2.267948968082236E-7</v>
      </c>
      <c r="H96" s="710">
        <v>0.26250000000000001</v>
      </c>
      <c r="I96" s="708">
        <v>0.40699999999999997</v>
      </c>
      <c r="J96" s="570">
        <v>5.2640000000000002</v>
      </c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Inactive</v>
      </c>
      <c r="L96" s="320"/>
      <c r="M96" s="168">
        <f t="shared" si="464"/>
        <v>5.2640000000000002</v>
      </c>
      <c r="N96" s="632">
        <f t="shared" si="465"/>
        <v>-4.7895561068716566</v>
      </c>
      <c r="O96" s="629">
        <f t="shared" si="466"/>
        <v>-3.445320182121272</v>
      </c>
      <c r="P96" s="633">
        <f t="shared" si="467"/>
        <v>-3.6541309319700019</v>
      </c>
      <c r="Q96" s="585">
        <f t="shared" si="520"/>
        <v>215.72898184698099</v>
      </c>
      <c r="R96" s="629">
        <f t="shared" si="79"/>
        <v>5.9000066828948361</v>
      </c>
      <c r="S96" s="634">
        <f t="shared" si="80"/>
        <v>-3.6541309319700019</v>
      </c>
      <c r="T96" s="635">
        <f t="shared" si="81"/>
        <v>-3.4453201821212707</v>
      </c>
      <c r="U96" s="629">
        <f t="shared" si="82"/>
        <v>4.7895561068716566</v>
      </c>
      <c r="V96" s="636">
        <f t="shared" si="114"/>
        <v>-3.6541309319700019</v>
      </c>
      <c r="W96" s="585">
        <f t="shared" si="645"/>
        <v>125.72898184698099</v>
      </c>
      <c r="X96" s="629">
        <f t="shared" si="83"/>
        <v>5.9000066828948361</v>
      </c>
      <c r="Y96" s="630">
        <f t="shared" si="644"/>
        <v>-3.6541309319700019</v>
      </c>
      <c r="Z96" s="632">
        <f t="shared" si="468"/>
        <v>0.81178811871114354</v>
      </c>
      <c r="AA96" s="629">
        <f t="shared" si="469"/>
        <v>0.58395209591144603</v>
      </c>
      <c r="AB96" s="629">
        <f t="shared" si="470"/>
        <v>-2.267948968082236E-7</v>
      </c>
      <c r="AC96" s="636">
        <f t="shared" si="84"/>
        <v>0.99999999999999978</v>
      </c>
      <c r="AD96" s="637">
        <f t="shared" si="115"/>
        <v>0.81178811871114376</v>
      </c>
      <c r="AE96" s="629">
        <f t="shared" si="85"/>
        <v>0.58395209591144615</v>
      </c>
      <c r="AF96" s="633">
        <f t="shared" si="86"/>
        <v>-2.2679489680822365E-7</v>
      </c>
      <c r="AG96" s="602">
        <f t="shared" si="87"/>
        <v>89.999977747506179</v>
      </c>
      <c r="AH96" s="603">
        <f t="shared" si="88"/>
        <v>35.728994841373435</v>
      </c>
      <c r="AI96" s="585">
        <f t="shared" si="89"/>
        <v>-89.999987005609597</v>
      </c>
      <c r="AJ96" s="586">
        <f t="shared" si="90"/>
        <v>125.7289948413714</v>
      </c>
      <c r="AK96" s="635">
        <f t="shared" si="211"/>
        <v>2.2679489714017009E-7</v>
      </c>
      <c r="AL96" s="629">
        <f t="shared" si="91"/>
        <v>-0.99999999999994871</v>
      </c>
      <c r="AM96" s="634">
        <f t="shared" si="92"/>
        <v>-2.2679489680822365E-7</v>
      </c>
      <c r="AN96" s="581">
        <f t="shared" si="93"/>
        <v>-89.999987005609611</v>
      </c>
      <c r="AO96" s="582">
        <f t="shared" si="461"/>
        <v>0</v>
      </c>
      <c r="AP96" s="585">
        <f t="shared" si="95"/>
        <v>-89.999987005609583</v>
      </c>
      <c r="AQ96" s="586">
        <f t="shared" si="471"/>
        <v>0.38638804923078224</v>
      </c>
      <c r="AS96" s="52">
        <f t="shared" si="543"/>
        <v>-234.27101815301901</v>
      </c>
      <c r="AT96" s="73">
        <f t="shared" si="472"/>
        <v>-3.4914427249192941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>Taper</v>
      </c>
      <c r="IF96" s="533" t="str">
        <f>IFERROR(IF((((($IW96*COS(RADIANS(180-$IY96)))*COS(RADIANS($IY96)))-(($IX96*SIN(RADIANS(180-$IY96)))*SIN(RADIANS($IY96))))+$IU96)&lt;(((Settings!$C$19+$IF$8)/2)*-1),"Gage",""),"")</f>
        <v>Gage</v>
      </c>
      <c r="IG96" s="847">
        <f t="shared" si="643"/>
        <v>5.2640000000000002</v>
      </c>
      <c r="IH96" s="731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5.1639999999999997</v>
      </c>
      <c r="II96" s="734" cm="1">
        <f t="array" ref="II96">IFERROR(ROUND(VALUE(IF($IH96&lt;1,$IH96+LARGE((IF($M$9:$M$150="",0,$M$9:$M$150)-MOD(IF($M$9:$M$150="",0,$M$9:$M$150),1)),1),$IH96)),4),"")</f>
        <v>5.1639999999999997</v>
      </c>
      <c r="IJ96" s="533">
        <f t="shared" si="542"/>
        <v>1613</v>
      </c>
      <c r="IK96" s="533" t="str">
        <f t="shared" si="517"/>
        <v>Inactive</v>
      </c>
      <c r="IL96" s="727">
        <f t="shared" si="647"/>
        <v>13.627998032360523</v>
      </c>
      <c r="IM96" s="759">
        <v>4.0172827225051701E-4</v>
      </c>
      <c r="IN96" s="5">
        <f t="shared" si="648"/>
        <v>0</v>
      </c>
      <c r="IO96" s="771">
        <v>0</v>
      </c>
      <c r="IP96" s="9">
        <f t="shared" si="649"/>
        <v>-5.9156178415034111</v>
      </c>
      <c r="IQ96" s="5">
        <f t="shared" si="650"/>
        <v>-3.6270109390649927</v>
      </c>
      <c r="IR96" s="5">
        <f t="shared" si="518"/>
        <v>0.314</v>
      </c>
      <c r="IS96" s="5">
        <f t="shared" si="651"/>
        <v>0.24053797548389932</v>
      </c>
      <c r="IT96" s="727">
        <f t="shared" si="652"/>
        <v>89.999987005609611</v>
      </c>
      <c r="IU96" s="9">
        <f t="shared" si="653"/>
        <v>-5.9000066828948361</v>
      </c>
      <c r="IV96" s="5">
        <f t="shared" si="654"/>
        <v>-3.6541309319700019</v>
      </c>
      <c r="IW96" s="5">
        <f t="shared" si="519"/>
        <v>0.26250000000000001</v>
      </c>
      <c r="IX96" s="5">
        <f t="shared" si="655"/>
        <v>0.26250000000000001</v>
      </c>
      <c r="IY96" s="762">
        <f t="shared" si="656"/>
        <v>89.999987005609611</v>
      </c>
    </row>
    <row r="97" spans="1:259" ht="15" customHeight="1" x14ac:dyDescent="0.25">
      <c r="A97" s="79"/>
      <c r="B97" s="707">
        <v>-2.7597678896035167</v>
      </c>
      <c r="C97" s="708">
        <v>-0.28947824192118304</v>
      </c>
      <c r="D97" s="709">
        <v>-0.15090045511577263</v>
      </c>
      <c r="E97" s="710">
        <v>0.13129582849338703</v>
      </c>
      <c r="F97" s="708">
        <v>-0.94515151298921929</v>
      </c>
      <c r="G97" s="711">
        <v>0.29908196688270078</v>
      </c>
      <c r="H97" s="710">
        <v>0.314</v>
      </c>
      <c r="I97" s="708">
        <v>0.52</v>
      </c>
      <c r="J97" s="570">
        <v>6.1139999999999999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6.1139999999999999</v>
      </c>
      <c r="N97" s="632">
        <f t="shared" si="465"/>
        <v>-2.7597678896035167</v>
      </c>
      <c r="O97" s="629">
        <f t="shared" si="466"/>
        <v>-0.28947824192118304</v>
      </c>
      <c r="P97" s="633">
        <f t="shared" si="467"/>
        <v>-0.15090045511577263</v>
      </c>
      <c r="Q97" s="585">
        <f t="shared" si="520"/>
        <v>185.98798614104953</v>
      </c>
      <c r="R97" s="629">
        <f t="shared" si="79"/>
        <v>2.7749083691236414</v>
      </c>
      <c r="S97" s="634">
        <f t="shared" si="80"/>
        <v>-0.15090045511577263</v>
      </c>
      <c r="T97" s="635">
        <f t="shared" si="81"/>
        <v>-0.2894782419211841</v>
      </c>
      <c r="U97" s="629">
        <f t="shared" si="82"/>
        <v>2.7597678896035163</v>
      </c>
      <c r="V97" s="636">
        <f t="shared" si="114"/>
        <v>-0.15090045511577263</v>
      </c>
      <c r="W97" s="585">
        <f t="shared" si="645"/>
        <v>95.987986141049532</v>
      </c>
      <c r="X97" s="629">
        <f t="shared" si="83"/>
        <v>2.7749083691236414</v>
      </c>
      <c r="Y97" s="630">
        <f t="shared" si="644"/>
        <v>-0.15090045511577263</v>
      </c>
      <c r="Z97" s="632">
        <f t="shared" si="468"/>
        <v>-0.13129582849338703</v>
      </c>
      <c r="AA97" s="629">
        <f t="shared" si="469"/>
        <v>0.94515151298921929</v>
      </c>
      <c r="AB97" s="629">
        <f t="shared" si="470"/>
        <v>-0.29908196688270078</v>
      </c>
      <c r="AC97" s="636">
        <f t="shared" si="84"/>
        <v>1</v>
      </c>
      <c r="AD97" s="637">
        <f t="shared" si="115"/>
        <v>-0.13129582849338703</v>
      </c>
      <c r="AE97" s="629">
        <f t="shared" si="85"/>
        <v>0.94515151298921929</v>
      </c>
      <c r="AF97" s="633">
        <f t="shared" si="86"/>
        <v>-0.29908196688270078</v>
      </c>
      <c r="AG97" s="602">
        <f t="shared" si="87"/>
        <v>72.440643381010858</v>
      </c>
      <c r="AH97" s="603">
        <f t="shared" si="88"/>
        <v>97.544479698193626</v>
      </c>
      <c r="AI97" s="585">
        <f t="shared" si="89"/>
        <v>-72.597527721048152</v>
      </c>
      <c r="AJ97" s="586">
        <f t="shared" si="90"/>
        <v>-172.09136325065373</v>
      </c>
      <c r="AK97" s="635">
        <f t="shared" si="211"/>
        <v>0.95369134037296333</v>
      </c>
      <c r="AL97" s="629">
        <f t="shared" si="91"/>
        <v>3.1981313031140088E-2</v>
      </c>
      <c r="AM97" s="634">
        <f t="shared" si="92"/>
        <v>-0.29908196688270078</v>
      </c>
      <c r="AN97" s="581">
        <f t="shared" si="93"/>
        <v>6.1035364881728063</v>
      </c>
      <c r="AO97" s="582">
        <f t="shared" si="461"/>
        <v>17.504879082118752</v>
      </c>
      <c r="AP97" s="585">
        <f t="shared" si="95"/>
        <v>1.9206506082967643</v>
      </c>
      <c r="AQ97" s="586">
        <f t="shared" si="471"/>
        <v>0.82149394169806811</v>
      </c>
      <c r="AS97" s="52">
        <f t="shared" si="543"/>
        <v>-264.01201385895047</v>
      </c>
      <c r="AT97" s="73">
        <f t="shared" si="472"/>
        <v>3.2441221175165208E-2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6.1139999999999999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-3.5121672010673426</v>
      </c>
      <c r="C98" s="708">
        <v>-0.34845523483818402</v>
      </c>
      <c r="D98" s="709">
        <v>-0.16170048768867085</v>
      </c>
      <c r="E98" s="710">
        <v>1.5980196562094401E-2</v>
      </c>
      <c r="F98" s="708">
        <v>-0.95606182353502611</v>
      </c>
      <c r="G98" s="711">
        <v>0.29272926552826534</v>
      </c>
      <c r="H98" s="710">
        <v>0.314</v>
      </c>
      <c r="I98" s="708">
        <v>0.52</v>
      </c>
      <c r="J98" s="570">
        <v>6.1210000000000004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6.1210000000000004</v>
      </c>
      <c r="N98" s="632">
        <f t="shared" si="465"/>
        <v>-3.5121672010673426</v>
      </c>
      <c r="O98" s="629">
        <f t="shared" si="466"/>
        <v>-0.34845523483818402</v>
      </c>
      <c r="P98" s="633">
        <f t="shared" si="467"/>
        <v>-0.16170048768867085</v>
      </c>
      <c r="Q98" s="585">
        <f t="shared" si="520"/>
        <v>185.66598618754054</v>
      </c>
      <c r="R98" s="629">
        <f t="shared" si="79"/>
        <v>3.5294106447025042</v>
      </c>
      <c r="S98" s="634">
        <f t="shared" si="80"/>
        <v>-0.16170048768867085</v>
      </c>
      <c r="T98" s="635">
        <f t="shared" si="81"/>
        <v>-0.3484552348381833</v>
      </c>
      <c r="U98" s="629">
        <f t="shared" si="82"/>
        <v>3.512167201067343</v>
      </c>
      <c r="V98" s="636">
        <f t="shared" si="114"/>
        <v>-0.16170048768867085</v>
      </c>
      <c r="W98" s="585">
        <f t="shared" si="645"/>
        <v>95.66598618754054</v>
      </c>
      <c r="X98" s="629">
        <f t="shared" si="83"/>
        <v>3.5294106447025042</v>
      </c>
      <c r="Y98" s="630">
        <f t="shared" si="644"/>
        <v>-0.16170048768867085</v>
      </c>
      <c r="Z98" s="632">
        <f t="shared" si="468"/>
        <v>-1.5980196562094401E-2</v>
      </c>
      <c r="AA98" s="629">
        <f t="shared" si="469"/>
        <v>0.95606182353502611</v>
      </c>
      <c r="AB98" s="629">
        <f t="shared" si="470"/>
        <v>-0.29272926552826534</v>
      </c>
      <c r="AC98" s="636">
        <f t="shared" si="84"/>
        <v>1</v>
      </c>
      <c r="AD98" s="637">
        <f t="shared" si="115"/>
        <v>-1.5980196562094401E-2</v>
      </c>
      <c r="AE98" s="629">
        <f t="shared" si="85"/>
        <v>0.95606182353502611</v>
      </c>
      <c r="AF98" s="633">
        <f t="shared" si="86"/>
        <v>-0.29272926552826534</v>
      </c>
      <c r="AG98" s="602">
        <f t="shared" si="87"/>
        <v>72.976335902412998</v>
      </c>
      <c r="AH98" s="603">
        <f t="shared" si="88"/>
        <v>90.915636792139125</v>
      </c>
      <c r="AI98" s="585">
        <f t="shared" si="89"/>
        <v>-72.978575975387471</v>
      </c>
      <c r="AJ98" s="586">
        <f t="shared" si="90"/>
        <v>-179.04241279740162</v>
      </c>
      <c r="AK98" s="635">
        <f t="shared" si="211"/>
        <v>0.95296855496441157</v>
      </c>
      <c r="AL98" s="629">
        <f t="shared" si="91"/>
        <v>-7.8488918659413279E-2</v>
      </c>
      <c r="AM98" s="634">
        <f t="shared" si="92"/>
        <v>-0.29272926552826534</v>
      </c>
      <c r="AN98" s="581">
        <f t="shared" si="93"/>
        <v>-15.009559335576258</v>
      </c>
      <c r="AO98" s="582">
        <f t="shared" si="461"/>
        <v>17.642039331480252</v>
      </c>
      <c r="AP98" s="585">
        <f t="shared" si="95"/>
        <v>-4.7083989849421624</v>
      </c>
      <c r="AQ98" s="586">
        <f t="shared" si="471"/>
        <v>0.64589538905427146</v>
      </c>
      <c r="AS98" s="52">
        <f t="shared" si="543"/>
        <v>-264.33401381245949</v>
      </c>
      <c r="AT98" s="73">
        <f t="shared" si="472"/>
        <v>2.18647996810927E-2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6.1210000000000004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-4.235757300950211</v>
      </c>
      <c r="C99" s="708">
        <v>-0.37825379613226767</v>
      </c>
      <c r="D99" s="709">
        <v>-0.37710113733703021</v>
      </c>
      <c r="E99" s="710">
        <v>-8.5432004669544967E-2</v>
      </c>
      <c r="F99" s="708">
        <v>-0.96038088112974584</v>
      </c>
      <c r="G99" s="711">
        <v>0.26527332270433057</v>
      </c>
      <c r="H99" s="710">
        <v>0.314</v>
      </c>
      <c r="I99" s="708">
        <v>0.52</v>
      </c>
      <c r="J99" s="570">
        <v>6.1280000000000001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6.1280000000000001</v>
      </c>
      <c r="N99" s="632">
        <f t="shared" si="465"/>
        <v>-4.235757300950211</v>
      </c>
      <c r="O99" s="629">
        <f t="shared" si="466"/>
        <v>-0.37825379613226767</v>
      </c>
      <c r="P99" s="633">
        <f t="shared" si="467"/>
        <v>-0.37710113733703021</v>
      </c>
      <c r="Q99" s="585">
        <f t="shared" si="520"/>
        <v>185.10298626882766</v>
      </c>
      <c r="R99" s="629">
        <f t="shared" si="79"/>
        <v>4.2526128258802833</v>
      </c>
      <c r="S99" s="634">
        <f t="shared" si="80"/>
        <v>-0.37710113733703021</v>
      </c>
      <c r="T99" s="635">
        <f t="shared" si="81"/>
        <v>-0.37825379613226706</v>
      </c>
      <c r="U99" s="629">
        <f t="shared" si="82"/>
        <v>4.235757300950211</v>
      </c>
      <c r="V99" s="636">
        <f t="shared" si="114"/>
        <v>-0.37710113733703021</v>
      </c>
      <c r="W99" s="585">
        <f t="shared" si="645"/>
        <v>95.102986268827664</v>
      </c>
      <c r="X99" s="629">
        <f t="shared" si="83"/>
        <v>4.2526128258802833</v>
      </c>
      <c r="Y99" s="630">
        <f t="shared" si="644"/>
        <v>-0.37710113733703021</v>
      </c>
      <c r="Z99" s="632">
        <f t="shared" si="468"/>
        <v>8.5432004669544967E-2</v>
      </c>
      <c r="AA99" s="629">
        <f t="shared" si="469"/>
        <v>0.96038088112974584</v>
      </c>
      <c r="AB99" s="629">
        <f t="shared" si="470"/>
        <v>-0.26527332270433057</v>
      </c>
      <c r="AC99" s="636">
        <f t="shared" si="84"/>
        <v>1</v>
      </c>
      <c r="AD99" s="637">
        <f t="shared" si="115"/>
        <v>8.5432004669544967E-2</v>
      </c>
      <c r="AE99" s="629">
        <f t="shared" si="85"/>
        <v>0.96038088112974584</v>
      </c>
      <c r="AF99" s="633">
        <f t="shared" si="86"/>
        <v>-0.26527332270433057</v>
      </c>
      <c r="AG99" s="602">
        <f t="shared" si="87"/>
        <v>74.558953740545618</v>
      </c>
      <c r="AH99" s="603">
        <f t="shared" si="88"/>
        <v>85.099132721651443</v>
      </c>
      <c r="AI99" s="585">
        <f t="shared" si="89"/>
        <v>-74.616805694908379</v>
      </c>
      <c r="AJ99" s="586">
        <f t="shared" si="90"/>
        <v>174.91655563586258</v>
      </c>
      <c r="AK99" s="635">
        <f t="shared" si="211"/>
        <v>0.94897549203189113</v>
      </c>
      <c r="AL99" s="629">
        <f t="shared" si="91"/>
        <v>-0.17051562914945437</v>
      </c>
      <c r="AM99" s="634">
        <f t="shared" si="92"/>
        <v>-0.26527332270433057</v>
      </c>
      <c r="AN99" s="581">
        <f t="shared" si="93"/>
        <v>-32.732594304162781</v>
      </c>
      <c r="AO99" s="582">
        <f t="shared" si="461"/>
        <v>18.381934020519161</v>
      </c>
      <c r="AP99" s="585">
        <f t="shared" si="95"/>
        <v>-10.186430632965086</v>
      </c>
      <c r="AQ99" s="586">
        <f t="shared" si="471"/>
        <v>0.53606105376818114</v>
      </c>
      <c r="AS99" s="52">
        <f t="shared" si="543"/>
        <v>-264.89701373117236</v>
      </c>
      <c r="AT99" s="73">
        <f t="shared" si="472"/>
        <v>-0.19314487780149384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6.1280000000000001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-4.8750274814657617</v>
      </c>
      <c r="C100" s="708">
        <v>-0.38255887572153846</v>
      </c>
      <c r="D100" s="709">
        <v>-0.78090235520150342</v>
      </c>
      <c r="E100" s="710">
        <v>-0.17841967493458158</v>
      </c>
      <c r="F100" s="708">
        <v>-0.9587943872108774</v>
      </c>
      <c r="G100" s="711">
        <v>0.22108763567679798</v>
      </c>
      <c r="H100" s="710">
        <v>0.314</v>
      </c>
      <c r="I100" s="708">
        <v>0.52</v>
      </c>
      <c r="J100" s="570">
        <v>6.1349999999999998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6.1349999999999998</v>
      </c>
      <c r="N100" s="632">
        <f t="shared" si="465"/>
        <v>-4.8750274814657617</v>
      </c>
      <c r="O100" s="629">
        <f t="shared" si="466"/>
        <v>-0.38255887572153846</v>
      </c>
      <c r="P100" s="633">
        <f t="shared" si="467"/>
        <v>-0.78090235520150342</v>
      </c>
      <c r="Q100" s="585">
        <f t="shared" si="520"/>
        <v>184.48698635776705</v>
      </c>
      <c r="R100" s="629">
        <f t="shared" si="79"/>
        <v>4.8900147482844805</v>
      </c>
      <c r="S100" s="634">
        <f t="shared" si="80"/>
        <v>-0.78090235520150342</v>
      </c>
      <c r="T100" s="635">
        <f t="shared" si="81"/>
        <v>-0.38255887572153729</v>
      </c>
      <c r="U100" s="629">
        <f t="shared" si="82"/>
        <v>4.8750274814657617</v>
      </c>
      <c r="V100" s="636">
        <f t="shared" si="114"/>
        <v>-0.78090235520150342</v>
      </c>
      <c r="W100" s="585">
        <f t="shared" si="645"/>
        <v>94.486986357767051</v>
      </c>
      <c r="X100" s="629">
        <f t="shared" si="83"/>
        <v>4.8900147482844805</v>
      </c>
      <c r="Y100" s="630">
        <f t="shared" si="644"/>
        <v>-0.78090235520150342</v>
      </c>
      <c r="Z100" s="632">
        <f t="shared" si="468"/>
        <v>0.17841967493458158</v>
      </c>
      <c r="AA100" s="629">
        <f t="shared" si="469"/>
        <v>0.9587943872108774</v>
      </c>
      <c r="AB100" s="629">
        <f t="shared" si="470"/>
        <v>-0.22108763567679798</v>
      </c>
      <c r="AC100" s="636">
        <f t="shared" si="84"/>
        <v>1</v>
      </c>
      <c r="AD100" s="637">
        <f t="shared" si="115"/>
        <v>0.17841967493458158</v>
      </c>
      <c r="AE100" s="629">
        <f t="shared" si="85"/>
        <v>0.9587943872108774</v>
      </c>
      <c r="AF100" s="633">
        <f t="shared" si="86"/>
        <v>-0.22108763567679798</v>
      </c>
      <c r="AG100" s="602">
        <f t="shared" si="87"/>
        <v>77.015176770716806</v>
      </c>
      <c r="AH100" s="603">
        <f t="shared" si="88"/>
        <v>79.722276143383269</v>
      </c>
      <c r="AI100" s="585">
        <f t="shared" si="89"/>
        <v>-77.227076906371451</v>
      </c>
      <c r="AJ100" s="586">
        <f t="shared" si="90"/>
        <v>169.45854498628964</v>
      </c>
      <c r="AK100" s="635">
        <f t="shared" si="211"/>
        <v>0.94189755932626174</v>
      </c>
      <c r="AL100" s="629">
        <f t="shared" si="91"/>
        <v>-0.25288187971081488</v>
      </c>
      <c r="AM100" s="634">
        <f t="shared" si="92"/>
        <v>-0.22108763567679798</v>
      </c>
      <c r="AN100" s="581">
        <f t="shared" si="93"/>
        <v>-48.83769605267544</v>
      </c>
      <c r="AO100" s="582">
        <f t="shared" si="461"/>
        <v>19.627291860534388</v>
      </c>
      <c r="AP100" s="585">
        <f t="shared" si="95"/>
        <v>-15.028441371477406</v>
      </c>
      <c r="AQ100" s="586">
        <f t="shared" si="471"/>
        <v>0.46619007108788035</v>
      </c>
      <c r="AS100" s="52">
        <f t="shared" si="543"/>
        <v>-265.51301364223298</v>
      </c>
      <c r="AT100" s="73">
        <f t="shared" si="472"/>
        <v>-0.59651831794995269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6.1349999999999998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-5.3808105430498658</v>
      </c>
      <c r="C101" s="708">
        <v>-0.37144896962099472</v>
      </c>
      <c r="D101" s="709">
        <v>-1.3428040498970146</v>
      </c>
      <c r="E101" s="710">
        <v>-0.27830922082117654</v>
      </c>
      <c r="F101" s="708">
        <v>-0.94362275125775696</v>
      </c>
      <c r="G101" s="711">
        <v>0.17922076027807476</v>
      </c>
      <c r="H101" s="710">
        <v>0.314</v>
      </c>
      <c r="I101" s="708">
        <v>0.52</v>
      </c>
      <c r="J101" s="570">
        <v>6.1420000000000003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1613</v>
      </c>
      <c r="L101" s="320"/>
      <c r="M101" s="168">
        <f t="shared" si="464"/>
        <v>6.1420000000000003</v>
      </c>
      <c r="N101" s="632">
        <f t="shared" si="465"/>
        <v>-5.3808105430498658</v>
      </c>
      <c r="O101" s="629">
        <f t="shared" si="466"/>
        <v>-0.37144896962099472</v>
      </c>
      <c r="P101" s="633">
        <f t="shared" si="467"/>
        <v>-1.3428040498970146</v>
      </c>
      <c r="Q101" s="585">
        <f t="shared" si="520"/>
        <v>183.94898643544465</v>
      </c>
      <c r="R101" s="629">
        <f t="shared" si="79"/>
        <v>5.3936162671466619</v>
      </c>
      <c r="S101" s="634">
        <f t="shared" si="80"/>
        <v>-1.3428040498970146</v>
      </c>
      <c r="T101" s="635">
        <f t="shared" si="81"/>
        <v>-0.37144896962099638</v>
      </c>
      <c r="U101" s="629">
        <f t="shared" si="82"/>
        <v>5.3808105430498658</v>
      </c>
      <c r="V101" s="636">
        <f t="shared" si="114"/>
        <v>-1.3428040498970146</v>
      </c>
      <c r="W101" s="585">
        <f t="shared" si="645"/>
        <v>93.948986435444652</v>
      </c>
      <c r="X101" s="629">
        <f t="shared" si="83"/>
        <v>5.3936162671466619</v>
      </c>
      <c r="Y101" s="630">
        <f t="shared" si="644"/>
        <v>-1.3428040498970146</v>
      </c>
      <c r="Z101" s="632">
        <f t="shared" si="468"/>
        <v>0.27830922082117654</v>
      </c>
      <c r="AA101" s="629">
        <f t="shared" si="469"/>
        <v>0.94362275125775696</v>
      </c>
      <c r="AB101" s="629">
        <f t="shared" si="470"/>
        <v>-0.17922076027807476</v>
      </c>
      <c r="AC101" s="636">
        <f t="shared" si="84"/>
        <v>1</v>
      </c>
      <c r="AD101" s="637">
        <f t="shared" si="115"/>
        <v>0.27830922082117654</v>
      </c>
      <c r="AE101" s="629">
        <f t="shared" si="85"/>
        <v>0.94362275125775696</v>
      </c>
      <c r="AF101" s="633">
        <f t="shared" si="86"/>
        <v>-0.17922076027807476</v>
      </c>
      <c r="AG101" s="602">
        <f t="shared" si="87"/>
        <v>79.245992351159629</v>
      </c>
      <c r="AH101" s="603">
        <f t="shared" si="88"/>
        <v>73.840680387545191</v>
      </c>
      <c r="AI101" s="585">
        <f t="shared" si="89"/>
        <v>-79.675625405272001</v>
      </c>
      <c r="AJ101" s="586">
        <f t="shared" si="90"/>
        <v>163.56726386407354</v>
      </c>
      <c r="AK101" s="635">
        <f t="shared" si="211"/>
        <v>0.92221569517603152</v>
      </c>
      <c r="AL101" s="629">
        <f t="shared" si="91"/>
        <v>-0.34263410609035677</v>
      </c>
      <c r="AM101" s="634">
        <f t="shared" si="92"/>
        <v>-0.17922076027807476</v>
      </c>
      <c r="AN101" s="581">
        <f t="shared" si="93"/>
        <v>-62.387396751572993</v>
      </c>
      <c r="AO101" s="582">
        <f t="shared" si="461"/>
        <v>22.747818440349533</v>
      </c>
      <c r="AP101" s="585">
        <f t="shared" si="95"/>
        <v>-20.381722571371107</v>
      </c>
      <c r="AQ101" s="586">
        <f t="shared" si="471"/>
        <v>0.42266360193072061</v>
      </c>
      <c r="AS101" s="52">
        <f t="shared" si="543"/>
        <v>-266.05101356455532</v>
      </c>
      <c r="AT101" s="73">
        <f t="shared" si="472"/>
        <v>-1.1580464015882956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6.1420000000000003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-5.7143694410435373</v>
      </c>
      <c r="C102" s="708">
        <v>-0.35711325831876689</v>
      </c>
      <c r="D102" s="709">
        <v>-2.0205060938463792</v>
      </c>
      <c r="E102" s="710">
        <v>-0.39132958596469825</v>
      </c>
      <c r="F102" s="708">
        <v>-0.91142292033784245</v>
      </c>
      <c r="G102" s="711">
        <v>0.1271590163202623</v>
      </c>
      <c r="H102" s="710">
        <v>0.314</v>
      </c>
      <c r="I102" s="708">
        <v>0.52</v>
      </c>
      <c r="J102" s="570">
        <v>6.149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1613</v>
      </c>
      <c r="L102" s="320"/>
      <c r="M102" s="168">
        <f t="shared" si="464"/>
        <v>6.149</v>
      </c>
      <c r="N102" s="632">
        <f t="shared" si="465"/>
        <v>-5.7143694410435373</v>
      </c>
      <c r="O102" s="629">
        <f t="shared" si="466"/>
        <v>-0.35711325831876689</v>
      </c>
      <c r="P102" s="633">
        <f t="shared" si="467"/>
        <v>-2.0205060938463792</v>
      </c>
      <c r="Q102" s="585">
        <f t="shared" si="520"/>
        <v>183.57598648929917</v>
      </c>
      <c r="R102" s="629">
        <f t="shared" si="79"/>
        <v>5.7255172681600808</v>
      </c>
      <c r="S102" s="634">
        <f t="shared" si="80"/>
        <v>-2.0205060938463792</v>
      </c>
      <c r="T102" s="635">
        <f t="shared" si="81"/>
        <v>-0.35711325831876622</v>
      </c>
      <c r="U102" s="629">
        <f t="shared" si="82"/>
        <v>5.7143694410435373</v>
      </c>
      <c r="V102" s="636">
        <f t="shared" si="114"/>
        <v>-2.0205060938463792</v>
      </c>
      <c r="W102" s="585">
        <f t="shared" si="645"/>
        <v>93.575986489299169</v>
      </c>
      <c r="X102" s="629">
        <f t="shared" si="83"/>
        <v>5.7255172681600808</v>
      </c>
      <c r="Y102" s="630">
        <f t="shared" si="644"/>
        <v>-2.0205060938463792</v>
      </c>
      <c r="Z102" s="632">
        <f t="shared" si="468"/>
        <v>0.39132958596469825</v>
      </c>
      <c r="AA102" s="629">
        <f t="shared" si="469"/>
        <v>0.91142292033784245</v>
      </c>
      <c r="AB102" s="629">
        <f t="shared" si="470"/>
        <v>-0.1271590163202623</v>
      </c>
      <c r="AC102" s="636">
        <f t="shared" si="84"/>
        <v>1</v>
      </c>
      <c r="AD102" s="637">
        <f t="shared" si="115"/>
        <v>0.39132958596469825</v>
      </c>
      <c r="AE102" s="629">
        <f t="shared" si="85"/>
        <v>0.91142292033784245</v>
      </c>
      <c r="AF102" s="633">
        <f t="shared" si="86"/>
        <v>-0.1271590163202623</v>
      </c>
      <c r="AG102" s="602">
        <f t="shared" si="87"/>
        <v>82.057531758686721</v>
      </c>
      <c r="AH102" s="603">
        <f t="shared" si="88"/>
        <v>66.962744549901643</v>
      </c>
      <c r="AI102" s="585">
        <f t="shared" si="89"/>
        <v>-82.694546600323918</v>
      </c>
      <c r="AJ102" s="586">
        <f t="shared" si="90"/>
        <v>156.76319429458204</v>
      </c>
      <c r="AK102" s="635">
        <f t="shared" si="211"/>
        <v>0.88524024344679142</v>
      </c>
      <c r="AL102" s="629">
        <f t="shared" si="91"/>
        <v>-0.44741512709197567</v>
      </c>
      <c r="AM102" s="634">
        <f t="shared" si="92"/>
        <v>-0.1271590163202623</v>
      </c>
      <c r="AN102" s="581">
        <f t="shared" si="93"/>
        <v>-74.134419268254604</v>
      </c>
      <c r="AO102" s="582">
        <f t="shared" si="461"/>
        <v>27.718899751437025</v>
      </c>
      <c r="AP102" s="585">
        <f t="shared" si="95"/>
        <v>-26.812792194717133</v>
      </c>
      <c r="AQ102" s="586">
        <f t="shared" si="471"/>
        <v>0.39816314009794496</v>
      </c>
      <c r="AS102" s="52">
        <f t="shared" si="543"/>
        <v>-266.42401351070083</v>
      </c>
      <c r="AT102" s="73">
        <f t="shared" si="472"/>
        <v>-1.8354894177972814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6.149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>
        <f t="shared" si="542"/>
        <v>1613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-5.8503800248348368</v>
      </c>
      <c r="C103" s="708">
        <v>-0.34962465441952045</v>
      </c>
      <c r="D103" s="709">
        <v>-2.7628083326299313</v>
      </c>
      <c r="E103" s="710">
        <v>-0.45709752873624443</v>
      </c>
      <c r="F103" s="708">
        <v>-0.88885928158585537</v>
      </c>
      <c r="G103" s="711">
        <v>3.1480577534339985E-2</v>
      </c>
      <c r="H103" s="710">
        <v>0.314</v>
      </c>
      <c r="I103" s="708">
        <v>0.52</v>
      </c>
      <c r="J103" s="570">
        <v>6.1559999999999997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6.1559999999999997</v>
      </c>
      <c r="N103" s="632">
        <f t="shared" si="465"/>
        <v>-5.8503800248348368</v>
      </c>
      <c r="O103" s="629">
        <f t="shared" si="466"/>
        <v>-0.34962465441952045</v>
      </c>
      <c r="P103" s="633">
        <f t="shared" si="467"/>
        <v>-2.7628083326299313</v>
      </c>
      <c r="Q103" s="585">
        <f t="shared" si="520"/>
        <v>183.4199865118228</v>
      </c>
      <c r="R103" s="629">
        <f t="shared" si="79"/>
        <v>5.8608176762261115</v>
      </c>
      <c r="S103" s="634">
        <f t="shared" si="80"/>
        <v>-2.7628083326299313</v>
      </c>
      <c r="T103" s="635">
        <f t="shared" si="81"/>
        <v>-0.34962465441952212</v>
      </c>
      <c r="U103" s="629">
        <f t="shared" si="82"/>
        <v>5.8503800248348368</v>
      </c>
      <c r="V103" s="636">
        <f t="shared" si="114"/>
        <v>-2.7628083326299313</v>
      </c>
      <c r="W103" s="585">
        <f t="shared" si="645"/>
        <v>93.419986511822799</v>
      </c>
      <c r="X103" s="629">
        <f t="shared" si="83"/>
        <v>5.8608176762261115</v>
      </c>
      <c r="Y103" s="630">
        <f t="shared" si="644"/>
        <v>-2.7628083326299313</v>
      </c>
      <c r="Z103" s="632">
        <f t="shared" si="468"/>
        <v>0.45709752873624443</v>
      </c>
      <c r="AA103" s="629">
        <f t="shared" si="469"/>
        <v>0.88885928158585537</v>
      </c>
      <c r="AB103" s="629">
        <f t="shared" si="470"/>
        <v>-3.1480577534339985E-2</v>
      </c>
      <c r="AC103" s="636">
        <f t="shared" si="84"/>
        <v>1</v>
      </c>
      <c r="AD103" s="637">
        <f t="shared" si="115"/>
        <v>0.45709752873624443</v>
      </c>
      <c r="AE103" s="629">
        <f t="shared" si="85"/>
        <v>0.88885928158585537</v>
      </c>
      <c r="AF103" s="633">
        <f t="shared" si="86"/>
        <v>-3.1480577534339985E-2</v>
      </c>
      <c r="AG103" s="602">
        <f t="shared" si="87"/>
        <v>87.971612971930341</v>
      </c>
      <c r="AH103" s="603">
        <f t="shared" si="88"/>
        <v>62.800025659739703</v>
      </c>
      <c r="AI103" s="585">
        <f t="shared" si="89"/>
        <v>-88.195997717848286</v>
      </c>
      <c r="AJ103" s="586">
        <f t="shared" si="90"/>
        <v>152.78542296302521</v>
      </c>
      <c r="AK103" s="635">
        <f t="shared" si="211"/>
        <v>0.8600083296916482</v>
      </c>
      <c r="AL103" s="629">
        <f t="shared" si="91"/>
        <v>-0.50930800710285928</v>
      </c>
      <c r="AM103" s="634">
        <f t="shared" si="92"/>
        <v>-3.1480577534339985E-2</v>
      </c>
      <c r="AN103" s="581">
        <f t="shared" si="93"/>
        <v>-86.463019595092334</v>
      </c>
      <c r="AO103" s="582">
        <f t="shared" si="461"/>
        <v>30.682481838895967</v>
      </c>
      <c r="AP103" s="585">
        <f t="shared" si="95"/>
        <v>-30.634563548797583</v>
      </c>
      <c r="AQ103" s="586">
        <f t="shared" si="471"/>
        <v>0.38897159660812375</v>
      </c>
      <c r="AS103" s="52">
        <f t="shared" si="543"/>
        <v>-266.5800134881772</v>
      </c>
      <c r="AT103" s="73">
        <f t="shared" si="472"/>
        <v>-2.5776833232631415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6.1559999999999997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-5.9054670524595663</v>
      </c>
      <c r="C104" s="708">
        <v>-0.34640054709540441</v>
      </c>
      <c r="D104" s="709">
        <v>-3.5238106278128534</v>
      </c>
      <c r="E104" s="710">
        <v>-0.59682732263892058</v>
      </c>
      <c r="F104" s="708">
        <v>-0.80236970714978817</v>
      </c>
      <c r="G104" s="711">
        <v>1.4578093198000419E-7</v>
      </c>
      <c r="H104" s="710">
        <v>0.314</v>
      </c>
      <c r="I104" s="708">
        <v>0.52</v>
      </c>
      <c r="J104" s="570">
        <v>6.1630000000000003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6.1630000000000003</v>
      </c>
      <c r="N104" s="632">
        <f t="shared" si="465"/>
        <v>-5.9054670524595663</v>
      </c>
      <c r="O104" s="629">
        <f t="shared" si="466"/>
        <v>-0.34640054709540441</v>
      </c>
      <c r="P104" s="633">
        <f t="shared" si="467"/>
        <v>-3.5238106278128534</v>
      </c>
      <c r="Q104" s="585">
        <f t="shared" si="520"/>
        <v>183.35698652091884</v>
      </c>
      <c r="R104" s="629">
        <f t="shared" si="79"/>
        <v>5.9156178415034111</v>
      </c>
      <c r="S104" s="634">
        <f t="shared" si="80"/>
        <v>-3.5238106278128534</v>
      </c>
      <c r="T104" s="635">
        <f t="shared" si="81"/>
        <v>-0.3464005470954028</v>
      </c>
      <c r="U104" s="629">
        <f t="shared" si="82"/>
        <v>5.9054670524595672</v>
      </c>
      <c r="V104" s="636">
        <f t="shared" si="114"/>
        <v>-3.5238106278128534</v>
      </c>
      <c r="W104" s="585">
        <f t="shared" si="645"/>
        <v>93.356986520918838</v>
      </c>
      <c r="X104" s="629">
        <f t="shared" si="83"/>
        <v>5.9156178415034111</v>
      </c>
      <c r="Y104" s="630">
        <f t="shared" si="644"/>
        <v>-3.5238106278128534</v>
      </c>
      <c r="Z104" s="632">
        <f t="shared" si="468"/>
        <v>0.59682732263892058</v>
      </c>
      <c r="AA104" s="629">
        <f t="shared" si="469"/>
        <v>0.80236970714978817</v>
      </c>
      <c r="AB104" s="629">
        <f t="shared" si="470"/>
        <v>-1.4578093198000419E-7</v>
      </c>
      <c r="AC104" s="636">
        <f t="shared" si="84"/>
        <v>1</v>
      </c>
      <c r="AD104" s="637">
        <f t="shared" si="115"/>
        <v>0.59682732263892058</v>
      </c>
      <c r="AE104" s="629">
        <f t="shared" si="85"/>
        <v>0.80236970714978817</v>
      </c>
      <c r="AF104" s="633">
        <f t="shared" si="86"/>
        <v>-1.4578093198000419E-7</v>
      </c>
      <c r="AG104" s="602">
        <f t="shared" si="87"/>
        <v>89.999989590045502</v>
      </c>
      <c r="AH104" s="603">
        <f t="shared" si="88"/>
        <v>53.356992296204638</v>
      </c>
      <c r="AI104" s="585">
        <f t="shared" si="89"/>
        <v>-89.999991647367864</v>
      </c>
      <c r="AJ104" s="586">
        <f t="shared" si="90"/>
        <v>143.3569922962042</v>
      </c>
      <c r="AK104" s="635">
        <f t="shared" si="211"/>
        <v>0.76604450791050749</v>
      </c>
      <c r="AL104" s="629">
        <f t="shared" si="91"/>
        <v>-0.6427875324709772</v>
      </c>
      <c r="AM104" s="634">
        <f t="shared" si="92"/>
        <v>-1.4578093198000419E-7</v>
      </c>
      <c r="AN104" s="581">
        <f t="shared" si="93"/>
        <v>-89.999987005609611</v>
      </c>
      <c r="AO104" s="582">
        <f t="shared" si="461"/>
        <v>39.999994224715358</v>
      </c>
      <c r="AP104" s="585">
        <f t="shared" si="95"/>
        <v>-39.999994224714648</v>
      </c>
      <c r="AQ104" s="586">
        <f t="shared" si="471"/>
        <v>0.38536841220789192</v>
      </c>
      <c r="AS104" s="52">
        <f t="shared" si="543"/>
        <v>-266.64301347908116</v>
      </c>
      <c r="AT104" s="73">
        <f t="shared" si="472"/>
        <v>-3.3386418684523802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6.1630000000000003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>
        <v>-3.4515271597409902</v>
      </c>
      <c r="C105" s="708">
        <v>0.76379554744144373</v>
      </c>
      <c r="D105" s="709">
        <v>-0.14719219156044847</v>
      </c>
      <c r="E105" s="710">
        <v>-0.12744306371270717</v>
      </c>
      <c r="F105" s="708">
        <v>2.8201905528984241E-2</v>
      </c>
      <c r="G105" s="711">
        <v>0.99144486384067432</v>
      </c>
      <c r="H105" s="710">
        <v>0.26250000000000001</v>
      </c>
      <c r="I105" s="708">
        <v>0.40699999999999997</v>
      </c>
      <c r="J105" s="570">
        <v>6.2210000000000001</v>
      </c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Inactive</v>
      </c>
      <c r="L105" s="320"/>
      <c r="M105" s="168">
        <f t="shared" ref="M105:M136" si="660">IF(J105="","",VALUE(J105))</f>
        <v>6.2210000000000001</v>
      </c>
      <c r="N105" s="632">
        <f t="shared" ref="N105:N136" si="661">IF(M105="","",B105)</f>
        <v>-3.4515271597409902</v>
      </c>
      <c r="O105" s="629">
        <f t="shared" ref="O105:O136" si="662">IF(M105="","",C105)</f>
        <v>0.76379554744144373</v>
      </c>
      <c r="P105" s="633">
        <f t="shared" ref="P105:P136" si="663">IF(M105="","",D105)</f>
        <v>-0.14719219156044847</v>
      </c>
      <c r="Q105" s="585">
        <f t="shared" si="520"/>
        <v>167.52198880720965</v>
      </c>
      <c r="R105" s="629">
        <f t="shared" si="79"/>
        <v>3.5350280582650377</v>
      </c>
      <c r="S105" s="634">
        <f t="shared" si="80"/>
        <v>-0.14719219156044847</v>
      </c>
      <c r="T105" s="635">
        <f t="shared" si="81"/>
        <v>0.76379554744144396</v>
      </c>
      <c r="U105" s="629">
        <f t="shared" si="82"/>
        <v>3.4515271597409902</v>
      </c>
      <c r="V105" s="636">
        <f t="shared" si="114"/>
        <v>-0.14719219156044847</v>
      </c>
      <c r="W105" s="585">
        <f t="shared" si="645"/>
        <v>77.521988807209652</v>
      </c>
      <c r="X105" s="629">
        <f t="shared" si="83"/>
        <v>3.5350280582650377</v>
      </c>
      <c r="Y105" s="630">
        <f t="shared" si="644"/>
        <v>-0.14719219156044847</v>
      </c>
      <c r="Z105" s="632">
        <f t="shared" ref="Z105:Z136" si="664">IF(M105="","",-E105)</f>
        <v>0.12744306371270717</v>
      </c>
      <c r="AA105" s="629">
        <f t="shared" ref="AA105:AA136" si="665">IF(M105="","",-F105)</f>
        <v>-2.8201905528984241E-2</v>
      </c>
      <c r="AB105" s="629">
        <f t="shared" ref="AB105:AB136" si="666">IF(M105="","",-G105)</f>
        <v>-0.99144486384067432</v>
      </c>
      <c r="AC105" s="636">
        <f t="shared" si="84"/>
        <v>1</v>
      </c>
      <c r="AD105" s="637">
        <f t="shared" si="115"/>
        <v>0.12744306371270717</v>
      </c>
      <c r="AE105" s="629">
        <f t="shared" si="85"/>
        <v>-2.8201905528984241E-2</v>
      </c>
      <c r="AF105" s="633">
        <f t="shared" si="86"/>
        <v>-0.99144486384067432</v>
      </c>
      <c r="AG105" s="602">
        <f t="shared" si="87"/>
        <v>-1.6293539045780019</v>
      </c>
      <c r="AH105" s="603">
        <f t="shared" si="88"/>
        <v>82.678138388357979</v>
      </c>
      <c r="AI105" s="585">
        <f t="shared" si="89"/>
        <v>-7.4999989171453043</v>
      </c>
      <c r="AJ105" s="586">
        <f t="shared" si="90"/>
        <v>77.522088361115578</v>
      </c>
      <c r="AK105" s="635">
        <f t="shared" si="211"/>
        <v>2.2679489669261144E-7</v>
      </c>
      <c r="AL105" s="629">
        <f t="shared" si="91"/>
        <v>-0.130526173482162</v>
      </c>
      <c r="AM105" s="634">
        <f t="shared" si="92"/>
        <v>-0.99144486384067432</v>
      </c>
      <c r="AN105" s="581">
        <f t="shared" si="93"/>
        <v>-7.4999989171341355</v>
      </c>
      <c r="AO105" s="582">
        <f t="shared" si="461"/>
        <v>0</v>
      </c>
      <c r="AP105" s="585">
        <f t="shared" si="95"/>
        <v>-89.999900446094074</v>
      </c>
      <c r="AQ105" s="586">
        <f t="shared" ref="AQ105:AQ136" si="667">IF(M105="","",DEGREES(ATAN(($AS$5*SIN(RADIANS(90)))/(($X105*2*PI())-($AS$5*COS(RADIANS(90)))))))</f>
        <v>0.64486910162146505</v>
      </c>
      <c r="AS105" s="52">
        <f t="shared" si="543"/>
        <v>-282.47801119279035</v>
      </c>
      <c r="AT105" s="73">
        <f t="shared" ref="AT105:AT136" si="668">IF(M105="","",Y105+(((AS105-$AS$9)*$AS$6)*-1))</f>
        <v>4.8973093990100386E-2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>Nose</v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6.2210000000000001</v>
      </c>
      <c r="IH105" s="731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6.1210000000000004</v>
      </c>
      <c r="II105" s="734" cm="1">
        <f t="array" ref="II105">IFERROR(ROUND(VALUE(IF($IH105&lt;1,$IH105+LARGE((IF($M$9:$M$150="",0,$M$9:$M$150)-MOD(IF($M$9:$M$150="",0,$M$9:$M$150),1)),1),$IH105)),4),"")</f>
        <v>6.1210000000000004</v>
      </c>
      <c r="IJ105" s="533">
        <f t="shared" si="542"/>
        <v>1613</v>
      </c>
      <c r="IK105" s="533" t="str">
        <f t="shared" ref="IK105:IK136" si="713">IF(ISNUMBER($II105),INDEX($K$9:$K$150,MATCH($IG105,$M$9:$M$150,0)),"")</f>
        <v>Inactive</v>
      </c>
      <c r="IL105" s="727">
        <f t="shared" si="647"/>
        <v>18.143997380330887</v>
      </c>
      <c r="IM105" s="759">
        <v>2.1236252263743201E-2</v>
      </c>
      <c r="IN105" s="5">
        <f t="shared" si="648"/>
        <v>0.42</v>
      </c>
      <c r="IO105" s="771">
        <v>210</v>
      </c>
      <c r="IP105" s="9">
        <f t="shared" si="649"/>
        <v>-3.5294106447025042</v>
      </c>
      <c r="IQ105" s="5">
        <f t="shared" si="650"/>
        <v>-0.16170048768867085</v>
      </c>
      <c r="IR105" s="5">
        <f t="shared" ref="IR105:IR136" si="714">IF(ISNUMBER($II105),INDEX($H$9:$H$150,MATCH($II105,$M$9:$M$150,0)),"")</f>
        <v>0.314</v>
      </c>
      <c r="IS105" s="5">
        <f t="shared" si="651"/>
        <v>0.29923212625882523</v>
      </c>
      <c r="IT105" s="727">
        <f t="shared" si="652"/>
        <v>15.009559335576258</v>
      </c>
      <c r="IU105" s="9">
        <f t="shared" si="653"/>
        <v>-3.5350280582650377</v>
      </c>
      <c r="IV105" s="5">
        <f t="shared" si="654"/>
        <v>-0.14719219156044847</v>
      </c>
      <c r="IW105" s="5">
        <f t="shared" ref="IW105:IW136" si="715">IF(ISNUMBER($II105),$H105,"")</f>
        <v>0.26250000000000001</v>
      </c>
      <c r="IX105" s="5">
        <f t="shared" si="655"/>
        <v>0.26250000000000001</v>
      </c>
      <c r="IY105" s="762">
        <f t="shared" si="656"/>
        <v>7.4999989171341355</v>
      </c>
    </row>
    <row r="106" spans="1:259" ht="15" customHeight="1" x14ac:dyDescent="0.25">
      <c r="A106" s="79"/>
      <c r="B106" s="707">
        <v>-4.2034830427661323</v>
      </c>
      <c r="C106" s="708">
        <v>0.7433067819472795</v>
      </c>
      <c r="D106" s="709">
        <v>-0.33669999999999972</v>
      </c>
      <c r="E106" s="710">
        <v>-0.33315539893154777</v>
      </c>
      <c r="F106" s="708">
        <v>-0.90478591082319881</v>
      </c>
      <c r="G106" s="711">
        <v>0.26527332270433063</v>
      </c>
      <c r="H106" s="710">
        <v>0.26600000000000001</v>
      </c>
      <c r="I106" s="708">
        <v>0.52</v>
      </c>
      <c r="J106" s="570">
        <v>6.2279999999999998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1313</v>
      </c>
      <c r="L106" s="320"/>
      <c r="M106" s="168">
        <f t="shared" si="660"/>
        <v>6.2279999999999998</v>
      </c>
      <c r="N106" s="632">
        <f t="shared" si="661"/>
        <v>-4.2034830427661323</v>
      </c>
      <c r="O106" s="629">
        <f t="shared" si="662"/>
        <v>0.7433067819472795</v>
      </c>
      <c r="P106" s="633">
        <f t="shared" si="663"/>
        <v>-0.33669999999999972</v>
      </c>
      <c r="Q106" s="585">
        <f t="shared" si="520"/>
        <v>169.97198613931693</v>
      </c>
      <c r="R106" s="629">
        <f t="shared" ref="R106:R129" si="716">IF(M106="","",SQRT(N106^2+O106^2))</f>
        <v>4.2686970685340553</v>
      </c>
      <c r="S106" s="634">
        <f t="shared" ref="S106:S129" si="717">IF(M106="","",P106)</f>
        <v>-0.33669999999999972</v>
      </c>
      <c r="T106" s="635">
        <f t="shared" ref="T106:T129" si="718">IF(M106="","",X106*COS(RADIANS(W106)))</f>
        <v>0.74330678194727928</v>
      </c>
      <c r="U106" s="629">
        <f t="shared" ref="U106:U129" si="719">IF(M106="","",X106*SIN(RADIANS(W106)))</f>
        <v>4.2034830427661323</v>
      </c>
      <c r="V106" s="636">
        <f t="shared" ref="V106:V129" si="720">IF(M106="","",Y106)</f>
        <v>-0.33669999999999972</v>
      </c>
      <c r="W106" s="585">
        <f t="shared" si="645"/>
        <v>79.971986139316925</v>
      </c>
      <c r="X106" s="629">
        <f t="shared" ref="X106:X129" si="721">IF(M106="","",R106)</f>
        <v>4.2686970685340553</v>
      </c>
      <c r="Y106" s="630">
        <f t="shared" si="644"/>
        <v>-0.33669999999999972</v>
      </c>
      <c r="Z106" s="632">
        <f t="shared" si="664"/>
        <v>0.33315539893154777</v>
      </c>
      <c r="AA106" s="629">
        <f t="shared" si="665"/>
        <v>0.90478591082319881</v>
      </c>
      <c r="AB106" s="629">
        <f t="shared" si="666"/>
        <v>-0.26527332270433063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0.33315539893154777</v>
      </c>
      <c r="AE106" s="629">
        <f t="shared" ref="AE106:AE129" si="724">IF(M106="","",AA106*(1/SQRT(Z106^2+AA106^2+AB106^2)))</f>
        <v>0.90478591082319881</v>
      </c>
      <c r="AF106" s="633">
        <f t="shared" ref="AF106:AF129" si="725">IF(M106="","",AB106*(1/SQRT(Z106^2+AA106^2+AB106^2)))</f>
        <v>-0.26527332270433063</v>
      </c>
      <c r="AG106" s="602">
        <f t="shared" ref="AG106:AG129" si="726">IF(M106="","",DEGREES(ATAN2(-AF106,AE106)))</f>
        <v>73.659440554803226</v>
      </c>
      <c r="AH106" s="603">
        <f t="shared" ref="AH106:AH129" si="727">IF(M106="","",DEGREES(ACOS(AD106)))</f>
        <v>70.539592318882697</v>
      </c>
      <c r="AI106" s="585">
        <f t="shared" ref="AI106:AI129" si="728">IF(M106="","",DEGREES(-ACOS(-AF106)))</f>
        <v>-74.616805694908379</v>
      </c>
      <c r="AJ106" s="586">
        <f t="shared" ref="AJ106:AJ129" si="729">IF(M106="","",DEGREES(ATAN2(-AE106,AD106)))</f>
        <v>159.78555550635184</v>
      </c>
      <c r="AK106" s="635">
        <f t="shared" ref="AK106:AK129" si="730">IF(M106="","",(COS(RADIANS((90-$Q$8)-W106))*AD106)+(-SIN(RADIANS((90-$Q$8)-W106))*AE106))</f>
        <v>0.94897549203189113</v>
      </c>
      <c r="AL106" s="629">
        <f t="shared" ref="AL106:AL129" si="731">IF(M106="","",(SIN(RADIANS((90-$Q$8)-W106))*AD106)+(COS(RADIANS((90-$Q$8)-W106))*AE106))</f>
        <v>-0.17051562914945464</v>
      </c>
      <c r="AM106" s="634">
        <f t="shared" ref="AM106:AM129" si="732">IF(M106="","",AF106)</f>
        <v>-0.26527332270433063</v>
      </c>
      <c r="AN106" s="581">
        <f t="shared" ref="AN106:AN129" si="733">IF(M106="","",DEGREES(ATAN2(-AM106,AL106)))</f>
        <v>-32.732594304162824</v>
      </c>
      <c r="AO106" s="582">
        <f t="shared" si="461"/>
        <v>18.381934020519161</v>
      </c>
      <c r="AP106" s="585">
        <f t="shared" ref="AP106:AP129" si="734">IF(M106="","",DEGREES(ATAN2(AK106,AL106)))</f>
        <v>-10.186430632965104</v>
      </c>
      <c r="AQ106" s="586">
        <f t="shared" si="667"/>
        <v>0.53404131903049168</v>
      </c>
      <c r="AS106" s="52">
        <f t="shared" si="543"/>
        <v>-280.02801386068307</v>
      </c>
      <c r="AT106" s="73">
        <f t="shared" si="668"/>
        <v>-0.14223610148563648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>Nose</v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6.2279999999999998</v>
      </c>
      <c r="IH106" s="731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>6.1280000000000001</v>
      </c>
      <c r="II106" s="734" cm="1">
        <f t="array" ref="II106">IFERROR(ROUND(VALUE(IF($IH106&lt;1,$IH106+LARGE((IF($M$9:$M$150="",0,$M$9:$M$150)-MOD(IF($M$9:$M$150="",0,$M$9:$M$150),1)),1),$IH106)),4),"")</f>
        <v>6.1280000000000001</v>
      </c>
      <c r="IJ106" s="533">
        <f t="shared" si="542"/>
        <v>1613</v>
      </c>
      <c r="IK106" s="533">
        <f t="shared" si="713"/>
        <v>1313</v>
      </c>
      <c r="IL106" s="727">
        <f t="shared" si="647"/>
        <v>15.131000129510738</v>
      </c>
      <c r="IM106" s="759">
        <v>2.1492602398430899E-3</v>
      </c>
      <c r="IN106" s="5">
        <f t="shared" si="648"/>
        <v>0.02</v>
      </c>
      <c r="IO106" s="771">
        <v>10</v>
      </c>
      <c r="IP106" s="9">
        <f t="shared" si="649"/>
        <v>-4.2526128258802833</v>
      </c>
      <c r="IQ106" s="5">
        <f t="shared" si="650"/>
        <v>-0.37710113733703021</v>
      </c>
      <c r="IR106" s="5">
        <f t="shared" si="714"/>
        <v>0.314</v>
      </c>
      <c r="IS106" s="5">
        <f t="shared" si="651"/>
        <v>0.29797830449801382</v>
      </c>
      <c r="IT106" s="727">
        <f t="shared" si="652"/>
        <v>32.732594304162781</v>
      </c>
      <c r="IU106" s="9">
        <f t="shared" si="653"/>
        <v>-4.2686970685340553</v>
      </c>
      <c r="IV106" s="5">
        <f t="shared" si="654"/>
        <v>-0.33669999999999972</v>
      </c>
      <c r="IW106" s="5">
        <f t="shared" si="715"/>
        <v>0.26600000000000001</v>
      </c>
      <c r="IX106" s="5">
        <f t="shared" si="655"/>
        <v>0.25242748088048306</v>
      </c>
      <c r="IY106" s="762">
        <f t="shared" si="656"/>
        <v>32.732594304162824</v>
      </c>
    </row>
    <row r="107" spans="1:259" ht="15" customHeight="1" x14ac:dyDescent="0.25">
      <c r="A107" s="79"/>
      <c r="B107" s="707">
        <v>-4.8576311487320067</v>
      </c>
      <c r="C107" s="708">
        <v>0.75026587467000383</v>
      </c>
      <c r="D107" s="709">
        <v>-0.74522984492180377</v>
      </c>
      <c r="E107" s="710">
        <v>-0.393690785594006</v>
      </c>
      <c r="F107" s="708">
        <v>-0.89225995241813805</v>
      </c>
      <c r="G107" s="711">
        <v>0.22108763567679784</v>
      </c>
      <c r="H107" s="710">
        <v>0.26600000000000001</v>
      </c>
      <c r="I107" s="708">
        <v>0.52</v>
      </c>
      <c r="J107" s="570">
        <v>6.2350000000000003</v>
      </c>
      <c r="K107" s="865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1313</v>
      </c>
      <c r="L107" s="320"/>
      <c r="M107" s="168">
        <f t="shared" si="660"/>
        <v>6.2350000000000003</v>
      </c>
      <c r="N107" s="632">
        <f t="shared" si="661"/>
        <v>-4.8576311487320067</v>
      </c>
      <c r="O107" s="629">
        <f t="shared" si="662"/>
        <v>0.75026587467000383</v>
      </c>
      <c r="P107" s="633">
        <f t="shared" si="663"/>
        <v>-0.74522984492180377</v>
      </c>
      <c r="Q107" s="585">
        <f t="shared" si="520"/>
        <v>171.2199882732846</v>
      </c>
      <c r="R107" s="629">
        <f t="shared" si="716"/>
        <v>4.9152293191493905</v>
      </c>
      <c r="S107" s="634">
        <f t="shared" si="717"/>
        <v>-0.74522984492180377</v>
      </c>
      <c r="T107" s="635">
        <f t="shared" si="718"/>
        <v>0.75026587467000327</v>
      </c>
      <c r="U107" s="629">
        <f t="shared" si="719"/>
        <v>4.8576311487320067</v>
      </c>
      <c r="V107" s="636">
        <f t="shared" si="720"/>
        <v>-0.74522984492180377</v>
      </c>
      <c r="W107" s="585">
        <f t="shared" si="645"/>
        <v>81.219988273284599</v>
      </c>
      <c r="X107" s="629">
        <f t="shared" si="721"/>
        <v>4.9152293191493905</v>
      </c>
      <c r="Y107" s="630">
        <f t="shared" si="644"/>
        <v>-0.74522984492180377</v>
      </c>
      <c r="Z107" s="632">
        <f t="shared" si="664"/>
        <v>0.393690785594006</v>
      </c>
      <c r="AA107" s="629">
        <f t="shared" si="665"/>
        <v>0.89225995241813805</v>
      </c>
      <c r="AB107" s="629">
        <f t="shared" si="666"/>
        <v>-0.22108763567679784</v>
      </c>
      <c r="AC107" s="636">
        <f t="shared" si="722"/>
        <v>1</v>
      </c>
      <c r="AD107" s="637">
        <f t="shared" si="723"/>
        <v>0.393690785594006</v>
      </c>
      <c r="AE107" s="629">
        <f t="shared" si="724"/>
        <v>0.89225995241813805</v>
      </c>
      <c r="AF107" s="633">
        <f t="shared" si="725"/>
        <v>-0.22108763567679784</v>
      </c>
      <c r="AG107" s="602">
        <f t="shared" si="726"/>
        <v>76.083323787677614</v>
      </c>
      <c r="AH107" s="603">
        <f t="shared" si="727"/>
        <v>66.815653301941566</v>
      </c>
      <c r="AI107" s="585">
        <f t="shared" si="728"/>
        <v>-77.227076906371465</v>
      </c>
      <c r="AJ107" s="586">
        <f t="shared" si="729"/>
        <v>156.19154690180719</v>
      </c>
      <c r="AK107" s="635">
        <f t="shared" si="730"/>
        <v>0.94189755932626162</v>
      </c>
      <c r="AL107" s="629">
        <f t="shared" si="731"/>
        <v>-0.25288187971081511</v>
      </c>
      <c r="AM107" s="634">
        <f t="shared" si="732"/>
        <v>-0.22108763567679784</v>
      </c>
      <c r="AN107" s="581">
        <f t="shared" si="733"/>
        <v>-48.837696052675483</v>
      </c>
      <c r="AO107" s="582">
        <f t="shared" si="461"/>
        <v>19.627291860534399</v>
      </c>
      <c r="AP107" s="585">
        <f t="shared" si="734"/>
        <v>-15.028441371477422</v>
      </c>
      <c r="AQ107" s="586">
        <f t="shared" si="667"/>
        <v>0.46379867345255343</v>
      </c>
      <c r="AS107" s="52">
        <f t="shared" ref="AS107:AS138" si="737">IF(G107="","",IF(AND(W107&lt;(AS106+180),W107&gt;(AS106-180)),W107,IF(W107&gt;(AS106+180),W107-360,IF(W107&lt;(AS106-180),W107+360,"Error"))))</f>
        <v>-278.78001172671543</v>
      </c>
      <c r="AT107" s="73">
        <f t="shared" si="668"/>
        <v>-0.55163261455602919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>Taper</v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6.2350000000000003</v>
      </c>
      <c r="IH107" s="731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6.1349999999999998</v>
      </c>
      <c r="II107" s="734" cm="1">
        <f t="array" ref="II107">IFERROR(ROUND(VALUE(IF($IH107&lt;1,$IH107+LARGE((IF($M$9:$M$150="",0,$M$9:$M$150)-MOD(IF($M$9:$M$150="",0,$M$9:$M$150),1)),1),$IH107)),4),"")</f>
        <v>6.1349999999999998</v>
      </c>
      <c r="IJ107" s="533">
        <f t="shared" si="542"/>
        <v>1613</v>
      </c>
      <c r="IK107" s="533">
        <f t="shared" si="713"/>
        <v>1313</v>
      </c>
      <c r="IL107" s="727">
        <f t="shared" si="647"/>
        <v>13.266998084482452</v>
      </c>
      <c r="IM107" s="759">
        <v>1.67860938890489E-3</v>
      </c>
      <c r="IN107" s="5">
        <f t="shared" si="648"/>
        <v>0.02</v>
      </c>
      <c r="IO107" s="771">
        <v>10</v>
      </c>
      <c r="IP107" s="9">
        <f t="shared" si="649"/>
        <v>-4.8900147482844805</v>
      </c>
      <c r="IQ107" s="5">
        <f t="shared" si="650"/>
        <v>-0.78090235520150342</v>
      </c>
      <c r="IR107" s="5">
        <f t="shared" si="714"/>
        <v>0.314</v>
      </c>
      <c r="IS107" s="5">
        <f t="shared" si="651"/>
        <v>0.29575583362844621</v>
      </c>
      <c r="IT107" s="727">
        <f t="shared" si="652"/>
        <v>48.83769605267544</v>
      </c>
      <c r="IU107" s="9">
        <f t="shared" si="653"/>
        <v>-4.9152293191493905</v>
      </c>
      <c r="IV107" s="5">
        <f t="shared" si="654"/>
        <v>-0.74522984492180377</v>
      </c>
      <c r="IW107" s="5">
        <f t="shared" si="715"/>
        <v>0.26600000000000001</v>
      </c>
      <c r="IX107" s="5">
        <f t="shared" si="655"/>
        <v>0.25054475078078559</v>
      </c>
      <c r="IY107" s="762">
        <f t="shared" si="656"/>
        <v>48.837696052675483</v>
      </c>
    </row>
    <row r="108" spans="1:259" ht="15" customHeight="1" x14ac:dyDescent="0.25">
      <c r="A108" s="79"/>
      <c r="B108" s="707">
        <v>-5.3709498322063531</v>
      </c>
      <c r="C108" s="708">
        <v>0.77167046702949127</v>
      </c>
      <c r="D108" s="709">
        <v>-1.3142697539090262</v>
      </c>
      <c r="E108" s="710">
        <v>-0.47030399527474009</v>
      </c>
      <c r="F108" s="708">
        <v>-0.86411461688480085</v>
      </c>
      <c r="G108" s="711">
        <v>0.17922076027807496</v>
      </c>
      <c r="H108" s="710">
        <v>0.26600000000000001</v>
      </c>
      <c r="I108" s="708">
        <v>0.52</v>
      </c>
      <c r="J108" s="570">
        <v>6.242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1313</v>
      </c>
      <c r="L108" s="320"/>
      <c r="M108" s="168">
        <f t="shared" si="660"/>
        <v>6.242</v>
      </c>
      <c r="N108" s="632">
        <f t="shared" si="661"/>
        <v>-5.3709498322063531</v>
      </c>
      <c r="O108" s="629">
        <f t="shared" si="662"/>
        <v>0.77167046702949127</v>
      </c>
      <c r="P108" s="633">
        <f t="shared" si="663"/>
        <v>-1.3142697539090262</v>
      </c>
      <c r="Q108" s="585">
        <f t="shared" si="520"/>
        <v>171.82398818607777</v>
      </c>
      <c r="R108" s="629">
        <f t="shared" si="716"/>
        <v>5.4261014927628262</v>
      </c>
      <c r="S108" s="634">
        <f t="shared" si="717"/>
        <v>-1.3142697539090262</v>
      </c>
      <c r="T108" s="635">
        <f t="shared" si="718"/>
        <v>0.77167046702949282</v>
      </c>
      <c r="U108" s="629">
        <f t="shared" si="719"/>
        <v>5.3709498322063531</v>
      </c>
      <c r="V108" s="636">
        <f t="shared" si="720"/>
        <v>-1.3142697539090262</v>
      </c>
      <c r="W108" s="585">
        <f t="shared" si="645"/>
        <v>81.82398818607777</v>
      </c>
      <c r="X108" s="629">
        <f t="shared" si="721"/>
        <v>5.4261014927628262</v>
      </c>
      <c r="Y108" s="630">
        <f t="shared" si="644"/>
        <v>-1.3142697539090262</v>
      </c>
      <c r="Z108" s="632">
        <f t="shared" si="664"/>
        <v>0.47030399527474009</v>
      </c>
      <c r="AA108" s="629">
        <f t="shared" si="665"/>
        <v>0.86411461688480085</v>
      </c>
      <c r="AB108" s="629">
        <f t="shared" si="666"/>
        <v>-0.17922076027807496</v>
      </c>
      <c r="AC108" s="636">
        <f t="shared" si="722"/>
        <v>1</v>
      </c>
      <c r="AD108" s="637">
        <f t="shared" si="723"/>
        <v>0.47030399527474009</v>
      </c>
      <c r="AE108" s="629">
        <f t="shared" si="724"/>
        <v>0.86411461688480085</v>
      </c>
      <c r="AF108" s="633">
        <f t="shared" si="725"/>
        <v>-0.17922076027807496</v>
      </c>
      <c r="AG108" s="602">
        <f t="shared" si="726"/>
        <v>78.282756780177394</v>
      </c>
      <c r="AH108" s="603">
        <f t="shared" si="727"/>
        <v>61.94596866647499</v>
      </c>
      <c r="AI108" s="585">
        <f t="shared" si="728"/>
        <v>-79.675625405271987</v>
      </c>
      <c r="AJ108" s="586">
        <f t="shared" si="729"/>
        <v>151.44226561470671</v>
      </c>
      <c r="AK108" s="635">
        <f t="shared" si="730"/>
        <v>0.92221569517603175</v>
      </c>
      <c r="AL108" s="629">
        <f t="shared" si="731"/>
        <v>-0.34263410609035599</v>
      </c>
      <c r="AM108" s="634">
        <f t="shared" si="732"/>
        <v>-0.17922076027807496</v>
      </c>
      <c r="AN108" s="581">
        <f t="shared" si="733"/>
        <v>-62.387396751572901</v>
      </c>
      <c r="AO108" s="582">
        <f t="shared" si="461"/>
        <v>22.747818440349509</v>
      </c>
      <c r="AP108" s="585">
        <f t="shared" si="734"/>
        <v>-20.381722571371057</v>
      </c>
      <c r="AQ108" s="586">
        <f t="shared" si="667"/>
        <v>0.42013327166757453</v>
      </c>
      <c r="AS108" s="52">
        <f t="shared" si="737"/>
        <v>-278.17601181392223</v>
      </c>
      <c r="AT108" s="73">
        <f t="shared" si="668"/>
        <v>-1.1210919679271358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>Taper</v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6.242</v>
      </c>
      <c r="IH108" s="731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6.1420000000000003</v>
      </c>
      <c r="II108" s="734" cm="1">
        <f t="array" ref="II108">IFERROR(ROUND(VALUE(IF($IH108&lt;1,$IH108+LARGE((IF($M$9:$M$150="",0,$M$9:$M$150)-MOD(IF($M$9:$M$150="",0,$M$9:$M$150),1)),1),$IH108)),4),"")</f>
        <v>6.1420000000000003</v>
      </c>
      <c r="IJ108" s="533">
        <f t="shared" si="542"/>
        <v>1613</v>
      </c>
      <c r="IK108" s="533">
        <f t="shared" si="713"/>
        <v>1313</v>
      </c>
      <c r="IL108" s="727">
        <f t="shared" si="647"/>
        <v>12.124998249366882</v>
      </c>
      <c r="IM108" s="759">
        <v>1.2172150521939499E-3</v>
      </c>
      <c r="IN108" s="5">
        <f t="shared" si="648"/>
        <v>0</v>
      </c>
      <c r="IO108" s="771">
        <v>0</v>
      </c>
      <c r="IP108" s="9">
        <f t="shared" si="649"/>
        <v>-5.3936162671466619</v>
      </c>
      <c r="IQ108" s="5">
        <f t="shared" si="650"/>
        <v>-1.3428040498970146</v>
      </c>
      <c r="IR108" s="5">
        <f t="shared" si="714"/>
        <v>0.314</v>
      </c>
      <c r="IS108" s="5">
        <f t="shared" si="651"/>
        <v>0.28957572828527395</v>
      </c>
      <c r="IT108" s="727">
        <f t="shared" si="652"/>
        <v>62.387396751572993</v>
      </c>
      <c r="IU108" s="9">
        <f t="shared" si="653"/>
        <v>-5.4261014927628262</v>
      </c>
      <c r="IV108" s="5">
        <f t="shared" si="654"/>
        <v>-1.3142697539090262</v>
      </c>
      <c r="IW108" s="5">
        <f t="shared" si="715"/>
        <v>0.26600000000000001</v>
      </c>
      <c r="IX108" s="5">
        <f t="shared" si="655"/>
        <v>0.24530937491682445</v>
      </c>
      <c r="IY108" s="762">
        <f t="shared" si="656"/>
        <v>62.387396751572901</v>
      </c>
    </row>
    <row r="109" spans="1:259" ht="15" customHeight="1" x14ac:dyDescent="0.25">
      <c r="A109" s="79"/>
      <c r="B109" s="707">
        <v>-5.7076722132303637</v>
      </c>
      <c r="C109" s="708">
        <v>0.79342772122968541</v>
      </c>
      <c r="D109" s="709">
        <v>-2.0009092114949945</v>
      </c>
      <c r="E109" s="710">
        <v>-0.56503973867773782</v>
      </c>
      <c r="F109" s="708">
        <v>-0.81520591158520006</v>
      </c>
      <c r="G109" s="711">
        <v>0.1271590163202625</v>
      </c>
      <c r="H109" s="710">
        <v>0.26600000000000001</v>
      </c>
      <c r="I109" s="708">
        <v>0.52</v>
      </c>
      <c r="J109" s="570">
        <v>6.2489999999999997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1313</v>
      </c>
      <c r="L109" s="320"/>
      <c r="M109" s="168">
        <f t="shared" si="660"/>
        <v>6.2489999999999997</v>
      </c>
      <c r="N109" s="632">
        <f t="shared" si="661"/>
        <v>-5.7076722132303637</v>
      </c>
      <c r="O109" s="629">
        <f t="shared" si="662"/>
        <v>0.79342772122968541</v>
      </c>
      <c r="P109" s="633">
        <f t="shared" si="663"/>
        <v>-2.0009092114949945</v>
      </c>
      <c r="Q109" s="585">
        <f t="shared" si="520"/>
        <v>172.08598814824967</v>
      </c>
      <c r="R109" s="629">
        <f t="shared" si="716"/>
        <v>5.7625558255428402</v>
      </c>
      <c r="S109" s="634">
        <f t="shared" si="717"/>
        <v>-2.0009092114949945</v>
      </c>
      <c r="T109" s="635">
        <f t="shared" si="718"/>
        <v>0.79342772122968608</v>
      </c>
      <c r="U109" s="629">
        <f t="shared" si="719"/>
        <v>5.7076722132303628</v>
      </c>
      <c r="V109" s="636">
        <f t="shared" si="720"/>
        <v>-2.0009092114949945</v>
      </c>
      <c r="W109" s="585">
        <f t="shared" si="645"/>
        <v>82.085988148249669</v>
      </c>
      <c r="X109" s="629">
        <f t="shared" si="721"/>
        <v>5.7625558255428402</v>
      </c>
      <c r="Y109" s="630">
        <f t="shared" si="644"/>
        <v>-2.0009092114949945</v>
      </c>
      <c r="Z109" s="632">
        <f t="shared" si="664"/>
        <v>0.56503973867773782</v>
      </c>
      <c r="AA109" s="629">
        <f t="shared" si="665"/>
        <v>0.81520591158520006</v>
      </c>
      <c r="AB109" s="629">
        <f t="shared" si="666"/>
        <v>-0.1271590163202625</v>
      </c>
      <c r="AC109" s="636">
        <f t="shared" si="722"/>
        <v>1</v>
      </c>
      <c r="AD109" s="637">
        <f t="shared" si="723"/>
        <v>0.56503973867773782</v>
      </c>
      <c r="AE109" s="629">
        <f t="shared" si="724"/>
        <v>0.81520591158520006</v>
      </c>
      <c r="AF109" s="633">
        <f t="shared" si="725"/>
        <v>-0.1271590163202625</v>
      </c>
      <c r="AG109" s="602">
        <f t="shared" si="726"/>
        <v>81.134223205675127</v>
      </c>
      <c r="AH109" s="603">
        <f t="shared" si="727"/>
        <v>55.594949120576402</v>
      </c>
      <c r="AI109" s="585">
        <f t="shared" si="728"/>
        <v>-82.694546600323903</v>
      </c>
      <c r="AJ109" s="586">
        <f t="shared" si="729"/>
        <v>145.27319595353251</v>
      </c>
      <c r="AK109" s="635">
        <f t="shared" si="730"/>
        <v>0.88524024344679131</v>
      </c>
      <c r="AL109" s="629">
        <f t="shared" si="731"/>
        <v>-0.44741512709197584</v>
      </c>
      <c r="AM109" s="634">
        <f t="shared" si="732"/>
        <v>-0.1271590163202625</v>
      </c>
      <c r="AN109" s="581">
        <f t="shared" si="733"/>
        <v>-74.134419268254589</v>
      </c>
      <c r="AO109" s="582">
        <f t="shared" si="461"/>
        <v>27.718899751437039</v>
      </c>
      <c r="AP109" s="585">
        <f t="shared" si="734"/>
        <v>-26.812792194717144</v>
      </c>
      <c r="AQ109" s="586">
        <f t="shared" si="667"/>
        <v>0.39560404678211381</v>
      </c>
      <c r="AS109" s="52">
        <f t="shared" si="737"/>
        <v>-277.91401185175033</v>
      </c>
      <c r="AT109" s="73">
        <f t="shared" si="668"/>
        <v>-1.807913369931279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>Taper</v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6.2489999999999997</v>
      </c>
      <c r="IH109" s="731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6.149</v>
      </c>
      <c r="II109" s="734" cm="1">
        <f t="array" ref="II109">IFERROR(ROUND(VALUE(IF($IH109&lt;1,$IH109+LARGE((IF($M$9:$M$150="",0,$M$9:$M$150)-MOD(IF($M$9:$M$150="",0,$M$9:$M$150),1)),1),$IH109)),4),"")</f>
        <v>6.149</v>
      </c>
      <c r="IJ109" s="533">
        <f t="shared" si="542"/>
        <v>1613</v>
      </c>
      <c r="IK109" s="533">
        <f t="shared" si="713"/>
        <v>1313</v>
      </c>
      <c r="IL109" s="727">
        <f t="shared" si="647"/>
        <v>11.4899983410495</v>
      </c>
      <c r="IM109" s="759">
        <v>7.9530492598845002E-4</v>
      </c>
      <c r="IN109" s="5">
        <f t="shared" si="648"/>
        <v>0</v>
      </c>
      <c r="IO109" s="771">
        <v>0</v>
      </c>
      <c r="IP109" s="9">
        <f t="shared" si="649"/>
        <v>-5.7255172681600808</v>
      </c>
      <c r="IQ109" s="5">
        <f t="shared" si="650"/>
        <v>-2.0205060938463792</v>
      </c>
      <c r="IR109" s="5">
        <f t="shared" si="714"/>
        <v>0.314</v>
      </c>
      <c r="IS109" s="5">
        <f t="shared" si="651"/>
        <v>0.27796543644229249</v>
      </c>
      <c r="IT109" s="727">
        <f t="shared" si="652"/>
        <v>74.134419268254604</v>
      </c>
      <c r="IU109" s="9">
        <f t="shared" si="653"/>
        <v>-5.7625558255428402</v>
      </c>
      <c r="IV109" s="5">
        <f t="shared" si="654"/>
        <v>-2.0009092114949945</v>
      </c>
      <c r="IW109" s="5">
        <f t="shared" si="715"/>
        <v>0.26600000000000001</v>
      </c>
      <c r="IX109" s="5">
        <f t="shared" si="655"/>
        <v>0.23547390475684651</v>
      </c>
      <c r="IY109" s="762">
        <f t="shared" si="656"/>
        <v>74.134419268254589</v>
      </c>
    </row>
    <row r="110" spans="1:259" ht="15" customHeight="1" x14ac:dyDescent="0.25">
      <c r="A110" s="79"/>
      <c r="B110" s="707">
        <v>-5.8455565057657246</v>
      </c>
      <c r="C110" s="708">
        <v>0.80406916079987445</v>
      </c>
      <c r="D110" s="709">
        <v>-2.752495176646129</v>
      </c>
      <c r="E110" s="710">
        <v>-0.62174966685720612</v>
      </c>
      <c r="F110" s="708">
        <v>-0.7825831106029939</v>
      </c>
      <c r="G110" s="711">
        <v>3.1480577534340137E-2</v>
      </c>
      <c r="H110" s="710">
        <v>0.26600000000000001</v>
      </c>
      <c r="I110" s="708">
        <v>0.52</v>
      </c>
      <c r="J110" s="570">
        <v>6.2560000000000002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1313</v>
      </c>
      <c r="L110" s="320"/>
      <c r="M110" s="168">
        <f t="shared" si="660"/>
        <v>6.2560000000000002</v>
      </c>
      <c r="N110" s="632">
        <f t="shared" si="661"/>
        <v>-5.8455565057657246</v>
      </c>
      <c r="O110" s="629">
        <f t="shared" si="662"/>
        <v>0.80406916079987445</v>
      </c>
      <c r="P110" s="633">
        <f t="shared" si="663"/>
        <v>-2.752495176646129</v>
      </c>
      <c r="Q110" s="585">
        <f t="shared" si="520"/>
        <v>172.16798813641034</v>
      </c>
      <c r="R110" s="629">
        <f t="shared" si="716"/>
        <v>5.9005981118399689</v>
      </c>
      <c r="S110" s="634">
        <f t="shared" si="717"/>
        <v>-2.752495176646129</v>
      </c>
      <c r="T110" s="635">
        <f t="shared" si="718"/>
        <v>0.80406916079987401</v>
      </c>
      <c r="U110" s="629">
        <f t="shared" si="719"/>
        <v>5.8455565057657246</v>
      </c>
      <c r="V110" s="636">
        <f t="shared" si="720"/>
        <v>-2.752495176646129</v>
      </c>
      <c r="W110" s="585">
        <f t="shared" si="645"/>
        <v>82.167988136410344</v>
      </c>
      <c r="X110" s="629">
        <f t="shared" si="721"/>
        <v>5.9005981118399689</v>
      </c>
      <c r="Y110" s="630">
        <f t="shared" si="644"/>
        <v>-2.752495176646129</v>
      </c>
      <c r="Z110" s="632">
        <f t="shared" si="664"/>
        <v>0.62174966685720612</v>
      </c>
      <c r="AA110" s="629">
        <f t="shared" si="665"/>
        <v>0.7825831106029939</v>
      </c>
      <c r="AB110" s="629">
        <f t="shared" si="666"/>
        <v>-3.1480577534340137E-2</v>
      </c>
      <c r="AC110" s="636">
        <f t="shared" si="722"/>
        <v>1</v>
      </c>
      <c r="AD110" s="637">
        <f t="shared" si="723"/>
        <v>0.62174966685720612</v>
      </c>
      <c r="AE110" s="629">
        <f t="shared" si="724"/>
        <v>0.7825831106029939</v>
      </c>
      <c r="AF110" s="633">
        <f t="shared" si="725"/>
        <v>-3.1480577534340137E-2</v>
      </c>
      <c r="AG110" s="602">
        <f t="shared" si="726"/>
        <v>87.696433455127035</v>
      </c>
      <c r="AH110" s="603">
        <f t="shared" si="727"/>
        <v>51.55598270446454</v>
      </c>
      <c r="AI110" s="585">
        <f t="shared" si="728"/>
        <v>-88.195997717848272</v>
      </c>
      <c r="AJ110" s="586">
        <f t="shared" si="729"/>
        <v>141.53342458761276</v>
      </c>
      <c r="AK110" s="635">
        <f t="shared" si="730"/>
        <v>0.86000832969164798</v>
      </c>
      <c r="AL110" s="629">
        <f t="shared" si="731"/>
        <v>-0.50930800710285939</v>
      </c>
      <c r="AM110" s="634">
        <f t="shared" si="732"/>
        <v>-3.1480577534340137E-2</v>
      </c>
      <c r="AN110" s="581">
        <f t="shared" si="733"/>
        <v>-86.463019595092319</v>
      </c>
      <c r="AO110" s="582">
        <f t="shared" si="461"/>
        <v>30.682481838895992</v>
      </c>
      <c r="AP110" s="585">
        <f t="shared" si="734"/>
        <v>-30.634563548797598</v>
      </c>
      <c r="AQ110" s="586">
        <f t="shared" si="667"/>
        <v>0.38634932194506039</v>
      </c>
      <c r="AS110" s="52">
        <f t="shared" si="737"/>
        <v>-277.83201186358963</v>
      </c>
      <c r="AT110" s="73">
        <f t="shared" si="668"/>
        <v>-2.5595562795186364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>Taper</v>
      </c>
      <c r="IF110" s="533" t="str">
        <f>IFERROR(IF((((($IW110*COS(RADIANS(180-$IY110)))*COS(RADIANS($IY110)))-(($IX110*SIN(RADIANS(180-$IY110)))*SIN(RADIANS($IY110))))+$IU110)&lt;(((Settings!$C$19+$IF$8)/2)*-1),"Gage",""),"")</f>
        <v>Gage</v>
      </c>
      <c r="IG110" s="847">
        <f t="shared" si="643"/>
        <v>6.2560000000000002</v>
      </c>
      <c r="IH110" s="731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6.1559999999999997</v>
      </c>
      <c r="II110" s="734" cm="1">
        <f t="array" ref="II110">IFERROR(ROUND(VALUE(IF($IH110&lt;1,$IH110+LARGE((IF($M$9:$M$150="",0,$M$9:$M$150)-MOD(IF($M$9:$M$150="",0,$M$9:$M$150),1)),1),$IH110)),4),"")</f>
        <v>6.1559999999999997</v>
      </c>
      <c r="IJ110" s="533">
        <f t="shared" si="542"/>
        <v>1613</v>
      </c>
      <c r="IK110" s="533">
        <f t="shared" si="713"/>
        <v>1313</v>
      </c>
      <c r="IL110" s="727">
        <f t="shared" si="647"/>
        <v>11.251998375412455</v>
      </c>
      <c r="IM110" s="759">
        <v>3.8245677865355302E-4</v>
      </c>
      <c r="IN110" s="5">
        <f t="shared" si="648"/>
        <v>0</v>
      </c>
      <c r="IO110" s="771">
        <v>0</v>
      </c>
      <c r="IP110" s="9">
        <f t="shared" si="649"/>
        <v>-5.8608176762261115</v>
      </c>
      <c r="IQ110" s="5">
        <f t="shared" si="650"/>
        <v>-2.7628083326299313</v>
      </c>
      <c r="IR110" s="5">
        <f t="shared" si="714"/>
        <v>0.314</v>
      </c>
      <c r="IS110" s="5">
        <f t="shared" si="651"/>
        <v>0.27004261552317754</v>
      </c>
      <c r="IT110" s="727">
        <f t="shared" si="652"/>
        <v>86.463019595092334</v>
      </c>
      <c r="IU110" s="9">
        <f t="shared" si="653"/>
        <v>-5.9005981118399689</v>
      </c>
      <c r="IV110" s="5">
        <f t="shared" si="654"/>
        <v>-2.752495176646129</v>
      </c>
      <c r="IW110" s="5">
        <f t="shared" si="715"/>
        <v>0.26600000000000001</v>
      </c>
      <c r="IX110" s="5">
        <f t="shared" si="655"/>
        <v>0.22876221569797836</v>
      </c>
      <c r="IY110" s="762">
        <f t="shared" si="656"/>
        <v>86.463019595092319</v>
      </c>
    </row>
    <row r="111" spans="1:259" ht="15" customHeight="1" x14ac:dyDescent="0.25">
      <c r="A111" s="79"/>
      <c r="B111" s="707">
        <v>-5.8054612942760508</v>
      </c>
      <c r="C111" s="708">
        <v>1.0519971572520415</v>
      </c>
      <c r="D111" s="709">
        <v>-3.5509306207178626</v>
      </c>
      <c r="E111" s="710">
        <v>-0.98397541645069642</v>
      </c>
      <c r="F111" s="708">
        <v>0.17830417779913954</v>
      </c>
      <c r="G111" s="711">
        <v>2.2679489682416682E-7</v>
      </c>
      <c r="H111" s="710">
        <v>0.26250000000000001</v>
      </c>
      <c r="I111" s="708">
        <v>0.40699999999999997</v>
      </c>
      <c r="J111" s="570">
        <v>6.2629999999999999</v>
      </c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Inactive</v>
      </c>
      <c r="L111" s="320"/>
      <c r="M111" s="168">
        <f t="shared" si="660"/>
        <v>6.2629999999999999</v>
      </c>
      <c r="N111" s="632">
        <f t="shared" si="661"/>
        <v>-5.8054612942760508</v>
      </c>
      <c r="O111" s="629">
        <f t="shared" si="662"/>
        <v>1.0519971572520415</v>
      </c>
      <c r="P111" s="633">
        <f t="shared" si="663"/>
        <v>-3.5509306207178626</v>
      </c>
      <c r="Q111" s="585">
        <f t="shared" si="520"/>
        <v>169.72898848855831</v>
      </c>
      <c r="R111" s="629">
        <f t="shared" si="716"/>
        <v>5.9000066828948361</v>
      </c>
      <c r="S111" s="634">
        <f t="shared" si="717"/>
        <v>-3.5509306207178626</v>
      </c>
      <c r="T111" s="635">
        <f t="shared" si="718"/>
        <v>1.051997157252041</v>
      </c>
      <c r="U111" s="629">
        <f t="shared" si="719"/>
        <v>5.8054612942760508</v>
      </c>
      <c r="V111" s="636">
        <f t="shared" si="720"/>
        <v>-3.5509306207178626</v>
      </c>
      <c r="W111" s="585">
        <f t="shared" si="645"/>
        <v>79.728988488558315</v>
      </c>
      <c r="X111" s="629">
        <f t="shared" si="721"/>
        <v>5.9000066828948361</v>
      </c>
      <c r="Y111" s="630">
        <f t="shared" si="644"/>
        <v>-3.5509306207178626</v>
      </c>
      <c r="Z111" s="632">
        <f t="shared" si="664"/>
        <v>0.98397541645069642</v>
      </c>
      <c r="AA111" s="629">
        <f t="shared" si="665"/>
        <v>-0.17830417779913954</v>
      </c>
      <c r="AB111" s="629">
        <f t="shared" si="666"/>
        <v>-2.2679489682416682E-7</v>
      </c>
      <c r="AC111" s="636">
        <f t="shared" si="722"/>
        <v>1</v>
      </c>
      <c r="AD111" s="637">
        <f t="shared" si="723"/>
        <v>0.98397541645069642</v>
      </c>
      <c r="AE111" s="629">
        <f t="shared" si="724"/>
        <v>-0.17830417779913954</v>
      </c>
      <c r="AF111" s="633">
        <f t="shared" si="725"/>
        <v>-2.2679489682416682E-7</v>
      </c>
      <c r="AG111" s="602">
        <f t="shared" si="726"/>
        <v>-89.999927122344729</v>
      </c>
      <c r="AH111" s="603">
        <f t="shared" si="727"/>
        <v>10.270998517059402</v>
      </c>
      <c r="AI111" s="585">
        <f t="shared" si="728"/>
        <v>-89.999987005609597</v>
      </c>
      <c r="AJ111" s="586">
        <f t="shared" si="729"/>
        <v>79.729001482948718</v>
      </c>
      <c r="AK111" s="635">
        <f t="shared" si="730"/>
        <v>2.2679489669608088E-7</v>
      </c>
      <c r="AL111" s="629">
        <f t="shared" si="731"/>
        <v>-0.99999999999994871</v>
      </c>
      <c r="AM111" s="634">
        <f t="shared" si="732"/>
        <v>-2.2679489682416682E-7</v>
      </c>
      <c r="AN111" s="581">
        <f t="shared" si="733"/>
        <v>-89.999987005609597</v>
      </c>
      <c r="AO111" s="582">
        <f t="shared" si="461"/>
        <v>0</v>
      </c>
      <c r="AP111" s="585">
        <f t="shared" si="734"/>
        <v>-89.999987005609611</v>
      </c>
      <c r="AQ111" s="586">
        <f t="shared" si="667"/>
        <v>0.38638804923078224</v>
      </c>
      <c r="AS111" s="52">
        <f t="shared" si="737"/>
        <v>-280.27101151144166</v>
      </c>
      <c r="AT111" s="73">
        <f t="shared" si="668"/>
        <v>-3.3562979738349168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>Taper</v>
      </c>
      <c r="IF111" s="533" t="str">
        <f>IFERROR(IF((((($IW111*COS(RADIANS(180-$IY111)))*COS(RADIANS($IY111)))-(($IX111*SIN(RADIANS(180-$IY111)))*SIN(RADIANS($IY111))))+$IU111)&lt;(((Settings!$C$19+$IF$8)/2)*-1),"Gage",""),"")</f>
        <v>Gage</v>
      </c>
      <c r="IG111" s="847">
        <f t="shared" si="643"/>
        <v>6.2629999999999999</v>
      </c>
      <c r="IH111" s="731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6.1630000000000003</v>
      </c>
      <c r="II111" s="734" cm="1">
        <f t="array" ref="II111">IFERROR(ROUND(VALUE(IF($IH111&lt;1,$IH111+LARGE((IF($M$9:$M$150="",0,$M$9:$M$150)-MOD(IF($M$9:$M$150="",0,$M$9:$M$150),1)),1),$IH111)),4),"")</f>
        <v>6.1630000000000003</v>
      </c>
      <c r="IJ111" s="533">
        <f t="shared" si="542"/>
        <v>1613</v>
      </c>
      <c r="IK111" s="533" t="str">
        <f t="shared" si="713"/>
        <v>Inactive</v>
      </c>
      <c r="IL111" s="727">
        <f t="shared" si="647"/>
        <v>13.627998032360523</v>
      </c>
      <c r="IM111" s="759">
        <v>4.0172827225051701E-4</v>
      </c>
      <c r="IN111" s="5">
        <f t="shared" si="648"/>
        <v>0</v>
      </c>
      <c r="IO111" s="771">
        <v>0</v>
      </c>
      <c r="IP111" s="9">
        <f t="shared" si="649"/>
        <v>-5.9156178415034111</v>
      </c>
      <c r="IQ111" s="5">
        <f t="shared" si="650"/>
        <v>-3.5238106278128534</v>
      </c>
      <c r="IR111" s="5">
        <f t="shared" si="714"/>
        <v>0.314</v>
      </c>
      <c r="IS111" s="5">
        <f t="shared" si="651"/>
        <v>0.24053797548389935</v>
      </c>
      <c r="IT111" s="727">
        <f t="shared" si="652"/>
        <v>89.999987005609611</v>
      </c>
      <c r="IU111" s="9">
        <f t="shared" si="653"/>
        <v>-5.9000066828948361</v>
      </c>
      <c r="IV111" s="5">
        <f t="shared" si="654"/>
        <v>-3.5509306207178626</v>
      </c>
      <c r="IW111" s="5">
        <f t="shared" si="715"/>
        <v>0.26250000000000001</v>
      </c>
      <c r="IX111" s="5">
        <f t="shared" si="655"/>
        <v>0.26250000000000001</v>
      </c>
      <c r="IY111" s="762">
        <f t="shared" si="656"/>
        <v>89.999987005609597</v>
      </c>
    </row>
    <row r="112" spans="1:259" ht="15" customHeight="1" x14ac:dyDescent="0.25">
      <c r="A112" s="79"/>
      <c r="B112" s="707">
        <v>-1.9190998803882586</v>
      </c>
      <c r="C112" s="708">
        <v>1.8533183734039216</v>
      </c>
      <c r="D112" s="709">
        <v>-0.16630050156231271</v>
      </c>
      <c r="E112" s="710">
        <v>-0.62646537462506391</v>
      </c>
      <c r="F112" s="708">
        <v>-0.72085023775923462</v>
      </c>
      <c r="G112" s="711">
        <v>0.296506440264513</v>
      </c>
      <c r="H112" s="710">
        <v>0.314</v>
      </c>
      <c r="I112" s="708">
        <v>0.52</v>
      </c>
      <c r="J112" s="570">
        <v>7.1130000000000004</v>
      </c>
      <c r="K112" s="865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1613</v>
      </c>
      <c r="L112" s="320"/>
      <c r="M112" s="168">
        <f t="shared" si="660"/>
        <v>7.1130000000000004</v>
      </c>
      <c r="N112" s="632">
        <f t="shared" si="661"/>
        <v>-1.9190998803882586</v>
      </c>
      <c r="O112" s="629">
        <f t="shared" si="662"/>
        <v>1.8533183734039216</v>
      </c>
      <c r="P112" s="633">
        <f t="shared" si="663"/>
        <v>-0.16630050156231271</v>
      </c>
      <c r="Q112" s="585">
        <f t="shared" si="520"/>
        <v>135.99899335856708</v>
      </c>
      <c r="R112" s="629">
        <f t="shared" si="716"/>
        <v>2.6679080464106679</v>
      </c>
      <c r="S112" s="634">
        <f t="shared" si="717"/>
        <v>-0.16630050156231271</v>
      </c>
      <c r="T112" s="635">
        <f t="shared" si="718"/>
        <v>1.8533183734039218</v>
      </c>
      <c r="U112" s="629">
        <f t="shared" si="719"/>
        <v>1.9190998803882586</v>
      </c>
      <c r="V112" s="636">
        <f t="shared" si="720"/>
        <v>-0.16630050156231271</v>
      </c>
      <c r="W112" s="585">
        <f t="shared" si="645"/>
        <v>45.998993358567077</v>
      </c>
      <c r="X112" s="629">
        <f t="shared" si="721"/>
        <v>2.6679080464106679</v>
      </c>
      <c r="Y112" s="630">
        <f t="shared" si="644"/>
        <v>-0.16630050156231271</v>
      </c>
      <c r="Z112" s="632">
        <f t="shared" si="664"/>
        <v>0.62646537462506391</v>
      </c>
      <c r="AA112" s="629">
        <f t="shared" si="665"/>
        <v>0.72085023775923462</v>
      </c>
      <c r="AB112" s="629">
        <f t="shared" si="666"/>
        <v>-0.296506440264513</v>
      </c>
      <c r="AC112" s="636">
        <f t="shared" si="722"/>
        <v>1</v>
      </c>
      <c r="AD112" s="637">
        <f t="shared" si="723"/>
        <v>0.62646537462506391</v>
      </c>
      <c r="AE112" s="629">
        <f t="shared" si="724"/>
        <v>0.72085023775923462</v>
      </c>
      <c r="AF112" s="633">
        <f t="shared" si="725"/>
        <v>-0.296506440264513</v>
      </c>
      <c r="AG112" s="602">
        <f t="shared" si="726"/>
        <v>67.641224638305843</v>
      </c>
      <c r="AH112" s="603">
        <f t="shared" si="727"/>
        <v>51.21017693857975</v>
      </c>
      <c r="AI112" s="585">
        <f t="shared" si="728"/>
        <v>-72.752107871330011</v>
      </c>
      <c r="AJ112" s="586">
        <f t="shared" si="729"/>
        <v>139.00725245894029</v>
      </c>
      <c r="AK112" s="635">
        <f t="shared" si="730"/>
        <v>0.95371480196957914</v>
      </c>
      <c r="AL112" s="629">
        <f t="shared" si="731"/>
        <v>5.0119930025821713E-2</v>
      </c>
      <c r="AM112" s="634">
        <f t="shared" si="732"/>
        <v>-0.296506440264513</v>
      </c>
      <c r="AN112" s="581">
        <f t="shared" si="733"/>
        <v>9.5942925637270982</v>
      </c>
      <c r="AO112" s="582">
        <f t="shared" si="461"/>
        <v>17.500409418616929</v>
      </c>
      <c r="AP112" s="585">
        <f t="shared" si="734"/>
        <v>3.008259100373214</v>
      </c>
      <c r="AQ112" s="586">
        <f t="shared" si="667"/>
        <v>0.85443635765436776</v>
      </c>
      <c r="AS112" s="52">
        <f t="shared" si="737"/>
        <v>-314.00100664143292</v>
      </c>
      <c r="AT112" s="73">
        <f t="shared" si="668"/>
        <v>5.175575304979349E-2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7.1130000000000004</v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>
        <f t="shared" si="542"/>
        <v>1613</v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>
        <v>-2.4506269912157981</v>
      </c>
      <c r="C113" s="708">
        <v>2.3887132171375729</v>
      </c>
      <c r="D113" s="709">
        <v>-0.1474004445597408</v>
      </c>
      <c r="E113" s="710">
        <v>-0.71161109410453061</v>
      </c>
      <c r="F113" s="708">
        <v>-0.63736379827011924</v>
      </c>
      <c r="G113" s="711">
        <v>0.29559607474058208</v>
      </c>
      <c r="H113" s="710">
        <v>0.314</v>
      </c>
      <c r="I113" s="708">
        <v>0.52</v>
      </c>
      <c r="J113" s="570">
        <v>7.12</v>
      </c>
      <c r="K113" s="865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1613</v>
      </c>
      <c r="L113" s="320"/>
      <c r="M113" s="168">
        <f t="shared" si="660"/>
        <v>7.12</v>
      </c>
      <c r="N113" s="632">
        <f t="shared" si="661"/>
        <v>-2.4506269912157981</v>
      </c>
      <c r="O113" s="629">
        <f t="shared" si="662"/>
        <v>2.3887132171375729</v>
      </c>
      <c r="P113" s="633">
        <f t="shared" si="663"/>
        <v>-0.1474004445597408</v>
      </c>
      <c r="Q113" s="585">
        <f t="shared" si="520"/>
        <v>135.73299339697272</v>
      </c>
      <c r="R113" s="629">
        <f t="shared" si="716"/>
        <v>3.4222103213863302</v>
      </c>
      <c r="S113" s="634">
        <f t="shared" si="717"/>
        <v>-0.1474004445597408</v>
      </c>
      <c r="T113" s="635">
        <f t="shared" si="718"/>
        <v>2.3887132171375729</v>
      </c>
      <c r="U113" s="629">
        <f t="shared" si="719"/>
        <v>2.4506269912157981</v>
      </c>
      <c r="V113" s="636">
        <f t="shared" si="720"/>
        <v>-0.1474004445597408</v>
      </c>
      <c r="W113" s="585">
        <f t="shared" si="645"/>
        <v>45.732993396972716</v>
      </c>
      <c r="X113" s="629">
        <f t="shared" si="721"/>
        <v>3.4222103213863302</v>
      </c>
      <c r="Y113" s="630">
        <f t="shared" si="644"/>
        <v>-0.1474004445597408</v>
      </c>
      <c r="Z113" s="632">
        <f t="shared" si="664"/>
        <v>0.71161109410453061</v>
      </c>
      <c r="AA113" s="629">
        <f t="shared" si="665"/>
        <v>0.63736379827011924</v>
      </c>
      <c r="AB113" s="629">
        <f t="shared" si="666"/>
        <v>-0.29559607474058208</v>
      </c>
      <c r="AC113" s="636">
        <f t="shared" si="722"/>
        <v>1</v>
      </c>
      <c r="AD113" s="637">
        <f t="shared" si="723"/>
        <v>0.71161109410453061</v>
      </c>
      <c r="AE113" s="629">
        <f t="shared" si="724"/>
        <v>0.63736379827011924</v>
      </c>
      <c r="AF113" s="633">
        <f t="shared" si="725"/>
        <v>-0.29559607474058208</v>
      </c>
      <c r="AG113" s="602">
        <f t="shared" si="726"/>
        <v>65.119110318737683</v>
      </c>
      <c r="AH113" s="603">
        <f t="shared" si="727"/>
        <v>44.633849989541901</v>
      </c>
      <c r="AI113" s="585">
        <f t="shared" si="728"/>
        <v>-72.806715943933085</v>
      </c>
      <c r="AJ113" s="586">
        <f t="shared" si="729"/>
        <v>131.849630937765</v>
      </c>
      <c r="AK113" s="635">
        <f t="shared" si="730"/>
        <v>0.95311960601312729</v>
      </c>
      <c r="AL113" s="629">
        <f t="shared" si="731"/>
        <v>-6.469912852072579E-2</v>
      </c>
      <c r="AM113" s="634">
        <f t="shared" si="732"/>
        <v>-0.29559607474058208</v>
      </c>
      <c r="AN113" s="581">
        <f t="shared" si="733"/>
        <v>-12.346021462531374</v>
      </c>
      <c r="AO113" s="582">
        <f t="shared" si="461"/>
        <v>17.613460444035333</v>
      </c>
      <c r="AP113" s="585">
        <f t="shared" si="734"/>
        <v>-3.8833624592077141</v>
      </c>
      <c r="AQ113" s="586">
        <f t="shared" si="667"/>
        <v>0.66612618834946247</v>
      </c>
      <c r="AS113" s="52">
        <f t="shared" si="737"/>
        <v>-314.26700660302731</v>
      </c>
      <c r="AT113" s="73">
        <f t="shared" si="668"/>
        <v>7.084053224791706E-2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7.12</v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>
        <f t="shared" si="542"/>
        <v>1613</v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>
        <v>-2.9465578680679543</v>
      </c>
      <c r="C114" s="708">
        <v>2.9270807423096024</v>
      </c>
      <c r="D114" s="709">
        <v>-0.33420100795023999</v>
      </c>
      <c r="E114" s="710">
        <v>-0.78136811670271433</v>
      </c>
      <c r="F114" s="708">
        <v>-0.56172239288336234</v>
      </c>
      <c r="G114" s="711">
        <v>0.27190406310653559</v>
      </c>
      <c r="H114" s="710">
        <v>0.314</v>
      </c>
      <c r="I114" s="708">
        <v>0.52</v>
      </c>
      <c r="J114" s="570">
        <v>7.1269999999999998</v>
      </c>
      <c r="K114" s="865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1613</v>
      </c>
      <c r="L114" s="320"/>
      <c r="M114" s="168">
        <f t="shared" si="660"/>
        <v>7.1269999999999998</v>
      </c>
      <c r="N114" s="632">
        <f t="shared" si="661"/>
        <v>-2.9465578680679543</v>
      </c>
      <c r="O114" s="629">
        <f t="shared" si="662"/>
        <v>2.9270807423096024</v>
      </c>
      <c r="P114" s="633">
        <f t="shared" si="663"/>
        <v>-0.33420100795023999</v>
      </c>
      <c r="Q114" s="585">
        <f t="shared" si="520"/>
        <v>135.18999347537221</v>
      </c>
      <c r="R114" s="629">
        <f t="shared" si="716"/>
        <v>4.1533125263905797</v>
      </c>
      <c r="S114" s="634">
        <f t="shared" si="717"/>
        <v>-0.33420100795023999</v>
      </c>
      <c r="T114" s="635">
        <f t="shared" si="718"/>
        <v>2.9270807423096024</v>
      </c>
      <c r="U114" s="629">
        <f t="shared" si="719"/>
        <v>2.9465578680679538</v>
      </c>
      <c r="V114" s="636">
        <f t="shared" si="720"/>
        <v>-0.33420100795023999</v>
      </c>
      <c r="W114" s="585">
        <f t="shared" si="645"/>
        <v>45.189993475372205</v>
      </c>
      <c r="X114" s="629">
        <f t="shared" si="721"/>
        <v>4.1533125263905797</v>
      </c>
      <c r="Y114" s="630">
        <f t="shared" si="644"/>
        <v>-0.33420100795023999</v>
      </c>
      <c r="Z114" s="632">
        <f t="shared" si="664"/>
        <v>0.78136811670271433</v>
      </c>
      <c r="AA114" s="629">
        <f t="shared" si="665"/>
        <v>0.56172239288336234</v>
      </c>
      <c r="AB114" s="629">
        <f t="shared" si="666"/>
        <v>-0.27190406310653559</v>
      </c>
      <c r="AC114" s="636">
        <f t="shared" si="722"/>
        <v>1</v>
      </c>
      <c r="AD114" s="637">
        <f t="shared" si="723"/>
        <v>0.78136811670271433</v>
      </c>
      <c r="AE114" s="629">
        <f t="shared" si="724"/>
        <v>0.56172239288336234</v>
      </c>
      <c r="AF114" s="633">
        <f t="shared" si="725"/>
        <v>-0.27190406310653559</v>
      </c>
      <c r="AG114" s="602">
        <f t="shared" si="726"/>
        <v>64.170503580921647</v>
      </c>
      <c r="AH114" s="603">
        <f t="shared" si="727"/>
        <v>38.613989886591071</v>
      </c>
      <c r="AI114" s="585">
        <f t="shared" si="728"/>
        <v>-74.222398833040501</v>
      </c>
      <c r="AJ114" s="586">
        <f t="shared" si="729"/>
        <v>125.71220575881736</v>
      </c>
      <c r="AK114" s="635">
        <f t="shared" si="730"/>
        <v>0.94918816689715513</v>
      </c>
      <c r="AL114" s="629">
        <f t="shared" si="731"/>
        <v>-0.15846136528685872</v>
      </c>
      <c r="AM114" s="634">
        <f t="shared" si="732"/>
        <v>-0.27190406310653559</v>
      </c>
      <c r="AN114" s="581">
        <f t="shared" si="733"/>
        <v>-30.232952366529396</v>
      </c>
      <c r="AO114" s="582">
        <f t="shared" si="461"/>
        <v>18.343253919508808</v>
      </c>
      <c r="AP114" s="585">
        <f t="shared" si="734"/>
        <v>-9.4777877165548432</v>
      </c>
      <c r="AQ114" s="586">
        <f t="shared" si="667"/>
        <v>0.54887680125207616</v>
      </c>
      <c r="AS114" s="52">
        <f t="shared" si="737"/>
        <v>-314.81000652462779</v>
      </c>
      <c r="AT114" s="73">
        <f t="shared" si="668"/>
        <v>-0.11558294786369291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7.1269999999999998</v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>
        <f t="shared" si="542"/>
        <v>1613</v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>
        <v>-3.3730145900951887</v>
      </c>
      <c r="C115" s="708">
        <v>3.4236689554297879</v>
      </c>
      <c r="D115" s="709">
        <v>-0.71270214950968291</v>
      </c>
      <c r="E115" s="710">
        <v>-0.84184672896360213</v>
      </c>
      <c r="F115" s="708">
        <v>-0.48791213130526856</v>
      </c>
      <c r="G115" s="711">
        <v>0.23072892549143895</v>
      </c>
      <c r="H115" s="710">
        <v>0.314</v>
      </c>
      <c r="I115" s="708">
        <v>0.52</v>
      </c>
      <c r="J115" s="570">
        <v>7.1340000000000003</v>
      </c>
      <c r="K115" s="865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1613</v>
      </c>
      <c r="L115" s="320"/>
      <c r="M115" s="168">
        <f t="shared" si="660"/>
        <v>7.1340000000000003</v>
      </c>
      <c r="N115" s="632">
        <f t="shared" si="661"/>
        <v>-3.3730145900951887</v>
      </c>
      <c r="O115" s="629">
        <f t="shared" si="662"/>
        <v>3.4236689554297879</v>
      </c>
      <c r="P115" s="633">
        <f t="shared" si="663"/>
        <v>-0.71270214950968291</v>
      </c>
      <c r="Q115" s="585">
        <f t="shared" si="520"/>
        <v>134.57299356445597</v>
      </c>
      <c r="R115" s="629">
        <f t="shared" si="716"/>
        <v>4.8061144952413182</v>
      </c>
      <c r="S115" s="634">
        <f t="shared" si="717"/>
        <v>-0.71270214950968291</v>
      </c>
      <c r="T115" s="635">
        <f t="shared" si="718"/>
        <v>3.4236689554297883</v>
      </c>
      <c r="U115" s="629">
        <f t="shared" si="719"/>
        <v>3.3730145900951887</v>
      </c>
      <c r="V115" s="636">
        <f t="shared" si="720"/>
        <v>-0.71270214950968291</v>
      </c>
      <c r="W115" s="585">
        <f t="shared" si="645"/>
        <v>44.57299356445597</v>
      </c>
      <c r="X115" s="629">
        <f t="shared" si="721"/>
        <v>4.8061144952413182</v>
      </c>
      <c r="Y115" s="630">
        <f t="shared" si="644"/>
        <v>-0.71270214950968291</v>
      </c>
      <c r="Z115" s="632">
        <f t="shared" si="664"/>
        <v>0.84184672896360213</v>
      </c>
      <c r="AA115" s="629">
        <f t="shared" si="665"/>
        <v>0.48791213130526856</v>
      </c>
      <c r="AB115" s="629">
        <f t="shared" si="666"/>
        <v>-0.23072892549143895</v>
      </c>
      <c r="AC115" s="636">
        <f t="shared" si="722"/>
        <v>1</v>
      </c>
      <c r="AD115" s="637">
        <f t="shared" si="723"/>
        <v>0.84184672896360213</v>
      </c>
      <c r="AE115" s="629">
        <f t="shared" si="724"/>
        <v>0.48791213130526856</v>
      </c>
      <c r="AF115" s="633">
        <f t="shared" si="725"/>
        <v>-0.23072892549143895</v>
      </c>
      <c r="AG115" s="602">
        <f t="shared" si="726"/>
        <v>64.690986115740728</v>
      </c>
      <c r="AH115" s="603">
        <f t="shared" si="727"/>
        <v>32.66435349588965</v>
      </c>
      <c r="AI115" s="585">
        <f t="shared" si="728"/>
        <v>-76.660009574717662</v>
      </c>
      <c r="AJ115" s="586">
        <f t="shared" si="729"/>
        <v>120.09544821420367</v>
      </c>
      <c r="AK115" s="635">
        <f t="shared" si="730"/>
        <v>0.94212055356632929</v>
      </c>
      <c r="AL115" s="629">
        <f t="shared" si="731"/>
        <v>-0.2432550626183132</v>
      </c>
      <c r="AM115" s="634">
        <f t="shared" si="732"/>
        <v>-0.23072892549143895</v>
      </c>
      <c r="AN115" s="581">
        <f t="shared" si="733"/>
        <v>-46.513822826392691</v>
      </c>
      <c r="AO115" s="582">
        <f t="shared" si="461"/>
        <v>19.589219416085651</v>
      </c>
      <c r="AP115" s="585">
        <f t="shared" si="734"/>
        <v>-14.477545350252312</v>
      </c>
      <c r="AQ115" s="586">
        <f t="shared" si="667"/>
        <v>0.4743279740092568</v>
      </c>
      <c r="AS115" s="52">
        <f t="shared" si="737"/>
        <v>-315.42700643554406</v>
      </c>
      <c r="AT115" s="73">
        <f t="shared" si="668"/>
        <v>-0.49365561726277729</v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>
        <f t="shared" si="643"/>
        <v>7.1340000000000003</v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>
        <f t="shared" si="542"/>
        <v>1613</v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>
        <v>-3.7047170301365724</v>
      </c>
      <c r="C116" s="708">
        <v>3.833936507026416</v>
      </c>
      <c r="D116" s="709">
        <v>-1.2544037832818105</v>
      </c>
      <c r="E116" s="710">
        <v>-0.89292278095860944</v>
      </c>
      <c r="F116" s="708">
        <v>-0.41250491107198106</v>
      </c>
      <c r="G116" s="711">
        <v>0.18035688394580413</v>
      </c>
      <c r="H116" s="710">
        <v>0.314</v>
      </c>
      <c r="I116" s="708">
        <v>0.52</v>
      </c>
      <c r="J116" s="570">
        <v>7.141</v>
      </c>
      <c r="K116" s="865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1613</v>
      </c>
      <c r="L116" s="320"/>
      <c r="M116" s="168">
        <f t="shared" si="660"/>
        <v>7.141</v>
      </c>
      <c r="N116" s="632">
        <f t="shared" si="661"/>
        <v>-3.7047170301365724</v>
      </c>
      <c r="O116" s="629">
        <f t="shared" si="662"/>
        <v>3.833936507026416</v>
      </c>
      <c r="P116" s="633">
        <f t="shared" si="663"/>
        <v>-1.2544037832818105</v>
      </c>
      <c r="Q116" s="585">
        <f t="shared" si="520"/>
        <v>134.01799364458805</v>
      </c>
      <c r="R116" s="629">
        <f t="shared" si="716"/>
        <v>5.3314160795508974</v>
      </c>
      <c r="S116" s="634">
        <f t="shared" si="717"/>
        <v>-1.2544037832818105</v>
      </c>
      <c r="T116" s="635">
        <f t="shared" si="718"/>
        <v>3.8339365070264164</v>
      </c>
      <c r="U116" s="629">
        <f t="shared" si="719"/>
        <v>3.7047170301365719</v>
      </c>
      <c r="V116" s="636">
        <f t="shared" si="720"/>
        <v>-1.2544037832818105</v>
      </c>
      <c r="W116" s="585">
        <f t="shared" si="645"/>
        <v>44.017993644588046</v>
      </c>
      <c r="X116" s="629">
        <f t="shared" si="721"/>
        <v>5.3314160795508974</v>
      </c>
      <c r="Y116" s="630">
        <f t="shared" si="644"/>
        <v>-1.2544037832818105</v>
      </c>
      <c r="Z116" s="632">
        <f t="shared" si="664"/>
        <v>0.89292278095860944</v>
      </c>
      <c r="AA116" s="629">
        <f t="shared" si="665"/>
        <v>0.41250491107198106</v>
      </c>
      <c r="AB116" s="629">
        <f t="shared" si="666"/>
        <v>-0.18035688394580413</v>
      </c>
      <c r="AC116" s="636">
        <f t="shared" si="722"/>
        <v>1</v>
      </c>
      <c r="AD116" s="637">
        <f t="shared" si="723"/>
        <v>0.89292278095860944</v>
      </c>
      <c r="AE116" s="629">
        <f t="shared" si="724"/>
        <v>0.41250491107198106</v>
      </c>
      <c r="AF116" s="633">
        <f t="shared" si="725"/>
        <v>-0.18035688394580413</v>
      </c>
      <c r="AG116" s="602">
        <f t="shared" si="726"/>
        <v>66.383915739353412</v>
      </c>
      <c r="AH116" s="603">
        <f t="shared" si="727"/>
        <v>26.75714837691023</v>
      </c>
      <c r="AI116" s="585">
        <f t="shared" si="728"/>
        <v>-79.60945203019584</v>
      </c>
      <c r="AJ116" s="586">
        <f t="shared" si="729"/>
        <v>114.79559320042216</v>
      </c>
      <c r="AK116" s="635">
        <f t="shared" si="730"/>
        <v>0.92876322970335778</v>
      </c>
      <c r="AL116" s="629">
        <f t="shared" si="731"/>
        <v>-0.32383677611467732</v>
      </c>
      <c r="AM116" s="634">
        <f t="shared" si="732"/>
        <v>-0.18035688394580413</v>
      </c>
      <c r="AN116" s="581">
        <f t="shared" si="733"/>
        <v>-60.884920918282326</v>
      </c>
      <c r="AO116" s="582">
        <f t="shared" si="461"/>
        <v>21.757161390115659</v>
      </c>
      <c r="AP116" s="585">
        <f t="shared" si="734"/>
        <v>-19.222400444165878</v>
      </c>
      <c r="AQ116" s="586">
        <f t="shared" si="667"/>
        <v>0.4275945216773443</v>
      </c>
      <c r="AS116" s="52">
        <f t="shared" si="737"/>
        <v>-315.98200635541195</v>
      </c>
      <c r="AT116" s="73">
        <f t="shared" si="668"/>
        <v>-1.0349718344238854</v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>
        <f t="shared" si="643"/>
        <v>7.141</v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>
        <f t="shared" si="542"/>
        <v>1613</v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>
        <v>-3.9249620539465266</v>
      </c>
      <c r="C117" s="708">
        <v>4.1191691198597056</v>
      </c>
      <c r="D117" s="709">
        <v>-1.9184057859118504</v>
      </c>
      <c r="E117" s="710">
        <v>-0.94272555535358471</v>
      </c>
      <c r="F117" s="708">
        <v>-0.30527129716315327</v>
      </c>
      <c r="G117" s="711">
        <v>0.13445431347339173</v>
      </c>
      <c r="H117" s="710">
        <v>0.314</v>
      </c>
      <c r="I117" s="708">
        <v>0.52</v>
      </c>
      <c r="J117" s="570">
        <v>7.1479999999999997</v>
      </c>
      <c r="K117" s="865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>1613</v>
      </c>
      <c r="L117" s="320"/>
      <c r="M117" s="168">
        <f t="shared" si="660"/>
        <v>7.1479999999999997</v>
      </c>
      <c r="N117" s="632">
        <f t="shared" si="661"/>
        <v>-3.9249620539465266</v>
      </c>
      <c r="O117" s="629">
        <f t="shared" si="662"/>
        <v>4.1191691198597056</v>
      </c>
      <c r="P117" s="633">
        <f t="shared" si="663"/>
        <v>-1.9184057859118504</v>
      </c>
      <c r="Q117" s="585">
        <f t="shared" si="520"/>
        <v>133.61699370248527</v>
      </c>
      <c r="R117" s="629">
        <f t="shared" si="716"/>
        <v>5.6897171601869561</v>
      </c>
      <c r="S117" s="634">
        <f t="shared" si="717"/>
        <v>-1.9184057859118504</v>
      </c>
      <c r="T117" s="635">
        <f t="shared" si="718"/>
        <v>4.1191691198597056</v>
      </c>
      <c r="U117" s="629">
        <f t="shared" si="719"/>
        <v>3.9249620539465271</v>
      </c>
      <c r="V117" s="636">
        <f t="shared" si="720"/>
        <v>-1.9184057859118504</v>
      </c>
      <c r="W117" s="585">
        <f t="shared" si="645"/>
        <v>43.616993702485274</v>
      </c>
      <c r="X117" s="629">
        <f t="shared" si="721"/>
        <v>5.6897171601869561</v>
      </c>
      <c r="Y117" s="630">
        <f t="shared" si="644"/>
        <v>-1.9184057859118504</v>
      </c>
      <c r="Z117" s="632">
        <f t="shared" si="664"/>
        <v>0.94272555535358471</v>
      </c>
      <c r="AA117" s="629">
        <f t="shared" si="665"/>
        <v>0.30527129716315327</v>
      </c>
      <c r="AB117" s="629">
        <f t="shared" si="666"/>
        <v>-0.13445431347339173</v>
      </c>
      <c r="AC117" s="636">
        <f t="shared" si="722"/>
        <v>1</v>
      </c>
      <c r="AD117" s="637">
        <f t="shared" si="723"/>
        <v>0.94272555535358471</v>
      </c>
      <c r="AE117" s="629">
        <f t="shared" si="724"/>
        <v>0.30527129716315327</v>
      </c>
      <c r="AF117" s="633">
        <f t="shared" si="725"/>
        <v>-0.13445431347339173</v>
      </c>
      <c r="AG117" s="602">
        <f t="shared" si="726"/>
        <v>66.22928984784086</v>
      </c>
      <c r="AH117" s="603">
        <f t="shared" si="727"/>
        <v>19.485565780976287</v>
      </c>
      <c r="AI117" s="585">
        <f t="shared" si="728"/>
        <v>-82.272933325779405</v>
      </c>
      <c r="AJ117" s="586">
        <f t="shared" si="729"/>
        <v>107.94287527750336</v>
      </c>
      <c r="AK117" s="635">
        <f t="shared" si="730"/>
        <v>0.8930890781700157</v>
      </c>
      <c r="AL117" s="629">
        <f t="shared" si="731"/>
        <v>-0.42931798942256139</v>
      </c>
      <c r="AM117" s="634">
        <f t="shared" si="732"/>
        <v>-0.13445431347339173</v>
      </c>
      <c r="AN117" s="581">
        <f t="shared" si="733"/>
        <v>-72.610425958606314</v>
      </c>
      <c r="AO117" s="582">
        <f t="shared" si="461"/>
        <v>26.735976869120989</v>
      </c>
      <c r="AP117" s="585">
        <f t="shared" si="734"/>
        <v>-25.674118424981906</v>
      </c>
      <c r="AQ117" s="586">
        <f t="shared" si="667"/>
        <v>0.40066832968044341</v>
      </c>
      <c r="AS117" s="52">
        <f t="shared" si="737"/>
        <v>-316.38300629751473</v>
      </c>
      <c r="AT117" s="73">
        <f t="shared" si="668"/>
        <v>-1.6986953648719096</v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>
        <f t="shared" si="643"/>
        <v>7.1479999999999997</v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>
        <f t="shared" si="542"/>
        <v>1613</v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>
        <v>-4.0243688121413594</v>
      </c>
      <c r="C118" s="708">
        <v>4.2514878800692344</v>
      </c>
      <c r="D118" s="709">
        <v>-2.6549080072025499</v>
      </c>
      <c r="E118" s="710">
        <v>-0.97377053917695555</v>
      </c>
      <c r="F118" s="708">
        <v>-0.2223308011602782</v>
      </c>
      <c r="G118" s="711">
        <v>4.8373049174620222E-2</v>
      </c>
      <c r="H118" s="710">
        <v>0.314</v>
      </c>
      <c r="I118" s="708">
        <v>0.52</v>
      </c>
      <c r="J118" s="570">
        <v>7.1550000000000002</v>
      </c>
      <c r="K118" s="865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>1613</v>
      </c>
      <c r="L118" s="320"/>
      <c r="M118" s="168">
        <f t="shared" si="660"/>
        <v>7.1550000000000002</v>
      </c>
      <c r="N118" s="632">
        <f t="shared" si="661"/>
        <v>-4.0243688121413594</v>
      </c>
      <c r="O118" s="629">
        <f t="shared" si="662"/>
        <v>4.2514878800692344</v>
      </c>
      <c r="P118" s="633">
        <f t="shared" si="663"/>
        <v>-2.6549080072025499</v>
      </c>
      <c r="Q118" s="585">
        <f t="shared" si="520"/>
        <v>133.4279937297735</v>
      </c>
      <c r="R118" s="629">
        <f t="shared" si="716"/>
        <v>5.8541176560188513</v>
      </c>
      <c r="S118" s="634">
        <f t="shared" si="717"/>
        <v>-2.6549080072025499</v>
      </c>
      <c r="T118" s="635">
        <f t="shared" si="718"/>
        <v>4.2514878800692335</v>
      </c>
      <c r="U118" s="629">
        <f t="shared" si="719"/>
        <v>4.0243688121413594</v>
      </c>
      <c r="V118" s="636">
        <f t="shared" si="720"/>
        <v>-2.6549080072025499</v>
      </c>
      <c r="W118" s="585">
        <f t="shared" si="645"/>
        <v>43.427993729773505</v>
      </c>
      <c r="X118" s="629">
        <f t="shared" si="721"/>
        <v>5.8541176560188513</v>
      </c>
      <c r="Y118" s="630">
        <f t="shared" si="644"/>
        <v>-2.6549080072025499</v>
      </c>
      <c r="Z118" s="632">
        <f t="shared" si="664"/>
        <v>0.97377053917695555</v>
      </c>
      <c r="AA118" s="629">
        <f t="shared" si="665"/>
        <v>0.2223308011602782</v>
      </c>
      <c r="AB118" s="629">
        <f t="shared" si="666"/>
        <v>-4.8373049174620222E-2</v>
      </c>
      <c r="AC118" s="636">
        <f t="shared" si="722"/>
        <v>1</v>
      </c>
      <c r="AD118" s="637">
        <f t="shared" si="723"/>
        <v>0.97377053917695555</v>
      </c>
      <c r="AE118" s="629">
        <f t="shared" si="724"/>
        <v>0.2223308011602782</v>
      </c>
      <c r="AF118" s="633">
        <f t="shared" si="725"/>
        <v>-4.8373049174620222E-2</v>
      </c>
      <c r="AG118" s="602">
        <f t="shared" si="726"/>
        <v>77.725318079326101</v>
      </c>
      <c r="AH118" s="603">
        <f t="shared" si="727"/>
        <v>13.151829977334177</v>
      </c>
      <c r="AI118" s="585">
        <f t="shared" si="728"/>
        <v>-87.227346409689872</v>
      </c>
      <c r="AJ118" s="586">
        <f t="shared" si="729"/>
        <v>102.86128296665812</v>
      </c>
      <c r="AK118" s="635">
        <f t="shared" si="730"/>
        <v>0.86002965489952954</v>
      </c>
      <c r="AL118" s="629">
        <f t="shared" si="731"/>
        <v>-0.50794590342569557</v>
      </c>
      <c r="AM118" s="634">
        <f t="shared" si="732"/>
        <v>-4.8373049174620222E-2</v>
      </c>
      <c r="AN118" s="581">
        <f t="shared" si="733"/>
        <v>-84.559975506791517</v>
      </c>
      <c r="AO118" s="582">
        <f t="shared" si="461"/>
        <v>30.680087295793022</v>
      </c>
      <c r="AP118" s="585">
        <f t="shared" si="734"/>
        <v>-30.566710763115385</v>
      </c>
      <c r="AQ118" s="586">
        <f t="shared" si="667"/>
        <v>0.38941675973933454</v>
      </c>
      <c r="AS118" s="52">
        <f t="shared" si="737"/>
        <v>-316.5720062702265</v>
      </c>
      <c r="AT118" s="73">
        <f t="shared" si="668"/>
        <v>-2.4350663361815594</v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>
        <f t="shared" si="643"/>
        <v>7.1550000000000002</v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>
        <f t="shared" si="542"/>
        <v>1613</v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>
        <v>-4.0613198068663969</v>
      </c>
      <c r="C119" s="708">
        <v>4.3011877281825504</v>
      </c>
      <c r="D119" s="709">
        <v>-3.4205103162591142</v>
      </c>
      <c r="E119" s="710">
        <v>-0.99828405622575511</v>
      </c>
      <c r="F119" s="708">
        <v>-5.8557177915539556E-2</v>
      </c>
      <c r="G119" s="711">
        <v>1.4578093171295855E-7</v>
      </c>
      <c r="H119" s="710">
        <v>0.314</v>
      </c>
      <c r="I119" s="708">
        <v>0.52</v>
      </c>
      <c r="J119" s="570">
        <v>7.1619999999999999</v>
      </c>
      <c r="K119" s="865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>1613</v>
      </c>
      <c r="L119" s="320"/>
      <c r="M119" s="168">
        <f t="shared" si="660"/>
        <v>7.1619999999999999</v>
      </c>
      <c r="N119" s="632">
        <f t="shared" si="661"/>
        <v>-4.0613198068663969</v>
      </c>
      <c r="O119" s="629">
        <f t="shared" si="662"/>
        <v>4.3011877281825504</v>
      </c>
      <c r="P119" s="633">
        <f t="shared" si="663"/>
        <v>-3.4205103162591142</v>
      </c>
      <c r="Q119" s="585">
        <f t="shared" si="520"/>
        <v>133.35699374002462</v>
      </c>
      <c r="R119" s="629">
        <f t="shared" si="716"/>
        <v>5.9156178415034111</v>
      </c>
      <c r="S119" s="634">
        <f t="shared" si="717"/>
        <v>-3.4205103162591142</v>
      </c>
      <c r="T119" s="635">
        <f t="shared" si="718"/>
        <v>4.3011877281825504</v>
      </c>
      <c r="U119" s="629">
        <f t="shared" si="719"/>
        <v>4.0613198068663969</v>
      </c>
      <c r="V119" s="636">
        <f t="shared" si="720"/>
        <v>-3.4205103162591142</v>
      </c>
      <c r="W119" s="585">
        <f t="shared" si="645"/>
        <v>43.35699374002462</v>
      </c>
      <c r="X119" s="629">
        <f t="shared" si="721"/>
        <v>5.9156178415034111</v>
      </c>
      <c r="Y119" s="630">
        <f t="shared" si="644"/>
        <v>-3.4205103162591142</v>
      </c>
      <c r="Z119" s="632">
        <f t="shared" si="664"/>
        <v>0.99828405622575511</v>
      </c>
      <c r="AA119" s="629">
        <f t="shared" si="665"/>
        <v>5.8557177915539556E-2</v>
      </c>
      <c r="AB119" s="629">
        <f t="shared" si="666"/>
        <v>-1.4578093171295855E-7</v>
      </c>
      <c r="AC119" s="636">
        <f t="shared" si="722"/>
        <v>1</v>
      </c>
      <c r="AD119" s="637">
        <f t="shared" si="723"/>
        <v>0.99828405622575511</v>
      </c>
      <c r="AE119" s="629">
        <f t="shared" si="724"/>
        <v>5.8557177915539556E-2</v>
      </c>
      <c r="AF119" s="633">
        <f t="shared" si="725"/>
        <v>-1.4578093171295855E-7</v>
      </c>
      <c r="AG119" s="602">
        <f t="shared" si="726"/>
        <v>89.999857359380727</v>
      </c>
      <c r="AH119" s="603">
        <f t="shared" si="727"/>
        <v>3.356999515320338</v>
      </c>
      <c r="AI119" s="585">
        <f t="shared" si="728"/>
        <v>-89.999991647367878</v>
      </c>
      <c r="AJ119" s="586">
        <f t="shared" si="729"/>
        <v>93.356999515309951</v>
      </c>
      <c r="AK119" s="635">
        <f t="shared" si="730"/>
        <v>0.76604450791050716</v>
      </c>
      <c r="AL119" s="629">
        <f t="shared" si="731"/>
        <v>-0.6427875324709772</v>
      </c>
      <c r="AM119" s="634">
        <f t="shared" si="732"/>
        <v>-1.4578093171295855E-7</v>
      </c>
      <c r="AN119" s="581">
        <f t="shared" si="733"/>
        <v>-89.999987005609626</v>
      </c>
      <c r="AO119" s="582">
        <f t="shared" si="461"/>
        <v>39.999994224715394</v>
      </c>
      <c r="AP119" s="585">
        <f t="shared" si="734"/>
        <v>-39.999994224714662</v>
      </c>
      <c r="AQ119" s="586">
        <f t="shared" si="667"/>
        <v>0.38536841220789192</v>
      </c>
      <c r="AS119" s="52">
        <f t="shared" si="737"/>
        <v>-316.64300625997538</v>
      </c>
      <c r="AT119" s="73">
        <f t="shared" si="668"/>
        <v>-3.2006193396896867</v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>
        <f t="shared" si="643"/>
        <v>7.1619999999999999</v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>
        <f t="shared" si="542"/>
        <v>1613</v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>
        <v>-1.5566864144091668</v>
      </c>
      <c r="C120" s="708">
        <v>3.0524033706088858</v>
      </c>
      <c r="D120" s="709">
        <v>-0.13283252119902642</v>
      </c>
      <c r="E120" s="710">
        <v>-4.4570502316717588E-2</v>
      </c>
      <c r="F120" s="708">
        <v>8.7394849177466288E-2</v>
      </c>
      <c r="G120" s="711">
        <v>0.99517617066551767</v>
      </c>
      <c r="H120" s="710">
        <v>0.26250000000000001</v>
      </c>
      <c r="I120" s="708">
        <v>0.40699999999999997</v>
      </c>
      <c r="J120" s="570">
        <v>7.22</v>
      </c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>Inactive</v>
      </c>
      <c r="L120" s="320"/>
      <c r="M120" s="168">
        <f t="shared" si="660"/>
        <v>7.22</v>
      </c>
      <c r="N120" s="632">
        <f t="shared" si="661"/>
        <v>-1.5566864144091668</v>
      </c>
      <c r="O120" s="629">
        <f t="shared" si="662"/>
        <v>3.0524033706088858</v>
      </c>
      <c r="P120" s="633">
        <f t="shared" si="663"/>
        <v>-0.13283252119902642</v>
      </c>
      <c r="Q120" s="585">
        <f t="shared" si="520"/>
        <v>117.02099609865085</v>
      </c>
      <c r="R120" s="629">
        <f t="shared" si="716"/>
        <v>3.4264323909440493</v>
      </c>
      <c r="S120" s="634">
        <f t="shared" si="717"/>
        <v>-0.13283252119902642</v>
      </c>
      <c r="T120" s="635">
        <f t="shared" si="718"/>
        <v>3.0524033706088858</v>
      </c>
      <c r="U120" s="629">
        <f t="shared" si="719"/>
        <v>1.5566864144091661</v>
      </c>
      <c r="V120" s="636">
        <f t="shared" si="720"/>
        <v>-0.13283252119902642</v>
      </c>
      <c r="W120" s="585">
        <f t="shared" si="645"/>
        <v>27.020996098650855</v>
      </c>
      <c r="X120" s="629">
        <f t="shared" si="721"/>
        <v>3.4264323909440493</v>
      </c>
      <c r="Y120" s="630">
        <f t="shared" si="644"/>
        <v>-0.13283252119902642</v>
      </c>
      <c r="Z120" s="632">
        <f t="shared" si="664"/>
        <v>4.4570502316717588E-2</v>
      </c>
      <c r="AA120" s="629">
        <f t="shared" si="665"/>
        <v>-8.7394849177466288E-2</v>
      </c>
      <c r="AB120" s="629">
        <f t="shared" si="666"/>
        <v>-0.99517617066551767</v>
      </c>
      <c r="AC120" s="636">
        <f t="shared" si="722"/>
        <v>1</v>
      </c>
      <c r="AD120" s="637">
        <f t="shared" si="723"/>
        <v>4.4570502316717588E-2</v>
      </c>
      <c r="AE120" s="629">
        <f t="shared" si="724"/>
        <v>-8.7394849177466288E-2</v>
      </c>
      <c r="AF120" s="633">
        <f t="shared" si="725"/>
        <v>-0.99517617066551767</v>
      </c>
      <c r="AG120" s="602">
        <f t="shared" si="726"/>
        <v>-5.0187524690272731</v>
      </c>
      <c r="AH120" s="603">
        <f t="shared" si="727"/>
        <v>87.445452069060238</v>
      </c>
      <c r="AI120" s="585">
        <f t="shared" si="728"/>
        <v>-5.6299991871435981</v>
      </c>
      <c r="AJ120" s="586">
        <f t="shared" si="729"/>
        <v>27.021128553944134</v>
      </c>
      <c r="AK120" s="635">
        <f t="shared" si="730"/>
        <v>2.267948966752642E-7</v>
      </c>
      <c r="AL120" s="629">
        <f t="shared" si="731"/>
        <v>-9.8103972088112584E-2</v>
      </c>
      <c r="AM120" s="634">
        <f t="shared" si="732"/>
        <v>-0.99517617066551767</v>
      </c>
      <c r="AN120" s="581">
        <f t="shared" si="733"/>
        <v>-5.6299991871286963</v>
      </c>
      <c r="AO120" s="582">
        <f t="shared" ref="AO120:AO150" si="742">IF(ROUND(IF(M120="",0,DEGREES(ACOS(AK120))),4)=90,0,IF(M120="","",DEGREES(ACOS(AK120))))</f>
        <v>0</v>
      </c>
      <c r="AP120" s="585">
        <f t="shared" si="734"/>
        <v>-89.999867544706731</v>
      </c>
      <c r="AQ120" s="586">
        <f t="shared" si="667"/>
        <v>0.66530545768112526</v>
      </c>
      <c r="AS120" s="52">
        <f t="shared" si="737"/>
        <v>-332.97900390134913</v>
      </c>
      <c r="AT120" s="73">
        <f t="shared" si="668"/>
        <v>9.8402898176910503E-2</v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>Nose</v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>
        <f t="shared" si="643"/>
        <v>7.22</v>
      </c>
      <c r="IH120" s="731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0.12</v>
      </c>
      <c r="II120" s="734" cm="1">
        <f t="array" ref="II120">IFERROR(ROUND(VALUE(IF($IH120&lt;1,$IH120+LARGE((IF($M$9:$M$150="",0,$M$9:$M$150)-MOD(IF($M$9:$M$150="",0,$M$9:$M$150),1)),1),$IH120)),4),"")</f>
        <v>7.12</v>
      </c>
      <c r="IJ120" s="533">
        <f t="shared" si="542"/>
        <v>1613</v>
      </c>
      <c r="IK120" s="533" t="str">
        <f t="shared" si="713"/>
        <v>Inactive</v>
      </c>
      <c r="IL120" s="727">
        <f t="shared" si="647"/>
        <v>18.711997298321862</v>
      </c>
      <c r="IM120" s="759">
        <v>2.16418773323011E-2</v>
      </c>
      <c r="IN120" s="5">
        <f t="shared" si="648"/>
        <v>0.4</v>
      </c>
      <c r="IO120" s="771">
        <v>200</v>
      </c>
      <c r="IP120" s="9">
        <f t="shared" si="649"/>
        <v>-3.4222103213863302</v>
      </c>
      <c r="IQ120" s="5">
        <f t="shared" si="650"/>
        <v>-0.1474004445597408</v>
      </c>
      <c r="IR120" s="5">
        <f t="shared" si="714"/>
        <v>0.314</v>
      </c>
      <c r="IS120" s="5">
        <f t="shared" si="651"/>
        <v>0.29927955628812197</v>
      </c>
      <c r="IT120" s="727">
        <f t="shared" si="652"/>
        <v>12.346021462531374</v>
      </c>
      <c r="IU120" s="9">
        <f t="shared" si="653"/>
        <v>-3.4264323909440493</v>
      </c>
      <c r="IV120" s="5">
        <f t="shared" si="654"/>
        <v>-0.13283252119902642</v>
      </c>
      <c r="IW120" s="5">
        <f t="shared" si="715"/>
        <v>0.26250000000000001</v>
      </c>
      <c r="IX120" s="5">
        <f t="shared" si="655"/>
        <v>0.26250000000000001</v>
      </c>
      <c r="IY120" s="762">
        <f t="shared" si="656"/>
        <v>5.6299991871286963</v>
      </c>
    </row>
    <row r="121" spans="1:259" ht="15" customHeight="1" x14ac:dyDescent="0.25">
      <c r="A121" s="79"/>
      <c r="B121" s="707">
        <v>-2.0658861755371141</v>
      </c>
      <c r="C121" s="708">
        <v>3.6199759486161756</v>
      </c>
      <c r="D121" s="709">
        <v>-0.29338038280220635</v>
      </c>
      <c r="E121" s="710">
        <v>-0.90293034023241425</v>
      </c>
      <c r="F121" s="708">
        <v>-0.33284377890225597</v>
      </c>
      <c r="G121" s="711">
        <v>0.27190406310653564</v>
      </c>
      <c r="H121" s="710">
        <v>0.26600000000000001</v>
      </c>
      <c r="I121" s="708">
        <v>0.52</v>
      </c>
      <c r="J121" s="570">
        <v>7.2270000000000003</v>
      </c>
      <c r="K121" s="865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>1313</v>
      </c>
      <c r="L121" s="320"/>
      <c r="M121" s="168">
        <f t="shared" si="660"/>
        <v>7.2270000000000003</v>
      </c>
      <c r="N121" s="632">
        <f t="shared" si="661"/>
        <v>-2.0658861755371141</v>
      </c>
      <c r="O121" s="629">
        <f t="shared" si="662"/>
        <v>3.6199759486161756</v>
      </c>
      <c r="P121" s="633">
        <f t="shared" si="663"/>
        <v>-0.29338038280220635</v>
      </c>
      <c r="Q121" s="585">
        <f t="shared" si="520"/>
        <v>119.71299570997419</v>
      </c>
      <c r="R121" s="629">
        <f t="shared" si="716"/>
        <v>4.1679865113547265</v>
      </c>
      <c r="S121" s="634">
        <f t="shared" si="717"/>
        <v>-0.29338038280220635</v>
      </c>
      <c r="T121" s="635">
        <f t="shared" si="718"/>
        <v>3.619975948616176</v>
      </c>
      <c r="U121" s="629">
        <f t="shared" si="719"/>
        <v>2.0658861755371136</v>
      </c>
      <c r="V121" s="636">
        <f t="shared" si="720"/>
        <v>-0.29338038280220635</v>
      </c>
      <c r="W121" s="585">
        <f t="shared" si="645"/>
        <v>29.712995709974194</v>
      </c>
      <c r="X121" s="629">
        <f t="shared" si="721"/>
        <v>4.1679865113547265</v>
      </c>
      <c r="Y121" s="630">
        <f t="shared" si="644"/>
        <v>-0.29338038280220635</v>
      </c>
      <c r="Z121" s="632">
        <f t="shared" si="664"/>
        <v>0.90293034023241425</v>
      </c>
      <c r="AA121" s="629">
        <f t="shared" si="665"/>
        <v>0.33284377890225597</v>
      </c>
      <c r="AB121" s="629">
        <f t="shared" si="666"/>
        <v>-0.27190406310653564</v>
      </c>
      <c r="AC121" s="636">
        <f t="shared" si="722"/>
        <v>1</v>
      </c>
      <c r="AD121" s="637">
        <f t="shared" si="723"/>
        <v>0.90293034023241425</v>
      </c>
      <c r="AE121" s="629">
        <f t="shared" si="724"/>
        <v>0.33284377890225597</v>
      </c>
      <c r="AF121" s="633">
        <f t="shared" si="725"/>
        <v>-0.27190406310653564</v>
      </c>
      <c r="AG121" s="602">
        <f t="shared" si="726"/>
        <v>50.754202812557871</v>
      </c>
      <c r="AH121" s="603">
        <f t="shared" si="727"/>
        <v>25.454038614036406</v>
      </c>
      <c r="AI121" s="585">
        <f t="shared" si="728"/>
        <v>-74.222398833040501</v>
      </c>
      <c r="AJ121" s="586">
        <f t="shared" si="729"/>
        <v>110.23520799341937</v>
      </c>
      <c r="AK121" s="635">
        <f t="shared" si="730"/>
        <v>0.94918816689715535</v>
      </c>
      <c r="AL121" s="629">
        <f t="shared" si="731"/>
        <v>-0.1584613652868585</v>
      </c>
      <c r="AM121" s="634">
        <f t="shared" si="732"/>
        <v>-0.27190406310653564</v>
      </c>
      <c r="AN121" s="581">
        <f t="shared" si="733"/>
        <v>-30.23295236652935</v>
      </c>
      <c r="AO121" s="582">
        <f t="shared" si="742"/>
        <v>18.343253919508768</v>
      </c>
      <c r="AP121" s="585">
        <f t="shared" si="734"/>
        <v>-9.477787716554829</v>
      </c>
      <c r="AQ121" s="586">
        <f t="shared" si="667"/>
        <v>0.54694452058034593</v>
      </c>
      <c r="AS121" s="52">
        <f t="shared" si="737"/>
        <v>-330.28700429002583</v>
      </c>
      <c r="AT121" s="73">
        <f t="shared" si="668"/>
        <v>-6.4014407600799517E-2</v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>Nose</v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>
        <f t="shared" si="643"/>
        <v>7.2270000000000003</v>
      </c>
      <c r="IH121" s="731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0.127</v>
      </c>
      <c r="II121" s="734" cm="1">
        <f t="array" ref="II121">IFERROR(ROUND(VALUE(IF($IH121&lt;1,$IH121+LARGE((IF($M$9:$M$150="",0,$M$9:$M$150)-MOD(IF($M$9:$M$150="",0,$M$9:$M$150),1)),1),$IH121)),4),"")</f>
        <v>7.1269999999999998</v>
      </c>
      <c r="IJ121" s="533">
        <f t="shared" si="542"/>
        <v>1613</v>
      </c>
      <c r="IK121" s="533">
        <f t="shared" si="713"/>
        <v>1313</v>
      </c>
      <c r="IL121" s="727">
        <f t="shared" si="647"/>
        <v>15.476997765398011</v>
      </c>
      <c r="IM121" s="759">
        <v>2.2590291460688702E-3</v>
      </c>
      <c r="IN121" s="5">
        <f t="shared" si="648"/>
        <v>0.02</v>
      </c>
      <c r="IO121" s="771">
        <v>10</v>
      </c>
      <c r="IP121" s="9">
        <f t="shared" si="649"/>
        <v>-4.1533125263905797</v>
      </c>
      <c r="IQ121" s="5">
        <f t="shared" si="650"/>
        <v>-0.33420100795023999</v>
      </c>
      <c r="IR121" s="5">
        <f t="shared" si="714"/>
        <v>0.314</v>
      </c>
      <c r="IS121" s="5">
        <f t="shared" si="651"/>
        <v>0.29804508440570671</v>
      </c>
      <c r="IT121" s="727">
        <f t="shared" si="652"/>
        <v>30.232952366529396</v>
      </c>
      <c r="IU121" s="9">
        <f t="shared" si="653"/>
        <v>-4.1679865113547265</v>
      </c>
      <c r="IV121" s="5">
        <f t="shared" si="654"/>
        <v>-0.29338038280220635</v>
      </c>
      <c r="IW121" s="5">
        <f t="shared" si="715"/>
        <v>0.26600000000000001</v>
      </c>
      <c r="IX121" s="5">
        <f t="shared" si="655"/>
        <v>0.25248405239464333</v>
      </c>
      <c r="IY121" s="762">
        <f t="shared" si="656"/>
        <v>30.23295236652935</v>
      </c>
    </row>
    <row r="122" spans="1:259" ht="15" customHeight="1" x14ac:dyDescent="0.25">
      <c r="A122" s="79"/>
      <c r="B122" s="707">
        <v>-2.4942494761460359</v>
      </c>
      <c r="C122" s="708">
        <v>4.1362341868095793</v>
      </c>
      <c r="D122" s="709">
        <v>-0.67626038222297902</v>
      </c>
      <c r="E122" s="710">
        <v>-0.93239989968301851</v>
      </c>
      <c r="F122" s="708">
        <v>-0.27819883179600724</v>
      </c>
      <c r="G122" s="711">
        <v>0.23072892549143875</v>
      </c>
      <c r="H122" s="710">
        <v>0.26600000000000001</v>
      </c>
      <c r="I122" s="708">
        <v>0.52</v>
      </c>
      <c r="J122" s="570">
        <v>7.234</v>
      </c>
      <c r="K122" s="865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>1313</v>
      </c>
      <c r="L122" s="320"/>
      <c r="M122" s="168">
        <f t="shared" si="660"/>
        <v>7.234</v>
      </c>
      <c r="N122" s="632">
        <f t="shared" si="661"/>
        <v>-2.4942494761460359</v>
      </c>
      <c r="O122" s="629">
        <f t="shared" si="662"/>
        <v>4.1362341868095793</v>
      </c>
      <c r="P122" s="633">
        <f t="shared" si="663"/>
        <v>-0.67626038222297902</v>
      </c>
      <c r="Q122" s="585">
        <f t="shared" si="520"/>
        <v>121.09099551101563</v>
      </c>
      <c r="R122" s="629">
        <f t="shared" si="716"/>
        <v>4.8300842329494706</v>
      </c>
      <c r="S122" s="634">
        <f t="shared" si="717"/>
        <v>-0.67626038222297902</v>
      </c>
      <c r="T122" s="635">
        <f t="shared" si="718"/>
        <v>4.1362341868095802</v>
      </c>
      <c r="U122" s="629">
        <f t="shared" si="719"/>
        <v>2.4942494761460345</v>
      </c>
      <c r="V122" s="636">
        <f t="shared" si="720"/>
        <v>-0.67626038222297902</v>
      </c>
      <c r="W122" s="585">
        <f t="shared" si="645"/>
        <v>31.090995511015635</v>
      </c>
      <c r="X122" s="629">
        <f t="shared" si="721"/>
        <v>4.8300842329494706</v>
      </c>
      <c r="Y122" s="630">
        <f t="shared" si="644"/>
        <v>-0.67626038222297902</v>
      </c>
      <c r="Z122" s="632">
        <f t="shared" si="664"/>
        <v>0.93239989968301851</v>
      </c>
      <c r="AA122" s="629">
        <f t="shared" si="665"/>
        <v>0.27819883179600724</v>
      </c>
      <c r="AB122" s="629">
        <f t="shared" si="666"/>
        <v>-0.23072892549143875</v>
      </c>
      <c r="AC122" s="636">
        <f t="shared" si="722"/>
        <v>1</v>
      </c>
      <c r="AD122" s="637">
        <f t="shared" si="723"/>
        <v>0.93239989968301851</v>
      </c>
      <c r="AE122" s="629">
        <f t="shared" si="724"/>
        <v>0.27819883179600724</v>
      </c>
      <c r="AF122" s="633">
        <f t="shared" si="725"/>
        <v>-0.23072892549143875</v>
      </c>
      <c r="AG122" s="602">
        <f t="shared" si="726"/>
        <v>50.328808613258524</v>
      </c>
      <c r="AH122" s="603">
        <f t="shared" si="727"/>
        <v>21.187939689923592</v>
      </c>
      <c r="AI122" s="585">
        <f t="shared" si="728"/>
        <v>-76.660009574717662</v>
      </c>
      <c r="AJ122" s="586">
        <f t="shared" si="729"/>
        <v>106.61345016076331</v>
      </c>
      <c r="AK122" s="635">
        <f t="shared" si="730"/>
        <v>0.94212055356632918</v>
      </c>
      <c r="AL122" s="629">
        <f t="shared" si="731"/>
        <v>-0.24325506261831323</v>
      </c>
      <c r="AM122" s="634">
        <f t="shared" si="732"/>
        <v>-0.23072892549143875</v>
      </c>
      <c r="AN122" s="581">
        <f t="shared" si="733"/>
        <v>-46.513822826392712</v>
      </c>
      <c r="AO122" s="582">
        <f t="shared" si="742"/>
        <v>19.589219416085665</v>
      </c>
      <c r="AP122" s="585">
        <f t="shared" si="734"/>
        <v>-14.477545350252312</v>
      </c>
      <c r="AQ122" s="586">
        <f t="shared" si="667"/>
        <v>0.47197418451601092</v>
      </c>
      <c r="AS122" s="52">
        <f t="shared" si="737"/>
        <v>-328.90900448898435</v>
      </c>
      <c r="AT122" s="73">
        <f t="shared" si="668"/>
        <v>-0.44785135132785098</v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>Taper</v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>
        <f t="shared" si="643"/>
        <v>7.234</v>
      </c>
      <c r="IH122" s="731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0.13400000000000001</v>
      </c>
      <c r="II122" s="734" cm="1">
        <f t="array" ref="II122">IFERROR(ROUND(VALUE(IF($IH122&lt;1,$IH122+LARGE((IF($M$9:$M$150="",0,$M$9:$M$150)-MOD(IF($M$9:$M$150="",0,$M$9:$M$150),1)),1),$IH122)),4),"")</f>
        <v>7.1340000000000003</v>
      </c>
      <c r="IJ122" s="533">
        <f t="shared" si="542"/>
        <v>1613</v>
      </c>
      <c r="IK122" s="533">
        <f t="shared" si="713"/>
        <v>1313</v>
      </c>
      <c r="IL122" s="727">
        <f t="shared" si="647"/>
        <v>13.481998053440336</v>
      </c>
      <c r="IM122" s="759">
        <v>1.73818216773909E-3</v>
      </c>
      <c r="IN122" s="5">
        <f t="shared" si="648"/>
        <v>0.02</v>
      </c>
      <c r="IO122" s="771">
        <v>10</v>
      </c>
      <c r="IP122" s="9">
        <f t="shared" si="649"/>
        <v>-4.8061144952413182</v>
      </c>
      <c r="IQ122" s="5">
        <f t="shared" si="650"/>
        <v>-0.71270214950968291</v>
      </c>
      <c r="IR122" s="5">
        <f t="shared" si="714"/>
        <v>0.314</v>
      </c>
      <c r="IS122" s="5">
        <f t="shared" si="651"/>
        <v>0.2958258538198274</v>
      </c>
      <c r="IT122" s="727">
        <f t="shared" si="652"/>
        <v>46.513822826392691</v>
      </c>
      <c r="IU122" s="9">
        <f t="shared" si="653"/>
        <v>-4.8300842329494706</v>
      </c>
      <c r="IV122" s="5">
        <f t="shared" si="654"/>
        <v>-0.67626038222297902</v>
      </c>
      <c r="IW122" s="5">
        <f t="shared" si="715"/>
        <v>0.26600000000000001</v>
      </c>
      <c r="IX122" s="5">
        <f t="shared" si="655"/>
        <v>0.25060406724864359</v>
      </c>
      <c r="IY122" s="762">
        <f t="shared" si="656"/>
        <v>46.513822826392712</v>
      </c>
    </row>
    <row r="123" spans="1:259" ht="15" customHeight="1" x14ac:dyDescent="0.25">
      <c r="A123" s="79"/>
      <c r="B123" s="707">
        <v>-2.8232533415232353</v>
      </c>
      <c r="C123" s="708">
        <v>4.5598370337098526</v>
      </c>
      <c r="D123" s="709">
        <v>-1.2246231008238082</v>
      </c>
      <c r="E123" s="710">
        <v>-0.9601311559587915</v>
      </c>
      <c r="F123" s="708">
        <v>-0.21358735395756617</v>
      </c>
      <c r="G123" s="711">
        <v>0.18035688394580415</v>
      </c>
      <c r="H123" s="710">
        <v>0.26600000000000001</v>
      </c>
      <c r="I123" s="708">
        <v>0.52</v>
      </c>
      <c r="J123" s="570">
        <v>7.2409999999999997</v>
      </c>
      <c r="K123" s="865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>1313</v>
      </c>
      <c r="L123" s="320"/>
      <c r="M123" s="168">
        <f t="shared" si="660"/>
        <v>7.2409999999999997</v>
      </c>
      <c r="N123" s="632">
        <f t="shared" si="661"/>
        <v>-2.8232533415232353</v>
      </c>
      <c r="O123" s="629">
        <f t="shared" si="662"/>
        <v>4.5598370337098526</v>
      </c>
      <c r="P123" s="633">
        <f t="shared" si="663"/>
        <v>-1.2246231008238082</v>
      </c>
      <c r="Q123" s="585">
        <f t="shared" si="520"/>
        <v>121.76399541384647</v>
      </c>
      <c r="R123" s="629">
        <f t="shared" si="716"/>
        <v>5.3631029455357258</v>
      </c>
      <c r="S123" s="634">
        <f t="shared" si="717"/>
        <v>-1.2246231008238082</v>
      </c>
      <c r="T123" s="635">
        <f t="shared" si="718"/>
        <v>4.5598370337098526</v>
      </c>
      <c r="U123" s="629">
        <f t="shared" si="719"/>
        <v>2.8232533415232339</v>
      </c>
      <c r="V123" s="636">
        <f t="shared" si="720"/>
        <v>-1.2246231008238082</v>
      </c>
      <c r="W123" s="585">
        <f t="shared" si="645"/>
        <v>31.763995413846473</v>
      </c>
      <c r="X123" s="629">
        <f t="shared" si="721"/>
        <v>5.3631029455357258</v>
      </c>
      <c r="Y123" s="630">
        <f t="shared" si="644"/>
        <v>-1.2246231008238082</v>
      </c>
      <c r="Z123" s="632">
        <f t="shared" si="664"/>
        <v>0.9601311559587915</v>
      </c>
      <c r="AA123" s="629">
        <f t="shared" si="665"/>
        <v>0.21358735395756617</v>
      </c>
      <c r="AB123" s="629">
        <f t="shared" si="666"/>
        <v>-0.18035688394580415</v>
      </c>
      <c r="AC123" s="636">
        <f t="shared" si="722"/>
        <v>1</v>
      </c>
      <c r="AD123" s="637">
        <f t="shared" si="723"/>
        <v>0.9601311559587915</v>
      </c>
      <c r="AE123" s="629">
        <f t="shared" si="724"/>
        <v>0.21358735395756617</v>
      </c>
      <c r="AF123" s="633">
        <f t="shared" si="725"/>
        <v>-0.18035688394580415</v>
      </c>
      <c r="AG123" s="602">
        <f t="shared" si="726"/>
        <v>49.82166970176484</v>
      </c>
      <c r="AH123" s="603">
        <f t="shared" si="727"/>
        <v>16.233344968523365</v>
      </c>
      <c r="AI123" s="585">
        <f t="shared" si="728"/>
        <v>-79.60945203019584</v>
      </c>
      <c r="AJ123" s="586">
        <f t="shared" si="729"/>
        <v>102.54159496968059</v>
      </c>
      <c r="AK123" s="635">
        <f t="shared" si="730"/>
        <v>0.92876322970335778</v>
      </c>
      <c r="AL123" s="629">
        <f t="shared" si="731"/>
        <v>-0.32383677611467715</v>
      </c>
      <c r="AM123" s="634">
        <f t="shared" si="732"/>
        <v>-0.18035688394580415</v>
      </c>
      <c r="AN123" s="581">
        <f t="shared" si="733"/>
        <v>-60.884920918282297</v>
      </c>
      <c r="AO123" s="582">
        <f t="shared" si="742"/>
        <v>21.757161390115659</v>
      </c>
      <c r="AP123" s="585">
        <f t="shared" si="734"/>
        <v>-19.222400444165867</v>
      </c>
      <c r="AQ123" s="586">
        <f t="shared" si="667"/>
        <v>0.42506825436259893</v>
      </c>
      <c r="AS123" s="52">
        <f t="shared" si="737"/>
        <v>-328.23600458615351</v>
      </c>
      <c r="AT123" s="73">
        <f t="shared" si="668"/>
        <v>-0.99668143097231265</v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>Taper</v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>
        <f t="shared" si="643"/>
        <v>7.2409999999999997</v>
      </c>
      <c r="IH123" s="731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>0.14099999999999999</v>
      </c>
      <c r="II123" s="734" cm="1">
        <f t="array" ref="II123">IFERROR(ROUND(VALUE(IF($IH123&lt;1,$IH123+LARGE((IF($M$9:$M$150="",0,$M$9:$M$150)-MOD(IF($M$9:$M$150="",0,$M$9:$M$150),1)),1),$IH123)),4),"")</f>
        <v>7.141</v>
      </c>
      <c r="IJ123" s="533">
        <f t="shared" si="542"/>
        <v>1613</v>
      </c>
      <c r="IK123" s="533">
        <f t="shared" si="713"/>
        <v>1313</v>
      </c>
      <c r="IL123" s="727">
        <f t="shared" si="647"/>
        <v>12.253998230741573</v>
      </c>
      <c r="IM123" s="759">
        <v>1.2800947056479E-3</v>
      </c>
      <c r="IN123" s="5">
        <f t="shared" si="648"/>
        <v>0</v>
      </c>
      <c r="IO123" s="771">
        <v>0</v>
      </c>
      <c r="IP123" s="9">
        <f t="shared" si="649"/>
        <v>-5.3314160795508974</v>
      </c>
      <c r="IQ123" s="5">
        <f t="shared" si="650"/>
        <v>-1.2544037832818105</v>
      </c>
      <c r="IR123" s="5">
        <f t="shared" si="714"/>
        <v>0.314</v>
      </c>
      <c r="IS123" s="5">
        <f t="shared" si="651"/>
        <v>0.29163165412685438</v>
      </c>
      <c r="IT123" s="727">
        <f t="shared" si="652"/>
        <v>60.884920918282326</v>
      </c>
      <c r="IU123" s="9">
        <f t="shared" si="653"/>
        <v>-5.3631029455357258</v>
      </c>
      <c r="IV123" s="5">
        <f t="shared" si="654"/>
        <v>-1.2246231008238082</v>
      </c>
      <c r="IW123" s="5">
        <f t="shared" si="715"/>
        <v>0.26600000000000001</v>
      </c>
      <c r="IX123" s="5">
        <f t="shared" si="655"/>
        <v>0.2470510191010932</v>
      </c>
      <c r="IY123" s="762">
        <f t="shared" si="656"/>
        <v>60.884920918282297</v>
      </c>
    </row>
    <row r="124" spans="1:259" ht="15" customHeight="1" x14ac:dyDescent="0.25">
      <c r="A124" s="79"/>
      <c r="B124" s="707">
        <v>-3.0398436361493673</v>
      </c>
      <c r="C124" s="708">
        <v>4.8528856919967396</v>
      </c>
      <c r="D124" s="709">
        <v>-1.8974242452043097</v>
      </c>
      <c r="E124" s="710">
        <v>-0.9847657263107461</v>
      </c>
      <c r="F124" s="708">
        <v>-0.11026559695602066</v>
      </c>
      <c r="G124" s="711">
        <v>0.13445431347339157</v>
      </c>
      <c r="H124" s="710">
        <v>0.26600000000000001</v>
      </c>
      <c r="I124" s="708">
        <v>0.52</v>
      </c>
      <c r="J124" s="570">
        <v>7.2480000000000002</v>
      </c>
      <c r="K124" s="865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>1313</v>
      </c>
      <c r="L124" s="320"/>
      <c r="M124" s="168">
        <f t="shared" si="660"/>
        <v>7.2480000000000002</v>
      </c>
      <c r="N124" s="632">
        <f t="shared" si="661"/>
        <v>-3.0398436361493673</v>
      </c>
      <c r="O124" s="629">
        <f t="shared" si="662"/>
        <v>4.8528856919967396</v>
      </c>
      <c r="P124" s="633">
        <f t="shared" si="663"/>
        <v>-1.8974242452043097</v>
      </c>
      <c r="Q124" s="585">
        <f t="shared" si="520"/>
        <v>122.06299537067625</v>
      </c>
      <c r="R124" s="629">
        <f t="shared" si="716"/>
        <v>5.7263556361637615</v>
      </c>
      <c r="S124" s="634">
        <f t="shared" si="717"/>
        <v>-1.8974242452043097</v>
      </c>
      <c r="T124" s="635">
        <f t="shared" si="718"/>
        <v>4.8528856919967387</v>
      </c>
      <c r="U124" s="629">
        <f t="shared" si="719"/>
        <v>3.0398436361493677</v>
      </c>
      <c r="V124" s="636">
        <f t="shared" si="720"/>
        <v>-1.8974242452043097</v>
      </c>
      <c r="W124" s="585">
        <f t="shared" si="645"/>
        <v>32.062995370676248</v>
      </c>
      <c r="X124" s="629">
        <f t="shared" si="721"/>
        <v>5.7263556361637615</v>
      </c>
      <c r="Y124" s="630">
        <f t="shared" si="644"/>
        <v>-1.8974242452043097</v>
      </c>
      <c r="Z124" s="632">
        <f t="shared" si="664"/>
        <v>0.9847657263107461</v>
      </c>
      <c r="AA124" s="629">
        <f t="shared" si="665"/>
        <v>0.11026559695602066</v>
      </c>
      <c r="AB124" s="629">
        <f t="shared" si="666"/>
        <v>-0.13445431347339157</v>
      </c>
      <c r="AC124" s="636">
        <f t="shared" si="722"/>
        <v>1</v>
      </c>
      <c r="AD124" s="637">
        <f t="shared" si="723"/>
        <v>0.9847657263107461</v>
      </c>
      <c r="AE124" s="629">
        <f t="shared" si="724"/>
        <v>0.11026559695602066</v>
      </c>
      <c r="AF124" s="633">
        <f t="shared" si="725"/>
        <v>-0.13445431347339157</v>
      </c>
      <c r="AG124" s="602">
        <f t="shared" si="726"/>
        <v>39.35508019597787</v>
      </c>
      <c r="AH124" s="603">
        <f t="shared" si="727"/>
        <v>10.013857343003163</v>
      </c>
      <c r="AI124" s="585">
        <f t="shared" si="728"/>
        <v>-82.272933325779405</v>
      </c>
      <c r="AJ124" s="586">
        <f t="shared" si="729"/>
        <v>96.388876945694321</v>
      </c>
      <c r="AK124" s="635">
        <f t="shared" si="730"/>
        <v>0.89308907817001559</v>
      </c>
      <c r="AL124" s="629">
        <f t="shared" si="731"/>
        <v>-0.42931798942256155</v>
      </c>
      <c r="AM124" s="634">
        <f t="shared" si="732"/>
        <v>-0.13445431347339157</v>
      </c>
      <c r="AN124" s="581">
        <f t="shared" si="733"/>
        <v>-72.610425958606342</v>
      </c>
      <c r="AO124" s="582">
        <f t="shared" si="742"/>
        <v>26.735976869121</v>
      </c>
      <c r="AP124" s="585">
        <f t="shared" si="734"/>
        <v>-25.674118424981916</v>
      </c>
      <c r="AQ124" s="586">
        <f t="shared" si="667"/>
        <v>0.3981048488366748</v>
      </c>
      <c r="AS124" s="52">
        <f t="shared" si="737"/>
        <v>-327.93700462932372</v>
      </c>
      <c r="AT124" s="73">
        <f t="shared" si="668"/>
        <v>-1.6696902142117238</v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>Taper</v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>
        <f t="shared" si="643"/>
        <v>7.2480000000000002</v>
      </c>
      <c r="IH124" s="731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>0.14799999999999999</v>
      </c>
      <c r="II124" s="734" cm="1">
        <f t="array" ref="II124">IFERROR(ROUND(VALUE(IF($IH124&lt;1,$IH124+LARGE((IF($M$9:$M$150="",0,$M$9:$M$150)-MOD(IF($M$9:$M$150="",0,$M$9:$M$150),1)),1),$IH124)),4),"")</f>
        <v>7.1479999999999997</v>
      </c>
      <c r="IJ124" s="533">
        <f t="shared" si="542"/>
        <v>1613</v>
      </c>
      <c r="IK124" s="533">
        <f t="shared" si="713"/>
        <v>1313</v>
      </c>
      <c r="IL124" s="727">
        <f t="shared" si="647"/>
        <v>11.553998331809026</v>
      </c>
      <c r="IM124" s="759">
        <v>8.5045654868991401E-4</v>
      </c>
      <c r="IN124" s="5">
        <f t="shared" si="648"/>
        <v>0</v>
      </c>
      <c r="IO124" s="771">
        <v>0</v>
      </c>
      <c r="IP124" s="9">
        <f t="shared" si="649"/>
        <v>-5.6897171601869561</v>
      </c>
      <c r="IQ124" s="5">
        <f t="shared" si="650"/>
        <v>-1.9184057859118504</v>
      </c>
      <c r="IR124" s="5">
        <f t="shared" si="714"/>
        <v>0.314</v>
      </c>
      <c r="IS124" s="5">
        <f t="shared" si="651"/>
        <v>0.28042997054538493</v>
      </c>
      <c r="IT124" s="727">
        <f t="shared" si="652"/>
        <v>72.610425958606314</v>
      </c>
      <c r="IU124" s="9">
        <f t="shared" si="653"/>
        <v>-5.7263556361637615</v>
      </c>
      <c r="IV124" s="5">
        <f t="shared" si="654"/>
        <v>-1.8974242452043097</v>
      </c>
      <c r="IW124" s="5">
        <f t="shared" si="715"/>
        <v>0.26600000000000001</v>
      </c>
      <c r="IX124" s="5">
        <f t="shared" si="655"/>
        <v>0.23756169479322417</v>
      </c>
      <c r="IY124" s="762">
        <f t="shared" si="656"/>
        <v>72.610425958606342</v>
      </c>
    </row>
    <row r="125" spans="1:259" ht="15" customHeight="1" x14ac:dyDescent="0.25">
      <c r="A125" s="79"/>
      <c r="B125" s="707">
        <v>-3.1373617030843879</v>
      </c>
      <c r="C125" s="708">
        <v>4.9889957817751656</v>
      </c>
      <c r="D125" s="709">
        <v>-2.6432981623139273</v>
      </c>
      <c r="E125" s="710">
        <v>-0.99844123091056858</v>
      </c>
      <c r="F125" s="708">
        <v>-2.7841633058040657E-2</v>
      </c>
      <c r="G125" s="711">
        <v>4.8373049174619515E-2</v>
      </c>
      <c r="H125" s="710">
        <v>0.26600000000000001</v>
      </c>
      <c r="I125" s="708">
        <v>0.52</v>
      </c>
      <c r="J125" s="570">
        <v>7.2549999999999999</v>
      </c>
      <c r="K125" s="865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>1313</v>
      </c>
      <c r="L125" s="320"/>
      <c r="M125" s="168">
        <f t="shared" si="660"/>
        <v>7.2549999999999999</v>
      </c>
      <c r="N125" s="632">
        <f t="shared" si="661"/>
        <v>-3.1373617030843879</v>
      </c>
      <c r="O125" s="629">
        <f t="shared" si="662"/>
        <v>4.9889957817751656</v>
      </c>
      <c r="P125" s="633">
        <f t="shared" si="663"/>
        <v>-2.6432981623139273</v>
      </c>
      <c r="Q125" s="585">
        <f t="shared" si="520"/>
        <v>122.16399535609364</v>
      </c>
      <c r="R125" s="629">
        <f t="shared" si="716"/>
        <v>5.8934809210305383</v>
      </c>
      <c r="S125" s="634">
        <f t="shared" si="717"/>
        <v>-2.6432981623139273</v>
      </c>
      <c r="T125" s="635">
        <f t="shared" si="718"/>
        <v>4.9889957817751656</v>
      </c>
      <c r="U125" s="629">
        <f t="shared" si="719"/>
        <v>3.1373617030843874</v>
      </c>
      <c r="V125" s="636">
        <f t="shared" si="720"/>
        <v>-2.6432981623139273</v>
      </c>
      <c r="W125" s="585">
        <f t="shared" si="645"/>
        <v>32.163995356093636</v>
      </c>
      <c r="X125" s="629">
        <f t="shared" si="721"/>
        <v>5.8934809210305383</v>
      </c>
      <c r="Y125" s="630">
        <f t="shared" si="644"/>
        <v>-2.6432981623139273</v>
      </c>
      <c r="Z125" s="632">
        <f t="shared" si="664"/>
        <v>0.99844123091056858</v>
      </c>
      <c r="AA125" s="629">
        <f t="shared" si="665"/>
        <v>2.7841633058040657E-2</v>
      </c>
      <c r="AB125" s="629">
        <f t="shared" si="666"/>
        <v>-4.8373049174619515E-2</v>
      </c>
      <c r="AC125" s="636">
        <f t="shared" si="722"/>
        <v>1</v>
      </c>
      <c r="AD125" s="637">
        <f t="shared" si="723"/>
        <v>0.99844123091056858</v>
      </c>
      <c r="AE125" s="629">
        <f t="shared" si="724"/>
        <v>2.7841633058040657E-2</v>
      </c>
      <c r="AF125" s="633">
        <f t="shared" si="725"/>
        <v>-4.8373049174619515E-2</v>
      </c>
      <c r="AG125" s="602">
        <f t="shared" si="726"/>
        <v>29.923045578128129</v>
      </c>
      <c r="AH125" s="603">
        <f t="shared" si="727"/>
        <v>3.1995209090450349</v>
      </c>
      <c r="AI125" s="585">
        <f t="shared" si="728"/>
        <v>-87.227346409689915</v>
      </c>
      <c r="AJ125" s="586">
        <f t="shared" si="729"/>
        <v>91.597284592978255</v>
      </c>
      <c r="AK125" s="635">
        <f t="shared" si="730"/>
        <v>0.86002965489952965</v>
      </c>
      <c r="AL125" s="629">
        <f t="shared" si="731"/>
        <v>-0.50794590342569546</v>
      </c>
      <c r="AM125" s="634">
        <f t="shared" si="732"/>
        <v>-4.8373049174619515E-2</v>
      </c>
      <c r="AN125" s="581">
        <f t="shared" si="733"/>
        <v>-84.559975506791588</v>
      </c>
      <c r="AO125" s="582">
        <f t="shared" si="742"/>
        <v>30.680087295793012</v>
      </c>
      <c r="AP125" s="585">
        <f t="shared" si="734"/>
        <v>-30.56671076311537</v>
      </c>
      <c r="AQ125" s="586">
        <f t="shared" si="667"/>
        <v>0.38681587785295329</v>
      </c>
      <c r="AS125" s="52">
        <f t="shared" si="737"/>
        <v>-327.83600464390634</v>
      </c>
      <c r="AT125" s="73">
        <f t="shared" si="668"/>
        <v>-2.4156342702001035</v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>Taper</v>
      </c>
      <c r="IF125" s="533" t="str">
        <f>IFERROR(IF((((($IW125*COS(RADIANS(180-$IY125)))*COS(RADIANS($IY125)))-(($IX125*SIN(RADIANS(180-$IY125)))*SIN(RADIANS($IY125))))+$IU125)&lt;(((Settings!$C$19+$IF$8)/2)*-1),"Gage",""),"")</f>
        <v>Gage</v>
      </c>
      <c r="IG125" s="847">
        <f t="shared" si="643"/>
        <v>7.2549999999999999</v>
      </c>
      <c r="IH125" s="731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>0.155</v>
      </c>
      <c r="II125" s="734" cm="1">
        <f t="array" ref="II125">IFERROR(ROUND(VALUE(IF($IH125&lt;1,$IH125+LARGE((IF($M$9:$M$150="",0,$M$9:$M$150)-MOD(IF($M$9:$M$150="",0,$M$9:$M$150),1)),1),$IH125)),4),"")</f>
        <v>7.1550000000000002</v>
      </c>
      <c r="IJ125" s="533">
        <f t="shared" si="542"/>
        <v>1613</v>
      </c>
      <c r="IK125" s="533">
        <f t="shared" si="713"/>
        <v>1313</v>
      </c>
      <c r="IL125" s="727">
        <f t="shared" si="647"/>
        <v>11.263998373679868</v>
      </c>
      <c r="IM125" s="759">
        <v>4.3937633918222398E-4</v>
      </c>
      <c r="IN125" s="5">
        <f t="shared" si="648"/>
        <v>0</v>
      </c>
      <c r="IO125" s="771">
        <v>0</v>
      </c>
      <c r="IP125" s="9">
        <f t="shared" si="649"/>
        <v>-5.8541176560188513</v>
      </c>
      <c r="IQ125" s="5">
        <f t="shared" si="650"/>
        <v>-2.6549080072025499</v>
      </c>
      <c r="IR125" s="5">
        <f t="shared" si="714"/>
        <v>0.314</v>
      </c>
      <c r="IS125" s="5">
        <f t="shared" si="651"/>
        <v>0.27004931163845225</v>
      </c>
      <c r="IT125" s="727">
        <f t="shared" si="652"/>
        <v>84.559975506791517</v>
      </c>
      <c r="IU125" s="9">
        <f t="shared" si="653"/>
        <v>-5.8934809210305383</v>
      </c>
      <c r="IV125" s="5">
        <f t="shared" si="654"/>
        <v>-2.6432981623139273</v>
      </c>
      <c r="IW125" s="5">
        <f t="shared" si="715"/>
        <v>0.26600000000000001</v>
      </c>
      <c r="IX125" s="5">
        <f t="shared" si="655"/>
        <v>0.2287678882032749</v>
      </c>
      <c r="IY125" s="762">
        <f t="shared" si="656"/>
        <v>84.559975506791588</v>
      </c>
    </row>
    <row r="126" spans="1:259" ht="15" customHeight="1" x14ac:dyDescent="0.25">
      <c r="A126" s="79"/>
      <c r="B126" s="707">
        <v>-2.9258026575259533</v>
      </c>
      <c r="C126" s="708">
        <v>5.1234517336867542</v>
      </c>
      <c r="D126" s="709">
        <v>-3.4476303091641238</v>
      </c>
      <c r="E126" s="710">
        <v>-0.49589839075622277</v>
      </c>
      <c r="F126" s="708">
        <v>0.86838055370058653</v>
      </c>
      <c r="G126" s="711">
        <v>2.2679489697012661E-7</v>
      </c>
      <c r="H126" s="710">
        <v>0.26250000000000001</v>
      </c>
      <c r="I126" s="708">
        <v>0.40699999999999997</v>
      </c>
      <c r="J126" s="570">
        <v>7.2619999999999996</v>
      </c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>Inactive</v>
      </c>
      <c r="L126" s="320"/>
      <c r="M126" s="168">
        <f t="shared" si="660"/>
        <v>7.2619999999999996</v>
      </c>
      <c r="N126" s="632">
        <f t="shared" si="661"/>
        <v>-2.9258026575259533</v>
      </c>
      <c r="O126" s="629">
        <f t="shared" si="662"/>
        <v>5.1234517336867542</v>
      </c>
      <c r="P126" s="633">
        <f t="shared" si="663"/>
        <v>-3.4476303091641238</v>
      </c>
      <c r="Q126" s="585">
        <f t="shared" si="520"/>
        <v>119.72899570766408</v>
      </c>
      <c r="R126" s="629">
        <f t="shared" si="716"/>
        <v>5.900006682894837</v>
      </c>
      <c r="S126" s="634">
        <f t="shared" si="717"/>
        <v>-3.4476303091641238</v>
      </c>
      <c r="T126" s="635">
        <f t="shared" si="718"/>
        <v>5.1234517336867542</v>
      </c>
      <c r="U126" s="629">
        <f t="shared" si="719"/>
        <v>2.9258026575259528</v>
      </c>
      <c r="V126" s="636">
        <f t="shared" si="720"/>
        <v>-3.4476303091641238</v>
      </c>
      <c r="W126" s="585">
        <f t="shared" si="645"/>
        <v>29.728995707664083</v>
      </c>
      <c r="X126" s="629">
        <f t="shared" si="721"/>
        <v>5.900006682894837</v>
      </c>
      <c r="Y126" s="630">
        <f t="shared" si="644"/>
        <v>-3.4476303091641238</v>
      </c>
      <c r="Z126" s="632">
        <f t="shared" si="664"/>
        <v>0.49589839075622277</v>
      </c>
      <c r="AA126" s="629">
        <f t="shared" si="665"/>
        <v>-0.86838055370058653</v>
      </c>
      <c r="AB126" s="629">
        <f t="shared" si="666"/>
        <v>-2.2679489697012661E-7</v>
      </c>
      <c r="AC126" s="636">
        <f t="shared" si="722"/>
        <v>1</v>
      </c>
      <c r="AD126" s="637">
        <f t="shared" si="723"/>
        <v>0.49589839075622277</v>
      </c>
      <c r="AE126" s="629">
        <f t="shared" si="724"/>
        <v>-0.86838055370058653</v>
      </c>
      <c r="AF126" s="633">
        <f t="shared" si="725"/>
        <v>-2.2679489697012661E-7</v>
      </c>
      <c r="AG126" s="602">
        <f t="shared" si="726"/>
        <v>-89.999985036064714</v>
      </c>
      <c r="AH126" s="603">
        <f t="shared" si="727"/>
        <v>60.270991297946352</v>
      </c>
      <c r="AI126" s="585">
        <f t="shared" si="728"/>
        <v>-89.999987005609597</v>
      </c>
      <c r="AJ126" s="586">
        <f t="shared" si="729"/>
        <v>29.729008702054486</v>
      </c>
      <c r="AK126" s="635">
        <f t="shared" si="730"/>
        <v>2.2679489680710319E-7</v>
      </c>
      <c r="AL126" s="629">
        <f t="shared" si="731"/>
        <v>-0.9999999999999486</v>
      </c>
      <c r="AM126" s="634">
        <f t="shared" si="732"/>
        <v>-2.2679489697012661E-7</v>
      </c>
      <c r="AN126" s="581">
        <f t="shared" si="733"/>
        <v>-89.999987005609597</v>
      </c>
      <c r="AO126" s="582">
        <f t="shared" si="742"/>
        <v>0</v>
      </c>
      <c r="AP126" s="585">
        <f t="shared" si="734"/>
        <v>-89.999987005609611</v>
      </c>
      <c r="AQ126" s="586">
        <f t="shared" si="667"/>
        <v>0.38638804923078213</v>
      </c>
      <c r="AS126" s="52">
        <f t="shared" si="737"/>
        <v>-330.27100429233593</v>
      </c>
      <c r="AT126" s="73">
        <f t="shared" si="668"/>
        <v>-3.2182754450722237</v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>Taper</v>
      </c>
      <c r="IF126" s="533" t="str">
        <f>IFERROR(IF((((($IW126*COS(RADIANS(180-$IY126)))*COS(RADIANS($IY126)))-(($IX126*SIN(RADIANS(180-$IY126)))*SIN(RADIANS($IY126))))+$IU126)&lt;(((Settings!$C$19+$IF$8)/2)*-1),"Gage",""),"")</f>
        <v>Gage</v>
      </c>
      <c r="IG126" s="847">
        <f t="shared" si="643"/>
        <v>7.2619999999999996</v>
      </c>
      <c r="IH126" s="731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>0.16200000000000001</v>
      </c>
      <c r="II126" s="734" cm="1">
        <f t="array" ref="II126">IFERROR(ROUND(VALUE(IF($IH126&lt;1,$IH126+LARGE((IF($M$9:$M$150="",0,$M$9:$M$150)-MOD(IF($M$9:$M$150="",0,$M$9:$M$150),1)),1),$IH126)),4),"")</f>
        <v>7.1619999999999999</v>
      </c>
      <c r="IJ126" s="533">
        <f t="shared" si="542"/>
        <v>1613</v>
      </c>
      <c r="IK126" s="533" t="str">
        <f t="shared" si="713"/>
        <v>Inactive</v>
      </c>
      <c r="IL126" s="727">
        <f t="shared" si="647"/>
        <v>13.627998032360537</v>
      </c>
      <c r="IM126" s="759">
        <v>4.0172827225088998E-4</v>
      </c>
      <c r="IN126" s="5">
        <f t="shared" si="648"/>
        <v>0</v>
      </c>
      <c r="IO126" s="771">
        <v>0</v>
      </c>
      <c r="IP126" s="9">
        <f t="shared" si="649"/>
        <v>-5.9156178415034111</v>
      </c>
      <c r="IQ126" s="5">
        <f t="shared" si="650"/>
        <v>-3.4205103162591142</v>
      </c>
      <c r="IR126" s="5">
        <f t="shared" si="714"/>
        <v>0.314</v>
      </c>
      <c r="IS126" s="5">
        <f t="shared" si="651"/>
        <v>0.24053797548389924</v>
      </c>
      <c r="IT126" s="727">
        <f t="shared" si="652"/>
        <v>89.999987005609626</v>
      </c>
      <c r="IU126" s="9">
        <f t="shared" si="653"/>
        <v>-5.900006682894837</v>
      </c>
      <c r="IV126" s="5">
        <f t="shared" si="654"/>
        <v>-3.4476303091641238</v>
      </c>
      <c r="IW126" s="5">
        <f t="shared" si="715"/>
        <v>0.26250000000000001</v>
      </c>
      <c r="IX126" s="5">
        <f t="shared" si="655"/>
        <v>0.26250000000000001</v>
      </c>
      <c r="IY126" s="762">
        <f t="shared" si="656"/>
        <v>89.999987005609597</v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0.95371696400905337</v>
      </c>
      <c r="F155" s="170">
        <f t="shared" si="929"/>
        <v>7.7828366019961556E-2</v>
      </c>
      <c r="G155" s="170">
        <f t="shared" si="929"/>
        <v>-0.29045946017304536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0.95371696400905337</v>
      </c>
      <c r="F156" s="170">
        <f t="shared" si="929"/>
        <v>7.7828366019961556E-2</v>
      </c>
      <c r="G156" s="170">
        <f t="shared" si="929"/>
        <v>-0.29045946017304536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0.95371696400905348</v>
      </c>
      <c r="F157" s="170">
        <f t="shared" si="929"/>
        <v>6.5084628803148747E-2</v>
      </c>
      <c r="G157" s="170">
        <f t="shared" si="929"/>
        <v>-0.29357783236291934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0.95306811962867055</v>
      </c>
      <c r="F158" s="170">
        <f t="shared" si="929"/>
        <v>-5.4079180531737672E-2</v>
      </c>
      <c r="G158" s="170">
        <f t="shared" si="929"/>
        <v>-0.29788689393876683</v>
      </c>
      <c r="H158" s="139"/>
      <c r="I158" s="86"/>
      <c r="J158" s="79">
        <f t="shared" si="930"/>
        <v>1.119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0.94747330794515383</v>
      </c>
      <c r="F159" s="170">
        <f t="shared" si="929"/>
        <v>-0.15809110831621812</v>
      </c>
      <c r="G159" s="170">
        <f t="shared" si="929"/>
        <v>-0.27803153095074934</v>
      </c>
      <c r="H159" s="139"/>
      <c r="I159" s="86"/>
      <c r="J159" s="79">
        <f t="shared" si="930"/>
        <v>1.1259999999999999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0.93663487934216794</v>
      </c>
      <c r="F160" s="170">
        <f t="shared" si="929"/>
        <v>-0.25511138236050829</v>
      </c>
      <c r="G160" s="170">
        <f t="shared" si="929"/>
        <v>-0.24006933454690368</v>
      </c>
      <c r="H160" s="139"/>
      <c r="I160" s="86"/>
      <c r="J160" s="79">
        <f t="shared" si="930"/>
        <v>1.133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0.91789894548703721</v>
      </c>
      <c r="F161" s="170">
        <f t="shared" si="929"/>
        <v>-0.34710799670597792</v>
      </c>
      <c r="G161" s="170">
        <f t="shared" si="929"/>
        <v>-0.19229551345922746</v>
      </c>
      <c r="H161" s="139"/>
      <c r="I161" s="86"/>
      <c r="J161" s="79">
        <f t="shared" si="930"/>
        <v>1.1399999999999999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0.88316131111063845</v>
      </c>
      <c r="F162" s="170">
        <f t="shared" si="929"/>
        <v>-0.44743514513402344</v>
      </c>
      <c r="G162" s="170">
        <f t="shared" si="929"/>
        <v>-0.14081153878938221</v>
      </c>
      <c r="H162" s="139"/>
      <c r="I162" s="86"/>
      <c r="J162" s="79">
        <f t="shared" si="930"/>
        <v>1.147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0.83661375620125233</v>
      </c>
      <c r="F163" s="170">
        <f t="shared" si="929"/>
        <v>-0.54389473329816029</v>
      </c>
      <c r="G163" s="170">
        <f t="shared" si="929"/>
        <v>-6.523758138798999E-2</v>
      </c>
      <c r="H163" s="139"/>
      <c r="I163" s="86"/>
      <c r="J163" s="79">
        <f t="shared" si="930"/>
        <v>1.1539999999999999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0.73558896294884757</v>
      </c>
      <c r="F164" s="170">
        <f t="shared" si="929"/>
        <v>-0.67742813462965779</v>
      </c>
      <c r="G164" s="170">
        <f t="shared" si="929"/>
        <v>-1.4578093199048389E-7</v>
      </c>
      <c r="H164" s="139"/>
      <c r="I164" s="86"/>
      <c r="J164" s="79">
        <f t="shared" si="930"/>
        <v>1.161</v>
      </c>
    </row>
    <row r="165" spans="5:16" x14ac:dyDescent="0.25">
      <c r="E165" s="170">
        <f t="shared" si="929"/>
        <v>2.0648932828124283E-7</v>
      </c>
      <c r="F165" s="170">
        <f t="shared" si="929"/>
        <v>-9.3798094222275634E-8</v>
      </c>
      <c r="G165" s="170">
        <f t="shared" si="929"/>
        <v>-0.99999999999997435</v>
      </c>
      <c r="H165" s="139"/>
      <c r="I165" s="86"/>
      <c r="J165" s="79">
        <f t="shared" si="930"/>
        <v>1.212</v>
      </c>
    </row>
    <row r="166" spans="5:16" x14ac:dyDescent="0.25">
      <c r="E166" s="170">
        <f t="shared" si="929"/>
        <v>-2.1864070982041923E-2</v>
      </c>
      <c r="F166" s="170">
        <f t="shared" si="929"/>
        <v>-6.1640331600288895E-2</v>
      </c>
      <c r="G166" s="170">
        <f t="shared" si="929"/>
        <v>-0.99785892385662345</v>
      </c>
      <c r="H166" s="139"/>
      <c r="I166" s="86"/>
      <c r="J166" s="79">
        <f t="shared" si="930"/>
        <v>1.2190000000000001</v>
      </c>
    </row>
    <row r="167" spans="5:16" x14ac:dyDescent="0.25">
      <c r="E167" s="170">
        <f t="shared" si="929"/>
        <v>0.86829409945425196</v>
      </c>
      <c r="F167" s="170">
        <f t="shared" si="929"/>
        <v>-0.41080874461251699</v>
      </c>
      <c r="G167" s="170">
        <f t="shared" si="929"/>
        <v>-0.27803153095074945</v>
      </c>
      <c r="H167" s="139"/>
      <c r="I167" s="86"/>
      <c r="J167" s="79">
        <f t="shared" si="930"/>
        <v>1.226</v>
      </c>
    </row>
    <row r="168" spans="5:16" x14ac:dyDescent="0.25">
      <c r="E168" s="170">
        <f t="shared" si="929"/>
        <v>0.84946831313906057</v>
      </c>
      <c r="F168" s="170">
        <f t="shared" si="929"/>
        <v>-0.4698620005734514</v>
      </c>
      <c r="G168" s="170">
        <f t="shared" si="929"/>
        <v>-0.24006933454690352</v>
      </c>
      <c r="H168" s="139"/>
      <c r="I168" s="86"/>
      <c r="J168" s="79">
        <f t="shared" si="930"/>
        <v>1.2330000000000001</v>
      </c>
    </row>
    <row r="169" spans="5:16" x14ac:dyDescent="0.25">
      <c r="E169" s="170">
        <f t="shared" si="929"/>
        <v>0.82200625931431459</v>
      </c>
      <c r="F169" s="170">
        <f t="shared" si="929"/>
        <v>-0.53602998531009449</v>
      </c>
      <c r="G169" s="170">
        <f t="shared" si="929"/>
        <v>-0.19229551345922744</v>
      </c>
      <c r="H169" s="139"/>
      <c r="I169" s="86"/>
      <c r="J169" s="79">
        <f t="shared" si="930"/>
        <v>1.24</v>
      </c>
    </row>
    <row r="170" spans="5:16" x14ac:dyDescent="0.25">
      <c r="E170" s="170">
        <f t="shared" si="929"/>
        <v>0.77486333802368712</v>
      </c>
      <c r="F170" s="170">
        <f t="shared" si="929"/>
        <v>-0.61624582589300791</v>
      </c>
      <c r="G170" s="170">
        <f t="shared" si="929"/>
        <v>-0.14081153878938252</v>
      </c>
      <c r="H170" s="139"/>
      <c r="I170" s="86"/>
      <c r="J170" s="79">
        <f t="shared" si="930"/>
        <v>1.2470000000000001</v>
      </c>
    </row>
    <row r="171" spans="5:16" x14ac:dyDescent="0.25">
      <c r="E171" s="170">
        <f t="shared" si="929"/>
        <v>0.71402851325435179</v>
      </c>
      <c r="F171" s="170">
        <f t="shared" si="929"/>
        <v>-0.6970705417921671</v>
      </c>
      <c r="G171" s="170">
        <f t="shared" si="929"/>
        <v>-6.5237581387990254E-2</v>
      </c>
      <c r="H171" s="139"/>
      <c r="I171" s="86"/>
      <c r="J171" s="79">
        <f t="shared" si="930"/>
        <v>1.254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-0.28018061480640505</v>
      </c>
      <c r="F172" s="170">
        <f t="shared" si="929"/>
        <v>-0.95994730224458336</v>
      </c>
      <c r="G172" s="170">
        <f t="shared" si="929"/>
        <v>-2.2679489666592363E-7</v>
      </c>
      <c r="H172" s="139"/>
      <c r="I172" s="86"/>
      <c r="J172" s="79">
        <f t="shared" si="930"/>
        <v>1.2609999999999999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0.66244907560214383</v>
      </c>
      <c r="F173" s="170">
        <f t="shared" si="929"/>
        <v>-0.74074454615549123</v>
      </c>
      <c r="G173" s="170">
        <f t="shared" si="929"/>
        <v>0.11161872412261618</v>
      </c>
      <c r="H173" s="139"/>
      <c r="I173" s="86"/>
      <c r="J173" s="79">
        <f t="shared" si="930"/>
        <v>1.3037000000000001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0.59783382547364128</v>
      </c>
      <c r="F174" s="170">
        <f t="shared" si="933"/>
        <v>-0.74714658475799445</v>
      </c>
      <c r="G174" s="170">
        <f t="shared" si="933"/>
        <v>-0.29045946017304525</v>
      </c>
      <c r="H174" s="139"/>
      <c r="I174" s="86"/>
      <c r="J174" s="79">
        <f t="shared" si="930"/>
        <v>2.1110000000000002</v>
      </c>
    </row>
    <row r="175" spans="5:16" x14ac:dyDescent="0.25">
      <c r="E175" s="170">
        <f t="shared" si="933"/>
        <v>0.50078674441594728</v>
      </c>
      <c r="F175" s="170">
        <f t="shared" si="933"/>
        <v>-0.81207915051956869</v>
      </c>
      <c r="G175" s="170">
        <f t="shared" si="933"/>
        <v>-0.29956650331552825</v>
      </c>
      <c r="H175" s="139"/>
      <c r="I175" s="86"/>
      <c r="J175" s="79">
        <f t="shared" si="930"/>
        <v>2.1179999999999999</v>
      </c>
    </row>
    <row r="176" spans="5:16" x14ac:dyDescent="0.25">
      <c r="E176" s="170">
        <f t="shared" si="933"/>
        <v>0.41403794415925549</v>
      </c>
      <c r="F176" s="170">
        <f t="shared" si="933"/>
        <v>-0.86751165659678997</v>
      </c>
      <c r="G176" s="170">
        <f t="shared" si="933"/>
        <v>-0.27567391328355817</v>
      </c>
      <c r="H176" s="139"/>
      <c r="I176" s="86"/>
      <c r="J176" s="79">
        <f t="shared" si="930"/>
        <v>2.125</v>
      </c>
    </row>
    <row r="177" spans="5:10" x14ac:dyDescent="0.25">
      <c r="E177" s="170">
        <f t="shared" si="933"/>
        <v>0.33216690974845403</v>
      </c>
      <c r="F177" s="170">
        <f t="shared" si="933"/>
        <v>-0.91361753541419188</v>
      </c>
      <c r="G177" s="170">
        <f t="shared" si="933"/>
        <v>-0.23445285891168052</v>
      </c>
      <c r="H177" s="139"/>
      <c r="I177" s="86"/>
      <c r="J177" s="79">
        <f t="shared" si="930"/>
        <v>2.1320000000000001</v>
      </c>
    </row>
    <row r="178" spans="5:10" x14ac:dyDescent="0.25">
      <c r="E178" s="170">
        <f t="shared" si="933"/>
        <v>0.24615355281010692</v>
      </c>
      <c r="F178" s="170">
        <f t="shared" si="933"/>
        <v>-0.95006094590144852</v>
      </c>
      <c r="G178" s="170">
        <f t="shared" si="933"/>
        <v>-0.19181404409429156</v>
      </c>
      <c r="H178" s="139"/>
      <c r="I178" s="86"/>
      <c r="J178" s="79">
        <f t="shared" si="930"/>
        <v>2.1389999999999998</v>
      </c>
    </row>
    <row r="179" spans="5:10" x14ac:dyDescent="0.25">
      <c r="E179" s="170">
        <f t="shared" si="933"/>
        <v>0.14325524689416366</v>
      </c>
      <c r="F179" s="170">
        <f t="shared" si="933"/>
        <v>-0.97884579388132809</v>
      </c>
      <c r="G179" s="170">
        <f t="shared" si="933"/>
        <v>-0.14607821890386311</v>
      </c>
      <c r="H179" s="139"/>
      <c r="I179" s="86"/>
      <c r="J179" s="79">
        <f t="shared" si="930"/>
        <v>2.1459999999999999</v>
      </c>
    </row>
    <row r="180" spans="5:10" x14ac:dyDescent="0.25">
      <c r="E180" s="170">
        <f t="shared" si="933"/>
        <v>1.9405347818854064E-2</v>
      </c>
      <c r="F180" s="170">
        <f t="shared" si="933"/>
        <v>-0.99642452470435838</v>
      </c>
      <c r="G180" s="170">
        <f t="shared" si="933"/>
        <v>-8.2228942859086537E-2</v>
      </c>
      <c r="H180" s="139"/>
      <c r="I180" s="86"/>
      <c r="J180" s="79">
        <f t="shared" si="930"/>
        <v>2.153</v>
      </c>
    </row>
    <row r="181" spans="5:10" x14ac:dyDescent="0.25">
      <c r="E181" s="170">
        <f t="shared" si="933"/>
        <v>-0.15027800572468811</v>
      </c>
      <c r="F181" s="170">
        <f t="shared" si="933"/>
        <v>-0.98864377861562935</v>
      </c>
      <c r="G181" s="170">
        <f t="shared" si="933"/>
        <v>-1.4578093225161044E-7</v>
      </c>
      <c r="H181" s="139"/>
      <c r="I181" s="86"/>
      <c r="J181" s="79">
        <f t="shared" si="930"/>
        <v>2.16</v>
      </c>
    </row>
    <row r="182" spans="5:10" x14ac:dyDescent="0.25">
      <c r="E182" s="170">
        <f t="shared" si="933"/>
        <v>-3.1850373436262708E-2</v>
      </c>
      <c r="F182" s="170">
        <f t="shared" si="933"/>
        <v>-7.8617352334215251E-3</v>
      </c>
      <c r="G182" s="170">
        <f t="shared" si="933"/>
        <v>-0.99946172854746684</v>
      </c>
      <c r="H182" s="139"/>
      <c r="I182" s="86"/>
      <c r="J182" s="79">
        <f t="shared" si="930"/>
        <v>2.218</v>
      </c>
    </row>
    <row r="183" spans="5:10" x14ac:dyDescent="0.25">
      <c r="E183" s="170">
        <f t="shared" si="933"/>
        <v>0.15484152358574477</v>
      </c>
      <c r="F183" s="170">
        <f t="shared" si="933"/>
        <v>-0.94869805318055467</v>
      </c>
      <c r="G183" s="170">
        <f t="shared" si="933"/>
        <v>-0.27567391328355828</v>
      </c>
      <c r="H183" s="139"/>
      <c r="I183" s="86"/>
      <c r="J183" s="79">
        <f t="shared" si="930"/>
        <v>2.2250000000000001</v>
      </c>
    </row>
    <row r="184" spans="5:10" x14ac:dyDescent="0.25">
      <c r="E184" s="170">
        <f t="shared" si="933"/>
        <v>0.10196790944180383</v>
      </c>
      <c r="F184" s="170">
        <f t="shared" si="933"/>
        <v>-0.96676491578470503</v>
      </c>
      <c r="G184" s="170">
        <f t="shared" si="933"/>
        <v>-0.23445285891168052</v>
      </c>
      <c r="H184" s="139"/>
      <c r="I184" s="86"/>
      <c r="J184" s="79">
        <f t="shared" si="930"/>
        <v>2.2320000000000002</v>
      </c>
    </row>
    <row r="185" spans="5:10" x14ac:dyDescent="0.25">
      <c r="E185" s="170">
        <f t="shared" si="933"/>
        <v>3.3763522888835801E-2</v>
      </c>
      <c r="F185" s="170">
        <f t="shared" si="933"/>
        <v>-0.9808503438396341</v>
      </c>
      <c r="G185" s="170">
        <f t="shared" si="933"/>
        <v>-0.19181404409429187</v>
      </c>
      <c r="H185" s="139"/>
      <c r="I185" s="86"/>
      <c r="J185" s="79">
        <f t="shared" si="930"/>
        <v>2.2389999999999999</v>
      </c>
    </row>
    <row r="186" spans="5:10" x14ac:dyDescent="0.25">
      <c r="E186" s="170">
        <f t="shared" si="933"/>
        <v>-5.8373781077015817E-2</v>
      </c>
      <c r="F186" s="170">
        <f t="shared" si="933"/>
        <v>-0.98754931808221491</v>
      </c>
      <c r="G186" s="170">
        <f t="shared" si="933"/>
        <v>-0.14607821890386266</v>
      </c>
      <c r="H186" s="139"/>
      <c r="I186" s="86"/>
      <c r="J186" s="79">
        <f t="shared" si="930"/>
        <v>2.246</v>
      </c>
    </row>
    <row r="187" spans="5:10" x14ac:dyDescent="0.25">
      <c r="E187" s="170">
        <f t="shared" si="933"/>
        <v>-0.17635330644884567</v>
      </c>
      <c r="F187" s="170">
        <f t="shared" si="933"/>
        <v>-0.98088628915936871</v>
      </c>
      <c r="G187" s="170">
        <f t="shared" si="933"/>
        <v>-8.2228942859086968E-2</v>
      </c>
      <c r="H187" s="139"/>
      <c r="I187" s="86"/>
      <c r="J187" s="79">
        <f t="shared" si="930"/>
        <v>2.2530000000000001</v>
      </c>
    </row>
    <row r="188" spans="5:10" x14ac:dyDescent="0.25">
      <c r="E188" s="170">
        <f t="shared" si="933"/>
        <v>-0.95250762600109973</v>
      </c>
      <c r="F188" s="170">
        <f t="shared" si="933"/>
        <v>-0.30451473266444412</v>
      </c>
      <c r="G188" s="170">
        <f t="shared" si="933"/>
        <v>-2.2679489677719276E-7</v>
      </c>
      <c r="H188" s="139"/>
      <c r="I188" s="86"/>
      <c r="J188" s="79">
        <f t="shared" si="930"/>
        <v>2.2599999999999998</v>
      </c>
    </row>
    <row r="189" spans="5:10" x14ac:dyDescent="0.25">
      <c r="E189" s="170">
        <f t="shared" si="933"/>
        <v>-0.18526611423554606</v>
      </c>
      <c r="F189" s="170">
        <f t="shared" si="933"/>
        <v>-0.93625942181631272</v>
      </c>
      <c r="G189" s="170">
        <f t="shared" si="933"/>
        <v>-0.29848745698311235</v>
      </c>
      <c r="H189" s="139"/>
      <c r="I189" s="86"/>
      <c r="J189" s="79">
        <f t="shared" si="930"/>
        <v>3.1030000000000002</v>
      </c>
    </row>
    <row r="190" spans="5:10" x14ac:dyDescent="0.25">
      <c r="E190" s="170">
        <f t="shared" si="933"/>
        <v>-0.18806719556967622</v>
      </c>
      <c r="F190" s="170">
        <f t="shared" si="933"/>
        <v>-0.93822387091063741</v>
      </c>
      <c r="G190" s="170">
        <f t="shared" si="933"/>
        <v>-0.29045946017304536</v>
      </c>
      <c r="H190" s="139"/>
      <c r="I190" s="86"/>
      <c r="J190" s="79">
        <f t="shared" si="930"/>
        <v>3.1059999999999999</v>
      </c>
    </row>
    <row r="191" spans="5:10" x14ac:dyDescent="0.25">
      <c r="E191" s="170">
        <f t="shared" si="933"/>
        <v>-0.18806719556967633</v>
      </c>
      <c r="F191" s="170">
        <f t="shared" si="933"/>
        <v>-0.9382238709106373</v>
      </c>
      <c r="G191" s="170">
        <f t="shared" si="933"/>
        <v>-0.29045946017304536</v>
      </c>
      <c r="H191" s="139"/>
      <c r="I191" s="86"/>
      <c r="J191" s="79">
        <f t="shared" si="930"/>
        <v>3.11</v>
      </c>
    </row>
    <row r="192" spans="5:10" x14ac:dyDescent="0.25">
      <c r="E192" s="170">
        <f t="shared" si="933"/>
        <v>-0.28559011838465698</v>
      </c>
      <c r="F192" s="170">
        <f t="shared" si="933"/>
        <v>-0.90997691469547604</v>
      </c>
      <c r="G192" s="170">
        <f t="shared" si="933"/>
        <v>-0.300633163510515</v>
      </c>
      <c r="H192" s="139"/>
      <c r="I192" s="86"/>
      <c r="J192" s="79">
        <f t="shared" si="930"/>
        <v>3.117</v>
      </c>
    </row>
    <row r="193" spans="5:10" x14ac:dyDescent="0.25">
      <c r="E193" s="170">
        <f t="shared" si="933"/>
        <v>-0.38502518928352564</v>
      </c>
      <c r="F193" s="170">
        <f t="shared" si="933"/>
        <v>-0.87917437919091534</v>
      </c>
      <c r="G193" s="170">
        <f t="shared" si="933"/>
        <v>-0.28072765198935057</v>
      </c>
      <c r="H193" s="139"/>
      <c r="I193" s="86"/>
      <c r="J193" s="79">
        <f t="shared" si="930"/>
        <v>3.1240000000000001</v>
      </c>
    </row>
    <row r="194" spans="5:10" x14ac:dyDescent="0.25">
      <c r="E194" s="170">
        <f t="shared" ref="E194:G213" si="934">E49*-1</f>
        <v>-0.47507890683613518</v>
      </c>
      <c r="F194" s="170">
        <f t="shared" si="934"/>
        <v>-0.84578624288953308</v>
      </c>
      <c r="G194" s="170">
        <f t="shared" si="934"/>
        <v>-0.24278728059391996</v>
      </c>
      <c r="H194" s="139"/>
      <c r="I194" s="86"/>
      <c r="J194" s="79">
        <f t="shared" si="930"/>
        <v>3.1309999999999998</v>
      </c>
    </row>
    <row r="195" spans="5:10" x14ac:dyDescent="0.25">
      <c r="E195" s="170">
        <f t="shared" si="934"/>
        <v>-0.56093859398701684</v>
      </c>
      <c r="F195" s="170">
        <f t="shared" si="934"/>
        <v>-0.80259911934381389</v>
      </c>
      <c r="G195" s="170">
        <f t="shared" si="934"/>
        <v>-0.20293483536446663</v>
      </c>
      <c r="H195" s="139"/>
      <c r="I195" s="86"/>
      <c r="J195" s="79">
        <f t="shared" si="930"/>
        <v>3.1379999999999999</v>
      </c>
    </row>
    <row r="196" spans="5:10" x14ac:dyDescent="0.25">
      <c r="E196" s="170">
        <f t="shared" si="934"/>
        <v>-0.64174834716361606</v>
      </c>
      <c r="F196" s="170">
        <f t="shared" si="934"/>
        <v>-0.75202497418907233</v>
      </c>
      <c r="G196" s="170">
        <f t="shared" si="934"/>
        <v>-0.15039114704227879</v>
      </c>
      <c r="H196" s="139"/>
      <c r="I196" s="86"/>
      <c r="J196" s="79">
        <f t="shared" si="930"/>
        <v>3.145</v>
      </c>
    </row>
    <row r="197" spans="5:10" x14ac:dyDescent="0.25">
      <c r="E197" s="170">
        <f t="shared" si="934"/>
        <v>-0.74757695030130078</v>
      </c>
      <c r="F197" s="170">
        <f t="shared" si="934"/>
        <v>-0.65673063328097703</v>
      </c>
      <c r="G197" s="170">
        <f t="shared" si="934"/>
        <v>-9.9164402325499529E-2</v>
      </c>
      <c r="H197" s="139"/>
      <c r="I197" s="86"/>
      <c r="J197" s="79">
        <f t="shared" si="930"/>
        <v>3.1520000000000001</v>
      </c>
    </row>
    <row r="198" spans="5:10" x14ac:dyDescent="0.25">
      <c r="E198" s="170">
        <f t="shared" si="934"/>
        <v>-0.85394184735594192</v>
      </c>
      <c r="F198" s="170">
        <f t="shared" si="934"/>
        <v>-0.52036844767366519</v>
      </c>
      <c r="G198" s="170">
        <f t="shared" si="934"/>
        <v>-1.457809313662208E-7</v>
      </c>
      <c r="H198" s="139"/>
      <c r="I198" s="86"/>
      <c r="J198" s="79">
        <f t="shared" si="930"/>
        <v>3.1589999999999998</v>
      </c>
    </row>
    <row r="199" spans="5:10" x14ac:dyDescent="0.25">
      <c r="E199" s="170">
        <f t="shared" si="934"/>
        <v>-1.5275297027080476E-7</v>
      </c>
      <c r="F199" s="170">
        <f t="shared" si="934"/>
        <v>-1.6763786942106623E-7</v>
      </c>
      <c r="G199" s="170">
        <f t="shared" si="934"/>
        <v>-0.99999999999997435</v>
      </c>
      <c r="H199" s="139"/>
      <c r="I199" s="86"/>
      <c r="J199" s="79">
        <f t="shared" si="930"/>
        <v>3.21</v>
      </c>
    </row>
    <row r="200" spans="5:10" x14ac:dyDescent="0.25">
      <c r="E200" s="170">
        <f t="shared" si="934"/>
        <v>-1.3585560182490612E-7</v>
      </c>
      <c r="F200" s="170">
        <f t="shared" si="934"/>
        <v>-1.8160170867007123E-7</v>
      </c>
      <c r="G200" s="170">
        <f t="shared" si="934"/>
        <v>-0.99999999999997435</v>
      </c>
      <c r="H200" s="139"/>
      <c r="I200" s="86"/>
      <c r="J200" s="79">
        <f t="shared" si="930"/>
        <v>3.2170000000000001</v>
      </c>
    </row>
    <row r="201" spans="5:10" x14ac:dyDescent="0.25">
      <c r="E201" s="170">
        <f t="shared" si="934"/>
        <v>-0.62102991874901625</v>
      </c>
      <c r="F201" s="170">
        <f t="shared" si="934"/>
        <v>-0.73178810145228268</v>
      </c>
      <c r="G201" s="170">
        <f t="shared" si="934"/>
        <v>-0.28072765198935062</v>
      </c>
      <c r="H201" s="139"/>
      <c r="I201" s="86"/>
      <c r="J201" s="79">
        <f t="shared" si="930"/>
        <v>3.2240000000000002</v>
      </c>
    </row>
    <row r="202" spans="5:10" x14ac:dyDescent="0.25">
      <c r="E202" s="170">
        <f t="shared" si="934"/>
        <v>-0.66832293441913737</v>
      </c>
      <c r="F202" s="170">
        <f t="shared" si="934"/>
        <v>-0.70313497403500191</v>
      </c>
      <c r="G202" s="170">
        <f t="shared" si="934"/>
        <v>-0.24278728059391996</v>
      </c>
      <c r="H202" s="139"/>
      <c r="I202" s="86"/>
      <c r="J202" s="79">
        <f t="shared" si="930"/>
        <v>3.2309999999999999</v>
      </c>
    </row>
    <row r="203" spans="5:10" x14ac:dyDescent="0.25">
      <c r="E203" s="170">
        <f t="shared" si="934"/>
        <v>-0.72372088630521292</v>
      </c>
      <c r="F203" s="170">
        <f t="shared" si="934"/>
        <v>-0.65957981421598544</v>
      </c>
      <c r="G203" s="170">
        <f t="shared" si="934"/>
        <v>-0.20293483536446666</v>
      </c>
      <c r="H203" s="139"/>
      <c r="I203" s="86"/>
      <c r="J203" s="79">
        <f t="shared" si="930"/>
        <v>3.238</v>
      </c>
    </row>
    <row r="204" spans="5:10" x14ac:dyDescent="0.25">
      <c r="E204" s="170">
        <f t="shared" si="934"/>
        <v>-0.78196209137660644</v>
      </c>
      <c r="F204" s="170">
        <f t="shared" si="934"/>
        <v>-0.60491139065257471</v>
      </c>
      <c r="G204" s="170">
        <f t="shared" si="934"/>
        <v>-0.15039114704227813</v>
      </c>
      <c r="H204" s="139"/>
      <c r="I204" s="86"/>
      <c r="J204" s="79">
        <f t="shared" si="930"/>
        <v>3.2450000000000001</v>
      </c>
    </row>
    <row r="205" spans="5:10" x14ac:dyDescent="0.25">
      <c r="E205" s="170">
        <f t="shared" si="934"/>
        <v>-0.86214187504284623</v>
      </c>
      <c r="F205" s="170">
        <f t="shared" si="934"/>
        <v>-0.49686799917989477</v>
      </c>
      <c r="G205" s="170">
        <f t="shared" si="934"/>
        <v>-9.9164402325499917E-2</v>
      </c>
      <c r="H205" s="139"/>
      <c r="I205" s="86"/>
      <c r="J205" s="79">
        <f t="shared" si="930"/>
        <v>3.2519999999999998</v>
      </c>
    </row>
    <row r="206" spans="5:10" x14ac:dyDescent="0.25">
      <c r="E206" s="170">
        <f t="shared" si="934"/>
        <v>-0.84553198620391967</v>
      </c>
      <c r="F206" s="170">
        <f t="shared" si="934"/>
        <v>0.5339247702682498</v>
      </c>
      <c r="G206" s="170">
        <f t="shared" si="934"/>
        <v>-2.2679489676580927E-7</v>
      </c>
      <c r="H206" s="139"/>
      <c r="I206" s="86"/>
      <c r="J206" s="79">
        <f t="shared" si="930"/>
        <v>3.2589999999999999</v>
      </c>
    </row>
    <row r="207" spans="5:10" x14ac:dyDescent="0.25">
      <c r="E207" s="170">
        <f t="shared" si="934"/>
        <v>-0.89531934804087354</v>
      </c>
      <c r="F207" s="170">
        <f t="shared" si="934"/>
        <v>-0.33769300706358762</v>
      </c>
      <c r="G207" s="170">
        <f t="shared" si="934"/>
        <v>-0.29045946017304536</v>
      </c>
      <c r="H207" s="139"/>
      <c r="I207" s="86"/>
      <c r="J207" s="79">
        <f t="shared" si="930"/>
        <v>4.109</v>
      </c>
    </row>
    <row r="208" spans="5:10" x14ac:dyDescent="0.25">
      <c r="E208" s="170">
        <f t="shared" si="934"/>
        <v>-0.91805291519329157</v>
      </c>
      <c r="F208" s="170">
        <f t="shared" si="934"/>
        <v>-0.25787936789425303</v>
      </c>
      <c r="G208" s="170">
        <f t="shared" si="934"/>
        <v>-0.30112634643876607</v>
      </c>
      <c r="H208" s="139"/>
      <c r="I208" s="86"/>
      <c r="J208" s="79">
        <f t="shared" si="930"/>
        <v>4.1159999999999997</v>
      </c>
    </row>
    <row r="209" spans="5:10" x14ac:dyDescent="0.25">
      <c r="E209" s="170">
        <f t="shared" si="934"/>
        <v>-0.94610056991297142</v>
      </c>
      <c r="F209" s="170">
        <f t="shared" si="934"/>
        <v>-0.1533281624268705</v>
      </c>
      <c r="G209" s="170">
        <f t="shared" si="934"/>
        <v>-0.28527913736750887</v>
      </c>
      <c r="H209" s="139"/>
      <c r="I209" s="86"/>
      <c r="J209" s="79">
        <f t="shared" si="930"/>
        <v>4.1230000000000002</v>
      </c>
    </row>
    <row r="210" spans="5:10" x14ac:dyDescent="0.25">
      <c r="E210" s="170">
        <f t="shared" si="934"/>
        <v>-0.96636502553961368</v>
      </c>
      <c r="F210" s="170">
        <f t="shared" si="934"/>
        <v>-5.7375553317845995E-2</v>
      </c>
      <c r="G210" s="170">
        <f t="shared" si="934"/>
        <v>-0.25069240773364682</v>
      </c>
      <c r="H210" s="139"/>
      <c r="I210" s="86"/>
      <c r="J210" s="79">
        <f t="shared" si="930"/>
        <v>4.13</v>
      </c>
    </row>
    <row r="211" spans="5:10" x14ac:dyDescent="0.25">
      <c r="E211" s="170">
        <f t="shared" si="934"/>
        <v>-0.97602556862326695</v>
      </c>
      <c r="F211" s="170">
        <f t="shared" si="934"/>
        <v>4.0572751765661857E-2</v>
      </c>
      <c r="G211" s="170">
        <f t="shared" si="934"/>
        <v>-0.21384092500686253</v>
      </c>
      <c r="H211" s="139"/>
      <c r="I211" s="86"/>
      <c r="J211" s="79">
        <f t="shared" si="930"/>
        <v>4.1369999999999996</v>
      </c>
    </row>
    <row r="212" spans="5:10" x14ac:dyDescent="0.25">
      <c r="E212" s="170">
        <f t="shared" si="934"/>
        <v>-0.97846122951798098</v>
      </c>
      <c r="F212" s="170">
        <f t="shared" si="934"/>
        <v>0.13200364319664326</v>
      </c>
      <c r="G212" s="170">
        <f t="shared" si="934"/>
        <v>-0.15870935861811777</v>
      </c>
      <c r="H212" s="139"/>
      <c r="I212" s="86"/>
      <c r="J212" s="79">
        <f t="shared" si="930"/>
        <v>4.1440000000000001</v>
      </c>
    </row>
    <row r="213" spans="5:10" x14ac:dyDescent="0.25">
      <c r="E213" s="170">
        <f t="shared" si="934"/>
        <v>-0.95755122066174025</v>
      </c>
      <c r="F213" s="170">
        <f t="shared" si="934"/>
        <v>0.26665378216829044</v>
      </c>
      <c r="G213" s="170">
        <f t="shared" si="934"/>
        <v>-0.10950534354339567</v>
      </c>
      <c r="H213" s="139"/>
      <c r="I213" s="86"/>
      <c r="J213" s="79">
        <f t="shared" si="930"/>
        <v>4.1509999999999998</v>
      </c>
    </row>
    <row r="214" spans="5:10" x14ac:dyDescent="0.25">
      <c r="E214" s="170">
        <f t="shared" ref="E214:G233" si="935">E69*-1</f>
        <v>-0.95488492663034064</v>
      </c>
      <c r="F214" s="170">
        <f t="shared" si="935"/>
        <v>0.29660907873389808</v>
      </c>
      <c r="G214" s="170">
        <f t="shared" si="935"/>
        <v>-1.4759109281972684E-2</v>
      </c>
      <c r="H214" s="139"/>
      <c r="I214" s="86"/>
      <c r="J214" s="79">
        <f t="shared" si="930"/>
        <v>4.1580000000000004</v>
      </c>
    </row>
    <row r="215" spans="5:10" x14ac:dyDescent="0.25">
      <c r="E215" s="170">
        <f t="shared" si="935"/>
        <v>-0.89381777233944781</v>
      </c>
      <c r="F215" s="170">
        <f t="shared" si="935"/>
        <v>0.44843036231964267</v>
      </c>
      <c r="G215" s="170">
        <f t="shared" si="935"/>
        <v>-1.4578093183271212E-7</v>
      </c>
      <c r="H215" s="139"/>
      <c r="I215" s="86"/>
      <c r="J215" s="79">
        <f t="shared" si="930"/>
        <v>4.165</v>
      </c>
    </row>
    <row r="216" spans="5:10" x14ac:dyDescent="0.25">
      <c r="E216" s="170">
        <f t="shared" si="935"/>
        <v>5.4675234872776195E-3</v>
      </c>
      <c r="F216" s="170">
        <f t="shared" si="935"/>
        <v>0.19501366383536245</v>
      </c>
      <c r="G216" s="170">
        <f t="shared" si="935"/>
        <v>-0.98078528593389103</v>
      </c>
      <c r="H216" s="139"/>
      <c r="I216" s="86"/>
      <c r="J216" s="79">
        <f t="shared" si="930"/>
        <v>4.2229999999999999</v>
      </c>
    </row>
    <row r="217" spans="5:10" x14ac:dyDescent="0.25">
      <c r="E217" s="170">
        <f t="shared" si="935"/>
        <v>-0.94993019124252098</v>
      </c>
      <c r="F217" s="170">
        <f t="shared" si="935"/>
        <v>0.18650991520735444</v>
      </c>
      <c r="G217" s="170">
        <f t="shared" si="935"/>
        <v>-0.25069240773364687</v>
      </c>
      <c r="H217" s="139"/>
      <c r="I217" s="86"/>
      <c r="J217" s="79">
        <f t="shared" si="930"/>
        <v>4.2300000000000004</v>
      </c>
    </row>
    <row r="218" spans="5:10" x14ac:dyDescent="0.25">
      <c r="E218" s="170">
        <f t="shared" si="935"/>
        <v>-0.94242828143542479</v>
      </c>
      <c r="F218" s="170">
        <f t="shared" si="935"/>
        <v>0.25710113407544766</v>
      </c>
      <c r="G218" s="170">
        <f t="shared" si="935"/>
        <v>-0.2138409250068625</v>
      </c>
      <c r="H218" s="139"/>
      <c r="I218" s="86"/>
      <c r="J218" s="79">
        <f t="shared" si="930"/>
        <v>4.2370000000000001</v>
      </c>
    </row>
    <row r="219" spans="5:10" x14ac:dyDescent="0.25">
      <c r="E219" s="170">
        <f t="shared" si="935"/>
        <v>-0.93021918653328717</v>
      </c>
      <c r="F219" s="170">
        <f t="shared" si="935"/>
        <v>0.33091328847958829</v>
      </c>
      <c r="G219" s="170">
        <f t="shared" si="935"/>
        <v>-0.15870935861811791</v>
      </c>
      <c r="H219" s="139"/>
      <c r="I219" s="86"/>
      <c r="J219" s="79">
        <f t="shared" ref="J219:J282" si="936">J74</f>
        <v>4.2439999999999998</v>
      </c>
    </row>
    <row r="220" spans="5:10" x14ac:dyDescent="0.25">
      <c r="E220" s="170">
        <f t="shared" si="935"/>
        <v>-0.88607960885339332</v>
      </c>
      <c r="F220" s="170">
        <f t="shared" si="935"/>
        <v>0.45041259586035171</v>
      </c>
      <c r="G220" s="170">
        <f t="shared" si="935"/>
        <v>-0.10950534354339558</v>
      </c>
      <c r="H220" s="139"/>
      <c r="I220" s="86"/>
      <c r="J220" s="79">
        <f t="shared" si="936"/>
        <v>4.2510000000000003</v>
      </c>
    </row>
    <row r="221" spans="5:10" x14ac:dyDescent="0.25">
      <c r="E221" s="170">
        <f t="shared" si="935"/>
        <v>-0.87868819019896394</v>
      </c>
      <c r="F221" s="170">
        <f t="shared" si="935"/>
        <v>0.47716792966216026</v>
      </c>
      <c r="G221" s="170">
        <f t="shared" si="935"/>
        <v>-1.4759109281972702E-2</v>
      </c>
      <c r="H221" s="139"/>
      <c r="I221" s="86"/>
      <c r="J221" s="79">
        <f t="shared" si="936"/>
        <v>4.258</v>
      </c>
    </row>
    <row r="222" spans="5:10" x14ac:dyDescent="0.25">
      <c r="E222" s="170">
        <f t="shared" si="935"/>
        <v>4.7300507468483024E-3</v>
      </c>
      <c r="F222" s="170">
        <f t="shared" si="935"/>
        <v>0.99998881324736877</v>
      </c>
      <c r="G222" s="170">
        <f t="shared" si="935"/>
        <v>-2.2679489680849465E-7</v>
      </c>
      <c r="H222" s="139"/>
      <c r="I222" s="86"/>
      <c r="J222" s="79">
        <f t="shared" si="936"/>
        <v>4.2649999999999997</v>
      </c>
    </row>
    <row r="223" spans="5:10" x14ac:dyDescent="0.25">
      <c r="E223" s="170">
        <f t="shared" si="935"/>
        <v>-0.79695624846544399</v>
      </c>
      <c r="F223" s="170">
        <f t="shared" si="935"/>
        <v>0.51571933622513799</v>
      </c>
      <c r="G223" s="170">
        <f t="shared" si="935"/>
        <v>-0.31447464806465492</v>
      </c>
      <c r="H223" s="139"/>
      <c r="I223" s="86"/>
      <c r="J223" s="79">
        <f t="shared" si="936"/>
        <v>5.1020000000000003</v>
      </c>
    </row>
    <row r="224" spans="5:10" x14ac:dyDescent="0.25">
      <c r="E224" s="170">
        <f t="shared" si="935"/>
        <v>-0.79945496202092159</v>
      </c>
      <c r="F224" s="170">
        <f t="shared" si="935"/>
        <v>0.52583748981611211</v>
      </c>
      <c r="G224" s="170">
        <f t="shared" si="935"/>
        <v>-0.29045946017304536</v>
      </c>
      <c r="H224" s="139"/>
      <c r="I224" s="86"/>
      <c r="J224" s="79">
        <f t="shared" si="936"/>
        <v>5.1050000000000004</v>
      </c>
    </row>
    <row r="225" spans="5:10" x14ac:dyDescent="0.25">
      <c r="E225" s="170">
        <f t="shared" si="935"/>
        <v>-0.7994549620209217</v>
      </c>
      <c r="F225" s="170">
        <f t="shared" si="935"/>
        <v>0.52583748981611222</v>
      </c>
      <c r="G225" s="170">
        <f t="shared" si="935"/>
        <v>-0.29045946017304541</v>
      </c>
      <c r="H225" s="139"/>
      <c r="I225" s="86"/>
      <c r="J225" s="79">
        <f t="shared" si="936"/>
        <v>5.1079999999999997</v>
      </c>
    </row>
    <row r="226" spans="5:10" x14ac:dyDescent="0.25">
      <c r="E226" s="170">
        <f t="shared" si="935"/>
        <v>-0.75970528611777133</v>
      </c>
      <c r="F226" s="170">
        <f t="shared" si="935"/>
        <v>0.57660919406105637</v>
      </c>
      <c r="G226" s="170">
        <f t="shared" si="935"/>
        <v>-0.30061556108919996</v>
      </c>
      <c r="H226" s="139"/>
      <c r="I226" s="86"/>
      <c r="J226" s="79">
        <f t="shared" si="936"/>
        <v>5.1150000000000002</v>
      </c>
    </row>
    <row r="227" spans="5:10" x14ac:dyDescent="0.25">
      <c r="E227" s="170">
        <f t="shared" si="935"/>
        <v>-0.68943981310718883</v>
      </c>
      <c r="F227" s="170">
        <f t="shared" si="935"/>
        <v>0.66407277597058068</v>
      </c>
      <c r="G227" s="170">
        <f t="shared" si="935"/>
        <v>-0.28927511527515026</v>
      </c>
      <c r="H227" s="139"/>
      <c r="I227" s="86"/>
      <c r="J227" s="79">
        <f t="shared" si="936"/>
        <v>5.1219999999999999</v>
      </c>
    </row>
    <row r="228" spans="5:10" x14ac:dyDescent="0.25">
      <c r="E228" s="170">
        <f t="shared" si="935"/>
        <v>-0.62286745149887057</v>
      </c>
      <c r="F228" s="170">
        <f t="shared" si="935"/>
        <v>0.73848518719364431</v>
      </c>
      <c r="G228" s="170">
        <f t="shared" si="935"/>
        <v>-0.25821651023679837</v>
      </c>
      <c r="H228" s="139"/>
      <c r="I228" s="86"/>
      <c r="J228" s="79">
        <f t="shared" si="936"/>
        <v>5.1289999999999996</v>
      </c>
    </row>
    <row r="229" spans="5:10" x14ac:dyDescent="0.25">
      <c r="E229" s="170">
        <f t="shared" si="935"/>
        <v>-0.55856458651030982</v>
      </c>
      <c r="F229" s="170">
        <f t="shared" si="935"/>
        <v>0.80215072971995993</v>
      </c>
      <c r="G229" s="170">
        <f t="shared" si="935"/>
        <v>-0.21109194562157602</v>
      </c>
      <c r="H229" s="139"/>
      <c r="I229" s="86"/>
      <c r="J229" s="79">
        <f t="shared" si="936"/>
        <v>5.1360000000000001</v>
      </c>
    </row>
    <row r="230" spans="5:10" x14ac:dyDescent="0.25">
      <c r="E230" s="170">
        <f t="shared" si="935"/>
        <v>-0.4799585450687231</v>
      </c>
      <c r="F230" s="170">
        <f t="shared" si="935"/>
        <v>0.86134113354662067</v>
      </c>
      <c r="G230" s="170">
        <f t="shared" si="935"/>
        <v>-0.16652701485385832</v>
      </c>
      <c r="H230" s="139"/>
      <c r="I230" s="86"/>
      <c r="J230" s="79">
        <f t="shared" si="936"/>
        <v>5.1429999999999998</v>
      </c>
    </row>
    <row r="231" spans="5:10" x14ac:dyDescent="0.25">
      <c r="E231" s="170">
        <f t="shared" si="935"/>
        <v>-0.3654200569951519</v>
      </c>
      <c r="F231" s="170">
        <f t="shared" si="935"/>
        <v>0.923233072475662</v>
      </c>
      <c r="G231" s="170">
        <f t="shared" si="935"/>
        <v>-0.11878078898883061</v>
      </c>
      <c r="H231" s="139"/>
      <c r="I231" s="86"/>
      <c r="J231" s="79">
        <f t="shared" si="936"/>
        <v>5.15</v>
      </c>
    </row>
    <row r="232" spans="5:10" x14ac:dyDescent="0.25">
      <c r="E232" s="170">
        <f t="shared" si="935"/>
        <v>-0.32132214675647119</v>
      </c>
      <c r="F232" s="170">
        <f t="shared" si="935"/>
        <v>0.94685492378559011</v>
      </c>
      <c r="G232" s="170">
        <f t="shared" si="935"/>
        <v>-1.4759109281972591E-2</v>
      </c>
      <c r="H232" s="139"/>
      <c r="I232" s="86"/>
      <c r="J232" s="79">
        <f t="shared" si="936"/>
        <v>5.157</v>
      </c>
    </row>
    <row r="233" spans="5:10" x14ac:dyDescent="0.25">
      <c r="E233" s="170">
        <f t="shared" si="935"/>
        <v>-0.16258525517410005</v>
      </c>
      <c r="F233" s="170">
        <f t="shared" si="935"/>
        <v>0.98669449922453278</v>
      </c>
      <c r="G233" s="170">
        <f t="shared" si="935"/>
        <v>-1.4578093204018212E-7</v>
      </c>
      <c r="H233" s="139"/>
      <c r="I233" s="86"/>
      <c r="J233" s="79">
        <f t="shared" si="936"/>
        <v>5.1639999999999997</v>
      </c>
    </row>
    <row r="234" spans="5:10" x14ac:dyDescent="0.25">
      <c r="E234" s="170">
        <f t="shared" ref="E234:G253" si="937">E89*-1</f>
        <v>-1.1252212789133954E-7</v>
      </c>
      <c r="F234" s="170">
        <f t="shared" si="937"/>
        <v>1.9691291455833568E-7</v>
      </c>
      <c r="G234" s="170">
        <f t="shared" si="937"/>
        <v>-0.99999999999997435</v>
      </c>
      <c r="H234" s="139"/>
      <c r="I234" s="86"/>
      <c r="J234" s="79">
        <f t="shared" si="936"/>
        <v>5.2149999999999999</v>
      </c>
    </row>
    <row r="235" spans="5:10" x14ac:dyDescent="0.25">
      <c r="E235" s="170">
        <f t="shared" si="937"/>
        <v>0.13515271512808261</v>
      </c>
      <c r="F235" s="170">
        <f t="shared" si="937"/>
        <v>9.1086383946405794E-2</v>
      </c>
      <c r="G235" s="170">
        <f t="shared" si="937"/>
        <v>-0.98662911686868204</v>
      </c>
      <c r="H235" s="139"/>
      <c r="I235" s="86"/>
      <c r="J235" s="79">
        <f t="shared" si="936"/>
        <v>5.2220000000000004</v>
      </c>
    </row>
    <row r="236" spans="5:10" x14ac:dyDescent="0.25">
      <c r="E236" s="170">
        <f t="shared" si="937"/>
        <v>-0.41345327272988641</v>
      </c>
      <c r="F236" s="170">
        <f t="shared" si="937"/>
        <v>0.87314410328998704</v>
      </c>
      <c r="G236" s="170">
        <f t="shared" si="937"/>
        <v>-0.25821651023679848</v>
      </c>
      <c r="H236" s="139"/>
      <c r="I236" s="86"/>
      <c r="J236" s="79">
        <f t="shared" si="936"/>
        <v>5.2290000000000001</v>
      </c>
    </row>
    <row r="237" spans="5:10" x14ac:dyDescent="0.25">
      <c r="E237" s="170">
        <f t="shared" si="937"/>
        <v>-0.3627586816863812</v>
      </c>
      <c r="F237" s="170">
        <f t="shared" si="937"/>
        <v>0.90765980926493406</v>
      </c>
      <c r="G237" s="170">
        <f t="shared" si="937"/>
        <v>-0.2110919456215761</v>
      </c>
      <c r="H237" s="139"/>
      <c r="I237" s="86"/>
      <c r="J237" s="79">
        <f t="shared" si="936"/>
        <v>5.2359999999999998</v>
      </c>
    </row>
    <row r="238" spans="5:10" x14ac:dyDescent="0.25">
      <c r="E238" s="170">
        <f t="shared" si="937"/>
        <v>-0.29027230959928263</v>
      </c>
      <c r="F238" s="170">
        <f t="shared" si="937"/>
        <v>0.94234321751884076</v>
      </c>
      <c r="G238" s="170">
        <f t="shared" si="937"/>
        <v>-0.1665270148538586</v>
      </c>
      <c r="H238" s="139"/>
      <c r="I238" s="86"/>
      <c r="J238" s="79">
        <f t="shared" si="936"/>
        <v>5.2430000000000003</v>
      </c>
    </row>
    <row r="239" spans="5:10" x14ac:dyDescent="0.25">
      <c r="E239" s="170">
        <f t="shared" si="937"/>
        <v>-0.17516410018005699</v>
      </c>
      <c r="F239" s="170">
        <f t="shared" si="937"/>
        <v>0.97734776931003542</v>
      </c>
      <c r="G239" s="170">
        <f t="shared" si="937"/>
        <v>-0.11878078898882993</v>
      </c>
      <c r="H239" s="139"/>
      <c r="I239" s="86"/>
      <c r="J239" s="79">
        <f t="shared" si="936"/>
        <v>5.25</v>
      </c>
    </row>
    <row r="240" spans="5:10" x14ac:dyDescent="0.25">
      <c r="E240" s="170">
        <f t="shared" si="937"/>
        <v>-0.1304431301944376</v>
      </c>
      <c r="F240" s="170">
        <f t="shared" si="937"/>
        <v>0.99134593279958527</v>
      </c>
      <c r="G240" s="170">
        <f t="shared" si="937"/>
        <v>-1.4759109281972755E-2</v>
      </c>
      <c r="H240" s="139"/>
      <c r="I240" s="86"/>
      <c r="J240" s="79">
        <f t="shared" si="936"/>
        <v>5.2569999999999997</v>
      </c>
    </row>
    <row r="241" spans="5:10" x14ac:dyDescent="0.25">
      <c r="E241" s="170">
        <f t="shared" si="937"/>
        <v>0.81178811871114354</v>
      </c>
      <c r="F241" s="170">
        <f t="shared" si="937"/>
        <v>0.58395209591144603</v>
      </c>
      <c r="G241" s="170">
        <f t="shared" si="937"/>
        <v>-2.267948968082236E-7</v>
      </c>
      <c r="H241" s="139"/>
      <c r="I241" s="86"/>
      <c r="J241" s="79">
        <f t="shared" si="936"/>
        <v>5.2640000000000002</v>
      </c>
    </row>
    <row r="242" spans="5:10" x14ac:dyDescent="0.25">
      <c r="E242" s="170">
        <f t="shared" si="937"/>
        <v>-0.13129582849338703</v>
      </c>
      <c r="F242" s="170">
        <f t="shared" si="937"/>
        <v>0.94515151298921929</v>
      </c>
      <c r="G242" s="170">
        <f t="shared" si="937"/>
        <v>-0.29908196688270078</v>
      </c>
      <c r="H242" s="139"/>
      <c r="I242" s="86"/>
      <c r="J242" s="79">
        <f t="shared" si="936"/>
        <v>6.1139999999999999</v>
      </c>
    </row>
    <row r="243" spans="5:10" x14ac:dyDescent="0.25">
      <c r="E243" s="170">
        <f t="shared" si="937"/>
        <v>-1.5980196562094401E-2</v>
      </c>
      <c r="F243" s="170">
        <f t="shared" si="937"/>
        <v>0.95606182353502611</v>
      </c>
      <c r="G243" s="170">
        <f t="shared" si="937"/>
        <v>-0.29272926552826534</v>
      </c>
      <c r="H243" s="139"/>
      <c r="I243" s="86"/>
      <c r="J243" s="79">
        <f t="shared" si="936"/>
        <v>6.1210000000000004</v>
      </c>
    </row>
    <row r="244" spans="5:10" x14ac:dyDescent="0.25">
      <c r="E244" s="170">
        <f t="shared" si="937"/>
        <v>8.5432004669544967E-2</v>
      </c>
      <c r="F244" s="170">
        <f t="shared" si="937"/>
        <v>0.96038088112974584</v>
      </c>
      <c r="G244" s="170">
        <f t="shared" si="937"/>
        <v>-0.26527332270433057</v>
      </c>
      <c r="H244" s="139"/>
      <c r="I244" s="86"/>
      <c r="J244" s="79">
        <f t="shared" si="936"/>
        <v>6.1280000000000001</v>
      </c>
    </row>
    <row r="245" spans="5:10" x14ac:dyDescent="0.25">
      <c r="E245" s="170">
        <f t="shared" si="937"/>
        <v>0.17841967493458158</v>
      </c>
      <c r="F245" s="170">
        <f t="shared" si="937"/>
        <v>0.9587943872108774</v>
      </c>
      <c r="G245" s="170">
        <f t="shared" si="937"/>
        <v>-0.22108763567679798</v>
      </c>
      <c r="H245" s="139"/>
      <c r="I245" s="86"/>
      <c r="J245" s="79">
        <f t="shared" si="936"/>
        <v>6.1349999999999998</v>
      </c>
    </row>
    <row r="246" spans="5:10" x14ac:dyDescent="0.25">
      <c r="E246" s="170">
        <f t="shared" si="937"/>
        <v>0.27830922082117654</v>
      </c>
      <c r="F246" s="170">
        <f t="shared" si="937"/>
        <v>0.94362275125775696</v>
      </c>
      <c r="G246" s="170">
        <f t="shared" si="937"/>
        <v>-0.17922076027807476</v>
      </c>
      <c r="H246" s="139"/>
      <c r="I246" s="86"/>
      <c r="J246" s="79">
        <f t="shared" si="936"/>
        <v>6.1420000000000003</v>
      </c>
    </row>
    <row r="247" spans="5:10" x14ac:dyDescent="0.25">
      <c r="E247" s="170">
        <f t="shared" si="937"/>
        <v>0.39132958596469825</v>
      </c>
      <c r="F247" s="170">
        <f t="shared" si="937"/>
        <v>0.91142292033784245</v>
      </c>
      <c r="G247" s="170">
        <f t="shared" si="937"/>
        <v>-0.1271590163202623</v>
      </c>
      <c r="H247" s="139"/>
      <c r="I247" s="86"/>
      <c r="J247" s="79">
        <f t="shared" si="936"/>
        <v>6.149</v>
      </c>
    </row>
    <row r="248" spans="5:10" x14ac:dyDescent="0.25">
      <c r="E248" s="170">
        <f t="shared" si="937"/>
        <v>0.45709752873624443</v>
      </c>
      <c r="F248" s="170">
        <f t="shared" si="937"/>
        <v>0.88885928158585537</v>
      </c>
      <c r="G248" s="170">
        <f t="shared" si="937"/>
        <v>-3.1480577534339985E-2</v>
      </c>
      <c r="H248" s="139"/>
      <c r="I248" s="86"/>
      <c r="J248" s="79">
        <f t="shared" si="936"/>
        <v>6.1559999999999997</v>
      </c>
    </row>
    <row r="249" spans="5:10" x14ac:dyDescent="0.25">
      <c r="E249" s="170">
        <f t="shared" si="937"/>
        <v>0.59682732263892058</v>
      </c>
      <c r="F249" s="170">
        <f t="shared" si="937"/>
        <v>0.80236970714978817</v>
      </c>
      <c r="G249" s="170">
        <f t="shared" si="937"/>
        <v>-1.4578093198000419E-7</v>
      </c>
      <c r="H249" s="139"/>
      <c r="I249" s="86"/>
      <c r="J249" s="79">
        <f t="shared" si="936"/>
        <v>6.1630000000000003</v>
      </c>
    </row>
    <row r="250" spans="5:10" x14ac:dyDescent="0.25">
      <c r="E250" s="170">
        <f t="shared" si="937"/>
        <v>0.12744306371270717</v>
      </c>
      <c r="F250" s="170">
        <f t="shared" si="937"/>
        <v>-2.8201905528984241E-2</v>
      </c>
      <c r="G250" s="170">
        <f t="shared" si="937"/>
        <v>-0.99144486384067432</v>
      </c>
      <c r="H250" s="139"/>
      <c r="I250" s="86"/>
      <c r="J250" s="79">
        <f t="shared" si="936"/>
        <v>6.2210000000000001</v>
      </c>
    </row>
    <row r="251" spans="5:10" x14ac:dyDescent="0.25">
      <c r="E251" s="170">
        <f t="shared" si="937"/>
        <v>0.33315539893154777</v>
      </c>
      <c r="F251" s="170">
        <f t="shared" si="937"/>
        <v>0.90478591082319881</v>
      </c>
      <c r="G251" s="170">
        <f t="shared" si="937"/>
        <v>-0.26527332270433063</v>
      </c>
      <c r="H251" s="139"/>
      <c r="I251" s="86"/>
      <c r="J251" s="79">
        <f t="shared" si="936"/>
        <v>6.2279999999999998</v>
      </c>
    </row>
    <row r="252" spans="5:10" x14ac:dyDescent="0.25">
      <c r="E252" s="170">
        <f t="shared" si="937"/>
        <v>0.393690785594006</v>
      </c>
      <c r="F252" s="170">
        <f t="shared" si="937"/>
        <v>0.89225995241813805</v>
      </c>
      <c r="G252" s="170">
        <f t="shared" si="937"/>
        <v>-0.22108763567679784</v>
      </c>
      <c r="H252" s="139"/>
      <c r="I252" s="86"/>
      <c r="J252" s="79">
        <f t="shared" si="936"/>
        <v>6.2350000000000003</v>
      </c>
    </row>
    <row r="253" spans="5:10" x14ac:dyDescent="0.25">
      <c r="E253" s="170">
        <f t="shared" si="937"/>
        <v>0.47030399527474009</v>
      </c>
      <c r="F253" s="170">
        <f t="shared" si="937"/>
        <v>0.86411461688480085</v>
      </c>
      <c r="G253" s="170">
        <f t="shared" si="937"/>
        <v>-0.17922076027807496</v>
      </c>
      <c r="H253" s="139"/>
      <c r="I253" s="86"/>
      <c r="J253" s="79">
        <f t="shared" si="936"/>
        <v>6.242</v>
      </c>
    </row>
    <row r="254" spans="5:10" x14ac:dyDescent="0.25">
      <c r="E254" s="170">
        <f t="shared" ref="E254:G273" si="938">E109*-1</f>
        <v>0.56503973867773782</v>
      </c>
      <c r="F254" s="170">
        <f t="shared" si="938"/>
        <v>0.81520591158520006</v>
      </c>
      <c r="G254" s="170">
        <f t="shared" si="938"/>
        <v>-0.1271590163202625</v>
      </c>
      <c r="H254" s="139"/>
      <c r="I254" s="86"/>
      <c r="J254" s="79">
        <f t="shared" si="936"/>
        <v>6.2489999999999997</v>
      </c>
    </row>
    <row r="255" spans="5:10" x14ac:dyDescent="0.25">
      <c r="E255" s="170">
        <f t="shared" si="938"/>
        <v>0.62174966685720612</v>
      </c>
      <c r="F255" s="170">
        <f t="shared" si="938"/>
        <v>0.7825831106029939</v>
      </c>
      <c r="G255" s="170">
        <f t="shared" si="938"/>
        <v>-3.1480577534340137E-2</v>
      </c>
      <c r="H255" s="139"/>
      <c r="I255" s="86"/>
      <c r="J255" s="79">
        <f t="shared" si="936"/>
        <v>6.2560000000000002</v>
      </c>
    </row>
    <row r="256" spans="5:10" x14ac:dyDescent="0.25">
      <c r="E256" s="170">
        <f t="shared" si="938"/>
        <v>0.98397541645069642</v>
      </c>
      <c r="F256" s="170">
        <f t="shared" si="938"/>
        <v>-0.17830417779913954</v>
      </c>
      <c r="G256" s="170">
        <f t="shared" si="938"/>
        <v>-2.2679489682416682E-7</v>
      </c>
      <c r="H256" s="139"/>
      <c r="I256" s="86"/>
      <c r="J256" s="79">
        <f t="shared" si="936"/>
        <v>6.2629999999999999</v>
      </c>
    </row>
    <row r="257" spans="5:10" x14ac:dyDescent="0.25">
      <c r="E257" s="170">
        <f t="shared" si="938"/>
        <v>0.62646537462506391</v>
      </c>
      <c r="F257" s="170">
        <f t="shared" si="938"/>
        <v>0.72085023775923462</v>
      </c>
      <c r="G257" s="170">
        <f t="shared" si="938"/>
        <v>-0.296506440264513</v>
      </c>
      <c r="H257" s="139"/>
      <c r="I257" s="86"/>
      <c r="J257" s="79">
        <f t="shared" si="936"/>
        <v>7.1130000000000004</v>
      </c>
    </row>
    <row r="258" spans="5:10" x14ac:dyDescent="0.25">
      <c r="E258" s="170">
        <f t="shared" si="938"/>
        <v>0.71161109410453061</v>
      </c>
      <c r="F258" s="170">
        <f t="shared" si="938"/>
        <v>0.63736379827011924</v>
      </c>
      <c r="G258" s="170">
        <f t="shared" si="938"/>
        <v>-0.29559607474058208</v>
      </c>
      <c r="H258" s="139"/>
      <c r="I258" s="86"/>
      <c r="J258" s="79">
        <f t="shared" si="936"/>
        <v>7.12</v>
      </c>
    </row>
    <row r="259" spans="5:10" x14ac:dyDescent="0.25">
      <c r="E259" s="170">
        <f t="shared" si="938"/>
        <v>0.78136811670271433</v>
      </c>
      <c r="F259" s="170">
        <f t="shared" si="938"/>
        <v>0.56172239288336234</v>
      </c>
      <c r="G259" s="170">
        <f t="shared" si="938"/>
        <v>-0.27190406310653559</v>
      </c>
      <c r="H259" s="139"/>
      <c r="I259" s="86"/>
      <c r="J259" s="79">
        <f t="shared" si="936"/>
        <v>7.1269999999999998</v>
      </c>
    </row>
    <row r="260" spans="5:10" x14ac:dyDescent="0.25">
      <c r="E260" s="170">
        <f t="shared" si="938"/>
        <v>0.84184672896360213</v>
      </c>
      <c r="F260" s="170">
        <f t="shared" si="938"/>
        <v>0.48791213130526856</v>
      </c>
      <c r="G260" s="170">
        <f t="shared" si="938"/>
        <v>-0.23072892549143895</v>
      </c>
      <c r="H260" s="139"/>
      <c r="I260" s="86"/>
      <c r="J260" s="79">
        <f t="shared" si="936"/>
        <v>7.1340000000000003</v>
      </c>
    </row>
    <row r="261" spans="5:10" x14ac:dyDescent="0.25">
      <c r="E261" s="170">
        <f t="shared" si="938"/>
        <v>0.89292278095860944</v>
      </c>
      <c r="F261" s="170">
        <f t="shared" si="938"/>
        <v>0.41250491107198106</v>
      </c>
      <c r="G261" s="170">
        <f t="shared" si="938"/>
        <v>-0.18035688394580413</v>
      </c>
      <c r="H261" s="139"/>
      <c r="I261" s="86"/>
      <c r="J261" s="79">
        <f t="shared" si="936"/>
        <v>7.141</v>
      </c>
    </row>
    <row r="262" spans="5:10" x14ac:dyDescent="0.25">
      <c r="E262" s="170">
        <f t="shared" si="938"/>
        <v>0.94272555535358471</v>
      </c>
      <c r="F262" s="170">
        <f t="shared" si="938"/>
        <v>0.30527129716315327</v>
      </c>
      <c r="G262" s="170">
        <f t="shared" si="938"/>
        <v>-0.13445431347339173</v>
      </c>
      <c r="H262" s="139"/>
      <c r="I262" s="86"/>
      <c r="J262" s="79">
        <f t="shared" si="936"/>
        <v>7.1479999999999997</v>
      </c>
    </row>
    <row r="263" spans="5:10" x14ac:dyDescent="0.25">
      <c r="E263" s="170">
        <f t="shared" si="938"/>
        <v>0.97377053917695555</v>
      </c>
      <c r="F263" s="170">
        <f t="shared" si="938"/>
        <v>0.2223308011602782</v>
      </c>
      <c r="G263" s="170">
        <f t="shared" si="938"/>
        <v>-4.8373049174620222E-2</v>
      </c>
      <c r="H263" s="139"/>
      <c r="I263" s="86"/>
      <c r="J263" s="79">
        <f t="shared" si="936"/>
        <v>7.1550000000000002</v>
      </c>
    </row>
    <row r="264" spans="5:10" x14ac:dyDescent="0.25">
      <c r="E264" s="170">
        <f t="shared" si="938"/>
        <v>0.99828405622575511</v>
      </c>
      <c r="F264" s="170">
        <f t="shared" si="938"/>
        <v>5.8557177915539556E-2</v>
      </c>
      <c r="G264" s="170">
        <f t="shared" si="938"/>
        <v>-1.4578093171295855E-7</v>
      </c>
      <c r="H264" s="139"/>
      <c r="I264" s="86"/>
      <c r="J264" s="79">
        <f t="shared" si="936"/>
        <v>7.1619999999999999</v>
      </c>
    </row>
    <row r="265" spans="5:10" x14ac:dyDescent="0.25">
      <c r="E265" s="170">
        <f t="shared" si="938"/>
        <v>4.4570502316717588E-2</v>
      </c>
      <c r="F265" s="170">
        <f t="shared" si="938"/>
        <v>-8.7394849177466288E-2</v>
      </c>
      <c r="G265" s="170">
        <f t="shared" si="938"/>
        <v>-0.99517617066551767</v>
      </c>
      <c r="H265" s="139"/>
      <c r="I265" s="86"/>
      <c r="J265" s="79">
        <f t="shared" si="936"/>
        <v>7.22</v>
      </c>
    </row>
    <row r="266" spans="5:10" x14ac:dyDescent="0.25">
      <c r="E266" s="170">
        <f t="shared" si="938"/>
        <v>0.90293034023241425</v>
      </c>
      <c r="F266" s="170">
        <f t="shared" si="938"/>
        <v>0.33284377890225597</v>
      </c>
      <c r="G266" s="170">
        <f t="shared" si="938"/>
        <v>-0.27190406310653564</v>
      </c>
      <c r="H266" s="139"/>
      <c r="I266" s="86"/>
      <c r="J266" s="79">
        <f t="shared" si="936"/>
        <v>7.2270000000000003</v>
      </c>
    </row>
    <row r="267" spans="5:10" x14ac:dyDescent="0.25">
      <c r="E267" s="170">
        <f t="shared" si="938"/>
        <v>0.93239989968301851</v>
      </c>
      <c r="F267" s="170">
        <f t="shared" si="938"/>
        <v>0.27819883179600724</v>
      </c>
      <c r="G267" s="170">
        <f t="shared" si="938"/>
        <v>-0.23072892549143875</v>
      </c>
      <c r="H267" s="139"/>
      <c r="I267" s="86"/>
      <c r="J267" s="79">
        <f t="shared" si="936"/>
        <v>7.234</v>
      </c>
    </row>
    <row r="268" spans="5:10" x14ac:dyDescent="0.25">
      <c r="E268" s="170">
        <f t="shared" si="938"/>
        <v>0.9601311559587915</v>
      </c>
      <c r="F268" s="170">
        <f t="shared" si="938"/>
        <v>0.21358735395756617</v>
      </c>
      <c r="G268" s="170">
        <f t="shared" si="938"/>
        <v>-0.18035688394580415</v>
      </c>
      <c r="H268" s="139"/>
      <c r="I268" s="86"/>
      <c r="J268" s="79">
        <f t="shared" si="936"/>
        <v>7.2409999999999997</v>
      </c>
    </row>
    <row r="269" spans="5:10" x14ac:dyDescent="0.25">
      <c r="E269" s="170">
        <f t="shared" si="938"/>
        <v>0.9847657263107461</v>
      </c>
      <c r="F269" s="170">
        <f t="shared" si="938"/>
        <v>0.11026559695602066</v>
      </c>
      <c r="G269" s="170">
        <f t="shared" si="938"/>
        <v>-0.13445431347339157</v>
      </c>
      <c r="H269" s="139"/>
      <c r="I269" s="86"/>
      <c r="J269" s="79">
        <f t="shared" si="936"/>
        <v>7.2480000000000002</v>
      </c>
    </row>
    <row r="270" spans="5:10" x14ac:dyDescent="0.25">
      <c r="E270" s="170">
        <f t="shared" si="938"/>
        <v>0.99844123091056858</v>
      </c>
      <c r="F270" s="170">
        <f t="shared" si="938"/>
        <v>2.7841633058040657E-2</v>
      </c>
      <c r="G270" s="170">
        <f t="shared" si="938"/>
        <v>-4.8373049174619515E-2</v>
      </c>
      <c r="H270" s="139"/>
      <c r="I270" s="86"/>
      <c r="J270" s="79">
        <f t="shared" si="936"/>
        <v>7.2549999999999999</v>
      </c>
    </row>
    <row r="271" spans="5:10" x14ac:dyDescent="0.25">
      <c r="E271" s="170">
        <f t="shared" si="938"/>
        <v>0.49589839075622277</v>
      </c>
      <c r="F271" s="170">
        <f t="shared" si="938"/>
        <v>-0.86838055370058653</v>
      </c>
      <c r="G271" s="170">
        <f t="shared" si="938"/>
        <v>-2.2679489697012661E-7</v>
      </c>
      <c r="H271" s="139"/>
      <c r="I271" s="86"/>
      <c r="J271" s="79">
        <f t="shared" si="936"/>
        <v>7.2619999999999996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37257DE-7886-4EE8-B91A-AAD1F396D607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978DF0E3-269D-48F4-84F0-5CD92DCA6C9B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1.119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1.1259999999999999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1.133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1.1399999999999999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1.147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1.1539999999999999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1.161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1.212</v>
      </c>
      <c r="N175" s="869" t="str">
        <f>Assy.Model!K20</f>
        <v>Inactive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1.2190000000000001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1.226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1.2330000000000001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1.24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1.2470000000000001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1.254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1.2609999999999999</v>
      </c>
      <c r="N182" s="869" t="str">
        <f>Assy.Model!K27</f>
        <v>Inactive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1.3037000000000001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2.1110000000000002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2.1179999999999999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2.125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2.1320000000000001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2.1389999999999998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2.1459999999999999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2.153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2.16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2.218</v>
      </c>
      <c r="N192" s="869" t="str">
        <f>Assy.Model!K37</f>
        <v>Inactive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2.2250000000000001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2.2320000000000002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2.2389999999999999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2.246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2.2530000000000001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2.2599999999999998</v>
      </c>
      <c r="N198" s="869" t="str">
        <f>Assy.Model!K43</f>
        <v>Inactive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3.1030000000000002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3.1059999999999999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3.11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3.117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3.1240000000000001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3.1309999999999998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3.1379999999999999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3.145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3.1520000000000001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3.1589999999999998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3.21</v>
      </c>
      <c r="N209" s="869" t="str">
        <f>Assy.Model!K54</f>
        <v>Inactive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3.2170000000000001</v>
      </c>
      <c r="N210" s="869" t="str">
        <f>Assy.Model!K55</f>
        <v>Inactive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3.2240000000000002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3.2309999999999999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3.238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3.2450000000000001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3.2519999999999998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3.2589999999999999</v>
      </c>
      <c r="N216" s="869" t="str">
        <f>Assy.Model!K61</f>
        <v>Inactive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4.109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4.1159999999999997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4.1230000000000002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4.13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4.1369999999999996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4.1440000000000001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4.1509999999999998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4.1580000000000004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4.165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4.2229999999999999</v>
      </c>
      <c r="N226" s="869" t="str">
        <f>Assy.Model!K71</f>
        <v>Inactive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4.2300000000000004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4.2370000000000001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4.2439999999999998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4.2510000000000003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4.258</v>
      </c>
      <c r="N231" s="869">
        <f>Assy.Model!K76</f>
        <v>1313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4.2649999999999997</v>
      </c>
      <c r="N232" s="869" t="str">
        <f>Assy.Model!K77</f>
        <v>Inactive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5.1020000000000003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5.1050000000000004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5.1079999999999997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5.1150000000000002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5.1219999999999999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5.1289999999999996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5.1360000000000001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5.1429999999999998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5.15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5.157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5.1639999999999997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5.2149999999999999</v>
      </c>
      <c r="N244" s="869" t="str">
        <f>Assy.Model!K89</f>
        <v>Inactive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5.2220000000000004</v>
      </c>
      <c r="N245" s="869" t="str">
        <f>Assy.Model!K90</f>
        <v>Inactive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5.2290000000000001</v>
      </c>
      <c r="N246" s="869">
        <f>Assy.Model!K91</f>
        <v>1313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5.2359999999999998</v>
      </c>
      <c r="N247" s="869">
        <f>Assy.Model!K92</f>
        <v>1313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5.2430000000000003</v>
      </c>
      <c r="N248" s="869">
        <f>Assy.Model!K93</f>
        <v>1313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5.25</v>
      </c>
      <c r="N249" s="869">
        <f>Assy.Model!K94</f>
        <v>1313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5.2569999999999997</v>
      </c>
      <c r="N250" s="869">
        <f>Assy.Model!K95</f>
        <v>1313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5.2640000000000002</v>
      </c>
      <c r="N251" s="869" t="str">
        <f>Assy.Model!K96</f>
        <v>Inactive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6.1139999999999999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6.1210000000000004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6.1280000000000001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6.1349999999999998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6.1420000000000003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6.149</v>
      </c>
      <c r="N257" s="869">
        <f>Assy.Model!K102</f>
        <v>1613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6.1559999999999997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6.1630000000000003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6.2210000000000001</v>
      </c>
      <c r="N260" s="869" t="str">
        <f>Assy.Model!K105</f>
        <v>Inactive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6.2279999999999998</v>
      </c>
      <c r="N261" s="869">
        <f>Assy.Model!K106</f>
        <v>1313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6.2350000000000003</v>
      </c>
      <c r="N262" s="869">
        <f>Assy.Model!K107</f>
        <v>1313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6.242</v>
      </c>
      <c r="N263" s="869">
        <f>Assy.Model!K108</f>
        <v>1313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6.2489999999999997</v>
      </c>
      <c r="N264" s="869">
        <f>Assy.Model!K109</f>
        <v>1313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6.2560000000000002</v>
      </c>
      <c r="N265" s="869">
        <f>Assy.Model!K110</f>
        <v>1313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6.2629999999999999</v>
      </c>
      <c r="N266" s="869" t="str">
        <f>Assy.Model!K111</f>
        <v>Inactive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7.1130000000000004</v>
      </c>
      <c r="N267" s="869">
        <f>Assy.Model!K112</f>
        <v>1613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7.12</v>
      </c>
      <c r="N268" s="869">
        <f>Assy.Model!K113</f>
        <v>1613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7.1269999999999998</v>
      </c>
      <c r="N269" s="869">
        <f>Assy.Model!K114</f>
        <v>1613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7.1340000000000003</v>
      </c>
      <c r="N270" s="869">
        <f>Assy.Model!K115</f>
        <v>1613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7.141</v>
      </c>
      <c r="N271" s="869">
        <f>Assy.Model!K116</f>
        <v>1613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>
        <f>Assy.Model!$M117</f>
        <v>7.1479999999999997</v>
      </c>
      <c r="N272" s="869">
        <f>Assy.Model!K117</f>
        <v>1613</v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>
        <f>Assy.Model!$M118</f>
        <v>7.1550000000000002</v>
      </c>
      <c r="N273" s="869">
        <f>Assy.Model!K118</f>
        <v>1613</v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>
        <f>Assy.Model!$M119</f>
        <v>7.1619999999999999</v>
      </c>
      <c r="N274" s="869">
        <f>Assy.Model!K119</f>
        <v>1613</v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>
        <f>Assy.Model!$M120</f>
        <v>7.22</v>
      </c>
      <c r="N275" s="869" t="str">
        <f>Assy.Model!K120</f>
        <v>Inactive</v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>
        <f>Assy.Model!$M121</f>
        <v>7.2270000000000003</v>
      </c>
      <c r="N276" s="869">
        <f>Assy.Model!K121</f>
        <v>1313</v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>
        <f>Assy.Model!$M122</f>
        <v>7.234</v>
      </c>
      <c r="N277" s="869">
        <f>Assy.Model!K122</f>
        <v>1313</v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>
        <f>Assy.Model!$M123</f>
        <v>7.2409999999999997</v>
      </c>
      <c r="N278" s="869">
        <f>Assy.Model!K123</f>
        <v>1313</v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>
        <f>Assy.Model!$M124</f>
        <v>7.2480000000000002</v>
      </c>
      <c r="N279" s="869">
        <f>Assy.Model!K124</f>
        <v>1313</v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>
        <f>Assy.Model!$M125</f>
        <v>7.2549999999999999</v>
      </c>
      <c r="N280" s="869">
        <f>Assy.Model!K125</f>
        <v>1313</v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>
        <f>Assy.Model!$M126</f>
        <v>7.2619999999999996</v>
      </c>
      <c r="N281" s="869" t="str">
        <f>Assy.Model!K126</f>
        <v>Inactive</v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2023-03-28T19:12:28Z</dcterms:modified>
</cp:coreProperties>
</file>