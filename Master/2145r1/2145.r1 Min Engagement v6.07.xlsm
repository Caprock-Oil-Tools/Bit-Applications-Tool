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5\"/>
    </mc:Choice>
  </mc:AlternateContent>
  <xr:revisionPtr revIDLastSave="0" documentId="13_ncr:1_{8AC17F3C-8F98-4A2D-B481-5A8E203E8AF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JF23" i="1" a="1"/>
  <c r="JF23" i="1" s="1"/>
  <c r="JH23" i="1" s="1" a="1"/>
  <c r="JH23" i="1" s="1"/>
  <c r="JH29" i="1" a="1"/>
  <c r="JH29" i="1" s="1"/>
  <c r="L13" i="1" s="1"/>
  <c r="JB29" i="1" a="1"/>
  <c r="JB29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N10" i="1" l="1"/>
  <c r="IL10" i="1"/>
  <c r="IY10" i="1"/>
  <c r="IX10" i="1"/>
  <c r="IV10" i="1"/>
  <c r="IT10" i="1"/>
  <c r="IQ10" i="1"/>
  <c r="IS10" i="1"/>
  <c r="IK10" i="1"/>
  <c r="JA23" i="1" s="1" a="1"/>
  <c r="JA23" i="1" s="1"/>
  <c r="IU10" i="1"/>
  <c r="IE10" i="1" s="1"/>
  <c r="IP10" i="1"/>
  <c r="IR10" i="1"/>
  <c r="JA9" i="1" a="1"/>
  <c r="JA9" i="1" s="1"/>
  <c r="IF85" i="1"/>
  <c r="IF129" i="1"/>
  <c r="IF73" i="1"/>
  <c r="IF49" i="1"/>
  <c r="IF138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0" i="1" l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83" i="1" l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IL83" i="1" s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IT83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IS83" i="1" s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78" i="1" l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H30" i="1" a="1"/>
  <c r="JH30" i="1" s="1"/>
  <c r="L20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<sst xmlns="http://schemas.openxmlformats.org/spreadsheetml/2006/main" count="734" uniqueCount="391">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</sst>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AG34" sqref="AG34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10.625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5.3125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10.625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9" t="s">
        <v>197</v>
      </c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1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4" t="s">
        <v>266</v>
      </c>
      <c r="HQ2" s="1164" t="str">
        <f>IFERROR(CONCATENATE("Sum of Lateral Forces = ",ROUND(HE3,0)," lbs @ ",ROUND(HF3,1),"° Relative to Blade 1"),"")</f>
        <v/>
      </c>
      <c r="HR2" s="1165"/>
      <c r="HS2" s="1165"/>
      <c r="HT2" s="1165"/>
      <c r="HU2" s="1165"/>
      <c r="HV2" s="116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20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16" t="s">
        <v>162</v>
      </c>
      <c r="DC4" s="1217"/>
      <c r="DD4" s="1217"/>
      <c r="DE4" s="1217"/>
      <c r="DF4" s="1217"/>
      <c r="DG4" s="1217"/>
      <c r="DH4" s="1217"/>
      <c r="DI4" s="1217"/>
      <c r="DJ4" s="1217"/>
      <c r="DK4" s="1217"/>
      <c r="DL4" s="1217"/>
      <c r="DM4" s="1217"/>
      <c r="DN4" s="1217"/>
      <c r="DO4" s="1217"/>
      <c r="DP4" s="1217"/>
      <c r="DQ4" s="1217"/>
      <c r="DR4" s="1217"/>
      <c r="DS4" s="1217"/>
      <c r="DT4" s="1217"/>
      <c r="DU4" s="1217"/>
      <c r="DV4" s="1217"/>
      <c r="DW4" s="1217"/>
      <c r="DX4" s="1217"/>
      <c r="DY4" s="1217"/>
      <c r="DZ4" s="1217"/>
      <c r="EA4" s="1217"/>
      <c r="EB4" s="1217"/>
      <c r="EC4" s="1217"/>
      <c r="ED4" s="1217"/>
      <c r="EE4" s="1217"/>
      <c r="EF4" s="1217"/>
      <c r="EG4" s="1217"/>
      <c r="EH4" s="1217"/>
      <c r="EI4" s="1217"/>
      <c r="EJ4" s="1217"/>
      <c r="EK4" s="1217"/>
      <c r="EL4" s="1217"/>
      <c r="EM4" s="1217"/>
      <c r="EN4" s="1217"/>
      <c r="EO4" s="1217"/>
      <c r="EP4" s="1217"/>
      <c r="EQ4" s="1217"/>
      <c r="ER4" s="1218"/>
      <c r="ES4" s="1144" t="s">
        <v>196</v>
      </c>
      <c r="ET4" s="1145"/>
      <c r="EU4" s="1145"/>
      <c r="EV4" s="1145"/>
      <c r="EW4" s="1145"/>
      <c r="EX4" s="1145"/>
      <c r="EY4" s="1146"/>
      <c r="EZ4" s="1150" t="s">
        <v>201</v>
      </c>
      <c r="FA4" s="1151"/>
      <c r="FB4" s="1151"/>
      <c r="FC4" s="1151"/>
      <c r="FD4" s="1151"/>
      <c r="FE4" s="1151"/>
      <c r="FF4" s="1152"/>
      <c r="FG4" s="343"/>
      <c r="FP4" s="1184" t="s">
        <v>229</v>
      </c>
      <c r="FZ4" s="1184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6"/>
      <c r="GO4" s="1245" t="s">
        <v>229</v>
      </c>
      <c r="GP4" s="1249" t="s">
        <v>228</v>
      </c>
      <c r="GR4" s="1192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70" t="str">
        <f>IFERROR(CONCATENATE("Lateral Forces = ",ROUND(HE3,0)," lbs @ ",ROUND(HF3,1),"° Relative to Blade 1"),"")</f>
        <v/>
      </c>
      <c r="HB4" s="1171"/>
      <c r="HC4" s="1171"/>
      <c r="HD4" s="1171"/>
      <c r="HE4" s="1171"/>
      <c r="HF4" s="1171"/>
      <c r="HG4" s="1171"/>
      <c r="HH4" s="1172"/>
      <c r="HI4" s="1179" t="s">
        <v>0</v>
      </c>
      <c r="HO4" s="120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49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97" t="s">
        <v>174</v>
      </c>
      <c r="DM5" s="1132"/>
      <c r="DN5" s="119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192" t="s">
        <v>194</v>
      </c>
      <c r="EF5" s="1192"/>
      <c r="EG5" s="1193"/>
      <c r="EH5" s="1201" t="s">
        <v>195</v>
      </c>
      <c r="EI5" s="1202"/>
      <c r="EJ5" s="120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147" t="s">
        <v>222</v>
      </c>
      <c r="EW5" s="1148"/>
      <c r="EX5" s="1148"/>
      <c r="EY5" s="1149"/>
      <c r="EZ5" s="1226" t="s">
        <v>200</v>
      </c>
      <c r="FA5" s="968" t="s">
        <v>202</v>
      </c>
      <c r="FB5" s="1159"/>
      <c r="FC5" s="969"/>
      <c r="FD5" s="1189" t="s">
        <v>222</v>
      </c>
      <c r="FE5" s="1190"/>
      <c r="FF5" s="1191"/>
      <c r="FP5" s="1208"/>
      <c r="FQ5" s="31"/>
      <c r="FR5" s="31"/>
      <c r="FS5" s="31"/>
      <c r="FT5" s="31"/>
      <c r="FZ5" s="1208"/>
      <c r="GJ5" s="1242" t="s">
        <v>269</v>
      </c>
      <c r="GK5" s="1210" t="s">
        <v>267</v>
      </c>
      <c r="GL5" s="1212" t="s">
        <v>110</v>
      </c>
      <c r="GM5" s="1212" t="s">
        <v>111</v>
      </c>
      <c r="GN5" s="1213"/>
      <c r="GO5" s="1246"/>
      <c r="GP5" s="1250"/>
      <c r="GQ5" s="31"/>
      <c r="GR5" s="991"/>
      <c r="GS5" s="1099" t="s">
        <v>248</v>
      </c>
      <c r="GT5" s="1259"/>
      <c r="GU5" s="1255" t="s">
        <v>249</v>
      </c>
      <c r="GV5" s="1256"/>
      <c r="GW5" s="1257"/>
      <c r="GX5" s="1258"/>
      <c r="GY5" s="1244" t="s">
        <v>107</v>
      </c>
      <c r="GZ5" s="875"/>
      <c r="HA5" s="1167" t="s">
        <v>248</v>
      </c>
      <c r="HB5" s="1168"/>
      <c r="HC5" s="1168"/>
      <c r="HD5" s="1169"/>
      <c r="HE5" s="1186" t="s">
        <v>249</v>
      </c>
      <c r="HF5" s="1168"/>
      <c r="HG5" s="1168"/>
      <c r="HH5" s="1187"/>
      <c r="HI5" s="1180"/>
      <c r="HN5" s="386" t="s">
        <v>263</v>
      </c>
      <c r="HO5" s="58" t="s">
        <v>264</v>
      </c>
      <c r="HS5" s="1173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99"/>
      <c r="DM6" s="1134"/>
      <c r="DN6" s="120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194"/>
      <c r="EF6" s="1194"/>
      <c r="EG6" s="1195"/>
      <c r="EH6" s="1204"/>
      <c r="EI6" s="1205"/>
      <c r="EJ6" s="1206"/>
      <c r="EK6" s="1074"/>
      <c r="EL6" s="1092"/>
      <c r="EM6" s="1154" t="s">
        <v>199</v>
      </c>
      <c r="EN6" s="1142"/>
      <c r="EO6" s="119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53"/>
      <c r="EZ6" s="1227"/>
      <c r="FA6" s="1160"/>
      <c r="FB6" s="1161"/>
      <c r="FC6" s="1162"/>
      <c r="FD6" s="1154" t="s">
        <v>202</v>
      </c>
      <c r="FE6" s="1142"/>
      <c r="FF6" s="1143"/>
      <c r="FG6" s="1156" t="s">
        <v>224</v>
      </c>
      <c r="FH6" s="1157"/>
      <c r="FI6" s="1158"/>
      <c r="FJ6" s="1073" t="s">
        <v>203</v>
      </c>
      <c r="FK6" s="1091" t="s">
        <v>214</v>
      </c>
      <c r="FL6" s="1093"/>
      <c r="FM6" s="973"/>
      <c r="FN6" s="1118" t="s">
        <v>204</v>
      </c>
      <c r="FO6" s="1229" t="s">
        <v>227</v>
      </c>
      <c r="FP6" s="122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9" t="s">
        <v>227</v>
      </c>
      <c r="FZ6" s="1222" t="s">
        <v>225</v>
      </c>
      <c r="GA6" s="1224" t="s">
        <v>239</v>
      </c>
      <c r="GB6" s="336" t="s">
        <v>207</v>
      </c>
      <c r="GC6" s="337" t="s">
        <v>240</v>
      </c>
      <c r="GD6" s="338" t="s">
        <v>226</v>
      </c>
      <c r="GE6" s="1240"/>
      <c r="GF6" s="1193" t="s">
        <v>260</v>
      </c>
      <c r="GG6" s="336" t="s">
        <v>207</v>
      </c>
      <c r="GH6" s="337" t="s">
        <v>240</v>
      </c>
      <c r="GI6" s="338" t="s">
        <v>226</v>
      </c>
      <c r="GJ6" s="1243"/>
      <c r="GK6" s="1211"/>
      <c r="GL6" s="1214"/>
      <c r="GM6" s="1214"/>
      <c r="GN6" s="1215"/>
      <c r="GO6" s="1247" t="s">
        <v>238</v>
      </c>
      <c r="GP6" s="1251" t="s">
        <v>225</v>
      </c>
      <c r="GQ6" s="1093" t="s">
        <v>203</v>
      </c>
      <c r="GR6" s="991"/>
      <c r="GS6" s="1177" t="s">
        <v>252</v>
      </c>
      <c r="GT6" s="1178"/>
      <c r="GU6" s="1163" t="s">
        <v>251</v>
      </c>
      <c r="GV6" s="1116"/>
      <c r="GW6" s="1116"/>
      <c r="GX6" s="361" t="s">
        <v>106</v>
      </c>
      <c r="GY6" s="896" t="s">
        <v>250</v>
      </c>
      <c r="GZ6" s="1123"/>
      <c r="HA6" s="1231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80"/>
      <c r="HN6" s="955" t="s">
        <v>238</v>
      </c>
      <c r="HO6" s="958" t="s">
        <v>265</v>
      </c>
      <c r="HP6" s="934" t="s">
        <v>203</v>
      </c>
      <c r="HQ6" s="391"/>
      <c r="HS6" s="1174"/>
      <c r="HT6" s="889" t="s">
        <v>270</v>
      </c>
      <c r="HU6" s="902"/>
      <c r="HV6" s="1176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5"/>
      <c r="FK7" s="350" t="s">
        <v>211</v>
      </c>
      <c r="FL7" s="351" t="s">
        <v>212</v>
      </c>
      <c r="FM7" s="352" t="s">
        <v>213</v>
      </c>
      <c r="FN7" s="1119"/>
      <c r="FO7" s="1230"/>
      <c r="FP7" s="122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30"/>
      <c r="FZ7" s="1223"/>
      <c r="GA7" s="1225"/>
      <c r="GB7" s="223" t="s">
        <v>232</v>
      </c>
      <c r="GC7" s="131" t="s">
        <v>233</v>
      </c>
      <c r="GD7" s="224" t="s">
        <v>234</v>
      </c>
      <c r="GE7" s="1241"/>
      <c r="GF7" s="1209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8"/>
      <c r="GP7" s="1252"/>
      <c r="GQ7" s="1253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1"/>
      <c r="HJ7" s="31"/>
      <c r="HK7" s="1184" t="s">
        <v>246</v>
      </c>
      <c r="HL7" s="1184" t="s">
        <v>237</v>
      </c>
      <c r="HM7" s="882" t="s">
        <v>245</v>
      </c>
      <c r="HN7" s="956"/>
      <c r="HO7" s="1188"/>
      <c r="HP7" s="1182"/>
      <c r="HQ7" s="392"/>
      <c r="HR7" s="412"/>
      <c r="HS7" s="117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32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-0.20540061948826838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5"/>
      <c r="HL8" s="1185"/>
      <c r="HM8" s="967"/>
      <c r="HN8" s="957"/>
      <c r="HO8" s="959"/>
      <c r="HP8" s="1183"/>
      <c r="HQ8" s="393" t="s">
        <v>49</v>
      </c>
      <c r="HR8" s="413" t="s">
        <v>51</v>
      </c>
      <c r="HS8" s="117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4"/>
      <c r="IH8" s="1233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0.30450091837476984</v>
      </c>
      <c r="D9" s="704">
        <v>-0.74040223305313491</v>
      </c>
      <c r="E9" s="705">
        <v>-0.92387955420894763</v>
      </c>
      <c r="F9" s="703">
        <v>-6.6452262060448339E-2</v>
      </c>
      <c r="G9" s="706">
        <v>0.37686956123004373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0.30450091837476984</v>
      </c>
      <c r="P9" s="625">
        <f t="shared" ref="P9:P40" si="4">IF(M9="","",D9)</f>
        <v>-0.74040223305313491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0.30450091837476984</v>
      </c>
      <c r="S9" s="626">
        <f>IF(M9="","",P9)</f>
        <v>-0.74040223305313491</v>
      </c>
      <c r="T9" s="627">
        <f>IF(M9="","",X9*COS(RADIANS(W9)))</f>
        <v>0.30450091837476984</v>
      </c>
      <c r="U9" s="624">
        <f>IF(M9="","",X9*SIN(RADIANS(W9)))</f>
        <v>0</v>
      </c>
      <c r="V9" s="628">
        <f>IF(M9="","",Y9)</f>
        <v>-0.74040223305313491</v>
      </c>
      <c r="W9" s="583">
        <f t="shared" ref="W9:W14" si="5">IF(M9="","",IF(Q9-$Q$8&lt;0,360+Q9-$Q$8,Q9-$Q$8))</f>
        <v>0</v>
      </c>
      <c r="X9" s="629">
        <f>IF(M9="","",R9)</f>
        <v>0.30450091837476984</v>
      </c>
      <c r="Y9" s="630">
        <f>IF(M9="","",S9)</f>
        <v>-0.74040223305313491</v>
      </c>
      <c r="Z9" s="623">
        <f t="shared" ref="Z9:Z40" si="6">IF(M9="","",-E9)</f>
        <v>0.92387955420894763</v>
      </c>
      <c r="AA9" s="624">
        <f t="shared" ref="AA9:AA40" si="7">IF(M9="","",-F9)</f>
        <v>6.6452262060448339E-2</v>
      </c>
      <c r="AB9" s="624">
        <f t="shared" ref="AB9:AB40" si="8">IF(M9="","",-G9)</f>
        <v>-0.37686956123004373</v>
      </c>
      <c r="AC9" s="628">
        <f>IF(M9="","",SQRT(Z9^2+AA9^2+AB9^2))</f>
        <v>1</v>
      </c>
      <c r="AD9" s="631">
        <f>IF(M9="","",Z9*(1/SQRT(Z9^2+AA9^2+AB9^2)))</f>
        <v>0.92387955420894763</v>
      </c>
      <c r="AE9" s="624">
        <f>IF(M9="","",AA9*(1/SQRT(Z9^2+AA9^2+AB9^2)))</f>
        <v>6.6452262060448339E-2</v>
      </c>
      <c r="AF9" s="625">
        <f>IF(M9="","",AB9*(1/SQRT(Z9^2+AA9^2+AB9^2)))</f>
        <v>-0.37686956123004373</v>
      </c>
      <c r="AG9" s="599">
        <f>IF(M9="","",DEGREES(ATAN2(-AF9,AE9)))</f>
        <v>9.9999985561788449</v>
      </c>
      <c r="AH9" s="600">
        <f>IF(M9="","",DEGREES(ACOS(AD9)))</f>
        <v>22.499996751402403</v>
      </c>
      <c r="AI9" s="583">
        <f>IF(M9="","",DEGREES(-ACOS(-AF9)))</f>
        <v>-67.860089641652664</v>
      </c>
      <c r="AJ9" s="601">
        <f>IF(M9="","",DEGREES(ATAN2(-AE9,AD9)))</f>
        <v>94.114051943464929</v>
      </c>
      <c r="AK9" s="627">
        <f>IF(M9="","",(COS(RADIANS((90-$Q$8)-W9))*AD9)+(-SIN(RADIANS((90-$Q$8)-W9))*AE9))</f>
        <v>0.92387955420894763</v>
      </c>
      <c r="AL9" s="624">
        <f>IF(M9="","",(SIN(RADIANS((90-$Q$8)-W9))*AD9)+(COS(RADIANS((90-$Q$8)-W9))*AE9))</f>
        <v>6.6452262060448339E-2</v>
      </c>
      <c r="AM9" s="626">
        <f>IF(M9="","",AF9)</f>
        <v>-0.37686956123004373</v>
      </c>
      <c r="AN9" s="581">
        <f>IF(M9="","",DEGREES(ATAN2(-AM9,AL9)))</f>
        <v>9.9999985561788449</v>
      </c>
      <c r="AO9" s="582">
        <f>IF(ROUND(IF(M9="",0,DEGREES(ACOS(AK9))),4)=90,0,IF(M9="","",DEGREES(ACOS(AK9))))</f>
        <v>22.499996751402403</v>
      </c>
      <c r="AP9" s="781">
        <f>IF(M9="","",DEGREES(ATAN2(AK9,AL9)))</f>
        <v>4.1140519434649381</v>
      </c>
      <c r="AQ9" s="584">
        <f t="shared" ref="AQ9:AQ40" si="9">IF(M9="","",DEGREES(ATAN(($AS$5*SIN(RADIANS(90)))/(($X9*2*PI())-($AS$5*COS(RADIANS(90)))))))</f>
        <v>7.4445852245406403</v>
      </c>
      <c r="AS9" s="51">
        <f>IF(M9="","",W9)</f>
        <v>0</v>
      </c>
      <c r="AT9" s="71">
        <f t="shared" ref="AT9:AT40" si="10">IF(M9="","",Y9+(((AS9-$AS$9)*$AS$6)*-1))</f>
        <v>-0.74040223305313491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0.96440290863917255</v>
      </c>
      <c r="D10" s="709">
        <v>-0.58150175380928948</v>
      </c>
      <c r="E10" s="710">
        <v>-0.95630476848795665</v>
      </c>
      <c r="F10" s="708">
        <v>-5.0769799356932196E-2</v>
      </c>
      <c r="G10" s="711">
        <v>0.28792988250692664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0.96440290863917255</v>
      </c>
      <c r="P10" s="633">
        <f t="shared" si="4"/>
        <v>-0.58150175380928948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0.96440290863917255</v>
      </c>
      <c r="S10" s="634">
        <f t="shared" ref="S10:S105" si="80">IF(M10="","",P10)</f>
        <v>-0.58150175380928948</v>
      </c>
      <c r="T10" s="635">
        <f t="shared" ref="T10:T105" si="81">IF(M10="","",X10*COS(RADIANS(W10)))</f>
        <v>0.96440290863917255</v>
      </c>
      <c r="U10" s="629">
        <f t="shared" ref="U10:U105" si="82">IF(M10="","",X10*SIN(RADIANS(W10)))</f>
        <v>0</v>
      </c>
      <c r="V10" s="636">
        <f>IF(M10="","",Y10)</f>
        <v>-0.58150175380928948</v>
      </c>
      <c r="W10" s="585">
        <f t="shared" si="5"/>
        <v>0</v>
      </c>
      <c r="X10" s="629">
        <f t="shared" ref="X10:X105" si="83">IF(M10="","",R10)</f>
        <v>0.96440290863917255</v>
      </c>
      <c r="Y10" s="630">
        <f>IF(M10="","",S10)</f>
        <v>-0.58150175380928948</v>
      </c>
      <c r="Z10" s="632">
        <f t="shared" si="6"/>
        <v>0.95630476848795665</v>
      </c>
      <c r="AA10" s="629">
        <f t="shared" si="7"/>
        <v>5.0769799356932196E-2</v>
      </c>
      <c r="AB10" s="629">
        <f t="shared" si="8"/>
        <v>-0.28792988250692664</v>
      </c>
      <c r="AC10" s="636">
        <f t="shared" ref="AC10:AC105" si="84">IF(M10="","",SQRT(Z10^2+AA10^2+AB10^2))</f>
        <v>1</v>
      </c>
      <c r="AD10" s="637">
        <f>IF(M10="","",Z10*(1/SQRT(Z10^2+AA10^2+AB10^2)))</f>
        <v>0.95630476848795665</v>
      </c>
      <c r="AE10" s="629">
        <f t="shared" ref="AE10:AE105" si="85">IF(M10="","",AA10*(1/SQRT(Z10^2+AA10^2+AB10^2)))</f>
        <v>5.0769799356932196E-2</v>
      </c>
      <c r="AF10" s="633">
        <f t="shared" ref="AF10:AF105" si="86">IF(M10="","",AB10*(1/SQRT(Z10^2+AA10^2+AB10^2)))</f>
        <v>-0.28792988250692664</v>
      </c>
      <c r="AG10" s="602">
        <f t="shared" ref="AG10:AG105" si="87">IF(M10="","",DEGREES(ATAN2(-AF10,AE10)))</f>
        <v>9.9999985561788467</v>
      </c>
      <c r="AH10" s="603">
        <f t="shared" ref="AH10:AH105" si="88">IF(M10="","",DEGREES(ACOS(AD10)))</f>
        <v>16.999997545504019</v>
      </c>
      <c r="AI10" s="585">
        <f t="shared" ref="AI10:AI105" si="89">IF(M10="","",DEGREES(-ACOS(-AF10)))</f>
        <v>-73.265938377121657</v>
      </c>
      <c r="AJ10" s="586">
        <f t="shared" ref="AJ10:AJ105" si="90">IF(M10="","",DEGREES(ATAN2(-AE10,AD10)))</f>
        <v>93.038954765862371</v>
      </c>
      <c r="AK10" s="635">
        <f>IF(M10="","",(COS(RADIANS((90-$Q$8)-W10))*AD10)+(-SIN(RADIANS((90-$Q$8)-W10))*AE10))</f>
        <v>0.95630476848795665</v>
      </c>
      <c r="AL10" s="629">
        <f t="shared" ref="AL10:AL105" si="91">IF(M10="","",(SIN(RADIANS((90-$Q$8)-W10))*AD10)+(COS(RADIANS((90-$Q$8)-W10))*AE10))</f>
        <v>5.0769799356932196E-2</v>
      </c>
      <c r="AM10" s="634">
        <f t="shared" ref="AM10:AM105" si="92">IF(M10="","",AF10)</f>
        <v>-0.28792988250692664</v>
      </c>
      <c r="AN10" s="581">
        <f t="shared" ref="AN10:AN105" si="93">IF(M10="","",DEGREES(ATAN2(-AM10,AL10)))</f>
        <v>9.9999985561788467</v>
      </c>
      <c r="AO10" s="582">
        <f t="shared" ref="AO10:AO54" si="94">IF(ROUND(IF(M10="",0,DEGREES(ACOS(AK10))),4)=90,0,IF(M10="","",DEGREES(ACOS(AK10))))</f>
        <v>16.999997545504019</v>
      </c>
      <c r="AP10" s="585">
        <f t="shared" ref="AP10:AP105" si="95">IF(M10="","",DEGREES(ATAN2(AK10,AL10)))</f>
        <v>3.0389547658623766</v>
      </c>
      <c r="AQ10" s="586">
        <f t="shared" si="9"/>
        <v>2.3625337874087378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-0.58150175380928948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1.6662050252743563</v>
      </c>
      <c r="D11" s="709">
        <v>-0.39340118649797851</v>
      </c>
      <c r="E11" s="710">
        <v>-0.95630476848795665</v>
      </c>
      <c r="F11" s="708">
        <v>-5.0769799356932196E-2</v>
      </c>
      <c r="G11" s="711">
        <v>0.28792988250692664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1.6662050252743563</v>
      </c>
      <c r="P11" s="633">
        <f t="shared" si="4"/>
        <v>-0.39340118649797851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1.6662050252743563</v>
      </c>
      <c r="S11" s="634">
        <f t="shared" si="80"/>
        <v>-0.39340118649797851</v>
      </c>
      <c r="T11" s="635">
        <f t="shared" si="81"/>
        <v>1.6662050252743563</v>
      </c>
      <c r="U11" s="629">
        <f t="shared" si="82"/>
        <v>0</v>
      </c>
      <c r="V11" s="636">
        <f t="shared" ref="V11:V105" si="114">IF(M11="","",Y11)</f>
        <v>-0.39340118649797851</v>
      </c>
      <c r="W11" s="585">
        <f t="shared" si="5"/>
        <v>0</v>
      </c>
      <c r="X11" s="629">
        <f>IF(M11="","",R11)</f>
        <v>1.6662050252743563</v>
      </c>
      <c r="Y11" s="630">
        <f>IF(M11="","",S11)</f>
        <v>-0.39340118649797851</v>
      </c>
      <c r="Z11" s="632">
        <f t="shared" si="6"/>
        <v>0.95630476848795665</v>
      </c>
      <c r="AA11" s="629">
        <f t="shared" si="7"/>
        <v>5.0769799356932196E-2</v>
      </c>
      <c r="AB11" s="629">
        <f t="shared" si="8"/>
        <v>-0.28792988250692664</v>
      </c>
      <c r="AC11" s="636">
        <f t="shared" si="84"/>
        <v>1</v>
      </c>
      <c r="AD11" s="637">
        <f t="shared" ref="AD11:AD105" si="115">IF(M11="","",Z11*(1/SQRT(Z11^2+AA11^2+AB11^2)))</f>
        <v>0.95630476848795665</v>
      </c>
      <c r="AE11" s="629">
        <f t="shared" si="85"/>
        <v>5.0769799356932196E-2</v>
      </c>
      <c r="AF11" s="633">
        <f t="shared" si="86"/>
        <v>-0.28792988250692664</v>
      </c>
      <c r="AG11" s="602">
        <f>IF(M11="","",DEGREES(ATAN2(-AF11,AE11)))</f>
        <v>9.9999985561788467</v>
      </c>
      <c r="AH11" s="603">
        <f t="shared" si="88"/>
        <v>16.999997545504019</v>
      </c>
      <c r="AI11" s="585">
        <f t="shared" si="89"/>
        <v>-73.265938377121657</v>
      </c>
      <c r="AJ11" s="586">
        <f t="shared" si="90"/>
        <v>93.038954765862371</v>
      </c>
      <c r="AK11" s="635">
        <f>IF(M11="","",(COS(RADIANS((90-$Q$8)-W11))*AD11)+(-SIN(RADIANS((90-$Q$8)-W11))*AE11))</f>
        <v>0.95630476848795665</v>
      </c>
      <c r="AL11" s="629">
        <f t="shared" si="91"/>
        <v>5.0769799356932196E-2</v>
      </c>
      <c r="AM11" s="634">
        <f t="shared" si="92"/>
        <v>-0.28792988250692664</v>
      </c>
      <c r="AN11" s="581">
        <f>IF(M11="","",DEGREES(ATAN2(-AM11,AL11)))</f>
        <v>9.9999985561788467</v>
      </c>
      <c r="AO11" s="582">
        <f>IF(ROUND(IF(M11="",0,DEGREES(ACOS(AK11))),4)=90,0,IF(M11="","",DEGREES(ACOS(AK11))))</f>
        <v>16.999997545504019</v>
      </c>
      <c r="AP11" s="585">
        <f t="shared" si="95"/>
        <v>3.0389547658623766</v>
      </c>
      <c r="AQ11" s="586">
        <f t="shared" si="9"/>
        <v>1.3679549691875632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-0.39340118649797851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2.3680071419095401</v>
      </c>
      <c r="D12" s="709">
        <v>-0.20540061948826838</v>
      </c>
      <c r="E12" s="710">
        <v>-0.95630476848795665</v>
      </c>
      <c r="F12" s="708">
        <v>-5.0769799356932176E-2</v>
      </c>
      <c r="G12" s="711">
        <v>0.28792988250692669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2.3680071419095401</v>
      </c>
      <c r="P12" s="633">
        <f t="shared" si="4"/>
        <v>-0.20540061948826838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2.3680071419095401</v>
      </c>
      <c r="S12" s="634">
        <f t="shared" si="80"/>
        <v>-0.20540061948826838</v>
      </c>
      <c r="T12" s="635">
        <f>IF(M12="","",X12*COS(RADIANS(W12)))</f>
        <v>2.3680071419095401</v>
      </c>
      <c r="U12" s="629">
        <f t="shared" si="82"/>
        <v>0</v>
      </c>
      <c r="V12" s="636">
        <f t="shared" si="114"/>
        <v>-0.20540061948826838</v>
      </c>
      <c r="W12" s="585">
        <f>IF(M12="","",IF(Q12-$Q$8&lt;0,360+Q12-$Q$8,Q12-$Q$8))</f>
        <v>0</v>
      </c>
      <c r="X12" s="629">
        <f t="shared" si="83"/>
        <v>2.3680071419095401</v>
      </c>
      <c r="Y12" s="630">
        <f>IF(M12="","",S12)</f>
        <v>-0.20540061948826838</v>
      </c>
      <c r="Z12" s="632">
        <f t="shared" si="6"/>
        <v>0.95630476848795665</v>
      </c>
      <c r="AA12" s="629">
        <f t="shared" si="7"/>
        <v>5.0769799356932176E-2</v>
      </c>
      <c r="AB12" s="629">
        <f t="shared" si="8"/>
        <v>-0.28792988250692669</v>
      </c>
      <c r="AC12" s="636">
        <f t="shared" si="84"/>
        <v>1</v>
      </c>
      <c r="AD12" s="637">
        <f t="shared" si="115"/>
        <v>0.95630476848795665</v>
      </c>
      <c r="AE12" s="629">
        <f t="shared" si="85"/>
        <v>5.0769799356932176E-2</v>
      </c>
      <c r="AF12" s="633">
        <f t="shared" si="86"/>
        <v>-0.28792988250692669</v>
      </c>
      <c r="AG12" s="602">
        <f t="shared" si="87"/>
        <v>9.9999985561788396</v>
      </c>
      <c r="AH12" s="603">
        <f t="shared" si="88"/>
        <v>16.999997545504019</v>
      </c>
      <c r="AI12" s="585">
        <f t="shared" si="89"/>
        <v>-73.265938377121643</v>
      </c>
      <c r="AJ12" s="586">
        <f t="shared" si="90"/>
        <v>93.038954765862371</v>
      </c>
      <c r="AK12" s="635">
        <f t="shared" ref="AK12:AK105" si="211">IF(M12="","",(COS(RADIANS((90-$Q$8)-W12))*AD12)+(-SIN(RADIANS((90-$Q$8)-W12))*AE12))</f>
        <v>0.95630476848795665</v>
      </c>
      <c r="AL12" s="629">
        <f>IF(M12="","",(SIN(RADIANS((90-$Q$8)-W12))*AD12)+(COS(RADIANS((90-$Q$8)-W12))*AE12))</f>
        <v>5.0769799356932176E-2</v>
      </c>
      <c r="AM12" s="634">
        <f t="shared" si="92"/>
        <v>-0.28792988250692669</v>
      </c>
      <c r="AN12" s="581">
        <f>IF(M12="","",DEGREES(ATAN2(-AM12,AL12)))</f>
        <v>9.9999985561788396</v>
      </c>
      <c r="AO12" s="582">
        <f t="shared" si="94"/>
        <v>16.999997545504019</v>
      </c>
      <c r="AP12" s="585">
        <f t="shared" si="95"/>
        <v>3.0389547658623752</v>
      </c>
      <c r="AQ12" s="586">
        <f t="shared" si="9"/>
        <v>0.96262890606904317</v>
      </c>
      <c r="AS12" s="52">
        <f t="shared" si="116"/>
        <v>0</v>
      </c>
      <c r="AT12" s="72">
        <f>IF(M12="","",Y12+(((AS12-$AS$9)*$AS$6)*-1))</f>
        <v>-0.20540061948826838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6.2050152623763406E-3</v>
      </c>
      <c r="C13" s="708">
        <v>3.1186032327418745</v>
      </c>
      <c r="D13" s="709">
        <v>-7.0600212930242198E-2</v>
      </c>
      <c r="E13" s="710">
        <v>-0.95569629702359959</v>
      </c>
      <c r="F13" s="708">
        <v>3.212978487443225E-2</v>
      </c>
      <c r="G13" s="711">
        <v>0.29259573609214234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90</v>
      </c>
      <c r="M13" s="168">
        <f t="shared" si="1"/>
        <v>1.115</v>
      </c>
      <c r="N13" s="632">
        <f t="shared" si="2"/>
        <v>6.2050152623763406E-3</v>
      </c>
      <c r="O13" s="629">
        <f t="shared" si="3"/>
        <v>3.1186032327418745</v>
      </c>
      <c r="P13" s="633">
        <f t="shared" si="4"/>
        <v>-7.0600212930242198E-2</v>
      </c>
      <c r="Q13" s="585">
        <f t="shared" si="113"/>
        <v>89.886000016459562</v>
      </c>
      <c r="R13" s="629">
        <f t="shared" si="79"/>
        <v>3.1186094057259681</v>
      </c>
      <c r="S13" s="634">
        <f t="shared" si="80"/>
        <v>-7.0600212930242198E-2</v>
      </c>
      <c r="T13" s="635">
        <f>IF(M13="","",X13*COS(RADIANS(W13)))</f>
        <v>3.1186032327418745</v>
      </c>
      <c r="U13" s="629">
        <f t="shared" si="82"/>
        <v>-6.2050152623768489E-3</v>
      </c>
      <c r="V13" s="636">
        <f t="shared" si="114"/>
        <v>-7.0600212930242198E-2</v>
      </c>
      <c r="W13" s="585">
        <f t="shared" si="5"/>
        <v>359.88600001645955</v>
      </c>
      <c r="X13" s="629">
        <f t="shared" si="83"/>
        <v>3.1186094057259681</v>
      </c>
      <c r="Y13" s="630">
        <f>IF(M13="","",S13)</f>
        <v>-7.0600212930242198E-2</v>
      </c>
      <c r="Z13" s="632">
        <f t="shared" si="6"/>
        <v>0.95569629702359959</v>
      </c>
      <c r="AA13" s="629">
        <f t="shared" si="7"/>
        <v>-3.212978487443225E-2</v>
      </c>
      <c r="AB13" s="629">
        <f t="shared" si="8"/>
        <v>-0.29259573609214234</v>
      </c>
      <c r="AC13" s="636">
        <f t="shared" si="84"/>
        <v>1</v>
      </c>
      <c r="AD13" s="637">
        <f>IF(M13="","",Z13*(1/SQRT(Z13^2+AA13^2+AB13^2)))</f>
        <v>0.95569629702359959</v>
      </c>
      <c r="AE13" s="629">
        <f t="shared" si="85"/>
        <v>-3.212978487443225E-2</v>
      </c>
      <c r="AF13" s="633">
        <f t="shared" si="86"/>
        <v>-0.29259573609214234</v>
      </c>
      <c r="AG13" s="602">
        <f>IF(M13="","",DEGREES(ATAN2(-AF13,AE13)))</f>
        <v>-6.2665126325875997</v>
      </c>
      <c r="AH13" s="603">
        <f t="shared" si="88"/>
        <v>17.11883605956233</v>
      </c>
      <c r="AI13" s="585">
        <f t="shared" si="89"/>
        <v>-72.98657696545682</v>
      </c>
      <c r="AJ13" s="586">
        <f t="shared" si="90"/>
        <v>88.074484557400837</v>
      </c>
      <c r="AK13" s="635">
        <f t="shared" si="211"/>
        <v>0.955758333105171</v>
      </c>
      <c r="AL13" s="629">
        <f t="shared" si="91"/>
        <v>-3.0228197444152911E-2</v>
      </c>
      <c r="AM13" s="634">
        <f t="shared" si="92"/>
        <v>-0.29259573609214234</v>
      </c>
      <c r="AN13" s="581">
        <f t="shared" si="93"/>
        <v>-5.8983278313212866</v>
      </c>
      <c r="AO13" s="582">
        <f t="shared" si="94"/>
        <v>17.106756671436329</v>
      </c>
      <c r="AP13" s="585">
        <f t="shared" si="95"/>
        <v>-1.8115154590587199</v>
      </c>
      <c r="AQ13" s="586">
        <f t="shared" si="9"/>
        <v>0.73096776488201831</v>
      </c>
      <c r="AS13" s="52">
        <f t="shared" si="116"/>
        <v>-0.11399998354045238</v>
      </c>
      <c r="AT13" s="72">
        <f t="shared" si="10"/>
        <v>-7.0521046275005772E-2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5.7137097862981732E-2</v>
      </c>
      <c r="C14" s="708">
        <v>3.8647893227386154</v>
      </c>
      <c r="D14" s="709">
        <v>-0.21700065447397388</v>
      </c>
      <c r="E14" s="710">
        <v>-0.94857349169047989</v>
      </c>
      <c r="F14" s="708">
        <v>0.19115051224635179</v>
      </c>
      <c r="G14" s="711">
        <v>0.25232877864026637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5.7137097862981732E-2</v>
      </c>
      <c r="O14" s="629">
        <f t="shared" si="3"/>
        <v>3.8647893227386154</v>
      </c>
      <c r="P14" s="633">
        <f t="shared" si="4"/>
        <v>-0.21700065447397388</v>
      </c>
      <c r="Q14" s="585">
        <f t="shared" si="113"/>
        <v>89.153000122291658</v>
      </c>
      <c r="R14" s="629">
        <f t="shared" si="79"/>
        <v>3.8652116574783597</v>
      </c>
      <c r="S14" s="634">
        <f t="shared" si="80"/>
        <v>-0.21700065447397388</v>
      </c>
      <c r="T14" s="635">
        <f t="shared" si="81"/>
        <v>3.8647893227386154</v>
      </c>
      <c r="U14" s="629">
        <f t="shared" si="82"/>
        <v>-5.7137097862981268E-2</v>
      </c>
      <c r="V14" s="636">
        <f t="shared" si="114"/>
        <v>-0.21700065447397388</v>
      </c>
      <c r="W14" s="585">
        <f t="shared" si="5"/>
        <v>359.15300012229164</v>
      </c>
      <c r="X14" s="629">
        <f t="shared" si="83"/>
        <v>3.8652116574783597</v>
      </c>
      <c r="Y14" s="630">
        <f t="shared" ref="Y14:Y75" si="223">IF(M14="","",S14)</f>
        <v>-0.21700065447397388</v>
      </c>
      <c r="Z14" s="632">
        <f t="shared" si="6"/>
        <v>0.94857349169047989</v>
      </c>
      <c r="AA14" s="629">
        <f t="shared" si="7"/>
        <v>-0.19115051224635179</v>
      </c>
      <c r="AB14" s="629">
        <f t="shared" si="8"/>
        <v>-0.25232877864026637</v>
      </c>
      <c r="AC14" s="636">
        <f t="shared" si="84"/>
        <v>1</v>
      </c>
      <c r="AD14" s="637">
        <f>IF(M14="","",Z14*(1/SQRT(Z14^2+AA14^2+AB14^2)))</f>
        <v>0.94857349169047989</v>
      </c>
      <c r="AE14" s="629">
        <f t="shared" si="85"/>
        <v>-0.19115051224635179</v>
      </c>
      <c r="AF14" s="633">
        <f t="shared" si="86"/>
        <v>-0.25232877864026637</v>
      </c>
      <c r="AG14" s="602">
        <f t="shared" si="87"/>
        <v>-37.145582535235214</v>
      </c>
      <c r="AH14" s="603">
        <f t="shared" si="88"/>
        <v>18.454833754802646</v>
      </c>
      <c r="AI14" s="585">
        <f t="shared" si="89"/>
        <v>-75.384639793131058</v>
      </c>
      <c r="AJ14" s="586">
        <f t="shared" si="90"/>
        <v>78.606701373339533</v>
      </c>
      <c r="AK14" s="635">
        <f>IF(M14="","",(COS(RADIANS((90-$Q$8)-W14))*AD14)+(-SIN(RADIANS((90-$Q$8)-W14))*AE14))</f>
        <v>0.95129550821076059</v>
      </c>
      <c r="AL14" s="629">
        <f t="shared" si="91"/>
        <v>-0.17710743498775686</v>
      </c>
      <c r="AM14" s="634">
        <f t="shared" si="92"/>
        <v>-0.25232877864026637</v>
      </c>
      <c r="AN14" s="581">
        <f t="shared" si="93"/>
        <v>-35.064691989724018</v>
      </c>
      <c r="AO14" s="582">
        <f t="shared" si="94"/>
        <v>17.955634915337242</v>
      </c>
      <c r="AP14" s="585">
        <f>IF(M14="","",DEGREES(ATAN2(AK14,AL14)))</f>
        <v>-10.546298748952134</v>
      </c>
      <c r="AQ14" s="586">
        <f t="shared" si="9"/>
        <v>0.5897855831067883</v>
      </c>
      <c r="AS14" s="52">
        <f t="shared" si="116"/>
        <v>-0.84699987770835605</v>
      </c>
      <c r="AT14" s="72">
        <f t="shared" si="10"/>
        <v>-0.2164124601144542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0.14057354997127294</v>
      </c>
      <c r="C15" s="708">
        <v>4.4956163032665639</v>
      </c>
      <c r="D15" s="709">
        <v>-0.6395019287378173</v>
      </c>
      <c r="E15" s="710">
        <v>-0.92328822506518582</v>
      </c>
      <c r="F15" s="708">
        <v>0.33570732193092945</v>
      </c>
      <c r="G15" s="711">
        <v>0.18665328140148507</v>
      </c>
      <c r="H15" s="710">
        <v>0.314</v>
      </c>
      <c r="I15" s="708">
        <v>0.52</v>
      </c>
      <c r="J15" s="570">
        <v>1.129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90</v>
      </c>
      <c r="M15" s="168">
        <f t="shared" si="1"/>
        <v>1.129</v>
      </c>
      <c r="N15" s="632">
        <f t="shared" si="2"/>
        <v>0.14057354997127294</v>
      </c>
      <c r="O15" s="629">
        <f t="shared" si="3"/>
        <v>4.4956163032665639</v>
      </c>
      <c r="P15" s="633">
        <f t="shared" si="4"/>
        <v>-0.6395019287378173</v>
      </c>
      <c r="Q15" s="585">
        <f t="shared" si="113"/>
        <v>88.209000258588375</v>
      </c>
      <c r="R15" s="629">
        <f t="shared" si="79"/>
        <v>4.4978135654057132</v>
      </c>
      <c r="S15" s="634">
        <f t="shared" si="80"/>
        <v>-0.6395019287378173</v>
      </c>
      <c r="T15" s="635">
        <f t="shared" si="81"/>
        <v>4.4956163032665639</v>
      </c>
      <c r="U15" s="629">
        <f t="shared" si="82"/>
        <v>-0.14057354997127328</v>
      </c>
      <c r="V15" s="636">
        <f t="shared" si="114"/>
        <v>-0.6395019287378173</v>
      </c>
      <c r="W15" s="585">
        <f t="shared" ref="W15:W78" si="224">IF(M15="","",IF(Q15-$Q$8&lt;0,360+Q15-$Q$8,Q15-$Q$8))</f>
        <v>358.20900025858839</v>
      </c>
      <c r="X15" s="629">
        <f>IF(M15="","",R15)</f>
        <v>4.4978135654057132</v>
      </c>
      <c r="Y15" s="630">
        <f>IF(M15="","",S15)</f>
        <v>-0.6395019287378173</v>
      </c>
      <c r="Z15" s="632">
        <f t="shared" si="6"/>
        <v>0.92328822506518582</v>
      </c>
      <c r="AA15" s="629">
        <f t="shared" si="7"/>
        <v>-0.33570732193092945</v>
      </c>
      <c r="AB15" s="629">
        <f t="shared" si="8"/>
        <v>-0.18665328140148507</v>
      </c>
      <c r="AC15" s="636">
        <f t="shared" si="84"/>
        <v>1</v>
      </c>
      <c r="AD15" s="637">
        <f t="shared" si="115"/>
        <v>0.92328822506518582</v>
      </c>
      <c r="AE15" s="629">
        <f t="shared" si="85"/>
        <v>-0.33570732193092945</v>
      </c>
      <c r="AF15" s="633">
        <f t="shared" si="86"/>
        <v>-0.18665328140148507</v>
      </c>
      <c r="AG15" s="602">
        <f t="shared" si="87"/>
        <v>-60.925939271616812</v>
      </c>
      <c r="AH15" s="603">
        <f t="shared" si="88"/>
        <v>22.58836671561269</v>
      </c>
      <c r="AI15" s="585">
        <f t="shared" si="89"/>
        <v>-79.242462410270818</v>
      </c>
      <c r="AJ15" s="586">
        <f t="shared" si="90"/>
        <v>70.018748822110012</v>
      </c>
      <c r="AK15" s="635">
        <f t="shared" si="211"/>
        <v>0.9333292957049486</v>
      </c>
      <c r="AL15" s="629">
        <f t="shared" si="91"/>
        <v>-0.30668710165405166</v>
      </c>
      <c r="AM15" s="634">
        <f t="shared" si="92"/>
        <v>-0.18665328140148507</v>
      </c>
      <c r="AN15" s="581">
        <f>IF(M15="","",DEGREES(ATAN2(-AM15,AL15)))</f>
        <v>-58.674827465248249</v>
      </c>
      <c r="AO15" s="582">
        <f t="shared" si="94"/>
        <v>21.040114150687895</v>
      </c>
      <c r="AP15" s="585">
        <f t="shared" si="95"/>
        <v>-18.190251436478363</v>
      </c>
      <c r="AQ15" s="586">
        <f t="shared" si="9"/>
        <v>0.50683896391027194</v>
      </c>
      <c r="AS15" s="52">
        <f t="shared" si="116"/>
        <v>-1.7909997414116106</v>
      </c>
      <c r="AT15" s="72">
        <f t="shared" si="10"/>
        <v>-0.63825817891739256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0.21687577422226981</v>
      </c>
      <c r="C16" s="708">
        <v>4.9141314651663004</v>
      </c>
      <c r="D16" s="709">
        <v>-1.2731038396811802</v>
      </c>
      <c r="E16" s="710">
        <v>-0.87552202170757942</v>
      </c>
      <c r="F16" s="708">
        <v>0.46970990814439473</v>
      </c>
      <c r="G16" s="711">
        <v>0.11328632616541703</v>
      </c>
      <c r="H16" s="710">
        <v>0.314</v>
      </c>
      <c r="I16" s="708">
        <v>0.52</v>
      </c>
      <c r="J16" s="570">
        <v>1.1359999999999999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1.1359999999999999</v>
      </c>
      <c r="N16" s="632">
        <f t="shared" si="2"/>
        <v>0.21687577422226981</v>
      </c>
      <c r="O16" s="629">
        <f t="shared" si="3"/>
        <v>4.9141314651663004</v>
      </c>
      <c r="P16" s="633">
        <f t="shared" si="4"/>
        <v>-1.2731038396811802</v>
      </c>
      <c r="Q16" s="585">
        <f>IF(M16="","",IF(DEGREES(ATAN2(N16,O16))&lt;0,DEGREES(ATAN2(N16,O16))+360,IF(DEGREES(ATAN2(N16,O16))&gt;360,DEGREES(ATAN2(N16,O16))-360,DEGREES(ATAN2(N16,O16)))))</f>
        <v>87.473000364853618</v>
      </c>
      <c r="R16" s="629">
        <f t="shared" si="79"/>
        <v>4.9189148354471435</v>
      </c>
      <c r="S16" s="634">
        <f t="shared" si="80"/>
        <v>-1.2731038396811802</v>
      </c>
      <c r="T16" s="635">
        <f t="shared" si="81"/>
        <v>4.9141314651663004</v>
      </c>
      <c r="U16" s="629">
        <f t="shared" si="82"/>
        <v>-0.21687577422226714</v>
      </c>
      <c r="V16" s="636">
        <f t="shared" si="114"/>
        <v>-1.2731038396811802</v>
      </c>
      <c r="W16" s="585">
        <f>IF(M16="","",IF(Q16-$Q$8&lt;0,360+Q16-$Q$8,Q16-$Q$8))</f>
        <v>357.47300036485365</v>
      </c>
      <c r="X16" s="629">
        <f t="shared" si="83"/>
        <v>4.9189148354471435</v>
      </c>
      <c r="Y16" s="630">
        <f t="shared" si="223"/>
        <v>-1.2731038396811802</v>
      </c>
      <c r="Z16" s="632">
        <f t="shared" si="6"/>
        <v>0.87552202170757942</v>
      </c>
      <c r="AA16" s="629">
        <f t="shared" si="7"/>
        <v>-0.46970990814439473</v>
      </c>
      <c r="AB16" s="629">
        <f t="shared" si="8"/>
        <v>-0.11328632616541703</v>
      </c>
      <c r="AC16" s="636">
        <f t="shared" si="84"/>
        <v>1</v>
      </c>
      <c r="AD16" s="637">
        <f t="shared" si="115"/>
        <v>0.87552202170757942</v>
      </c>
      <c r="AE16" s="629">
        <f t="shared" si="85"/>
        <v>-0.46970990814439473</v>
      </c>
      <c r="AF16" s="633">
        <f t="shared" si="86"/>
        <v>-0.11328632616541703</v>
      </c>
      <c r="AG16" s="602">
        <f t="shared" si="87"/>
        <v>-76.440162149138402</v>
      </c>
      <c r="AH16" s="603">
        <f t="shared" si="88"/>
        <v>28.893182952140144</v>
      </c>
      <c r="AI16" s="585">
        <f t="shared" si="89"/>
        <v>-83.495207178752366</v>
      </c>
      <c r="AJ16" s="586">
        <f t="shared" si="90"/>
        <v>61.786831015601521</v>
      </c>
      <c r="AK16" s="635">
        <f t="shared" si="211"/>
        <v>0.89538021345058527</v>
      </c>
      <c r="AL16" s="629">
        <f t="shared" si="91"/>
        <v>-0.43065122972670944</v>
      </c>
      <c r="AM16" s="634">
        <f t="shared" si="92"/>
        <v>-0.11328632616541703</v>
      </c>
      <c r="AN16" s="581">
        <f t="shared" si="93"/>
        <v>-75.261780816358183</v>
      </c>
      <c r="AO16" s="582">
        <f t="shared" si="94"/>
        <v>26.442691150875998</v>
      </c>
      <c r="AP16" s="585">
        <f t="shared" si="95"/>
        <v>-25.686169349252115</v>
      </c>
      <c r="AQ16" s="586">
        <f t="shared" si="9"/>
        <v>0.46345118563436144</v>
      </c>
      <c r="AS16" s="52">
        <f t="shared" si="116"/>
        <v>-2.5269996351463533</v>
      </c>
      <c r="AT16" s="72">
        <f t="shared" si="10"/>
        <v>-1.2713489788234398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1.1359999999999999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0.24692480010623977</v>
      </c>
      <c r="C17" s="708">
        <v>5.0577913417578939</v>
      </c>
      <c r="D17" s="709">
        <v>-2.0199060920367726</v>
      </c>
      <c r="E17" s="710">
        <v>-0.81945178572738331</v>
      </c>
      <c r="F17" s="708">
        <v>0.57295824812613494</v>
      </c>
      <c r="G17" s="711">
        <v>1.4751839628780822E-2</v>
      </c>
      <c r="H17" s="710">
        <v>0.314</v>
      </c>
      <c r="I17" s="708">
        <v>0.52</v>
      </c>
      <c r="J17" s="570">
        <v>1.143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1.143</v>
      </c>
      <c r="N17" s="632">
        <f t="shared" si="2"/>
        <v>0.24692480010623977</v>
      </c>
      <c r="O17" s="629">
        <f t="shared" si="3"/>
        <v>5.0577913417578939</v>
      </c>
      <c r="P17" s="633">
        <f t="shared" si="4"/>
        <v>-2.0199060920367726</v>
      </c>
      <c r="Q17" s="585">
        <f>IF(M17="","",IF(DEGREES(ATAN2(N17,O17))&lt;0,DEGREES(ATAN2(N17,O17))+360,IF(DEGREES(ATAN2(N17,O17))&gt;360,DEGREES(ATAN2(N17,O17))-360,DEGREES(ATAN2(N17,O17)))))</f>
        <v>87.205000403548027</v>
      </c>
      <c r="R17" s="629">
        <f>IF(M17="","",SQRT(N17^2+O17^2))</f>
        <v>5.0638152724668606</v>
      </c>
      <c r="S17" s="634">
        <f>IF(M17="","",P17)</f>
        <v>-2.0199060920367726</v>
      </c>
      <c r="T17" s="635">
        <f>IF(M17="","",X17*COS(RADIANS(W17)))</f>
        <v>5.0577913417578939</v>
      </c>
      <c r="U17" s="629">
        <f>IF(M17="","",X17*SIN(RADIANS(W17)))</f>
        <v>-0.24692480010624165</v>
      </c>
      <c r="V17" s="636">
        <f>IF(M17="","",Y17)</f>
        <v>-2.0199060920367726</v>
      </c>
      <c r="W17" s="585">
        <f t="shared" si="224"/>
        <v>357.20500040354801</v>
      </c>
      <c r="X17" s="629">
        <f>IF(M17="","",R17)</f>
        <v>5.0638152724668606</v>
      </c>
      <c r="Y17" s="630">
        <f t="shared" si="223"/>
        <v>-2.0199060920367726</v>
      </c>
      <c r="Z17" s="632">
        <f t="shared" si="6"/>
        <v>0.81945178572738331</v>
      </c>
      <c r="AA17" s="629">
        <f t="shared" si="7"/>
        <v>-0.57295824812613494</v>
      </c>
      <c r="AB17" s="629">
        <f t="shared" si="8"/>
        <v>-1.4751839628780822E-2</v>
      </c>
      <c r="AC17" s="636">
        <f>IF(M17="","",SQRT(Z17^2+AA17^2+AB17^2))</f>
        <v>1</v>
      </c>
      <c r="AD17" s="637">
        <f>IF(M17="","",Z17*(1/SQRT(Z17^2+AA17^2+AB17^2)))</f>
        <v>0.81945178572738331</v>
      </c>
      <c r="AE17" s="629">
        <f>IF(M17="","",AA17*(1/SQRT(Z17^2+AA17^2+AB17^2)))</f>
        <v>-0.57295824812613494</v>
      </c>
      <c r="AF17" s="633">
        <f>IF(M17="","",AB17*(1/SQRT(Z17^2+AA17^2+AB17^2)))</f>
        <v>-1.4751839628780822E-2</v>
      </c>
      <c r="AG17" s="602">
        <f>IF(M17="","",DEGREES(ATAN2(-AF17,AE17)))</f>
        <v>-88.525143038872315</v>
      </c>
      <c r="AH17" s="603">
        <f>IF(M17="","",DEGREES(ACOS(AD17)))</f>
        <v>34.970047002422284</v>
      </c>
      <c r="AI17" s="585">
        <f>IF(M17="","",DEGREES(-ACOS(-AF17)))</f>
        <v>-89.154751190606945</v>
      </c>
      <c r="AJ17" s="586">
        <f>IF(M17="","",DEGREES(ATAN2(-AE17,AD17)))</f>
        <v>55.038868806209116</v>
      </c>
      <c r="AK17" s="635">
        <f>IF(M17="","",(COS(RADIANS((90-$Q$8)-W17))*AD17)+(-SIN(RADIANS((90-$Q$8)-W17))*AE17))</f>
        <v>0.84641589732395239</v>
      </c>
      <c r="AL17" s="629">
        <f>IF(M17="","",(SIN(RADIANS((90-$Q$8)-W17))*AD17)+(COS(RADIANS((90-$Q$8)-W17))*AE17))</f>
        <v>-0.53231805528730214</v>
      </c>
      <c r="AM17" s="634">
        <f>IF(M17="","",AF17)</f>
        <v>-1.4751839628780822E-2</v>
      </c>
      <c r="AN17" s="581">
        <f>IF(M17="","",DEGREES(ATAN2(-AM17,AL17)))</f>
        <v>-88.412599625742629</v>
      </c>
      <c r="AO17" s="582">
        <f t="shared" si="94"/>
        <v>32.176043602513566</v>
      </c>
      <c r="AP17" s="585">
        <f>IF(M17="","",DEGREES(ATAN2(AK17,AL17)))</f>
        <v>-32.166131597338882</v>
      </c>
      <c r="AQ17" s="586">
        <f t="shared" si="9"/>
        <v>0.45019014211149172</v>
      </c>
      <c r="AS17" s="52">
        <f t="shared" si="116"/>
        <v>-2.7949995964519871</v>
      </c>
      <c r="AT17" s="72">
        <f t="shared" si="10"/>
        <v>-2.0179651200947921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1.143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0.98169555163116873</v>
      </c>
      <c r="C18" s="708">
        <v>2.1549319404663718</v>
      </c>
      <c r="D18" s="709">
        <v>-0.18277608766431061</v>
      </c>
      <c r="E18" s="710">
        <v>-7.1988848729669916E-2</v>
      </c>
      <c r="F18" s="708">
        <v>-0.15802305732695876</v>
      </c>
      <c r="G18" s="711">
        <v>0.98480775738801807</v>
      </c>
      <c r="H18" s="710">
        <v>0.26250000000000001</v>
      </c>
      <c r="I18" s="708">
        <v>0.40699999999999997</v>
      </c>
      <c r="J18" s="570">
        <v>1.21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1.21</v>
      </c>
      <c r="N18" s="632">
        <f t="shared" si="2"/>
        <v>0.98169555163116873</v>
      </c>
      <c r="O18" s="629">
        <f t="shared" si="3"/>
        <v>2.1549319404663718</v>
      </c>
      <c r="P18" s="633">
        <f t="shared" si="4"/>
        <v>-0.18277608766431061</v>
      </c>
      <c r="Q18" s="585">
        <f t="shared" si="113"/>
        <v>65.508003536206772</v>
      </c>
      <c r="R18" s="629">
        <f>IF(M18="","",SQRT(N18^2+O18^2))</f>
        <v>2.3680071419095396</v>
      </c>
      <c r="S18" s="634">
        <f>IF(M18="","",P18)</f>
        <v>-0.18277608766431061</v>
      </c>
      <c r="T18" s="635">
        <f>IF(M18="","",X18*COS(RADIANS(W18)))</f>
        <v>2.1549319404663718</v>
      </c>
      <c r="U18" s="629">
        <f>IF(M18="","",X18*SIN(RADIANS(W18)))</f>
        <v>-0.98169555163116884</v>
      </c>
      <c r="V18" s="636">
        <f>IF(M18="","",Y18)</f>
        <v>-0.18277608766431061</v>
      </c>
      <c r="W18" s="585">
        <f t="shared" si="224"/>
        <v>335.50800353620679</v>
      </c>
      <c r="X18" s="629">
        <f>IF(M18="","",R18)</f>
        <v>2.3680071419095396</v>
      </c>
      <c r="Y18" s="630">
        <f t="shared" si="223"/>
        <v>-0.18277608766431061</v>
      </c>
      <c r="Z18" s="632">
        <f t="shared" si="6"/>
        <v>7.1988848729669916E-2</v>
      </c>
      <c r="AA18" s="629">
        <f t="shared" si="7"/>
        <v>0.15802305732695876</v>
      </c>
      <c r="AB18" s="629">
        <f t="shared" si="8"/>
        <v>-0.98480775738801807</v>
      </c>
      <c r="AC18" s="636">
        <f>IF(M18="","",SQRT(Z18^2+AA18^2+AB18^2))</f>
        <v>1</v>
      </c>
      <c r="AD18" s="637">
        <f>IF(M18="","",Z18*(1/SQRT(Z18^2+AA18^2+AB18^2)))</f>
        <v>7.1988848729669916E-2</v>
      </c>
      <c r="AE18" s="629">
        <f>IF(M18="","",AA18*(1/SQRT(Z18^2+AA18^2+AB18^2)))</f>
        <v>0.15802305732695876</v>
      </c>
      <c r="AF18" s="633">
        <f>IF(M18="","",AB18*(1/SQRT(Z18^2+AA18^2+AB18^2)))</f>
        <v>-0.98480775738801807</v>
      </c>
      <c r="AG18" s="602">
        <f>IF(M18="","",DEGREES(ATAN2(-AF18,AE18)))</f>
        <v>9.1160188950913881</v>
      </c>
      <c r="AH18" s="603">
        <f>IF(M18="","",DEGREES(ACOS(AD18)))</f>
        <v>85.871771861779379</v>
      </c>
      <c r="AI18" s="585">
        <f>IF(M18="","",DEGREES(-ACOS(-AF18)))</f>
        <v>-9.9999985561871902</v>
      </c>
      <c r="AJ18" s="586">
        <f>IF(M18="","",DEGREES(ATAN2(-AE18,AD18)))</f>
        <v>155.50792870448421</v>
      </c>
      <c r="AK18" s="635">
        <f>IF(M18="","",(COS(RADIANS((90-$Q$8)-W18))*AD18)+(-SIN(RADIANS((90-$Q$8)-W18))*AE18))</f>
        <v>2.267948966822031E-7</v>
      </c>
      <c r="AL18" s="629">
        <f>IF(M18="","",(SIN(RADIANS((90-$Q$8)-W18))*AD18)+(COS(RADIANS((90-$Q$8)-W18))*AE18))</f>
        <v>0.17364815285032881</v>
      </c>
      <c r="AM18" s="634">
        <f>IF(M18="","",AF18)</f>
        <v>-0.98480775738801807</v>
      </c>
      <c r="AN18" s="581">
        <f>IF(M18="","",DEGREES(ATAN2(-AM18,AL18)))</f>
        <v>9.9999985561788414</v>
      </c>
      <c r="AO18" s="582">
        <f t="shared" si="94"/>
        <v>0</v>
      </c>
      <c r="AP18" s="585">
        <f>IF(M18="","",DEGREES(ATAN2(AK18,AL18)))</f>
        <v>89.999925168277457</v>
      </c>
      <c r="AQ18" s="586">
        <f t="shared" si="9"/>
        <v>0.96262890606904328</v>
      </c>
      <c r="AS18" s="52">
        <f t="shared" si="116"/>
        <v>-24.491996463793214</v>
      </c>
      <c r="AT18" s="72">
        <f t="shared" si="10"/>
        <v>-0.16576775678667643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1.1100000000000001</v>
      </c>
      <c r="II18" s="734" cm="1">
        <f t="array" ref="II18">IFERROR(ROUND(VALUE(IF($IH18&lt;1,$IH18+LARGE((IF($M$9:$M$150="",0,$M$9:$M$150)-MOD(IF($M$9:$M$150="",0,$M$9:$M$150),1)),1),$IH18)),4),"")</f>
        <v>1.1100000000000001</v>
      </c>
      <c r="IJ18" s="533">
        <f t="shared" si="112"/>
        <v>1613</v>
      </c>
      <c r="IK18" s="533" t="str">
        <f t="shared" si="66"/>
        <v>Inactive</v>
      </c>
      <c r="IL18" s="727">
        <f t="shared" si="225"/>
        <v>24.491996463793214</v>
      </c>
      <c r="IM18" s="759">
        <v>1.5358024715418601E-2</v>
      </c>
      <c r="IN18" s="5">
        <f t="shared" si="226"/>
        <v>0.22</v>
      </c>
      <c r="IO18" s="771">
        <v>110</v>
      </c>
      <c r="IP18" s="9">
        <f t="shared" si="227"/>
        <v>-2.3680071419095401</v>
      </c>
      <c r="IQ18" s="5">
        <f t="shared" si="228"/>
        <v>-0.20540061948826838</v>
      </c>
      <c r="IR18" s="5">
        <f t="shared" si="71"/>
        <v>0.314</v>
      </c>
      <c r="IS18" s="5">
        <f t="shared" si="229"/>
        <v>0.30027969730521836</v>
      </c>
      <c r="IT18" s="727">
        <f t="shared" si="230"/>
        <v>-9.9999985561788396</v>
      </c>
      <c r="IU18" s="9">
        <f t="shared" si="231"/>
        <v>-2.3680071419095396</v>
      </c>
      <c r="IV18" s="5">
        <f t="shared" si="232"/>
        <v>-0.18277608766431061</v>
      </c>
      <c r="IW18" s="5">
        <f t="shared" si="76"/>
        <v>0.26250000000000001</v>
      </c>
      <c r="IX18" s="5">
        <f t="shared" si="233"/>
        <v>0.26250000000000001</v>
      </c>
      <c r="IY18" s="762">
        <f t="shared" si="234"/>
        <v>-9.9999985561788414</v>
      </c>
    </row>
    <row r="19" spans="1:269" ht="15" customHeight="1" thickBot="1" x14ac:dyDescent="0.3">
      <c r="A19" s="79"/>
      <c r="B19" s="707">
        <v>1.0980207306352145</v>
      </c>
      <c r="C19" s="708">
        <v>2.9189167683539354</v>
      </c>
      <c r="D19" s="709">
        <v>-4.6142440943700791E-2</v>
      </c>
      <c r="E19" s="710">
        <v>-4.3016545186339E-3</v>
      </c>
      <c r="F19" s="708">
        <v>-1.1434633127686437E-2</v>
      </c>
      <c r="G19" s="711">
        <v>0.99992536968197665</v>
      </c>
      <c r="H19" s="710">
        <v>0.26250000000000001</v>
      </c>
      <c r="I19" s="708">
        <v>0.40699999999999997</v>
      </c>
      <c r="J19" s="570">
        <v>1.2150000000000001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1.2150000000000001</v>
      </c>
      <c r="N19" s="632">
        <f t="shared" si="2"/>
        <v>1.0980207306352145</v>
      </c>
      <c r="O19" s="629">
        <f t="shared" si="3"/>
        <v>2.9189167683539354</v>
      </c>
      <c r="P19" s="633">
        <f t="shared" si="4"/>
        <v>-4.6142440943700791E-2</v>
      </c>
      <c r="Q19" s="585">
        <f t="shared" si="113"/>
        <v>69.38500297643732</v>
      </c>
      <c r="R19" s="629">
        <f>IF(M19="","",SQRT(N19^2+O19^2))</f>
        <v>3.1186094057259677</v>
      </c>
      <c r="S19" s="634">
        <f>IF(M19="","",P19)</f>
        <v>-4.6142440943700791E-2</v>
      </c>
      <c r="T19" s="635">
        <f>IF(M19="","",X19*COS(RADIANS(W19)))</f>
        <v>2.9189167683539354</v>
      </c>
      <c r="U19" s="629">
        <f>IF(M19="","",X19*SIN(RADIANS(W19)))</f>
        <v>-1.0980207306352157</v>
      </c>
      <c r="V19" s="636">
        <f>IF(M19="","",Y19)</f>
        <v>-4.6142440943700791E-2</v>
      </c>
      <c r="W19" s="585">
        <f t="shared" si="224"/>
        <v>339.38500297643731</v>
      </c>
      <c r="X19" s="629">
        <f>IF(M19="","",R19)</f>
        <v>3.1186094057259677</v>
      </c>
      <c r="Y19" s="630">
        <f t="shared" si="223"/>
        <v>-4.6142440943700791E-2</v>
      </c>
      <c r="Z19" s="632">
        <f t="shared" si="6"/>
        <v>4.3016545186339E-3</v>
      </c>
      <c r="AA19" s="629">
        <f t="shared" si="7"/>
        <v>1.1434633127686437E-2</v>
      </c>
      <c r="AB19" s="629">
        <f t="shared" si="8"/>
        <v>-0.99992536968197665</v>
      </c>
      <c r="AC19" s="636">
        <f>IF(M19="","",SQRT(Z19^2+AA19^2+AB19^2))</f>
        <v>1</v>
      </c>
      <c r="AD19" s="637">
        <f>IF(M19="","",Z19*(1/SQRT(Z19^2+AA19^2+AB19^2)))</f>
        <v>4.3016545186339E-3</v>
      </c>
      <c r="AE19" s="629">
        <f>IF(M19="","",AA19*(1/SQRT(Z19^2+AA19^2+AB19^2)))</f>
        <v>1.1434633127686437E-2</v>
      </c>
      <c r="AF19" s="633">
        <f>IF(M19="","",AB19*(1/SQRT(Z19^2+AA19^2+AB19^2)))</f>
        <v>-0.99992536968197665</v>
      </c>
      <c r="AG19" s="602">
        <f>IF(M19="","",DEGREES(ATAN2(-AF19,AE19)))</f>
        <v>0.65517655843573441</v>
      </c>
      <c r="AH19" s="603">
        <f>IF(M19="","",DEGREES(ACOS(AD19)))</f>
        <v>89.7535325910399</v>
      </c>
      <c r="AI19" s="585">
        <f>IF(M19="","",DEGREES(-ACOS(-AF19)))</f>
        <v>-0.69999989905280213</v>
      </c>
      <c r="AJ19" s="586">
        <f>IF(M19="","",DEGREES(ATAN2(-AE19,AD19)))</f>
        <v>159.38393934449957</v>
      </c>
      <c r="AK19" s="635">
        <f>IF(M19="","",(COS(RADIANS((90-$Q$8)-W19))*AD19)+(-SIN(RADIANS((90-$Q$8)-W19))*AE19))</f>
        <v>2.2679489671342812E-7</v>
      </c>
      <c r="AL19" s="629">
        <f>IF(M19="","",(SIN(RADIANS((90-$Q$8)-W19))*AD19)+(COS(RADIANS((90-$Q$8)-W19))*AE19))</f>
        <v>1.221699907141814E-2</v>
      </c>
      <c r="AM19" s="634">
        <f>IF(M19="","",AF19)</f>
        <v>-0.99992536968197665</v>
      </c>
      <c r="AN19" s="581">
        <f>IF(M19="","",DEGREES(ATAN2(-AM19,AL19)))</f>
        <v>0.69999989893251613</v>
      </c>
      <c r="AO19" s="582">
        <f t="shared" si="94"/>
        <v>0</v>
      </c>
      <c r="AP19" s="585">
        <f>IF(M19="","",DEGREES(ATAN2(AK19,AL19)))</f>
        <v>89.998936368062303</v>
      </c>
      <c r="AQ19" s="586">
        <f t="shared" si="9"/>
        <v>0.73096776488201831</v>
      </c>
      <c r="AS19" s="52">
        <f t="shared" si="116"/>
        <v>-20.614997023562694</v>
      </c>
      <c r="AT19" s="72">
        <f t="shared" si="10"/>
        <v>-3.182647078844892E-2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1.2150000000000001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1.115</v>
      </c>
      <c r="II19" s="734" cm="1">
        <f t="array" ref="II19">IFERROR(ROUND(VALUE(IF($IH19&lt;1,$IH19+LARGE((IF($M$9:$M$150="",0,$M$9:$M$150)-MOD(IF($M$9:$M$150="",0,$M$9:$M$150),1)),1),$IH19)),4),"")</f>
        <v>1.115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20.500997040022241</v>
      </c>
      <c r="IM19" s="759">
        <v>1.32350169739866E-2</v>
      </c>
      <c r="IN19" s="5">
        <f t="shared" si="226"/>
        <v>0.22</v>
      </c>
      <c r="IO19" s="771">
        <v>110</v>
      </c>
      <c r="IP19" s="9">
        <f t="shared" si="227"/>
        <v>-3.1186094057259681</v>
      </c>
      <c r="IQ19" s="5">
        <f t="shared" si="228"/>
        <v>-7.0600212930242198E-2</v>
      </c>
      <c r="IR19" s="5">
        <f t="shared" si="71"/>
        <v>0.314</v>
      </c>
      <c r="IS19" s="5">
        <f t="shared" si="229"/>
        <v>0.30010811659502368</v>
      </c>
      <c r="IT19" s="727">
        <f t="shared" si="230"/>
        <v>5.8983278313212866</v>
      </c>
      <c r="IU19" s="9">
        <f t="shared" si="231"/>
        <v>-3.1186094057259677</v>
      </c>
      <c r="IV19" s="5">
        <f t="shared" si="232"/>
        <v>-4.6142440943700791E-2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-0.69999989893251613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0.98024074230135794</v>
      </c>
      <c r="C20" s="708">
        <v>3.7388486522242497</v>
      </c>
      <c r="D20" s="709">
        <v>-0.17864468387111682</v>
      </c>
      <c r="E20" s="710">
        <v>-0.90497661824786846</v>
      </c>
      <c r="F20" s="708">
        <v>0.31905400003782125</v>
      </c>
      <c r="G20" s="711">
        <v>0.28146379071652861</v>
      </c>
      <c r="H20" s="710">
        <v>0.26600000000000001</v>
      </c>
      <c r="I20" s="708">
        <v>0.52</v>
      </c>
      <c r="J20" s="570">
        <v>1.222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110</v>
      </c>
      <c r="M20" s="168">
        <f t="shared" si="1"/>
        <v>1.222</v>
      </c>
      <c r="N20" s="632">
        <f t="shared" si="2"/>
        <v>0.98024074230135794</v>
      </c>
      <c r="O20" s="629">
        <f t="shared" si="3"/>
        <v>3.7388486522242497</v>
      </c>
      <c r="P20" s="633">
        <f t="shared" si="4"/>
        <v>-0.17864468387111682</v>
      </c>
      <c r="Q20" s="585">
        <f t="shared" si="113"/>
        <v>75.309002121117672</v>
      </c>
      <c r="R20" s="629">
        <f>IF(M20="","",SQRT(N20^2+O20^2))</f>
        <v>3.8652116574783593</v>
      </c>
      <c r="S20" s="634">
        <f>IF(M20="","",P20)</f>
        <v>-0.17864468387111682</v>
      </c>
      <c r="T20" s="635">
        <f>IF(M20="","",X20*COS(RADIANS(W20)))</f>
        <v>3.7388486522242497</v>
      </c>
      <c r="U20" s="629">
        <f>IF(M20="","",X20*SIN(RADIANS(W20)))</f>
        <v>-0.9802407423013576</v>
      </c>
      <c r="V20" s="636">
        <f>IF(M20="","",Y20)</f>
        <v>-0.17864468387111682</v>
      </c>
      <c r="W20" s="585">
        <f t="shared" si="224"/>
        <v>345.30900212111766</v>
      </c>
      <c r="X20" s="629">
        <f>IF(M20="","",R20)</f>
        <v>3.8652116574783593</v>
      </c>
      <c r="Y20" s="630">
        <f t="shared" si="223"/>
        <v>-0.17864468387111682</v>
      </c>
      <c r="Z20" s="632">
        <f t="shared" si="6"/>
        <v>0.90497661824786846</v>
      </c>
      <c r="AA20" s="629">
        <f t="shared" si="7"/>
        <v>-0.31905400003782125</v>
      </c>
      <c r="AB20" s="629">
        <f t="shared" si="8"/>
        <v>-0.28146379071652861</v>
      </c>
      <c r="AC20" s="636">
        <f>IF(M20="","",SQRT(Z20^2+AA20^2+AB20^2))</f>
        <v>1</v>
      </c>
      <c r="AD20" s="637">
        <f>IF(M20="","",Z20*(1/SQRT(Z20^2+AA20^2+AB20^2)))</f>
        <v>0.90497661824786846</v>
      </c>
      <c r="AE20" s="629">
        <f>IF(M20="","",AA20*(1/SQRT(Z20^2+AA20^2+AB20^2)))</f>
        <v>-0.31905400003782125</v>
      </c>
      <c r="AF20" s="633">
        <f>IF(M20="","",AB20*(1/SQRT(Z20^2+AA20^2+AB20^2)))</f>
        <v>-0.28146379071652861</v>
      </c>
      <c r="AG20" s="602">
        <f>IF(M20="","",DEGREES(ATAN2(-AF20,AE20)))</f>
        <v>-48.581832122980721</v>
      </c>
      <c r="AH20" s="603">
        <f>IF(M20="","",DEGREES(ACOS(AD20)))</f>
        <v>25.179865885097186</v>
      </c>
      <c r="AI20" s="585">
        <f>IF(M20="","",DEGREES(-ACOS(-AF20)))</f>
        <v>-73.65241224956948</v>
      </c>
      <c r="AJ20" s="586">
        <f>IF(M20="","",DEGREES(ATAN2(-AE20,AD20)))</f>
        <v>70.579644706636458</v>
      </c>
      <c r="AK20" s="635">
        <f>IF(M20="","",(COS(RADIANS((90-$Q$8)-W20))*AD20)+(-SIN(RADIANS((90-$Q$8)-W20))*AE20))</f>
        <v>0.95630476848795665</v>
      </c>
      <c r="AL20" s="629">
        <f>IF(M20="","",(SIN(RADIANS((90-$Q$8)-W20))*AD20)+(COS(RADIANS((90-$Q$8)-W20))*AE20))</f>
        <v>-7.9115891467377658E-2</v>
      </c>
      <c r="AM20" s="634">
        <f>IF(M20="","",AF20)</f>
        <v>-0.28146379071652861</v>
      </c>
      <c r="AN20" s="581">
        <f>IF(M20="","",DEGREES(ATAN2(-AM20,AL20)))</f>
        <v>-15.699997733200785</v>
      </c>
      <c r="AO20" s="582">
        <f t="shared" si="94"/>
        <v>16.999997545504019</v>
      </c>
      <c r="AP20" s="585">
        <f>IF(M20="","",DEGREES(ATAN2(AK20,AL20)))</f>
        <v>-4.7293574144812105</v>
      </c>
      <c r="AQ20" s="586">
        <f t="shared" si="9"/>
        <v>0.5897855831067883</v>
      </c>
      <c r="AS20" s="52">
        <f t="shared" si="116"/>
        <v>-14.690997878882342</v>
      </c>
      <c r="AT20" s="72">
        <f t="shared" si="10"/>
        <v>-0.16844260201078184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1.222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1.1220000000000001</v>
      </c>
      <c r="II20" s="734" cm="1">
        <f t="array" ref="II20">IFERROR(ROUND(VALUE(IF($IH20&lt;1,$IH20+LARGE((IF($M$9:$M$150="",0,$M$9:$M$150)-MOD(IF($M$9:$M$150="",0,$M$9:$M$150),1)),1),$IH20)),4),"")</f>
        <v>1.1220000000000001</v>
      </c>
      <c r="IJ20" s="533">
        <f t="shared" si="112"/>
        <v>1613</v>
      </c>
      <c r="IK20" s="533">
        <f t="shared" si="66"/>
        <v>1313</v>
      </c>
      <c r="IL20" s="727">
        <f t="shared" si="225"/>
        <v>13.843998001173986</v>
      </c>
      <c r="IM20" s="759">
        <v>9.1323774384994508E-3</v>
      </c>
      <c r="IN20" s="5">
        <f t="shared" si="226"/>
        <v>0.22</v>
      </c>
      <c r="IO20" s="771">
        <v>110</v>
      </c>
      <c r="IP20" s="9">
        <f t="shared" si="227"/>
        <v>-3.8652116574783597</v>
      </c>
      <c r="IQ20" s="5">
        <f t="shared" si="228"/>
        <v>-0.21700065447397388</v>
      </c>
      <c r="IR20" s="5">
        <f t="shared" si="71"/>
        <v>0.314</v>
      </c>
      <c r="IS20" s="5">
        <f t="shared" si="229"/>
        <v>0.29870678957817881</v>
      </c>
      <c r="IT20" s="727">
        <f t="shared" si="230"/>
        <v>35.064691989724018</v>
      </c>
      <c r="IU20" s="9">
        <f t="shared" si="231"/>
        <v>-3.8652116574783593</v>
      </c>
      <c r="IV20" s="5">
        <f t="shared" si="232"/>
        <v>-0.17864468387111682</v>
      </c>
      <c r="IW20" s="5">
        <f t="shared" si="76"/>
        <v>0.26600000000000001</v>
      </c>
      <c r="IX20" s="5">
        <f t="shared" si="233"/>
        <v>0.2543770684177965</v>
      </c>
      <c r="IY20" s="762">
        <f t="shared" si="234"/>
        <v>15.699997733200785</v>
      </c>
      <c r="JA20" s="31"/>
      <c r="JB20" s="985" t="s">
        <v>369</v>
      </c>
      <c r="JC20" s="986"/>
      <c r="JD20" s="986"/>
      <c r="JE20" s="986"/>
      <c r="JF20" s="1235" t="s">
        <v>370</v>
      </c>
      <c r="JG20" s="1236"/>
      <c r="JH20" s="1236"/>
      <c r="JI20" s="1237"/>
    </row>
    <row r="21" spans="1:269" ht="15" customHeight="1" x14ac:dyDescent="0.25">
      <c r="A21" s="79"/>
      <c r="B21" s="707">
        <v>1.0897950854153435</v>
      </c>
      <c r="C21" s="708">
        <v>4.3637911889722938</v>
      </c>
      <c r="D21" s="709">
        <v>-0.6002131082718497</v>
      </c>
      <c r="E21" s="710">
        <v>-0.875309706791774</v>
      </c>
      <c r="F21" s="708">
        <v>0.39741192216885224</v>
      </c>
      <c r="G21" s="711">
        <v>0.2754935231800506</v>
      </c>
      <c r="H21" s="710">
        <v>0.26600000000000001</v>
      </c>
      <c r="I21" s="708">
        <v>0.52</v>
      </c>
      <c r="J21" s="570">
        <v>1.2290000000000001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1.2290000000000001</v>
      </c>
      <c r="N21" s="632">
        <f t="shared" si="2"/>
        <v>1.0897950854153435</v>
      </c>
      <c r="O21" s="629">
        <f t="shared" si="3"/>
        <v>4.3637911889722938</v>
      </c>
      <c r="P21" s="633">
        <f t="shared" si="4"/>
        <v>-0.6002131082718497</v>
      </c>
      <c r="Q21" s="585">
        <f t="shared" si="113"/>
        <v>75.97800202452602</v>
      </c>
      <c r="R21" s="629">
        <f>IF(M21="","",SQRT(N21^2+O21^2))</f>
        <v>4.4978135654057141</v>
      </c>
      <c r="S21" s="634">
        <f>IF(M21="","",P21)</f>
        <v>-0.6002131082718497</v>
      </c>
      <c r="T21" s="635">
        <f>IF(M21="","",X21*COS(RADIANS(W21)))</f>
        <v>4.3637911889722929</v>
      </c>
      <c r="U21" s="629">
        <f>IF(M21="","",X21*SIN(RADIANS(W21)))</f>
        <v>-1.0897950854153473</v>
      </c>
      <c r="V21" s="636">
        <f>IF(M21="","",Y21)</f>
        <v>-0.6002131082718497</v>
      </c>
      <c r="W21" s="585">
        <f t="shared" si="224"/>
        <v>345.97800202452601</v>
      </c>
      <c r="X21" s="629">
        <f>IF(M21="","",R21)</f>
        <v>4.4978135654057141</v>
      </c>
      <c r="Y21" s="630">
        <f t="shared" si="223"/>
        <v>-0.6002131082718497</v>
      </c>
      <c r="Z21" s="632">
        <f t="shared" si="6"/>
        <v>0.875309706791774</v>
      </c>
      <c r="AA21" s="629">
        <f t="shared" si="7"/>
        <v>-0.39741192216885224</v>
      </c>
      <c r="AB21" s="629">
        <f t="shared" si="8"/>
        <v>-0.2754935231800506</v>
      </c>
      <c r="AC21" s="636">
        <f>IF(M21="","",SQRT(Z21^2+AA21^2+AB21^2))</f>
        <v>1</v>
      </c>
      <c r="AD21" s="637">
        <f>IF(M21="","",Z21*(1/SQRT(Z21^2+AA21^2+AB21^2)))</f>
        <v>0.875309706791774</v>
      </c>
      <c r="AE21" s="629">
        <f>IF(M21="","",AA21*(1/SQRT(Z21^2+AA21^2+AB21^2)))</f>
        <v>-0.39741192216885224</v>
      </c>
      <c r="AF21" s="633">
        <f>IF(M21="","",AB21*(1/SQRT(Z21^2+AA21^2+AB21^2)))</f>
        <v>-0.2754935231800506</v>
      </c>
      <c r="AG21" s="602">
        <f>IF(M21="","",DEGREES(ATAN2(-AF21,AE21)))</f>
        <v>-55.269562081962931</v>
      </c>
      <c r="AH21" s="603">
        <f>IF(M21="","",DEGREES(ACOS(AD21)))</f>
        <v>28.918349463190101</v>
      </c>
      <c r="AI21" s="585">
        <f>IF(M21="","",DEGREES(-ACOS(-AF21)))</f>
        <v>-74.008572926950762</v>
      </c>
      <c r="AJ21" s="586">
        <f>IF(M21="","",DEGREES(ATAN2(-AE21,AD21)))</f>
        <v>65.580794570971037</v>
      </c>
      <c r="AK21" s="635">
        <f>IF(M21="","",(COS(RADIANS((90-$Q$8)-W21))*AD21)+(-SIN(RADIANS((90-$Q$8)-W21))*AE21))</f>
        <v>0.94551859118716852</v>
      </c>
      <c r="AL21" s="629">
        <f>IF(M21="","",(SIN(RADIANS((90-$Q$8)-W21))*AD21)+(COS(RADIANS((90-$Q$8)-W21))*AE21))</f>
        <v>-0.17348749927667798</v>
      </c>
      <c r="AM21" s="634">
        <f>IF(M21="","",AF21)</f>
        <v>-0.2754935231800506</v>
      </c>
      <c r="AN21" s="581">
        <f>IF(M21="","",DEGREES(ATAN2(-AM21,AL21)))</f>
        <v>-32.199995350895726</v>
      </c>
      <c r="AO21" s="582">
        <f>IF(ROUND(IF(M21="",0,DEGREES(ACOS(AK21))),4)=90,0,IF(M21="","",DEGREES(ACOS(AK21))))</f>
        <v>18.999997256739746</v>
      </c>
      <c r="AP21" s="585">
        <f>IF(M21="","",DEGREES(ATAN2(AK21,AL21)))</f>
        <v>-10.397207453554936</v>
      </c>
      <c r="AQ21" s="586">
        <f t="shared" si="9"/>
        <v>0.50683896391027183</v>
      </c>
      <c r="AS21" s="52">
        <f t="shared" si="116"/>
        <v>-14.021997975473994</v>
      </c>
      <c r="AT21" s="72">
        <f t="shared" si="10"/>
        <v>-0.59047560967777057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1.2290000000000001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I21" s="734" cm="1">
        <f t="array" ref="II21">IFERROR(ROUND(VALUE(IF($IH21&lt;1,$IH21+LARGE((IF($M$9:$M$150="",0,$M$9:$M$150)-MOD(IF($M$9:$M$150="",0,$M$9:$M$150),1)),1),$IH21)),4),"")</f>
        <v>1.129</v>
      </c>
      <c r="IJ21" s="533">
        <f t="shared" si="112"/>
        <v>1613</v>
      </c>
      <c r="IK21" s="533">
        <f t="shared" si="66"/>
        <v>1313</v>
      </c>
      <c r="IL21" s="727">
        <f t="shared" si="225"/>
        <v>12.230998234062383</v>
      </c>
      <c r="IM21" s="759">
        <v>1.2299970016295601E-2</v>
      </c>
      <c r="IN21" s="5">
        <f t="shared" si="226"/>
        <v>0.34</v>
      </c>
      <c r="IO21" s="771">
        <v>170</v>
      </c>
      <c r="IP21" s="9">
        <f t="shared" si="227"/>
        <v>-4.4978135654057132</v>
      </c>
      <c r="IQ21" s="5">
        <f t="shared" si="228"/>
        <v>-0.6395019287378173</v>
      </c>
      <c r="IR21" s="5">
        <f t="shared" si="71"/>
        <v>0.314</v>
      </c>
      <c r="IS21" s="5">
        <f t="shared" si="229"/>
        <v>0.29306539885135385</v>
      </c>
      <c r="IT21" s="727">
        <f t="shared" si="230"/>
        <v>58.674827465248249</v>
      </c>
      <c r="IU21" s="9">
        <f t="shared" si="231"/>
        <v>-4.4978135654057141</v>
      </c>
      <c r="IV21" s="5">
        <f t="shared" si="232"/>
        <v>-0.6002131082718497</v>
      </c>
      <c r="IW21" s="5">
        <f t="shared" si="76"/>
        <v>0.26600000000000001</v>
      </c>
      <c r="IX21" s="5">
        <f t="shared" si="233"/>
        <v>0.25150794525578685</v>
      </c>
      <c r="IY21" s="762">
        <f t="shared" si="234"/>
        <v>32.199995350895726</v>
      </c>
      <c r="JA21" s="765"/>
      <c r="JB21" s="987"/>
      <c r="JC21" s="988"/>
      <c r="JD21" s="988"/>
      <c r="JE21" s="988"/>
      <c r="JF21" s="1238" t="s">
        <v>358</v>
      </c>
      <c r="JG21" s="1239"/>
      <c r="JH21" s="989" t="s">
        <v>371</v>
      </c>
      <c r="JI21" s="990"/>
    </row>
    <row r="22" spans="1:269" ht="15" customHeight="1" thickBot="1" x14ac:dyDescent="0.3">
      <c r="A22" s="79"/>
      <c r="B22" s="707">
        <v>1.1792441841073589</v>
      </c>
      <c r="C22" s="708">
        <v>4.7754692243413084</v>
      </c>
      <c r="D22" s="709">
        <v>-1.2333458112398714</v>
      </c>
      <c r="E22" s="710">
        <v>-0.81353690810191692</v>
      </c>
      <c r="F22" s="708">
        <v>0.5161203812996068</v>
      </c>
      <c r="G22" s="711">
        <v>0.26791314107957037</v>
      </c>
      <c r="H22" s="710">
        <v>0.26600000000000001</v>
      </c>
      <c r="I22" s="708">
        <v>0.52</v>
      </c>
      <c r="J22" s="570">
        <v>1.236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1.236</v>
      </c>
      <c r="N22" s="632">
        <f t="shared" si="2"/>
        <v>1.1792441841073589</v>
      </c>
      <c r="O22" s="629">
        <f t="shared" si="3"/>
        <v>4.7754692243413084</v>
      </c>
      <c r="P22" s="633">
        <f t="shared" si="4"/>
        <v>-1.2333458112398714</v>
      </c>
      <c r="Q22" s="585">
        <f t="shared" si="113"/>
        <v>76.129002002724334</v>
      </c>
      <c r="R22" s="629">
        <f t="shared" si="79"/>
        <v>4.9189148354471444</v>
      </c>
      <c r="S22" s="634">
        <f t="shared" si="80"/>
        <v>-1.2333458112398714</v>
      </c>
      <c r="T22" s="635">
        <f t="shared" si="81"/>
        <v>4.7754692243413084</v>
      </c>
      <c r="U22" s="629">
        <f t="shared" si="82"/>
        <v>-1.1792441841073573</v>
      </c>
      <c r="V22" s="636">
        <f t="shared" si="114"/>
        <v>-1.2333458112398714</v>
      </c>
      <c r="W22" s="585">
        <f t="shared" si="224"/>
        <v>346.12900200272435</v>
      </c>
      <c r="X22" s="629">
        <f t="shared" si="83"/>
        <v>4.9189148354471444</v>
      </c>
      <c r="Y22" s="630">
        <f t="shared" si="223"/>
        <v>-1.2333458112398714</v>
      </c>
      <c r="Z22" s="632">
        <f t="shared" si="6"/>
        <v>0.81353690810191692</v>
      </c>
      <c r="AA22" s="629">
        <f t="shared" si="7"/>
        <v>-0.5161203812996068</v>
      </c>
      <c r="AB22" s="629">
        <f t="shared" si="8"/>
        <v>-0.26791314107957037</v>
      </c>
      <c r="AC22" s="636">
        <f t="shared" si="84"/>
        <v>1</v>
      </c>
      <c r="AD22" s="637">
        <f t="shared" si="115"/>
        <v>0.81353690810191692</v>
      </c>
      <c r="AE22" s="629">
        <f t="shared" si="85"/>
        <v>-0.5161203812996068</v>
      </c>
      <c r="AF22" s="633">
        <f t="shared" si="86"/>
        <v>-0.26791314107957037</v>
      </c>
      <c r="AG22" s="602">
        <f t="shared" si="87"/>
        <v>-62.566606619463073</v>
      </c>
      <c r="AH22" s="603">
        <f t="shared" si="88"/>
        <v>35.557049491645699</v>
      </c>
      <c r="AI22" s="585">
        <f t="shared" si="89"/>
        <v>-74.459875754924937</v>
      </c>
      <c r="AJ22" s="586">
        <f t="shared" si="90"/>
        <v>57.608327154389393</v>
      </c>
      <c r="AK22" s="635">
        <f t="shared" si="211"/>
        <v>0.91354548224147769</v>
      </c>
      <c r="AL22" s="629">
        <f t="shared" si="91"/>
        <v>-0.30603463972737488</v>
      </c>
      <c r="AM22" s="634">
        <f t="shared" si="92"/>
        <v>-0.26791314107957037</v>
      </c>
      <c r="AN22" s="581">
        <f t="shared" si="93"/>
        <v>-48.799992954152813</v>
      </c>
      <c r="AO22" s="582">
        <f t="shared" si="94"/>
        <v>23.999996534829258</v>
      </c>
      <c r="AP22" s="585">
        <f t="shared" si="95"/>
        <v>-18.520674848334949</v>
      </c>
      <c r="AQ22" s="586">
        <f t="shared" si="9"/>
        <v>0.46345118563436133</v>
      </c>
      <c r="AS22" s="52">
        <f t="shared" si="116"/>
        <v>-13.870997997275651</v>
      </c>
      <c r="AT22" s="72">
        <f t="shared" si="10"/>
        <v>-1.2237131737417632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1.236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1.1359999999999999</v>
      </c>
      <c r="II22" s="734" cm="1">
        <f t="array" ref="II22">IFERROR(ROUND(VALUE(IF($IH22&lt;1,$IH22+LARGE((IF($M$9:$M$150="",0,$M$9:$M$150)-MOD(IF($M$9:$M$150="",0,$M$9:$M$150),1)),1),$IH22)),4),"")</f>
        <v>1.1359999999999999</v>
      </c>
      <c r="IJ22" s="533">
        <f t="shared" si="112"/>
        <v>1613</v>
      </c>
      <c r="IK22" s="533">
        <f t="shared" si="66"/>
        <v>1313</v>
      </c>
      <c r="IL22" s="727">
        <f t="shared" si="225"/>
        <v>11.343998362129298</v>
      </c>
      <c r="IM22" s="759">
        <v>1.7770466196824899E-2</v>
      </c>
      <c r="IN22" s="5">
        <f t="shared" si="226"/>
        <v>0.56000000000000005</v>
      </c>
      <c r="IO22" s="771">
        <v>280</v>
      </c>
      <c r="IP22" s="9">
        <f t="shared" si="227"/>
        <v>-4.9189148354471435</v>
      </c>
      <c r="IQ22" s="5">
        <f t="shared" si="228"/>
        <v>-1.2731038396811802</v>
      </c>
      <c r="IR22" s="5">
        <f t="shared" si="71"/>
        <v>0.314</v>
      </c>
      <c r="IS22" s="5">
        <f t="shared" si="229"/>
        <v>0.2811493870234838</v>
      </c>
      <c r="IT22" s="727">
        <f t="shared" si="230"/>
        <v>75.261780816358183</v>
      </c>
      <c r="IU22" s="9">
        <f t="shared" si="231"/>
        <v>-4.9189148354471444</v>
      </c>
      <c r="IV22" s="5">
        <f t="shared" si="232"/>
        <v>-1.2333458112398714</v>
      </c>
      <c r="IW22" s="5">
        <f t="shared" si="76"/>
        <v>0.26600000000000001</v>
      </c>
      <c r="IX22" s="5">
        <f t="shared" si="233"/>
        <v>0.24300309827623306</v>
      </c>
      <c r="IY22" s="762">
        <f t="shared" si="234"/>
        <v>48.799992954152813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2.4868764347854753</v>
      </c>
      <c r="C23" s="708">
        <v>1.6740085563582765</v>
      </c>
      <c r="D23" s="709">
        <v>-7.480022559748041E-2</v>
      </c>
      <c r="E23" s="710">
        <v>-0.52816389198390767</v>
      </c>
      <c r="F23" s="708">
        <v>0.79695477220260824</v>
      </c>
      <c r="G23" s="711">
        <v>0.29309724370573681</v>
      </c>
      <c r="H23" s="710">
        <v>0.314</v>
      </c>
      <c r="I23" s="708">
        <v>0.52</v>
      </c>
      <c r="J23" s="570">
        <v>2.1139999999999999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2.1139999999999999</v>
      </c>
      <c r="N23" s="632">
        <f t="shared" si="2"/>
        <v>2.4868764347854753</v>
      </c>
      <c r="O23" s="629">
        <f t="shared" si="3"/>
        <v>1.6740085563582765</v>
      </c>
      <c r="P23" s="633">
        <f t="shared" si="4"/>
        <v>-7.480022559748041E-2</v>
      </c>
      <c r="Q23" s="585">
        <f t="shared" si="113"/>
        <v>33.9459561156335</v>
      </c>
      <c r="R23" s="629">
        <f t="shared" si="79"/>
        <v>2.9978090413920691</v>
      </c>
      <c r="S23" s="634">
        <f t="shared" si="80"/>
        <v>-7.480022559748041E-2</v>
      </c>
      <c r="T23" s="635">
        <f t="shared" si="81"/>
        <v>1.6740085563582772</v>
      </c>
      <c r="U23" s="629">
        <f t="shared" si="82"/>
        <v>-2.4868764347854744</v>
      </c>
      <c r="V23" s="636">
        <f t="shared" si="114"/>
        <v>-7.480022559748041E-2</v>
      </c>
      <c r="W23" s="585">
        <f t="shared" si="224"/>
        <v>303.94595611563352</v>
      </c>
      <c r="X23" s="629">
        <f t="shared" si="83"/>
        <v>2.9978090413920691</v>
      </c>
      <c r="Y23" s="630">
        <f t="shared" si="223"/>
        <v>-7.480022559748041E-2</v>
      </c>
      <c r="Z23" s="632">
        <f t="shared" si="6"/>
        <v>0.52816389198390767</v>
      </c>
      <c r="AA23" s="629">
        <f t="shared" si="7"/>
        <v>-0.79695477220260824</v>
      </c>
      <c r="AB23" s="629">
        <f t="shared" si="8"/>
        <v>-0.29309724370573681</v>
      </c>
      <c r="AC23" s="636">
        <f t="shared" si="84"/>
        <v>1</v>
      </c>
      <c r="AD23" s="637">
        <f t="shared" si="115"/>
        <v>0.52816389198390767</v>
      </c>
      <c r="AE23" s="629">
        <f t="shared" si="85"/>
        <v>-0.79695477220260824</v>
      </c>
      <c r="AF23" s="633">
        <f t="shared" si="86"/>
        <v>-0.29309724370573681</v>
      </c>
      <c r="AG23" s="602">
        <f t="shared" si="87"/>
        <v>-69.807916780845275</v>
      </c>
      <c r="AH23" s="603">
        <f t="shared" si="88"/>
        <v>58.118519851086454</v>
      </c>
      <c r="AI23" s="585">
        <f t="shared" si="89"/>
        <v>-72.956525210539283</v>
      </c>
      <c r="AJ23" s="586">
        <f t="shared" si="90"/>
        <v>33.53353352493955</v>
      </c>
      <c r="AK23" s="635">
        <f t="shared" si="211"/>
        <v>0.95605786671126458</v>
      </c>
      <c r="AL23" s="629">
        <f t="shared" si="91"/>
        <v>-6.8819496950969783E-3</v>
      </c>
      <c r="AM23" s="634">
        <f t="shared" si="92"/>
        <v>-0.29309724370573681</v>
      </c>
      <c r="AN23" s="581">
        <f t="shared" si="93"/>
        <v>-1.3450629183006844</v>
      </c>
      <c r="AO23" s="582">
        <f t="shared" si="94"/>
        <v>17.048316002995666</v>
      </c>
      <c r="AP23" s="585">
        <f t="shared" si="95"/>
        <v>-0.41242259069396975</v>
      </c>
      <c r="AQ23" s="586">
        <f t="shared" si="9"/>
        <v>0.76041960896134386</v>
      </c>
      <c r="AS23" s="52">
        <f t="shared" si="116"/>
        <v>-56.054043884366479</v>
      </c>
      <c r="AT23" s="72">
        <f t="shared" si="10"/>
        <v>-3.5873806233337018E-2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2.1139999999999999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20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14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90</v>
      </c>
      <c r="JI23" s="801">
        <v>90</v>
      </c>
    </row>
    <row r="24" spans="1:269" ht="15" customHeight="1" x14ac:dyDescent="0.25">
      <c r="A24" s="79"/>
      <c r="B24" s="707">
        <v>3.1456834174027271</v>
      </c>
      <c r="C24" s="708">
        <v>2.0649885368843277</v>
      </c>
      <c r="D24" s="709">
        <v>-0.17810053715122007</v>
      </c>
      <c r="E24" s="710">
        <v>-0.39099962572410468</v>
      </c>
      <c r="F24" s="708">
        <v>0.88233062896384951</v>
      </c>
      <c r="G24" s="711">
        <v>0.26193883613520907</v>
      </c>
      <c r="H24" s="710">
        <v>0.314</v>
      </c>
      <c r="I24" s="708">
        <v>0.52</v>
      </c>
      <c r="J24" s="570">
        <v>2.121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2.121</v>
      </c>
      <c r="N24" s="632">
        <f t="shared" si="2"/>
        <v>3.1456834174027271</v>
      </c>
      <c r="O24" s="629">
        <f t="shared" si="3"/>
        <v>2.0649885368843277</v>
      </c>
      <c r="P24" s="633">
        <f t="shared" si="4"/>
        <v>-0.17810053715122007</v>
      </c>
      <c r="Q24" s="585">
        <f t="shared" si="113"/>
        <v>33.282956211358844</v>
      </c>
      <c r="R24" s="629">
        <f t="shared" si="79"/>
        <v>3.7629113489406278</v>
      </c>
      <c r="S24" s="634">
        <f t="shared" si="80"/>
        <v>-0.17810053715122007</v>
      </c>
      <c r="T24" s="635">
        <f t="shared" si="81"/>
        <v>2.0649885368843277</v>
      </c>
      <c r="U24" s="629">
        <f t="shared" si="82"/>
        <v>-3.1456834174027271</v>
      </c>
      <c r="V24" s="636">
        <f t="shared" si="114"/>
        <v>-0.17810053715122007</v>
      </c>
      <c r="W24" s="585">
        <f t="shared" si="224"/>
        <v>303.28295621135885</v>
      </c>
      <c r="X24" s="629">
        <f t="shared" si="83"/>
        <v>3.7629113489406278</v>
      </c>
      <c r="Y24" s="630">
        <f t="shared" si="223"/>
        <v>-0.17810053715122007</v>
      </c>
      <c r="Z24" s="632">
        <f t="shared" si="6"/>
        <v>0.39099962572410468</v>
      </c>
      <c r="AA24" s="629">
        <f t="shared" si="7"/>
        <v>-0.88233062896384951</v>
      </c>
      <c r="AB24" s="629">
        <f t="shared" si="8"/>
        <v>-0.26193883613520907</v>
      </c>
      <c r="AC24" s="636">
        <f t="shared" si="84"/>
        <v>1</v>
      </c>
      <c r="AD24" s="637">
        <f t="shared" si="115"/>
        <v>0.39099962572410468</v>
      </c>
      <c r="AE24" s="629">
        <f t="shared" si="85"/>
        <v>-0.88233062896384951</v>
      </c>
      <c r="AF24" s="633">
        <f t="shared" si="86"/>
        <v>-0.26193883613520907</v>
      </c>
      <c r="AG24" s="602">
        <f t="shared" si="87"/>
        <v>-73.46534531241663</v>
      </c>
      <c r="AH24" s="603">
        <f t="shared" si="88"/>
        <v>66.983286659490673</v>
      </c>
      <c r="AI24" s="585">
        <f t="shared" si="89"/>
        <v>-74.814863024416454</v>
      </c>
      <c r="AJ24" s="586">
        <f t="shared" si="90"/>
        <v>23.900244790700658</v>
      </c>
      <c r="AK24" s="635">
        <f>IF(M24="","",(COS(RADIANS((90-$Q$8)-W24))*AD24)+(-SIN(RADIANS((90-$Q$8)-W24))*AE24))</f>
        <v>0.95217299611726014</v>
      </c>
      <c r="AL24" s="629">
        <f t="shared" si="91"/>
        <v>-0.15733604669373263</v>
      </c>
      <c r="AM24" s="634">
        <f t="shared" si="92"/>
        <v>-0.26193883613520907</v>
      </c>
      <c r="AN24" s="581">
        <f t="shared" si="93"/>
        <v>-30.991532101717468</v>
      </c>
      <c r="AO24" s="582">
        <f t="shared" si="94"/>
        <v>17.791825701840065</v>
      </c>
      <c r="AP24" s="585">
        <f t="shared" si="95"/>
        <v>-9.382711420658179</v>
      </c>
      <c r="AQ24" s="586">
        <f t="shared" si="9"/>
        <v>0.60581859695255624</v>
      </c>
      <c r="AS24" s="52">
        <f t="shared" si="116"/>
        <v>-56.717043788641149</v>
      </c>
      <c r="AT24" s="72">
        <f t="shared" si="10"/>
        <v>-0.13871370118688592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110</v>
      </c>
      <c r="JI24" s="803" t="str">
        <v/>
      </c>
    </row>
    <row r="25" spans="1:269" ht="15" customHeight="1" x14ac:dyDescent="0.25">
      <c r="A25" s="79"/>
      <c r="B25" s="707">
        <v>3.7331100088616842</v>
      </c>
      <c r="C25" s="708">
        <v>2.3635282906140724</v>
      </c>
      <c r="D25" s="709">
        <v>-0.5643017019339327</v>
      </c>
      <c r="E25" s="710">
        <v>-0.25271989331464523</v>
      </c>
      <c r="F25" s="708">
        <v>0.94594741734320853</v>
      </c>
      <c r="G25" s="711">
        <v>0.20326371822031644</v>
      </c>
      <c r="H25" s="710">
        <v>0.314</v>
      </c>
      <c r="I25" s="708">
        <v>0.52</v>
      </c>
      <c r="J25" s="570">
        <v>2.1280000000000001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2.1280000000000001</v>
      </c>
      <c r="N25" s="632">
        <f t="shared" si="2"/>
        <v>3.7331100088616842</v>
      </c>
      <c r="O25" s="629">
        <f t="shared" si="3"/>
        <v>2.3635282906140724</v>
      </c>
      <c r="P25" s="633">
        <f t="shared" si="4"/>
        <v>-0.5643017019339327</v>
      </c>
      <c r="Q25" s="585">
        <f t="shared" si="113"/>
        <v>32.338956347655568</v>
      </c>
      <c r="R25" s="629">
        <f>IF(M25="","",SQRT(N25^2+O25^2))</f>
        <v>4.4184133259345897</v>
      </c>
      <c r="S25" s="634">
        <f>IF(M25="","",P25)</f>
        <v>-0.5643017019339327</v>
      </c>
      <c r="T25" s="635">
        <f>IF(M25="","",X25*COS(RADIANS(W25)))</f>
        <v>2.3635282906140711</v>
      </c>
      <c r="U25" s="629">
        <f>IF(M25="","",X25*SIN(RADIANS(W25)))</f>
        <v>-3.7331100088616851</v>
      </c>
      <c r="V25" s="636">
        <f>IF(M25="","",Y25)</f>
        <v>-0.5643017019339327</v>
      </c>
      <c r="W25" s="585">
        <f t="shared" si="224"/>
        <v>302.33895634765554</v>
      </c>
      <c r="X25" s="629">
        <f>IF(M25="","",R25)</f>
        <v>4.4184133259345897</v>
      </c>
      <c r="Y25" s="630">
        <f t="shared" si="223"/>
        <v>-0.5643017019339327</v>
      </c>
      <c r="Z25" s="632">
        <f t="shared" si="6"/>
        <v>0.25271989331464523</v>
      </c>
      <c r="AA25" s="629">
        <f t="shared" si="7"/>
        <v>-0.94594741734320853</v>
      </c>
      <c r="AB25" s="629">
        <f t="shared" si="8"/>
        <v>-0.20326371822031644</v>
      </c>
      <c r="AC25" s="636">
        <f>IF(M25="","",SQRT(Z25^2+AA25^2+AB25^2))</f>
        <v>1</v>
      </c>
      <c r="AD25" s="637">
        <f>IF(M25="","",Z25*(1/SQRT(Z25^2+AA25^2+AB25^2)))</f>
        <v>0.25271989331464523</v>
      </c>
      <c r="AE25" s="629">
        <f>IF(M25="","",AA25*(1/SQRT(Z25^2+AA25^2+AB25^2)))</f>
        <v>-0.94594741734320853</v>
      </c>
      <c r="AF25" s="633">
        <f>IF(M25="","",AB25*(1/SQRT(Z25^2+AA25^2+AB25^2)))</f>
        <v>-0.20326371822031644</v>
      </c>
      <c r="AG25" s="602">
        <f>IF(M25="","",DEGREES(ATAN2(-AF25,AE25)))</f>
        <v>-77.872776399394823</v>
      </c>
      <c r="AH25" s="603">
        <f>IF(M25="","",DEGREES(ACOS(AD25)))</f>
        <v>75.361479975702721</v>
      </c>
      <c r="AI25" s="585">
        <f>IF(M25="","",DEGREES(-ACOS(-AF25)))</f>
        <v>-78.272122385787583</v>
      </c>
      <c r="AJ25" s="586">
        <f>IF(M25="","",DEGREES(ATAN2(-AE25,AD25)))</f>
        <v>14.957836141324103</v>
      </c>
      <c r="AK25" s="635">
        <f>IF(M25="","",(COS(RADIANS((90-$Q$8)-W25))*AD25)+(-SIN(RADIANS((90-$Q$8)-W25))*AE25))</f>
        <v>0.93441606396514099</v>
      </c>
      <c r="AL25" s="629">
        <f>IF(M25="","",(SIN(RADIANS((90-$Q$8)-W25))*AD25)+(COS(RADIANS((90-$Q$8)-W25))*AE25))</f>
        <v>-0.29249013702883297</v>
      </c>
      <c r="AM25" s="634">
        <f>IF(M25="","",AF25)</f>
        <v>-0.20326371822031644</v>
      </c>
      <c r="AN25" s="581">
        <f>IF(M25="","",DEGREES(ATAN2(-AM25,AL25)))</f>
        <v>-55.202935404038051</v>
      </c>
      <c r="AO25" s="582">
        <f>IF(ROUND(IF(M25="",0,DEGREES(ACOS(AK25))),4)=90,0,IF(M25="","",DEGREES(ACOS(AK25))))</f>
        <v>20.865990098955436</v>
      </c>
      <c r="AP25" s="585">
        <f>IF(M25="","",DEGREES(ATAN2(AK25,AL25)))</f>
        <v>-17.381120206331452</v>
      </c>
      <c r="AQ25" s="586">
        <f t="shared" si="9"/>
        <v>0.51594652715686207</v>
      </c>
      <c r="AS25" s="52">
        <f t="shared" si="116"/>
        <v>-57.66104365234446</v>
      </c>
      <c r="AT25" s="72">
        <f t="shared" si="10"/>
        <v>-0.52425931050869345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4.1538919020426057</v>
      </c>
      <c r="C26" s="708">
        <v>2.5508921101292121</v>
      </c>
      <c r="D26" s="709">
        <v>-1.173103538080271</v>
      </c>
      <c r="E26" s="710">
        <v>-0.12174679926450264</v>
      </c>
      <c r="F26" s="708">
        <v>0.98484393531632475</v>
      </c>
      <c r="G26" s="711">
        <v>0.12353193894497026</v>
      </c>
      <c r="H26" s="710">
        <v>0.314</v>
      </c>
      <c r="I26" s="708">
        <v>0.52</v>
      </c>
      <c r="J26" s="570">
        <v>2.1349999999999998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2.1349999999999998</v>
      </c>
      <c r="N26" s="632">
        <f t="shared" si="2"/>
        <v>4.1538919020426057</v>
      </c>
      <c r="O26" s="629">
        <f t="shared" si="3"/>
        <v>2.5508921101292121</v>
      </c>
      <c r="P26" s="633">
        <f t="shared" si="4"/>
        <v>-1.173103538080271</v>
      </c>
      <c r="Q26" s="585">
        <f t="shared" si="113"/>
        <v>31.553956460995522</v>
      </c>
      <c r="R26" s="629">
        <f>IF(M26="","",SQRT(N26^2+O26^2))</f>
        <v>4.8746147018379409</v>
      </c>
      <c r="S26" s="634">
        <f>IF(M26="","",P26)</f>
        <v>-1.173103538080271</v>
      </c>
      <c r="T26" s="635">
        <f>IF(M26="","",X26*COS(RADIANS(W26)))</f>
        <v>2.5508921101292126</v>
      </c>
      <c r="U26" s="629">
        <f>IF(M26="","",X26*SIN(RADIANS(W26)))</f>
        <v>-4.1538919020426048</v>
      </c>
      <c r="V26" s="636">
        <f>IF(M26="","",Y26)</f>
        <v>-1.173103538080271</v>
      </c>
      <c r="W26" s="585">
        <f t="shared" si="224"/>
        <v>301.55395646099555</v>
      </c>
      <c r="X26" s="629">
        <f>IF(M26="","",R26)</f>
        <v>4.8746147018379409</v>
      </c>
      <c r="Y26" s="630">
        <f t="shared" si="223"/>
        <v>-1.173103538080271</v>
      </c>
      <c r="Z26" s="632">
        <f t="shared" si="6"/>
        <v>0.12174679926450264</v>
      </c>
      <c r="AA26" s="629">
        <f t="shared" si="7"/>
        <v>-0.98484393531632475</v>
      </c>
      <c r="AB26" s="629">
        <f t="shared" si="8"/>
        <v>-0.12353193894497026</v>
      </c>
      <c r="AC26" s="636">
        <f>IF(M26="","",SQRT(Z26^2+AA26^2+AB26^2))</f>
        <v>1</v>
      </c>
      <c r="AD26" s="637">
        <f>IF(M26="","",Z26*(1/SQRT(Z26^2+AA26^2+AB26^2)))</f>
        <v>0.12174679926450264</v>
      </c>
      <c r="AE26" s="629">
        <f>IF(M26="","",AA26*(1/SQRT(Z26^2+AA26^2+AB26^2)))</f>
        <v>-0.98484393531632475</v>
      </c>
      <c r="AF26" s="633">
        <f>IF(M26="","",AB26*(1/SQRT(Z26^2+AA26^2+AB26^2)))</f>
        <v>-0.12353193894497026</v>
      </c>
      <c r="AG26" s="602">
        <f>IF(M26="","",DEGREES(ATAN2(-AF26,AE26)))</f>
        <v>-82.850557009588726</v>
      </c>
      <c r="AH26" s="603">
        <f>IF(M26="","",DEGREES(ACOS(AD26)))</f>
        <v>83.007073936915205</v>
      </c>
      <c r="AI26" s="585">
        <f>IF(M26="","",DEGREES(-ACOS(-AF26)))</f>
        <v>-82.904014992023946</v>
      </c>
      <c r="AJ26" s="586">
        <f>IF(M26="","",DEGREES(ATAN2(-AE26,AD26)))</f>
        <v>7.0471738907313908</v>
      </c>
      <c r="AK26" s="635">
        <f>IF(M26="","",(COS(RADIANS((90-$Q$8)-W26))*AD26)+(-SIN(RADIANS((90-$Q$8)-W26))*AE26))</f>
        <v>0.90294278965350883</v>
      </c>
      <c r="AL26" s="629">
        <f>IF(M26="","",(SIN(RADIANS((90-$Q$8)-W26))*AD26)+(COS(RADIANS((90-$Q$8)-W26))*AE26))</f>
        <v>-0.41162383151760762</v>
      </c>
      <c r="AM26" s="634">
        <f>IF(M26="","",AF26)</f>
        <v>-0.12353193894497026</v>
      </c>
      <c r="AN26" s="581">
        <f>IF(M26="","",DEGREES(ATAN2(-AM26,AL26)))</f>
        <v>-73.295036257235523</v>
      </c>
      <c r="AO26" s="582">
        <f t="shared" si="94"/>
        <v>25.452378905584634</v>
      </c>
      <c r="AP26" s="585">
        <f>IF(M26="","",DEGREES(ATAN2(AK26,AL26)))</f>
        <v>-24.506782570264146</v>
      </c>
      <c r="AQ26" s="586">
        <f t="shared" si="9"/>
        <v>0.46766280910364283</v>
      </c>
      <c r="AS26" s="52">
        <f t="shared" si="116"/>
        <v>-58.446043539004449</v>
      </c>
      <c r="AT26" s="72">
        <f t="shared" si="10"/>
        <v>-1.1325160078448513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2.1349999999999998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4.3288582774514497</v>
      </c>
      <c r="C27" s="708">
        <v>2.6225747319612309</v>
      </c>
      <c r="D27" s="709">
        <v>-1.9106057623869794</v>
      </c>
      <c r="E27" s="710">
        <v>1.5760647942494779E-2</v>
      </c>
      <c r="F27" s="708">
        <v>0.99932992976641277</v>
      </c>
      <c r="G27" s="711">
        <v>3.3034730958331995E-2</v>
      </c>
      <c r="H27" s="710">
        <v>0.314</v>
      </c>
      <c r="I27" s="708">
        <v>0.52</v>
      </c>
      <c r="J27" s="570">
        <v>2.1419999999999999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2.1419999999999999</v>
      </c>
      <c r="N27" s="632">
        <f t="shared" si="2"/>
        <v>4.3288582774514497</v>
      </c>
      <c r="O27" s="629">
        <f t="shared" si="3"/>
        <v>2.6225747319612309</v>
      </c>
      <c r="P27" s="633">
        <f t="shared" si="4"/>
        <v>-1.9106057623869794</v>
      </c>
      <c r="Q27" s="585">
        <f t="shared" si="113"/>
        <v>31.208956510807354</v>
      </c>
      <c r="R27" s="629">
        <f t="shared" si="79"/>
        <v>5.0613152649268409</v>
      </c>
      <c r="S27" s="634">
        <f t="shared" si="80"/>
        <v>-1.9106057623869794</v>
      </c>
      <c r="T27" s="635">
        <f t="shared" si="81"/>
        <v>2.62257473196123</v>
      </c>
      <c r="U27" s="629">
        <f t="shared" si="82"/>
        <v>-4.3288582774514506</v>
      </c>
      <c r="V27" s="636">
        <f t="shared" si="114"/>
        <v>-1.9106057623869794</v>
      </c>
      <c r="W27" s="585">
        <f t="shared" si="224"/>
        <v>301.20895651080735</v>
      </c>
      <c r="X27" s="629">
        <f t="shared" si="83"/>
        <v>5.0613152649268409</v>
      </c>
      <c r="Y27" s="630">
        <f t="shared" si="223"/>
        <v>-1.9106057623869794</v>
      </c>
      <c r="Z27" s="632">
        <f t="shared" si="6"/>
        <v>-1.5760647942494779E-2</v>
      </c>
      <c r="AA27" s="629">
        <f t="shared" si="7"/>
        <v>-0.99932992976641277</v>
      </c>
      <c r="AB27" s="629">
        <f t="shared" si="8"/>
        <v>-3.3034730958331995E-2</v>
      </c>
      <c r="AC27" s="636">
        <f t="shared" si="84"/>
        <v>1</v>
      </c>
      <c r="AD27" s="637">
        <f t="shared" si="115"/>
        <v>-1.5760647942494779E-2</v>
      </c>
      <c r="AE27" s="629">
        <f t="shared" si="85"/>
        <v>-0.99932992976641277</v>
      </c>
      <c r="AF27" s="633">
        <f t="shared" si="86"/>
        <v>-3.3034730958331995E-2</v>
      </c>
      <c r="AG27" s="602">
        <f t="shared" si="87"/>
        <v>-88.106669661855932</v>
      </c>
      <c r="AH27" s="603">
        <f t="shared" si="88"/>
        <v>90.903055998348918</v>
      </c>
      <c r="AI27" s="585">
        <f t="shared" si="89"/>
        <v>-88.106904911835699</v>
      </c>
      <c r="AJ27" s="586">
        <f t="shared" si="90"/>
        <v>-0.90354919243822085</v>
      </c>
      <c r="AK27" s="635">
        <f t="shared" si="211"/>
        <v>0.84654362296139674</v>
      </c>
      <c r="AL27" s="629">
        <f t="shared" si="91"/>
        <v>-0.53129332856144862</v>
      </c>
      <c r="AM27" s="634">
        <f t="shared" si="92"/>
        <v>-3.3034730958331995E-2</v>
      </c>
      <c r="AN27" s="581">
        <f t="shared" si="93"/>
        <v>-86.442046199666834</v>
      </c>
      <c r="AO27" s="582">
        <f t="shared" si="94"/>
        <v>32.162298574660561</v>
      </c>
      <c r="AP27" s="585">
        <f t="shared" si="95"/>
        <v>-32.11250570324556</v>
      </c>
      <c r="AQ27" s="586">
        <f t="shared" si="9"/>
        <v>0.45041250178175124</v>
      </c>
      <c r="AS27" s="52">
        <f t="shared" si="116"/>
        <v>-58.791043489192646</v>
      </c>
      <c r="AT27" s="72">
        <f t="shared" si="10"/>
        <v>-1.8697786488528179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2.1419999999999999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4.3311796621900589</v>
      </c>
      <c r="C28" s="708">
        <v>2.6235677707083984</v>
      </c>
      <c r="D28" s="709">
        <v>-2.6762080714435434</v>
      </c>
      <c r="E28" s="710">
        <v>1.677305775832557E-2</v>
      </c>
      <c r="F28" s="708">
        <v>0.99975049275356831</v>
      </c>
      <c r="G28" s="711">
        <v>1.475183962878085E-2</v>
      </c>
      <c r="H28" s="710">
        <v>0.314</v>
      </c>
      <c r="I28" s="708">
        <v>0.52</v>
      </c>
      <c r="J28" s="570">
        <v>2.149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2.149</v>
      </c>
      <c r="N28" s="632">
        <f t="shared" si="2"/>
        <v>4.3311796621900589</v>
      </c>
      <c r="O28" s="629">
        <f t="shared" si="3"/>
        <v>2.6235677707083984</v>
      </c>
      <c r="P28" s="633">
        <f t="shared" si="4"/>
        <v>-2.6762080714435434</v>
      </c>
      <c r="Q28" s="585">
        <f t="shared" si="113"/>
        <v>31.204956511384889</v>
      </c>
      <c r="R28" s="629">
        <f t="shared" si="79"/>
        <v>5.0638152724668606</v>
      </c>
      <c r="S28" s="634">
        <f t="shared" si="80"/>
        <v>-2.6762080714435434</v>
      </c>
      <c r="T28" s="635">
        <f t="shared" si="81"/>
        <v>2.6235677707083984</v>
      </c>
      <c r="U28" s="629">
        <f t="shared" si="82"/>
        <v>-4.3311796621900589</v>
      </c>
      <c r="V28" s="636">
        <f t="shared" si="114"/>
        <v>-2.6762080714435434</v>
      </c>
      <c r="W28" s="585">
        <f t="shared" si="224"/>
        <v>301.20495651138486</v>
      </c>
      <c r="X28" s="629">
        <f t="shared" si="83"/>
        <v>5.0638152724668606</v>
      </c>
      <c r="Y28" s="630">
        <f t="shared" si="223"/>
        <v>-2.6762080714435434</v>
      </c>
      <c r="Z28" s="632">
        <f t="shared" si="6"/>
        <v>-1.677305775832557E-2</v>
      </c>
      <c r="AA28" s="629">
        <f t="shared" si="7"/>
        <v>-0.99975049275356831</v>
      </c>
      <c r="AB28" s="629">
        <f t="shared" si="8"/>
        <v>-1.475183962878085E-2</v>
      </c>
      <c r="AC28" s="636">
        <f t="shared" si="84"/>
        <v>1</v>
      </c>
      <c r="AD28" s="637">
        <f t="shared" si="115"/>
        <v>-1.677305775832557E-2</v>
      </c>
      <c r="AE28" s="629">
        <f t="shared" si="85"/>
        <v>-0.99975049275356831</v>
      </c>
      <c r="AF28" s="633">
        <f t="shared" si="86"/>
        <v>-1.475183962878085E-2</v>
      </c>
      <c r="AG28" s="602">
        <f t="shared" si="87"/>
        <v>-89.154632257649212</v>
      </c>
      <c r="AH28" s="603">
        <f t="shared" si="88"/>
        <v>90.961070486542809</v>
      </c>
      <c r="AI28" s="585">
        <f t="shared" si="89"/>
        <v>-89.15475119060693</v>
      </c>
      <c r="AJ28" s="586">
        <f t="shared" si="90"/>
        <v>-0.96117508595401946</v>
      </c>
      <c r="AK28" s="635">
        <f t="shared" si="211"/>
        <v>0.84641589732395228</v>
      </c>
      <c r="AL28" s="629">
        <f t="shared" si="91"/>
        <v>-0.53231805528730247</v>
      </c>
      <c r="AM28" s="634">
        <f t="shared" si="92"/>
        <v>-1.475183962878085E-2</v>
      </c>
      <c r="AN28" s="581">
        <f t="shared" si="93"/>
        <v>-88.412599625742615</v>
      </c>
      <c r="AO28" s="582">
        <f t="shared" si="94"/>
        <v>32.17604360251358</v>
      </c>
      <c r="AP28" s="585">
        <f t="shared" si="95"/>
        <v>-32.166131597338904</v>
      </c>
      <c r="AQ28" s="586">
        <f t="shared" si="9"/>
        <v>0.45019014211149172</v>
      </c>
      <c r="AS28" s="52">
        <f t="shared" si="116"/>
        <v>-58.795043488615136</v>
      </c>
      <c r="AT28" s="72">
        <f t="shared" si="10"/>
        <v>-2.6353781801320051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2.149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3.5549855391065317</v>
      </c>
      <c r="C29" s="708">
        <v>1.2335232615275733</v>
      </c>
      <c r="D29" s="709">
        <v>-0.1399530549068892</v>
      </c>
      <c r="E29" s="710">
        <v>-0.24994364990127158</v>
      </c>
      <c r="F29" s="708">
        <v>0.92551115158458974</v>
      </c>
      <c r="G29" s="711">
        <v>0.28452992841983632</v>
      </c>
      <c r="H29" s="710">
        <v>0.26600000000000001</v>
      </c>
      <c r="I29" s="708">
        <v>0.52</v>
      </c>
      <c r="J29" s="570">
        <v>2.2210000000000001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2.2210000000000001</v>
      </c>
      <c r="N29" s="632">
        <f t="shared" si="2"/>
        <v>3.5549855391065317</v>
      </c>
      <c r="O29" s="629">
        <f t="shared" si="3"/>
        <v>1.2335232615275733</v>
      </c>
      <c r="P29" s="633">
        <f t="shared" si="4"/>
        <v>-0.1399530549068892</v>
      </c>
      <c r="Q29" s="585">
        <f t="shared" si="113"/>
        <v>19.135958253932635</v>
      </c>
      <c r="R29" s="629">
        <f>IF(M29="","",SQRT(N29^2+O29^2))</f>
        <v>3.7629113489406283</v>
      </c>
      <c r="S29" s="634">
        <f>IF(M29="","",P29)</f>
        <v>-0.1399530549068892</v>
      </c>
      <c r="T29" s="635">
        <f>IF(M29="","",X29*COS(RADIANS(W29)))</f>
        <v>1.2335232615275742</v>
      </c>
      <c r="U29" s="629">
        <f>IF(M29="","",X29*SIN(RADIANS(W29)))</f>
        <v>-3.5549855391065313</v>
      </c>
      <c r="V29" s="636">
        <f>IF(M29="","",Y29)</f>
        <v>-0.1399530549068892</v>
      </c>
      <c r="W29" s="585">
        <f t="shared" si="224"/>
        <v>289.13595825393264</v>
      </c>
      <c r="X29" s="629">
        <f>IF(M29="","",R29)</f>
        <v>3.7629113489406283</v>
      </c>
      <c r="Y29" s="630">
        <f t="shared" si="223"/>
        <v>-0.1399530549068892</v>
      </c>
      <c r="Z29" s="632">
        <f t="shared" si="6"/>
        <v>0.24994364990127158</v>
      </c>
      <c r="AA29" s="629">
        <f t="shared" si="7"/>
        <v>-0.92551115158458974</v>
      </c>
      <c r="AB29" s="629">
        <f t="shared" si="8"/>
        <v>-0.28452992841983632</v>
      </c>
      <c r="AC29" s="636">
        <f>IF(M29="","",SQRT(Z29^2+AA29^2+AB29^2))</f>
        <v>1</v>
      </c>
      <c r="AD29" s="637">
        <f>IF(M29="","",Z29*(1/SQRT(Z29^2+AA29^2+AB29^2)))</f>
        <v>0.24994364990127158</v>
      </c>
      <c r="AE29" s="629">
        <f>IF(M29="","",AA29*(1/SQRT(Z29^2+AA29^2+AB29^2)))</f>
        <v>-0.92551115158458974</v>
      </c>
      <c r="AF29" s="633">
        <f>IF(M29="","",AB29*(1/SQRT(Z29^2+AA29^2+AB29^2)))</f>
        <v>-0.28452992841983632</v>
      </c>
      <c r="AG29" s="602">
        <f>IF(M29="","",DEGREES(ATAN2(-AF29,AE29)))</f>
        <v>-72.910999365980501</v>
      </c>
      <c r="AH29" s="603">
        <f>IF(M29="","",DEGREES(ACOS(AD29)))</f>
        <v>75.525822296341843</v>
      </c>
      <c r="AI29" s="585">
        <f>IF(M29="","",DEGREES(-ACOS(-AF29)))</f>
        <v>-73.469247795612233</v>
      </c>
      <c r="AJ29" s="586">
        <f>IF(M29="","",DEGREES(ATAN2(-AE29,AD29)))</f>
        <v>15.112785486282357</v>
      </c>
      <c r="AK29" s="635">
        <f>IF(M29="","",(COS(RADIANS((90-$Q$8)-W29))*AD29)+(-SIN(RADIANS((90-$Q$8)-W29))*AE29))</f>
        <v>0.95630476848795665</v>
      </c>
      <c r="AL29" s="629">
        <f>IF(M29="","",(SIN(RADIANS((90-$Q$8)-W29))*AD29)+(COS(RADIANS((90-$Q$8)-W29))*AE29))</f>
        <v>-6.7260014872125962E-2</v>
      </c>
      <c r="AM29" s="634">
        <f>IF(M29="","",AF29)</f>
        <v>-0.28452992841983632</v>
      </c>
      <c r="AN29" s="581">
        <f>IF(M29="","",DEGREES(ATAN2(-AM29,AL29)))</f>
        <v>-13.299998079717945</v>
      </c>
      <c r="AO29" s="582">
        <f t="shared" si="94"/>
        <v>16.999997545504019</v>
      </c>
      <c r="AP29" s="585">
        <f>IF(M29="","",DEGREES(ATAN2(AK29,AL29)))</f>
        <v>-4.0231727676502933</v>
      </c>
      <c r="AQ29" s="586">
        <f t="shared" si="9"/>
        <v>0.60581859695255613</v>
      </c>
      <c r="AS29" s="52">
        <f t="shared" si="116"/>
        <v>-70.864041746067358</v>
      </c>
      <c r="AT29" s="72">
        <f t="shared" si="10"/>
        <v>-9.074191480545353E-2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Nose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2.2210000000000001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2.121</v>
      </c>
      <c r="II29" s="734" cm="1">
        <f t="array" ref="II29">IFERROR(ROUND(VALUE(IF($IH29&lt;1,$IH29+LARGE((IF($M$9:$M$150="",0,$M$9:$M$150)-MOD(IF($M$9:$M$150="",0,$M$9:$M$150),1)),1),$IH29)),4),"")</f>
        <v>2.121</v>
      </c>
      <c r="IJ29" s="533">
        <f t="shared" si="112"/>
        <v>1613</v>
      </c>
      <c r="IK29" s="533">
        <f t="shared" si="66"/>
        <v>1313</v>
      </c>
      <c r="IL29" s="727">
        <f t="shared" si="225"/>
        <v>14.146997957426208</v>
      </c>
      <c r="IM29" s="759">
        <v>8.8992829389556195E-3</v>
      </c>
      <c r="IN29" s="5">
        <f t="shared" si="226"/>
        <v>0.2</v>
      </c>
      <c r="IO29" s="771">
        <v>100</v>
      </c>
      <c r="IP29" s="9">
        <f t="shared" si="227"/>
        <v>-3.7629113489406278</v>
      </c>
      <c r="IQ29" s="5">
        <f t="shared" si="228"/>
        <v>-0.17810053715122007</v>
      </c>
      <c r="IR29" s="5">
        <f t="shared" si="71"/>
        <v>0.314</v>
      </c>
      <c r="IS29" s="5">
        <f t="shared" si="229"/>
        <v>0.29898232078081971</v>
      </c>
      <c r="IT29" s="727">
        <f t="shared" si="230"/>
        <v>30.991532101717468</v>
      </c>
      <c r="IU29" s="9">
        <f t="shared" si="231"/>
        <v>-3.7629113489406283</v>
      </c>
      <c r="IV29" s="5">
        <f t="shared" si="232"/>
        <v>-0.1399530549068892</v>
      </c>
      <c r="IW29" s="5">
        <f t="shared" si="76"/>
        <v>0.26600000000000001</v>
      </c>
      <c r="IX29" s="5">
        <f t="shared" si="233"/>
        <v>0.2543770684177965</v>
      </c>
      <c r="IY29" s="762">
        <f t="shared" si="234"/>
        <v>13.299998079717945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90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90</v>
      </c>
    </row>
    <row r="30" spans="1:269" ht="15" customHeight="1" x14ac:dyDescent="0.25">
      <c r="A30" s="79"/>
      <c r="B30" s="707">
        <v>4.1538997978068108</v>
      </c>
      <c r="C30" s="708">
        <v>1.5058196401219222</v>
      </c>
      <c r="D30" s="709">
        <v>-0.52520681627979415</v>
      </c>
      <c r="E30" s="710">
        <v>-0.17012538039098293</v>
      </c>
      <c r="F30" s="708">
        <v>0.94405594622547795</v>
      </c>
      <c r="G30" s="711">
        <v>0.28251677002107484</v>
      </c>
      <c r="H30" s="710">
        <v>0.26600000000000001</v>
      </c>
      <c r="I30" s="708">
        <v>0.52</v>
      </c>
      <c r="J30" s="570">
        <v>2.2280000000000002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2.2280000000000002</v>
      </c>
      <c r="N30" s="632">
        <f t="shared" si="2"/>
        <v>4.1538997978068108</v>
      </c>
      <c r="O30" s="629">
        <f t="shared" si="3"/>
        <v>1.5058196401219222</v>
      </c>
      <c r="P30" s="633">
        <f t="shared" si="4"/>
        <v>-0.52520681627979415</v>
      </c>
      <c r="Q30" s="585">
        <f t="shared" si="113"/>
        <v>19.925958139870762</v>
      </c>
      <c r="R30" s="629">
        <f>IF(M30="","",SQRT(N30^2+O30^2))</f>
        <v>4.4184133259345915</v>
      </c>
      <c r="S30" s="634">
        <f>IF(M30="","",P30)</f>
        <v>-0.52520681627979415</v>
      </c>
      <c r="T30" s="635">
        <f>IF(M30="","",X30*COS(RADIANS(W30)))</f>
        <v>1.5058196401219242</v>
      </c>
      <c r="U30" s="629">
        <f>IF(M30="","",X30*SIN(RADIANS(W30)))</f>
        <v>-4.15389979780681</v>
      </c>
      <c r="V30" s="636">
        <f>IF(M30="","",Y30)</f>
        <v>-0.52520681627979415</v>
      </c>
      <c r="W30" s="585">
        <f t="shared" si="224"/>
        <v>289.92595813987077</v>
      </c>
      <c r="X30" s="629">
        <f>IF(M30="","",R30)</f>
        <v>4.4184133259345915</v>
      </c>
      <c r="Y30" s="630">
        <f t="shared" si="223"/>
        <v>-0.52520681627979415</v>
      </c>
      <c r="Z30" s="632">
        <f t="shared" si="6"/>
        <v>0.17012538039098293</v>
      </c>
      <c r="AA30" s="629">
        <f t="shared" si="7"/>
        <v>-0.94405594622547795</v>
      </c>
      <c r="AB30" s="629">
        <f t="shared" si="8"/>
        <v>-0.28251677002107484</v>
      </c>
      <c r="AC30" s="636">
        <f>IF(M30="","",SQRT(Z30^2+AA30^2+AB30^2))</f>
        <v>1</v>
      </c>
      <c r="AD30" s="637">
        <f>IF(M30="","",Z30*(1/SQRT(Z30^2+AA30^2+AB30^2)))</f>
        <v>0.17012538039098293</v>
      </c>
      <c r="AE30" s="629">
        <f>IF(M30="","",AA30*(1/SQRT(Z30^2+AA30^2+AB30^2)))</f>
        <v>-0.94405594622547795</v>
      </c>
      <c r="AF30" s="633">
        <f>IF(M30="","",AB30*(1/SQRT(Z30^2+AA30^2+AB30^2)))</f>
        <v>-0.28251677002107484</v>
      </c>
      <c r="AG30" s="602">
        <f>IF(M30="","",DEGREES(ATAN2(-AF30,AE30)))</f>
        <v>-73.33974041304775</v>
      </c>
      <c r="AH30" s="603">
        <f>IF(M30="","",DEGREES(ACOS(AD30)))</f>
        <v>80.204890985011474</v>
      </c>
      <c r="AI30" s="585">
        <f>IF(M30="","",DEGREES(-ACOS(-AF30)))</f>
        <v>-73.589529001273718</v>
      </c>
      <c r="AJ30" s="586">
        <f>IF(M30="","",DEGREES(ATAN2(-AE30,AD30)))</f>
        <v>10.215454884403929</v>
      </c>
      <c r="AK30" s="635">
        <f>IF(M30="","",(COS(RADIANS((90-$Q$8)-W30))*AD30)+(-SIN(RADIANS((90-$Q$8)-W30))*AE30))</f>
        <v>0.94551859118716819</v>
      </c>
      <c r="AL30" s="629">
        <f>IF(M30="","",(SIN(RADIANS((90-$Q$8)-W30))*AD30)+(COS(RADIANS((90-$Q$8)-W30))*AE30))</f>
        <v>-0.16179885159138782</v>
      </c>
      <c r="AM30" s="634">
        <f>IF(M30="","",AF30)</f>
        <v>-0.28251677002107484</v>
      </c>
      <c r="AN30" s="581">
        <f>IF(M30="","",DEGREES(ATAN2(-AM30,AL30)))</f>
        <v>-29.799995697413092</v>
      </c>
      <c r="AO30" s="582">
        <f>IF(ROUND(IF(M30="",0,DEGREES(ACOS(AK30))),4)=90,0,IF(M30="","",DEGREES(ACOS(AK30))))</f>
        <v>18.999997256739807</v>
      </c>
      <c r="AP30" s="585">
        <f>IF(M30="","",DEGREES(ATAN2(AK30,AL30)))</f>
        <v>-9.7105032554668593</v>
      </c>
      <c r="AQ30" s="586">
        <f t="shared" si="9"/>
        <v>0.51594652715686184</v>
      </c>
      <c r="AS30" s="52">
        <f t="shared" si="116"/>
        <v>-70.074041860129228</v>
      </c>
      <c r="AT30" s="72">
        <f t="shared" si="10"/>
        <v>-0.47654428721025999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2.2280000000000002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2.1280000000000001</v>
      </c>
      <c r="II30" s="734" cm="1">
        <f t="array" ref="II30">IFERROR(ROUND(VALUE(IF($IH30&lt;1,$IH30+LARGE((IF($M$9:$M$150="",0,$M$9:$M$150)-MOD(IF($M$9:$M$150="",0,$M$9:$M$150),1)),1),$IH30)),4),"")</f>
        <v>2.1280000000000001</v>
      </c>
      <c r="IJ30" s="533">
        <f t="shared" si="112"/>
        <v>1613</v>
      </c>
      <c r="IK30" s="533">
        <f t="shared" si="66"/>
        <v>1313</v>
      </c>
      <c r="IL30" s="727">
        <f t="shared" si="225"/>
        <v>12.412998207784767</v>
      </c>
      <c r="IM30" s="759">
        <v>1.1704825491054199E-2</v>
      </c>
      <c r="IN30" s="5">
        <f t="shared" si="226"/>
        <v>0.32</v>
      </c>
      <c r="IO30" s="771">
        <v>160</v>
      </c>
      <c r="IP30" s="9">
        <f t="shared" si="227"/>
        <v>-4.4184133259345897</v>
      </c>
      <c r="IQ30" s="5">
        <f t="shared" si="228"/>
        <v>-0.5643017019339327</v>
      </c>
      <c r="IR30" s="5">
        <f t="shared" si="71"/>
        <v>0.314</v>
      </c>
      <c r="IS30" s="5">
        <f t="shared" si="229"/>
        <v>0.29340664408505429</v>
      </c>
      <c r="IT30" s="727">
        <f t="shared" si="230"/>
        <v>55.202935404038051</v>
      </c>
      <c r="IU30" s="9">
        <f t="shared" si="231"/>
        <v>-4.4184133259345915</v>
      </c>
      <c r="IV30" s="5">
        <f t="shared" si="232"/>
        <v>-0.52520681627979415</v>
      </c>
      <c r="IW30" s="5">
        <f t="shared" si="76"/>
        <v>0.26600000000000001</v>
      </c>
      <c r="IX30" s="5">
        <f t="shared" si="233"/>
        <v>0.25150794525578674</v>
      </c>
      <c r="IY30" s="762">
        <f t="shared" si="234"/>
        <v>29.799995697413092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110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4.5770803023180759</v>
      </c>
      <c r="C31" s="708">
        <v>1.6769628491730133</v>
      </c>
      <c r="D31" s="709">
        <v>-1.133387670442374</v>
      </c>
      <c r="E31" s="710">
        <v>-5.0986230785592765E-2</v>
      </c>
      <c r="F31" s="708">
        <v>0.96166208512187468</v>
      </c>
      <c r="G31" s="711">
        <v>0.26945581884480918</v>
      </c>
      <c r="H31" s="710">
        <v>0.26600000000000001</v>
      </c>
      <c r="I31" s="708">
        <v>0.52</v>
      </c>
      <c r="J31" s="570">
        <v>2.2349999999999999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2.2349999999999999</v>
      </c>
      <c r="N31" s="632">
        <f t="shared" si="2"/>
        <v>4.5770803023180759</v>
      </c>
      <c r="O31" s="629">
        <f t="shared" si="3"/>
        <v>1.6769628491730133</v>
      </c>
      <c r="P31" s="633">
        <f t="shared" si="4"/>
        <v>-1.133387670442374</v>
      </c>
      <c r="Q31" s="585">
        <f t="shared" si="113"/>
        <v>20.121958111571868</v>
      </c>
      <c r="R31" s="629">
        <f>IF(M31="","",SQRT(N31^2+O31^2))</f>
        <v>4.8746147018379409</v>
      </c>
      <c r="S31" s="634">
        <f>IF(M31="","",P31)</f>
        <v>-1.133387670442374</v>
      </c>
      <c r="T31" s="635">
        <f>IF(M31="","",X31*COS(RADIANS(W31)))</f>
        <v>1.6769628491730153</v>
      </c>
      <c r="U31" s="629">
        <f>IF(M31="","",X31*SIN(RADIANS(W31)))</f>
        <v>-4.5770803023180751</v>
      </c>
      <c r="V31" s="636">
        <f>IF(M31="","",Y31)</f>
        <v>-1.133387670442374</v>
      </c>
      <c r="W31" s="585">
        <f t="shared" si="224"/>
        <v>290.12195811157187</v>
      </c>
      <c r="X31" s="629">
        <f>IF(M31="","",R31)</f>
        <v>4.8746147018379409</v>
      </c>
      <c r="Y31" s="630">
        <f t="shared" si="223"/>
        <v>-1.133387670442374</v>
      </c>
      <c r="Z31" s="632">
        <f t="shared" si="6"/>
        <v>5.0986230785592765E-2</v>
      </c>
      <c r="AA31" s="629">
        <f t="shared" si="7"/>
        <v>-0.96166208512187468</v>
      </c>
      <c r="AB31" s="629">
        <f t="shared" si="8"/>
        <v>-0.26945581884480918</v>
      </c>
      <c r="AC31" s="636">
        <f>IF(M31="","",SQRT(Z31^2+AA31^2+AB31^2))</f>
        <v>1</v>
      </c>
      <c r="AD31" s="637">
        <f>IF(M31="","",Z31*(1/SQRT(Z31^2+AA31^2+AB31^2)))</f>
        <v>5.0986230785592765E-2</v>
      </c>
      <c r="AE31" s="629">
        <f>IF(M31="","",AA31*(1/SQRT(Z31^2+AA31^2+AB31^2)))</f>
        <v>-0.96166208512187468</v>
      </c>
      <c r="AF31" s="633">
        <f>IF(M31="","",AB31*(1/SQRT(Z31^2+AA31^2+AB31^2)))</f>
        <v>-0.26945581884480918</v>
      </c>
      <c r="AG31" s="602">
        <f>IF(M31="","",DEGREES(ATAN2(-AF31,AE31)))</f>
        <v>-74.347232840777181</v>
      </c>
      <c r="AH31" s="603">
        <f>IF(M31="","",DEGREES(ACOS(AD31)))</f>
        <v>87.07743698174329</v>
      </c>
      <c r="AI31" s="585">
        <f>IF(M31="","",DEGREES(-ACOS(-AF31)))</f>
        <v>-74.368112523011575</v>
      </c>
      <c r="AJ31" s="586">
        <f>IF(M31="","",DEGREES(ATAN2(-AE31,AD31)))</f>
        <v>3.0349155236192584</v>
      </c>
      <c r="AK31" s="635">
        <f>IF(M31="","",(COS(RADIANS((90-$Q$8)-W31))*AD31)+(-SIN(RADIANS((90-$Q$8)-W31))*AE31))</f>
        <v>0.92050487609870535</v>
      </c>
      <c r="AL31" s="629">
        <f>IF(M31="","",(SIN(RADIANS((90-$Q$8)-W31))*AD31)+(COS(RADIANS((90-$Q$8)-W31))*AE31))</f>
        <v>-0.28295641849793879</v>
      </c>
      <c r="AM31" s="634">
        <f>IF(M31="","",AF31)</f>
        <v>-0.26945581884480918</v>
      </c>
      <c r="AN31" s="581">
        <f>IF(M31="","",DEGREES(ATAN2(-AM31,AL31)))</f>
        <v>-46.399993300669898</v>
      </c>
      <c r="AO31" s="582">
        <f t="shared" si="94"/>
        <v>22.99999667921135</v>
      </c>
      <c r="AP31" s="585">
        <f>IF(M31="","",DEGREES(ATAN2(AK31,AL31)))</f>
        <v>-17.087042587952631</v>
      </c>
      <c r="AQ31" s="586">
        <f t="shared" si="9"/>
        <v>0.46766280910364283</v>
      </c>
      <c r="AS31" s="52">
        <f t="shared" si="116"/>
        <v>-69.878041888428129</v>
      </c>
      <c r="AT31" s="72">
        <f t="shared" si="10"/>
        <v>-1.0848612524642989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2.2349999999999999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2.1349999999999998</v>
      </c>
      <c r="II31" s="734" cm="1">
        <f t="array" ref="II31">IFERROR(ROUND(VALUE(IF($IH31&lt;1,$IH31+LARGE((IF($M$9:$M$150="",0,$M$9:$M$150)-MOD(IF($M$9:$M$150="",0,$M$9:$M$150),1)),1),$IH31)),4),"")</f>
        <v>2.1349999999999998</v>
      </c>
      <c r="IJ31" s="533">
        <f t="shared" si="112"/>
        <v>1613</v>
      </c>
      <c r="IK31" s="533">
        <f t="shared" si="66"/>
        <v>1313</v>
      </c>
      <c r="IL31" s="727">
        <f t="shared" si="225"/>
        <v>11.431998349423679</v>
      </c>
      <c r="IM31" s="759">
        <v>1.68114094654317E-2</v>
      </c>
      <c r="IN31" s="5">
        <f t="shared" si="226"/>
        <v>0.52</v>
      </c>
      <c r="IO31" s="771">
        <v>260</v>
      </c>
      <c r="IP31" s="9">
        <f t="shared" si="227"/>
        <v>-4.8746147018379409</v>
      </c>
      <c r="IQ31" s="5">
        <f t="shared" si="228"/>
        <v>-1.173103538080271</v>
      </c>
      <c r="IR31" s="5">
        <f t="shared" si="71"/>
        <v>0.314</v>
      </c>
      <c r="IS31" s="5">
        <f t="shared" si="229"/>
        <v>0.28352403595120179</v>
      </c>
      <c r="IT31" s="727">
        <f t="shared" si="230"/>
        <v>73.295036257235523</v>
      </c>
      <c r="IU31" s="9">
        <f t="shared" si="231"/>
        <v>-4.8746147018379409</v>
      </c>
      <c r="IV31" s="5">
        <f t="shared" si="232"/>
        <v>-1.133387670442374</v>
      </c>
      <c r="IW31" s="5">
        <f t="shared" si="76"/>
        <v>0.26600000000000001</v>
      </c>
      <c r="IX31" s="5">
        <f t="shared" si="233"/>
        <v>0.24485429704225564</v>
      </c>
      <c r="IY31" s="762">
        <f t="shared" si="234"/>
        <v>46.399993300669898</v>
      </c>
    </row>
    <row r="32" spans="1:269" ht="15" customHeight="1" x14ac:dyDescent="0.25">
      <c r="A32" s="79"/>
      <c r="B32" s="707">
        <v>0.7022036578498454</v>
      </c>
      <c r="C32" s="708">
        <v>-0.20135414516350927</v>
      </c>
      <c r="D32" s="709">
        <v>-0.64410194261145892</v>
      </c>
      <c r="E32" s="710">
        <v>0.21056578511628699</v>
      </c>
      <c r="F32" s="708">
        <v>0.92900484040511899</v>
      </c>
      <c r="G32" s="711">
        <v>0.30432229074160999</v>
      </c>
      <c r="H32" s="710">
        <v>0.314</v>
      </c>
      <c r="I32" s="708">
        <v>0.52</v>
      </c>
      <c r="J32" s="570">
        <v>3.1030000000000002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3.1030000000000002</v>
      </c>
      <c r="N32" s="632">
        <f t="shared" si="2"/>
        <v>0.7022036578498454</v>
      </c>
      <c r="O32" s="629">
        <f t="shared" si="3"/>
        <v>-0.20135414516350927</v>
      </c>
      <c r="P32" s="633">
        <f t="shared" si="4"/>
        <v>-0.64410194261145892</v>
      </c>
      <c r="Q32" s="585">
        <f t="shared" si="113"/>
        <v>343.99996332694263</v>
      </c>
      <c r="R32" s="629">
        <f t="shared" si="79"/>
        <v>0.73050220319464487</v>
      </c>
      <c r="S32" s="634">
        <f t="shared" si="80"/>
        <v>-0.64410194261145892</v>
      </c>
      <c r="T32" s="635">
        <f t="shared" si="81"/>
        <v>-0.20135414516350925</v>
      </c>
      <c r="U32" s="629">
        <f t="shared" si="82"/>
        <v>-0.7022036578498454</v>
      </c>
      <c r="V32" s="636">
        <f t="shared" si="114"/>
        <v>-0.64410194261145892</v>
      </c>
      <c r="W32" s="585">
        <f t="shared" si="224"/>
        <v>253.99996332694263</v>
      </c>
      <c r="X32" s="629">
        <f t="shared" si="83"/>
        <v>0.73050220319464487</v>
      </c>
      <c r="Y32" s="630">
        <f t="shared" si="223"/>
        <v>-0.64410194261145892</v>
      </c>
      <c r="Z32" s="632">
        <f t="shared" si="6"/>
        <v>-0.21056578511628699</v>
      </c>
      <c r="AA32" s="629">
        <f t="shared" si="7"/>
        <v>-0.92900484040511899</v>
      </c>
      <c r="AB32" s="629">
        <f t="shared" si="8"/>
        <v>-0.30432229074160999</v>
      </c>
      <c r="AC32" s="636">
        <f t="shared" si="84"/>
        <v>1</v>
      </c>
      <c r="AD32" s="637">
        <f t="shared" si="115"/>
        <v>-0.21056578511628699</v>
      </c>
      <c r="AE32" s="629">
        <f t="shared" si="85"/>
        <v>-0.92900484040511899</v>
      </c>
      <c r="AF32" s="633">
        <f t="shared" si="86"/>
        <v>-0.30432229074160999</v>
      </c>
      <c r="AG32" s="602">
        <f t="shared" si="87"/>
        <v>-71.862301104979082</v>
      </c>
      <c r="AH32" s="603">
        <f t="shared" si="88"/>
        <v>102.15551074948765</v>
      </c>
      <c r="AI32" s="585">
        <f t="shared" si="89"/>
        <v>-72.282604050589569</v>
      </c>
      <c r="AJ32" s="586">
        <f t="shared" si="90"/>
        <v>-12.770735421713272</v>
      </c>
      <c r="AK32" s="635">
        <f t="shared" si="211"/>
        <v>0.951056530311848</v>
      </c>
      <c r="AL32" s="629">
        <f t="shared" si="91"/>
        <v>5.3660222781571981E-2</v>
      </c>
      <c r="AM32" s="634">
        <f t="shared" si="92"/>
        <v>-0.30432229074160999</v>
      </c>
      <c r="AN32" s="581">
        <f t="shared" si="93"/>
        <v>9.9999985561788503</v>
      </c>
      <c r="AO32" s="582">
        <f t="shared" si="94"/>
        <v>17.999997401121927</v>
      </c>
      <c r="AP32" s="585">
        <f t="shared" si="95"/>
        <v>3.2293012513440749</v>
      </c>
      <c r="AQ32" s="586">
        <f t="shared" si="9"/>
        <v>3.1176855951898288</v>
      </c>
      <c r="AS32" s="52">
        <f t="shared" si="116"/>
        <v>-106.00003667305737</v>
      </c>
      <c r="AT32" s="72">
        <f t="shared" si="10"/>
        <v>-0.57049080603294688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1.3768190268834135</v>
      </c>
      <c r="C33" s="708">
        <v>-0.39479745669773347</v>
      </c>
      <c r="D33" s="709">
        <v>-0.45610137560174885</v>
      </c>
      <c r="E33" s="710">
        <v>0.21479085165213624</v>
      </c>
      <c r="F33" s="708">
        <v>0.93325305936069536</v>
      </c>
      <c r="G33" s="711">
        <v>0.28792988250692675</v>
      </c>
      <c r="H33" s="710">
        <v>0.314</v>
      </c>
      <c r="I33" s="708">
        <v>0.52</v>
      </c>
      <c r="J33" s="570">
        <v>3.1059999999999999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3.1059999999999999</v>
      </c>
      <c r="N33" s="632">
        <f t="shared" si="2"/>
        <v>1.3768190268834135</v>
      </c>
      <c r="O33" s="629">
        <f t="shared" si="3"/>
        <v>-0.39479745669773347</v>
      </c>
      <c r="P33" s="633">
        <f t="shared" si="4"/>
        <v>-0.45610137560174885</v>
      </c>
      <c r="Q33" s="585">
        <f t="shared" si="113"/>
        <v>343.99996332694263</v>
      </c>
      <c r="R33" s="629">
        <f t="shared" si="79"/>
        <v>1.4323043198298289</v>
      </c>
      <c r="S33" s="634">
        <f t="shared" si="80"/>
        <v>-0.45610137560174885</v>
      </c>
      <c r="T33" s="635">
        <f t="shared" si="81"/>
        <v>-0.39479745669773353</v>
      </c>
      <c r="U33" s="629">
        <f t="shared" si="82"/>
        <v>-1.3768190268834135</v>
      </c>
      <c r="V33" s="636">
        <f t="shared" si="114"/>
        <v>-0.45610137560174885</v>
      </c>
      <c r="W33" s="585">
        <f t="shared" si="224"/>
        <v>253.99996332694263</v>
      </c>
      <c r="X33" s="629">
        <f t="shared" si="83"/>
        <v>1.4323043198298289</v>
      </c>
      <c r="Y33" s="630">
        <f t="shared" si="223"/>
        <v>-0.45610137560174885</v>
      </c>
      <c r="Z33" s="632">
        <f t="shared" si="6"/>
        <v>-0.21479085165213624</v>
      </c>
      <c r="AA33" s="629">
        <f t="shared" si="7"/>
        <v>-0.93325305936069536</v>
      </c>
      <c r="AB33" s="629">
        <f t="shared" si="8"/>
        <v>-0.28792988250692675</v>
      </c>
      <c r="AC33" s="636">
        <f t="shared" si="84"/>
        <v>1</v>
      </c>
      <c r="AD33" s="637">
        <f t="shared" si="115"/>
        <v>-0.21479085165213624</v>
      </c>
      <c r="AE33" s="629">
        <f t="shared" si="85"/>
        <v>-0.93325305936069536</v>
      </c>
      <c r="AF33" s="633">
        <f t="shared" si="86"/>
        <v>-0.28792988250692675</v>
      </c>
      <c r="AG33" s="602">
        <f t="shared" si="87"/>
        <v>-72.853810835799905</v>
      </c>
      <c r="AH33" s="603">
        <f t="shared" si="88"/>
        <v>102.40325732449789</v>
      </c>
      <c r="AI33" s="585">
        <f t="shared" si="89"/>
        <v>-73.265938377121643</v>
      </c>
      <c r="AJ33" s="586">
        <f t="shared" si="90"/>
        <v>-12.961081907194973</v>
      </c>
      <c r="AK33" s="635">
        <f t="shared" si="211"/>
        <v>0.95630476848795676</v>
      </c>
      <c r="AL33" s="629">
        <f t="shared" si="91"/>
        <v>5.0769799356932183E-2</v>
      </c>
      <c r="AM33" s="634">
        <f t="shared" si="92"/>
        <v>-0.28792988250692675</v>
      </c>
      <c r="AN33" s="581">
        <f t="shared" si="93"/>
        <v>9.9999985561788396</v>
      </c>
      <c r="AO33" s="582">
        <f t="shared" si="94"/>
        <v>16.999997545504005</v>
      </c>
      <c r="AP33" s="585">
        <f t="shared" si="95"/>
        <v>3.0389547658623752</v>
      </c>
      <c r="AQ33" s="586">
        <f t="shared" si="9"/>
        <v>1.5912403869105924</v>
      </c>
      <c r="AS33" s="52">
        <f t="shared" si="116"/>
        <v>-106.00003667305737</v>
      </c>
      <c r="AT33" s="72">
        <f t="shared" si="10"/>
        <v>-0.38249023902323676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2.0514343959169818</v>
      </c>
      <c r="C34" s="708">
        <v>-0.5882407682319577</v>
      </c>
      <c r="D34" s="709">
        <v>-0.26800080829043782</v>
      </c>
      <c r="E34" s="710">
        <v>0.21479085165213624</v>
      </c>
      <c r="F34" s="708">
        <v>0.93325305936069525</v>
      </c>
      <c r="G34" s="711">
        <v>0.28792988250692669</v>
      </c>
      <c r="H34" s="710">
        <v>0.314</v>
      </c>
      <c r="I34" s="708">
        <v>0.52</v>
      </c>
      <c r="J34" s="570">
        <v>3.109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3.109</v>
      </c>
      <c r="N34" s="632">
        <f t="shared" si="2"/>
        <v>2.0514343959169818</v>
      </c>
      <c r="O34" s="629">
        <f t="shared" si="3"/>
        <v>-0.5882407682319577</v>
      </c>
      <c r="P34" s="633">
        <f t="shared" si="4"/>
        <v>-0.26800080829043782</v>
      </c>
      <c r="Q34" s="585">
        <f t="shared" si="113"/>
        <v>343.99996332694263</v>
      </c>
      <c r="R34" s="629">
        <f>IF(M34="","",SQRT(N34^2+O34^2))</f>
        <v>2.1341064364650126</v>
      </c>
      <c r="S34" s="634">
        <f>IF(M34="","",P34)</f>
        <v>-0.26800080829043782</v>
      </c>
      <c r="T34" s="635">
        <f>IF(M34="","",X34*COS(RADIANS(W34)))</f>
        <v>-0.5882407682319577</v>
      </c>
      <c r="U34" s="629">
        <f>IF(M34="","",X34*SIN(RADIANS(W34)))</f>
        <v>-2.0514343959169818</v>
      </c>
      <c r="V34" s="636">
        <f>IF(M34="","",Y34)</f>
        <v>-0.26800080829043782</v>
      </c>
      <c r="W34" s="585">
        <f t="shared" si="224"/>
        <v>253.99996332694263</v>
      </c>
      <c r="X34" s="629">
        <f>IF(M34="","",R34)</f>
        <v>2.1341064364650126</v>
      </c>
      <c r="Y34" s="630">
        <f t="shared" si="223"/>
        <v>-0.26800080829043782</v>
      </c>
      <c r="Z34" s="632">
        <f t="shared" si="6"/>
        <v>-0.21479085165213624</v>
      </c>
      <c r="AA34" s="629">
        <f t="shared" si="7"/>
        <v>-0.93325305936069525</v>
      </c>
      <c r="AB34" s="629">
        <f t="shared" si="8"/>
        <v>-0.28792988250692669</v>
      </c>
      <c r="AC34" s="636">
        <f>IF(M34="","",SQRT(Z34^2+AA34^2+AB34^2))</f>
        <v>1</v>
      </c>
      <c r="AD34" s="637">
        <f>IF(M34="","",Z34*(1/SQRT(Z34^2+AA34^2+AB34^2)))</f>
        <v>-0.21479085165213624</v>
      </c>
      <c r="AE34" s="629">
        <f>IF(M34="","",AA34*(1/SQRT(Z34^2+AA34^2+AB34^2)))</f>
        <v>-0.93325305936069525</v>
      </c>
      <c r="AF34" s="633">
        <f>IF(M34="","",AB34*(1/SQRT(Z34^2+AA34^2+AB34^2)))</f>
        <v>-0.28792988250692669</v>
      </c>
      <c r="AG34" s="602">
        <f>IF(M34="","",DEGREES(ATAN2(-AF34,AE34)))</f>
        <v>-72.853810835799905</v>
      </c>
      <c r="AH34" s="603">
        <f>IF(M34="","",DEGREES(ACOS(AD34)))</f>
        <v>102.40325732449789</v>
      </c>
      <c r="AI34" s="585">
        <f>IF(M34="","",DEGREES(-ACOS(-AF34)))</f>
        <v>-73.265938377121643</v>
      </c>
      <c r="AJ34" s="586">
        <f>IF(M34="","",DEGREES(ATAN2(-AE34,AD34)))</f>
        <v>-12.961081907194975</v>
      </c>
      <c r="AK34" s="635">
        <f>IF(M34="","",(COS(RADIANS((90-$Q$8)-W34))*AD34)+(-SIN(RADIANS((90-$Q$8)-W34))*AE34))</f>
        <v>0.95630476848795665</v>
      </c>
      <c r="AL34" s="629">
        <f>IF(M34="","",(SIN(RADIANS((90-$Q$8)-W34))*AD34)+(COS(RADIANS((90-$Q$8)-W34))*AE34))</f>
        <v>5.0769799356932127E-2</v>
      </c>
      <c r="AM34" s="634">
        <f>IF(M34="","",AF34)</f>
        <v>-0.28792988250692669</v>
      </c>
      <c r="AN34" s="581">
        <f>IF(M34="","",DEGREES(ATAN2(-AM34,AL34)))</f>
        <v>9.9999985561788307</v>
      </c>
      <c r="AO34" s="582">
        <f t="shared" si="94"/>
        <v>16.999997545504019</v>
      </c>
      <c r="AP34" s="585">
        <f>IF(M34="","",DEGREES(ATAN2(AK34,AL34)))</f>
        <v>3.0389547658623726</v>
      </c>
      <c r="AQ34" s="586">
        <f t="shared" si="9"/>
        <v>1.0681109895321386</v>
      </c>
      <c r="AS34" s="52">
        <f t="shared" si="116"/>
        <v>-106.00003667305737</v>
      </c>
      <c r="AT34" s="72">
        <f t="shared" si="10"/>
        <v>-0.19438967171192575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2.7658306236539754</v>
      </c>
      <c r="C35" s="708">
        <v>-0.79387477380347182</v>
      </c>
      <c r="D35" s="709">
        <v>-8.6600261186387736E-2</v>
      </c>
      <c r="E35" s="710">
        <v>0.24807122128821138</v>
      </c>
      <c r="F35" s="708">
        <v>0.92364645313742888</v>
      </c>
      <c r="G35" s="711">
        <v>0.29212651159253389</v>
      </c>
      <c r="H35" s="710">
        <v>0.314</v>
      </c>
      <c r="I35" s="708">
        <v>0.52</v>
      </c>
      <c r="J35" s="570">
        <v>3.113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3.113</v>
      </c>
      <c r="N35" s="632">
        <f t="shared" si="2"/>
        <v>2.7658306236539754</v>
      </c>
      <c r="O35" s="629">
        <f t="shared" si="3"/>
        <v>-0.79387477380347182</v>
      </c>
      <c r="P35" s="633">
        <f t="shared" si="4"/>
        <v>-8.6600261186387736E-2</v>
      </c>
      <c r="Q35" s="585">
        <f t="shared" si="113"/>
        <v>343.98496332910838</v>
      </c>
      <c r="R35" s="629">
        <f>IF(M35="","",SQRT(N35^2+O35^2))</f>
        <v>2.8775086785661745</v>
      </c>
      <c r="S35" s="634">
        <f>IF(M35="","",P35)</f>
        <v>-8.6600261186387736E-2</v>
      </c>
      <c r="T35" s="635">
        <f>IF(M35="","",X35*COS(RADIANS(W35)))</f>
        <v>-0.79387477380347315</v>
      </c>
      <c r="U35" s="629">
        <f>IF(M35="","",X35*SIN(RADIANS(W35)))</f>
        <v>-2.7658306236539749</v>
      </c>
      <c r="V35" s="636">
        <f>IF(M35="","",Y35)</f>
        <v>-8.6600261186387736E-2</v>
      </c>
      <c r="W35" s="585">
        <f t="shared" si="224"/>
        <v>253.98496332910838</v>
      </c>
      <c r="X35" s="629">
        <f>IF(M35="","",R35)</f>
        <v>2.8775086785661745</v>
      </c>
      <c r="Y35" s="630">
        <f t="shared" si="223"/>
        <v>-8.6600261186387736E-2</v>
      </c>
      <c r="Z35" s="632">
        <f t="shared" si="6"/>
        <v>-0.24807122128821138</v>
      </c>
      <c r="AA35" s="629">
        <f t="shared" si="7"/>
        <v>-0.92364645313742888</v>
      </c>
      <c r="AB35" s="629">
        <f t="shared" si="8"/>
        <v>-0.29212651159253389</v>
      </c>
      <c r="AC35" s="636">
        <f>IF(M35="","",SQRT(Z35^2+AA35^2+AB35^2))</f>
        <v>1</v>
      </c>
      <c r="AD35" s="637">
        <f>IF(M35="","",Z35*(1/SQRT(Z35^2+AA35^2+AB35^2)))</f>
        <v>-0.24807122128821138</v>
      </c>
      <c r="AE35" s="629">
        <f>IF(M35="","",AA35*(1/SQRT(Z35^2+AA35^2+AB35^2)))</f>
        <v>-0.92364645313742888</v>
      </c>
      <c r="AF35" s="633">
        <f>IF(M35="","",AB35*(1/SQRT(Z35^2+AA35^2+AB35^2)))</f>
        <v>-0.29212651159253389</v>
      </c>
      <c r="AG35" s="602">
        <f>IF(M35="","",DEGREES(ATAN2(-AF35,AE35)))</f>
        <v>-72.449126190777335</v>
      </c>
      <c r="AH35" s="603">
        <f>IF(M35="","",DEGREES(ACOS(AD35)))</f>
        <v>104.36340630175894</v>
      </c>
      <c r="AI35" s="585">
        <f>IF(M35="","",DEGREES(-ACOS(-AF35)))</f>
        <v>-73.014689858035041</v>
      </c>
      <c r="AJ35" s="586">
        <f>IF(M35="","",DEGREES(ATAN2(-AE35,AD35)))</f>
        <v>-15.033615341532268</v>
      </c>
      <c r="AK35" s="635">
        <f>IF(M35="","",(COS(RADIANS((90-$Q$8)-W35))*AD35)+(-SIN(RADIANS((90-$Q$8)-W35))*AE35))</f>
        <v>0.95623938537529884</v>
      </c>
      <c r="AL35" s="629">
        <f>IF(M35="","",(SIN(RADIANS((90-$Q$8)-W35))*AD35)+(COS(RADIANS((90-$Q$8)-W35))*AE35))</f>
        <v>1.6381058630261791E-2</v>
      </c>
      <c r="AM35" s="634">
        <f>IF(M35="","",AF35)</f>
        <v>-0.29212651159253389</v>
      </c>
      <c r="AN35" s="581">
        <f>IF(M35="","",DEGREES(ATAN2(-AM35,AL35)))</f>
        <v>3.2095122722226903</v>
      </c>
      <c r="AO35" s="582">
        <f t="shared" si="94"/>
        <v>17.012805925425344</v>
      </c>
      <c r="AP35" s="585">
        <f>IF(M35="","",DEGREES(ATAN2(AK35,AL35)))</f>
        <v>0.98142132935937698</v>
      </c>
      <c r="AQ35" s="586">
        <f t="shared" si="9"/>
        <v>0.79220659569835761</v>
      </c>
      <c r="AS35" s="52">
        <f t="shared" si="116"/>
        <v>-106.01503667089162</v>
      </c>
      <c r="AT35" s="72">
        <f t="shared" si="10"/>
        <v>-1.2978707942712997E-2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3.5063341499629512</v>
      </c>
      <c r="C36" s="708">
        <v>-1.0448862445442397</v>
      </c>
      <c r="D36" s="709">
        <v>-0.14510043762291988</v>
      </c>
      <c r="E36" s="710">
        <v>0.4033461411632831</v>
      </c>
      <c r="F36" s="708">
        <v>0.87419882796278736</v>
      </c>
      <c r="G36" s="711">
        <v>0.27034847807446205</v>
      </c>
      <c r="H36" s="710">
        <v>0.314</v>
      </c>
      <c r="I36" s="708">
        <v>0.52</v>
      </c>
      <c r="J36" s="570">
        <v>3.12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3.12</v>
      </c>
      <c r="N36" s="632">
        <f t="shared" si="2"/>
        <v>3.5063341499629512</v>
      </c>
      <c r="O36" s="629">
        <f t="shared" si="3"/>
        <v>-1.0448862445442397</v>
      </c>
      <c r="P36" s="633">
        <f t="shared" si="4"/>
        <v>-0.14510043762291988</v>
      </c>
      <c r="Q36" s="585">
        <f t="shared" si="113"/>
        <v>343.4059634127056</v>
      </c>
      <c r="R36" s="629">
        <f>IF(M36="","",SQRT(N36^2+O36^2))</f>
        <v>3.6587110346724807</v>
      </c>
      <c r="S36" s="634">
        <f>IF(M36="","",P36)</f>
        <v>-0.14510043762291988</v>
      </c>
      <c r="T36" s="635">
        <f>IF(M36="","",X36*COS(RADIANS(W36)))</f>
        <v>-1.0448862445442404</v>
      </c>
      <c r="U36" s="629">
        <f>IF(M36="","",X36*SIN(RADIANS(W36)))</f>
        <v>-3.5063341499629503</v>
      </c>
      <c r="V36" s="636">
        <f>IF(M36="","",Y36)</f>
        <v>-0.14510043762291988</v>
      </c>
      <c r="W36" s="585">
        <f t="shared" si="224"/>
        <v>253.4059634127056</v>
      </c>
      <c r="X36" s="629">
        <f>IF(M36="","",R36)</f>
        <v>3.6587110346724807</v>
      </c>
      <c r="Y36" s="630">
        <f t="shared" si="223"/>
        <v>-0.14510043762291988</v>
      </c>
      <c r="Z36" s="632">
        <f t="shared" si="6"/>
        <v>-0.4033461411632831</v>
      </c>
      <c r="AA36" s="629">
        <f t="shared" si="7"/>
        <v>-0.87419882796278736</v>
      </c>
      <c r="AB36" s="629">
        <f t="shared" si="8"/>
        <v>-0.27034847807446205</v>
      </c>
      <c r="AC36" s="636">
        <f>IF(M36="","",SQRT(Z36^2+AA36^2+AB36^2))</f>
        <v>1</v>
      </c>
      <c r="AD36" s="637">
        <f>IF(M36="","",Z36*(1/SQRT(Z36^2+AA36^2+AB36^2)))</f>
        <v>-0.4033461411632831</v>
      </c>
      <c r="AE36" s="629">
        <f>IF(M36="","",AA36*(1/SQRT(Z36^2+AA36^2+AB36^2)))</f>
        <v>-0.87419882796278736</v>
      </c>
      <c r="AF36" s="633">
        <f>IF(M36="","",AB36*(1/SQRT(Z36^2+AA36^2+AB36^2)))</f>
        <v>-0.27034847807446205</v>
      </c>
      <c r="AG36" s="602">
        <f>IF(M36="","",DEGREES(ATAN2(-AF36,AE36)))</f>
        <v>-72.815627438475786</v>
      </c>
      <c r="AH36" s="603">
        <f>IF(M36="","",DEGREES(ACOS(AD36)))</f>
        <v>113.78752928175921</v>
      </c>
      <c r="AI36" s="585">
        <f>IF(M36="","",DEGREES(-ACOS(-AF36)))</f>
        <v>-74.314995627134536</v>
      </c>
      <c r="AJ36" s="586">
        <f>IF(M36="","",DEGREES(ATAN2(-AE36,AD36)))</f>
        <v>-24.768103083437953</v>
      </c>
      <c r="AK36" s="635">
        <f>IF(M36="","",(COS(RADIANS((90-$Q$8)-W36))*AD36)+(-SIN(RADIANS((90-$Q$8)-W36))*AE36))</f>
        <v>0.95298152983189643</v>
      </c>
      <c r="AL36" s="629">
        <f>IF(M36="","",(SIN(RADIANS((90-$Q$8)-W36))*AD36)+(COS(RADIANS((90-$Q$8)-W36))*AE36))</f>
        <v>-0.13688646464161555</v>
      </c>
      <c r="AM36" s="634">
        <f>IF(M36="","",AF36)</f>
        <v>-0.27034847807446205</v>
      </c>
      <c r="AN36" s="581">
        <f>IF(M36="","",DEGREES(ATAN2(-AM36,AL36)))</f>
        <v>-26.854616896821792</v>
      </c>
      <c r="AO36" s="582">
        <f t="shared" si="94"/>
        <v>17.639586244138741</v>
      </c>
      <c r="AP36" s="585">
        <f>IF(M36="","",DEGREES(ATAN2(AK36,AL36)))</f>
        <v>-8.1740664961435705</v>
      </c>
      <c r="AQ36" s="586">
        <f t="shared" si="9"/>
        <v>0.62307100628706225</v>
      </c>
      <c r="AS36" s="52">
        <f t="shared" si="116"/>
        <v>-106.5940365872944</v>
      </c>
      <c r="AT36" s="72">
        <f t="shared" si="10"/>
        <v>-7.1076801103965442E-2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4.133569155723559</v>
      </c>
      <c r="C37" s="708">
        <v>-1.3054541047488246</v>
      </c>
      <c r="D37" s="709">
        <v>-0.49370148900369087</v>
      </c>
      <c r="E37" s="710">
        <v>0.54635257443626895</v>
      </c>
      <c r="F37" s="708">
        <v>0.80850016771193434</v>
      </c>
      <c r="G37" s="711">
        <v>0.21869234832667384</v>
      </c>
      <c r="H37" s="710">
        <v>0.314</v>
      </c>
      <c r="I37" s="708">
        <v>0.52</v>
      </c>
      <c r="J37" s="570">
        <v>3.1269999999999998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3.1269999999999998</v>
      </c>
      <c r="N37" s="632">
        <f t="shared" si="2"/>
        <v>4.133569155723559</v>
      </c>
      <c r="O37" s="629">
        <f t="shared" si="3"/>
        <v>-1.3054541047488246</v>
      </c>
      <c r="P37" s="633">
        <f t="shared" si="4"/>
        <v>-0.49370148900369087</v>
      </c>
      <c r="Q37" s="585">
        <f t="shared" si="113"/>
        <v>342.47296354741417</v>
      </c>
      <c r="R37" s="629">
        <f t="shared" si="79"/>
        <v>4.3348130737962318</v>
      </c>
      <c r="S37" s="634">
        <f t="shared" si="80"/>
        <v>-0.49370148900369087</v>
      </c>
      <c r="T37" s="635">
        <f t="shared" si="81"/>
        <v>-1.3054541047488231</v>
      </c>
      <c r="U37" s="629">
        <f t="shared" si="82"/>
        <v>-4.1335691557235599</v>
      </c>
      <c r="V37" s="636">
        <f t="shared" si="114"/>
        <v>-0.49370148900369087</v>
      </c>
      <c r="W37" s="585">
        <f t="shared" si="224"/>
        <v>252.47296354741417</v>
      </c>
      <c r="X37" s="629">
        <f t="shared" si="83"/>
        <v>4.3348130737962318</v>
      </c>
      <c r="Y37" s="630">
        <f t="shared" si="223"/>
        <v>-0.49370148900369087</v>
      </c>
      <c r="Z37" s="632">
        <f t="shared" si="6"/>
        <v>-0.54635257443626895</v>
      </c>
      <c r="AA37" s="629">
        <f t="shared" si="7"/>
        <v>-0.80850016771193434</v>
      </c>
      <c r="AB37" s="629">
        <f t="shared" si="8"/>
        <v>-0.21869234832667384</v>
      </c>
      <c r="AC37" s="636">
        <f t="shared" si="84"/>
        <v>1</v>
      </c>
      <c r="AD37" s="637">
        <f t="shared" si="115"/>
        <v>-0.54635257443626895</v>
      </c>
      <c r="AE37" s="629">
        <f t="shared" si="85"/>
        <v>-0.80850016771193434</v>
      </c>
      <c r="AF37" s="633">
        <f t="shared" si="86"/>
        <v>-0.21869234832667384</v>
      </c>
      <c r="AG37" s="602">
        <f t="shared" si="87"/>
        <v>-74.864185626790984</v>
      </c>
      <c r="AH37" s="603">
        <f t="shared" si="88"/>
        <v>123.1171423793288</v>
      </c>
      <c r="AI37" s="585">
        <f t="shared" si="89"/>
        <v>-77.367760068098534</v>
      </c>
      <c r="AJ37" s="586">
        <f t="shared" si="90"/>
        <v>-34.049278669322725</v>
      </c>
      <c r="AK37" s="635">
        <f t="shared" si="211"/>
        <v>0.93550275353347723</v>
      </c>
      <c r="AL37" s="629">
        <f t="shared" si="91"/>
        <v>-0.27750361243531019</v>
      </c>
      <c r="AM37" s="634">
        <f t="shared" si="92"/>
        <v>-0.21869234832667384</v>
      </c>
      <c r="AN37" s="581">
        <f t="shared" si="93"/>
        <v>-51.759406106998277</v>
      </c>
      <c r="AO37" s="582">
        <f t="shared" si="94"/>
        <v>20.690479370475241</v>
      </c>
      <c r="AP37" s="585">
        <f t="shared" si="95"/>
        <v>-16.522242216736892</v>
      </c>
      <c r="AQ37" s="586">
        <f t="shared" si="9"/>
        <v>0.5258964049056617</v>
      </c>
      <c r="AS37" s="52">
        <f t="shared" si="116"/>
        <v>-107.52703645258583</v>
      </c>
      <c r="AT37" s="72">
        <f t="shared" si="10"/>
        <v>-0.41902993591161736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3.1269999999999998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4.5792231031731925</v>
      </c>
      <c r="C38" s="708">
        <v>-1.5194032622276414</v>
      </c>
      <c r="D38" s="709">
        <v>-1.0758032446225856</v>
      </c>
      <c r="E38" s="710">
        <v>0.65900693753695028</v>
      </c>
      <c r="F38" s="708">
        <v>0.74046261607417796</v>
      </c>
      <c r="G38" s="711">
        <v>0.13200367598955309</v>
      </c>
      <c r="H38" s="710">
        <v>0.314</v>
      </c>
      <c r="I38" s="708">
        <v>0.52</v>
      </c>
      <c r="J38" s="570">
        <v>3.1339999999999999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3.1339999999999999</v>
      </c>
      <c r="N38" s="632">
        <f t="shared" si="2"/>
        <v>4.5792231031731925</v>
      </c>
      <c r="O38" s="629">
        <f t="shared" si="3"/>
        <v>-1.5194032622276414</v>
      </c>
      <c r="P38" s="633">
        <f t="shared" si="4"/>
        <v>-1.0758032446225856</v>
      </c>
      <c r="Q38" s="585">
        <f t="shared" si="113"/>
        <v>341.6439636671069</v>
      </c>
      <c r="R38" s="629">
        <f t="shared" si="79"/>
        <v>4.8247145513390866</v>
      </c>
      <c r="S38" s="634">
        <f t="shared" si="80"/>
        <v>-1.0758032446225856</v>
      </c>
      <c r="T38" s="635">
        <f t="shared" si="81"/>
        <v>-1.5194032622276457</v>
      </c>
      <c r="U38" s="629">
        <f t="shared" si="82"/>
        <v>-4.5792231031731916</v>
      </c>
      <c r="V38" s="636">
        <f t="shared" si="114"/>
        <v>-1.0758032446225856</v>
      </c>
      <c r="W38" s="585">
        <f t="shared" si="224"/>
        <v>251.6439636671069</v>
      </c>
      <c r="X38" s="629">
        <f t="shared" si="83"/>
        <v>4.8247145513390866</v>
      </c>
      <c r="Y38" s="630">
        <f t="shared" si="223"/>
        <v>-1.0758032446225856</v>
      </c>
      <c r="Z38" s="632">
        <f t="shared" si="6"/>
        <v>-0.65900693753695028</v>
      </c>
      <c r="AA38" s="629">
        <f t="shared" si="7"/>
        <v>-0.74046261607417796</v>
      </c>
      <c r="AB38" s="629">
        <f t="shared" si="8"/>
        <v>-0.13200367598955309</v>
      </c>
      <c r="AC38" s="636">
        <f t="shared" si="84"/>
        <v>1</v>
      </c>
      <c r="AD38" s="637">
        <f t="shared" si="115"/>
        <v>-0.65900693753695028</v>
      </c>
      <c r="AE38" s="629">
        <f t="shared" si="85"/>
        <v>-0.74046261607417796</v>
      </c>
      <c r="AF38" s="633">
        <f t="shared" si="86"/>
        <v>-0.13200367598955309</v>
      </c>
      <c r="AG38" s="602">
        <f t="shared" si="87"/>
        <v>-79.891960700962201</v>
      </c>
      <c r="AH38" s="603">
        <f t="shared" si="88"/>
        <v>131.22418011299149</v>
      </c>
      <c r="AI38" s="585">
        <f t="shared" si="89"/>
        <v>-82.414607534133339</v>
      </c>
      <c r="AJ38" s="586">
        <f t="shared" si="90"/>
        <v>-41.668875765566909</v>
      </c>
      <c r="AK38" s="635">
        <f t="shared" si="211"/>
        <v>0.91032138016708775</v>
      </c>
      <c r="AL38" s="629">
        <f t="shared" si="91"/>
        <v>-0.39228817766526403</v>
      </c>
      <c r="AM38" s="634">
        <f t="shared" si="92"/>
        <v>-0.13200367598955309</v>
      </c>
      <c r="AN38" s="581">
        <f t="shared" si="93"/>
        <v>-71.402083634999272</v>
      </c>
      <c r="AO38" s="582">
        <f t="shared" si="94"/>
        <v>24.450198271569434</v>
      </c>
      <c r="AP38" s="585">
        <f t="shared" si="95"/>
        <v>-23.312839432673783</v>
      </c>
      <c r="AQ38" s="586">
        <f t="shared" si="9"/>
        <v>0.47249944590385817</v>
      </c>
      <c r="AS38" s="52">
        <f t="shared" si="116"/>
        <v>-108.3560363328931</v>
      </c>
      <c r="AT38" s="72">
        <f t="shared" si="10"/>
        <v>-1.0005559971691875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3.1339999999999999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4.7838581449281703</v>
      </c>
      <c r="C39" s="708">
        <v>-1.6262326203583866</v>
      </c>
      <c r="D39" s="709">
        <v>-1.801505433340387</v>
      </c>
      <c r="E39" s="710">
        <v>0.76407608577724451</v>
      </c>
      <c r="F39" s="708">
        <v>0.64331651531411338</v>
      </c>
      <c r="G39" s="711">
        <v>4.8286605466021114E-2</v>
      </c>
      <c r="H39" s="710">
        <v>0.314</v>
      </c>
      <c r="I39" s="708">
        <v>0.52</v>
      </c>
      <c r="J39" s="570">
        <v>3.141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3.141</v>
      </c>
      <c r="N39" s="632">
        <f t="shared" si="2"/>
        <v>4.7838581449281703</v>
      </c>
      <c r="O39" s="629">
        <f t="shared" si="3"/>
        <v>-1.6262326203583866</v>
      </c>
      <c r="P39" s="633">
        <f t="shared" si="4"/>
        <v>-1.801505433340387</v>
      </c>
      <c r="Q39" s="585">
        <f t="shared" si="113"/>
        <v>341.22496372760304</v>
      </c>
      <c r="R39" s="629">
        <f t="shared" si="79"/>
        <v>5.0527152389891619</v>
      </c>
      <c r="S39" s="634">
        <f t="shared" si="80"/>
        <v>-1.801505433340387</v>
      </c>
      <c r="T39" s="635">
        <f t="shared" si="81"/>
        <v>-1.6262326203583863</v>
      </c>
      <c r="U39" s="629">
        <f t="shared" si="82"/>
        <v>-4.7838581449281703</v>
      </c>
      <c r="V39" s="636">
        <f t="shared" si="114"/>
        <v>-1.801505433340387</v>
      </c>
      <c r="W39" s="585">
        <f t="shared" si="224"/>
        <v>251.22496372760304</v>
      </c>
      <c r="X39" s="629">
        <f t="shared" si="83"/>
        <v>5.0527152389891619</v>
      </c>
      <c r="Y39" s="630">
        <f t="shared" si="223"/>
        <v>-1.801505433340387</v>
      </c>
      <c r="Z39" s="632">
        <f t="shared" si="6"/>
        <v>-0.76407608577724451</v>
      </c>
      <c r="AA39" s="629">
        <f t="shared" si="7"/>
        <v>-0.64331651531411338</v>
      </c>
      <c r="AB39" s="629">
        <f t="shared" si="8"/>
        <v>-4.8286605466021114E-2</v>
      </c>
      <c r="AC39" s="636">
        <f t="shared" si="84"/>
        <v>1</v>
      </c>
      <c r="AD39" s="637">
        <f t="shared" si="115"/>
        <v>-0.76407608577724451</v>
      </c>
      <c r="AE39" s="629">
        <f t="shared" si="85"/>
        <v>-0.64331651531411338</v>
      </c>
      <c r="AF39" s="633">
        <f t="shared" si="86"/>
        <v>-4.8286605466021114E-2</v>
      </c>
      <c r="AG39" s="602">
        <f t="shared" si="87"/>
        <v>-85.70749301320177</v>
      </c>
      <c r="AH39" s="603">
        <f t="shared" si="88"/>
        <v>139.82486640807087</v>
      </c>
      <c r="AI39" s="585">
        <f t="shared" si="89"/>
        <v>-87.232305063888603</v>
      </c>
      <c r="AJ39" s="586">
        <f t="shared" si="90"/>
        <v>-49.904181261644638</v>
      </c>
      <c r="AK39" s="635">
        <f t="shared" si="211"/>
        <v>0.85500571521287816</v>
      </c>
      <c r="AL39" s="629">
        <f t="shared" si="91"/>
        <v>-0.51636579155273599</v>
      </c>
      <c r="AM39" s="634">
        <f t="shared" si="92"/>
        <v>-4.8286605466021114E-2</v>
      </c>
      <c r="AN39" s="581">
        <f t="shared" si="93"/>
        <v>-84.657670012637439</v>
      </c>
      <c r="AO39" s="582">
        <f t="shared" si="94"/>
        <v>31.239633818430423</v>
      </c>
      <c r="AP39" s="585">
        <f t="shared" si="95"/>
        <v>-31.12914498924766</v>
      </c>
      <c r="AQ39" s="586">
        <f t="shared" si="9"/>
        <v>0.45117909934824524</v>
      </c>
      <c r="AS39" s="52">
        <f t="shared" si="116"/>
        <v>-108.77503627239696</v>
      </c>
      <c r="AT39" s="72">
        <f t="shared" si="10"/>
        <v>-1.7259672137067781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3.141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4.7937983396410377</v>
      </c>
      <c r="C40" s="708">
        <v>-1.6314786521813462</v>
      </c>
      <c r="D40" s="709">
        <v>-2.5668077414921489</v>
      </c>
      <c r="E40" s="710">
        <v>0.77663474383265041</v>
      </c>
      <c r="F40" s="708">
        <v>0.62977841968390791</v>
      </c>
      <c r="G40" s="711">
        <v>1.4751839628780294E-2</v>
      </c>
      <c r="H40" s="710">
        <v>0.314</v>
      </c>
      <c r="I40" s="708">
        <v>0.52</v>
      </c>
      <c r="J40" s="570">
        <v>3.1480000000000001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3.1480000000000001</v>
      </c>
      <c r="N40" s="632">
        <f t="shared" si="2"/>
        <v>4.7937983396410377</v>
      </c>
      <c r="O40" s="629">
        <f t="shared" si="3"/>
        <v>-1.6314786521813462</v>
      </c>
      <c r="P40" s="633">
        <f t="shared" si="4"/>
        <v>-2.5668077414921489</v>
      </c>
      <c r="Q40" s="585">
        <f t="shared" si="113"/>
        <v>341.20496373049065</v>
      </c>
      <c r="R40" s="629">
        <f t="shared" si="79"/>
        <v>5.0638152724668606</v>
      </c>
      <c r="S40" s="634">
        <f t="shared" si="80"/>
        <v>-2.5668077414921489</v>
      </c>
      <c r="T40" s="635">
        <f t="shared" si="81"/>
        <v>-1.6314786521813465</v>
      </c>
      <c r="U40" s="629">
        <f t="shared" si="82"/>
        <v>-4.7937983396410369</v>
      </c>
      <c r="V40" s="636">
        <f t="shared" si="114"/>
        <v>-2.5668077414921489</v>
      </c>
      <c r="W40" s="585">
        <f t="shared" si="224"/>
        <v>251.20496373049065</v>
      </c>
      <c r="X40" s="629">
        <f t="shared" si="83"/>
        <v>5.0638152724668606</v>
      </c>
      <c r="Y40" s="630">
        <f t="shared" si="223"/>
        <v>-2.5668077414921489</v>
      </c>
      <c r="Z40" s="632">
        <f t="shared" si="6"/>
        <v>-0.77663474383265041</v>
      </c>
      <c r="AA40" s="629">
        <f t="shared" si="7"/>
        <v>-0.62977841968390791</v>
      </c>
      <c r="AB40" s="629">
        <f t="shared" si="8"/>
        <v>-1.4751839628780294E-2</v>
      </c>
      <c r="AC40" s="636">
        <f t="shared" si="84"/>
        <v>1</v>
      </c>
      <c r="AD40" s="637">
        <f t="shared" si="115"/>
        <v>-0.77663474383265041</v>
      </c>
      <c r="AE40" s="629">
        <f t="shared" si="85"/>
        <v>-0.62977841968390791</v>
      </c>
      <c r="AF40" s="633">
        <f t="shared" si="86"/>
        <v>-1.4751839628780294E-2</v>
      </c>
      <c r="AG40" s="602">
        <f t="shared" si="87"/>
        <v>-88.658157232291188</v>
      </c>
      <c r="AH40" s="603">
        <f t="shared" si="88"/>
        <v>140.95348007273654</v>
      </c>
      <c r="AI40" s="585">
        <f t="shared" si="89"/>
        <v>-89.154751190606973</v>
      </c>
      <c r="AJ40" s="586">
        <f t="shared" si="90"/>
        <v>-50.96116786684825</v>
      </c>
      <c r="AK40" s="635">
        <f t="shared" si="211"/>
        <v>0.84641589732395228</v>
      </c>
      <c r="AL40" s="629">
        <f t="shared" si="91"/>
        <v>-0.53231805528730247</v>
      </c>
      <c r="AM40" s="634">
        <f t="shared" si="92"/>
        <v>-1.4751839628780294E-2</v>
      </c>
      <c r="AN40" s="581">
        <f t="shared" si="93"/>
        <v>-88.412599625742672</v>
      </c>
      <c r="AO40" s="582">
        <f t="shared" si="94"/>
        <v>32.17604360251358</v>
      </c>
      <c r="AP40" s="585">
        <f t="shared" si="95"/>
        <v>-32.166131597338904</v>
      </c>
      <c r="AQ40" s="586">
        <f t="shared" si="9"/>
        <v>0.45019014211149172</v>
      </c>
      <c r="AS40" s="52">
        <f t="shared" si="116"/>
        <v>-108.79503626950935</v>
      </c>
      <c r="AT40" s="72">
        <f t="shared" si="10"/>
        <v>-2.4912556329716562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3.1480000000000001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1.5716900375611145</v>
      </c>
      <c r="C41" s="708">
        <v>-1.443676109102225</v>
      </c>
      <c r="D41" s="709">
        <v>-0.24653016883550824</v>
      </c>
      <c r="E41" s="710">
        <v>-0.12788525435940781</v>
      </c>
      <c r="F41" s="708">
        <v>0.11746932665939742</v>
      </c>
      <c r="G41" s="711">
        <v>0.98480775738801807</v>
      </c>
      <c r="H41" s="710">
        <v>0.26250000000000001</v>
      </c>
      <c r="I41" s="708">
        <v>0.40699999999999997</v>
      </c>
      <c r="J41" s="570">
        <v>3.2090000000000001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3.2090000000000001</v>
      </c>
      <c r="N41" s="632">
        <f t="shared" ref="N41:N72" si="240">IF(M41="","",B41)</f>
        <v>1.5716900375611145</v>
      </c>
      <c r="O41" s="629">
        <f t="shared" ref="O41:O72" si="241">IF(M41="","",C41)</f>
        <v>-1.443676109102225</v>
      </c>
      <c r="P41" s="633">
        <f t="shared" ref="P41:P72" si="242">IF(M41="","",D41)</f>
        <v>-0.24653016883550824</v>
      </c>
      <c r="Q41" s="585">
        <f t="shared" si="113"/>
        <v>317.43096716303108</v>
      </c>
      <c r="R41" s="629">
        <f t="shared" si="79"/>
        <v>2.1341064364650131</v>
      </c>
      <c r="S41" s="634">
        <f t="shared" si="80"/>
        <v>-0.24653016883550824</v>
      </c>
      <c r="T41" s="635">
        <f t="shared" si="81"/>
        <v>-1.4436761091022252</v>
      </c>
      <c r="U41" s="629">
        <f t="shared" si="82"/>
        <v>-1.5716900375611145</v>
      </c>
      <c r="V41" s="636">
        <f t="shared" si="114"/>
        <v>-0.24653016883550824</v>
      </c>
      <c r="W41" s="585">
        <f t="shared" si="224"/>
        <v>227.43096716303108</v>
      </c>
      <c r="X41" s="629">
        <f t="shared" si="83"/>
        <v>2.1341064364650131</v>
      </c>
      <c r="Y41" s="630">
        <f t="shared" si="223"/>
        <v>-0.24653016883550824</v>
      </c>
      <c r="Z41" s="632">
        <f t="shared" ref="Z41:Z72" si="243">IF(M41="","",-E41)</f>
        <v>0.12788525435940781</v>
      </c>
      <c r="AA41" s="629">
        <f t="shared" ref="AA41:AA72" si="244">IF(M41="","",-F41)</f>
        <v>-0.11746932665939742</v>
      </c>
      <c r="AB41" s="629">
        <f t="shared" ref="AB41:AB72" si="245">IF(M41="","",-G41)</f>
        <v>-0.98480775738801807</v>
      </c>
      <c r="AC41" s="636">
        <f t="shared" si="84"/>
        <v>1</v>
      </c>
      <c r="AD41" s="637">
        <f t="shared" si="115"/>
        <v>0.12788525435940781</v>
      </c>
      <c r="AE41" s="629">
        <f t="shared" si="85"/>
        <v>-0.11746932665939742</v>
      </c>
      <c r="AF41" s="633">
        <f t="shared" si="86"/>
        <v>-0.98480775738801807</v>
      </c>
      <c r="AG41" s="602">
        <f t="shared" si="87"/>
        <v>-6.8021862031571469</v>
      </c>
      <c r="AH41" s="603">
        <f t="shared" si="88"/>
        <v>82.652593709840218</v>
      </c>
      <c r="AI41" s="585">
        <f t="shared" si="89"/>
        <v>-9.9999985561871902</v>
      </c>
      <c r="AJ41" s="586">
        <f t="shared" si="90"/>
        <v>47.430892331308513</v>
      </c>
      <c r="AK41" s="635">
        <f t="shared" si="211"/>
        <v>2.2679489676546982E-7</v>
      </c>
      <c r="AL41" s="629">
        <f t="shared" si="91"/>
        <v>0.17364815285032897</v>
      </c>
      <c r="AM41" s="634">
        <f t="shared" si="92"/>
        <v>-0.98480775738801807</v>
      </c>
      <c r="AN41" s="581">
        <f t="shared" si="93"/>
        <v>9.999998556178852</v>
      </c>
      <c r="AO41" s="582">
        <f t="shared" si="94"/>
        <v>0</v>
      </c>
      <c r="AP41" s="585">
        <f t="shared" si="95"/>
        <v>89.999925168277429</v>
      </c>
      <c r="AQ41" s="586">
        <f t="shared" ref="AQ41:AQ72" si="246">IF(M41="","",DEGREES(ATAN(($AS$5*SIN(RADIANS(90)))/(($X41*2*PI())-($AS$5*COS(RADIANS(90)))))))</f>
        <v>1.0681109895321386</v>
      </c>
      <c r="AS41" s="52">
        <f t="shared" si="116"/>
        <v>-132.56903283696892</v>
      </c>
      <c r="AT41" s="72">
        <f t="shared" ref="AT41:AT72" si="247">IF(M41="","",Y41+(((AS41-$AS$9)*$AS$6)*-1))</f>
        <v>-0.15446834047650204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3.2090000000000001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3.109</v>
      </c>
      <c r="II41" s="734" cm="1">
        <f t="array" ref="II41">IFERROR(ROUND(VALUE(IF($IH41&lt;1,$IH41+LARGE((IF($M$9:$M$150="",0,$M$9:$M$150)-MOD(IF($M$9:$M$150="",0,$M$9:$M$150),1)),1),$IH41)),4),"")</f>
        <v>3.109</v>
      </c>
      <c r="IJ41" s="533">
        <f t="shared" si="112"/>
        <v>1613</v>
      </c>
      <c r="IK41" s="533" t="str">
        <f t="shared" ref="IK41:IK72" si="382">IF(ISNUMBER($II41),INDEX($K$9:$K$150,MATCH($IG41,$M$9:$M$150,0)),"")</f>
        <v>Inactive</v>
      </c>
      <c r="IL41" s="727">
        <f t="shared" si="225"/>
        <v>26.56899616391155</v>
      </c>
      <c r="IM41" s="759">
        <v>1.6505558773594699E-2</v>
      </c>
      <c r="IN41" s="5">
        <f t="shared" si="226"/>
        <v>0.22</v>
      </c>
      <c r="IO41" s="771">
        <v>110</v>
      </c>
      <c r="IP41" s="9">
        <f t="shared" si="227"/>
        <v>-2.1341064364650126</v>
      </c>
      <c r="IQ41" s="5">
        <f t="shared" si="228"/>
        <v>-0.26800080829043782</v>
      </c>
      <c r="IR41" s="5">
        <f t="shared" ref="IR41:IR72" si="383">IF(ISNUMBER($II41),INDEX($H$9:$H$150,MATCH($II41,$M$9:$M$150,0)),"")</f>
        <v>0.314</v>
      </c>
      <c r="IS41" s="5">
        <f t="shared" si="229"/>
        <v>0.30027969730521836</v>
      </c>
      <c r="IT41" s="727">
        <f t="shared" si="230"/>
        <v>-9.9999985561788307</v>
      </c>
      <c r="IU41" s="9">
        <f t="shared" si="231"/>
        <v>-2.1341064364650131</v>
      </c>
      <c r="IV41" s="5">
        <f t="shared" si="232"/>
        <v>-0.24653016883550824</v>
      </c>
      <c r="IW41" s="5">
        <f t="shared" ref="IW41:IW72" si="384">IF(ISNUMBER($II41),$H41,"")</f>
        <v>0.26250000000000001</v>
      </c>
      <c r="IX41" s="5">
        <f t="shared" si="233"/>
        <v>0.26250000000000001</v>
      </c>
      <c r="IY41" s="762">
        <f t="shared" si="234"/>
        <v>-9.999998556178852</v>
      </c>
    </row>
    <row r="42" spans="1:267" ht="15" customHeight="1" x14ac:dyDescent="0.25">
      <c r="A42" s="79"/>
      <c r="B42" s="707">
        <v>2.2820543647374034</v>
      </c>
      <c r="C42" s="708">
        <v>-1.7527932198655429</v>
      </c>
      <c r="D42" s="709">
        <v>-6.2588658088239921E-2</v>
      </c>
      <c r="E42" s="710">
        <v>-7.6011860712021415E-2</v>
      </c>
      <c r="F42" s="708">
        <v>5.838323957063575E-2</v>
      </c>
      <c r="G42" s="711">
        <v>0.99539619969554538</v>
      </c>
      <c r="H42" s="710">
        <v>0.26250000000000001</v>
      </c>
      <c r="I42" s="708">
        <v>0.40699999999999997</v>
      </c>
      <c r="J42" s="570">
        <v>3.2130000000000001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3.2130000000000001</v>
      </c>
      <c r="N42" s="632">
        <f t="shared" si="240"/>
        <v>2.2820543647374034</v>
      </c>
      <c r="O42" s="629">
        <f t="shared" si="241"/>
        <v>-1.7527932198655429</v>
      </c>
      <c r="P42" s="633">
        <f t="shared" si="242"/>
        <v>-6.2588658088239921E-2</v>
      </c>
      <c r="Q42" s="585">
        <f t="shared" si="113"/>
        <v>322.47296643505643</v>
      </c>
      <c r="R42" s="629">
        <f t="shared" ref="R42:R47" si="385">IF(M42="","",SQRT(N42^2+O42^2))</f>
        <v>2.8775086785661741</v>
      </c>
      <c r="S42" s="634">
        <f t="shared" ref="S42:S47" si="386">IF(M42="","",P42)</f>
        <v>-6.2588658088239921E-2</v>
      </c>
      <c r="T42" s="635">
        <f t="shared" ref="T42:T47" si="387">IF(M42="","",X42*COS(RADIANS(W42)))</f>
        <v>-1.7527932198655436</v>
      </c>
      <c r="U42" s="629">
        <f t="shared" ref="U42:U47" si="388">IF(M42="","",X42*SIN(RADIANS(W42)))</f>
        <v>-2.2820543647374025</v>
      </c>
      <c r="V42" s="636">
        <f t="shared" ref="V42:V47" si="389">IF(M42="","",Y42)</f>
        <v>-6.2588658088239921E-2</v>
      </c>
      <c r="W42" s="585">
        <f t="shared" si="224"/>
        <v>232.47296643505643</v>
      </c>
      <c r="X42" s="629">
        <f t="shared" ref="X42:X47" si="390">IF(M42="","",R42)</f>
        <v>2.8775086785661741</v>
      </c>
      <c r="Y42" s="630">
        <f t="shared" si="223"/>
        <v>-6.2588658088239921E-2</v>
      </c>
      <c r="Z42" s="632">
        <f t="shared" si="243"/>
        <v>7.6011860712021415E-2</v>
      </c>
      <c r="AA42" s="629">
        <f t="shared" si="244"/>
        <v>-5.838323957063575E-2</v>
      </c>
      <c r="AB42" s="629">
        <f t="shared" si="245"/>
        <v>-0.99539619969554538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7.6011860712021415E-2</v>
      </c>
      <c r="AE42" s="629">
        <f t="shared" ref="AE42:AE47" si="393">IF(M42="","",AA42*(1/SQRT(Z42^2+AA42^2+AB42^2)))</f>
        <v>-5.838323957063575E-2</v>
      </c>
      <c r="AF42" s="633">
        <f t="shared" ref="AF42:AF47" si="394">IF(M42="","",AB42*(1/SQRT(Z42^2+AA42^2+AB42^2)))</f>
        <v>-0.99539619969554538</v>
      </c>
      <c r="AG42" s="602">
        <f t="shared" ref="AG42:AG47" si="395">IF(M42="","",DEGREES(ATAN2(-AF42,AE42)))</f>
        <v>-3.3567389165439399</v>
      </c>
      <c r="AH42" s="603">
        <f t="shared" ref="AH42:AH47" si="396">IF(M42="","",DEGREES(ACOS(AD42)))</f>
        <v>85.640636371574615</v>
      </c>
      <c r="AI42" s="585">
        <f t="shared" ref="AI42:AI47" si="397">IF(M42="","",DEGREES(-ACOS(-AF42)))</f>
        <v>-5.4999992059136495</v>
      </c>
      <c r="AJ42" s="586">
        <f t="shared" ref="AJ42:AJ47" si="398">IF(M42="","",DEGREES(ATAN2(-AE42,AD42)))</f>
        <v>52.472830858967505</v>
      </c>
      <c r="AK42" s="635">
        <f t="shared" ref="AK42:AK47" si="399">IF(M42="","",(COS(RADIANS((90-$Q$8)-W42))*AD42)+(-SIN(RADIANS((90-$Q$8)-W42))*AE42))</f>
        <v>2.2679489670995867E-7</v>
      </c>
      <c r="AL42" s="629">
        <f t="shared" ref="AL42:AL47" si="400">IF(M42="","",(SIN(RADIANS((90-$Q$8)-W42))*AD42)+(COS(RADIANS((90-$Q$8)-W42))*AE42))</f>
        <v>9.5845738724340573E-2</v>
      </c>
      <c r="AM42" s="634">
        <f t="shared" ref="AM42:AM47" si="401">IF(M42="","",AF42)</f>
        <v>-0.99539619969554538</v>
      </c>
      <c r="AN42" s="581">
        <f t="shared" ref="AN42:AN47" si="402">IF(M42="","",DEGREES(ATAN2(-AM42,AL42)))</f>
        <v>5.4999992058983613</v>
      </c>
      <c r="AO42" s="582">
        <f t="shared" si="94"/>
        <v>0</v>
      </c>
      <c r="AP42" s="585">
        <f t="shared" ref="AP42:AP47" si="403">IF(M42="","",DEGREES(ATAN2(AK42,AL42)))</f>
        <v>89.999864423911077</v>
      </c>
      <c r="AQ42" s="586">
        <f t="shared" si="246"/>
        <v>0.79220659569835761</v>
      </c>
      <c r="AS42" s="52">
        <f t="shared" si="116"/>
        <v>-127.52703356494357</v>
      </c>
      <c r="AT42" s="72">
        <f t="shared" si="247"/>
        <v>2.5971781887415335E-2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3.2130000000000001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3.113</v>
      </c>
      <c r="II42" s="734" cm="1">
        <f t="array" ref="II42">IFERROR(ROUND(VALUE(IF($IH42&lt;1,$IH42+LARGE((IF($M$9:$M$150="",0,$M$9:$M$150)-MOD(IF($M$9:$M$150="",0,$M$9:$M$150),1)),1),$IH42)),4),"")</f>
        <v>3.113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21.511996894051947</v>
      </c>
      <c r="IM42" s="759">
        <v>1.3782443702504E-2</v>
      </c>
      <c r="IN42" s="5">
        <f t="shared" si="226"/>
        <v>0.22</v>
      </c>
      <c r="IO42" s="771">
        <v>110</v>
      </c>
      <c r="IP42" s="9">
        <f t="shared" si="227"/>
        <v>-2.8775086785661745</v>
      </c>
      <c r="IQ42" s="5">
        <f t="shared" si="228"/>
        <v>-8.6600261186387736E-2</v>
      </c>
      <c r="IR42" s="5">
        <f t="shared" si="383"/>
        <v>0.314</v>
      </c>
      <c r="IS42" s="5">
        <f t="shared" si="229"/>
        <v>0.30025916700784383</v>
      </c>
      <c r="IT42" s="727">
        <f t="shared" si="230"/>
        <v>-3.2095122722226903</v>
      </c>
      <c r="IU42" s="9">
        <f t="shared" si="231"/>
        <v>-2.8775086785661741</v>
      </c>
      <c r="IV42" s="5">
        <f t="shared" si="232"/>
        <v>-6.2588658088239921E-2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-5.4999992058983613</v>
      </c>
    </row>
    <row r="43" spans="1:267" ht="15" customHeight="1" x14ac:dyDescent="0.25">
      <c r="A43" s="79"/>
      <c r="B43" s="707">
        <v>3.1339865510774567</v>
      </c>
      <c r="C43" s="708">
        <v>-1.8879339853129939</v>
      </c>
      <c r="D43" s="709">
        <v>-0.10716682609528737</v>
      </c>
      <c r="E43" s="710">
        <v>0.54082059981510888</v>
      </c>
      <c r="F43" s="708">
        <v>0.7906253515276358</v>
      </c>
      <c r="G43" s="711">
        <v>0.28709690408889549</v>
      </c>
      <c r="H43" s="710">
        <v>0.26600000000000001</v>
      </c>
      <c r="I43" s="708">
        <v>0.52</v>
      </c>
      <c r="J43" s="570">
        <v>3.22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3.22</v>
      </c>
      <c r="N43" s="632">
        <f t="shared" si="240"/>
        <v>3.1339865510774567</v>
      </c>
      <c r="O43" s="629">
        <f t="shared" si="241"/>
        <v>-1.8879339853129939</v>
      </c>
      <c r="P43" s="633">
        <f t="shared" si="242"/>
        <v>-0.10716682609528737</v>
      </c>
      <c r="Q43" s="585">
        <f t="shared" si="113"/>
        <v>328.93496550205924</v>
      </c>
      <c r="R43" s="629">
        <f t="shared" si="385"/>
        <v>3.6587110346724812</v>
      </c>
      <c r="S43" s="634">
        <f t="shared" si="386"/>
        <v>-0.10716682609528737</v>
      </c>
      <c r="T43" s="635">
        <f t="shared" si="387"/>
        <v>-1.8879339853129924</v>
      </c>
      <c r="U43" s="629">
        <f t="shared" si="388"/>
        <v>-3.133986551077458</v>
      </c>
      <c r="V43" s="636">
        <f t="shared" si="389"/>
        <v>-0.10716682609528737</v>
      </c>
      <c r="W43" s="585">
        <f t="shared" si="224"/>
        <v>238.93496550205924</v>
      </c>
      <c r="X43" s="629">
        <f t="shared" si="390"/>
        <v>3.6587110346724812</v>
      </c>
      <c r="Y43" s="630">
        <f t="shared" si="223"/>
        <v>-0.10716682609528737</v>
      </c>
      <c r="Z43" s="632">
        <f t="shared" si="243"/>
        <v>-0.54082059981510888</v>
      </c>
      <c r="AA43" s="629">
        <f t="shared" si="244"/>
        <v>-0.7906253515276358</v>
      </c>
      <c r="AB43" s="629">
        <f t="shared" si="245"/>
        <v>-0.28709690408889549</v>
      </c>
      <c r="AC43" s="636">
        <f t="shared" si="391"/>
        <v>1</v>
      </c>
      <c r="AD43" s="637">
        <f t="shared" si="392"/>
        <v>-0.54082059981510888</v>
      </c>
      <c r="AE43" s="629">
        <f t="shared" si="393"/>
        <v>-0.7906253515276358</v>
      </c>
      <c r="AF43" s="633">
        <f t="shared" si="394"/>
        <v>-0.28709690408889549</v>
      </c>
      <c r="AG43" s="602">
        <f t="shared" si="395"/>
        <v>-70.042706206108846</v>
      </c>
      <c r="AH43" s="603">
        <f t="shared" si="396"/>
        <v>122.73951811771286</v>
      </c>
      <c r="AI43" s="585">
        <f t="shared" si="397"/>
        <v>-73.315768524179575</v>
      </c>
      <c r="AJ43" s="586">
        <f t="shared" si="398"/>
        <v>-34.373750174701634</v>
      </c>
      <c r="AK43" s="635">
        <f t="shared" si="399"/>
        <v>0.95630476848795665</v>
      </c>
      <c r="AL43" s="629">
        <f t="shared" si="400"/>
        <v>-5.5286141389749743E-2</v>
      </c>
      <c r="AM43" s="634">
        <f t="shared" si="401"/>
        <v>-0.28709690408889549</v>
      </c>
      <c r="AN43" s="581">
        <f t="shared" si="402"/>
        <v>-10.899998426235012</v>
      </c>
      <c r="AO43" s="582">
        <f t="shared" si="94"/>
        <v>16.999997545504019</v>
      </c>
      <c r="AP43" s="585">
        <f t="shared" si="403"/>
        <v>-3.308715676760893</v>
      </c>
      <c r="AQ43" s="586">
        <f t="shared" si="246"/>
        <v>0.62307100628706213</v>
      </c>
      <c r="AS43" s="52">
        <f t="shared" ref="AS43:AS74" si="406">IF(G43="","",IF(AND(W43&lt;(AS42+180),W43&gt;(AS42-180)),W43,IF(W43&gt;(AS42+180),W43-360,IF(W43&lt;(AS42-180),W43+360,"Error"))))</f>
        <v>-121.06503449794076</v>
      </c>
      <c r="AT43" s="72">
        <f t="shared" si="247"/>
        <v>-2.3093885471717396E-2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</v>
      </c>
      <c r="II43" s="734" cm="1">
        <f t="array" ref="II43">IFERROR(ROUND(VALUE(IF($IH43&lt;1,$IH43+LARGE((IF($M$9:$M$150="",0,$M$9:$M$150)-MOD(IF($M$9:$M$150="",0,$M$9:$M$150),1)),1),$IH43)),4),"")</f>
        <v>3.12</v>
      </c>
      <c r="IJ43" s="533">
        <f t="shared" si="112"/>
        <v>1613</v>
      </c>
      <c r="IK43" s="533">
        <f t="shared" si="382"/>
        <v>1313</v>
      </c>
      <c r="IL43" s="727">
        <f t="shared" si="225"/>
        <v>14.470997910646361</v>
      </c>
      <c r="IM43" s="759">
        <v>8.7538398215875196E-3</v>
      </c>
      <c r="IN43" s="5">
        <f t="shared" si="226"/>
        <v>0.2</v>
      </c>
      <c r="IO43" s="771">
        <v>100</v>
      </c>
      <c r="IP43" s="9">
        <f t="shared" si="227"/>
        <v>-3.6587110346724807</v>
      </c>
      <c r="IQ43" s="5">
        <f t="shared" si="228"/>
        <v>-0.14510043762291988</v>
      </c>
      <c r="IR43" s="5">
        <f t="shared" si="383"/>
        <v>0.314</v>
      </c>
      <c r="IS43" s="5">
        <f t="shared" si="229"/>
        <v>0.29923620036721549</v>
      </c>
      <c r="IT43" s="727">
        <f t="shared" si="230"/>
        <v>26.854616896821792</v>
      </c>
      <c r="IU43" s="9">
        <f t="shared" si="231"/>
        <v>-3.6587110346724812</v>
      </c>
      <c r="IV43" s="5">
        <f t="shared" si="232"/>
        <v>-0.10716682609528737</v>
      </c>
      <c r="IW43" s="5">
        <f t="shared" si="384"/>
        <v>0.26600000000000001</v>
      </c>
      <c r="IX43" s="5">
        <f t="shared" si="233"/>
        <v>0.2543770684177965</v>
      </c>
      <c r="IY43" s="762">
        <f t="shared" si="234"/>
        <v>10.899998426235012</v>
      </c>
    </row>
    <row r="44" spans="1:267" ht="15" customHeight="1" x14ac:dyDescent="0.25">
      <c r="A44" s="79"/>
      <c r="B44" s="707">
        <v>3.7488637122553716</v>
      </c>
      <c r="C44" s="708">
        <v>-2.1763789310893467</v>
      </c>
      <c r="D44" s="709">
        <v>-0.45480034289567839</v>
      </c>
      <c r="E44" s="710">
        <v>0.60472634882026421</v>
      </c>
      <c r="F44" s="708">
        <v>0.74223361517575914</v>
      </c>
      <c r="G44" s="711">
        <v>0.28878245020367044</v>
      </c>
      <c r="H44" s="710">
        <v>0.26600000000000001</v>
      </c>
      <c r="I44" s="708">
        <v>0.52</v>
      </c>
      <c r="J44" s="570">
        <v>3.2269999999999999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3.2269999999999999</v>
      </c>
      <c r="N44" s="632">
        <f t="shared" si="240"/>
        <v>3.7488637122553716</v>
      </c>
      <c r="O44" s="629">
        <f t="shared" si="241"/>
        <v>-2.1763789310893467</v>
      </c>
      <c r="P44" s="633">
        <f t="shared" si="242"/>
        <v>-0.45480034289567839</v>
      </c>
      <c r="Q44" s="585">
        <f t="shared" si="113"/>
        <v>329.86296536807259</v>
      </c>
      <c r="R44" s="629">
        <f t="shared" si="385"/>
        <v>4.3348130737962318</v>
      </c>
      <c r="S44" s="634">
        <f t="shared" si="386"/>
        <v>-0.45480034289567839</v>
      </c>
      <c r="T44" s="635">
        <f t="shared" si="387"/>
        <v>-2.176378931089348</v>
      </c>
      <c r="U44" s="629">
        <f t="shared" si="388"/>
        <v>-3.7488637122553707</v>
      </c>
      <c r="V44" s="636">
        <f t="shared" si="389"/>
        <v>-0.45480034289567839</v>
      </c>
      <c r="W44" s="585">
        <f t="shared" si="224"/>
        <v>239.86296536807259</v>
      </c>
      <c r="X44" s="629">
        <f t="shared" si="390"/>
        <v>4.3348130737962318</v>
      </c>
      <c r="Y44" s="630">
        <f t="shared" si="223"/>
        <v>-0.45480034289567839</v>
      </c>
      <c r="Z44" s="632">
        <f t="shared" si="243"/>
        <v>-0.60472634882026421</v>
      </c>
      <c r="AA44" s="629">
        <f t="shared" si="244"/>
        <v>-0.74223361517575914</v>
      </c>
      <c r="AB44" s="629">
        <f t="shared" si="245"/>
        <v>-0.28878245020367044</v>
      </c>
      <c r="AC44" s="636">
        <f t="shared" si="391"/>
        <v>1</v>
      </c>
      <c r="AD44" s="637">
        <f t="shared" si="392"/>
        <v>-0.60472634882026421</v>
      </c>
      <c r="AE44" s="629">
        <f t="shared" si="393"/>
        <v>-0.74223361517575914</v>
      </c>
      <c r="AF44" s="633">
        <f t="shared" si="394"/>
        <v>-0.28878245020367044</v>
      </c>
      <c r="AG44" s="602">
        <f t="shared" si="395"/>
        <v>-68.74037287959213</v>
      </c>
      <c r="AH44" s="603">
        <f t="shared" si="396"/>
        <v>127.20915271436279</v>
      </c>
      <c r="AI44" s="585">
        <f t="shared" si="397"/>
        <v>-73.214922869940793</v>
      </c>
      <c r="AJ44" s="586">
        <f t="shared" si="398"/>
        <v>-39.171032195884038</v>
      </c>
      <c r="AK44" s="635">
        <f t="shared" si="399"/>
        <v>0.94551859118716819</v>
      </c>
      <c r="AL44" s="629">
        <f t="shared" si="400"/>
        <v>-0.15033060291835859</v>
      </c>
      <c r="AM44" s="634">
        <f t="shared" si="401"/>
        <v>-0.28878245020367044</v>
      </c>
      <c r="AN44" s="581">
        <f t="shared" si="402"/>
        <v>-27.4999960294918</v>
      </c>
      <c r="AO44" s="582">
        <f t="shared" si="94"/>
        <v>18.999997256739807</v>
      </c>
      <c r="AP44" s="585">
        <f t="shared" si="403"/>
        <v>-9.0339975639566283</v>
      </c>
      <c r="AQ44" s="586">
        <f t="shared" si="246"/>
        <v>0.5258964049056617</v>
      </c>
      <c r="AS44" s="52">
        <f t="shared" si="406"/>
        <v>-120.13703463192741</v>
      </c>
      <c r="AT44" s="72">
        <f t="shared" si="247"/>
        <v>-0.37137184662350659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3.2269999999999999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3.1269999999999998</v>
      </c>
      <c r="II44" s="734" cm="1">
        <f t="array" ref="II44">IFERROR(ROUND(VALUE(IF($IH44&lt;1,$IH44+LARGE((IF($M$9:$M$150="",0,$M$9:$M$150)-MOD(IF($M$9:$M$150="",0,$M$9:$M$150),1)),1),$IH44)),4),"")</f>
        <v>3.1269999999999998</v>
      </c>
      <c r="IJ44" s="533">
        <f t="shared" si="112"/>
        <v>1613</v>
      </c>
      <c r="IK44" s="533">
        <f t="shared" si="382"/>
        <v>1313</v>
      </c>
      <c r="IL44" s="727">
        <f t="shared" si="225"/>
        <v>12.609998179341574</v>
      </c>
      <c r="IM44" s="759">
        <v>1.1153827440749499E-2</v>
      </c>
      <c r="IN44" s="5">
        <f t="shared" si="226"/>
        <v>0.3</v>
      </c>
      <c r="IO44" s="771">
        <v>150</v>
      </c>
      <c r="IP44" s="9">
        <f t="shared" si="227"/>
        <v>-4.3348130737962318</v>
      </c>
      <c r="IQ44" s="5">
        <f t="shared" si="228"/>
        <v>-0.49370148900369087</v>
      </c>
      <c r="IR44" s="5">
        <f t="shared" si="383"/>
        <v>0.314</v>
      </c>
      <c r="IS44" s="5">
        <f t="shared" si="229"/>
        <v>0.29374786460951191</v>
      </c>
      <c r="IT44" s="727">
        <f t="shared" si="230"/>
        <v>51.759406106998277</v>
      </c>
      <c r="IU44" s="9">
        <f t="shared" si="231"/>
        <v>-4.3348130737962318</v>
      </c>
      <c r="IV44" s="5">
        <f t="shared" si="232"/>
        <v>-0.45480034289567839</v>
      </c>
      <c r="IW44" s="5">
        <f t="shared" si="384"/>
        <v>0.26600000000000001</v>
      </c>
      <c r="IX44" s="5">
        <f t="shared" si="233"/>
        <v>0.25150794525578674</v>
      </c>
      <c r="IY44" s="762">
        <f t="shared" si="234"/>
        <v>27.4999960294918</v>
      </c>
    </row>
    <row r="45" spans="1:267" ht="15" customHeight="1" x14ac:dyDescent="0.25">
      <c r="A45" s="79"/>
      <c r="B45" s="707">
        <v>4.1830315274724033</v>
      </c>
      <c r="C45" s="708">
        <v>-2.4041875430329935</v>
      </c>
      <c r="D45" s="709">
        <v>-1.036110942640875</v>
      </c>
      <c r="E45" s="710">
        <v>0.68804337228595147</v>
      </c>
      <c r="F45" s="708">
        <v>0.67396389720270178</v>
      </c>
      <c r="G45" s="711">
        <v>0.26901483810511612</v>
      </c>
      <c r="H45" s="710">
        <v>0.26600000000000001</v>
      </c>
      <c r="I45" s="708">
        <v>0.52</v>
      </c>
      <c r="J45" s="570">
        <v>3.234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3.234</v>
      </c>
      <c r="N45" s="632">
        <f t="shared" si="240"/>
        <v>4.1830315274724033</v>
      </c>
      <c r="O45" s="629">
        <f t="shared" si="241"/>
        <v>-2.4041875430329935</v>
      </c>
      <c r="P45" s="633">
        <f t="shared" si="242"/>
        <v>-1.036110942640875</v>
      </c>
      <c r="Q45" s="585">
        <f t="shared" si="113"/>
        <v>330.11196533212149</v>
      </c>
      <c r="R45" s="629">
        <f t="shared" si="385"/>
        <v>4.8247145513390874</v>
      </c>
      <c r="S45" s="634">
        <f t="shared" si="386"/>
        <v>-1.036110942640875</v>
      </c>
      <c r="T45" s="635">
        <f t="shared" si="387"/>
        <v>-2.4041875430329926</v>
      </c>
      <c r="U45" s="629">
        <f t="shared" si="388"/>
        <v>-4.1830315274724041</v>
      </c>
      <c r="V45" s="636">
        <f t="shared" si="389"/>
        <v>-1.036110942640875</v>
      </c>
      <c r="W45" s="585">
        <f t="shared" si="224"/>
        <v>240.11196533212149</v>
      </c>
      <c r="X45" s="629">
        <f t="shared" si="390"/>
        <v>4.8247145513390874</v>
      </c>
      <c r="Y45" s="630">
        <f t="shared" si="223"/>
        <v>-1.036110942640875</v>
      </c>
      <c r="Z45" s="632">
        <f t="shared" si="243"/>
        <v>-0.68804337228595147</v>
      </c>
      <c r="AA45" s="629">
        <f t="shared" si="244"/>
        <v>-0.67396389720270178</v>
      </c>
      <c r="AB45" s="629">
        <f t="shared" si="245"/>
        <v>-0.26901483810511612</v>
      </c>
      <c r="AC45" s="636">
        <f t="shared" si="391"/>
        <v>1</v>
      </c>
      <c r="AD45" s="637">
        <f t="shared" si="392"/>
        <v>-0.68804337228595147</v>
      </c>
      <c r="AE45" s="629">
        <f t="shared" si="393"/>
        <v>-0.67396389720270178</v>
      </c>
      <c r="AF45" s="633">
        <f t="shared" si="394"/>
        <v>-0.26901483810511612</v>
      </c>
      <c r="AG45" s="602">
        <f t="shared" si="395"/>
        <v>-68.240429239471013</v>
      </c>
      <c r="AH45" s="603">
        <f t="shared" si="396"/>
        <v>133.475423705487</v>
      </c>
      <c r="AI45" s="585">
        <f t="shared" si="397"/>
        <v>-74.394347604108461</v>
      </c>
      <c r="AJ45" s="586">
        <f t="shared" si="398"/>
        <v>-45.592262453774659</v>
      </c>
      <c r="AK45" s="635">
        <f t="shared" si="399"/>
        <v>0.9271838753345083</v>
      </c>
      <c r="AL45" s="629">
        <f t="shared" si="400"/>
        <v>-0.26069345637925301</v>
      </c>
      <c r="AM45" s="634">
        <f t="shared" si="401"/>
        <v>-0.26901483810511612</v>
      </c>
      <c r="AN45" s="581">
        <f t="shared" si="402"/>
        <v>-44.099993632748671</v>
      </c>
      <c r="AO45" s="582">
        <f t="shared" si="94"/>
        <v>21.999996823593442</v>
      </c>
      <c r="AP45" s="585">
        <f t="shared" si="403"/>
        <v>-15.704227785896157</v>
      </c>
      <c r="AQ45" s="586">
        <f t="shared" si="246"/>
        <v>0.47249944590385806</v>
      </c>
      <c r="AS45" s="52">
        <f t="shared" si="406"/>
        <v>-119.88803466787851</v>
      </c>
      <c r="AT45" s="72">
        <f t="shared" si="247"/>
        <v>-0.95285536301040374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3.234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3.1339999999999999</v>
      </c>
      <c r="II45" s="734" cm="1">
        <f t="array" ref="II45">IFERROR(ROUND(VALUE(IF($IH45&lt;1,$IH45+LARGE((IF($M$9:$M$150="",0,$M$9:$M$150)-MOD(IF($M$9:$M$150="",0,$M$9:$M$150),1)),1),$IH45)),4),"")</f>
        <v>3.1339999999999999</v>
      </c>
      <c r="IJ45" s="533">
        <f t="shared" si="112"/>
        <v>1613</v>
      </c>
      <c r="IK45" s="533">
        <f t="shared" si="382"/>
        <v>1313</v>
      </c>
      <c r="IL45" s="727">
        <f t="shared" si="225"/>
        <v>11.531998334985417</v>
      </c>
      <c r="IM45" s="759">
        <v>1.59459665226983E-2</v>
      </c>
      <c r="IN45" s="5">
        <f t="shared" si="226"/>
        <v>0.48</v>
      </c>
      <c r="IO45" s="771">
        <v>240</v>
      </c>
      <c r="IP45" s="9">
        <f t="shared" si="227"/>
        <v>-4.8247145513390866</v>
      </c>
      <c r="IQ45" s="5">
        <f t="shared" si="228"/>
        <v>-1.0758032446225856</v>
      </c>
      <c r="IR45" s="5">
        <f t="shared" si="383"/>
        <v>0.314</v>
      </c>
      <c r="IS45" s="5">
        <f t="shared" si="229"/>
        <v>0.28584091337246553</v>
      </c>
      <c r="IT45" s="727">
        <f t="shared" si="230"/>
        <v>71.402083634999272</v>
      </c>
      <c r="IU45" s="9">
        <f t="shared" si="231"/>
        <v>-4.8247145513390874</v>
      </c>
      <c r="IV45" s="5">
        <f t="shared" si="232"/>
        <v>-1.036110942640875</v>
      </c>
      <c r="IW45" s="5">
        <f t="shared" si="384"/>
        <v>0.26600000000000001</v>
      </c>
      <c r="IX45" s="5">
        <f t="shared" si="233"/>
        <v>0.24663091083897923</v>
      </c>
      <c r="IY45" s="762">
        <f t="shared" si="234"/>
        <v>44.099993632748671</v>
      </c>
    </row>
    <row r="46" spans="1:267" ht="15" customHeight="1" x14ac:dyDescent="0.25">
      <c r="A46" s="79"/>
      <c r="B46" s="707">
        <v>0.75488900285296479</v>
      </c>
      <c r="C46" s="708">
        <v>-2.6326157194808668</v>
      </c>
      <c r="D46" s="709">
        <v>-0.10970033085619788</v>
      </c>
      <c r="E46" s="710">
        <v>0.90762583823159249</v>
      </c>
      <c r="F46" s="708">
        <v>0.30416355050696486</v>
      </c>
      <c r="G46" s="711">
        <v>0.28930930216188433</v>
      </c>
      <c r="H46" s="710">
        <v>0.314</v>
      </c>
      <c r="I46" s="708">
        <v>0.52</v>
      </c>
      <c r="J46" s="570">
        <v>4.1120000000000001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4.1120000000000001</v>
      </c>
      <c r="N46" s="632">
        <f t="shared" si="240"/>
        <v>0.75488900285296479</v>
      </c>
      <c r="O46" s="629">
        <f t="shared" si="241"/>
        <v>-2.6326157194808668</v>
      </c>
      <c r="P46" s="633">
        <f t="shared" si="242"/>
        <v>-0.10970033085619788</v>
      </c>
      <c r="Q46" s="585">
        <f t="shared" si="113"/>
        <v>285.99997170110538</v>
      </c>
      <c r="R46" s="629">
        <f t="shared" si="385"/>
        <v>2.7387082599441119</v>
      </c>
      <c r="S46" s="634">
        <f t="shared" si="386"/>
        <v>-0.10970033085619788</v>
      </c>
      <c r="T46" s="635">
        <f t="shared" si="387"/>
        <v>-2.6326157194808668</v>
      </c>
      <c r="U46" s="629">
        <f t="shared" si="388"/>
        <v>-0.75488900285296479</v>
      </c>
      <c r="V46" s="636">
        <f t="shared" si="389"/>
        <v>-0.10970033085619788</v>
      </c>
      <c r="W46" s="585">
        <f t="shared" si="224"/>
        <v>195.99997170110538</v>
      </c>
      <c r="X46" s="629">
        <f t="shared" si="390"/>
        <v>2.7387082599441119</v>
      </c>
      <c r="Y46" s="630">
        <f t="shared" si="223"/>
        <v>-0.10970033085619788</v>
      </c>
      <c r="Z46" s="632">
        <f t="shared" si="243"/>
        <v>-0.90762583823159249</v>
      </c>
      <c r="AA46" s="629">
        <f t="shared" si="244"/>
        <v>-0.30416355050696486</v>
      </c>
      <c r="AB46" s="629">
        <f t="shared" si="245"/>
        <v>-0.28930930216188433</v>
      </c>
      <c r="AC46" s="636">
        <f t="shared" si="391"/>
        <v>1</v>
      </c>
      <c r="AD46" s="637">
        <f t="shared" si="392"/>
        <v>-0.90762583823159249</v>
      </c>
      <c r="AE46" s="629">
        <f t="shared" si="393"/>
        <v>-0.30416355050696486</v>
      </c>
      <c r="AF46" s="633">
        <f t="shared" si="394"/>
        <v>-0.28930930216188433</v>
      </c>
      <c r="AG46" s="602">
        <f t="shared" si="395"/>
        <v>-46.433777593462288</v>
      </c>
      <c r="AH46" s="603">
        <f t="shared" si="396"/>
        <v>155.1792945282846</v>
      </c>
      <c r="AI46" s="585">
        <f t="shared" si="397"/>
        <v>-73.183390525475644</v>
      </c>
      <c r="AJ46" s="586">
        <f t="shared" si="398"/>
        <v>-71.472970156827785</v>
      </c>
      <c r="AK46" s="635">
        <f t="shared" si="399"/>
        <v>0.95630476848795665</v>
      </c>
      <c r="AL46" s="629">
        <f t="shared" si="400"/>
        <v>4.2205656609029918E-2</v>
      </c>
      <c r="AM46" s="634">
        <f t="shared" si="401"/>
        <v>-0.28930930216188433</v>
      </c>
      <c r="AN46" s="581">
        <f t="shared" si="402"/>
        <v>8.2999988016284707</v>
      </c>
      <c r="AO46" s="582">
        <f t="shared" si="94"/>
        <v>16.999997545504019</v>
      </c>
      <c r="AP46" s="585">
        <f t="shared" si="403"/>
        <v>2.5270581420668425</v>
      </c>
      <c r="AQ46" s="586">
        <f t="shared" si="246"/>
        <v>0.83235088994823436</v>
      </c>
      <c r="AS46" s="52">
        <f t="shared" si="406"/>
        <v>-164.00002829889462</v>
      </c>
      <c r="AT46" s="72">
        <f t="shared" si="247"/>
        <v>4.1885776847011696E-3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4.1120000000000001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0.95079316009317494</v>
      </c>
      <c r="C47" s="708">
        <v>-3.4231193071556651</v>
      </c>
      <c r="D47" s="709">
        <v>-0.11800035588907337</v>
      </c>
      <c r="E47" s="710">
        <v>0.95006463913859862</v>
      </c>
      <c r="F47" s="708">
        <v>0.14312106969459723</v>
      </c>
      <c r="G47" s="711">
        <v>0.27729684611967509</v>
      </c>
      <c r="H47" s="710">
        <v>0.314</v>
      </c>
      <c r="I47" s="708">
        <v>0.52</v>
      </c>
      <c r="J47" s="570">
        <v>4.1189999999999998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4.1189999999999998</v>
      </c>
      <c r="N47" s="632">
        <f t="shared" si="240"/>
        <v>0.95079316009317494</v>
      </c>
      <c r="O47" s="629">
        <f t="shared" si="241"/>
        <v>-3.4231193071556651</v>
      </c>
      <c r="P47" s="633">
        <f t="shared" si="242"/>
        <v>-0.11800035588907337</v>
      </c>
      <c r="Q47" s="585">
        <f t="shared" si="113"/>
        <v>285.52297176997564</v>
      </c>
      <c r="R47" s="629">
        <f t="shared" si="385"/>
        <v>3.5527107149755168</v>
      </c>
      <c r="S47" s="634">
        <f t="shared" si="386"/>
        <v>-0.11800035588907337</v>
      </c>
      <c r="T47" s="635">
        <f t="shared" si="387"/>
        <v>-3.4231193071556656</v>
      </c>
      <c r="U47" s="629">
        <f t="shared" si="388"/>
        <v>-0.95079316009317472</v>
      </c>
      <c r="V47" s="636">
        <f t="shared" si="389"/>
        <v>-0.11800035588907337</v>
      </c>
      <c r="W47" s="585">
        <f t="shared" si="224"/>
        <v>195.52297176997564</v>
      </c>
      <c r="X47" s="629">
        <f t="shared" si="390"/>
        <v>3.5527107149755168</v>
      </c>
      <c r="Y47" s="630">
        <f t="shared" si="223"/>
        <v>-0.11800035588907337</v>
      </c>
      <c r="Z47" s="632">
        <f t="shared" si="243"/>
        <v>-0.95006463913859862</v>
      </c>
      <c r="AA47" s="629">
        <f t="shared" si="244"/>
        <v>-0.14312106969459723</v>
      </c>
      <c r="AB47" s="629">
        <f t="shared" si="245"/>
        <v>-0.27729684611967509</v>
      </c>
      <c r="AC47" s="636">
        <f t="shared" si="391"/>
        <v>1</v>
      </c>
      <c r="AD47" s="637">
        <f t="shared" si="392"/>
        <v>-0.95006463913859862</v>
      </c>
      <c r="AE47" s="629">
        <f t="shared" si="393"/>
        <v>-0.14312106969459723</v>
      </c>
      <c r="AF47" s="633">
        <f t="shared" si="394"/>
        <v>-0.27729684611967509</v>
      </c>
      <c r="AG47" s="602">
        <f t="shared" si="395"/>
        <v>-27.299591277844737</v>
      </c>
      <c r="AH47" s="603">
        <f t="shared" si="396"/>
        <v>161.81699225070278</v>
      </c>
      <c r="AI47" s="585">
        <f t="shared" si="397"/>
        <v>-73.9010619232115</v>
      </c>
      <c r="AJ47" s="586">
        <f t="shared" si="398"/>
        <v>-81.433178854716644</v>
      </c>
      <c r="AK47" s="635">
        <f t="shared" si="399"/>
        <v>0.95371208500870253</v>
      </c>
      <c r="AL47" s="629">
        <f t="shared" si="400"/>
        <v>-0.11636029408881141</v>
      </c>
      <c r="AM47" s="634">
        <f t="shared" si="401"/>
        <v>-0.27729684611967509</v>
      </c>
      <c r="AN47" s="581">
        <f t="shared" si="402"/>
        <v>-22.764069769955974</v>
      </c>
      <c r="AO47" s="582">
        <f t="shared" si="94"/>
        <v>17.500927082837006</v>
      </c>
      <c r="AP47" s="585">
        <f t="shared" si="403"/>
        <v>-6.9561506246922695</v>
      </c>
      <c r="AQ47" s="586">
        <f t="shared" si="246"/>
        <v>0.64165970911405446</v>
      </c>
      <c r="AS47" s="52">
        <f t="shared" si="406"/>
        <v>-164.47702823002436</v>
      </c>
      <c r="AT47" s="72">
        <f t="shared" si="247"/>
        <v>-3.7801973960008978E-3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4.1189999999999998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1.0713114527917824</v>
      </c>
      <c r="C48" s="708">
        <v>-4.1101893930167241</v>
      </c>
      <c r="D48" s="709">
        <v>-0.4279012905502923</v>
      </c>
      <c r="E48" s="710">
        <v>0.9756907363216365</v>
      </c>
      <c r="F48" s="708">
        <v>-8.253338091386786E-3</v>
      </c>
      <c r="G48" s="711">
        <v>0.21899650560338196</v>
      </c>
      <c r="H48" s="710">
        <v>0.314</v>
      </c>
      <c r="I48" s="708">
        <v>0.52</v>
      </c>
      <c r="J48" s="570">
        <v>4.1260000000000003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4.1260000000000003</v>
      </c>
      <c r="N48" s="632">
        <f t="shared" si="240"/>
        <v>1.0713114527917824</v>
      </c>
      <c r="O48" s="629">
        <f t="shared" si="241"/>
        <v>-4.1101893930167241</v>
      </c>
      <c r="P48" s="633">
        <f t="shared" si="242"/>
        <v>-0.4279012905502923</v>
      </c>
      <c r="Q48" s="585">
        <f t="shared" si="113"/>
        <v>284.60897190194089</v>
      </c>
      <c r="R48" s="629">
        <f t="shared" si="79"/>
        <v>4.2475128104986366</v>
      </c>
      <c r="S48" s="634">
        <f t="shared" si="80"/>
        <v>-0.4279012905502923</v>
      </c>
      <c r="T48" s="635">
        <f t="shared" si="81"/>
        <v>-4.1101893930167241</v>
      </c>
      <c r="U48" s="629">
        <f t="shared" si="82"/>
        <v>-1.0713114527917815</v>
      </c>
      <c r="V48" s="636">
        <f t="shared" si="114"/>
        <v>-0.4279012905502923</v>
      </c>
      <c r="W48" s="585">
        <f t="shared" si="224"/>
        <v>194.60897190194089</v>
      </c>
      <c r="X48" s="629">
        <f t="shared" si="83"/>
        <v>4.2475128104986366</v>
      </c>
      <c r="Y48" s="630">
        <f t="shared" si="223"/>
        <v>-0.4279012905502923</v>
      </c>
      <c r="Z48" s="632">
        <f t="shared" si="243"/>
        <v>-0.9756907363216365</v>
      </c>
      <c r="AA48" s="629">
        <f t="shared" si="244"/>
        <v>8.253338091386786E-3</v>
      </c>
      <c r="AB48" s="629">
        <f t="shared" si="245"/>
        <v>-0.21899650560338196</v>
      </c>
      <c r="AC48" s="636">
        <f t="shared" si="84"/>
        <v>1</v>
      </c>
      <c r="AD48" s="637">
        <f t="shared" si="115"/>
        <v>-0.9756907363216365</v>
      </c>
      <c r="AE48" s="629">
        <f t="shared" si="85"/>
        <v>8.253338091386786E-3</v>
      </c>
      <c r="AF48" s="633">
        <f t="shared" si="86"/>
        <v>-0.21899650560338196</v>
      </c>
      <c r="AG48" s="602">
        <f t="shared" si="87"/>
        <v>2.1582890033138726</v>
      </c>
      <c r="AH48" s="603">
        <f t="shared" si="88"/>
        <v>167.34077084606864</v>
      </c>
      <c r="AI48" s="585">
        <f t="shared" si="89"/>
        <v>-77.349900212640193</v>
      </c>
      <c r="AJ48" s="586">
        <f t="shared" si="90"/>
        <v>-90.484651686782783</v>
      </c>
      <c r="AK48" s="635">
        <f t="shared" si="211"/>
        <v>0.94206468542776556</v>
      </c>
      <c r="AL48" s="629">
        <f t="shared" si="91"/>
        <v>-0.25407608900365453</v>
      </c>
      <c r="AM48" s="634">
        <f t="shared" si="92"/>
        <v>-0.21899650560338196</v>
      </c>
      <c r="AN48" s="581">
        <f t="shared" si="93"/>
        <v>-49.240871896870139</v>
      </c>
      <c r="AO48" s="582">
        <f t="shared" si="94"/>
        <v>19.598764613560562</v>
      </c>
      <c r="AP48" s="585">
        <f t="shared" si="95"/>
        <v>-15.093623588723668</v>
      </c>
      <c r="AQ48" s="586">
        <f t="shared" si="246"/>
        <v>0.53670466802293471</v>
      </c>
      <c r="AS48" s="52">
        <f t="shared" si="406"/>
        <v>-165.39102809805911</v>
      </c>
      <c r="AT48" s="72">
        <f t="shared" si="247"/>
        <v>-0.31304640992664012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4.1260000000000003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1.1329733894214697</v>
      </c>
      <c r="C49" s="708">
        <v>-4.6328916316326012</v>
      </c>
      <c r="D49" s="709">
        <v>-0.9814029599113272</v>
      </c>
      <c r="E49" s="710">
        <v>0.97966998957285878</v>
      </c>
      <c r="F49" s="708">
        <v>-0.14368058530891176</v>
      </c>
      <c r="G49" s="711">
        <v>0.14000928874758123</v>
      </c>
      <c r="H49" s="710">
        <v>0.314</v>
      </c>
      <c r="I49" s="708">
        <v>0.52</v>
      </c>
      <c r="J49" s="570">
        <v>4.133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4.133</v>
      </c>
      <c r="N49" s="632">
        <f t="shared" si="240"/>
        <v>1.1329733894214697</v>
      </c>
      <c r="O49" s="629">
        <f t="shared" si="241"/>
        <v>-4.6328916316326012</v>
      </c>
      <c r="P49" s="633">
        <f t="shared" si="242"/>
        <v>-0.9814029599113272</v>
      </c>
      <c r="Q49" s="585">
        <f t="shared" si="113"/>
        <v>283.7419720271202</v>
      </c>
      <c r="R49" s="629">
        <f t="shared" si="79"/>
        <v>4.7694143845537846</v>
      </c>
      <c r="S49" s="634">
        <f t="shared" si="80"/>
        <v>-0.9814029599113272</v>
      </c>
      <c r="T49" s="635">
        <f t="shared" si="81"/>
        <v>-4.6328916316326003</v>
      </c>
      <c r="U49" s="629">
        <f t="shared" si="82"/>
        <v>-1.1329733894214706</v>
      </c>
      <c r="V49" s="636">
        <f t="shared" si="114"/>
        <v>-0.9814029599113272</v>
      </c>
      <c r="W49" s="585">
        <f t="shared" si="224"/>
        <v>193.7419720271202</v>
      </c>
      <c r="X49" s="629">
        <f t="shared" si="83"/>
        <v>4.7694143845537846</v>
      </c>
      <c r="Y49" s="630">
        <f t="shared" si="223"/>
        <v>-0.9814029599113272</v>
      </c>
      <c r="Z49" s="632">
        <f t="shared" si="243"/>
        <v>-0.97966998957285878</v>
      </c>
      <c r="AA49" s="629">
        <f t="shared" si="244"/>
        <v>0.14368058530891176</v>
      </c>
      <c r="AB49" s="629">
        <f t="shared" si="245"/>
        <v>-0.14000928874758123</v>
      </c>
      <c r="AC49" s="636">
        <f t="shared" si="84"/>
        <v>1</v>
      </c>
      <c r="AD49" s="637">
        <f t="shared" si="115"/>
        <v>-0.97966998957285878</v>
      </c>
      <c r="AE49" s="629">
        <f t="shared" si="85"/>
        <v>0.14368058530891176</v>
      </c>
      <c r="AF49" s="633">
        <f t="shared" si="86"/>
        <v>-0.14000928874758123</v>
      </c>
      <c r="AG49" s="602">
        <f t="shared" si="87"/>
        <v>45.741436603517947</v>
      </c>
      <c r="AH49" s="603">
        <f t="shared" si="88"/>
        <v>168.42702656194118</v>
      </c>
      <c r="AI49" s="585">
        <f t="shared" si="89"/>
        <v>-81.951616252735775</v>
      </c>
      <c r="AJ49" s="586">
        <f t="shared" si="90"/>
        <v>-98.343642733139333</v>
      </c>
      <c r="AK49" s="635">
        <f t="shared" si="211"/>
        <v>0.917495999276984</v>
      </c>
      <c r="AL49" s="629">
        <f t="shared" si="91"/>
        <v>-0.37228818189021973</v>
      </c>
      <c r="AM49" s="634">
        <f t="shared" si="92"/>
        <v>-0.14000928874758123</v>
      </c>
      <c r="AN49" s="581">
        <f t="shared" si="93"/>
        <v>-69.389838283853223</v>
      </c>
      <c r="AO49" s="582">
        <f t="shared" si="94"/>
        <v>23.437283516045927</v>
      </c>
      <c r="AP49" s="585">
        <f t="shared" si="95"/>
        <v>-22.085614760259528</v>
      </c>
      <c r="AQ49" s="586">
        <f t="shared" si="246"/>
        <v>0.47797770606991408</v>
      </c>
      <c r="AS49" s="52">
        <f t="shared" si="406"/>
        <v>-166.2580279728798</v>
      </c>
      <c r="AT49" s="72">
        <f t="shared" si="247"/>
        <v>-0.86594599604127176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4.133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1.1549694299777904</v>
      </c>
      <c r="C50" s="708">
        <v>-4.9038395892789577</v>
      </c>
      <c r="D50" s="709">
        <v>-1.6932051067066018</v>
      </c>
      <c r="E50" s="710">
        <v>0.95515574584129237</v>
      </c>
      <c r="F50" s="708">
        <v>-0.28928247535449064</v>
      </c>
      <c r="G50" s="711">
        <v>6.3191381051083143E-2</v>
      </c>
      <c r="H50" s="710">
        <v>0.314</v>
      </c>
      <c r="I50" s="708">
        <v>0.52</v>
      </c>
      <c r="J50" s="570">
        <v>4.1399999999999997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4.1399999999999997</v>
      </c>
      <c r="N50" s="632">
        <f t="shared" si="240"/>
        <v>1.1549694299777904</v>
      </c>
      <c r="O50" s="629">
        <f t="shared" si="241"/>
        <v>-4.9038395892789577</v>
      </c>
      <c r="P50" s="633">
        <f t="shared" si="242"/>
        <v>-1.6932051067066018</v>
      </c>
      <c r="Q50" s="585">
        <f t="shared" si="113"/>
        <v>283.25297209772305</v>
      </c>
      <c r="R50" s="629">
        <f t="shared" si="79"/>
        <v>5.038015194653827</v>
      </c>
      <c r="S50" s="634">
        <f t="shared" si="80"/>
        <v>-1.6932051067066018</v>
      </c>
      <c r="T50" s="635">
        <f t="shared" si="81"/>
        <v>-4.9038395892789577</v>
      </c>
      <c r="U50" s="629">
        <f t="shared" si="82"/>
        <v>-1.1549694299777893</v>
      </c>
      <c r="V50" s="636">
        <f t="shared" si="114"/>
        <v>-1.6932051067066018</v>
      </c>
      <c r="W50" s="585">
        <f t="shared" si="224"/>
        <v>193.25297209772305</v>
      </c>
      <c r="X50" s="629">
        <f t="shared" si="83"/>
        <v>5.038015194653827</v>
      </c>
      <c r="Y50" s="630">
        <f t="shared" si="223"/>
        <v>-1.6932051067066018</v>
      </c>
      <c r="Z50" s="632">
        <f t="shared" si="243"/>
        <v>-0.95515574584129237</v>
      </c>
      <c r="AA50" s="629">
        <f t="shared" si="244"/>
        <v>0.28928247535449064</v>
      </c>
      <c r="AB50" s="629">
        <f t="shared" si="245"/>
        <v>-6.3191381051083143E-2</v>
      </c>
      <c r="AC50" s="636">
        <f t="shared" si="84"/>
        <v>1</v>
      </c>
      <c r="AD50" s="637">
        <f t="shared" si="115"/>
        <v>-0.95515574584129237</v>
      </c>
      <c r="AE50" s="629">
        <f t="shared" si="85"/>
        <v>0.28928247535449064</v>
      </c>
      <c r="AF50" s="633">
        <f t="shared" si="86"/>
        <v>-6.3191381051083143E-2</v>
      </c>
      <c r="AG50" s="602">
        <f t="shared" si="87"/>
        <v>77.677766638314807</v>
      </c>
      <c r="AH50" s="603">
        <f t="shared" si="88"/>
        <v>162.7762580134727</v>
      </c>
      <c r="AI50" s="585">
        <f t="shared" si="89"/>
        <v>-86.376986624172403</v>
      </c>
      <c r="AJ50" s="586">
        <f t="shared" si="90"/>
        <v>-106.84968148269883</v>
      </c>
      <c r="AK50" s="635">
        <f t="shared" si="211"/>
        <v>0.86339917143103129</v>
      </c>
      <c r="AL50" s="629">
        <f t="shared" si="91"/>
        <v>-0.50054841936926109</v>
      </c>
      <c r="AM50" s="634">
        <f t="shared" si="92"/>
        <v>-6.3191381051083143E-2</v>
      </c>
      <c r="AN50" s="581">
        <f t="shared" si="93"/>
        <v>-82.804798538387814</v>
      </c>
      <c r="AO50" s="582">
        <f t="shared" si="94"/>
        <v>30.299588805027522</v>
      </c>
      <c r="AP50" s="585">
        <f t="shared" si="95"/>
        <v>-30.102653580421865</v>
      </c>
      <c r="AQ50" s="586">
        <f t="shared" si="246"/>
        <v>0.4524955061342345</v>
      </c>
      <c r="AS50" s="52">
        <f t="shared" si="406"/>
        <v>-166.74702790227695</v>
      </c>
      <c r="AT50" s="72">
        <f t="shared" si="247"/>
        <v>-1.5774085595522429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4.1399999999999997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1.1567544446640938</v>
      </c>
      <c r="C51" s="708">
        <v>-4.9299233531991646</v>
      </c>
      <c r="D51" s="709">
        <v>-2.4574074115407534</v>
      </c>
      <c r="E51" s="710">
        <v>0.94563614932820383</v>
      </c>
      <c r="F51" s="708">
        <v>-0.32489176091629918</v>
      </c>
      <c r="G51" s="711">
        <v>1.4751839628780697E-2</v>
      </c>
      <c r="H51" s="710">
        <v>0.314</v>
      </c>
      <c r="I51" s="708">
        <v>0.52</v>
      </c>
      <c r="J51" s="570">
        <v>4.1470000000000002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4.1470000000000002</v>
      </c>
      <c r="N51" s="632">
        <f t="shared" si="240"/>
        <v>1.1567544446640938</v>
      </c>
      <c r="O51" s="629">
        <f t="shared" si="241"/>
        <v>-4.9299233531991646</v>
      </c>
      <c r="P51" s="633">
        <f t="shared" si="242"/>
        <v>-2.4574074115407534</v>
      </c>
      <c r="Q51" s="585">
        <f t="shared" si="113"/>
        <v>283.20497210465339</v>
      </c>
      <c r="R51" s="629">
        <f t="shared" si="79"/>
        <v>5.0638152724668615</v>
      </c>
      <c r="S51" s="634">
        <f t="shared" si="80"/>
        <v>-2.4574074115407534</v>
      </c>
      <c r="T51" s="635">
        <f t="shared" si="81"/>
        <v>-4.9299233531991655</v>
      </c>
      <c r="U51" s="629">
        <f t="shared" si="82"/>
        <v>-1.1567544446640934</v>
      </c>
      <c r="V51" s="636">
        <f t="shared" si="114"/>
        <v>-2.4574074115407534</v>
      </c>
      <c r="W51" s="585">
        <f t="shared" si="224"/>
        <v>193.20497210465339</v>
      </c>
      <c r="X51" s="629">
        <f t="shared" si="83"/>
        <v>5.0638152724668615</v>
      </c>
      <c r="Y51" s="630">
        <f t="shared" si="223"/>
        <v>-2.4574074115407534</v>
      </c>
      <c r="Z51" s="632">
        <f t="shared" si="243"/>
        <v>-0.94563614932820383</v>
      </c>
      <c r="AA51" s="629">
        <f t="shared" si="244"/>
        <v>0.32489176091629918</v>
      </c>
      <c r="AB51" s="629">
        <f t="shared" si="245"/>
        <v>-1.4751839628780697E-2</v>
      </c>
      <c r="AC51" s="636">
        <f t="shared" si="84"/>
        <v>1</v>
      </c>
      <c r="AD51" s="637">
        <f t="shared" si="115"/>
        <v>-0.94563614932820383</v>
      </c>
      <c r="AE51" s="629">
        <f t="shared" si="85"/>
        <v>0.32489176091629918</v>
      </c>
      <c r="AF51" s="633">
        <f t="shared" si="86"/>
        <v>-1.4751839628780697E-2</v>
      </c>
      <c r="AG51" s="602">
        <f t="shared" si="87"/>
        <v>87.400247953943747</v>
      </c>
      <c r="AH51" s="603">
        <f t="shared" si="88"/>
        <v>161.02070231640238</v>
      </c>
      <c r="AI51" s="585">
        <f t="shared" si="89"/>
        <v>-89.154751190606945</v>
      </c>
      <c r="AJ51" s="586">
        <f t="shared" si="90"/>
        <v>-108.96115949268552</v>
      </c>
      <c r="AK51" s="635">
        <f t="shared" si="211"/>
        <v>0.84641589732395217</v>
      </c>
      <c r="AL51" s="629">
        <f t="shared" si="91"/>
        <v>-0.53231805528730247</v>
      </c>
      <c r="AM51" s="634">
        <f t="shared" si="92"/>
        <v>-1.4751839628780697E-2</v>
      </c>
      <c r="AN51" s="581">
        <f t="shared" si="93"/>
        <v>-88.412599625742644</v>
      </c>
      <c r="AO51" s="582">
        <f t="shared" si="94"/>
        <v>32.176043602513587</v>
      </c>
      <c r="AP51" s="585">
        <f t="shared" si="95"/>
        <v>-32.166131597338911</v>
      </c>
      <c r="AQ51" s="586">
        <f t="shared" si="246"/>
        <v>0.45019014211149161</v>
      </c>
      <c r="AS51" s="52">
        <f t="shared" si="406"/>
        <v>-166.79502789534661</v>
      </c>
      <c r="AT51" s="72">
        <f t="shared" si="247"/>
        <v>-2.3415775310578737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4.1470000000000002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4.3773863093203455E-2</v>
      </c>
      <c r="C52" s="708">
        <v>-3.552441030222985</v>
      </c>
      <c r="D52" s="709">
        <v>-8.0285347701049475E-2</v>
      </c>
      <c r="E52" s="710">
        <v>0.95677085982952492</v>
      </c>
      <c r="F52" s="708">
        <v>-3.1933694949610292E-2</v>
      </c>
      <c r="G52" s="711">
        <v>0.28908434912311837</v>
      </c>
      <c r="H52" s="710">
        <v>0.26600000000000001</v>
      </c>
      <c r="I52" s="708">
        <v>0.52</v>
      </c>
      <c r="J52" s="570">
        <v>4.2190000000000003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4.2190000000000003</v>
      </c>
      <c r="N52" s="632">
        <f t="shared" si="240"/>
        <v>4.3773863093203455E-2</v>
      </c>
      <c r="O52" s="629">
        <f t="shared" si="241"/>
        <v>-3.552441030222985</v>
      </c>
      <c r="P52" s="633">
        <f t="shared" si="242"/>
        <v>-8.0285347701049475E-2</v>
      </c>
      <c r="Q52" s="585">
        <f t="shared" si="113"/>
        <v>270.70597390928543</v>
      </c>
      <c r="R52" s="629">
        <f t="shared" si="79"/>
        <v>3.5527107149755164</v>
      </c>
      <c r="S52" s="634">
        <f t="shared" si="80"/>
        <v>-8.0285347701049475E-2</v>
      </c>
      <c r="T52" s="635">
        <f t="shared" si="81"/>
        <v>-3.552441030222985</v>
      </c>
      <c r="U52" s="629">
        <f t="shared" si="82"/>
        <v>-4.3773863093202275E-2</v>
      </c>
      <c r="V52" s="636">
        <f t="shared" si="114"/>
        <v>-8.0285347701049475E-2</v>
      </c>
      <c r="W52" s="585">
        <f t="shared" si="224"/>
        <v>180.70597390928543</v>
      </c>
      <c r="X52" s="629">
        <f t="shared" si="83"/>
        <v>3.5527107149755164</v>
      </c>
      <c r="Y52" s="630">
        <f t="shared" si="223"/>
        <v>-8.0285347701049475E-2</v>
      </c>
      <c r="Z52" s="632">
        <f t="shared" si="243"/>
        <v>-0.95677085982952492</v>
      </c>
      <c r="AA52" s="629">
        <f t="shared" si="244"/>
        <v>3.1933694949610292E-2</v>
      </c>
      <c r="AB52" s="629">
        <f t="shared" si="245"/>
        <v>-0.28908434912311837</v>
      </c>
      <c r="AC52" s="636">
        <f t="shared" si="84"/>
        <v>1</v>
      </c>
      <c r="AD52" s="637">
        <f t="shared" si="115"/>
        <v>-0.95677085982952492</v>
      </c>
      <c r="AE52" s="629">
        <f t="shared" si="85"/>
        <v>3.1933694949610292E-2</v>
      </c>
      <c r="AF52" s="633">
        <f t="shared" si="86"/>
        <v>-0.28908434912311837</v>
      </c>
      <c r="AG52" s="602">
        <f t="shared" si="87"/>
        <v>6.3036196712296295</v>
      </c>
      <c r="AH52" s="603">
        <f t="shared" si="88"/>
        <v>163.09158132882135</v>
      </c>
      <c r="AI52" s="585">
        <f t="shared" si="89"/>
        <v>-73.196854714646051</v>
      </c>
      <c r="AJ52" s="586">
        <f t="shared" si="90"/>
        <v>-91.911624887134622</v>
      </c>
      <c r="AK52" s="635">
        <f t="shared" si="211"/>
        <v>0.95630476848795676</v>
      </c>
      <c r="AL52" s="629">
        <f t="shared" si="91"/>
        <v>-4.3719890888001441E-2</v>
      </c>
      <c r="AM52" s="634">
        <f t="shared" si="92"/>
        <v>-0.28908434912311837</v>
      </c>
      <c r="AN52" s="581">
        <f t="shared" si="93"/>
        <v>-8.5999987583137401</v>
      </c>
      <c r="AO52" s="582">
        <f t="shared" si="94"/>
        <v>16.999997545504005</v>
      </c>
      <c r="AP52" s="585">
        <f t="shared" si="95"/>
        <v>-2.6175987964200433</v>
      </c>
      <c r="AQ52" s="586">
        <f t="shared" si="246"/>
        <v>0.64165970911405457</v>
      </c>
      <c r="AS52" s="52">
        <f t="shared" si="406"/>
        <v>-179.29402609071457</v>
      </c>
      <c r="AT52" s="72">
        <f t="shared" si="247"/>
        <v>4.4224392639724538E-2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4.2190000000000003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4.1189999999999998</v>
      </c>
      <c r="II52" s="734" cm="1">
        <f t="array" ref="II52">IFERROR(ROUND(VALUE(IF($IH52&lt;1,$IH52+LARGE((IF($M$9:$M$150="",0,$M$9:$M$150)-MOD(IF($M$9:$M$150="",0,$M$9:$M$150),1)),1),$IH52)),4),"")</f>
        <v>4.1189999999999998</v>
      </c>
      <c r="IJ52" s="533">
        <f t="shared" si="112"/>
        <v>1613</v>
      </c>
      <c r="IK52" s="533">
        <f t="shared" si="382"/>
        <v>1313</v>
      </c>
      <c r="IL52" s="727">
        <f t="shared" si="225"/>
        <v>14.816997860690208</v>
      </c>
      <c r="IM52" s="759">
        <v>8.6724745302147396E-3</v>
      </c>
      <c r="IN52" s="5">
        <f t="shared" si="226"/>
        <v>0.18</v>
      </c>
      <c r="IO52" s="771">
        <v>90</v>
      </c>
      <c r="IP52" s="9">
        <f t="shared" si="227"/>
        <v>-3.5527107149755168</v>
      </c>
      <c r="IQ52" s="5">
        <f t="shared" si="228"/>
        <v>-0.11800035588907337</v>
      </c>
      <c r="IR52" s="5">
        <f t="shared" si="383"/>
        <v>0.314</v>
      </c>
      <c r="IS52" s="5">
        <f t="shared" si="229"/>
        <v>0.2994655946927326</v>
      </c>
      <c r="IT52" s="727">
        <f t="shared" si="230"/>
        <v>22.764069769955974</v>
      </c>
      <c r="IU52" s="9">
        <f t="shared" si="231"/>
        <v>-3.5527107149755164</v>
      </c>
      <c r="IV52" s="5">
        <f t="shared" si="232"/>
        <v>-8.0285347701049475E-2</v>
      </c>
      <c r="IW52" s="5">
        <f t="shared" si="384"/>
        <v>0.26600000000000001</v>
      </c>
      <c r="IX52" s="5">
        <f t="shared" si="233"/>
        <v>0.2543770684177965</v>
      </c>
      <c r="IY52" s="762">
        <f t="shared" si="234"/>
        <v>8.5999987583137401</v>
      </c>
    </row>
    <row r="53" spans="1:259" ht="15" customHeight="1" x14ac:dyDescent="0.25">
      <c r="A53" s="79"/>
      <c r="B53" s="707">
        <v>0.13245239879288603</v>
      </c>
      <c r="C53" s="708">
        <v>-4.2454471422223632</v>
      </c>
      <c r="D53" s="709">
        <v>-0.38897645218596116</v>
      </c>
      <c r="E53" s="710">
        <v>0.95468169376109169</v>
      </c>
      <c r="F53" s="708">
        <v>-0.10136375501259892</v>
      </c>
      <c r="G53" s="711">
        <v>0.27983611769605266</v>
      </c>
      <c r="H53" s="710">
        <v>0.26600000000000001</v>
      </c>
      <c r="I53" s="708">
        <v>0.52</v>
      </c>
      <c r="J53" s="570">
        <v>4.226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4.226</v>
      </c>
      <c r="N53" s="632">
        <f t="shared" si="240"/>
        <v>0.13245239879288603</v>
      </c>
      <c r="O53" s="629">
        <f t="shared" si="241"/>
        <v>-4.2454471422223632</v>
      </c>
      <c r="P53" s="633">
        <f t="shared" si="242"/>
        <v>-0.38897645218596116</v>
      </c>
      <c r="Q53" s="585">
        <f t="shared" si="113"/>
        <v>271.78697375320837</v>
      </c>
      <c r="R53" s="629">
        <f t="shared" ref="R53:R58" si="410">IF(M53="","",SQRT(N53^2+O53^2))</f>
        <v>4.2475128104986357</v>
      </c>
      <c r="S53" s="634">
        <f t="shared" ref="S53:S58" si="411">IF(M53="","",P53)</f>
        <v>-0.38897645218596116</v>
      </c>
      <c r="T53" s="635">
        <f t="shared" ref="T53:T58" si="412">IF(M53="","",X53*COS(RADIANS(W53)))</f>
        <v>-4.2454471422223632</v>
      </c>
      <c r="U53" s="629">
        <f t="shared" ref="U53:U58" si="413">IF(M53="","",X53*SIN(RADIANS(W53)))</f>
        <v>-0.13245239879288548</v>
      </c>
      <c r="V53" s="636">
        <f t="shared" ref="V53:V58" si="414">IF(M53="","",Y53)</f>
        <v>-0.38897645218596116</v>
      </c>
      <c r="W53" s="585">
        <f t="shared" si="224"/>
        <v>181.78697375320837</v>
      </c>
      <c r="X53" s="629">
        <f t="shared" ref="X53:X58" si="415">IF(M53="","",R53)</f>
        <v>4.2475128104986357</v>
      </c>
      <c r="Y53" s="630">
        <f t="shared" si="223"/>
        <v>-0.38897645218596116</v>
      </c>
      <c r="Z53" s="632">
        <f t="shared" si="243"/>
        <v>-0.95468169376109169</v>
      </c>
      <c r="AA53" s="629">
        <f t="shared" si="244"/>
        <v>0.10136375501259892</v>
      </c>
      <c r="AB53" s="629">
        <f t="shared" si="245"/>
        <v>-0.27983611769605266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-0.95468169376109169</v>
      </c>
      <c r="AE53" s="629">
        <f t="shared" ref="AE53:AE58" si="418">IF(M53="","",AA53*(1/SQRT(Z53^2+AA53^2+AB53^2)))</f>
        <v>0.10136375501259892</v>
      </c>
      <c r="AF53" s="633">
        <f t="shared" ref="AF53:AF58" si="419">IF(M53="","",AB53*(1/SQRT(Z53^2+AA53^2+AB53^2)))</f>
        <v>-0.27983611769605266</v>
      </c>
      <c r="AG53" s="602">
        <f t="shared" ref="AG53:AG58" si="420">IF(M53="","",DEGREES(ATAN2(-AF53,AE53)))</f>
        <v>19.911674326660272</v>
      </c>
      <c r="AH53" s="603">
        <f t="shared" ref="AH53:AH58" si="421">IF(M53="","",DEGREES(ACOS(AD53)))</f>
        <v>162.68476505001655</v>
      </c>
      <c r="AI53" s="585">
        <f t="shared" ref="AI53:AI58" si="422">IF(M53="","",DEGREES(-ACOS(-AF53)))</f>
        <v>-73.749576052780924</v>
      </c>
      <c r="AJ53" s="586">
        <f t="shared" ref="AJ53:AJ58" si="423">IF(M53="","",DEGREES(ATAN2(-AE53,AD53)))</f>
        <v>-96.06069849031887</v>
      </c>
      <c r="AK53" s="635">
        <f t="shared" ref="AK53:AK58" si="424">IF(M53="","",(COS(RADIANS((90-$Q$8)-W53))*AD53)+(-SIN(RADIANS((90-$Q$8)-W53))*AE53))</f>
        <v>0.951056530311848</v>
      </c>
      <c r="AL53" s="629">
        <f t="shared" ref="AL53:AL58" si="425">IF(M53="","",(SIN(RADIANS((90-$Q$8)-W53))*AD53)+(COS(RADIANS((90-$Q$8)-W53))*AE53))</f>
        <v>-0.13108479463305345</v>
      </c>
      <c r="AM53" s="634">
        <f t="shared" ref="AM53:AM58" si="426">IF(M53="","",AF53)</f>
        <v>-0.27983611769605266</v>
      </c>
      <c r="AN53" s="581">
        <f t="shared" ref="AN53:AN58" si="427">IF(M53="","",DEGREES(ATAN2(-AM53,AL53)))</f>
        <v>-25.099996376008878</v>
      </c>
      <c r="AO53" s="582">
        <f t="shared" si="94"/>
        <v>17.999997401121927</v>
      </c>
      <c r="AP53" s="585">
        <f t="shared" ref="AP53:AP58" si="428">IF(M53="","",DEGREES(ATAN2(AK53,AL53)))</f>
        <v>-7.8476722435272475</v>
      </c>
      <c r="AQ53" s="586">
        <f t="shared" si="246"/>
        <v>0.53670466802293493</v>
      </c>
      <c r="AS53" s="52">
        <f t="shared" si="406"/>
        <v>-178.21302624679163</v>
      </c>
      <c r="AT53" s="72">
        <f t="shared" si="247"/>
        <v>-0.26521740618124473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4.226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4.1260000000000003</v>
      </c>
      <c r="II53" s="734" cm="1">
        <f t="array" ref="II53">IFERROR(ROUND(VALUE(IF($IH53&lt;1,$IH53+LARGE((IF($M$9:$M$150="",0,$M$9:$M$150)-MOD(IF($M$9:$M$150="",0,$M$9:$M$150),1)),1),$IH53)),4),"")</f>
        <v>4.1260000000000003</v>
      </c>
      <c r="IJ53" s="533">
        <f t="shared" si="112"/>
        <v>1613</v>
      </c>
      <c r="IK53" s="533">
        <f t="shared" si="382"/>
        <v>1313</v>
      </c>
      <c r="IL53" s="727">
        <f t="shared" si="225"/>
        <v>12.821998148732519</v>
      </c>
      <c r="IM53" s="759">
        <v>1.0590605820359599E-2</v>
      </c>
      <c r="IN53" s="5">
        <f t="shared" si="226"/>
        <v>0.28000000000000003</v>
      </c>
      <c r="IO53" s="771">
        <v>140</v>
      </c>
      <c r="IP53" s="9">
        <f t="shared" si="227"/>
        <v>-4.2475128104986366</v>
      </c>
      <c r="IQ53" s="5">
        <f t="shared" si="228"/>
        <v>-0.4279012905502923</v>
      </c>
      <c r="IR53" s="5">
        <f t="shared" si="383"/>
        <v>0.314</v>
      </c>
      <c r="IS53" s="5">
        <f t="shared" si="229"/>
        <v>0.29580831122431839</v>
      </c>
      <c r="IT53" s="727">
        <f t="shared" si="230"/>
        <v>49.240871896870139</v>
      </c>
      <c r="IU53" s="9">
        <f t="shared" si="231"/>
        <v>-4.2475128104986357</v>
      </c>
      <c r="IV53" s="5">
        <f t="shared" si="232"/>
        <v>-0.38897645218596116</v>
      </c>
      <c r="IW53" s="5">
        <f t="shared" si="384"/>
        <v>0.26600000000000001</v>
      </c>
      <c r="IX53" s="5">
        <f t="shared" si="233"/>
        <v>0.25298103706295161</v>
      </c>
      <c r="IY53" s="762">
        <f t="shared" si="234"/>
        <v>25.099996376008878</v>
      </c>
    </row>
    <row r="54" spans="1:259" ht="15" customHeight="1" x14ac:dyDescent="0.25">
      <c r="A54" s="79"/>
      <c r="B54" s="707">
        <v>0.17451728583812418</v>
      </c>
      <c r="C54" s="708">
        <v>-4.7662204406145809</v>
      </c>
      <c r="D54" s="709">
        <v>-0.94173003845789149</v>
      </c>
      <c r="E54" s="710">
        <v>0.94167842596721563</v>
      </c>
      <c r="F54" s="708">
        <v>-0.20407695682954258</v>
      </c>
      <c r="G54" s="711">
        <v>0.26757118260212603</v>
      </c>
      <c r="H54" s="710">
        <v>0.26600000000000001</v>
      </c>
      <c r="I54" s="708">
        <v>0.52</v>
      </c>
      <c r="J54" s="570">
        <v>4.2329999999999997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4.2329999999999997</v>
      </c>
      <c r="N54" s="632">
        <f t="shared" si="240"/>
        <v>0.17451728583812418</v>
      </c>
      <c r="O54" s="629">
        <f t="shared" si="241"/>
        <v>-4.7662204406145809</v>
      </c>
      <c r="P54" s="633">
        <f t="shared" si="242"/>
        <v>-0.94173003845789149</v>
      </c>
      <c r="Q54" s="585">
        <f t="shared" si="113"/>
        <v>272.09697370844992</v>
      </c>
      <c r="R54" s="629">
        <f t="shared" si="410"/>
        <v>4.7694143845537846</v>
      </c>
      <c r="S54" s="634">
        <f t="shared" si="411"/>
        <v>-0.94173003845789149</v>
      </c>
      <c r="T54" s="635">
        <f t="shared" si="412"/>
        <v>-4.7662204406145809</v>
      </c>
      <c r="U54" s="629">
        <f t="shared" si="413"/>
        <v>-0.17451728583812318</v>
      </c>
      <c r="V54" s="636">
        <f t="shared" si="414"/>
        <v>-0.94173003845789149</v>
      </c>
      <c r="W54" s="585">
        <f t="shared" si="224"/>
        <v>182.09697370844992</v>
      </c>
      <c r="X54" s="629">
        <f t="shared" si="415"/>
        <v>4.7694143845537846</v>
      </c>
      <c r="Y54" s="630">
        <f t="shared" si="223"/>
        <v>-0.94173003845789149</v>
      </c>
      <c r="Z54" s="632">
        <f t="shared" si="243"/>
        <v>-0.94167842596721563</v>
      </c>
      <c r="AA54" s="629">
        <f t="shared" si="244"/>
        <v>0.20407695682954258</v>
      </c>
      <c r="AB54" s="629">
        <f t="shared" si="245"/>
        <v>-0.26757118260212603</v>
      </c>
      <c r="AC54" s="636">
        <f t="shared" si="416"/>
        <v>1</v>
      </c>
      <c r="AD54" s="637">
        <f t="shared" si="417"/>
        <v>-0.94167842596721563</v>
      </c>
      <c r="AE54" s="629">
        <f t="shared" si="418"/>
        <v>0.20407695682954258</v>
      </c>
      <c r="AF54" s="633">
        <f t="shared" si="419"/>
        <v>-0.26757118260212603</v>
      </c>
      <c r="AG54" s="602">
        <f t="shared" si="420"/>
        <v>37.332822264489785</v>
      </c>
      <c r="AH54" s="603">
        <f t="shared" si="421"/>
        <v>160.33536385662532</v>
      </c>
      <c r="AI54" s="585">
        <f t="shared" si="422"/>
        <v>-74.480210958681923</v>
      </c>
      <c r="AJ54" s="586">
        <f t="shared" si="423"/>
        <v>-102.22783267109081</v>
      </c>
      <c r="AK54" s="635">
        <f t="shared" si="424"/>
        <v>0.93358044546160568</v>
      </c>
      <c r="AL54" s="629">
        <f t="shared" si="425"/>
        <v>-0.23839717719094275</v>
      </c>
      <c r="AM54" s="634">
        <f t="shared" si="426"/>
        <v>-0.26757118260212603</v>
      </c>
      <c r="AN54" s="581">
        <f t="shared" si="427"/>
        <v>-41.699993979265763</v>
      </c>
      <c r="AO54" s="582">
        <f t="shared" si="94"/>
        <v>20.999996967975559</v>
      </c>
      <c r="AP54" s="585">
        <f t="shared" si="428"/>
        <v>-14.324806379540723</v>
      </c>
      <c r="AQ54" s="586">
        <f t="shared" si="246"/>
        <v>0.47797770606991408</v>
      </c>
      <c r="AS54" s="52">
        <f t="shared" si="406"/>
        <v>-177.90302629155008</v>
      </c>
      <c r="AT54" s="72">
        <f t="shared" si="247"/>
        <v>-0.81818627019987056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4.2329999999999997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4.133</v>
      </c>
      <c r="II54" s="734" cm="1">
        <f t="array" ref="II54">IFERROR(ROUND(VALUE(IF($IH54&lt;1,$IH54+LARGE((IF($M$9:$M$150="",0,$M$9:$M$150)-MOD(IF($M$9:$M$150="",0,$M$9:$M$150),1)),1),$IH54)),4),"")</f>
        <v>4.133</v>
      </c>
      <c r="IJ54" s="533">
        <f t="shared" si="112"/>
        <v>1613</v>
      </c>
      <c r="IK54" s="533">
        <f t="shared" si="382"/>
        <v>1313</v>
      </c>
      <c r="IL54" s="727">
        <f t="shared" si="225"/>
        <v>11.644998318670275</v>
      </c>
      <c r="IM54" s="759">
        <v>1.51364891142288E-2</v>
      </c>
      <c r="IN54" s="5">
        <f t="shared" si="226"/>
        <v>0.44</v>
      </c>
      <c r="IO54" s="771">
        <v>220</v>
      </c>
      <c r="IP54" s="9">
        <f t="shared" si="227"/>
        <v>-4.7694143845537846</v>
      </c>
      <c r="IQ54" s="5">
        <f t="shared" si="228"/>
        <v>-0.9814029599113272</v>
      </c>
      <c r="IR54" s="5">
        <f t="shared" si="383"/>
        <v>0.314</v>
      </c>
      <c r="IS54" s="5">
        <f t="shared" si="229"/>
        <v>0.28809374377297298</v>
      </c>
      <c r="IT54" s="727">
        <f t="shared" si="230"/>
        <v>69.389838283853223</v>
      </c>
      <c r="IU54" s="9">
        <f t="shared" si="231"/>
        <v>-4.7694143845537846</v>
      </c>
      <c r="IV54" s="5">
        <f t="shared" si="232"/>
        <v>-0.94173003845789149</v>
      </c>
      <c r="IW54" s="5">
        <f t="shared" si="384"/>
        <v>0.26600000000000001</v>
      </c>
      <c r="IX54" s="5">
        <f t="shared" si="233"/>
        <v>0.24833239849278713</v>
      </c>
      <c r="IY54" s="762">
        <f t="shared" si="234"/>
        <v>41.699993979265763</v>
      </c>
    </row>
    <row r="55" spans="1:259" ht="15" customHeight="1" x14ac:dyDescent="0.25">
      <c r="A55" s="79"/>
      <c r="B55" s="707">
        <v>-0.3056769844217524</v>
      </c>
      <c r="C55" s="708">
        <v>-0.39124840979030551</v>
      </c>
      <c r="D55" s="709">
        <v>-0.70680213171522932</v>
      </c>
      <c r="E55" s="710">
        <v>0.77705256147220736</v>
      </c>
      <c r="F55" s="708">
        <v>-0.53173196283626079</v>
      </c>
      <c r="G55" s="711">
        <v>0.33682404369014235</v>
      </c>
      <c r="H55" s="710">
        <v>0.314</v>
      </c>
      <c r="I55" s="708">
        <v>0.52</v>
      </c>
      <c r="J55" s="570">
        <v>5.1020000000000003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5.1020000000000003</v>
      </c>
      <c r="N55" s="632">
        <f t="shared" si="240"/>
        <v>-0.3056769844217524</v>
      </c>
      <c r="O55" s="629">
        <f t="shared" si="241"/>
        <v>-0.39124840979030551</v>
      </c>
      <c r="P55" s="633">
        <f t="shared" si="242"/>
        <v>-0.70680213171522932</v>
      </c>
      <c r="Q55" s="585">
        <f t="shared" si="113"/>
        <v>231.99997949773959</v>
      </c>
      <c r="R55" s="629">
        <f t="shared" si="410"/>
        <v>0.49650149744851635</v>
      </c>
      <c r="S55" s="634">
        <f t="shared" si="411"/>
        <v>-0.70680213171522932</v>
      </c>
      <c r="T55" s="635">
        <f t="shared" si="412"/>
        <v>-0.39124840979030551</v>
      </c>
      <c r="U55" s="629">
        <f t="shared" si="413"/>
        <v>0.3056769844217524</v>
      </c>
      <c r="V55" s="636">
        <f t="shared" si="414"/>
        <v>-0.70680213171522932</v>
      </c>
      <c r="W55" s="585">
        <f t="shared" si="224"/>
        <v>141.99997949773959</v>
      </c>
      <c r="X55" s="629">
        <f t="shared" si="415"/>
        <v>0.49650149744851635</v>
      </c>
      <c r="Y55" s="630">
        <f t="shared" si="223"/>
        <v>-0.70680213171522932</v>
      </c>
      <c r="Z55" s="632">
        <f t="shared" si="243"/>
        <v>-0.77705256147220736</v>
      </c>
      <c r="AA55" s="629">
        <f t="shared" si="244"/>
        <v>0.53173196283626079</v>
      </c>
      <c r="AB55" s="629">
        <f t="shared" si="245"/>
        <v>-0.33682404369014235</v>
      </c>
      <c r="AC55" s="636">
        <f t="shared" si="416"/>
        <v>1</v>
      </c>
      <c r="AD55" s="637">
        <f t="shared" si="417"/>
        <v>-0.77705256147220736</v>
      </c>
      <c r="AE55" s="629">
        <f t="shared" si="418"/>
        <v>0.53173196283626079</v>
      </c>
      <c r="AF55" s="633">
        <f t="shared" si="419"/>
        <v>-0.33682404369014235</v>
      </c>
      <c r="AG55" s="602">
        <f t="shared" si="420"/>
        <v>57.647906478448633</v>
      </c>
      <c r="AH55" s="603">
        <f t="shared" si="421"/>
        <v>140.99149728067763</v>
      </c>
      <c r="AI55" s="585">
        <f t="shared" si="422"/>
        <v>-70.316504667624201</v>
      </c>
      <c r="AJ55" s="586">
        <f t="shared" si="423"/>
        <v>-124.38358001032421</v>
      </c>
      <c r="AK55" s="635">
        <f t="shared" si="424"/>
        <v>0.93969263802333458</v>
      </c>
      <c r="AL55" s="629">
        <f t="shared" si="425"/>
        <v>5.9391157902228764E-2</v>
      </c>
      <c r="AM55" s="634">
        <f t="shared" si="426"/>
        <v>-0.33682404369014235</v>
      </c>
      <c r="AN55" s="581">
        <f t="shared" si="427"/>
        <v>9.9999985561788254</v>
      </c>
      <c r="AO55" s="582">
        <f>IF(ROUND(IF(M55="",0,DEGREES(ACOS(AK55))),4)=90,0,IF(M55="","",DEGREES(ACOS(AK55))))</f>
        <v>19.999997112357679</v>
      </c>
      <c r="AP55" s="585">
        <f t="shared" si="428"/>
        <v>3.616440491936197</v>
      </c>
      <c r="AQ55" s="586">
        <f t="shared" si="246"/>
        <v>4.5817890346909724</v>
      </c>
      <c r="AS55" s="52">
        <f t="shared" si="406"/>
        <v>-218.00002050226041</v>
      </c>
      <c r="AT55" s="72">
        <f t="shared" si="247"/>
        <v>-0.5554132285886596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5.1020000000000003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-0.73781127518837464</v>
      </c>
      <c r="C56" s="708">
        <v>-0.94435467128439476</v>
      </c>
      <c r="D56" s="709">
        <v>-0.51880156470551919</v>
      </c>
      <c r="E56" s="710">
        <v>0.78483525450661884</v>
      </c>
      <c r="F56" s="708">
        <v>-0.54875313761570277</v>
      </c>
      <c r="G56" s="711">
        <v>0.28792988250692675</v>
      </c>
      <c r="H56" s="710">
        <v>0.314</v>
      </c>
      <c r="I56" s="708">
        <v>0.52</v>
      </c>
      <c r="J56" s="570">
        <v>5.1050000000000004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5.1050000000000004</v>
      </c>
      <c r="N56" s="632">
        <f t="shared" si="240"/>
        <v>-0.73781127518837464</v>
      </c>
      <c r="O56" s="629">
        <f t="shared" si="241"/>
        <v>-0.94435467128439476</v>
      </c>
      <c r="P56" s="633">
        <f t="shared" si="242"/>
        <v>-0.51880156470551919</v>
      </c>
      <c r="Q56" s="585">
        <f t="shared" si="113"/>
        <v>231.99997949773959</v>
      </c>
      <c r="R56" s="629">
        <f t="shared" si="410"/>
        <v>1.198403614385301</v>
      </c>
      <c r="S56" s="634">
        <f t="shared" si="411"/>
        <v>-0.51880156470551919</v>
      </c>
      <c r="T56" s="635">
        <f t="shared" si="412"/>
        <v>-0.94435467128439488</v>
      </c>
      <c r="U56" s="629">
        <f t="shared" si="413"/>
        <v>0.73781127518837464</v>
      </c>
      <c r="V56" s="636">
        <f t="shared" si="414"/>
        <v>-0.51880156470551919</v>
      </c>
      <c r="W56" s="585">
        <f t="shared" si="224"/>
        <v>141.99997949773959</v>
      </c>
      <c r="X56" s="629">
        <f t="shared" si="415"/>
        <v>1.198403614385301</v>
      </c>
      <c r="Y56" s="630">
        <f t="shared" si="223"/>
        <v>-0.51880156470551919</v>
      </c>
      <c r="Z56" s="632">
        <f t="shared" si="243"/>
        <v>-0.78483525450661884</v>
      </c>
      <c r="AA56" s="629">
        <f t="shared" si="244"/>
        <v>0.54875313761570277</v>
      </c>
      <c r="AB56" s="629">
        <f t="shared" si="245"/>
        <v>-0.28792988250692675</v>
      </c>
      <c r="AC56" s="636">
        <f t="shared" si="416"/>
        <v>1</v>
      </c>
      <c r="AD56" s="637">
        <f t="shared" si="417"/>
        <v>-0.78483525450661884</v>
      </c>
      <c r="AE56" s="629">
        <f t="shared" si="418"/>
        <v>0.54875313761570277</v>
      </c>
      <c r="AF56" s="633">
        <f t="shared" si="419"/>
        <v>-0.28792988250692675</v>
      </c>
      <c r="AG56" s="602">
        <f t="shared" si="420"/>
        <v>62.314076377178367</v>
      </c>
      <c r="AH56" s="603">
        <f t="shared" si="421"/>
        <v>141.70544388557363</v>
      </c>
      <c r="AI56" s="585">
        <f t="shared" si="422"/>
        <v>-73.265938377121643</v>
      </c>
      <c r="AJ56" s="586">
        <f t="shared" si="423"/>
        <v>-124.96106573639806</v>
      </c>
      <c r="AK56" s="635">
        <f t="shared" si="424"/>
        <v>0.95630476848795665</v>
      </c>
      <c r="AL56" s="629">
        <f t="shared" si="425"/>
        <v>5.0769799356931877E-2</v>
      </c>
      <c r="AM56" s="634">
        <f t="shared" si="426"/>
        <v>-0.28792988250692675</v>
      </c>
      <c r="AN56" s="581">
        <f t="shared" si="427"/>
        <v>9.999998556178781</v>
      </c>
      <c r="AO56" s="582">
        <f t="shared" ref="AO56:AO119" si="461">IF(ROUND(IF(M56="",0,DEGREES(ACOS(AK56))),4)=90,0,IF(M56="","",DEGREES(ACOS(AK56))))</f>
        <v>16.999997545504019</v>
      </c>
      <c r="AP56" s="585">
        <f t="shared" si="428"/>
        <v>3.0389547658623575</v>
      </c>
      <c r="AQ56" s="586">
        <f t="shared" si="246"/>
        <v>1.9016043369321851</v>
      </c>
      <c r="AS56" s="52">
        <f t="shared" si="406"/>
        <v>-218.00002050226041</v>
      </c>
      <c r="AT56" s="72">
        <f t="shared" si="247"/>
        <v>-0.36741266157894947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5.1050000000000004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-1.1698839995935828</v>
      </c>
      <c r="C57" s="708">
        <v>-1.4973821314874893</v>
      </c>
      <c r="D57" s="709">
        <v>-0.33070099739420816</v>
      </c>
      <c r="E57" s="710">
        <v>0.78483525450661906</v>
      </c>
      <c r="F57" s="708">
        <v>-0.54875313761570232</v>
      </c>
      <c r="G57" s="711">
        <v>0.28792988250692664</v>
      </c>
      <c r="H57" s="710">
        <v>0.314</v>
      </c>
      <c r="I57" s="708">
        <v>0.52</v>
      </c>
      <c r="J57" s="570">
        <v>5.1079999999999997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5.1079999999999997</v>
      </c>
      <c r="N57" s="632">
        <f t="shared" si="240"/>
        <v>-1.1698839995935828</v>
      </c>
      <c r="O57" s="629">
        <f t="shared" si="241"/>
        <v>-1.4973821314874893</v>
      </c>
      <c r="P57" s="633">
        <f t="shared" si="242"/>
        <v>-0.33070099739420816</v>
      </c>
      <c r="Q57" s="585">
        <f t="shared" si="113"/>
        <v>231.99997949773959</v>
      </c>
      <c r="R57" s="629">
        <f t="shared" si="410"/>
        <v>1.9002057310204847</v>
      </c>
      <c r="S57" s="634">
        <f t="shared" si="411"/>
        <v>-0.33070099739420816</v>
      </c>
      <c r="T57" s="635">
        <f t="shared" si="412"/>
        <v>-1.4973821314874893</v>
      </c>
      <c r="U57" s="629">
        <f t="shared" si="413"/>
        <v>1.1698839995935828</v>
      </c>
      <c r="V57" s="636">
        <f t="shared" si="414"/>
        <v>-0.33070099739420816</v>
      </c>
      <c r="W57" s="585">
        <f t="shared" si="224"/>
        <v>141.99997949773959</v>
      </c>
      <c r="X57" s="629">
        <f t="shared" si="415"/>
        <v>1.9002057310204847</v>
      </c>
      <c r="Y57" s="630">
        <f t="shared" si="223"/>
        <v>-0.33070099739420816</v>
      </c>
      <c r="Z57" s="632">
        <f t="shared" si="243"/>
        <v>-0.78483525450661906</v>
      </c>
      <c r="AA57" s="629">
        <f t="shared" si="244"/>
        <v>0.54875313761570232</v>
      </c>
      <c r="AB57" s="629">
        <f t="shared" si="245"/>
        <v>-0.28792988250692664</v>
      </c>
      <c r="AC57" s="636">
        <f t="shared" si="416"/>
        <v>1</v>
      </c>
      <c r="AD57" s="637">
        <f t="shared" si="417"/>
        <v>-0.78483525450661906</v>
      </c>
      <c r="AE57" s="629">
        <f t="shared" si="418"/>
        <v>0.54875313761570232</v>
      </c>
      <c r="AF57" s="633">
        <f t="shared" si="419"/>
        <v>-0.28792988250692664</v>
      </c>
      <c r="AG57" s="602">
        <f t="shared" si="420"/>
        <v>62.314076377178353</v>
      </c>
      <c r="AH57" s="603">
        <f t="shared" si="421"/>
        <v>141.70544388557366</v>
      </c>
      <c r="AI57" s="585">
        <f t="shared" si="422"/>
        <v>-73.265938377121657</v>
      </c>
      <c r="AJ57" s="586">
        <f t="shared" si="423"/>
        <v>-124.96106573639803</v>
      </c>
      <c r="AK57" s="635">
        <f t="shared" si="424"/>
        <v>0.95630476848795665</v>
      </c>
      <c r="AL57" s="629">
        <f t="shared" si="425"/>
        <v>5.0769799356932432E-2</v>
      </c>
      <c r="AM57" s="634">
        <f t="shared" si="426"/>
        <v>-0.28792988250692664</v>
      </c>
      <c r="AN57" s="581">
        <f t="shared" si="427"/>
        <v>9.9999985561788929</v>
      </c>
      <c r="AO57" s="582">
        <f t="shared" si="461"/>
        <v>16.999997545504019</v>
      </c>
      <c r="AP57" s="585">
        <f t="shared" si="428"/>
        <v>3.0389547658623908</v>
      </c>
      <c r="AQ57" s="586">
        <f t="shared" si="246"/>
        <v>1.1995509228898933</v>
      </c>
      <c r="AS57" s="52">
        <f t="shared" si="406"/>
        <v>-218.00002050226041</v>
      </c>
      <c r="AT57" s="72">
        <f t="shared" si="247"/>
        <v>-0.17931209426763842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5.1079999999999997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-1.6019567239987909</v>
      </c>
      <c r="C58" s="708">
        <v>-2.0504095916905838</v>
      </c>
      <c r="D58" s="709">
        <v>-0.14270043038449803</v>
      </c>
      <c r="E58" s="710">
        <v>0.78483525450661895</v>
      </c>
      <c r="F58" s="708">
        <v>-0.54875313761570255</v>
      </c>
      <c r="G58" s="711">
        <v>0.28792988250692669</v>
      </c>
      <c r="H58" s="710">
        <v>0.314</v>
      </c>
      <c r="I58" s="708">
        <v>0.52</v>
      </c>
      <c r="J58" s="570">
        <v>5.1109999999999998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5.1109999999999998</v>
      </c>
      <c r="N58" s="632">
        <f t="shared" si="240"/>
        <v>-1.6019567239987909</v>
      </c>
      <c r="O58" s="629">
        <f t="shared" si="241"/>
        <v>-2.0504095916905838</v>
      </c>
      <c r="P58" s="633">
        <f t="shared" si="242"/>
        <v>-0.14270043038449803</v>
      </c>
      <c r="Q58" s="585">
        <f t="shared" si="113"/>
        <v>231.99997949773959</v>
      </c>
      <c r="R58" s="629">
        <f t="shared" si="410"/>
        <v>2.6020078476556683</v>
      </c>
      <c r="S58" s="634">
        <f t="shared" si="411"/>
        <v>-0.14270043038449803</v>
      </c>
      <c r="T58" s="635">
        <f t="shared" si="412"/>
        <v>-2.0504095916905838</v>
      </c>
      <c r="U58" s="629">
        <f t="shared" si="413"/>
        <v>1.6019567239987906</v>
      </c>
      <c r="V58" s="636">
        <f t="shared" si="414"/>
        <v>-0.14270043038449803</v>
      </c>
      <c r="W58" s="585">
        <f t="shared" si="224"/>
        <v>141.99997949773959</v>
      </c>
      <c r="X58" s="629">
        <f t="shared" si="415"/>
        <v>2.6020078476556683</v>
      </c>
      <c r="Y58" s="630">
        <f t="shared" si="223"/>
        <v>-0.14270043038449803</v>
      </c>
      <c r="Z58" s="632">
        <f t="shared" si="243"/>
        <v>-0.78483525450661895</v>
      </c>
      <c r="AA58" s="629">
        <f t="shared" si="244"/>
        <v>0.54875313761570255</v>
      </c>
      <c r="AB58" s="629">
        <f t="shared" si="245"/>
        <v>-0.28792988250692669</v>
      </c>
      <c r="AC58" s="636">
        <f t="shared" si="416"/>
        <v>1</v>
      </c>
      <c r="AD58" s="637">
        <f t="shared" si="417"/>
        <v>-0.78483525450661895</v>
      </c>
      <c r="AE58" s="629">
        <f t="shared" si="418"/>
        <v>0.54875313761570255</v>
      </c>
      <c r="AF58" s="633">
        <f t="shared" si="419"/>
        <v>-0.28792988250692669</v>
      </c>
      <c r="AG58" s="602">
        <f t="shared" si="420"/>
        <v>62.314076377178353</v>
      </c>
      <c r="AH58" s="603">
        <f t="shared" si="421"/>
        <v>141.70544388557363</v>
      </c>
      <c r="AI58" s="585">
        <f t="shared" si="422"/>
        <v>-73.265938377121643</v>
      </c>
      <c r="AJ58" s="586">
        <f t="shared" si="423"/>
        <v>-124.96106573639803</v>
      </c>
      <c r="AK58" s="635">
        <f t="shared" si="424"/>
        <v>0.95630476848795665</v>
      </c>
      <c r="AL58" s="629">
        <f t="shared" si="425"/>
        <v>5.0769799356932155E-2</v>
      </c>
      <c r="AM58" s="634">
        <f t="shared" si="426"/>
        <v>-0.28792988250692669</v>
      </c>
      <c r="AN58" s="581">
        <f t="shared" si="427"/>
        <v>9.9999985561788378</v>
      </c>
      <c r="AO58" s="582">
        <f t="shared" si="461"/>
        <v>16.999997545504019</v>
      </c>
      <c r="AP58" s="585">
        <f t="shared" si="428"/>
        <v>3.0389547658623739</v>
      </c>
      <c r="AQ58" s="586">
        <f t="shared" si="246"/>
        <v>0.87607305576518102</v>
      </c>
      <c r="AS58" s="52">
        <f t="shared" si="406"/>
        <v>-218.00002050226041</v>
      </c>
      <c r="AT58" s="72">
        <f t="shared" si="247"/>
        <v>8.6884727420717123E-3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5.1109999999999998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-2.1386487483155459</v>
      </c>
      <c r="C59" s="708">
        <v>-2.7013023333577912</v>
      </c>
      <c r="D59" s="709">
        <v>-9.7000292552882353E-2</v>
      </c>
      <c r="E59" s="710">
        <v>0.68934695486939823</v>
      </c>
      <c r="F59" s="708">
        <v>-0.66678835517105117</v>
      </c>
      <c r="G59" s="711">
        <v>0.28318556675892231</v>
      </c>
      <c r="H59" s="710">
        <v>0.314</v>
      </c>
      <c r="I59" s="708">
        <v>0.52</v>
      </c>
      <c r="J59" s="570">
        <v>5.1180000000000003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5.1180000000000003</v>
      </c>
      <c r="N59" s="632">
        <f t="shared" si="240"/>
        <v>-2.1386487483155459</v>
      </c>
      <c r="O59" s="629">
        <f t="shared" si="241"/>
        <v>-2.7013023333577912</v>
      </c>
      <c r="P59" s="633">
        <f t="shared" si="242"/>
        <v>-9.7000292552882353E-2</v>
      </c>
      <c r="Q59" s="585">
        <f t="shared" si="113"/>
        <v>231.63097955101659</v>
      </c>
      <c r="R59" s="629">
        <f t="shared" si="79"/>
        <v>3.4454103913577407</v>
      </c>
      <c r="S59" s="634">
        <f t="shared" si="80"/>
        <v>-9.7000292552882353E-2</v>
      </c>
      <c r="T59" s="635">
        <f t="shared" si="81"/>
        <v>-2.7013023333577917</v>
      </c>
      <c r="U59" s="629">
        <f t="shared" si="82"/>
        <v>2.1386487483155459</v>
      </c>
      <c r="V59" s="636">
        <f t="shared" si="114"/>
        <v>-9.7000292552882353E-2</v>
      </c>
      <c r="W59" s="585">
        <f t="shared" si="224"/>
        <v>141.63097955101659</v>
      </c>
      <c r="X59" s="629">
        <f t="shared" si="83"/>
        <v>3.4454103913577407</v>
      </c>
      <c r="Y59" s="630">
        <f t="shared" si="223"/>
        <v>-9.7000292552882353E-2</v>
      </c>
      <c r="Z59" s="632">
        <f t="shared" si="243"/>
        <v>-0.68934695486939823</v>
      </c>
      <c r="AA59" s="629">
        <f t="shared" si="244"/>
        <v>0.66678835517105117</v>
      </c>
      <c r="AB59" s="629">
        <f t="shared" si="245"/>
        <v>-0.28318556675892231</v>
      </c>
      <c r="AC59" s="636">
        <f t="shared" si="84"/>
        <v>1</v>
      </c>
      <c r="AD59" s="637">
        <f t="shared" si="115"/>
        <v>-0.68934695486939823</v>
      </c>
      <c r="AE59" s="629">
        <f t="shared" si="85"/>
        <v>0.66678835517105117</v>
      </c>
      <c r="AF59" s="633">
        <f t="shared" si="86"/>
        <v>-0.28318556675892231</v>
      </c>
      <c r="AG59" s="602">
        <f t="shared" si="87"/>
        <v>66.989028368534861</v>
      </c>
      <c r="AH59" s="603">
        <f t="shared" si="88"/>
        <v>133.57843689519734</v>
      </c>
      <c r="AI59" s="585">
        <f t="shared" si="89"/>
        <v>-73.549578336991189</v>
      </c>
      <c r="AJ59" s="586">
        <f t="shared" si="90"/>
        <v>-134.04700264831251</v>
      </c>
      <c r="AK59" s="635">
        <f t="shared" si="211"/>
        <v>0.95435963945182478</v>
      </c>
      <c r="AL59" s="629">
        <f t="shared" si="91"/>
        <v>-9.4887371998654768E-2</v>
      </c>
      <c r="AM59" s="634">
        <f t="shared" si="92"/>
        <v>-0.28318556675892231</v>
      </c>
      <c r="AN59" s="581">
        <f t="shared" si="93"/>
        <v>-18.524525297677702</v>
      </c>
      <c r="AO59" s="582">
        <f t="shared" si="461"/>
        <v>17.377125627755689</v>
      </c>
      <c r="AP59" s="585">
        <f t="shared" si="95"/>
        <v>-5.6779821993291222</v>
      </c>
      <c r="AQ59" s="586">
        <f t="shared" si="246"/>
        <v>0.66164115060147655</v>
      </c>
      <c r="AS59" s="52">
        <f t="shared" si="406"/>
        <v>-218.36902044898341</v>
      </c>
      <c r="AT59" s="72">
        <f t="shared" si="247"/>
        <v>5.4644860536689474E-2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5.1180000000000003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-2.6300734776529233</v>
      </c>
      <c r="C60" s="708">
        <v>-3.2185881942894414</v>
      </c>
      <c r="D60" s="709">
        <v>-0.36720110747854018</v>
      </c>
      <c r="E60" s="710">
        <v>0.58025601268319305</v>
      </c>
      <c r="F60" s="708">
        <v>-0.78040144635193587</v>
      </c>
      <c r="G60" s="711">
        <v>0.23297326515462868</v>
      </c>
      <c r="H60" s="710">
        <v>0.314</v>
      </c>
      <c r="I60" s="708">
        <v>0.52</v>
      </c>
      <c r="J60" s="570">
        <v>5.125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5.125</v>
      </c>
      <c r="N60" s="632">
        <f t="shared" si="240"/>
        <v>-2.6300734776529233</v>
      </c>
      <c r="O60" s="629">
        <f t="shared" si="241"/>
        <v>-3.2185881942894414</v>
      </c>
      <c r="P60" s="633">
        <f t="shared" si="242"/>
        <v>-0.36720110747854018</v>
      </c>
      <c r="Q60" s="585">
        <f t="shared" si="113"/>
        <v>230.74597967879478</v>
      </c>
      <c r="R60" s="629">
        <f t="shared" si="79"/>
        <v>4.1565125360418094</v>
      </c>
      <c r="S60" s="634">
        <f t="shared" si="80"/>
        <v>-0.36720110747854018</v>
      </c>
      <c r="T60" s="635">
        <f t="shared" si="81"/>
        <v>-3.2185881942894432</v>
      </c>
      <c r="U60" s="629">
        <f t="shared" si="82"/>
        <v>2.6300734776529224</v>
      </c>
      <c r="V60" s="636">
        <f t="shared" si="114"/>
        <v>-0.36720110747854018</v>
      </c>
      <c r="W60" s="585">
        <f t="shared" si="224"/>
        <v>140.74597967879478</v>
      </c>
      <c r="X60" s="629">
        <f t="shared" si="83"/>
        <v>4.1565125360418094</v>
      </c>
      <c r="Y60" s="630">
        <f t="shared" si="223"/>
        <v>-0.36720110747854018</v>
      </c>
      <c r="Z60" s="632">
        <f t="shared" si="243"/>
        <v>-0.58025601268319305</v>
      </c>
      <c r="AA60" s="629">
        <f t="shared" si="244"/>
        <v>0.78040144635193587</v>
      </c>
      <c r="AB60" s="629">
        <f t="shared" si="245"/>
        <v>-0.23297326515462868</v>
      </c>
      <c r="AC60" s="636">
        <f t="shared" si="84"/>
        <v>1</v>
      </c>
      <c r="AD60" s="637">
        <f t="shared" si="115"/>
        <v>-0.58025601268319305</v>
      </c>
      <c r="AE60" s="629">
        <f t="shared" si="85"/>
        <v>0.78040144635193587</v>
      </c>
      <c r="AF60" s="633">
        <f t="shared" si="86"/>
        <v>-0.23297326515462868</v>
      </c>
      <c r="AG60" s="602">
        <f t="shared" si="87"/>
        <v>73.378056008414262</v>
      </c>
      <c r="AH60" s="603">
        <f t="shared" si="88"/>
        <v>125.46855122165678</v>
      </c>
      <c r="AI60" s="585">
        <f t="shared" si="89"/>
        <v>-76.52781625318157</v>
      </c>
      <c r="AJ60" s="586">
        <f t="shared" si="90"/>
        <v>-143.36789540618346</v>
      </c>
      <c r="AK60" s="635">
        <f t="shared" si="211"/>
        <v>0.94312678334728961</v>
      </c>
      <c r="AL60" s="629">
        <f t="shared" si="91"/>
        <v>-0.23713989174364142</v>
      </c>
      <c r="AM60" s="634">
        <f t="shared" si="92"/>
        <v>-0.23297326515462868</v>
      </c>
      <c r="AN60" s="581">
        <f t="shared" si="93"/>
        <v>-45.507800864828866</v>
      </c>
      <c r="AO60" s="582">
        <f t="shared" si="461"/>
        <v>19.416531015043056</v>
      </c>
      <c r="AP60" s="585">
        <f t="shared" si="95"/>
        <v>-14.113875084978243</v>
      </c>
      <c r="AQ60" s="586">
        <f t="shared" si="246"/>
        <v>0.54845425862433728</v>
      </c>
      <c r="AS60" s="52">
        <f t="shared" si="406"/>
        <v>-219.25402032120522</v>
      </c>
      <c r="AT60" s="72">
        <f t="shared" si="247"/>
        <v>-0.21494137114436987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5.125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-3.0362646534100746</v>
      </c>
      <c r="C61" s="708">
        <v>-3.5991704796205237</v>
      </c>
      <c r="D61" s="709">
        <v>-0.89030268515289845</v>
      </c>
      <c r="E61" s="710">
        <v>0.46203824464330379</v>
      </c>
      <c r="F61" s="708">
        <v>-0.87375875675958636</v>
      </c>
      <c r="G61" s="711">
        <v>0.15187592130708763</v>
      </c>
      <c r="H61" s="710">
        <v>0.314</v>
      </c>
      <c r="I61" s="708">
        <v>0.52</v>
      </c>
      <c r="J61" s="570">
        <v>5.1319999999999997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5.1319999999999997</v>
      </c>
      <c r="N61" s="632">
        <f t="shared" si="240"/>
        <v>-3.0362646534100746</v>
      </c>
      <c r="O61" s="629">
        <f t="shared" si="241"/>
        <v>-3.5991704796205237</v>
      </c>
      <c r="P61" s="633">
        <f t="shared" si="242"/>
        <v>-0.89030268515289845</v>
      </c>
      <c r="Q61" s="585">
        <f t="shared" si="113"/>
        <v>229.84897980830553</v>
      </c>
      <c r="R61" s="629">
        <f t="shared" si="79"/>
        <v>4.7088142017836327</v>
      </c>
      <c r="S61" s="634">
        <f t="shared" si="80"/>
        <v>-0.89030268515289845</v>
      </c>
      <c r="T61" s="635">
        <f t="shared" si="81"/>
        <v>-3.5991704796205242</v>
      </c>
      <c r="U61" s="629">
        <f t="shared" si="82"/>
        <v>3.0362646534100737</v>
      </c>
      <c r="V61" s="636">
        <f t="shared" si="114"/>
        <v>-0.89030268515289845</v>
      </c>
      <c r="W61" s="585">
        <f t="shared" si="224"/>
        <v>139.84897980830553</v>
      </c>
      <c r="X61" s="629">
        <f t="shared" si="83"/>
        <v>4.7088142017836327</v>
      </c>
      <c r="Y61" s="630">
        <f t="shared" si="223"/>
        <v>-0.89030268515289845</v>
      </c>
      <c r="Z61" s="632">
        <f t="shared" si="243"/>
        <v>-0.46203824464330379</v>
      </c>
      <c r="AA61" s="629">
        <f t="shared" si="244"/>
        <v>0.87375875675958636</v>
      </c>
      <c r="AB61" s="629">
        <f t="shared" si="245"/>
        <v>-0.15187592130708763</v>
      </c>
      <c r="AC61" s="636">
        <f t="shared" si="84"/>
        <v>1</v>
      </c>
      <c r="AD61" s="637">
        <f t="shared" si="115"/>
        <v>-0.46203824464330379</v>
      </c>
      <c r="AE61" s="629">
        <f t="shared" si="85"/>
        <v>0.87375875675958636</v>
      </c>
      <c r="AF61" s="633">
        <f t="shared" si="86"/>
        <v>-0.15187592130708763</v>
      </c>
      <c r="AG61" s="602">
        <f t="shared" si="87"/>
        <v>80.139420192798624</v>
      </c>
      <c r="AH61" s="603">
        <f t="shared" si="88"/>
        <v>117.51871010768741</v>
      </c>
      <c r="AI61" s="585">
        <f t="shared" si="89"/>
        <v>-81.264345378862032</v>
      </c>
      <c r="AJ61" s="586">
        <f t="shared" si="90"/>
        <v>-152.13038998584</v>
      </c>
      <c r="AK61" s="635">
        <f t="shared" si="211"/>
        <v>0.91656137923167957</v>
      </c>
      <c r="AL61" s="629">
        <f t="shared" si="91"/>
        <v>-0.3699309971170901</v>
      </c>
      <c r="AM61" s="634">
        <f t="shared" si="92"/>
        <v>-0.15187592130708763</v>
      </c>
      <c r="AN61" s="581">
        <f t="shared" si="93"/>
        <v>-67.67929886090414</v>
      </c>
      <c r="AO61" s="582">
        <f t="shared" si="461"/>
        <v>23.571554174204614</v>
      </c>
      <c r="AP61" s="585">
        <f t="shared" si="95"/>
        <v>-21.979369794145551</v>
      </c>
      <c r="AQ61" s="586">
        <f t="shared" si="246"/>
        <v>0.48412875922126714</v>
      </c>
      <c r="AS61" s="52">
        <f t="shared" si="406"/>
        <v>-220.15102019169447</v>
      </c>
      <c r="AT61" s="72">
        <f t="shared" si="247"/>
        <v>-0.73742003224199948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5.1319999999999997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-3.2722503822124236</v>
      </c>
      <c r="C62" s="708">
        <v>-3.803265059930228</v>
      </c>
      <c r="D62" s="709">
        <v>-1.5858047827872253</v>
      </c>
      <c r="E62" s="710">
        <v>0.34506191053657742</v>
      </c>
      <c r="F62" s="708">
        <v>-0.9353928964900351</v>
      </c>
      <c r="G62" s="711">
        <v>7.7281350226491671E-2</v>
      </c>
      <c r="H62" s="710">
        <v>0.314</v>
      </c>
      <c r="I62" s="708">
        <v>0.52</v>
      </c>
      <c r="J62" s="570">
        <v>5.1390000000000002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5.1390000000000002</v>
      </c>
      <c r="N62" s="632">
        <f t="shared" si="240"/>
        <v>-3.2722503822124236</v>
      </c>
      <c r="O62" s="629">
        <f t="shared" si="241"/>
        <v>-3.803265059930228</v>
      </c>
      <c r="P62" s="633">
        <f t="shared" si="242"/>
        <v>-1.5858047827872253</v>
      </c>
      <c r="Q62" s="585">
        <f t="shared" si="113"/>
        <v>229.29197988872636</v>
      </c>
      <c r="R62" s="629">
        <f t="shared" si="79"/>
        <v>5.017215131920838</v>
      </c>
      <c r="S62" s="634">
        <f t="shared" si="80"/>
        <v>-1.5858047827872253</v>
      </c>
      <c r="T62" s="635">
        <f t="shared" si="81"/>
        <v>-3.8032650599302285</v>
      </c>
      <c r="U62" s="629">
        <f t="shared" si="82"/>
        <v>3.2722503822124236</v>
      </c>
      <c r="V62" s="636">
        <f t="shared" si="114"/>
        <v>-1.5858047827872253</v>
      </c>
      <c r="W62" s="585">
        <f t="shared" si="224"/>
        <v>139.29197988872636</v>
      </c>
      <c r="X62" s="629">
        <f t="shared" si="83"/>
        <v>5.017215131920838</v>
      </c>
      <c r="Y62" s="630">
        <f t="shared" si="223"/>
        <v>-1.5858047827872253</v>
      </c>
      <c r="Z62" s="632">
        <f t="shared" si="243"/>
        <v>-0.34506191053657742</v>
      </c>
      <c r="AA62" s="629">
        <f t="shared" si="244"/>
        <v>0.9353928964900351</v>
      </c>
      <c r="AB62" s="629">
        <f t="shared" si="245"/>
        <v>-7.7281350226491671E-2</v>
      </c>
      <c r="AC62" s="636">
        <f t="shared" si="84"/>
        <v>1</v>
      </c>
      <c r="AD62" s="637">
        <f t="shared" si="115"/>
        <v>-0.34506191053657742</v>
      </c>
      <c r="AE62" s="629">
        <f t="shared" si="85"/>
        <v>0.9353928964900351</v>
      </c>
      <c r="AF62" s="633">
        <f t="shared" si="86"/>
        <v>-7.7281350226491671E-2</v>
      </c>
      <c r="AG62" s="602">
        <f t="shared" si="87"/>
        <v>85.276999151596328</v>
      </c>
      <c r="AH62" s="603">
        <f t="shared" si="88"/>
        <v>110.18557506083749</v>
      </c>
      <c r="AI62" s="585">
        <f t="shared" si="89"/>
        <v>-85.567685376937789</v>
      </c>
      <c r="AJ62" s="586">
        <f t="shared" si="90"/>
        <v>-159.75122645854057</v>
      </c>
      <c r="AK62" s="635">
        <f t="shared" si="211"/>
        <v>0.87163925722287305</v>
      </c>
      <c r="AL62" s="629">
        <f t="shared" si="91"/>
        <v>-0.48401714657140882</v>
      </c>
      <c r="AM62" s="634">
        <f t="shared" si="92"/>
        <v>-7.7281350226491671E-2</v>
      </c>
      <c r="AN62" s="581">
        <f t="shared" si="93"/>
        <v>-80.92835217385803</v>
      </c>
      <c r="AO62" s="582">
        <f t="shared" si="461"/>
        <v>29.350305851018234</v>
      </c>
      <c r="AP62" s="585">
        <f t="shared" si="95"/>
        <v>-29.043206347266921</v>
      </c>
      <c r="AQ62" s="586">
        <f t="shared" si="246"/>
        <v>0.45437135575986765</v>
      </c>
      <c r="AS62" s="52">
        <f t="shared" si="406"/>
        <v>-220.70802011127364</v>
      </c>
      <c r="AT62" s="72">
        <f t="shared" si="247"/>
        <v>-1.4325353243766186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5.1390000000000002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-3.3084680489461959</v>
      </c>
      <c r="C63" s="708">
        <v>-3.8335706962009688</v>
      </c>
      <c r="D63" s="709">
        <v>-2.3480070815893579</v>
      </c>
      <c r="E63" s="710">
        <v>0.2929881567859357</v>
      </c>
      <c r="F63" s="708">
        <v>-0.95600226109081288</v>
      </c>
      <c r="G63" s="711">
        <v>1.4751839628780641E-2</v>
      </c>
      <c r="H63" s="710">
        <v>0.314</v>
      </c>
      <c r="I63" s="708">
        <v>0.52</v>
      </c>
      <c r="J63" s="570">
        <v>5.1459999999999999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5.1459999999999999</v>
      </c>
      <c r="N63" s="632">
        <f t="shared" si="240"/>
        <v>-3.3084680489461959</v>
      </c>
      <c r="O63" s="629">
        <f t="shared" si="241"/>
        <v>-3.8335706962009688</v>
      </c>
      <c r="P63" s="633">
        <f t="shared" si="242"/>
        <v>-2.3480070815893579</v>
      </c>
      <c r="Q63" s="585">
        <f t="shared" si="113"/>
        <v>229.2049799012876</v>
      </c>
      <c r="R63" s="629">
        <f t="shared" si="79"/>
        <v>5.0638152724668606</v>
      </c>
      <c r="S63" s="634">
        <f t="shared" si="80"/>
        <v>-2.3480070815893579</v>
      </c>
      <c r="T63" s="635">
        <f t="shared" si="81"/>
        <v>-3.8335706962009684</v>
      </c>
      <c r="U63" s="629">
        <f t="shared" si="82"/>
        <v>3.3084680489461959</v>
      </c>
      <c r="V63" s="636">
        <f t="shared" si="114"/>
        <v>-2.3480070815893579</v>
      </c>
      <c r="W63" s="585">
        <f t="shared" si="224"/>
        <v>139.2049799012876</v>
      </c>
      <c r="X63" s="629">
        <f t="shared" si="83"/>
        <v>5.0638152724668606</v>
      </c>
      <c r="Y63" s="630">
        <f t="shared" si="223"/>
        <v>-2.3480070815893579</v>
      </c>
      <c r="Z63" s="632">
        <f t="shared" si="243"/>
        <v>-0.2929881567859357</v>
      </c>
      <c r="AA63" s="629">
        <f t="shared" si="244"/>
        <v>0.95600226109081288</v>
      </c>
      <c r="AB63" s="629">
        <f t="shared" si="245"/>
        <v>-1.4751839628780641E-2</v>
      </c>
      <c r="AC63" s="636">
        <f t="shared" si="84"/>
        <v>1</v>
      </c>
      <c r="AD63" s="637">
        <f t="shared" si="115"/>
        <v>-0.2929881567859357</v>
      </c>
      <c r="AE63" s="629">
        <f t="shared" si="85"/>
        <v>0.95600226109081288</v>
      </c>
      <c r="AF63" s="633">
        <f t="shared" si="86"/>
        <v>-1.4751839628780641E-2</v>
      </c>
      <c r="AG63" s="602">
        <f t="shared" si="87"/>
        <v>89.115952848357637</v>
      </c>
      <c r="AH63" s="603">
        <f t="shared" si="88"/>
        <v>107.03693758171229</v>
      </c>
      <c r="AI63" s="585">
        <f t="shared" si="89"/>
        <v>-89.154751190606945</v>
      </c>
      <c r="AJ63" s="586">
        <f t="shared" si="90"/>
        <v>-162.9611516960513</v>
      </c>
      <c r="AK63" s="635">
        <f t="shared" si="211"/>
        <v>0.84641589732395217</v>
      </c>
      <c r="AL63" s="629">
        <f t="shared" si="91"/>
        <v>-0.53231805528730236</v>
      </c>
      <c r="AM63" s="634">
        <f t="shared" si="92"/>
        <v>-1.4751839628780641E-2</v>
      </c>
      <c r="AN63" s="581">
        <f t="shared" si="93"/>
        <v>-88.412599625742644</v>
      </c>
      <c r="AO63" s="582">
        <f t="shared" si="461"/>
        <v>32.176043602513587</v>
      </c>
      <c r="AP63" s="585">
        <f t="shared" si="95"/>
        <v>-32.166131597338904</v>
      </c>
      <c r="AQ63" s="586">
        <f t="shared" si="246"/>
        <v>0.45019014211149172</v>
      </c>
      <c r="AS63" s="52">
        <f t="shared" si="406"/>
        <v>-220.7950200987124</v>
      </c>
      <c r="AT63" s="72">
        <f t="shared" si="247"/>
        <v>-2.1946772065208076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5.1459999999999999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-1.7426426966849873</v>
      </c>
      <c r="C64" s="708">
        <v>-0.75761352409627047</v>
      </c>
      <c r="D64" s="709">
        <v>-0.31030480562425733</v>
      </c>
      <c r="E64" s="710">
        <v>0.15924952348071983</v>
      </c>
      <c r="F64" s="708">
        <v>6.9233447549189045E-2</v>
      </c>
      <c r="G64" s="711">
        <v>0.98480775738801807</v>
      </c>
      <c r="H64" s="710">
        <v>0.26250000000000001</v>
      </c>
      <c r="I64" s="708">
        <v>0.40699999999999997</v>
      </c>
      <c r="J64" s="570">
        <v>5.2080000000000002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Inactive</v>
      </c>
      <c r="L64" s="320"/>
      <c r="M64" s="168">
        <f t="shared" si="239"/>
        <v>5.2080000000000002</v>
      </c>
      <c r="N64" s="632">
        <f t="shared" si="240"/>
        <v>-1.7426426966849873</v>
      </c>
      <c r="O64" s="629">
        <f t="shared" si="241"/>
        <v>-0.75761352409627047</v>
      </c>
      <c r="P64" s="633">
        <f t="shared" si="242"/>
        <v>-0.31030480562425733</v>
      </c>
      <c r="Q64" s="585">
        <f t="shared" si="113"/>
        <v>203.49698361306304</v>
      </c>
      <c r="R64" s="629">
        <f t="shared" si="79"/>
        <v>1.9002057310204847</v>
      </c>
      <c r="S64" s="634">
        <f t="shared" si="80"/>
        <v>-0.31030480562425733</v>
      </c>
      <c r="T64" s="635">
        <f t="shared" si="81"/>
        <v>-0.75761352409627047</v>
      </c>
      <c r="U64" s="629">
        <f t="shared" si="82"/>
        <v>1.7426426966849873</v>
      </c>
      <c r="V64" s="636">
        <f t="shared" si="114"/>
        <v>-0.31030480562425733</v>
      </c>
      <c r="W64" s="585">
        <f t="shared" si="224"/>
        <v>113.49698361306304</v>
      </c>
      <c r="X64" s="629">
        <f t="shared" si="83"/>
        <v>1.9002057310204847</v>
      </c>
      <c r="Y64" s="630">
        <f t="shared" si="223"/>
        <v>-0.31030480562425733</v>
      </c>
      <c r="Z64" s="632">
        <f t="shared" si="243"/>
        <v>-0.15924952348071983</v>
      </c>
      <c r="AA64" s="629">
        <f t="shared" si="244"/>
        <v>-6.9233447549189045E-2</v>
      </c>
      <c r="AB64" s="629">
        <f t="shared" si="245"/>
        <v>-0.98480775738801807</v>
      </c>
      <c r="AC64" s="636">
        <f t="shared" si="84"/>
        <v>1</v>
      </c>
      <c r="AD64" s="637">
        <f t="shared" si="115"/>
        <v>-0.15924952348071983</v>
      </c>
      <c r="AE64" s="629">
        <f t="shared" si="85"/>
        <v>-6.9233447549189045E-2</v>
      </c>
      <c r="AF64" s="633">
        <f t="shared" si="86"/>
        <v>-0.98480775738801807</v>
      </c>
      <c r="AG64" s="602">
        <f t="shared" si="87"/>
        <v>-4.0213621547137466</v>
      </c>
      <c r="AH64" s="603">
        <f t="shared" si="88"/>
        <v>99.163338576599585</v>
      </c>
      <c r="AI64" s="585">
        <f t="shared" si="89"/>
        <v>-9.9999985561871902</v>
      </c>
      <c r="AJ64" s="586">
        <f t="shared" si="90"/>
        <v>-66.503091218659534</v>
      </c>
      <c r="AK64" s="635">
        <f t="shared" si="211"/>
        <v>2.2679489670995867E-7</v>
      </c>
      <c r="AL64" s="629">
        <f t="shared" si="91"/>
        <v>0.17364815285032897</v>
      </c>
      <c r="AM64" s="634">
        <f t="shared" si="92"/>
        <v>-0.98480775738801807</v>
      </c>
      <c r="AN64" s="581">
        <f t="shared" si="93"/>
        <v>9.999998556178852</v>
      </c>
      <c r="AO64" s="582">
        <f t="shared" si="461"/>
        <v>0</v>
      </c>
      <c r="AP64" s="585">
        <f t="shared" si="95"/>
        <v>89.999925168277443</v>
      </c>
      <c r="AQ64" s="586">
        <f t="shared" si="246"/>
        <v>1.1995509228898933</v>
      </c>
      <c r="AS64" s="52">
        <f t="shared" si="406"/>
        <v>-246.50301638693696</v>
      </c>
      <c r="AT64" s="72">
        <f t="shared" si="247"/>
        <v>-0.13912215535555109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Nose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5.2080000000000002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5.1079999999999997</v>
      </c>
      <c r="II64" s="734" cm="1">
        <f t="array" ref="II64">IFERROR(ROUND(VALUE(IF($IH64&lt;1,$IH64+LARGE((IF($M$9:$M$150="",0,$M$9:$M$150)-MOD(IF($M$9:$M$150="",0,$M$9:$M$150),1)),1),$IH64)),4),"")</f>
        <v>5.1079999999999997</v>
      </c>
      <c r="IJ64" s="533">
        <f t="shared" si="112"/>
        <v>1613</v>
      </c>
      <c r="IK64" s="533" t="str">
        <f t="shared" si="382"/>
        <v>Inactive</v>
      </c>
      <c r="IL64" s="727">
        <f t="shared" si="225"/>
        <v>28.502995884676551</v>
      </c>
      <c r="IM64" s="759">
        <v>1.7574834535699899E-2</v>
      </c>
      <c r="IN64" s="5">
        <f t="shared" si="226"/>
        <v>0.22</v>
      </c>
      <c r="IO64" s="771">
        <v>110</v>
      </c>
      <c r="IP64" s="9">
        <f t="shared" si="227"/>
        <v>-1.9002057310204847</v>
      </c>
      <c r="IQ64" s="5">
        <f t="shared" si="228"/>
        <v>-0.33070099739420816</v>
      </c>
      <c r="IR64" s="5">
        <f t="shared" si="383"/>
        <v>0.314</v>
      </c>
      <c r="IS64" s="5">
        <f t="shared" si="229"/>
        <v>0.30027969730521836</v>
      </c>
      <c r="IT64" s="727">
        <f t="shared" si="230"/>
        <v>-9.9999985561788929</v>
      </c>
      <c r="IU64" s="9">
        <f t="shared" si="231"/>
        <v>-1.9002057310204847</v>
      </c>
      <c r="IV64" s="5">
        <f t="shared" si="232"/>
        <v>-0.31030480562425733</v>
      </c>
      <c r="IW64" s="5">
        <f t="shared" si="384"/>
        <v>0.26250000000000001</v>
      </c>
      <c r="IX64" s="5">
        <f t="shared" si="233"/>
        <v>0.26250000000000001</v>
      </c>
      <c r="IY64" s="762">
        <f t="shared" si="234"/>
        <v>-9.999998556178852</v>
      </c>
    </row>
    <row r="65" spans="1:259" ht="15" customHeight="1" x14ac:dyDescent="0.25">
      <c r="A65" s="79"/>
      <c r="B65" s="707">
        <v>-2.2739379269779927</v>
      </c>
      <c r="C65" s="708">
        <v>-1.2647731589153512</v>
      </c>
      <c r="D65" s="709">
        <v>-0.11920089592153234</v>
      </c>
      <c r="E65" s="710">
        <v>0.15175411861877916</v>
      </c>
      <c r="F65" s="708">
        <v>8.4405974140579404E-2</v>
      </c>
      <c r="G65" s="711">
        <v>0.98480775738801807</v>
      </c>
      <c r="H65" s="710">
        <v>0.26250000000000001</v>
      </c>
      <c r="I65" s="708">
        <v>0.40699999999999997</v>
      </c>
      <c r="J65" s="570">
        <v>5.2110000000000003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Inactive</v>
      </c>
      <c r="L65" s="320"/>
      <c r="M65" s="168">
        <f t="shared" si="239"/>
        <v>5.2110000000000003</v>
      </c>
      <c r="N65" s="632">
        <f t="shared" si="240"/>
        <v>-2.2739379269779927</v>
      </c>
      <c r="O65" s="629">
        <f t="shared" si="241"/>
        <v>-1.2647731589153512</v>
      </c>
      <c r="P65" s="633">
        <f t="shared" si="242"/>
        <v>-0.11920089592153234</v>
      </c>
      <c r="Q65" s="585">
        <f t="shared" si="113"/>
        <v>209.08298280654452</v>
      </c>
      <c r="R65" s="629">
        <f t="shared" si="79"/>
        <v>2.6020078476556692</v>
      </c>
      <c r="S65" s="634">
        <f t="shared" si="80"/>
        <v>-0.11920089592153234</v>
      </c>
      <c r="T65" s="635">
        <f t="shared" si="81"/>
        <v>-1.264773158915351</v>
      </c>
      <c r="U65" s="629">
        <f t="shared" si="82"/>
        <v>2.2739379269779931</v>
      </c>
      <c r="V65" s="636">
        <f t="shared" si="114"/>
        <v>-0.11920089592153234</v>
      </c>
      <c r="W65" s="585">
        <f t="shared" si="224"/>
        <v>119.08298280654452</v>
      </c>
      <c r="X65" s="629">
        <f t="shared" si="83"/>
        <v>2.6020078476556692</v>
      </c>
      <c r="Y65" s="630">
        <f t="shared" si="223"/>
        <v>-0.11920089592153234</v>
      </c>
      <c r="Z65" s="632">
        <f t="shared" si="243"/>
        <v>-0.15175411861877916</v>
      </c>
      <c r="AA65" s="629">
        <f t="shared" si="244"/>
        <v>-8.4405974140579404E-2</v>
      </c>
      <c r="AB65" s="629">
        <f t="shared" si="245"/>
        <v>-0.98480775738801807</v>
      </c>
      <c r="AC65" s="636">
        <f t="shared" si="84"/>
        <v>1</v>
      </c>
      <c r="AD65" s="637">
        <f t="shared" si="115"/>
        <v>-0.15175411861877916</v>
      </c>
      <c r="AE65" s="629">
        <f t="shared" si="85"/>
        <v>-8.4405974140579404E-2</v>
      </c>
      <c r="AF65" s="633">
        <f t="shared" si="86"/>
        <v>-0.98480775738801807</v>
      </c>
      <c r="AG65" s="602">
        <f t="shared" si="87"/>
        <v>-4.8987390285074275</v>
      </c>
      <c r="AH65" s="603">
        <f t="shared" si="88"/>
        <v>98.728594000970105</v>
      </c>
      <c r="AI65" s="585">
        <f t="shared" si="89"/>
        <v>-9.9999985561871902</v>
      </c>
      <c r="AJ65" s="586">
        <f t="shared" si="90"/>
        <v>-60.917092025178029</v>
      </c>
      <c r="AK65" s="635">
        <f t="shared" si="211"/>
        <v>2.267948966822031E-7</v>
      </c>
      <c r="AL65" s="629">
        <f t="shared" si="91"/>
        <v>0.17364815285032897</v>
      </c>
      <c r="AM65" s="634">
        <f t="shared" si="92"/>
        <v>-0.98480775738801807</v>
      </c>
      <c r="AN65" s="581">
        <f t="shared" si="93"/>
        <v>9.999998556178852</v>
      </c>
      <c r="AO65" s="582">
        <f t="shared" si="461"/>
        <v>0</v>
      </c>
      <c r="AP65" s="585">
        <f t="shared" si="95"/>
        <v>89.999925168277457</v>
      </c>
      <c r="AQ65" s="586">
        <f t="shared" si="246"/>
        <v>0.8760730557651808</v>
      </c>
      <c r="AS65" s="52">
        <f t="shared" si="406"/>
        <v>-240.91701719345548</v>
      </c>
      <c r="AT65" s="72">
        <f t="shared" si="247"/>
        <v>4.8102588240589536E-2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5.2110000000000003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5.1109999999999998</v>
      </c>
      <c r="II65" s="734" cm="1">
        <f t="array" ref="II65">IFERROR(ROUND(VALUE(IF($IH65&lt;1,$IH65+LARGE((IF($M$9:$M$150="",0,$M$9:$M$150)-MOD(IF($M$9:$M$150="",0,$M$9:$M$150),1)),1),$IH65)),4),"")</f>
        <v>5.1109999999999998</v>
      </c>
      <c r="IJ65" s="533">
        <f t="shared" si="112"/>
        <v>1613</v>
      </c>
      <c r="IK65" s="533" t="str">
        <f t="shared" si="382"/>
        <v>Inactive</v>
      </c>
      <c r="IL65" s="727">
        <f t="shared" si="225"/>
        <v>22.916996691195067</v>
      </c>
      <c r="IM65" s="759">
        <v>1.44885169552434E-2</v>
      </c>
      <c r="IN65" s="5">
        <f t="shared" si="226"/>
        <v>0.22</v>
      </c>
      <c r="IO65" s="771">
        <v>110</v>
      </c>
      <c r="IP65" s="9">
        <f t="shared" si="227"/>
        <v>-2.6020078476556683</v>
      </c>
      <c r="IQ65" s="5">
        <f t="shared" si="228"/>
        <v>-0.14270043038449803</v>
      </c>
      <c r="IR65" s="5">
        <f t="shared" si="383"/>
        <v>0.314</v>
      </c>
      <c r="IS65" s="5">
        <f t="shared" si="229"/>
        <v>0.30027969730521836</v>
      </c>
      <c r="IT65" s="727">
        <f t="shared" si="230"/>
        <v>-9.9999985561788378</v>
      </c>
      <c r="IU65" s="9">
        <f t="shared" si="231"/>
        <v>-2.6020078476556692</v>
      </c>
      <c r="IV65" s="5">
        <f t="shared" si="232"/>
        <v>-0.11920089592153234</v>
      </c>
      <c r="IW65" s="5">
        <f t="shared" si="384"/>
        <v>0.26250000000000001</v>
      </c>
      <c r="IX65" s="5">
        <f t="shared" si="233"/>
        <v>0.26250000000000001</v>
      </c>
      <c r="IY65" s="762">
        <f t="shared" si="234"/>
        <v>-9.999998556178852</v>
      </c>
    </row>
    <row r="66" spans="1:259" ht="15" customHeight="1" x14ac:dyDescent="0.25">
      <c r="A66" s="79"/>
      <c r="B66" s="707">
        <v>-2.7716191696458941</v>
      </c>
      <c r="C66" s="708">
        <v>-2.0466997687319215</v>
      </c>
      <c r="D66" s="709">
        <v>-5.9511872897047548E-2</v>
      </c>
      <c r="E66" s="710">
        <v>0.54267911126668567</v>
      </c>
      <c r="F66" s="708">
        <v>-0.78804519720768296</v>
      </c>
      <c r="G66" s="711">
        <v>0.29066157185411379</v>
      </c>
      <c r="H66" s="710">
        <v>0.26600000000000001</v>
      </c>
      <c r="I66" s="708">
        <v>0.52</v>
      </c>
      <c r="J66" s="570">
        <v>5.218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5.218</v>
      </c>
      <c r="N66" s="632">
        <f t="shared" si="240"/>
        <v>-2.7716191696458941</v>
      </c>
      <c r="O66" s="629">
        <f t="shared" si="241"/>
        <v>-2.0466997687319215</v>
      </c>
      <c r="P66" s="633">
        <f t="shared" si="242"/>
        <v>-5.9511872897047548E-2</v>
      </c>
      <c r="Q66" s="585">
        <f t="shared" si="113"/>
        <v>216.4439817437478</v>
      </c>
      <c r="R66" s="629">
        <f t="shared" si="79"/>
        <v>3.4454103913577399</v>
      </c>
      <c r="S66" s="634">
        <f t="shared" si="80"/>
        <v>-5.9511872897047548E-2</v>
      </c>
      <c r="T66" s="635">
        <f t="shared" si="81"/>
        <v>-2.0466997687319211</v>
      </c>
      <c r="U66" s="629">
        <f t="shared" si="82"/>
        <v>2.7716191696458936</v>
      </c>
      <c r="V66" s="636">
        <f t="shared" si="114"/>
        <v>-5.9511872897047548E-2</v>
      </c>
      <c r="W66" s="585">
        <f t="shared" si="224"/>
        <v>126.4439817437478</v>
      </c>
      <c r="X66" s="629">
        <f t="shared" si="83"/>
        <v>3.4454103913577399</v>
      </c>
      <c r="Y66" s="630">
        <f t="shared" si="223"/>
        <v>-5.9511872897047548E-2</v>
      </c>
      <c r="Z66" s="632">
        <f t="shared" si="243"/>
        <v>-0.54267911126668567</v>
      </c>
      <c r="AA66" s="629">
        <f t="shared" si="244"/>
        <v>0.78804519720768296</v>
      </c>
      <c r="AB66" s="629">
        <f t="shared" si="245"/>
        <v>-0.29066157185411379</v>
      </c>
      <c r="AC66" s="636">
        <f t="shared" si="84"/>
        <v>1</v>
      </c>
      <c r="AD66" s="637">
        <f t="shared" si="115"/>
        <v>-0.54267911126668567</v>
      </c>
      <c r="AE66" s="629">
        <f t="shared" si="85"/>
        <v>0.78804519720768296</v>
      </c>
      <c r="AF66" s="633">
        <f t="shared" si="86"/>
        <v>-0.29066157185411379</v>
      </c>
      <c r="AG66" s="602">
        <f t="shared" si="87"/>
        <v>69.7540734816872</v>
      </c>
      <c r="AH66" s="603">
        <f t="shared" si="88"/>
        <v>122.86620446344082</v>
      </c>
      <c r="AI66" s="585">
        <f t="shared" si="89"/>
        <v>-73.102432490011111</v>
      </c>
      <c r="AJ66" s="586">
        <f t="shared" si="90"/>
        <v>-145.44716373677221</v>
      </c>
      <c r="AK66" s="635">
        <f t="shared" si="211"/>
        <v>0.95630476848795642</v>
      </c>
      <c r="AL66" s="629">
        <f t="shared" si="91"/>
        <v>-3.1575946771104757E-2</v>
      </c>
      <c r="AM66" s="634">
        <f t="shared" si="92"/>
        <v>-0.29066157185411379</v>
      </c>
      <c r="AN66" s="581">
        <f t="shared" si="93"/>
        <v>-6.1999991048309324</v>
      </c>
      <c r="AO66" s="582">
        <f t="shared" si="461"/>
        <v>16.999997545504069</v>
      </c>
      <c r="AP66" s="585">
        <f t="shared" si="95"/>
        <v>-1.8911454805199743</v>
      </c>
      <c r="AQ66" s="586">
        <f t="shared" si="246"/>
        <v>0.66164115060147677</v>
      </c>
      <c r="AS66" s="52">
        <f t="shared" si="406"/>
        <v>-233.5560182562522</v>
      </c>
      <c r="AT66" s="72">
        <f t="shared" si="247"/>
        <v>0.10267980644757205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5.218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5.1180000000000003</v>
      </c>
      <c r="II66" s="734" cm="1">
        <f t="array" ref="II66">IFERROR(ROUND(VALUE(IF($IH66&lt;1,$IH66+LARGE((IF($M$9:$M$150="",0,$M$9:$M$150)-MOD(IF($M$9:$M$150="",0,$M$9:$M$150),1)),1),$IH66)),4),"")</f>
        <v>5.1180000000000003</v>
      </c>
      <c r="IJ66" s="533">
        <f t="shared" si="112"/>
        <v>1613</v>
      </c>
      <c r="IK66" s="533">
        <f t="shared" si="382"/>
        <v>1313</v>
      </c>
      <c r="IL66" s="727">
        <f t="shared" si="225"/>
        <v>15.186997807268796</v>
      </c>
      <c r="IM66" s="759">
        <v>8.6420803958065194E-3</v>
      </c>
      <c r="IN66" s="5">
        <f t="shared" si="226"/>
        <v>0.18</v>
      </c>
      <c r="IO66" s="771">
        <v>90</v>
      </c>
      <c r="IP66" s="9">
        <f t="shared" si="227"/>
        <v>-3.4454103913577407</v>
      </c>
      <c r="IQ66" s="5">
        <f t="shared" si="228"/>
        <v>-9.7000292552882353E-2</v>
      </c>
      <c r="IR66" s="5">
        <f t="shared" si="383"/>
        <v>0.314</v>
      </c>
      <c r="IS66" s="5">
        <f t="shared" si="229"/>
        <v>0.29966892678787299</v>
      </c>
      <c r="IT66" s="727">
        <f t="shared" si="230"/>
        <v>18.524525297677702</v>
      </c>
      <c r="IU66" s="9">
        <f t="shared" si="231"/>
        <v>-3.4454103913577399</v>
      </c>
      <c r="IV66" s="5">
        <f t="shared" si="232"/>
        <v>-5.9511872897047548E-2</v>
      </c>
      <c r="IW66" s="5">
        <f t="shared" si="384"/>
        <v>0.26600000000000001</v>
      </c>
      <c r="IX66" s="5">
        <f t="shared" si="233"/>
        <v>0.25437706841779645</v>
      </c>
      <c r="IY66" s="762">
        <f t="shared" si="234"/>
        <v>6.1999991048309324</v>
      </c>
    </row>
    <row r="67" spans="1:259" ht="15" customHeight="1" x14ac:dyDescent="0.25">
      <c r="A67" s="79"/>
      <c r="B67" s="707">
        <v>-3.2889531545159163</v>
      </c>
      <c r="C67" s="708">
        <v>-2.5415317447697783</v>
      </c>
      <c r="D67" s="709">
        <v>-0.32847273213107603</v>
      </c>
      <c r="E67" s="710">
        <v>0.48716989864389848</v>
      </c>
      <c r="F67" s="708">
        <v>-0.82546649364650948</v>
      </c>
      <c r="G67" s="711">
        <v>0.28507991462435756</v>
      </c>
      <c r="H67" s="710">
        <v>0.26600000000000001</v>
      </c>
      <c r="I67" s="708">
        <v>0.52</v>
      </c>
      <c r="J67" s="570">
        <v>5.2249999999999996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5.2249999999999996</v>
      </c>
      <c r="N67" s="632">
        <f t="shared" si="240"/>
        <v>-3.2889531545159163</v>
      </c>
      <c r="O67" s="629">
        <f t="shared" si="241"/>
        <v>-2.5415317447697783</v>
      </c>
      <c r="P67" s="633">
        <f t="shared" si="242"/>
        <v>-0.32847273213107603</v>
      </c>
      <c r="Q67" s="585">
        <f t="shared" si="113"/>
        <v>217.69498156312579</v>
      </c>
      <c r="R67" s="629">
        <f>IF(M67="","",SQRT(N67^2+O67^2))</f>
        <v>4.1565125360418094</v>
      </c>
      <c r="S67" s="634">
        <f>IF(M67="","",P67)</f>
        <v>-0.32847273213107603</v>
      </c>
      <c r="T67" s="635">
        <f>IF(M67="","",X67*COS(RADIANS(W67)))</f>
        <v>-2.5415317447697805</v>
      </c>
      <c r="U67" s="629">
        <f>IF(M67="","",X67*SIN(RADIANS(W67)))</f>
        <v>3.2889531545159154</v>
      </c>
      <c r="V67" s="636">
        <f>IF(M67="","",Y67)</f>
        <v>-0.32847273213107603</v>
      </c>
      <c r="W67" s="585">
        <f t="shared" si="224"/>
        <v>127.69498156312579</v>
      </c>
      <c r="X67" s="629">
        <f>IF(M67="","",R67)</f>
        <v>4.1565125360418094</v>
      </c>
      <c r="Y67" s="630">
        <f t="shared" si="223"/>
        <v>-0.32847273213107603</v>
      </c>
      <c r="Z67" s="632">
        <f t="shared" si="243"/>
        <v>-0.48716989864389848</v>
      </c>
      <c r="AA67" s="629">
        <f t="shared" si="244"/>
        <v>0.82546649364650948</v>
      </c>
      <c r="AB67" s="629">
        <f t="shared" si="245"/>
        <v>-0.28507991462435756</v>
      </c>
      <c r="AC67" s="636">
        <f>IF(M67="","",SQRT(Z67^2+AA67^2+AB67^2))</f>
        <v>1</v>
      </c>
      <c r="AD67" s="637">
        <f>IF(M67="","",Z67*(1/SQRT(Z67^2+AA67^2+AB67^2)))</f>
        <v>-0.48716989864389848</v>
      </c>
      <c r="AE67" s="629">
        <f>IF(M67="","",AA67*(1/SQRT(Z67^2+AA67^2+AB67^2)))</f>
        <v>0.82546649364650948</v>
      </c>
      <c r="AF67" s="633">
        <f>IF(M67="","",AB67*(1/SQRT(Z67^2+AA67^2+AB67^2)))</f>
        <v>-0.28507991462435756</v>
      </c>
      <c r="AG67" s="602">
        <f>IF(M67="","",DEGREES(ATAN2(-AF67,AE67)))</f>
        <v>70.947333192843516</v>
      </c>
      <c r="AH67" s="603">
        <f>IF(M67="","",DEGREES(ACOS(AD67)))</f>
        <v>119.15473634147217</v>
      </c>
      <c r="AI67" s="585">
        <f>IF(M67="","",DEGREES(-ACOS(-AF67)))</f>
        <v>-73.436374474529188</v>
      </c>
      <c r="AJ67" s="586">
        <f>IF(M67="","",DEGREES(ATAN2(-AE67,AD67)))</f>
        <v>-149.45194717179342</v>
      </c>
      <c r="AK67" s="635">
        <f>IF(M67="","",(COS(RADIANS((90-$Q$8)-W67))*AD67)+(-SIN(RADIANS((90-$Q$8)-W67))*AE67))</f>
        <v>0.95105653031184811</v>
      </c>
      <c r="AL67" s="629">
        <f>IF(M67="","",(SIN(RADIANS((90-$Q$8)-W67))*AD67)+(COS(RADIANS((90-$Q$8)-W67))*AE67))</f>
        <v>-0.11925149235526611</v>
      </c>
      <c r="AM67" s="634">
        <f>IF(M67="","",AF67)</f>
        <v>-0.28507991462435756</v>
      </c>
      <c r="AN67" s="581">
        <f>IF(M67="","",DEGREES(ATAN2(-AM67,AL67)))</f>
        <v>-22.69999672252613</v>
      </c>
      <c r="AO67" s="582">
        <f t="shared" si="461"/>
        <v>17.999997401121902</v>
      </c>
      <c r="AP67" s="585">
        <f>IF(M67="","",DEGREES(ATAN2(AK67,AL67)))</f>
        <v>-7.1469287349192268</v>
      </c>
      <c r="AQ67" s="586">
        <f t="shared" si="246"/>
        <v>0.54845425862433728</v>
      </c>
      <c r="AS67" s="52">
        <f t="shared" si="406"/>
        <v>-232.30501843687421</v>
      </c>
      <c r="AT67" s="72">
        <f t="shared" si="247"/>
        <v>-0.1671498026610245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5.2249999999999996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5.125</v>
      </c>
      <c r="II67" s="734" cm="1">
        <f t="array" ref="II67">IFERROR(ROUND(VALUE(IF($IH67&lt;1,$IH67+LARGE((IF($M$9:$M$150="",0,$M$9:$M$150)-MOD(IF($M$9:$M$150="",0,$M$9:$M$150),1)),1),$IH67)),4),"")</f>
        <v>5.125</v>
      </c>
      <c r="IJ67" s="533">
        <f t="shared" si="112"/>
        <v>1613</v>
      </c>
      <c r="IK67" s="533">
        <f t="shared" si="382"/>
        <v>1313</v>
      </c>
      <c r="IL67" s="727">
        <f t="shared" si="225"/>
        <v>13.050998115668989</v>
      </c>
      <c r="IM67" s="759">
        <v>1.0128579474709199E-2</v>
      </c>
      <c r="IN67" s="5">
        <f t="shared" si="226"/>
        <v>0.26</v>
      </c>
      <c r="IO67" s="771">
        <v>130</v>
      </c>
      <c r="IP67" s="9">
        <f t="shared" si="227"/>
        <v>-4.1565125360418094</v>
      </c>
      <c r="IQ67" s="5">
        <f t="shared" si="228"/>
        <v>-0.36720110747854018</v>
      </c>
      <c r="IR67" s="5">
        <f t="shared" si="383"/>
        <v>0.314</v>
      </c>
      <c r="IS67" s="5">
        <f t="shared" si="229"/>
        <v>0.29614180997104894</v>
      </c>
      <c r="IT67" s="727">
        <f t="shared" si="230"/>
        <v>45.507800864828866</v>
      </c>
      <c r="IU67" s="9">
        <f t="shared" si="231"/>
        <v>-4.1565125360418094</v>
      </c>
      <c r="IV67" s="5">
        <f t="shared" si="232"/>
        <v>-0.32847273213107603</v>
      </c>
      <c r="IW67" s="5">
        <f t="shared" si="384"/>
        <v>0.26600000000000001</v>
      </c>
      <c r="IX67" s="5">
        <f t="shared" si="233"/>
        <v>0.25298103706295161</v>
      </c>
      <c r="IY67" s="762">
        <f t="shared" si="234"/>
        <v>22.69999672252613</v>
      </c>
    </row>
    <row r="68" spans="1:259" ht="15" customHeight="1" x14ac:dyDescent="0.25">
      <c r="A68" s="79"/>
      <c r="B68" s="707">
        <v>-3.706647106104902</v>
      </c>
      <c r="C68" s="708">
        <v>-2.9040830597149583</v>
      </c>
      <c r="D68" s="709">
        <v>-0.85082915123083391</v>
      </c>
      <c r="E68" s="710">
        <v>0.39709530136310817</v>
      </c>
      <c r="F68" s="708">
        <v>-0.87487668221100812</v>
      </c>
      <c r="G68" s="711">
        <v>0.27731951348363704</v>
      </c>
      <c r="H68" s="710">
        <v>0.26600000000000001</v>
      </c>
      <c r="I68" s="708">
        <v>0.52</v>
      </c>
      <c r="J68" s="570">
        <v>5.2320000000000002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5.2320000000000002</v>
      </c>
      <c r="N68" s="632">
        <f t="shared" si="240"/>
        <v>-3.706647106104902</v>
      </c>
      <c r="O68" s="629">
        <f t="shared" si="241"/>
        <v>-2.9040830597149583</v>
      </c>
      <c r="P68" s="633">
        <f t="shared" si="242"/>
        <v>-0.85082915123083391</v>
      </c>
      <c r="Q68" s="585">
        <f t="shared" si="113"/>
        <v>218.07798150782742</v>
      </c>
      <c r="R68" s="629">
        <f>IF(M68="","",SQRT(N68^2+O68^2))</f>
        <v>4.7088142017836336</v>
      </c>
      <c r="S68" s="634">
        <f>IF(M68="","",P68)</f>
        <v>-0.85082915123083391</v>
      </c>
      <c r="T68" s="635">
        <f>IF(M68="","",X68*COS(RADIANS(W68)))</f>
        <v>-2.9040830597149587</v>
      </c>
      <c r="U68" s="629">
        <f>IF(M68="","",X68*SIN(RADIANS(W68)))</f>
        <v>3.706647106104902</v>
      </c>
      <c r="V68" s="636">
        <f>IF(M68="","",Y68)</f>
        <v>-0.85082915123083391</v>
      </c>
      <c r="W68" s="585">
        <f t="shared" si="224"/>
        <v>128.07798150782742</v>
      </c>
      <c r="X68" s="629">
        <f>IF(M68="","",R68)</f>
        <v>4.7088142017836336</v>
      </c>
      <c r="Y68" s="630">
        <f t="shared" si="223"/>
        <v>-0.85082915123083391</v>
      </c>
      <c r="Z68" s="632">
        <f t="shared" si="243"/>
        <v>-0.39709530136310817</v>
      </c>
      <c r="AA68" s="629">
        <f t="shared" si="244"/>
        <v>0.87487668221100812</v>
      </c>
      <c r="AB68" s="629">
        <f t="shared" si="245"/>
        <v>-0.27731951348363704</v>
      </c>
      <c r="AC68" s="636">
        <f>IF(M68="","",SQRT(Z68^2+AA68^2+AB68^2))</f>
        <v>1</v>
      </c>
      <c r="AD68" s="637">
        <f>IF(M68="","",Z68*(1/SQRT(Z68^2+AA68^2+AB68^2)))</f>
        <v>-0.39709530136310817</v>
      </c>
      <c r="AE68" s="629">
        <f>IF(M68="","",AA68*(1/SQRT(Z68^2+AA68^2+AB68^2)))</f>
        <v>0.87487668221100812</v>
      </c>
      <c r="AF68" s="633">
        <f>IF(M68="","",AB68*(1/SQRT(Z68^2+AA68^2+AB68^2)))</f>
        <v>-0.27731951348363704</v>
      </c>
      <c r="AG68" s="602">
        <f>IF(M68="","",DEGREES(ATAN2(-AF68,AE68)))</f>
        <v>72.412360571954324</v>
      </c>
      <c r="AH68" s="603">
        <f>IF(M68="","",DEGREES(ACOS(AD68)))</f>
        <v>113.39671687194534</v>
      </c>
      <c r="AI68" s="585">
        <f>IF(M68="","",DEGREES(-ACOS(-AF68)))</f>
        <v>-73.899710164322443</v>
      </c>
      <c r="AJ68" s="586">
        <f>IF(M68="","",DEGREES(ATAN2(-AE68,AD68)))</f>
        <v>-155.58731151976113</v>
      </c>
      <c r="AK68" s="635">
        <f>IF(M68="","",(COS(RADIANS((90-$Q$8)-W68))*AD68)+(-SIN(RADIANS((90-$Q$8)-W68))*AE68))</f>
        <v>0.93358044546160568</v>
      </c>
      <c r="AL68" s="629">
        <f>IF(M68="","",(SIN(RADIANS((90-$Q$8)-W68))*AD68)+(COS(RADIANS((90-$Q$8)-W68))*AE68))</f>
        <v>-0.22698334584922503</v>
      </c>
      <c r="AM68" s="634">
        <f>IF(M68="","",AF68)</f>
        <v>-0.27731951348363704</v>
      </c>
      <c r="AN68" s="581">
        <f>IF(M68="","",DEGREES(ATAN2(-AM68,AL68)))</f>
        <v>-39.29999432578277</v>
      </c>
      <c r="AO68" s="582">
        <f t="shared" si="461"/>
        <v>20.999996967975559</v>
      </c>
      <c r="AP68" s="585">
        <f>IF(M68="","",DEGREES(ATAN2(AK68,AL68)))</f>
        <v>-13.665293027588547</v>
      </c>
      <c r="AQ68" s="586">
        <f t="shared" si="246"/>
        <v>0.48412875922126708</v>
      </c>
      <c r="AS68" s="52">
        <f t="shared" si="406"/>
        <v>-231.92201849217258</v>
      </c>
      <c r="AT68" s="72">
        <f t="shared" si="247"/>
        <v>-0.68977219394460298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5.2320000000000002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5.1319999999999997</v>
      </c>
      <c r="II68" s="734" cm="1">
        <f t="array" ref="II68">IFERROR(ROUND(VALUE(IF($IH68&lt;1,$IH68+LARGE((IF($M$9:$M$150="",0,$M$9:$M$150)-MOD(IF($M$9:$M$150="",0,$M$9:$M$150),1)),1),$IH68)),4),"")</f>
        <v>5.1319999999999997</v>
      </c>
      <c r="IJ68" s="533">
        <f t="shared" si="112"/>
        <v>1613</v>
      </c>
      <c r="IK68" s="533">
        <f t="shared" si="382"/>
        <v>1313</v>
      </c>
      <c r="IL68" s="727">
        <f t="shared" si="225"/>
        <v>11.770998300478112</v>
      </c>
      <c r="IM68" s="759">
        <v>1.48693789779354E-2</v>
      </c>
      <c r="IN68" s="5">
        <f t="shared" si="226"/>
        <v>0.44</v>
      </c>
      <c r="IO68" s="771">
        <v>220</v>
      </c>
      <c r="IP68" s="9">
        <f t="shared" si="227"/>
        <v>-4.7088142017836327</v>
      </c>
      <c r="IQ68" s="5">
        <f t="shared" si="228"/>
        <v>-0.89030268515289845</v>
      </c>
      <c r="IR68" s="5">
        <f t="shared" si="383"/>
        <v>0.314</v>
      </c>
      <c r="IS68" s="5">
        <f t="shared" si="229"/>
        <v>0.28780027307874739</v>
      </c>
      <c r="IT68" s="727">
        <f t="shared" si="230"/>
        <v>67.67929886090414</v>
      </c>
      <c r="IU68" s="9">
        <f t="shared" si="231"/>
        <v>-4.7088142017836336</v>
      </c>
      <c r="IV68" s="5">
        <f t="shared" si="232"/>
        <v>-0.85082915123083391</v>
      </c>
      <c r="IW68" s="5">
        <f t="shared" si="384"/>
        <v>0.26600000000000001</v>
      </c>
      <c r="IX68" s="5">
        <f t="shared" si="233"/>
        <v>0.24833239849278713</v>
      </c>
      <c r="IY68" s="762">
        <f t="shared" si="234"/>
        <v>39.29999432578277</v>
      </c>
    </row>
    <row r="69" spans="1:259" ht="15" customHeight="1" x14ac:dyDescent="0.25">
      <c r="A69" s="79"/>
      <c r="B69" s="707">
        <v>-3.3299450904519188</v>
      </c>
      <c r="C69" s="708">
        <v>-0.21702963998322541</v>
      </c>
      <c r="D69" s="709">
        <v>-8.2000247312745911E-2</v>
      </c>
      <c r="E69" s="710">
        <v>-1.1288759751473365E-2</v>
      </c>
      <c r="F69" s="708">
        <v>-0.95768063519545343</v>
      </c>
      <c r="G69" s="711">
        <v>0.28761148251574803</v>
      </c>
      <c r="H69" s="710">
        <v>0.314</v>
      </c>
      <c r="I69" s="708">
        <v>0.52</v>
      </c>
      <c r="J69" s="570">
        <v>6.117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6.117</v>
      </c>
      <c r="N69" s="632">
        <f t="shared" si="240"/>
        <v>-3.3299450904519188</v>
      </c>
      <c r="O69" s="629">
        <f t="shared" si="241"/>
        <v>-0.21702963998322541</v>
      </c>
      <c r="P69" s="633">
        <f t="shared" si="242"/>
        <v>-8.2000247312745911E-2</v>
      </c>
      <c r="Q69" s="585">
        <f t="shared" si="113"/>
        <v>183.7289864672087</v>
      </c>
      <c r="R69" s="629">
        <f t="shared" si="79"/>
        <v>3.3370100644223544</v>
      </c>
      <c r="S69" s="634">
        <f t="shared" si="80"/>
        <v>-8.2000247312745911E-2</v>
      </c>
      <c r="T69" s="635">
        <f t="shared" si="81"/>
        <v>-0.21702963998322572</v>
      </c>
      <c r="U69" s="629">
        <f t="shared" si="82"/>
        <v>3.3299450904519188</v>
      </c>
      <c r="V69" s="636">
        <f t="shared" si="114"/>
        <v>-8.2000247312745911E-2</v>
      </c>
      <c r="W69" s="585">
        <f t="shared" si="224"/>
        <v>93.728986467208699</v>
      </c>
      <c r="X69" s="629">
        <f t="shared" si="83"/>
        <v>3.3370100644223544</v>
      </c>
      <c r="Y69" s="630">
        <f t="shared" si="223"/>
        <v>-8.2000247312745911E-2</v>
      </c>
      <c r="Z69" s="632">
        <f t="shared" si="243"/>
        <v>1.1288759751473365E-2</v>
      </c>
      <c r="AA69" s="629">
        <f t="shared" si="244"/>
        <v>0.95768063519545343</v>
      </c>
      <c r="AB69" s="629">
        <f t="shared" si="245"/>
        <v>-0.28761148251574803</v>
      </c>
      <c r="AC69" s="636">
        <f t="shared" si="84"/>
        <v>1</v>
      </c>
      <c r="AD69" s="637">
        <f t="shared" si="115"/>
        <v>1.1288759751473365E-2</v>
      </c>
      <c r="AE69" s="629">
        <f t="shared" si="85"/>
        <v>0.95768063519545343</v>
      </c>
      <c r="AF69" s="633">
        <f t="shared" si="86"/>
        <v>-0.28761148251574803</v>
      </c>
      <c r="AG69" s="602">
        <f t="shared" si="87"/>
        <v>73.283890691766302</v>
      </c>
      <c r="AH69" s="603">
        <f t="shared" si="88"/>
        <v>89.353187971940656</v>
      </c>
      <c r="AI69" s="585">
        <f t="shared" si="89"/>
        <v>-73.284987127551275</v>
      </c>
      <c r="AJ69" s="586">
        <f t="shared" si="90"/>
        <v>179.32465133845116</v>
      </c>
      <c r="AK69" s="635">
        <f t="shared" si="211"/>
        <v>0.95491888619067156</v>
      </c>
      <c r="AL69" s="629">
        <f t="shared" si="91"/>
        <v>-7.3549683353913348E-2</v>
      </c>
      <c r="AM69" s="634">
        <f t="shared" si="92"/>
        <v>-0.28761148251574803</v>
      </c>
      <c r="AN69" s="581">
        <f t="shared" si="93"/>
        <v>-14.344592637879984</v>
      </c>
      <c r="AO69" s="582">
        <f t="shared" si="461"/>
        <v>17.269515099389888</v>
      </c>
      <c r="AP69" s="585">
        <f t="shared" si="95"/>
        <v>-4.4043351287575456</v>
      </c>
      <c r="AQ69" s="586">
        <f t="shared" si="246"/>
        <v>0.68313207379923102</v>
      </c>
      <c r="AS69" s="52">
        <f t="shared" si="406"/>
        <v>-266.2710135327913</v>
      </c>
      <c r="AT69" s="72">
        <f t="shared" si="247"/>
        <v>0.1029101787516925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6.117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-4.0571671637986304</v>
      </c>
      <c r="C70" s="708">
        <v>-0.20439040389717214</v>
      </c>
      <c r="D70" s="709">
        <v>-0.31160093978843439</v>
      </c>
      <c r="E70" s="710">
        <v>-0.16585167735057649</v>
      </c>
      <c r="F70" s="708">
        <v>-0.95892368536922479</v>
      </c>
      <c r="G70" s="711">
        <v>0.23012732727319535</v>
      </c>
      <c r="H70" s="710">
        <v>0.314</v>
      </c>
      <c r="I70" s="708">
        <v>0.52</v>
      </c>
      <c r="J70" s="570">
        <v>6.1239999999999997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6.1239999999999997</v>
      </c>
      <c r="N70" s="632">
        <f t="shared" si="240"/>
        <v>-4.0571671637986304</v>
      </c>
      <c r="O70" s="629">
        <f t="shared" si="241"/>
        <v>-0.20439040389717214</v>
      </c>
      <c r="P70" s="633">
        <f t="shared" si="242"/>
        <v>-0.31160093978843439</v>
      </c>
      <c r="Q70" s="585">
        <f t="shared" si="113"/>
        <v>182.88398658921159</v>
      </c>
      <c r="R70" s="629">
        <f t="shared" si="79"/>
        <v>4.0623122519337516</v>
      </c>
      <c r="S70" s="634">
        <f t="shared" si="80"/>
        <v>-0.31160093978843439</v>
      </c>
      <c r="T70" s="635">
        <f t="shared" si="81"/>
        <v>-0.20439040389717242</v>
      </c>
      <c r="U70" s="629">
        <f t="shared" si="82"/>
        <v>4.0571671637986295</v>
      </c>
      <c r="V70" s="636">
        <f t="shared" si="114"/>
        <v>-0.31160093978843439</v>
      </c>
      <c r="W70" s="585">
        <f t="shared" si="224"/>
        <v>92.883986589211588</v>
      </c>
      <c r="X70" s="629">
        <f t="shared" si="83"/>
        <v>4.0623122519337516</v>
      </c>
      <c r="Y70" s="630">
        <f t="shared" si="223"/>
        <v>-0.31160093978843439</v>
      </c>
      <c r="Z70" s="632">
        <f t="shared" si="243"/>
        <v>0.16585167735057649</v>
      </c>
      <c r="AA70" s="629">
        <f t="shared" si="244"/>
        <v>0.95892368536922479</v>
      </c>
      <c r="AB70" s="629">
        <f t="shared" si="245"/>
        <v>-0.23012732727319535</v>
      </c>
      <c r="AC70" s="636">
        <f t="shared" si="84"/>
        <v>1</v>
      </c>
      <c r="AD70" s="637">
        <f t="shared" si="115"/>
        <v>0.16585167735057649</v>
      </c>
      <c r="AE70" s="629">
        <f t="shared" si="85"/>
        <v>0.95892368536922479</v>
      </c>
      <c r="AF70" s="633">
        <f t="shared" si="86"/>
        <v>-0.23012732727319535</v>
      </c>
      <c r="AG70" s="602">
        <f t="shared" si="87"/>
        <v>76.50507784616434</v>
      </c>
      <c r="AH70" s="603">
        <f t="shared" si="88"/>
        <v>80.453286298780014</v>
      </c>
      <c r="AI70" s="585">
        <f t="shared" si="89"/>
        <v>-76.695431850782384</v>
      </c>
      <c r="AJ70" s="586">
        <f t="shared" si="90"/>
        <v>170.18742217051658</v>
      </c>
      <c r="AK70" s="635">
        <f t="shared" si="211"/>
        <v>0.94936453880723826</v>
      </c>
      <c r="AL70" s="629">
        <f t="shared" si="91"/>
        <v>-0.21388872269807843</v>
      </c>
      <c r="AM70" s="634">
        <f t="shared" si="92"/>
        <v>-0.23012732727319535</v>
      </c>
      <c r="AN70" s="581">
        <f t="shared" si="93"/>
        <v>-42.90550582784185</v>
      </c>
      <c r="AO70" s="582">
        <f t="shared" si="461"/>
        <v>18.311116554271745</v>
      </c>
      <c r="AP70" s="585">
        <f t="shared" si="95"/>
        <v>-12.696564418694981</v>
      </c>
      <c r="AQ70" s="586">
        <f t="shared" si="246"/>
        <v>0.56117146922340433</v>
      </c>
      <c r="AS70" s="52">
        <f t="shared" si="406"/>
        <v>-267.11601341078841</v>
      </c>
      <c r="AT70" s="72">
        <f t="shared" si="247"/>
        <v>-0.12610370825316466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6.1239999999999997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-4.6404891973312106</v>
      </c>
      <c r="C71" s="708">
        <v>-0.15904809265099437</v>
      </c>
      <c r="D71" s="709">
        <v>-0.80280242125210255</v>
      </c>
      <c r="E71" s="710">
        <v>-0.30923720248588893</v>
      </c>
      <c r="F71" s="708">
        <v>-0.93661287206542199</v>
      </c>
      <c r="G71" s="711">
        <v>0.16470786405045434</v>
      </c>
      <c r="H71" s="710">
        <v>0.314</v>
      </c>
      <c r="I71" s="708">
        <v>0.52</v>
      </c>
      <c r="J71" s="570">
        <v>6.1310000000000002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6.1310000000000002</v>
      </c>
      <c r="N71" s="632">
        <f t="shared" si="240"/>
        <v>-4.6404891973312106</v>
      </c>
      <c r="O71" s="629">
        <f t="shared" si="241"/>
        <v>-0.15904809265099437</v>
      </c>
      <c r="P71" s="633">
        <f t="shared" si="242"/>
        <v>-0.80280242125210255</v>
      </c>
      <c r="Q71" s="585">
        <f t="shared" si="113"/>
        <v>181.96298672218751</v>
      </c>
      <c r="R71" s="629">
        <f t="shared" si="79"/>
        <v>4.6432140039334371</v>
      </c>
      <c r="S71" s="634">
        <f t="shared" si="80"/>
        <v>-0.80280242125210255</v>
      </c>
      <c r="T71" s="635">
        <f t="shared" si="81"/>
        <v>-0.15904809265099437</v>
      </c>
      <c r="U71" s="629">
        <f t="shared" si="82"/>
        <v>4.6404891973312106</v>
      </c>
      <c r="V71" s="636">
        <f t="shared" si="114"/>
        <v>-0.80280242125210255</v>
      </c>
      <c r="W71" s="585">
        <f t="shared" si="224"/>
        <v>91.962986722187509</v>
      </c>
      <c r="X71" s="629">
        <f t="shared" si="83"/>
        <v>4.6432140039334371</v>
      </c>
      <c r="Y71" s="630">
        <f t="shared" si="223"/>
        <v>-0.80280242125210255</v>
      </c>
      <c r="Z71" s="632">
        <f t="shared" si="243"/>
        <v>0.30923720248588893</v>
      </c>
      <c r="AA71" s="629">
        <f t="shared" si="244"/>
        <v>0.93661287206542199</v>
      </c>
      <c r="AB71" s="629">
        <f t="shared" si="245"/>
        <v>-0.16470786405045434</v>
      </c>
      <c r="AC71" s="636">
        <f t="shared" si="84"/>
        <v>1</v>
      </c>
      <c r="AD71" s="637">
        <f t="shared" si="115"/>
        <v>0.30923720248588893</v>
      </c>
      <c r="AE71" s="629">
        <f t="shared" si="85"/>
        <v>0.93661287206542199</v>
      </c>
      <c r="AF71" s="633">
        <f t="shared" si="86"/>
        <v>-0.16470786405045434</v>
      </c>
      <c r="AG71" s="602">
        <f t="shared" si="87"/>
        <v>80.026240613177833</v>
      </c>
      <c r="AH71" s="603">
        <f t="shared" si="88"/>
        <v>71.986733206801986</v>
      </c>
      <c r="AI71" s="585">
        <f t="shared" si="89"/>
        <v>-80.519735876906239</v>
      </c>
      <c r="AJ71" s="586">
        <f t="shared" si="90"/>
        <v>161.72856227442557</v>
      </c>
      <c r="AK71" s="635">
        <f t="shared" si="211"/>
        <v>0.9254706597689788</v>
      </c>
      <c r="AL71" s="629">
        <f t="shared" si="91"/>
        <v>-0.34113835525591119</v>
      </c>
      <c r="AM71" s="634">
        <f t="shared" si="92"/>
        <v>-0.16470786405045434</v>
      </c>
      <c r="AN71" s="581">
        <f t="shared" si="93"/>
        <v>-64.227896178670136</v>
      </c>
      <c r="AO71" s="582">
        <f t="shared" si="461"/>
        <v>22.260566205097867</v>
      </c>
      <c r="AP71" s="585">
        <f t="shared" si="95"/>
        <v>-20.234424447761931</v>
      </c>
      <c r="AQ71" s="586">
        <f t="shared" si="246"/>
        <v>0.49096828859696356</v>
      </c>
      <c r="AS71" s="52">
        <f t="shared" si="406"/>
        <v>-268.03701327781249</v>
      </c>
      <c r="AT71" s="72">
        <f t="shared" si="247"/>
        <v>-0.6166656064758439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6.1310000000000002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-4.9889462843594909</v>
      </c>
      <c r="C72" s="708">
        <v>-0.1168729135375917</v>
      </c>
      <c r="D72" s="709">
        <v>-1.4797044627886597</v>
      </c>
      <c r="E72" s="710">
        <v>-0.4462283395286451</v>
      </c>
      <c r="F72" s="708">
        <v>-0.89041480424486774</v>
      </c>
      <c r="G72" s="711">
        <v>8.9675779244354784E-2</v>
      </c>
      <c r="H72" s="710">
        <v>0.314</v>
      </c>
      <c r="I72" s="708">
        <v>0.52</v>
      </c>
      <c r="J72" s="570">
        <v>6.1379999999999999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6.1379999999999999</v>
      </c>
      <c r="N72" s="632">
        <f t="shared" si="240"/>
        <v>-4.9889462843594909</v>
      </c>
      <c r="O72" s="629">
        <f t="shared" si="241"/>
        <v>-0.1168729135375917</v>
      </c>
      <c r="P72" s="633">
        <f t="shared" si="242"/>
        <v>-1.4797044627886597</v>
      </c>
      <c r="Q72" s="585">
        <f t="shared" si="113"/>
        <v>181.34198681184881</v>
      </c>
      <c r="R72" s="629">
        <f t="shared" si="79"/>
        <v>4.9903150507901941</v>
      </c>
      <c r="S72" s="634">
        <f t="shared" si="80"/>
        <v>-1.4797044627886597</v>
      </c>
      <c r="T72" s="635">
        <f t="shared" si="81"/>
        <v>-0.11687291353759235</v>
      </c>
      <c r="U72" s="629">
        <f t="shared" si="82"/>
        <v>4.9889462843594909</v>
      </c>
      <c r="V72" s="636">
        <f t="shared" si="114"/>
        <v>-1.4797044627886597</v>
      </c>
      <c r="W72" s="585">
        <f t="shared" si="224"/>
        <v>91.341986811848813</v>
      </c>
      <c r="X72" s="629">
        <f t="shared" si="83"/>
        <v>4.9903150507901941</v>
      </c>
      <c r="Y72" s="630">
        <f t="shared" si="223"/>
        <v>-1.4797044627886597</v>
      </c>
      <c r="Z72" s="632">
        <f t="shared" si="243"/>
        <v>0.4462283395286451</v>
      </c>
      <c r="AA72" s="629">
        <f t="shared" si="244"/>
        <v>0.89041480424486774</v>
      </c>
      <c r="AB72" s="629">
        <f t="shared" si="245"/>
        <v>-8.9675779244354784E-2</v>
      </c>
      <c r="AC72" s="636">
        <f t="shared" si="84"/>
        <v>1</v>
      </c>
      <c r="AD72" s="637">
        <f t="shared" si="115"/>
        <v>0.4462283395286451</v>
      </c>
      <c r="AE72" s="629">
        <f t="shared" si="85"/>
        <v>0.89041480424486774</v>
      </c>
      <c r="AF72" s="633">
        <f t="shared" si="86"/>
        <v>-8.9675779244354784E-2</v>
      </c>
      <c r="AG72" s="602">
        <f t="shared" si="87"/>
        <v>84.248998422193367</v>
      </c>
      <c r="AH72" s="603">
        <f t="shared" si="88"/>
        <v>63.498045611039998</v>
      </c>
      <c r="AI72" s="585">
        <f t="shared" si="89"/>
        <v>-84.855044810969815</v>
      </c>
      <c r="AJ72" s="586">
        <f t="shared" si="90"/>
        <v>153.38241728625107</v>
      </c>
      <c r="AK72" s="635">
        <f t="shared" si="211"/>
        <v>0.87971993318081432</v>
      </c>
      <c r="AL72" s="629">
        <f t="shared" si="91"/>
        <v>-0.46695941341969049</v>
      </c>
      <c r="AM72" s="634">
        <f t="shared" si="92"/>
        <v>-8.9675779244354784E-2</v>
      </c>
      <c r="AN72" s="581">
        <f t="shared" si="93"/>
        <v>-79.129158595577024</v>
      </c>
      <c r="AO72" s="582">
        <f t="shared" si="461"/>
        <v>28.391402430343131</v>
      </c>
      <c r="AP72" s="585">
        <f t="shared" si="95"/>
        <v>-27.95956952559774</v>
      </c>
      <c r="AQ72" s="586">
        <f t="shared" si="246"/>
        <v>0.4568205217176558</v>
      </c>
      <c r="AS72" s="52">
        <f t="shared" si="406"/>
        <v>-268.65801318815119</v>
      </c>
      <c r="AT72" s="72">
        <f t="shared" si="247"/>
        <v>-1.2931363980746657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6.1379999999999999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-5.0626954448131931</v>
      </c>
      <c r="C73" s="708">
        <v>-0.1064891860067113</v>
      </c>
      <c r="D73" s="709">
        <v>-2.238706751939564</v>
      </c>
      <c r="E73" s="710">
        <v>-0.51440068675663231</v>
      </c>
      <c r="F73" s="708">
        <v>-0.85742306750627606</v>
      </c>
      <c r="G73" s="711">
        <v>1.4751839628780572E-2</v>
      </c>
      <c r="H73" s="710">
        <v>0.314</v>
      </c>
      <c r="I73" s="708">
        <v>0.52</v>
      </c>
      <c r="J73" s="570">
        <v>6.1449999999999996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6.1449999999999996</v>
      </c>
      <c r="N73" s="632">
        <f t="shared" ref="N73:N104" si="465">IF(M73="","",B73)</f>
        <v>-5.0626954448131931</v>
      </c>
      <c r="O73" s="629">
        <f t="shared" ref="O73:O104" si="466">IF(M73="","",C73)</f>
        <v>-0.1064891860067113</v>
      </c>
      <c r="P73" s="633">
        <f t="shared" ref="P73:P104" si="467">IF(M73="","",D73)</f>
        <v>-2.238706751939564</v>
      </c>
      <c r="Q73" s="585">
        <f t="shared" si="113"/>
        <v>181.20498683162916</v>
      </c>
      <c r="R73" s="629">
        <f>IF(M73="","",SQRT(N73^2+O73^2))</f>
        <v>5.0638152724668606</v>
      </c>
      <c r="S73" s="634">
        <f>IF(M73="","",P73)</f>
        <v>-2.238706751939564</v>
      </c>
      <c r="T73" s="635">
        <f>IF(M73="","",X73*COS(RADIANS(W73)))</f>
        <v>-0.1064891860067111</v>
      </c>
      <c r="U73" s="629">
        <f>IF(M73="","",X73*SIN(RADIANS(W73)))</f>
        <v>5.0626954448131931</v>
      </c>
      <c r="V73" s="636">
        <f>IF(M73="","",Y73)</f>
        <v>-2.238706751939564</v>
      </c>
      <c r="W73" s="585">
        <f t="shared" si="224"/>
        <v>91.204986831629157</v>
      </c>
      <c r="X73" s="629">
        <f>IF(M73="","",R73)</f>
        <v>5.0638152724668606</v>
      </c>
      <c r="Y73" s="630">
        <f t="shared" si="223"/>
        <v>-2.238706751939564</v>
      </c>
      <c r="Z73" s="632">
        <f t="shared" ref="Z73:Z104" si="468">IF(M73="","",-E73)</f>
        <v>0.51440068675663231</v>
      </c>
      <c r="AA73" s="629">
        <f t="shared" ref="AA73:AA104" si="469">IF(M73="","",-F73)</f>
        <v>0.85742306750627606</v>
      </c>
      <c r="AB73" s="629">
        <f t="shared" ref="AB73:AB104" si="470">IF(M73="","",-G73)</f>
        <v>-1.4751839628780572E-2</v>
      </c>
      <c r="AC73" s="636">
        <f>IF(M73="","",SQRT(Z73^2+AA73^2+AB73^2))</f>
        <v>1</v>
      </c>
      <c r="AD73" s="637">
        <f>IF(M73="","",Z73*(1/SQRT(Z73^2+AA73^2+AB73^2)))</f>
        <v>0.51440068675663231</v>
      </c>
      <c r="AE73" s="629">
        <f>IF(M73="","",AA73*(1/SQRT(Z73^2+AA73^2+AB73^2)))</f>
        <v>0.85742306750627606</v>
      </c>
      <c r="AF73" s="633">
        <f>IF(M73="","",AB73*(1/SQRT(Z73^2+AA73^2+AB73^2)))</f>
        <v>-1.4751839628780572E-2</v>
      </c>
      <c r="AG73" s="602">
        <f>IF(M73="","",DEGREES(ATAN2(-AF73,AE73)))</f>
        <v>89.014331663353985</v>
      </c>
      <c r="AH73" s="603">
        <f>IF(M73="","",DEGREES(ACOS(AD73)))</f>
        <v>59.042595534859323</v>
      </c>
      <c r="AI73" s="585">
        <f>IF(M73="","",DEGREES(-ACOS(-AF73)))</f>
        <v>-89.154751190606959</v>
      </c>
      <c r="AJ73" s="586">
        <f>IF(M73="","",DEGREES(ATAN2(-AE73,AD73)))</f>
        <v>149.03885523429025</v>
      </c>
      <c r="AK73" s="635">
        <f>IF(M73="","",(COS(RADIANS((90-$Q$8)-W73))*AD73)+(-SIN(RADIANS((90-$Q$8)-W73))*AE73))</f>
        <v>0.84641589732395217</v>
      </c>
      <c r="AL73" s="629">
        <f>IF(M73="","",(SIN(RADIANS((90-$Q$8)-W73))*AD73)+(COS(RADIANS((90-$Q$8)-W73))*AE73))</f>
        <v>-0.53231805528730247</v>
      </c>
      <c r="AM73" s="634">
        <f>IF(M73="","",AF73)</f>
        <v>-1.4751839628780572E-2</v>
      </c>
      <c r="AN73" s="581">
        <f>IF(M73="","",DEGREES(ATAN2(-AM73,AL73)))</f>
        <v>-88.412599625742658</v>
      </c>
      <c r="AO73" s="582">
        <f t="shared" si="461"/>
        <v>32.176043602513587</v>
      </c>
      <c r="AP73" s="585">
        <f>IF(M73="","",DEGREES(ATAN2(AK73,AL73)))</f>
        <v>-32.166131597338911</v>
      </c>
      <c r="AQ73" s="586">
        <f t="shared" ref="AQ73:AQ104" si="471">IF(M73="","",DEGREES(ATAN(($AS$5*SIN(RADIANS(90)))/(($X73*2*PI())-($AS$5*COS(RADIANS(90)))))))</f>
        <v>0.45019014211149172</v>
      </c>
      <c r="AS73" s="52">
        <f t="shared" si="406"/>
        <v>-268.79501316837082</v>
      </c>
      <c r="AT73" s="72">
        <f t="shared" ref="AT73:AT104" si="472">IF(M73="","",Y73+(((AS73-$AS$9)*$AS$6)*-1))</f>
        <v>-2.0520435483504178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6.1449999999999996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-3.9954078002433393</v>
      </c>
      <c r="C74" s="708">
        <v>0.73423248495673987</v>
      </c>
      <c r="D74" s="709">
        <v>-0.27284516730060615</v>
      </c>
      <c r="E74" s="710">
        <v>-0.27307903877128625</v>
      </c>
      <c r="F74" s="708">
        <v>-0.92213492604190872</v>
      </c>
      <c r="G74" s="711">
        <v>0.27403469991487212</v>
      </c>
      <c r="H74" s="710">
        <v>0.26600000000000001</v>
      </c>
      <c r="I74" s="708">
        <v>0.52</v>
      </c>
      <c r="J74" s="570">
        <v>6.2240000000000002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6.2240000000000002</v>
      </c>
      <c r="N74" s="632">
        <f t="shared" si="465"/>
        <v>-3.9954078002433393</v>
      </c>
      <c r="O74" s="629">
        <f t="shared" si="466"/>
        <v>0.73423248495673987</v>
      </c>
      <c r="P74" s="633">
        <f t="shared" si="467"/>
        <v>-0.27284516730060615</v>
      </c>
      <c r="Q74" s="585">
        <f t="shared" ref="Q74:Q129" si="520">IF(M74="","",IF(DEGREES(ATAN2(N74,O74))&lt;0,DEGREES(ATAN2(N74,O74))+360,IF(DEGREES(ATAN2(N74,O74))&gt;360,DEGREES(ATAN2(N74,O74))-360,DEGREES(ATAN2(N74,O74)))))</f>
        <v>169.58698850906057</v>
      </c>
      <c r="R74" s="629">
        <f>IF(M74="","",SQRT(N74^2+O74^2))</f>
        <v>4.0623122519337516</v>
      </c>
      <c r="S74" s="634">
        <f>IF(M74="","",P74)</f>
        <v>-0.27284516730060615</v>
      </c>
      <c r="T74" s="635">
        <f>IF(M74="","",X74*COS(RADIANS(W74)))</f>
        <v>0.73423248495674043</v>
      </c>
      <c r="U74" s="629">
        <f>IF(M74="","",X74*SIN(RADIANS(W74)))</f>
        <v>3.9954078002433389</v>
      </c>
      <c r="V74" s="636">
        <f>IF(M74="","",Y74)</f>
        <v>-0.27284516730060615</v>
      </c>
      <c r="W74" s="585">
        <f t="shared" si="224"/>
        <v>79.586988509060575</v>
      </c>
      <c r="X74" s="629">
        <f>IF(M74="","",R74)</f>
        <v>4.0623122519337516</v>
      </c>
      <c r="Y74" s="630">
        <f t="shared" si="223"/>
        <v>-0.27284516730060615</v>
      </c>
      <c r="Z74" s="632">
        <f t="shared" si="468"/>
        <v>0.27307903877128625</v>
      </c>
      <c r="AA74" s="629">
        <f t="shared" si="469"/>
        <v>0.92213492604190872</v>
      </c>
      <c r="AB74" s="629">
        <f t="shared" si="470"/>
        <v>-0.27403469991487212</v>
      </c>
      <c r="AC74" s="636">
        <f>IF(M74="","",SQRT(Z74^2+AA74^2+AB74^2))</f>
        <v>1</v>
      </c>
      <c r="AD74" s="637">
        <f>IF(M74="","",Z74*(1/SQRT(Z74^2+AA74^2+AB74^2)))</f>
        <v>0.27307903877128625</v>
      </c>
      <c r="AE74" s="629">
        <f>IF(M74="","",AA74*(1/SQRT(Z74^2+AA74^2+AB74^2)))</f>
        <v>0.92213492604190872</v>
      </c>
      <c r="AF74" s="633">
        <f>IF(M74="","",AB74*(1/SQRT(Z74^2+AA74^2+AB74^2)))</f>
        <v>-0.27403469991487212</v>
      </c>
      <c r="AG74" s="602">
        <f>IF(M74="","",DEGREES(ATAN2(-AF74,AE74)))</f>
        <v>73.449409556223813</v>
      </c>
      <c r="AH74" s="603">
        <f>IF(M74="","",DEGREES(ACOS(AD74)))</f>
        <v>74.152429930291149</v>
      </c>
      <c r="AI74" s="585">
        <f>IF(M74="","",DEGREES(-ACOS(-AF74)))</f>
        <v>-74.095503152682994</v>
      </c>
      <c r="AJ74" s="586">
        <f>IF(M74="","",DEGREES(ATAN2(-AE74,AD74)))</f>
        <v>163.50398550043982</v>
      </c>
      <c r="AK74" s="635">
        <f>IF(M74="","",(COS(RADIANS((90-$Q$8)-W74))*AD74)+(-SIN(RADIANS((90-$Q$8)-W74))*AE74))</f>
        <v>0.95630476848795665</v>
      </c>
      <c r="AL74" s="629">
        <f>IF(M74="","",(SIN(RADIANS((90-$Q$8)-W74))*AD74)+(COS(RADIANS((90-$Q$8)-W74))*AE74))</f>
        <v>-0.10191257532690304</v>
      </c>
      <c r="AM74" s="634">
        <f>IF(M74="","",AF74)</f>
        <v>-0.27403469991487212</v>
      </c>
      <c r="AN74" s="581">
        <f>IF(M74="","",DEGREES(ATAN2(-AM74,AL74)))</f>
        <v>-20.399997054604842</v>
      </c>
      <c r="AO74" s="582">
        <f t="shared" si="461"/>
        <v>16.999997545504019</v>
      </c>
      <c r="AP74" s="585">
        <f>IF(M74="","",DEGREES(ATAN2(AK74,AL74)))</f>
        <v>-6.0830030086207545</v>
      </c>
      <c r="AQ74" s="586">
        <f t="shared" si="471"/>
        <v>0.56117146922340433</v>
      </c>
      <c r="AS74" s="52">
        <f t="shared" si="406"/>
        <v>-280.41301149093943</v>
      </c>
      <c r="AT74" s="72">
        <f t="shared" si="472"/>
        <v>-7.81139093207871E-2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6.2240000000000002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6.1239999999999997</v>
      </c>
      <c r="II74" s="734" cm="1">
        <f t="array" ref="II74">IFERROR(ROUND(VALUE(IF($IH74&lt;1,$IH74+LARGE((IF($M$9:$M$150="",0,$M$9:$M$150)-MOD(IF($M$9:$M$150="",0,$M$9:$M$150),1)),1),$IH74)),4),"")</f>
        <v>6.1239999999999997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13.296998080151013</v>
      </c>
      <c r="IM74" s="759">
        <v>9.7194169869407303E-3</v>
      </c>
      <c r="IN74" s="5">
        <f t="shared" si="226"/>
        <v>0.24</v>
      </c>
      <c r="IO74" s="771">
        <v>120</v>
      </c>
      <c r="IP74" s="9">
        <f t="shared" si="227"/>
        <v>-4.0623122519337516</v>
      </c>
      <c r="IQ74" s="5">
        <f t="shared" si="228"/>
        <v>-0.31160093978843439</v>
      </c>
      <c r="IR74" s="5">
        <f t="shared" si="518"/>
        <v>0.314</v>
      </c>
      <c r="IS74" s="5">
        <f t="shared" si="229"/>
        <v>0.29810046518547284</v>
      </c>
      <c r="IT74" s="727">
        <f t="shared" si="230"/>
        <v>42.90550582784185</v>
      </c>
      <c r="IU74" s="9">
        <f t="shared" si="231"/>
        <v>-4.0623122519337516</v>
      </c>
      <c r="IV74" s="5">
        <f t="shared" si="232"/>
        <v>-0.27284516730060615</v>
      </c>
      <c r="IW74" s="5">
        <f t="shared" si="519"/>
        <v>0.26600000000000001</v>
      </c>
      <c r="IX74" s="5">
        <f t="shared" si="233"/>
        <v>0.2543770684177965</v>
      </c>
      <c r="IY74" s="762">
        <f t="shared" si="234"/>
        <v>20.399997054604842</v>
      </c>
    </row>
    <row r="75" spans="1:259" ht="15" customHeight="1" x14ac:dyDescent="0.25">
      <c r="A75" s="79"/>
      <c r="B75" s="707">
        <v>-4.5734028664779327</v>
      </c>
      <c r="C75" s="708">
        <v>0.80213621487563358</v>
      </c>
      <c r="D75" s="709">
        <v>-0.76332731357388817</v>
      </c>
      <c r="E75" s="710">
        <v>-0.36507424418892398</v>
      </c>
      <c r="F75" s="708">
        <v>-0.89000572718306703</v>
      </c>
      <c r="G75" s="711">
        <v>0.27314941297983114</v>
      </c>
      <c r="H75" s="710">
        <v>0.26600000000000001</v>
      </c>
      <c r="I75" s="708">
        <v>0.52</v>
      </c>
      <c r="J75" s="570">
        <v>6.2309999999999999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6.2309999999999999</v>
      </c>
      <c r="N75" s="632">
        <f t="shared" si="465"/>
        <v>-4.5734028664779327</v>
      </c>
      <c r="O75" s="629">
        <f t="shared" si="466"/>
        <v>0.80213621487563358</v>
      </c>
      <c r="P75" s="633">
        <f t="shared" si="467"/>
        <v>-0.76332731357388817</v>
      </c>
      <c r="Q75" s="585">
        <f t="shared" si="520"/>
        <v>170.0519884419229</v>
      </c>
      <c r="R75" s="629">
        <f>IF(M75="","",SQRT(N75^2+O75^2))</f>
        <v>4.6432140039334371</v>
      </c>
      <c r="S75" s="634">
        <f>IF(M75="","",P75)</f>
        <v>-0.76332731357388817</v>
      </c>
      <c r="T75" s="635">
        <f>IF(M75="","",X75*COS(RADIANS(W75)))</f>
        <v>0.80213621487563302</v>
      </c>
      <c r="U75" s="629">
        <f>IF(M75="","",X75*SIN(RADIANS(W75)))</f>
        <v>4.5734028664779327</v>
      </c>
      <c r="V75" s="636">
        <f>IF(M75="","",Y75)</f>
        <v>-0.76332731357388817</v>
      </c>
      <c r="W75" s="585">
        <f t="shared" si="224"/>
        <v>80.051988441922902</v>
      </c>
      <c r="X75" s="629">
        <f>IF(M75="","",R75)</f>
        <v>4.6432140039334371</v>
      </c>
      <c r="Y75" s="630">
        <f t="shared" si="223"/>
        <v>-0.76332731357388817</v>
      </c>
      <c r="Z75" s="632">
        <f t="shared" si="468"/>
        <v>0.36507424418892398</v>
      </c>
      <c r="AA75" s="629">
        <f t="shared" si="469"/>
        <v>0.89000572718306703</v>
      </c>
      <c r="AB75" s="629">
        <f t="shared" si="470"/>
        <v>-0.27314941297983114</v>
      </c>
      <c r="AC75" s="636">
        <f>IF(M75="","",SQRT(Z75^2+AA75^2+AB75^2))</f>
        <v>1</v>
      </c>
      <c r="AD75" s="637">
        <f>IF(M75="","",Z75*(1/SQRT(Z75^2+AA75^2+AB75^2)))</f>
        <v>0.36507424418892398</v>
      </c>
      <c r="AE75" s="629">
        <f>IF(M75="","",AA75*(1/SQRT(Z75^2+AA75^2+AB75^2)))</f>
        <v>0.89000572718306703</v>
      </c>
      <c r="AF75" s="633">
        <f>IF(M75="","",AB75*(1/SQRT(Z75^2+AA75^2+AB75^2)))</f>
        <v>-0.27314941297983114</v>
      </c>
      <c r="AG75" s="602">
        <f>IF(M75="","",DEGREES(ATAN2(-AF75,AE75)))</f>
        <v>72.938358451033409</v>
      </c>
      <c r="AH75" s="603">
        <f>IF(M75="","",DEGREES(ACOS(AD75)))</f>
        <v>68.587848111580982</v>
      </c>
      <c r="AI75" s="585">
        <f>IF(M75="","",DEGREES(-ACOS(-AF75)))</f>
        <v>-74.148238431106762</v>
      </c>
      <c r="AJ75" s="586">
        <f>IF(M75="","",DEGREES(ATAN2(-AE75,AD75)))</f>
        <v>157.6968978685106</v>
      </c>
      <c r="AK75" s="635">
        <f>IF(M75="","",(COS(RADIANS((90-$Q$8)-W75))*AD75)+(-SIN(RADIANS((90-$Q$8)-W75))*AE75))</f>
        <v>0.93969263802333469</v>
      </c>
      <c r="AL75" s="629">
        <f>IF(M75="","",(SIN(RADIANS((90-$Q$8)-W75))*AD75)+(COS(RADIANS((90-$Q$8)-W75))*AE75))</f>
        <v>-0.20583280650450289</v>
      </c>
      <c r="AM75" s="634">
        <f>IF(M75="","",AF75)</f>
        <v>-0.27314941297983114</v>
      </c>
      <c r="AN75" s="581">
        <f>IF(M75="","",DEGREES(ATAN2(-AM75,AL75)))</f>
        <v>-36.999994657861748</v>
      </c>
      <c r="AO75" s="582">
        <f t="shared" si="461"/>
        <v>19.999997112357665</v>
      </c>
      <c r="AP75" s="585">
        <f>IF(M75="","",DEGREES(ATAN2(AK75,AL75)))</f>
        <v>-12.355090573412282</v>
      </c>
      <c r="AQ75" s="586">
        <f t="shared" si="471"/>
        <v>0.49096828859696356</v>
      </c>
      <c r="AS75" s="52">
        <f t="shared" ref="AS75:AS106" si="543">IF(G75="","",IF(AND(W75&lt;(AS74+180),W75&gt;(AS74-180)),W75,IF(W75&gt;(AS74+180),W75-360,IF(W75&lt;(AS74-180),W75+360,"Error"))))</f>
        <v>-279.9480115580771</v>
      </c>
      <c r="AT75" s="72">
        <f t="shared" si="472"/>
        <v>-0.56891897221411236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6.2309999999999999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6.1310000000000002</v>
      </c>
      <c r="II75" s="734" cm="1">
        <f t="array" ref="II75">IFERROR(ROUND(VALUE(IF($IH75&lt;1,$IH75+LARGE((IF($M$9:$M$150="",0,$M$9:$M$150)-MOD(IF($M$9:$M$150="",0,$M$9:$M$150),1)),1),$IH75)),4),"")</f>
        <v>6.1310000000000002</v>
      </c>
      <c r="IJ75" s="533">
        <f t="shared" si="542"/>
        <v>1613</v>
      </c>
      <c r="IK75" s="533">
        <f t="shared" si="517"/>
        <v>1313</v>
      </c>
      <c r="IL75" s="727">
        <f t="shared" si="225"/>
        <v>11.910998280264607</v>
      </c>
      <c r="IM75" s="759">
        <v>1.37255925358066E-2</v>
      </c>
      <c r="IN75" s="5">
        <f t="shared" si="226"/>
        <v>0.38</v>
      </c>
      <c r="IO75" s="771">
        <v>190</v>
      </c>
      <c r="IP75" s="9">
        <f t="shared" si="227"/>
        <v>-4.6432140039334371</v>
      </c>
      <c r="IQ75" s="5">
        <f t="shared" si="228"/>
        <v>-0.80280242125210255</v>
      </c>
      <c r="IR75" s="5">
        <f t="shared" si="518"/>
        <v>0.314</v>
      </c>
      <c r="IS75" s="5">
        <f t="shared" si="229"/>
        <v>0.29059778716745932</v>
      </c>
      <c r="IT75" s="727">
        <f t="shared" si="230"/>
        <v>64.227896178670136</v>
      </c>
      <c r="IU75" s="9">
        <f t="shared" si="231"/>
        <v>-4.6432140039334371</v>
      </c>
      <c r="IV75" s="5">
        <f t="shared" si="232"/>
        <v>-0.76332731357388817</v>
      </c>
      <c r="IW75" s="5">
        <f t="shared" si="519"/>
        <v>0.26600000000000001</v>
      </c>
      <c r="IX75" s="5">
        <f t="shared" si="233"/>
        <v>0.24995824171420705</v>
      </c>
      <c r="IY75" s="762">
        <f t="shared" si="234"/>
        <v>36.999994657861748</v>
      </c>
    </row>
    <row r="76" spans="1:259" ht="15" customHeight="1" x14ac:dyDescent="0.25">
      <c r="A76" s="79"/>
      <c r="B76" s="707">
        <v>-2.3147439823417995</v>
      </c>
      <c r="C76" s="708">
        <v>2.2498904750765689</v>
      </c>
      <c r="D76" s="709">
        <v>-7.3200220771865859E-2</v>
      </c>
      <c r="E76" s="710">
        <v>-0.70279507971798594</v>
      </c>
      <c r="F76" s="708">
        <v>-0.64922202523367933</v>
      </c>
      <c r="G76" s="711">
        <v>0.29084332186878498</v>
      </c>
      <c r="H76" s="710">
        <v>0.314</v>
      </c>
      <c r="I76" s="708">
        <v>0.52</v>
      </c>
      <c r="J76" s="570">
        <v>7.1159999999999997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7.1159999999999997</v>
      </c>
      <c r="N76" s="632">
        <f t="shared" si="465"/>
        <v>-2.3147439823417995</v>
      </c>
      <c r="O76" s="629">
        <f t="shared" si="466"/>
        <v>2.2498904750765689</v>
      </c>
      <c r="P76" s="633">
        <f t="shared" si="467"/>
        <v>-7.3200220771865859E-2</v>
      </c>
      <c r="Q76" s="585">
        <f t="shared" si="520"/>
        <v>135.81399338527777</v>
      </c>
      <c r="R76" s="629">
        <f t="shared" si="79"/>
        <v>3.2280097356773636</v>
      </c>
      <c r="S76" s="634">
        <f t="shared" si="80"/>
        <v>-7.3200220771865859E-2</v>
      </c>
      <c r="T76" s="635">
        <f t="shared" si="81"/>
        <v>2.2498904750765689</v>
      </c>
      <c r="U76" s="629">
        <f t="shared" si="82"/>
        <v>2.3147439823417999</v>
      </c>
      <c r="V76" s="636">
        <f t="shared" si="114"/>
        <v>-7.3200220771865859E-2</v>
      </c>
      <c r="W76" s="585">
        <f t="shared" si="224"/>
        <v>45.813993385277769</v>
      </c>
      <c r="X76" s="629">
        <f t="shared" si="83"/>
        <v>3.2280097356773636</v>
      </c>
      <c r="Y76" s="630">
        <f t="shared" ref="Y76:Y129" si="644">IF(M76="","",S76)</f>
        <v>-7.3200220771865859E-2</v>
      </c>
      <c r="Z76" s="632">
        <f t="shared" si="468"/>
        <v>0.70279507971798594</v>
      </c>
      <c r="AA76" s="629">
        <f t="shared" si="469"/>
        <v>0.64922202523367933</v>
      </c>
      <c r="AB76" s="629">
        <f t="shared" si="470"/>
        <v>-0.29084332186878498</v>
      </c>
      <c r="AC76" s="636">
        <f t="shared" si="84"/>
        <v>1</v>
      </c>
      <c r="AD76" s="637">
        <f t="shared" si="115"/>
        <v>0.70279507971798594</v>
      </c>
      <c r="AE76" s="629">
        <f t="shared" si="85"/>
        <v>0.64922202523367933</v>
      </c>
      <c r="AF76" s="633">
        <f t="shared" si="86"/>
        <v>-0.29084332186878498</v>
      </c>
      <c r="AG76" s="602">
        <f t="shared" si="87"/>
        <v>65.868219106157156</v>
      </c>
      <c r="AH76" s="603">
        <f t="shared" si="88"/>
        <v>45.348313975488509</v>
      </c>
      <c r="AI76" s="585">
        <f t="shared" si="89"/>
        <v>-73.091548786905463</v>
      </c>
      <c r="AJ76" s="586">
        <f t="shared" si="90"/>
        <v>132.73086824516258</v>
      </c>
      <c r="AK76" s="635">
        <f t="shared" si="211"/>
        <v>0.95538582111941683</v>
      </c>
      <c r="AL76" s="629">
        <f t="shared" si="91"/>
        <v>-5.1459643686174172E-2</v>
      </c>
      <c r="AM76" s="634">
        <f t="shared" si="92"/>
        <v>-0.29084332186878498</v>
      </c>
      <c r="AN76" s="581">
        <f t="shared" si="93"/>
        <v>-10.033645528368808</v>
      </c>
      <c r="AO76" s="582">
        <f t="shared" si="461"/>
        <v>17.179166731056775</v>
      </c>
      <c r="AP76" s="585">
        <f t="shared" si="95"/>
        <v>-3.0831251401151811</v>
      </c>
      <c r="AQ76" s="586">
        <f t="shared" si="471"/>
        <v>0.70619712277986701</v>
      </c>
      <c r="AS76" s="52">
        <f t="shared" si="543"/>
        <v>-314.18600661472226</v>
      </c>
      <c r="AT76" s="72">
        <f t="shared" si="472"/>
        <v>0.1449845060439135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7.1159999999999997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-2.8047357614267603</v>
      </c>
      <c r="C77" s="708">
        <v>2.8027790055970394</v>
      </c>
      <c r="D77" s="709">
        <v>-0.26150078868637872</v>
      </c>
      <c r="E77" s="710">
        <v>-0.81019787039477076</v>
      </c>
      <c r="F77" s="708">
        <v>-0.53390519401682768</v>
      </c>
      <c r="G77" s="711">
        <v>0.2419186942128119</v>
      </c>
      <c r="H77" s="710">
        <v>0.314</v>
      </c>
      <c r="I77" s="708">
        <v>0.52</v>
      </c>
      <c r="J77" s="570">
        <v>7.1230000000000002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7.1230000000000002</v>
      </c>
      <c r="N77" s="632">
        <f t="shared" si="465"/>
        <v>-2.8047357614267603</v>
      </c>
      <c r="O77" s="629">
        <f t="shared" si="466"/>
        <v>2.8027790055970394</v>
      </c>
      <c r="P77" s="633">
        <f t="shared" si="467"/>
        <v>-0.26150078868637872</v>
      </c>
      <c r="Q77" s="585">
        <f t="shared" si="520"/>
        <v>135.01999349991718</v>
      </c>
      <c r="R77" s="629">
        <f t="shared" si="79"/>
        <v>3.9651119587776686</v>
      </c>
      <c r="S77" s="634">
        <f t="shared" si="80"/>
        <v>-0.26150078868637872</v>
      </c>
      <c r="T77" s="635">
        <f t="shared" si="81"/>
        <v>2.8027790055970394</v>
      </c>
      <c r="U77" s="629">
        <f t="shared" si="82"/>
        <v>2.8047357614267607</v>
      </c>
      <c r="V77" s="636">
        <f t="shared" si="114"/>
        <v>-0.26150078868637872</v>
      </c>
      <c r="W77" s="585">
        <f t="shared" si="224"/>
        <v>45.019993499917177</v>
      </c>
      <c r="X77" s="629">
        <f t="shared" si="83"/>
        <v>3.9651119587776686</v>
      </c>
      <c r="Y77" s="630">
        <f t="shared" si="644"/>
        <v>-0.26150078868637872</v>
      </c>
      <c r="Z77" s="632">
        <f t="shared" si="468"/>
        <v>0.81019787039477076</v>
      </c>
      <c r="AA77" s="629">
        <f t="shared" si="469"/>
        <v>0.53390519401682768</v>
      </c>
      <c r="AB77" s="629">
        <f t="shared" si="470"/>
        <v>-0.2419186942128119</v>
      </c>
      <c r="AC77" s="636">
        <f t="shared" si="84"/>
        <v>1</v>
      </c>
      <c r="AD77" s="637">
        <f t="shared" si="115"/>
        <v>0.81019787039477076</v>
      </c>
      <c r="AE77" s="629">
        <f t="shared" si="85"/>
        <v>0.53390519401682768</v>
      </c>
      <c r="AF77" s="633">
        <f t="shared" si="86"/>
        <v>-0.2419186942128119</v>
      </c>
      <c r="AG77" s="602">
        <f t="shared" si="87"/>
        <v>65.62416324445357</v>
      </c>
      <c r="AH77" s="603">
        <f t="shared" si="88"/>
        <v>35.884731605006159</v>
      </c>
      <c r="AI77" s="585">
        <f t="shared" si="89"/>
        <v>-76.000189041211883</v>
      </c>
      <c r="AJ77" s="586">
        <f t="shared" si="90"/>
        <v>123.38413256681817</v>
      </c>
      <c r="AK77" s="635">
        <f t="shared" si="211"/>
        <v>0.9503561593136034</v>
      </c>
      <c r="AL77" s="629">
        <f t="shared" si="91"/>
        <v>-0.19570006603234713</v>
      </c>
      <c r="AM77" s="634">
        <f t="shared" si="92"/>
        <v>-0.2419186942128119</v>
      </c>
      <c r="AN77" s="581">
        <f t="shared" si="93"/>
        <v>-38.97111841378495</v>
      </c>
      <c r="AO77" s="582">
        <f t="shared" si="461"/>
        <v>18.129405668369831</v>
      </c>
      <c r="AP77" s="585">
        <f t="shared" si="95"/>
        <v>-11.635860933099018</v>
      </c>
      <c r="AQ77" s="586">
        <f t="shared" si="471"/>
        <v>0.57492704896926228</v>
      </c>
      <c r="AS77" s="52">
        <f t="shared" si="543"/>
        <v>-314.98000650008282</v>
      </c>
      <c r="AT77" s="72">
        <f t="shared" si="472"/>
        <v>-4.2764673061321201E-2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7.1230000000000002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-3.1813047888195776</v>
      </c>
      <c r="C78" s="708">
        <v>3.2848022487418147</v>
      </c>
      <c r="D78" s="709">
        <v>-0.71910216881214117</v>
      </c>
      <c r="E78" s="710">
        <v>-0.81961521555275352</v>
      </c>
      <c r="F78" s="708">
        <v>-0.50424637104032455</v>
      </c>
      <c r="G78" s="711">
        <v>0.27196782112425899</v>
      </c>
      <c r="H78" s="710">
        <v>0.314</v>
      </c>
      <c r="I78" s="708">
        <v>0.52</v>
      </c>
      <c r="J78" s="570">
        <v>7.13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7.13</v>
      </c>
      <c r="N78" s="632">
        <f t="shared" si="465"/>
        <v>-3.1813047888195776</v>
      </c>
      <c r="O78" s="629">
        <f t="shared" si="466"/>
        <v>3.2848022487418147</v>
      </c>
      <c r="P78" s="633">
        <f t="shared" si="467"/>
        <v>-0.71910216881214117</v>
      </c>
      <c r="Q78" s="585">
        <f t="shared" si="520"/>
        <v>134.08299363520322</v>
      </c>
      <c r="R78" s="629">
        <f>IF(M78="","",SQRT(N78^2+O78^2))</f>
        <v>4.5728137916063956</v>
      </c>
      <c r="S78" s="634">
        <f>IF(M78="","",P78)</f>
        <v>-0.71910216881214117</v>
      </c>
      <c r="T78" s="635">
        <f>IF(M78="","",X78*COS(RADIANS(W78)))</f>
        <v>3.2848022487418143</v>
      </c>
      <c r="U78" s="629">
        <f>IF(M78="","",X78*SIN(RADIANS(W78)))</f>
        <v>3.181304788819578</v>
      </c>
      <c r="V78" s="636">
        <f>IF(M78="","",Y78)</f>
        <v>-0.71910216881214117</v>
      </c>
      <c r="W78" s="585">
        <f t="shared" si="224"/>
        <v>44.082993635203223</v>
      </c>
      <c r="X78" s="629">
        <f>IF(M78="","",R78)</f>
        <v>4.5728137916063956</v>
      </c>
      <c r="Y78" s="630">
        <f t="shared" si="644"/>
        <v>-0.71910216881214117</v>
      </c>
      <c r="Z78" s="632">
        <f t="shared" si="468"/>
        <v>0.81961521555275352</v>
      </c>
      <c r="AA78" s="629">
        <f t="shared" si="469"/>
        <v>0.50424637104032455</v>
      </c>
      <c r="AB78" s="629">
        <f t="shared" si="470"/>
        <v>-0.27196782112425899</v>
      </c>
      <c r="AC78" s="636">
        <f>IF(M78="","",SQRT(Z78^2+AA78^2+AB78^2))</f>
        <v>1</v>
      </c>
      <c r="AD78" s="637">
        <f>IF(M78="","",Z78*(1/SQRT(Z78^2+AA78^2+AB78^2)))</f>
        <v>0.81961521555275352</v>
      </c>
      <c r="AE78" s="629">
        <f>IF(M78="","",AA78*(1/SQRT(Z78^2+AA78^2+AB78^2)))</f>
        <v>0.50424637104032455</v>
      </c>
      <c r="AF78" s="633">
        <f>IF(M78="","",AB78*(1/SQRT(Z78^2+AA78^2+AB78^2)))</f>
        <v>-0.27196782112425899</v>
      </c>
      <c r="AG78" s="602">
        <f>IF(M78="","",DEGREES(ATAN2(-AF78,AE78)))</f>
        <v>61.659572092176752</v>
      </c>
      <c r="AH78" s="603">
        <f>IF(M78="","",DEGREES(ACOS(AD78)))</f>
        <v>34.953706115132761</v>
      </c>
      <c r="AI78" s="585">
        <f>IF(M78="","",DEGREES(-ACOS(-AF78)))</f>
        <v>-74.218602712251496</v>
      </c>
      <c r="AJ78" s="586">
        <f>IF(M78="","",DEGREES(ATAN2(-AE78,AD78)))</f>
        <v>121.60079750285031</v>
      </c>
      <c r="AK78" s="635">
        <f>IF(M78="","",(COS(RADIANS((90-$Q$8)-W78))*AD78)+(-SIN(RADIANS((90-$Q$8)-W78))*AE78))</f>
        <v>0.93956051872754354</v>
      </c>
      <c r="AL78" s="629">
        <f>IF(M78="","",(SIN(RADIANS((90-$Q$8)-W78))*AD78)+(COS(RADIANS((90-$Q$8)-W78))*AE78))</f>
        <v>-0.20798926876488777</v>
      </c>
      <c r="AM78" s="634">
        <f>IF(M78="","",AF78)</f>
        <v>-0.27196782112425899</v>
      </c>
      <c r="AN78" s="581">
        <f>IF(M78="","",DEGREES(ATAN2(-AM78,AL78)))</f>
        <v>-37.407201202806981</v>
      </c>
      <c r="AO78" s="582">
        <f t="shared" si="461"/>
        <v>20.022118226062624</v>
      </c>
      <c r="AP78" s="585">
        <f>IF(M78="","",DEGREES(ATAN2(AK78,AL78)))</f>
        <v>-12.482196132352904</v>
      </c>
      <c r="AQ78" s="586">
        <f t="shared" si="471"/>
        <v>0.49852655405501073</v>
      </c>
      <c r="AS78" s="52">
        <f t="shared" si="543"/>
        <v>-315.91700636479675</v>
      </c>
      <c r="AT78" s="72">
        <f t="shared" si="472"/>
        <v>-0.49971535883658791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7.13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-3.4064406572103429</v>
      </c>
      <c r="C79" s="708">
        <v>3.6019589202059432</v>
      </c>
      <c r="D79" s="709">
        <v>-1.375404148218911</v>
      </c>
      <c r="E79" s="710">
        <v>-0.95350643974895577</v>
      </c>
      <c r="F79" s="708">
        <v>-0.28359727032155224</v>
      </c>
      <c r="G79" s="711">
        <v>0.10197086654253419</v>
      </c>
      <c r="H79" s="710">
        <v>0.314</v>
      </c>
      <c r="I79" s="708">
        <v>0.52</v>
      </c>
      <c r="J79" s="570">
        <v>7.1369999999999996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7.1369999999999996</v>
      </c>
      <c r="N79" s="632">
        <f t="shared" si="465"/>
        <v>-3.4064406572103429</v>
      </c>
      <c r="O79" s="629">
        <f t="shared" si="466"/>
        <v>3.6019589202059432</v>
      </c>
      <c r="P79" s="633">
        <f t="shared" si="467"/>
        <v>-1.375404148218911</v>
      </c>
      <c r="Q79" s="585">
        <f t="shared" si="520"/>
        <v>133.40199373352743</v>
      </c>
      <c r="R79" s="629">
        <f>IF(M79="","",SQRT(N79^2+O79^2))</f>
        <v>4.9576149521666961</v>
      </c>
      <c r="S79" s="634">
        <f>IF(M79="","",P79)</f>
        <v>-1.375404148218911</v>
      </c>
      <c r="T79" s="635">
        <f>IF(M79="","",X79*COS(RADIANS(W79)))</f>
        <v>3.6019589202059423</v>
      </c>
      <c r="U79" s="629">
        <f>IF(M79="","",X79*SIN(RADIANS(W79)))</f>
        <v>3.4064406572103429</v>
      </c>
      <c r="V79" s="636">
        <f>IF(M79="","",Y79)</f>
        <v>-1.375404148218911</v>
      </c>
      <c r="W79" s="585">
        <f t="shared" ref="W79:W129" si="645">IF(M79="","",IF(Q79-$Q$8&lt;0,360+Q79-$Q$8,Q79-$Q$8))</f>
        <v>43.401993733527434</v>
      </c>
      <c r="X79" s="629">
        <f>IF(M79="","",R79)</f>
        <v>4.9576149521666961</v>
      </c>
      <c r="Y79" s="630">
        <f t="shared" si="644"/>
        <v>-1.375404148218911</v>
      </c>
      <c r="Z79" s="632">
        <f t="shared" si="468"/>
        <v>0.95350643974895577</v>
      </c>
      <c r="AA79" s="629">
        <f t="shared" si="469"/>
        <v>0.28359727032155224</v>
      </c>
      <c r="AB79" s="629">
        <f t="shared" si="470"/>
        <v>-0.10197086654253419</v>
      </c>
      <c r="AC79" s="636">
        <f>IF(M79="","",SQRT(Z79^2+AA79^2+AB79^2))</f>
        <v>1</v>
      </c>
      <c r="AD79" s="637">
        <f>IF(M79="","",Z79*(1/SQRT(Z79^2+AA79^2+AB79^2)))</f>
        <v>0.95350643974895577</v>
      </c>
      <c r="AE79" s="629">
        <f>IF(M79="","",AA79*(1/SQRT(Z79^2+AA79^2+AB79^2)))</f>
        <v>0.28359727032155224</v>
      </c>
      <c r="AF79" s="633">
        <f>IF(M79="","",AB79*(1/SQRT(Z79^2+AA79^2+AB79^2)))</f>
        <v>-0.10197086654253419</v>
      </c>
      <c r="AG79" s="602">
        <f>IF(M79="","",DEGREES(ATAN2(-AF79,AE79)))</f>
        <v>70.223331464248915</v>
      </c>
      <c r="AH79" s="603">
        <f>IF(M79="","",DEGREES(ACOS(AD79)))</f>
        <v>17.540065846826582</v>
      </c>
      <c r="AI79" s="585">
        <f>IF(M79="","",DEGREES(-ACOS(-AF79)))</f>
        <v>-84.147326932733321</v>
      </c>
      <c r="AJ79" s="586">
        <f>IF(M79="","",DEGREES(ATAN2(-AE79,AD79)))</f>
        <v>106.56382787033816</v>
      </c>
      <c r="AK79" s="635">
        <f>IF(M79="","",(COS(RADIANS((90-$Q$8)-W79))*AD79)+(-SIN(RADIANS((90-$Q$8)-W79))*AE79))</f>
        <v>0.88763414272452423</v>
      </c>
      <c r="AL79" s="629">
        <f>IF(M79="","",(SIN(RADIANS((90-$Q$8)-W79))*AD79)+(COS(RADIANS((90-$Q$8)-W79))*AE79))</f>
        <v>-0.44911866031847675</v>
      </c>
      <c r="AM79" s="634">
        <f>IF(M79="","",AF79)</f>
        <v>-0.10197086654253419</v>
      </c>
      <c r="AN79" s="581">
        <f>IF(M79="","",DEGREES(ATAN2(-AM79,AL79)))</f>
        <v>-77.208054113637829</v>
      </c>
      <c r="AO79" s="582">
        <f t="shared" si="461"/>
        <v>27.422556472034891</v>
      </c>
      <c r="AP79" s="585">
        <f>IF(M79="","",DEGREES(ATAN2(AK79,AL79)))</f>
        <v>-26.838165863189278</v>
      </c>
      <c r="AQ79" s="586">
        <f t="shared" si="471"/>
        <v>0.45983355054748198</v>
      </c>
      <c r="AS79" s="52">
        <f t="shared" si="543"/>
        <v>-316.59800626647257</v>
      </c>
      <c r="AT79" s="72">
        <f t="shared" si="472"/>
        <v>-1.1555444216449717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7.1369999999999996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-3.4667418068089062</v>
      </c>
      <c r="C80" s="708">
        <v>3.6910603298499409</v>
      </c>
      <c r="D80" s="709">
        <v>-2.129306421988169</v>
      </c>
      <c r="E80" s="710">
        <v>-0.98139073614538308</v>
      </c>
      <c r="F80" s="708">
        <v>-0.19145392718769122</v>
      </c>
      <c r="G80" s="711">
        <v>1.4751839628780704E-2</v>
      </c>
      <c r="H80" s="710">
        <v>0.314</v>
      </c>
      <c r="I80" s="708">
        <v>0.52</v>
      </c>
      <c r="J80" s="570">
        <v>7.1440000000000001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7.1440000000000001</v>
      </c>
      <c r="N80" s="632">
        <f t="shared" si="465"/>
        <v>-3.4667418068089062</v>
      </c>
      <c r="O80" s="629">
        <f t="shared" si="466"/>
        <v>3.6910603298499409</v>
      </c>
      <c r="P80" s="633">
        <f t="shared" si="467"/>
        <v>-2.129306421988169</v>
      </c>
      <c r="Q80" s="585">
        <f t="shared" si="520"/>
        <v>133.20499376197071</v>
      </c>
      <c r="R80" s="629">
        <f t="shared" si="79"/>
        <v>5.0638152724668615</v>
      </c>
      <c r="S80" s="634">
        <f t="shared" si="80"/>
        <v>-2.129306421988169</v>
      </c>
      <c r="T80" s="635">
        <f t="shared" si="81"/>
        <v>3.6910603298499409</v>
      </c>
      <c r="U80" s="629">
        <f t="shared" si="82"/>
        <v>3.4667418068089062</v>
      </c>
      <c r="V80" s="636">
        <f t="shared" si="114"/>
        <v>-2.129306421988169</v>
      </c>
      <c r="W80" s="585">
        <f t="shared" si="645"/>
        <v>43.204993761970712</v>
      </c>
      <c r="X80" s="629">
        <f t="shared" si="83"/>
        <v>5.0638152724668615</v>
      </c>
      <c r="Y80" s="630">
        <f t="shared" si="644"/>
        <v>-2.129306421988169</v>
      </c>
      <c r="Z80" s="632">
        <f t="shared" si="468"/>
        <v>0.98139073614538308</v>
      </c>
      <c r="AA80" s="629">
        <f t="shared" si="469"/>
        <v>0.19145392718769122</v>
      </c>
      <c r="AB80" s="629">
        <f t="shared" si="470"/>
        <v>-1.4751839628780704E-2</v>
      </c>
      <c r="AC80" s="636">
        <f t="shared" si="84"/>
        <v>1</v>
      </c>
      <c r="AD80" s="637">
        <f t="shared" si="115"/>
        <v>0.98139073614538308</v>
      </c>
      <c r="AE80" s="629">
        <f t="shared" si="85"/>
        <v>0.19145392718769122</v>
      </c>
      <c r="AF80" s="633">
        <f t="shared" si="86"/>
        <v>-1.4751839628780704E-2</v>
      </c>
      <c r="AG80" s="602">
        <f t="shared" si="87"/>
        <v>85.593971760482475</v>
      </c>
      <c r="AH80" s="603">
        <f t="shared" si="88"/>
        <v>11.070775102932313</v>
      </c>
      <c r="AI80" s="585">
        <f t="shared" si="89"/>
        <v>-89.154751190606945</v>
      </c>
      <c r="AJ80" s="586">
        <f t="shared" si="90"/>
        <v>101.03886216463178</v>
      </c>
      <c r="AK80" s="635">
        <f t="shared" si="211"/>
        <v>0.84641589732395206</v>
      </c>
      <c r="AL80" s="629">
        <f t="shared" si="91"/>
        <v>-0.53231805528730258</v>
      </c>
      <c r="AM80" s="634">
        <f t="shared" si="92"/>
        <v>-1.4751839628780704E-2</v>
      </c>
      <c r="AN80" s="581">
        <f t="shared" si="93"/>
        <v>-88.412599625742644</v>
      </c>
      <c r="AO80" s="582">
        <f t="shared" si="461"/>
        <v>32.176043602513602</v>
      </c>
      <c r="AP80" s="585">
        <f t="shared" si="95"/>
        <v>-32.166131597338918</v>
      </c>
      <c r="AQ80" s="586">
        <f t="shared" si="471"/>
        <v>0.45019014211149161</v>
      </c>
      <c r="AS80" s="52">
        <f t="shared" si="543"/>
        <v>-316.79500623802926</v>
      </c>
      <c r="AT80" s="72">
        <f t="shared" si="472"/>
        <v>-1.9093098898784264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7.1440000000000001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-2.0693452494810618</v>
      </c>
      <c r="C81" s="708">
        <v>3.3822955347059551</v>
      </c>
      <c r="D81" s="709">
        <v>-0.22294343283453369</v>
      </c>
      <c r="E81" s="710">
        <v>-0.86289269380300515</v>
      </c>
      <c r="F81" s="708">
        <v>-0.42201627244482748</v>
      </c>
      <c r="G81" s="711">
        <v>0.2780619800928677</v>
      </c>
      <c r="H81" s="710">
        <v>0.26600000000000001</v>
      </c>
      <c r="I81" s="708">
        <v>0.52</v>
      </c>
      <c r="J81" s="570">
        <v>7.2229999999999999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1313</v>
      </c>
      <c r="L81" s="320"/>
      <c r="M81" s="168">
        <f t="shared" si="464"/>
        <v>7.2229999999999999</v>
      </c>
      <c r="N81" s="632">
        <f t="shared" si="465"/>
        <v>-2.0693452494810618</v>
      </c>
      <c r="O81" s="629">
        <f t="shared" si="466"/>
        <v>3.3822955347059551</v>
      </c>
      <c r="P81" s="633">
        <f t="shared" si="467"/>
        <v>-0.22294343283453369</v>
      </c>
      <c r="Q81" s="585">
        <f t="shared" si="520"/>
        <v>121.45899545788303</v>
      </c>
      <c r="R81" s="629">
        <f t="shared" si="79"/>
        <v>3.9651119587776691</v>
      </c>
      <c r="S81" s="634">
        <f t="shared" si="80"/>
        <v>-0.22294343283453369</v>
      </c>
      <c r="T81" s="635">
        <f t="shared" si="81"/>
        <v>3.3822955347059556</v>
      </c>
      <c r="U81" s="629">
        <f t="shared" si="82"/>
        <v>2.0693452494810622</v>
      </c>
      <c r="V81" s="636">
        <f t="shared" si="114"/>
        <v>-0.22294343283453369</v>
      </c>
      <c r="W81" s="585">
        <f t="shared" si="645"/>
        <v>31.458995457883034</v>
      </c>
      <c r="X81" s="629">
        <f t="shared" si="83"/>
        <v>3.9651119587776691</v>
      </c>
      <c r="Y81" s="630">
        <f t="shared" si="644"/>
        <v>-0.22294343283453369</v>
      </c>
      <c r="Z81" s="632">
        <f t="shared" si="468"/>
        <v>0.86289269380300515</v>
      </c>
      <c r="AA81" s="629">
        <f t="shared" si="469"/>
        <v>0.42201627244482748</v>
      </c>
      <c r="AB81" s="629">
        <f t="shared" si="470"/>
        <v>-0.2780619800928677</v>
      </c>
      <c r="AC81" s="636">
        <f t="shared" si="84"/>
        <v>1</v>
      </c>
      <c r="AD81" s="637">
        <f t="shared" si="115"/>
        <v>0.86289269380300515</v>
      </c>
      <c r="AE81" s="629">
        <f t="shared" si="85"/>
        <v>0.42201627244482748</v>
      </c>
      <c r="AF81" s="633">
        <f t="shared" si="86"/>
        <v>-0.2780619800928677</v>
      </c>
      <c r="AG81" s="602">
        <f t="shared" si="87"/>
        <v>56.619542738436465</v>
      </c>
      <c r="AH81" s="603">
        <f t="shared" si="88"/>
        <v>30.357057427304479</v>
      </c>
      <c r="AI81" s="585">
        <f t="shared" si="89"/>
        <v>-73.855428380349409</v>
      </c>
      <c r="AJ81" s="586">
        <f t="shared" si="90"/>
        <v>116.06194179762711</v>
      </c>
      <c r="AK81" s="635">
        <f t="shared" si="211"/>
        <v>0.95630476848795654</v>
      </c>
      <c r="AL81" s="629">
        <f t="shared" si="91"/>
        <v>-9.0347800161539038E-2</v>
      </c>
      <c r="AM81" s="634">
        <f t="shared" si="92"/>
        <v>-0.2780619800928677</v>
      </c>
      <c r="AN81" s="581">
        <f t="shared" si="93"/>
        <v>-17.999997401121892</v>
      </c>
      <c r="AO81" s="582">
        <f t="shared" si="461"/>
        <v>16.999997545504044</v>
      </c>
      <c r="AP81" s="585">
        <f t="shared" si="95"/>
        <v>-5.3970536602559092</v>
      </c>
      <c r="AQ81" s="586">
        <f t="shared" si="471"/>
        <v>0.57492704896926217</v>
      </c>
      <c r="AS81" s="52">
        <f t="shared" si="543"/>
        <v>-328.54100454211698</v>
      </c>
      <c r="AT81" s="72">
        <f t="shared" si="472"/>
        <v>5.2100425419364382E-3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Nose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7.2229999999999999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0.123</v>
      </c>
      <c r="II81" s="734" cm="1">
        <f t="array" ref="II81">IFERROR(ROUND(VALUE(IF($IH81&lt;1,$IH81+LARGE((IF($M$9:$M$150="",0,$M$9:$M$150)-MOD(IF($M$9:$M$150="",0,$M$9:$M$150),1)),1),$IH81)),4),"")</f>
        <v>7.1230000000000002</v>
      </c>
      <c r="IJ81" s="533">
        <f t="shared" si="542"/>
        <v>1613</v>
      </c>
      <c r="IK81" s="533">
        <f t="shared" si="517"/>
        <v>1313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13.560998042034143</v>
      </c>
      <c r="IM81" s="759">
        <v>9.3845988532040292E-3</v>
      </c>
      <c r="IN81" s="5">
        <f t="shared" ref="IN81:IN144" si="648">IF(ISNUMBER($II81),(($IO81*12)/60)/$AS$3,"")</f>
        <v>0.22</v>
      </c>
      <c r="IO81" s="771">
        <v>110</v>
      </c>
      <c r="IP81" s="9">
        <f t="shared" ref="IP81:IP144" si="649">IF(ISNUMBER($II81),(INDEX($X$9:$X$150,MATCH($II81,$M$9:$M$150,0))*-1),"")</f>
        <v>-3.9651119587776686</v>
      </c>
      <c r="IQ81" s="5">
        <f t="shared" ref="IQ81:IQ144" si="650">IF(ISNUMBER($II81),INDEX($Y$9:$Y$150,MATCH($II81,$M$9:$M$150,0)),"")</f>
        <v>-0.26150078868637872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0.29841183402447147</v>
      </c>
      <c r="IT81" s="727">
        <f t="shared" ref="IT81:IT144" si="652">IF(ISNUMBER($II81),(-1*INDEX($AN$9:$AN$150,MATCH($II81,$M$9:$M$150,0))),"")</f>
        <v>38.97111841378495</v>
      </c>
      <c r="IU81" s="9">
        <f t="shared" ref="IU81:IU144" si="653">IF(ISNUMBER($II81),-$X81,"")</f>
        <v>-3.9651119587776691</v>
      </c>
      <c r="IV81" s="5">
        <f t="shared" ref="IV81:IV144" si="654">IF(ISNUMBER($II81),$Y81,"")</f>
        <v>-0.22294343283453369</v>
      </c>
      <c r="IW81" s="5">
        <f t="shared" si="519"/>
        <v>0.26600000000000001</v>
      </c>
      <c r="IX81" s="5">
        <f t="shared" ref="IX81:IX144" si="655">IF(ISNUMBER($II81),$IW81*COS(RADIANS($AO81)),"")</f>
        <v>0.25437706841779645</v>
      </c>
      <c r="IY81" s="762">
        <f t="shared" ref="IY81:IY144" si="656">IF(ISNUMBER($II81),(-1*$AN81),"")</f>
        <v>17.999997401121892</v>
      </c>
    </row>
    <row r="82" spans="1:259" ht="15" customHeight="1" x14ac:dyDescent="0.25">
      <c r="A82" s="79"/>
      <c r="B82" s="707">
        <v>-2.4245076560644692</v>
      </c>
      <c r="C82" s="708">
        <v>3.8771624415789487</v>
      </c>
      <c r="D82" s="709">
        <v>-0.67982351568516697</v>
      </c>
      <c r="E82" s="710">
        <v>-0.89971172962879176</v>
      </c>
      <c r="F82" s="708">
        <v>-0.33355676425127823</v>
      </c>
      <c r="G82" s="711">
        <v>0.28152919669296311</v>
      </c>
      <c r="H82" s="710">
        <v>0.26600000000000001</v>
      </c>
      <c r="I82" s="708">
        <v>0.52</v>
      </c>
      <c r="J82" s="570">
        <v>7.23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1313</v>
      </c>
      <c r="L82" s="320"/>
      <c r="M82" s="168">
        <f t="shared" si="464"/>
        <v>7.23</v>
      </c>
      <c r="N82" s="632">
        <f t="shared" si="465"/>
        <v>-2.4245076560644692</v>
      </c>
      <c r="O82" s="629">
        <f t="shared" si="466"/>
        <v>3.8771624415789487</v>
      </c>
      <c r="P82" s="633">
        <f t="shared" si="467"/>
        <v>-0.67982351568516697</v>
      </c>
      <c r="Q82" s="585">
        <f t="shared" si="520"/>
        <v>122.01899537702904</v>
      </c>
      <c r="R82" s="629">
        <f t="shared" si="79"/>
        <v>4.5728137916063956</v>
      </c>
      <c r="S82" s="634">
        <f t="shared" si="80"/>
        <v>-0.67982351568516697</v>
      </c>
      <c r="T82" s="635">
        <f t="shared" si="81"/>
        <v>3.8771624415789492</v>
      </c>
      <c r="U82" s="629">
        <f t="shared" si="82"/>
        <v>2.4245076560644683</v>
      </c>
      <c r="V82" s="636">
        <f t="shared" si="114"/>
        <v>-0.67982351568516697</v>
      </c>
      <c r="W82" s="585">
        <f t="shared" si="645"/>
        <v>32.018995377029043</v>
      </c>
      <c r="X82" s="629">
        <f t="shared" si="83"/>
        <v>4.5728137916063956</v>
      </c>
      <c r="Y82" s="630">
        <f t="shared" si="644"/>
        <v>-0.67982351568516697</v>
      </c>
      <c r="Z82" s="632">
        <f t="shared" si="468"/>
        <v>0.89971172962879176</v>
      </c>
      <c r="AA82" s="629">
        <f t="shared" si="469"/>
        <v>0.33355676425127823</v>
      </c>
      <c r="AB82" s="629">
        <f t="shared" si="470"/>
        <v>-0.28152919669296311</v>
      </c>
      <c r="AC82" s="636">
        <f t="shared" si="84"/>
        <v>1</v>
      </c>
      <c r="AD82" s="637">
        <f t="shared" si="115"/>
        <v>0.89971172962879176</v>
      </c>
      <c r="AE82" s="629">
        <f t="shared" si="85"/>
        <v>0.33355676425127823</v>
      </c>
      <c r="AF82" s="633">
        <f t="shared" si="86"/>
        <v>-0.28152919669296311</v>
      </c>
      <c r="AG82" s="602">
        <f t="shared" si="87"/>
        <v>49.834903144866466</v>
      </c>
      <c r="AH82" s="603">
        <f t="shared" si="88"/>
        <v>25.87979878329535</v>
      </c>
      <c r="AI82" s="585">
        <f t="shared" si="89"/>
        <v>-73.648506837095937</v>
      </c>
      <c r="AJ82" s="586">
        <f t="shared" si="90"/>
        <v>110.34162587115546</v>
      </c>
      <c r="AK82" s="635">
        <f t="shared" si="211"/>
        <v>0.93969263802333458</v>
      </c>
      <c r="AL82" s="629">
        <f t="shared" si="91"/>
        <v>-0.19421394763034211</v>
      </c>
      <c r="AM82" s="634">
        <f t="shared" si="92"/>
        <v>-0.28152919669296311</v>
      </c>
      <c r="AN82" s="581">
        <f t="shared" si="93"/>
        <v>-34.59999500437879</v>
      </c>
      <c r="AO82" s="582">
        <f t="shared" si="461"/>
        <v>19.999997112357679</v>
      </c>
      <c r="AP82" s="585">
        <f t="shared" si="95"/>
        <v>-11.677369505873571</v>
      </c>
      <c r="AQ82" s="586">
        <f t="shared" si="471"/>
        <v>0.49852655405501073</v>
      </c>
      <c r="AS82" s="52">
        <f t="shared" si="543"/>
        <v>-327.98100462297094</v>
      </c>
      <c r="AT82" s="72">
        <f t="shared" si="472"/>
        <v>-0.45205892914143714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Taper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7.23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0.13</v>
      </c>
      <c r="II82" s="734" cm="1">
        <f t="array" ref="II82">IFERROR(ROUND(VALUE(IF($IH82&lt;1,$IH82+LARGE((IF($M$9:$M$150="",0,$M$9:$M$150)-MOD(IF($M$9:$M$150="",0,$M$9:$M$150),1)),1),$IH82)),4),"")</f>
        <v>7.13</v>
      </c>
      <c r="IJ82" s="533">
        <f t="shared" si="542"/>
        <v>1613</v>
      </c>
      <c r="IK82" s="533">
        <f t="shared" si="517"/>
        <v>1313</v>
      </c>
      <c r="IL82" s="727">
        <f t="shared" si="647"/>
        <v>12.06399825817418</v>
      </c>
      <c r="IM82" s="759">
        <v>7.5040005585175103E-3</v>
      </c>
      <c r="IN82" s="5">
        <f t="shared" si="648"/>
        <v>0.18</v>
      </c>
      <c r="IO82" s="771">
        <v>90</v>
      </c>
      <c r="IP82" s="9">
        <f t="shared" si="649"/>
        <v>-4.5728137916063956</v>
      </c>
      <c r="IQ82" s="5">
        <f t="shared" si="650"/>
        <v>-0.71910216881214117</v>
      </c>
      <c r="IR82" s="5">
        <f t="shared" si="518"/>
        <v>0.314</v>
      </c>
      <c r="IS82" s="5">
        <f t="shared" si="651"/>
        <v>0.29502200288044866</v>
      </c>
      <c r="IT82" s="727">
        <f t="shared" si="652"/>
        <v>37.407201202806981</v>
      </c>
      <c r="IU82" s="9">
        <f t="shared" si="653"/>
        <v>-4.5728137916063956</v>
      </c>
      <c r="IV82" s="5">
        <f t="shared" si="654"/>
        <v>-0.67982351568516697</v>
      </c>
      <c r="IW82" s="5">
        <f t="shared" si="519"/>
        <v>0.26600000000000001</v>
      </c>
      <c r="IX82" s="5">
        <f t="shared" si="655"/>
        <v>0.24995824171420702</v>
      </c>
      <c r="IY82" s="762">
        <f t="shared" si="656"/>
        <v>34.59999500437879</v>
      </c>
    </row>
    <row r="83" spans="1:259" ht="15" customHeight="1" x14ac:dyDescent="0.25">
      <c r="A83" s="79"/>
      <c r="B83" s="707">
        <v>-2.6369608941388156</v>
      </c>
      <c r="C83" s="708">
        <v>4.1981404522394694</v>
      </c>
      <c r="D83" s="709">
        <v>-1.3355905166855451</v>
      </c>
      <c r="E83" s="710">
        <v>-0.9426555408122097</v>
      </c>
      <c r="F83" s="708">
        <v>-0.20315993727879175</v>
      </c>
      <c r="G83" s="711">
        <v>0.26481422027700474</v>
      </c>
      <c r="H83" s="710">
        <v>0.26600000000000001</v>
      </c>
      <c r="I83" s="708">
        <v>0.52</v>
      </c>
      <c r="J83" s="570">
        <v>7.2370000000000001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7.2370000000000001</v>
      </c>
      <c r="N83" s="632">
        <f t="shared" si="465"/>
        <v>-2.6369608941388156</v>
      </c>
      <c r="O83" s="629">
        <f t="shared" si="466"/>
        <v>4.1981404522394694</v>
      </c>
      <c r="P83" s="633">
        <f t="shared" si="467"/>
        <v>-1.3355905166855451</v>
      </c>
      <c r="Q83" s="585">
        <f t="shared" si="520"/>
        <v>122.13399536042512</v>
      </c>
      <c r="R83" s="629">
        <f t="shared" si="79"/>
        <v>4.957614952166697</v>
      </c>
      <c r="S83" s="634">
        <f t="shared" si="80"/>
        <v>-1.3355905166855451</v>
      </c>
      <c r="T83" s="635">
        <f t="shared" si="81"/>
        <v>4.1981404522394694</v>
      </c>
      <c r="U83" s="629">
        <f t="shared" si="82"/>
        <v>2.636960894138817</v>
      </c>
      <c r="V83" s="636">
        <f t="shared" si="114"/>
        <v>-1.3355905166855451</v>
      </c>
      <c r="W83" s="585">
        <f t="shared" si="645"/>
        <v>32.133995360425118</v>
      </c>
      <c r="X83" s="629">
        <f t="shared" si="83"/>
        <v>4.957614952166697</v>
      </c>
      <c r="Y83" s="630">
        <f t="shared" si="644"/>
        <v>-1.3355905166855451</v>
      </c>
      <c r="Z83" s="632">
        <f t="shared" si="468"/>
        <v>0.9426555408122097</v>
      </c>
      <c r="AA83" s="629">
        <f t="shared" si="469"/>
        <v>0.20315993727879175</v>
      </c>
      <c r="AB83" s="629">
        <f t="shared" si="470"/>
        <v>-0.26481422027700474</v>
      </c>
      <c r="AC83" s="636">
        <f t="shared" si="84"/>
        <v>1</v>
      </c>
      <c r="AD83" s="637">
        <f t="shared" si="115"/>
        <v>0.9426555408122097</v>
      </c>
      <c r="AE83" s="629">
        <f t="shared" si="85"/>
        <v>0.20315993727879175</v>
      </c>
      <c r="AF83" s="633">
        <f t="shared" si="86"/>
        <v>-0.26481422027700474</v>
      </c>
      <c r="AG83" s="602">
        <f t="shared" si="87"/>
        <v>37.494666693409364</v>
      </c>
      <c r="AH83" s="603">
        <f t="shared" si="88"/>
        <v>19.497588313469286</v>
      </c>
      <c r="AI83" s="585">
        <f t="shared" si="89"/>
        <v>-74.644085967943582</v>
      </c>
      <c r="AJ83" s="586">
        <f t="shared" si="90"/>
        <v>102.16228573974158</v>
      </c>
      <c r="AK83" s="635">
        <f t="shared" si="211"/>
        <v>0.90630781366099955</v>
      </c>
      <c r="AL83" s="629">
        <f t="shared" si="91"/>
        <v>-0.32936237738409208</v>
      </c>
      <c r="AM83" s="634">
        <f t="shared" si="92"/>
        <v>-0.26481422027700474</v>
      </c>
      <c r="AN83" s="581">
        <f t="shared" si="93"/>
        <v>-51.199992607635714</v>
      </c>
      <c r="AO83" s="582">
        <f t="shared" si="461"/>
        <v>24.999996390447112</v>
      </c>
      <c r="AP83" s="585">
        <f t="shared" si="95"/>
        <v>-19.971709620683534</v>
      </c>
      <c r="AQ83" s="586">
        <f t="shared" si="471"/>
        <v>0.45983355054748198</v>
      </c>
      <c r="AS83" s="52">
        <f t="shared" si="543"/>
        <v>-327.8660046395749</v>
      </c>
      <c r="AT83" s="72">
        <f t="shared" si="472"/>
        <v>-1.1079057912413959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Taper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7.2370000000000001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0.13700000000000001</v>
      </c>
      <c r="II83" s="734" cm="1">
        <f t="array" ref="II83">IFERROR(ROUND(VALUE(IF($IH83&lt;1,$IH83+LARGE((IF($M$9:$M$150="",0,$M$9:$M$150)-MOD(IF($M$9:$M$150="",0,$M$9:$M$150),1)),1),$IH83)),4),"")</f>
        <v>7.1369999999999996</v>
      </c>
      <c r="IJ83" s="533">
        <f t="shared" si="542"/>
        <v>1613</v>
      </c>
      <c r="IK83" s="533">
        <f>IF(ISNUMBER($II83),INDEX($K$9:$K$150,MATCH($IG83,$M$9:$M$150,0)),"")</f>
        <v>1313</v>
      </c>
      <c r="IL83" s="727">
        <f>IF(ISNUMBER($II83),IFERROR(IF(INDEX($W$9:$W$150,MATCH($II83,$M$9:$M$150,0))&lt;$W83,((INDEX($W$9:$W$150,MATCH($II83,$M$9:$M$150,0))+360)-$W83),INDEX($W$9:$W$150,MATCH($II83,$M$9:$M$150,0))-$W83),""),"")</f>
        <v>11.267998373102316</v>
      </c>
      <c r="IM83" s="759">
        <v>1.8712348545499299E-2</v>
      </c>
      <c r="IN83" s="5">
        <f t="shared" si="648"/>
        <v>0.6</v>
      </c>
      <c r="IO83" s="771">
        <v>300</v>
      </c>
      <c r="IP83" s="9">
        <f t="shared" si="649"/>
        <v>-4.9576149521666961</v>
      </c>
      <c r="IQ83" s="5">
        <f t="shared" si="650"/>
        <v>-1.375404148218911</v>
      </c>
      <c r="IR83" s="5">
        <f t="shared" si="518"/>
        <v>0.314</v>
      </c>
      <c r="IS83" s="5">
        <f t="shared" si="651"/>
        <v>0.2787171208155006</v>
      </c>
      <c r="IT83" s="727">
        <f t="shared" si="652"/>
        <v>77.208054113637829</v>
      </c>
      <c r="IU83" s="9">
        <f t="shared" si="653"/>
        <v>-4.957614952166697</v>
      </c>
      <c r="IV83" s="5">
        <f t="shared" si="654"/>
        <v>-1.3355905166855451</v>
      </c>
      <c r="IW83" s="5">
        <f t="shared" si="519"/>
        <v>0.26600000000000001</v>
      </c>
      <c r="IX83" s="5">
        <f t="shared" si="655"/>
        <v>0.24107787843382589</v>
      </c>
      <c r="IY83" s="762">
        <f t="shared" si="656"/>
        <v>51.199992607635714</v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0.92387955420894763</v>
      </c>
      <c r="F154" s="170">
        <f t="shared" si="929"/>
        <v>6.6452262060448339E-2</v>
      </c>
      <c r="G154" s="170">
        <f t="shared" si="929"/>
        <v>-0.37686956123004373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0.95630476848795665</v>
      </c>
      <c r="F155" s="170">
        <f t="shared" si="929"/>
        <v>5.0769799356932196E-2</v>
      </c>
      <c r="G155" s="170">
        <f t="shared" si="929"/>
        <v>-0.28792988250692664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0.95630476848795665</v>
      </c>
      <c r="F156" s="170">
        <f t="shared" si="929"/>
        <v>5.0769799356932196E-2</v>
      </c>
      <c r="G156" s="170">
        <f t="shared" si="929"/>
        <v>-0.28792988250692664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0.95630476848795665</v>
      </c>
      <c r="F157" s="170">
        <f t="shared" si="929"/>
        <v>5.0769799356932176E-2</v>
      </c>
      <c r="G157" s="170">
        <f t="shared" si="929"/>
        <v>-0.28792988250692669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0.95569629702359959</v>
      </c>
      <c r="F158" s="170">
        <f t="shared" si="929"/>
        <v>-3.212978487443225E-2</v>
      </c>
      <c r="G158" s="170">
        <f t="shared" si="929"/>
        <v>-0.29259573609214234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0.94857349169047989</v>
      </c>
      <c r="F159" s="170">
        <f t="shared" si="929"/>
        <v>-0.19115051224635179</v>
      </c>
      <c r="G159" s="170">
        <f t="shared" si="929"/>
        <v>-0.25232877864026637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0.92328822506518582</v>
      </c>
      <c r="F160" s="170">
        <f t="shared" si="929"/>
        <v>-0.33570732193092945</v>
      </c>
      <c r="G160" s="170">
        <f t="shared" si="929"/>
        <v>-0.18665328140148507</v>
      </c>
      <c r="H160" s="139"/>
      <c r="I160" s="86"/>
      <c r="J160" s="79">
        <f t="shared" si="930"/>
        <v>1.129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0.87552202170757942</v>
      </c>
      <c r="F161" s="170">
        <f t="shared" si="929"/>
        <v>-0.46970990814439473</v>
      </c>
      <c r="G161" s="170">
        <f t="shared" si="929"/>
        <v>-0.11328632616541703</v>
      </c>
      <c r="H161" s="139"/>
      <c r="I161" s="86"/>
      <c r="J161" s="79">
        <f t="shared" si="930"/>
        <v>1.1359999999999999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0.81945178572738331</v>
      </c>
      <c r="F162" s="170">
        <f t="shared" si="929"/>
        <v>-0.57295824812613494</v>
      </c>
      <c r="G162" s="170">
        <f t="shared" si="929"/>
        <v>-1.4751839628780822E-2</v>
      </c>
      <c r="H162" s="139"/>
      <c r="I162" s="86"/>
      <c r="J162" s="79">
        <f t="shared" si="930"/>
        <v>1.143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7.1988848729669916E-2</v>
      </c>
      <c r="F163" s="170">
        <f t="shared" si="929"/>
        <v>0.15802305732695876</v>
      </c>
      <c r="G163" s="170">
        <f t="shared" si="929"/>
        <v>-0.98480775738801807</v>
      </c>
      <c r="H163" s="139"/>
      <c r="I163" s="86"/>
      <c r="J163" s="79">
        <f t="shared" si="930"/>
        <v>1.21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4.3016545186339E-3</v>
      </c>
      <c r="F164" s="170">
        <f t="shared" si="929"/>
        <v>1.1434633127686437E-2</v>
      </c>
      <c r="G164" s="170">
        <f t="shared" si="929"/>
        <v>-0.99992536968197665</v>
      </c>
      <c r="H164" s="139"/>
      <c r="I164" s="86"/>
      <c r="J164" s="79">
        <f t="shared" si="930"/>
        <v>1.2150000000000001</v>
      </c>
    </row>
    <row r="165" spans="5:16" x14ac:dyDescent="0.25">
      <c r="E165" s="170">
        <f t="shared" si="929"/>
        <v>0.90497661824786846</v>
      </c>
      <c r="F165" s="170">
        <f t="shared" si="929"/>
        <v>-0.31905400003782125</v>
      </c>
      <c r="G165" s="170">
        <f t="shared" si="929"/>
        <v>-0.28146379071652861</v>
      </c>
      <c r="H165" s="139"/>
      <c r="I165" s="86"/>
      <c r="J165" s="79">
        <f t="shared" si="930"/>
        <v>1.222</v>
      </c>
    </row>
    <row r="166" spans="5:16" x14ac:dyDescent="0.25">
      <c r="E166" s="170">
        <f t="shared" si="929"/>
        <v>0.875309706791774</v>
      </c>
      <c r="F166" s="170">
        <f t="shared" si="929"/>
        <v>-0.39741192216885224</v>
      </c>
      <c r="G166" s="170">
        <f t="shared" si="929"/>
        <v>-0.2754935231800506</v>
      </c>
      <c r="H166" s="139"/>
      <c r="I166" s="86"/>
      <c r="J166" s="79">
        <f t="shared" si="930"/>
        <v>1.2290000000000001</v>
      </c>
    </row>
    <row r="167" spans="5:16" x14ac:dyDescent="0.25">
      <c r="E167" s="170">
        <f t="shared" si="929"/>
        <v>0.81353690810191692</v>
      </c>
      <c r="F167" s="170">
        <f t="shared" si="929"/>
        <v>-0.5161203812996068</v>
      </c>
      <c r="G167" s="170">
        <f t="shared" si="929"/>
        <v>-0.26791314107957037</v>
      </c>
      <c r="H167" s="139"/>
      <c r="I167" s="86"/>
      <c r="J167" s="79">
        <f t="shared" si="930"/>
        <v>1.236</v>
      </c>
    </row>
    <row r="168" spans="5:16" x14ac:dyDescent="0.25">
      <c r="E168" s="170">
        <f t="shared" si="929"/>
        <v>0.52816389198390767</v>
      </c>
      <c r="F168" s="170">
        <f t="shared" si="929"/>
        <v>-0.79695477220260824</v>
      </c>
      <c r="G168" s="170">
        <f t="shared" si="929"/>
        <v>-0.29309724370573681</v>
      </c>
      <c r="H168" s="139"/>
      <c r="I168" s="86"/>
      <c r="J168" s="79">
        <f t="shared" si="930"/>
        <v>2.1139999999999999</v>
      </c>
    </row>
    <row r="169" spans="5:16" x14ac:dyDescent="0.25">
      <c r="E169" s="170">
        <f t="shared" si="929"/>
        <v>0.39099962572410468</v>
      </c>
      <c r="F169" s="170">
        <f t="shared" si="929"/>
        <v>-0.88233062896384951</v>
      </c>
      <c r="G169" s="170">
        <f t="shared" si="929"/>
        <v>-0.26193883613520907</v>
      </c>
      <c r="H169" s="139"/>
      <c r="I169" s="86"/>
      <c r="J169" s="79">
        <f t="shared" si="930"/>
        <v>2.121</v>
      </c>
    </row>
    <row r="170" spans="5:16" x14ac:dyDescent="0.25">
      <c r="E170" s="170">
        <f t="shared" si="929"/>
        <v>0.25271989331464523</v>
      </c>
      <c r="F170" s="170">
        <f t="shared" si="929"/>
        <v>-0.94594741734320853</v>
      </c>
      <c r="G170" s="170">
        <f t="shared" si="929"/>
        <v>-0.20326371822031644</v>
      </c>
      <c r="H170" s="139"/>
      <c r="I170" s="86"/>
      <c r="J170" s="79">
        <f t="shared" si="930"/>
        <v>2.1280000000000001</v>
      </c>
    </row>
    <row r="171" spans="5:16" x14ac:dyDescent="0.25">
      <c r="E171" s="170">
        <f t="shared" si="929"/>
        <v>0.12174679926450264</v>
      </c>
      <c r="F171" s="170">
        <f t="shared" si="929"/>
        <v>-0.98484393531632475</v>
      </c>
      <c r="G171" s="170">
        <f t="shared" si="929"/>
        <v>-0.12353193894497026</v>
      </c>
      <c r="H171" s="139"/>
      <c r="I171" s="86"/>
      <c r="J171" s="79">
        <f t="shared" si="930"/>
        <v>2.1349999999999998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-1.5760647942494779E-2</v>
      </c>
      <c r="F172" s="170">
        <f t="shared" si="929"/>
        <v>-0.99932992976641277</v>
      </c>
      <c r="G172" s="170">
        <f t="shared" si="929"/>
        <v>-3.3034730958331995E-2</v>
      </c>
      <c r="H172" s="139"/>
      <c r="I172" s="86"/>
      <c r="J172" s="79">
        <f t="shared" si="930"/>
        <v>2.1419999999999999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-1.677305775832557E-2</v>
      </c>
      <c r="F173" s="170">
        <f t="shared" si="929"/>
        <v>-0.99975049275356831</v>
      </c>
      <c r="G173" s="170">
        <f t="shared" si="929"/>
        <v>-1.475183962878085E-2</v>
      </c>
      <c r="H173" s="139"/>
      <c r="I173" s="86"/>
      <c r="J173" s="79">
        <f t="shared" si="930"/>
        <v>2.149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0.24994364990127158</v>
      </c>
      <c r="F174" s="170">
        <f t="shared" si="933"/>
        <v>-0.92551115158458974</v>
      </c>
      <c r="G174" s="170">
        <f t="shared" si="933"/>
        <v>-0.28452992841983632</v>
      </c>
      <c r="H174" s="139"/>
      <c r="I174" s="86"/>
      <c r="J174" s="79">
        <f t="shared" si="930"/>
        <v>2.2210000000000001</v>
      </c>
    </row>
    <row r="175" spans="5:16" x14ac:dyDescent="0.25">
      <c r="E175" s="170">
        <f t="shared" si="933"/>
        <v>0.17012538039098293</v>
      </c>
      <c r="F175" s="170">
        <f t="shared" si="933"/>
        <v>-0.94405594622547795</v>
      </c>
      <c r="G175" s="170">
        <f t="shared" si="933"/>
        <v>-0.28251677002107484</v>
      </c>
      <c r="H175" s="139"/>
      <c r="I175" s="86"/>
      <c r="J175" s="79">
        <f t="shared" si="930"/>
        <v>2.2280000000000002</v>
      </c>
    </row>
    <row r="176" spans="5:16" x14ac:dyDescent="0.25">
      <c r="E176" s="170">
        <f t="shared" si="933"/>
        <v>5.0986230785592765E-2</v>
      </c>
      <c r="F176" s="170">
        <f t="shared" si="933"/>
        <v>-0.96166208512187468</v>
      </c>
      <c r="G176" s="170">
        <f t="shared" si="933"/>
        <v>-0.26945581884480918</v>
      </c>
      <c r="H176" s="139"/>
      <c r="I176" s="86"/>
      <c r="J176" s="79">
        <f t="shared" si="930"/>
        <v>2.2349999999999999</v>
      </c>
    </row>
    <row r="177" spans="5:10" x14ac:dyDescent="0.25">
      <c r="E177" s="170">
        <f t="shared" si="933"/>
        <v>-0.21056578511628699</v>
      </c>
      <c r="F177" s="170">
        <f t="shared" si="933"/>
        <v>-0.92900484040511899</v>
      </c>
      <c r="G177" s="170">
        <f t="shared" si="933"/>
        <v>-0.30432229074160999</v>
      </c>
      <c r="H177" s="139"/>
      <c r="I177" s="86"/>
      <c r="J177" s="79">
        <f t="shared" si="930"/>
        <v>3.1030000000000002</v>
      </c>
    </row>
    <row r="178" spans="5:10" x14ac:dyDescent="0.25">
      <c r="E178" s="170">
        <f t="shared" si="933"/>
        <v>-0.21479085165213624</v>
      </c>
      <c r="F178" s="170">
        <f t="shared" si="933"/>
        <v>-0.93325305936069536</v>
      </c>
      <c r="G178" s="170">
        <f t="shared" si="933"/>
        <v>-0.28792988250692675</v>
      </c>
      <c r="H178" s="139"/>
      <c r="I178" s="86"/>
      <c r="J178" s="79">
        <f t="shared" si="930"/>
        <v>3.1059999999999999</v>
      </c>
    </row>
    <row r="179" spans="5:10" x14ac:dyDescent="0.25">
      <c r="E179" s="170">
        <f t="shared" si="933"/>
        <v>-0.21479085165213624</v>
      </c>
      <c r="F179" s="170">
        <f t="shared" si="933"/>
        <v>-0.93325305936069525</v>
      </c>
      <c r="G179" s="170">
        <f t="shared" si="933"/>
        <v>-0.28792988250692669</v>
      </c>
      <c r="H179" s="139"/>
      <c r="I179" s="86"/>
      <c r="J179" s="79">
        <f t="shared" si="930"/>
        <v>3.109</v>
      </c>
    </row>
    <row r="180" spans="5:10" x14ac:dyDescent="0.25">
      <c r="E180" s="170">
        <f t="shared" si="933"/>
        <v>-0.24807122128821138</v>
      </c>
      <c r="F180" s="170">
        <f t="shared" si="933"/>
        <v>-0.92364645313742888</v>
      </c>
      <c r="G180" s="170">
        <f t="shared" si="933"/>
        <v>-0.29212651159253389</v>
      </c>
      <c r="H180" s="139"/>
      <c r="I180" s="86"/>
      <c r="J180" s="79">
        <f t="shared" si="930"/>
        <v>3.113</v>
      </c>
    </row>
    <row r="181" spans="5:10" x14ac:dyDescent="0.25">
      <c r="E181" s="170">
        <f t="shared" si="933"/>
        <v>-0.4033461411632831</v>
      </c>
      <c r="F181" s="170">
        <f t="shared" si="933"/>
        <v>-0.87419882796278736</v>
      </c>
      <c r="G181" s="170">
        <f t="shared" si="933"/>
        <v>-0.27034847807446205</v>
      </c>
      <c r="H181" s="139"/>
      <c r="I181" s="86"/>
      <c r="J181" s="79">
        <f t="shared" si="930"/>
        <v>3.12</v>
      </c>
    </row>
    <row r="182" spans="5:10" x14ac:dyDescent="0.25">
      <c r="E182" s="170">
        <f t="shared" si="933"/>
        <v>-0.54635257443626895</v>
      </c>
      <c r="F182" s="170">
        <f t="shared" si="933"/>
        <v>-0.80850016771193434</v>
      </c>
      <c r="G182" s="170">
        <f t="shared" si="933"/>
        <v>-0.21869234832667384</v>
      </c>
      <c r="H182" s="139"/>
      <c r="I182" s="86"/>
      <c r="J182" s="79">
        <f t="shared" si="930"/>
        <v>3.1269999999999998</v>
      </c>
    </row>
    <row r="183" spans="5:10" x14ac:dyDescent="0.25">
      <c r="E183" s="170">
        <f t="shared" si="933"/>
        <v>-0.65900693753695028</v>
      </c>
      <c r="F183" s="170">
        <f t="shared" si="933"/>
        <v>-0.74046261607417796</v>
      </c>
      <c r="G183" s="170">
        <f t="shared" si="933"/>
        <v>-0.13200367598955309</v>
      </c>
      <c r="H183" s="139"/>
      <c r="I183" s="86"/>
      <c r="J183" s="79">
        <f t="shared" si="930"/>
        <v>3.1339999999999999</v>
      </c>
    </row>
    <row r="184" spans="5:10" x14ac:dyDescent="0.25">
      <c r="E184" s="170">
        <f t="shared" si="933"/>
        <v>-0.76407608577724451</v>
      </c>
      <c r="F184" s="170">
        <f t="shared" si="933"/>
        <v>-0.64331651531411338</v>
      </c>
      <c r="G184" s="170">
        <f t="shared" si="933"/>
        <v>-4.8286605466021114E-2</v>
      </c>
      <c r="H184" s="139"/>
      <c r="I184" s="86"/>
      <c r="J184" s="79">
        <f t="shared" si="930"/>
        <v>3.141</v>
      </c>
    </row>
    <row r="185" spans="5:10" x14ac:dyDescent="0.25">
      <c r="E185" s="170">
        <f t="shared" si="933"/>
        <v>-0.77663474383265041</v>
      </c>
      <c r="F185" s="170">
        <f t="shared" si="933"/>
        <v>-0.62977841968390791</v>
      </c>
      <c r="G185" s="170">
        <f t="shared" si="933"/>
        <v>-1.4751839628780294E-2</v>
      </c>
      <c r="H185" s="139"/>
      <c r="I185" s="86"/>
      <c r="J185" s="79">
        <f t="shared" si="930"/>
        <v>3.1480000000000001</v>
      </c>
    </row>
    <row r="186" spans="5:10" x14ac:dyDescent="0.25">
      <c r="E186" s="170">
        <f t="shared" si="933"/>
        <v>0.12788525435940781</v>
      </c>
      <c r="F186" s="170">
        <f t="shared" si="933"/>
        <v>-0.11746932665939742</v>
      </c>
      <c r="G186" s="170">
        <f t="shared" si="933"/>
        <v>-0.98480775738801807</v>
      </c>
      <c r="H186" s="139"/>
      <c r="I186" s="86"/>
      <c r="J186" s="79">
        <f t="shared" si="930"/>
        <v>3.2090000000000001</v>
      </c>
    </row>
    <row r="187" spans="5:10" x14ac:dyDescent="0.25">
      <c r="E187" s="170">
        <f t="shared" si="933"/>
        <v>7.6011860712021415E-2</v>
      </c>
      <c r="F187" s="170">
        <f t="shared" si="933"/>
        <v>-5.838323957063575E-2</v>
      </c>
      <c r="G187" s="170">
        <f t="shared" si="933"/>
        <v>-0.99539619969554538</v>
      </c>
      <c r="H187" s="139"/>
      <c r="I187" s="86"/>
      <c r="J187" s="79">
        <f t="shared" si="930"/>
        <v>3.2130000000000001</v>
      </c>
    </row>
    <row r="188" spans="5:10" x14ac:dyDescent="0.25">
      <c r="E188" s="170">
        <f t="shared" si="933"/>
        <v>-0.54082059981510888</v>
      </c>
      <c r="F188" s="170">
        <f t="shared" si="933"/>
        <v>-0.7906253515276358</v>
      </c>
      <c r="G188" s="170">
        <f t="shared" si="933"/>
        <v>-0.28709690408889549</v>
      </c>
      <c r="H188" s="139"/>
      <c r="I188" s="86"/>
      <c r="J188" s="79">
        <f t="shared" si="930"/>
        <v>3.22</v>
      </c>
    </row>
    <row r="189" spans="5:10" x14ac:dyDescent="0.25">
      <c r="E189" s="170">
        <f t="shared" si="933"/>
        <v>-0.60472634882026421</v>
      </c>
      <c r="F189" s="170">
        <f t="shared" si="933"/>
        <v>-0.74223361517575914</v>
      </c>
      <c r="G189" s="170">
        <f t="shared" si="933"/>
        <v>-0.28878245020367044</v>
      </c>
      <c r="H189" s="139"/>
      <c r="I189" s="86"/>
      <c r="J189" s="79">
        <f t="shared" si="930"/>
        <v>3.2269999999999999</v>
      </c>
    </row>
    <row r="190" spans="5:10" x14ac:dyDescent="0.25">
      <c r="E190" s="170">
        <f t="shared" si="933"/>
        <v>-0.68804337228595147</v>
      </c>
      <c r="F190" s="170">
        <f t="shared" si="933"/>
        <v>-0.67396389720270178</v>
      </c>
      <c r="G190" s="170">
        <f t="shared" si="933"/>
        <v>-0.26901483810511612</v>
      </c>
      <c r="H190" s="139"/>
      <c r="I190" s="86"/>
      <c r="J190" s="79">
        <f t="shared" si="930"/>
        <v>3.234</v>
      </c>
    </row>
    <row r="191" spans="5:10" x14ac:dyDescent="0.25">
      <c r="E191" s="170">
        <f t="shared" si="933"/>
        <v>-0.90762583823159249</v>
      </c>
      <c r="F191" s="170">
        <f t="shared" si="933"/>
        <v>-0.30416355050696486</v>
      </c>
      <c r="G191" s="170">
        <f t="shared" si="933"/>
        <v>-0.28930930216188433</v>
      </c>
      <c r="H191" s="139"/>
      <c r="I191" s="86"/>
      <c r="J191" s="79">
        <f t="shared" si="930"/>
        <v>4.1120000000000001</v>
      </c>
    </row>
    <row r="192" spans="5:10" x14ac:dyDescent="0.25">
      <c r="E192" s="170">
        <f t="shared" si="933"/>
        <v>-0.95006463913859862</v>
      </c>
      <c r="F192" s="170">
        <f t="shared" si="933"/>
        <v>-0.14312106969459723</v>
      </c>
      <c r="G192" s="170">
        <f t="shared" si="933"/>
        <v>-0.27729684611967509</v>
      </c>
      <c r="H192" s="139"/>
      <c r="I192" s="86"/>
      <c r="J192" s="79">
        <f t="shared" si="930"/>
        <v>4.1189999999999998</v>
      </c>
    </row>
    <row r="193" spans="5:10" x14ac:dyDescent="0.25">
      <c r="E193" s="170">
        <f t="shared" si="933"/>
        <v>-0.9756907363216365</v>
      </c>
      <c r="F193" s="170">
        <f t="shared" si="933"/>
        <v>8.253338091386786E-3</v>
      </c>
      <c r="G193" s="170">
        <f t="shared" si="933"/>
        <v>-0.21899650560338196</v>
      </c>
      <c r="H193" s="139"/>
      <c r="I193" s="86"/>
      <c r="J193" s="79">
        <f t="shared" si="930"/>
        <v>4.1260000000000003</v>
      </c>
    </row>
    <row r="194" spans="5:10" x14ac:dyDescent="0.25">
      <c r="E194" s="170">
        <f t="shared" ref="E194:G213" si="934">E49*-1</f>
        <v>-0.97966998957285878</v>
      </c>
      <c r="F194" s="170">
        <f t="shared" si="934"/>
        <v>0.14368058530891176</v>
      </c>
      <c r="G194" s="170">
        <f t="shared" si="934"/>
        <v>-0.14000928874758123</v>
      </c>
      <c r="H194" s="139"/>
      <c r="I194" s="86"/>
      <c r="J194" s="79">
        <f t="shared" si="930"/>
        <v>4.133</v>
      </c>
    </row>
    <row r="195" spans="5:10" x14ac:dyDescent="0.25">
      <c r="E195" s="170">
        <f t="shared" si="934"/>
        <v>-0.95515574584129237</v>
      </c>
      <c r="F195" s="170">
        <f t="shared" si="934"/>
        <v>0.28928247535449064</v>
      </c>
      <c r="G195" s="170">
        <f t="shared" si="934"/>
        <v>-6.3191381051083143E-2</v>
      </c>
      <c r="H195" s="139"/>
      <c r="I195" s="86"/>
      <c r="J195" s="79">
        <f t="shared" si="930"/>
        <v>4.1399999999999997</v>
      </c>
    </row>
    <row r="196" spans="5:10" x14ac:dyDescent="0.25">
      <c r="E196" s="170">
        <f t="shared" si="934"/>
        <v>-0.94563614932820383</v>
      </c>
      <c r="F196" s="170">
        <f t="shared" si="934"/>
        <v>0.32489176091629918</v>
      </c>
      <c r="G196" s="170">
        <f t="shared" si="934"/>
        <v>-1.4751839628780697E-2</v>
      </c>
      <c r="H196" s="139"/>
      <c r="I196" s="86"/>
      <c r="J196" s="79">
        <f t="shared" si="930"/>
        <v>4.1470000000000002</v>
      </c>
    </row>
    <row r="197" spans="5:10" x14ac:dyDescent="0.25">
      <c r="E197" s="170">
        <f t="shared" si="934"/>
        <v>-0.95677085982952492</v>
      </c>
      <c r="F197" s="170">
        <f t="shared" si="934"/>
        <v>3.1933694949610292E-2</v>
      </c>
      <c r="G197" s="170">
        <f t="shared" si="934"/>
        <v>-0.28908434912311837</v>
      </c>
      <c r="H197" s="139"/>
      <c r="I197" s="86"/>
      <c r="J197" s="79">
        <f t="shared" si="930"/>
        <v>4.2190000000000003</v>
      </c>
    </row>
    <row r="198" spans="5:10" x14ac:dyDescent="0.25">
      <c r="E198" s="170">
        <f t="shared" si="934"/>
        <v>-0.95468169376109169</v>
      </c>
      <c r="F198" s="170">
        <f t="shared" si="934"/>
        <v>0.10136375501259892</v>
      </c>
      <c r="G198" s="170">
        <f t="shared" si="934"/>
        <v>-0.27983611769605266</v>
      </c>
      <c r="H198" s="139"/>
      <c r="I198" s="86"/>
      <c r="J198" s="79">
        <f t="shared" si="930"/>
        <v>4.226</v>
      </c>
    </row>
    <row r="199" spans="5:10" x14ac:dyDescent="0.25">
      <c r="E199" s="170">
        <f t="shared" si="934"/>
        <v>-0.94167842596721563</v>
      </c>
      <c r="F199" s="170">
        <f t="shared" si="934"/>
        <v>0.20407695682954258</v>
      </c>
      <c r="G199" s="170">
        <f t="shared" si="934"/>
        <v>-0.26757118260212603</v>
      </c>
      <c r="H199" s="139"/>
      <c r="I199" s="86"/>
      <c r="J199" s="79">
        <f t="shared" si="930"/>
        <v>4.2329999999999997</v>
      </c>
    </row>
    <row r="200" spans="5:10" x14ac:dyDescent="0.25">
      <c r="E200" s="170">
        <f t="shared" si="934"/>
        <v>-0.77705256147220736</v>
      </c>
      <c r="F200" s="170">
        <f t="shared" si="934"/>
        <v>0.53173196283626079</v>
      </c>
      <c r="G200" s="170">
        <f t="shared" si="934"/>
        <v>-0.33682404369014235</v>
      </c>
      <c r="H200" s="139"/>
      <c r="I200" s="86"/>
      <c r="J200" s="79">
        <f t="shared" si="930"/>
        <v>5.1020000000000003</v>
      </c>
    </row>
    <row r="201" spans="5:10" x14ac:dyDescent="0.25">
      <c r="E201" s="170">
        <f t="shared" si="934"/>
        <v>-0.78483525450661884</v>
      </c>
      <c r="F201" s="170">
        <f t="shared" si="934"/>
        <v>0.54875313761570277</v>
      </c>
      <c r="G201" s="170">
        <f t="shared" si="934"/>
        <v>-0.28792988250692675</v>
      </c>
      <c r="H201" s="139"/>
      <c r="I201" s="86"/>
      <c r="J201" s="79">
        <f t="shared" si="930"/>
        <v>5.1050000000000004</v>
      </c>
    </row>
    <row r="202" spans="5:10" x14ac:dyDescent="0.25">
      <c r="E202" s="170">
        <f t="shared" si="934"/>
        <v>-0.78483525450661906</v>
      </c>
      <c r="F202" s="170">
        <f t="shared" si="934"/>
        <v>0.54875313761570232</v>
      </c>
      <c r="G202" s="170">
        <f t="shared" si="934"/>
        <v>-0.28792988250692664</v>
      </c>
      <c r="H202" s="139"/>
      <c r="I202" s="86"/>
      <c r="J202" s="79">
        <f t="shared" si="930"/>
        <v>5.1079999999999997</v>
      </c>
    </row>
    <row r="203" spans="5:10" x14ac:dyDescent="0.25">
      <c r="E203" s="170">
        <f t="shared" si="934"/>
        <v>-0.78483525450661895</v>
      </c>
      <c r="F203" s="170">
        <f t="shared" si="934"/>
        <v>0.54875313761570255</v>
      </c>
      <c r="G203" s="170">
        <f t="shared" si="934"/>
        <v>-0.28792988250692669</v>
      </c>
      <c r="H203" s="139"/>
      <c r="I203" s="86"/>
      <c r="J203" s="79">
        <f t="shared" si="930"/>
        <v>5.1109999999999998</v>
      </c>
    </row>
    <row r="204" spans="5:10" x14ac:dyDescent="0.25">
      <c r="E204" s="170">
        <f t="shared" si="934"/>
        <v>-0.68934695486939823</v>
      </c>
      <c r="F204" s="170">
        <f t="shared" si="934"/>
        <v>0.66678835517105117</v>
      </c>
      <c r="G204" s="170">
        <f t="shared" si="934"/>
        <v>-0.28318556675892231</v>
      </c>
      <c r="H204" s="139"/>
      <c r="I204" s="86"/>
      <c r="J204" s="79">
        <f t="shared" si="930"/>
        <v>5.1180000000000003</v>
      </c>
    </row>
    <row r="205" spans="5:10" x14ac:dyDescent="0.25">
      <c r="E205" s="170">
        <f t="shared" si="934"/>
        <v>-0.58025601268319305</v>
      </c>
      <c r="F205" s="170">
        <f t="shared" si="934"/>
        <v>0.78040144635193587</v>
      </c>
      <c r="G205" s="170">
        <f t="shared" si="934"/>
        <v>-0.23297326515462868</v>
      </c>
      <c r="H205" s="139"/>
      <c r="I205" s="86"/>
      <c r="J205" s="79">
        <f t="shared" si="930"/>
        <v>5.125</v>
      </c>
    </row>
    <row r="206" spans="5:10" x14ac:dyDescent="0.25">
      <c r="E206" s="170">
        <f t="shared" si="934"/>
        <v>-0.46203824464330379</v>
      </c>
      <c r="F206" s="170">
        <f t="shared" si="934"/>
        <v>0.87375875675958636</v>
      </c>
      <c r="G206" s="170">
        <f t="shared" si="934"/>
        <v>-0.15187592130708763</v>
      </c>
      <c r="H206" s="139"/>
      <c r="I206" s="86"/>
      <c r="J206" s="79">
        <f t="shared" si="930"/>
        <v>5.1319999999999997</v>
      </c>
    </row>
    <row r="207" spans="5:10" x14ac:dyDescent="0.25">
      <c r="E207" s="170">
        <f t="shared" si="934"/>
        <v>-0.34506191053657742</v>
      </c>
      <c r="F207" s="170">
        <f t="shared" si="934"/>
        <v>0.9353928964900351</v>
      </c>
      <c r="G207" s="170">
        <f t="shared" si="934"/>
        <v>-7.7281350226491671E-2</v>
      </c>
      <c r="H207" s="139"/>
      <c r="I207" s="86"/>
      <c r="J207" s="79">
        <f t="shared" si="930"/>
        <v>5.1390000000000002</v>
      </c>
    </row>
    <row r="208" spans="5:10" x14ac:dyDescent="0.25">
      <c r="E208" s="170">
        <f t="shared" si="934"/>
        <v>-0.2929881567859357</v>
      </c>
      <c r="F208" s="170">
        <f t="shared" si="934"/>
        <v>0.95600226109081288</v>
      </c>
      <c r="G208" s="170">
        <f t="shared" si="934"/>
        <v>-1.4751839628780641E-2</v>
      </c>
      <c r="H208" s="139"/>
      <c r="I208" s="86"/>
      <c r="J208" s="79">
        <f t="shared" si="930"/>
        <v>5.1459999999999999</v>
      </c>
    </row>
    <row r="209" spans="5:10" x14ac:dyDescent="0.25">
      <c r="E209" s="170">
        <f t="shared" si="934"/>
        <v>-0.15924952348071983</v>
      </c>
      <c r="F209" s="170">
        <f t="shared" si="934"/>
        <v>-6.9233447549189045E-2</v>
      </c>
      <c r="G209" s="170">
        <f t="shared" si="934"/>
        <v>-0.98480775738801807</v>
      </c>
      <c r="H209" s="139"/>
      <c r="I209" s="86"/>
      <c r="J209" s="79">
        <f t="shared" si="930"/>
        <v>5.2080000000000002</v>
      </c>
    </row>
    <row r="210" spans="5:10" x14ac:dyDescent="0.25">
      <c r="E210" s="170">
        <f t="shared" si="934"/>
        <v>-0.15175411861877916</v>
      </c>
      <c r="F210" s="170">
        <f t="shared" si="934"/>
        <v>-8.4405974140579404E-2</v>
      </c>
      <c r="G210" s="170">
        <f t="shared" si="934"/>
        <v>-0.98480775738801807</v>
      </c>
      <c r="H210" s="139"/>
      <c r="I210" s="86"/>
      <c r="J210" s="79">
        <f t="shared" si="930"/>
        <v>5.2110000000000003</v>
      </c>
    </row>
    <row r="211" spans="5:10" x14ac:dyDescent="0.25">
      <c r="E211" s="170">
        <f t="shared" si="934"/>
        <v>-0.54267911126668567</v>
      </c>
      <c r="F211" s="170">
        <f t="shared" si="934"/>
        <v>0.78804519720768296</v>
      </c>
      <c r="G211" s="170">
        <f t="shared" si="934"/>
        <v>-0.29066157185411379</v>
      </c>
      <c r="H211" s="139"/>
      <c r="I211" s="86"/>
      <c r="J211" s="79">
        <f t="shared" si="930"/>
        <v>5.218</v>
      </c>
    </row>
    <row r="212" spans="5:10" x14ac:dyDescent="0.25">
      <c r="E212" s="170">
        <f t="shared" si="934"/>
        <v>-0.48716989864389848</v>
      </c>
      <c r="F212" s="170">
        <f t="shared" si="934"/>
        <v>0.82546649364650948</v>
      </c>
      <c r="G212" s="170">
        <f t="shared" si="934"/>
        <v>-0.28507991462435756</v>
      </c>
      <c r="H212" s="139"/>
      <c r="I212" s="86"/>
      <c r="J212" s="79">
        <f t="shared" si="930"/>
        <v>5.2249999999999996</v>
      </c>
    </row>
    <row r="213" spans="5:10" x14ac:dyDescent="0.25">
      <c r="E213" s="170">
        <f t="shared" si="934"/>
        <v>-0.39709530136310817</v>
      </c>
      <c r="F213" s="170">
        <f t="shared" si="934"/>
        <v>0.87487668221100812</v>
      </c>
      <c r="G213" s="170">
        <f t="shared" si="934"/>
        <v>-0.27731951348363704</v>
      </c>
      <c r="H213" s="139"/>
      <c r="I213" s="86"/>
      <c r="J213" s="79">
        <f t="shared" si="930"/>
        <v>5.2320000000000002</v>
      </c>
    </row>
    <row r="214" spans="5:10" x14ac:dyDescent="0.25">
      <c r="E214" s="170">
        <f t="shared" ref="E214:G233" si="935">E69*-1</f>
        <v>1.1288759751473365E-2</v>
      </c>
      <c r="F214" s="170">
        <f t="shared" si="935"/>
        <v>0.95768063519545343</v>
      </c>
      <c r="G214" s="170">
        <f t="shared" si="935"/>
        <v>-0.28761148251574803</v>
      </c>
      <c r="H214" s="139"/>
      <c r="I214" s="86"/>
      <c r="J214" s="79">
        <f t="shared" si="930"/>
        <v>6.117</v>
      </c>
    </row>
    <row r="215" spans="5:10" x14ac:dyDescent="0.25">
      <c r="E215" s="170">
        <f t="shared" si="935"/>
        <v>0.16585167735057649</v>
      </c>
      <c r="F215" s="170">
        <f t="shared" si="935"/>
        <v>0.95892368536922479</v>
      </c>
      <c r="G215" s="170">
        <f t="shared" si="935"/>
        <v>-0.23012732727319535</v>
      </c>
      <c r="H215" s="139"/>
      <c r="I215" s="86"/>
      <c r="J215" s="79">
        <f t="shared" si="930"/>
        <v>6.1239999999999997</v>
      </c>
    </row>
    <row r="216" spans="5:10" x14ac:dyDescent="0.25">
      <c r="E216" s="170">
        <f t="shared" si="935"/>
        <v>0.30923720248588893</v>
      </c>
      <c r="F216" s="170">
        <f t="shared" si="935"/>
        <v>0.93661287206542199</v>
      </c>
      <c r="G216" s="170">
        <f t="shared" si="935"/>
        <v>-0.16470786405045434</v>
      </c>
      <c r="H216" s="139"/>
      <c r="I216" s="86"/>
      <c r="J216" s="79">
        <f t="shared" si="930"/>
        <v>6.1310000000000002</v>
      </c>
    </row>
    <row r="217" spans="5:10" x14ac:dyDescent="0.25">
      <c r="E217" s="170">
        <f t="shared" si="935"/>
        <v>0.4462283395286451</v>
      </c>
      <c r="F217" s="170">
        <f t="shared" si="935"/>
        <v>0.89041480424486774</v>
      </c>
      <c r="G217" s="170">
        <f t="shared" si="935"/>
        <v>-8.9675779244354784E-2</v>
      </c>
      <c r="H217" s="139"/>
      <c r="I217" s="86"/>
      <c r="J217" s="79">
        <f t="shared" si="930"/>
        <v>6.1379999999999999</v>
      </c>
    </row>
    <row r="218" spans="5:10" x14ac:dyDescent="0.25">
      <c r="E218" s="170">
        <f t="shared" si="935"/>
        <v>0.51440068675663231</v>
      </c>
      <c r="F218" s="170">
        <f t="shared" si="935"/>
        <v>0.85742306750627606</v>
      </c>
      <c r="G218" s="170">
        <f t="shared" si="935"/>
        <v>-1.4751839628780572E-2</v>
      </c>
      <c r="H218" s="139"/>
      <c r="I218" s="86"/>
      <c r="J218" s="79">
        <f t="shared" si="930"/>
        <v>6.1449999999999996</v>
      </c>
    </row>
    <row r="219" spans="5:10" x14ac:dyDescent="0.25">
      <c r="E219" s="170">
        <f t="shared" si="935"/>
        <v>0.27307903877128625</v>
      </c>
      <c r="F219" s="170">
        <f t="shared" si="935"/>
        <v>0.92213492604190872</v>
      </c>
      <c r="G219" s="170">
        <f t="shared" si="935"/>
        <v>-0.27403469991487212</v>
      </c>
      <c r="H219" s="139"/>
      <c r="I219" s="86"/>
      <c r="J219" s="79">
        <f t="shared" ref="J219:J282" si="936">J74</f>
        <v>6.2240000000000002</v>
      </c>
    </row>
    <row r="220" spans="5:10" x14ac:dyDescent="0.25">
      <c r="E220" s="170">
        <f t="shared" si="935"/>
        <v>0.36507424418892398</v>
      </c>
      <c r="F220" s="170">
        <f t="shared" si="935"/>
        <v>0.89000572718306703</v>
      </c>
      <c r="G220" s="170">
        <f t="shared" si="935"/>
        <v>-0.27314941297983114</v>
      </c>
      <c r="H220" s="139"/>
      <c r="I220" s="86"/>
      <c r="J220" s="79">
        <f t="shared" si="936"/>
        <v>6.2309999999999999</v>
      </c>
    </row>
    <row r="221" spans="5:10" x14ac:dyDescent="0.25">
      <c r="E221" s="170">
        <f t="shared" si="935"/>
        <v>0.70279507971798594</v>
      </c>
      <c r="F221" s="170">
        <f t="shared" si="935"/>
        <v>0.64922202523367933</v>
      </c>
      <c r="G221" s="170">
        <f t="shared" si="935"/>
        <v>-0.29084332186878498</v>
      </c>
      <c r="H221" s="139"/>
      <c r="I221" s="86"/>
      <c r="J221" s="79">
        <f t="shared" si="936"/>
        <v>7.1159999999999997</v>
      </c>
    </row>
    <row r="222" spans="5:10" x14ac:dyDescent="0.25">
      <c r="E222" s="170">
        <f t="shared" si="935"/>
        <v>0.81019787039477076</v>
      </c>
      <c r="F222" s="170">
        <f t="shared" si="935"/>
        <v>0.53390519401682768</v>
      </c>
      <c r="G222" s="170">
        <f t="shared" si="935"/>
        <v>-0.2419186942128119</v>
      </c>
      <c r="H222" s="139"/>
      <c r="I222" s="86"/>
      <c r="J222" s="79">
        <f t="shared" si="936"/>
        <v>7.1230000000000002</v>
      </c>
    </row>
    <row r="223" spans="5:10" x14ac:dyDescent="0.25">
      <c r="E223" s="170">
        <f t="shared" si="935"/>
        <v>0.81961521555275352</v>
      </c>
      <c r="F223" s="170">
        <f t="shared" si="935"/>
        <v>0.50424637104032455</v>
      </c>
      <c r="G223" s="170">
        <f t="shared" si="935"/>
        <v>-0.27196782112425899</v>
      </c>
      <c r="H223" s="139"/>
      <c r="I223" s="86"/>
      <c r="J223" s="79">
        <f t="shared" si="936"/>
        <v>7.13</v>
      </c>
    </row>
    <row r="224" spans="5:10" x14ac:dyDescent="0.25">
      <c r="E224" s="170">
        <f t="shared" si="935"/>
        <v>0.95350643974895577</v>
      </c>
      <c r="F224" s="170">
        <f t="shared" si="935"/>
        <v>0.28359727032155224</v>
      </c>
      <c r="G224" s="170">
        <f t="shared" si="935"/>
        <v>-0.10197086654253419</v>
      </c>
      <c r="H224" s="139"/>
      <c r="I224" s="86"/>
      <c r="J224" s="79">
        <f t="shared" si="936"/>
        <v>7.1369999999999996</v>
      </c>
    </row>
    <row r="225" spans="5:10" x14ac:dyDescent="0.25">
      <c r="E225" s="170">
        <f t="shared" si="935"/>
        <v>0.98139073614538308</v>
      </c>
      <c r="F225" s="170">
        <f t="shared" si="935"/>
        <v>0.19145392718769122</v>
      </c>
      <c r="G225" s="170">
        <f t="shared" si="935"/>
        <v>-1.4751839628780704E-2</v>
      </c>
      <c r="H225" s="139"/>
      <c r="I225" s="86"/>
      <c r="J225" s="79">
        <f t="shared" si="936"/>
        <v>7.1440000000000001</v>
      </c>
    </row>
    <row r="226" spans="5:10" x14ac:dyDescent="0.25">
      <c r="E226" s="170">
        <f t="shared" si="935"/>
        <v>0.86289269380300515</v>
      </c>
      <c r="F226" s="170">
        <f t="shared" si="935"/>
        <v>0.42201627244482748</v>
      </c>
      <c r="G226" s="170">
        <f t="shared" si="935"/>
        <v>-0.2780619800928677</v>
      </c>
      <c r="H226" s="139"/>
      <c r="I226" s="86"/>
      <c r="J226" s="79">
        <f t="shared" si="936"/>
        <v>7.2229999999999999</v>
      </c>
    </row>
    <row r="227" spans="5:10" x14ac:dyDescent="0.25">
      <c r="E227" s="170">
        <f t="shared" si="935"/>
        <v>0.89971172962879176</v>
      </c>
      <c r="F227" s="170">
        <f t="shared" si="935"/>
        <v>0.33355676425127823</v>
      </c>
      <c r="G227" s="170">
        <f t="shared" si="935"/>
        <v>-0.28152919669296311</v>
      </c>
      <c r="H227" s="139"/>
      <c r="I227" s="86"/>
      <c r="J227" s="79">
        <f t="shared" si="936"/>
        <v>7.23</v>
      </c>
    </row>
    <row r="228" spans="5:10" x14ac:dyDescent="0.25">
      <c r="E228" s="170">
        <f t="shared" si="935"/>
        <v>0.9426555408122097</v>
      </c>
      <c r="F228" s="170">
        <f t="shared" si="935"/>
        <v>0.20315993727879175</v>
      </c>
      <c r="G228" s="170">
        <f t="shared" si="935"/>
        <v>-0.26481422027700474</v>
      </c>
      <c r="H228" s="139"/>
      <c r="I228" s="86"/>
      <c r="J228" s="79">
        <f t="shared" si="936"/>
        <v>7.2370000000000001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A9C6699-7585-4C1D-AF40-94CA4B125F73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B0AD9AD-DFA4-4FA1-9947-D60C391B7765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10.625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40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32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41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4"/>
      <c r="IH8" s="1233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5" t="s">
        <v>370</v>
      </c>
      <c r="JG20" s="1236"/>
      <c r="JH20" s="1236"/>
      <c r="JI20" s="1237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8" t="s">
        <v>358</v>
      </c>
      <c r="JG21" s="1239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20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1.1359999999999999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1.143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1.2150000000000001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1.222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1.2290000000000001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1.236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2.1139999999999999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2.1349999999999998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2.1419999999999999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2.149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2.2210000000000001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2.2280000000000002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2.2349999999999999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3.1030000000000002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3.1059999999999999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3.113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3.1269999999999998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3.1339999999999999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3.141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3.1480000000000001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3.2090000000000001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3.2130000000000001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3.22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3.2269999999999999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3.234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4.1120000000000001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4.1189999999999998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4.1260000000000003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4.133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4.1399999999999997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4.1470000000000002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4.2190000000000003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4.226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4.2329999999999997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5.1020000000000003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5.1050000000000004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5.1079999999999997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5.1109999999999998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5.1180000000000003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5.125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5.1319999999999997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5.1390000000000002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5.1459999999999999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5.2080000000000002</v>
      </c>
      <c r="N219" s="869" t="str">
        <f>Assy.Model!K64</f>
        <v>Inactive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5.2110000000000003</v>
      </c>
      <c r="N220" s="869" t="str">
        <f>Assy.Model!K65</f>
        <v>Inactive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5.218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5.2249999999999996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5.2320000000000002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6.117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6.1239999999999997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6.1310000000000002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6.1379999999999999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6.1449999999999996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6.2240000000000002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6.2309999999999999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7.1159999999999997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7.1230000000000002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7.13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7.1369999999999996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7.1440000000000001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7.2229999999999999</v>
      </c>
      <c r="N236" s="869">
        <f>Assy.Model!K81</f>
        <v>1313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7.23</v>
      </c>
      <c r="N237" s="869">
        <f>Assy.Model!K82</f>
        <v>1313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7.2370000000000001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2023-03-29T12:58:07Z</dcterms:modified>
</cp:coreProperties>
</file>