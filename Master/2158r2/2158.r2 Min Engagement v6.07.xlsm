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158\"/>
    </mc:Choice>
  </mc:AlternateContent>
  <xr:revisionPtr revIDLastSave="0" documentId="13_ncr:1_{EC3DFF9D-B9DA-438B-97CC-2A570E5EE3F5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2" i="1" l="1"/>
  <c r="L15" i="1"/>
  <c r="L6" i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Q57" i="1"/>
  <c r="IN57" i="1"/>
  <c r="IP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P38" i="1"/>
  <c r="IR38" i="1"/>
  <c r="IQ38" i="1"/>
  <c r="IN38" i="1"/>
  <c r="IW38" i="1"/>
  <c r="IK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R11" i="1"/>
  <c r="IX11" i="1"/>
  <c r="IL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Q56" i="1"/>
  <c r="IP56" i="1"/>
  <c r="IW56" i="1"/>
  <c r="IR56" i="1"/>
  <c r="IN56" i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T11" i="1" l="1"/>
  <c r="IS11" i="1"/>
  <c r="IP11" i="1"/>
  <c r="IY11" i="1"/>
  <c r="IQ11" i="1"/>
  <c r="IN11" i="1"/>
  <c r="IK11" i="1"/>
  <c r="JA23" i="1" s="1" a="1"/>
  <c r="JA23" i="1" s="1"/>
  <c r="JA9" i="1" a="1"/>
  <c r="JA9" i="1" s="1"/>
  <c r="IF85" i="1"/>
  <c r="IF129" i="1"/>
  <c r="IF73" i="1"/>
  <c r="IF49" i="1"/>
  <c r="IF138" i="1"/>
  <c r="IF10" i="1"/>
  <c r="IF150" i="1"/>
  <c r="IF48" i="1"/>
  <c r="IF148" i="1"/>
  <c r="IF127" i="1"/>
  <c r="IF15" i="1"/>
  <c r="IF128" i="1"/>
  <c r="IF86" i="1"/>
  <c r="IF9" i="1"/>
  <c r="IF47" i="1"/>
  <c r="IF122" i="1"/>
  <c r="IF147" i="1"/>
  <c r="IF142" i="1"/>
  <c r="IF143" i="1"/>
  <c r="IF137" i="1"/>
  <c r="IF105" i="1"/>
  <c r="IF91" i="1"/>
  <c r="IF135" i="1"/>
  <c r="IF109" i="1"/>
  <c r="IF145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1" i="1"/>
  <c r="IF134" i="1"/>
  <c r="IF84" i="1"/>
  <c r="IF12" i="1"/>
  <c r="IF50" i="1"/>
  <c r="IF71" i="1"/>
  <c r="IF133" i="1"/>
  <c r="IF149" i="1"/>
  <c r="IF87" i="1"/>
  <c r="IF104" i="1"/>
  <c r="IF130" i="1"/>
  <c r="IF90" i="1"/>
  <c r="IF132" i="1"/>
  <c r="IF119" i="1"/>
  <c r="IF32" i="1"/>
  <c r="IF110" i="1"/>
  <c r="IF125" i="1"/>
  <c r="IF55" i="1"/>
  <c r="IF72" i="1"/>
  <c r="IF144" i="1"/>
  <c r="IF120" i="1"/>
  <c r="IF70" i="1"/>
  <c r="IF139" i="1"/>
  <c r="IF126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JB10" i="1" l="1" a="1"/>
  <c r="JB10" i="1" s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IV57" i="1" s="1"/>
  <c r="O39" i="1"/>
  <c r="N49" i="1"/>
  <c r="N57" i="1"/>
  <c r="R57" i="1" s="1"/>
  <c r="X57" i="1" s="1"/>
  <c r="IU57" i="1" s="1"/>
  <c r="IE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59" i="1" l="1"/>
  <c r="IV56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59" i="1" l="1"/>
  <c r="IU56" i="1"/>
  <c r="IE56" i="1" s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IL38" i="1" s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IL23" i="1" s="1"/>
  <c r="W11" i="1"/>
  <c r="W9" i="1"/>
  <c r="IL16" i="1" s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57" i="1" l="1"/>
  <c r="IL56" i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8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S56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X57" i="1" s="1"/>
  <c r="AL58" i="1"/>
  <c r="AN58" i="1" s="1"/>
  <c r="U58" i="1"/>
  <c r="T58" i="1"/>
  <c r="AK58" i="1"/>
  <c r="T57" i="1"/>
  <c r="AL57" i="1"/>
  <c r="U55" i="1"/>
  <c r="AL56" i="1"/>
  <c r="AN56" i="1" s="1"/>
  <c r="IY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IT57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IY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IY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IT38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T37" i="1" l="1"/>
  <c r="IT20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AP57" i="1"/>
  <c r="AO58" i="1"/>
  <c r="AP58" i="1"/>
  <c r="AP56" i="1"/>
  <c r="AO56" i="1"/>
  <c r="IX56" i="1" s="1"/>
  <c r="IF56" i="1" s="1"/>
  <c r="AP55" i="1"/>
  <c r="AO53" i="1"/>
  <c r="AP53" i="1"/>
  <c r="AP54" i="1"/>
  <c r="AO54" i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IS54" i="1" s="1"/>
  <c r="AN47" i="1"/>
  <c r="AP47" i="1"/>
  <c r="AO48" i="1"/>
  <c r="AP48" i="1"/>
  <c r="AP45" i="1"/>
  <c r="AO45" i="1"/>
  <c r="IX45" i="1" s="1"/>
  <c r="IF45" i="1" s="1"/>
  <c r="AP46" i="1"/>
  <c r="AO46" i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IX38" i="1" s="1"/>
  <c r="IF38" i="1" s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IS37" i="1" s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T60" i="1" l="1"/>
  <c r="IY57" i="1"/>
  <c r="IF57" i="1" s="1"/>
  <c r="IS52" i="1"/>
  <c r="IS57" i="1"/>
  <c r="IT29" i="1"/>
  <c r="IT56" i="1"/>
  <c r="IS20" i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JI30" i="1" a="1"/>
  <c r="JI30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<sst xmlns="http://schemas.openxmlformats.org/spreadsheetml/2006/main" count="734" uniqueCount="391">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</sst>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3" t="s">
        <v>77</v>
      </c>
      <c r="D1" s="873"/>
      <c r="E1" s="873"/>
      <c r="F1" s="873"/>
      <c r="G1" s="873"/>
      <c r="H1" s="873"/>
      <c r="I1" s="873"/>
      <c r="J1" s="873"/>
      <c r="K1" s="87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8" t="s">
        <v>80</v>
      </c>
      <c r="B6" s="898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5" t="s">
        <v>379</v>
      </c>
      <c r="AQ7" s="895"/>
      <c r="AR7" s="895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88">
        <v>9</v>
      </c>
      <c r="D9" s="892"/>
      <c r="E9" s="892"/>
      <c r="F9" s="892"/>
      <c r="G9" s="892"/>
      <c r="H9" s="892"/>
      <c r="I9" s="892"/>
      <c r="J9" s="892"/>
      <c r="K9" s="889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0"/>
      <c r="C10" s="911"/>
      <c r="D10" s="911"/>
      <c r="E10" s="911"/>
      <c r="F10" s="911"/>
      <c r="G10" s="911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6"/>
      <c r="B11" s="899" t="s">
        <v>33</v>
      </c>
      <c r="C11" s="904" t="s">
        <v>34</v>
      </c>
      <c r="D11" s="904"/>
      <c r="E11" s="903" t="s">
        <v>39</v>
      </c>
      <c r="F11" s="899" t="s">
        <v>35</v>
      </c>
      <c r="G11" s="899" t="s">
        <v>36</v>
      </c>
      <c r="H11" s="899" t="s">
        <v>43</v>
      </c>
      <c r="I11" s="890" t="s">
        <v>67</v>
      </c>
      <c r="J11" s="904" t="s">
        <v>56</v>
      </c>
      <c r="K11" s="904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3" t="s">
        <v>347</v>
      </c>
      <c r="AN11" s="892"/>
      <c r="AO11" s="892"/>
      <c r="AP11" s="892"/>
      <c r="AQ11" s="892"/>
      <c r="AR11" s="914"/>
      <c r="AS11" s="921" t="s">
        <v>354</v>
      </c>
      <c r="AT11" s="922"/>
      <c r="AU11" s="922"/>
      <c r="AV11" s="923"/>
      <c r="BC11" s="470"/>
    </row>
    <row r="12" spans="1:55" ht="15.75" thickBot="1" x14ac:dyDescent="0.3">
      <c r="A12" s="905"/>
      <c r="B12" s="900"/>
      <c r="C12" s="48" t="s">
        <v>8</v>
      </c>
      <c r="D12" s="49" t="s">
        <v>10</v>
      </c>
      <c r="E12" s="900"/>
      <c r="F12" s="900"/>
      <c r="G12" s="900"/>
      <c r="H12" s="900"/>
      <c r="I12" s="891"/>
      <c r="J12" s="53" t="s">
        <v>8</v>
      </c>
      <c r="K12" s="54" t="s">
        <v>10</v>
      </c>
      <c r="M12" s="31"/>
      <c r="N12" s="31"/>
      <c r="O12" s="882" t="s">
        <v>46</v>
      </c>
      <c r="P12" s="883"/>
      <c r="Q12" s="901" t="s">
        <v>45</v>
      </c>
      <c r="R12" s="902"/>
      <c r="S12" s="902"/>
      <c r="T12" s="902"/>
      <c r="U12" s="902"/>
      <c r="V12" s="902"/>
      <c r="W12" s="902"/>
      <c r="X12" s="902"/>
      <c r="Y12" s="902"/>
      <c r="Z12" s="902"/>
      <c r="AA12" s="902"/>
      <c r="AB12" s="902"/>
      <c r="AC12" s="902"/>
      <c r="AD12" s="902"/>
      <c r="AE12" s="888"/>
      <c r="AF12" s="876" t="s">
        <v>56</v>
      </c>
      <c r="AG12" s="877"/>
      <c r="AH12" s="31"/>
      <c r="AK12" s="896" t="s">
        <v>355</v>
      </c>
      <c r="AL12" s="912"/>
      <c r="AM12" s="915" t="s">
        <v>352</v>
      </c>
      <c r="AN12" s="916"/>
      <c r="AO12" s="897"/>
      <c r="AP12" s="896" t="s">
        <v>380</v>
      </c>
      <c r="AQ12" s="897"/>
      <c r="AR12" s="802" t="s">
        <v>378</v>
      </c>
      <c r="AS12" s="918" t="s">
        <v>352</v>
      </c>
      <c r="AT12" s="897"/>
      <c r="AU12" s="919" t="s">
        <v>353</v>
      </c>
      <c r="AV12" s="920"/>
      <c r="AW12" s="924" t="s">
        <v>351</v>
      </c>
      <c r="AX12" s="925"/>
      <c r="AZ12" s="896" t="s">
        <v>60</v>
      </c>
      <c r="BA12" s="897"/>
      <c r="BC12" s="917" t="s">
        <v>383</v>
      </c>
    </row>
    <row r="13" spans="1:55" ht="15.75" thickBot="1" x14ac:dyDescent="0.3">
      <c r="A13" s="64" t="s">
        <v>57</v>
      </c>
      <c r="B13" s="906" t="s">
        <v>97</v>
      </c>
      <c r="C13" s="908" t="str">
        <f>SUBSTITUTE(ADDRESS(1,COLUMN(Assy.Model!X9),4),"1","")</f>
        <v>X</v>
      </c>
      <c r="D13" s="101" t="str">
        <f>SUBSTITUTE(ADDRESS(1,COLUMN(Assy.Model!Y9),4),"1","")</f>
        <v>Y</v>
      </c>
      <c r="E13" s="893" t="str">
        <f>SUBSTITUTE(ADDRESS(1,COLUMN(Assy.Model!H9),4),"1","")</f>
        <v>H</v>
      </c>
      <c r="F13" s="893" t="str">
        <f>SUBSTITUTE(ADDRESS(1,COLUMN(Assy.Model!AN9),4),"1","")</f>
        <v>AN</v>
      </c>
      <c r="G13" s="893" t="str">
        <f>SUBSTITUTE(ADDRESS(1,COLUMN(Assy.Model!AO9),4),"1","")</f>
        <v>AO</v>
      </c>
      <c r="H13" s="893" t="str">
        <f>SUBSTITUTE(ADDRESS(1,COLUMN(Assy.Model!AO9),4),"1","")</f>
        <v>AO</v>
      </c>
      <c r="I13" s="893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4"/>
      <c r="P13" s="88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7"/>
    </row>
    <row r="14" spans="1:55" x14ac:dyDescent="0.25">
      <c r="A14" s="62" t="s">
        <v>58</v>
      </c>
      <c r="B14" s="907"/>
      <c r="C14" s="909"/>
      <c r="D14" s="102" t="str">
        <f>SUBSTITUTE(ADDRESS(1,COLUMN(Assy.Model!AT9),4),"1","")</f>
        <v>AT</v>
      </c>
      <c r="E14" s="894"/>
      <c r="F14" s="894"/>
      <c r="G14" s="894"/>
      <c r="H14" s="894"/>
      <c r="I14" s="894"/>
      <c r="J14" s="91">
        <v>0</v>
      </c>
      <c r="K14" s="92">
        <v>0</v>
      </c>
      <c r="L14" s="31"/>
      <c r="M14" s="190">
        <v>6.25E-2</v>
      </c>
      <c r="N14" s="31">
        <v>32</v>
      </c>
      <c r="O14" s="88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11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88" t="s">
        <v>64</v>
      </c>
      <c r="C21" s="892"/>
      <c r="D21" s="892"/>
      <c r="E21" s="892"/>
      <c r="F21" s="889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6"/>
      <c r="C22" s="888" t="s">
        <v>63</v>
      </c>
      <c r="D22" s="889"/>
      <c r="E22" s="890" t="s">
        <v>60</v>
      </c>
      <c r="F22" s="890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7"/>
      <c r="C23" s="57" t="s">
        <v>8</v>
      </c>
      <c r="D23" s="57" t="s">
        <v>9</v>
      </c>
      <c r="E23" s="891"/>
      <c r="F23" s="891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78">
        <v>0</v>
      </c>
      <c r="E24" s="878">
        <v>2</v>
      </c>
      <c r="F24" s="87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5.5</v>
      </c>
      <c r="D25" s="879"/>
      <c r="E25" s="879"/>
      <c r="F25" s="87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4" t="s">
        <v>311</v>
      </c>
      <c r="C27" s="874"/>
      <c r="D27" s="874"/>
      <c r="E27" s="874"/>
      <c r="F27" s="87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5" t="s">
        <v>390</v>
      </c>
      <c r="C28" s="875"/>
      <c r="D28" s="875"/>
      <c r="E28" s="875"/>
      <c r="F28" s="87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2" t="s">
        <v>95</v>
      </c>
      <c r="D3" s="892"/>
      <c r="E3" s="892"/>
      <c r="F3" s="892"/>
      <c r="G3" s="892"/>
      <c r="H3" s="892"/>
      <c r="I3" s="892"/>
      <c r="J3" s="892"/>
      <c r="K3" s="914"/>
      <c r="L3" s="972"/>
      <c r="M3" s="892"/>
      <c r="N3" s="892"/>
      <c r="O3" s="892"/>
      <c r="P3" s="892"/>
      <c r="Q3" s="892"/>
      <c r="R3" s="889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4" t="s">
        <v>86</v>
      </c>
      <c r="C4" s="955" t="s">
        <v>82</v>
      </c>
      <c r="D4" s="892" t="s">
        <v>83</v>
      </c>
      <c r="E4" s="892"/>
      <c r="F4" s="892"/>
      <c r="G4" s="892"/>
      <c r="H4" s="892"/>
      <c r="I4" s="892"/>
      <c r="J4" s="892"/>
      <c r="K4" s="892"/>
      <c r="L4" s="150" t="s">
        <v>91</v>
      </c>
      <c r="M4" s="888" t="s">
        <v>94</v>
      </c>
      <c r="N4" s="892"/>
      <c r="O4" s="892"/>
      <c r="P4" s="914"/>
      <c r="Q4" s="892" t="s">
        <v>52</v>
      </c>
      <c r="R4" s="889"/>
      <c r="S4" s="107"/>
      <c r="T4" s="888">
        <v>350</v>
      </c>
      <c r="U4" s="892"/>
      <c r="V4" s="892" t="s">
        <v>76</v>
      </c>
      <c r="W4" s="892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5"/>
      <c r="C5" s="956"/>
      <c r="D5" s="940" t="s">
        <v>85</v>
      </c>
      <c r="E5" s="958" t="s">
        <v>89</v>
      </c>
      <c r="F5" s="904" t="s">
        <v>34</v>
      </c>
      <c r="G5" s="904"/>
      <c r="H5" s="903" t="s">
        <v>39</v>
      </c>
      <c r="I5" s="899" t="s">
        <v>35</v>
      </c>
      <c r="J5" s="899" t="s">
        <v>36</v>
      </c>
      <c r="K5" s="966" t="s">
        <v>67</v>
      </c>
      <c r="L5" s="151" t="s">
        <v>92</v>
      </c>
      <c r="M5" s="890" t="s">
        <v>90</v>
      </c>
      <c r="N5" s="890" t="s">
        <v>47</v>
      </c>
      <c r="O5" s="968" t="s">
        <v>84</v>
      </c>
      <c r="P5" s="969"/>
      <c r="Q5" s="970" t="s">
        <v>84</v>
      </c>
      <c r="R5" s="971"/>
      <c r="S5" s="107"/>
      <c r="T5" s="882" t="s">
        <v>46</v>
      </c>
      <c r="U5" s="973"/>
      <c r="V5" s="925" t="s">
        <v>45</v>
      </c>
      <c r="W5" s="877"/>
      <c r="X5" s="877"/>
      <c r="Y5" s="877"/>
      <c r="Z5" s="877"/>
      <c r="AA5" s="877"/>
      <c r="AB5" s="877"/>
      <c r="AC5" s="877"/>
      <c r="AD5" s="877"/>
      <c r="AE5" s="877"/>
      <c r="AF5" s="877"/>
      <c r="AG5" s="877"/>
      <c r="AH5" s="877"/>
      <c r="AI5" s="877"/>
      <c r="AJ5" s="877"/>
      <c r="AK5" s="31"/>
      <c r="AL5" s="31"/>
    </row>
    <row r="6" spans="2:38" ht="15" customHeight="1" thickBot="1" x14ac:dyDescent="0.3">
      <c r="B6" s="936"/>
      <c r="C6" s="957"/>
      <c r="D6" s="941"/>
      <c r="E6" s="959"/>
      <c r="F6" s="108" t="s">
        <v>8</v>
      </c>
      <c r="G6" s="109" t="s">
        <v>10</v>
      </c>
      <c r="H6" s="954"/>
      <c r="I6" s="954"/>
      <c r="J6" s="954"/>
      <c r="K6" s="967"/>
      <c r="L6" s="152" t="s">
        <v>93</v>
      </c>
      <c r="M6" s="965"/>
      <c r="N6" s="965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7"/>
      <c r="U6" s="97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2">
        <f>ROW(Assy.Model!B9)</f>
        <v>9</v>
      </c>
      <c r="D7" s="931" t="str">
        <f>SUBSTITUTE(ADDRESS(1,COLUMN(Assy.Model!B9),4),"1","")</f>
        <v>B</v>
      </c>
      <c r="E7" s="945" t="str">
        <f>SUBSTITUTE(ADDRESS(1,COLUMN(Assy.Model!M9),4),"1","")</f>
        <v>M</v>
      </c>
      <c r="F7" s="948" t="str">
        <f>SUBSTITUTE(ADDRESS(1,COLUMN(Assy.Model!X9),4),"1","")</f>
        <v>X</v>
      </c>
      <c r="G7" s="937" t="str">
        <f>SUBSTITUTE(ADDRESS(1,COLUMN(Assy.Model!AT9),4),"1","")</f>
        <v>AT</v>
      </c>
      <c r="H7" s="951" t="str">
        <f>SUBSTITUTE(ADDRESS(1,COLUMN(Assy.Model!H9),4),"1","")</f>
        <v>H</v>
      </c>
      <c r="I7" s="951" t="str">
        <f>SUBSTITUTE(ADDRESS(1,COLUMN(Assy.Model!AN9),4),"1","")</f>
        <v>AN</v>
      </c>
      <c r="J7" s="951" t="str">
        <f>SUBSTITUTE(ADDRESS(1,COLUMN(Assy.Model!AO9),4),"1","")</f>
        <v>AO</v>
      </c>
      <c r="K7" s="96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2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6" t="s">
        <v>81</v>
      </c>
      <c r="C8" s="943"/>
      <c r="D8" s="932"/>
      <c r="E8" s="946"/>
      <c r="F8" s="949"/>
      <c r="G8" s="938"/>
      <c r="H8" s="952"/>
      <c r="I8" s="952"/>
      <c r="J8" s="952"/>
      <c r="K8" s="961"/>
      <c r="L8" s="153" t="s">
        <v>93</v>
      </c>
      <c r="M8" s="96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2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6"/>
      <c r="C9" s="943"/>
      <c r="D9" s="932"/>
      <c r="E9" s="946"/>
      <c r="F9" s="949"/>
      <c r="G9" s="938"/>
      <c r="H9" s="952"/>
      <c r="I9" s="952"/>
      <c r="J9" s="952"/>
      <c r="K9" s="961"/>
      <c r="L9" s="153" t="s">
        <v>92</v>
      </c>
      <c r="M9" s="96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2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6"/>
      <c r="C10" s="943"/>
      <c r="D10" s="932"/>
      <c r="E10" s="946"/>
      <c r="F10" s="949"/>
      <c r="G10" s="938"/>
      <c r="H10" s="952"/>
      <c r="I10" s="952"/>
      <c r="J10" s="952"/>
      <c r="K10" s="961"/>
      <c r="L10" s="153" t="s">
        <v>92</v>
      </c>
      <c r="M10" s="96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2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6"/>
      <c r="C11" s="943"/>
      <c r="D11" s="932"/>
      <c r="E11" s="946"/>
      <c r="F11" s="949"/>
      <c r="G11" s="938"/>
      <c r="H11" s="952"/>
      <c r="I11" s="952"/>
      <c r="J11" s="952"/>
      <c r="K11" s="961"/>
      <c r="L11" s="153" t="s">
        <v>92</v>
      </c>
      <c r="M11" s="96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2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6"/>
      <c r="C12" s="943"/>
      <c r="D12" s="932"/>
      <c r="E12" s="946"/>
      <c r="F12" s="949"/>
      <c r="G12" s="938"/>
      <c r="H12" s="952"/>
      <c r="I12" s="952"/>
      <c r="J12" s="952"/>
      <c r="K12" s="961"/>
      <c r="L12" s="153" t="s">
        <v>92</v>
      </c>
      <c r="M12" s="96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2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6"/>
      <c r="C13" s="943"/>
      <c r="D13" s="932"/>
      <c r="E13" s="946"/>
      <c r="F13" s="949"/>
      <c r="G13" s="938"/>
      <c r="H13" s="952"/>
      <c r="I13" s="952"/>
      <c r="J13" s="952"/>
      <c r="K13" s="961"/>
      <c r="L13" s="153" t="s">
        <v>92</v>
      </c>
      <c r="M13" s="96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2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7"/>
      <c r="C14" s="944"/>
      <c r="D14" s="933"/>
      <c r="E14" s="947"/>
      <c r="F14" s="950"/>
      <c r="G14" s="939"/>
      <c r="H14" s="953"/>
      <c r="I14" s="953"/>
      <c r="J14" s="953"/>
      <c r="K14" s="962"/>
      <c r="L14" s="154" t="s">
        <v>93</v>
      </c>
      <c r="M14" s="96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/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2" t="str">
        <f>CONCATENATE(Settings!$C$19," ",Settings!$B$28)</f>
        <v>11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4" t="s">
        <v>315</v>
      </c>
      <c r="C2" s="1005"/>
      <c r="D2" s="1005"/>
      <c r="E2" s="1005"/>
      <c r="F2" s="1005"/>
      <c r="G2" s="1005"/>
      <c r="H2" s="1005"/>
      <c r="I2" s="1005"/>
      <c r="J2" s="1005"/>
      <c r="K2" s="1006"/>
      <c r="L2" s="991" t="str" cm="1">
        <f t="array" ref="L2">IF(OR($K$9:$K$150="Undefined"),"Undefined Element","")</f>
        <v/>
      </c>
      <c r="M2" s="1015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050" t="s">
        <v>0</v>
      </c>
      <c r="AW2" s="1052" t="s">
        <v>109</v>
      </c>
      <c r="AX2" s="1053"/>
      <c r="AY2" s="1053"/>
      <c r="AZ2" s="1053"/>
      <c r="BA2" s="1053"/>
      <c r="BB2" s="1053"/>
      <c r="BC2" s="1053"/>
      <c r="BD2" s="1053"/>
      <c r="BE2" s="1078"/>
      <c r="BF2" s="1084" t="s">
        <v>115</v>
      </c>
      <c r="BG2" s="1053"/>
      <c r="BH2" s="1053"/>
      <c r="BI2" s="1053"/>
      <c r="BJ2" s="1053"/>
      <c r="BK2" s="1053"/>
      <c r="BL2" s="1053"/>
      <c r="BM2" s="1053"/>
      <c r="BN2" s="1053"/>
      <c r="BO2" s="1053"/>
      <c r="BP2" s="1053"/>
      <c r="BQ2" s="1053"/>
      <c r="BR2" s="1053"/>
      <c r="BS2" s="1053"/>
      <c r="BT2" s="1053"/>
      <c r="BU2" s="1053"/>
      <c r="BV2" s="1053"/>
      <c r="BW2" s="1053"/>
      <c r="BX2" s="1053"/>
      <c r="BY2" s="1053"/>
      <c r="BZ2" s="1053"/>
      <c r="CA2" s="1053"/>
      <c r="CB2" s="1053"/>
      <c r="CC2" s="1053"/>
      <c r="CD2" s="1053"/>
      <c r="CE2" s="1053"/>
      <c r="CF2" s="1053"/>
      <c r="CG2" s="1053"/>
      <c r="CH2" s="1053"/>
      <c r="CI2" s="1053"/>
      <c r="CJ2" s="1053"/>
      <c r="CK2" s="1053"/>
      <c r="CL2" s="1053"/>
      <c r="CM2" s="1053"/>
      <c r="CN2" s="1053"/>
      <c r="CO2" s="1053"/>
      <c r="CP2" s="1053"/>
      <c r="CQ2" s="1053"/>
      <c r="CR2" s="1053"/>
      <c r="CS2" s="1053"/>
      <c r="CT2" s="1053"/>
      <c r="CU2" s="1053"/>
      <c r="CV2" s="1053"/>
      <c r="CW2" s="1053"/>
      <c r="CX2" s="1053"/>
      <c r="CY2" s="1053"/>
      <c r="CZ2" s="1053"/>
      <c r="DA2" s="1053"/>
      <c r="DB2" s="1053"/>
      <c r="DC2" s="1053"/>
      <c r="DD2" s="1053"/>
      <c r="DE2" s="1053"/>
      <c r="DF2" s="1053"/>
      <c r="DG2" s="1053"/>
      <c r="DH2" s="1053"/>
      <c r="DI2" s="1053"/>
      <c r="DJ2" s="1053"/>
      <c r="DK2" s="1053"/>
      <c r="DL2" s="1053"/>
      <c r="DM2" s="1053"/>
      <c r="DN2" s="1053"/>
      <c r="DO2" s="1053"/>
      <c r="DP2" s="1053"/>
      <c r="DQ2" s="1053"/>
      <c r="DR2" s="1053"/>
      <c r="DS2" s="1053"/>
      <c r="DT2" s="1053"/>
      <c r="DU2" s="1053"/>
      <c r="DV2" s="1053"/>
      <c r="DW2" s="1053"/>
      <c r="DX2" s="1053"/>
      <c r="DY2" s="1053"/>
      <c r="DZ2" s="1053"/>
      <c r="EA2" s="1053"/>
      <c r="EB2" s="1053"/>
      <c r="EC2" s="1053"/>
      <c r="ED2" s="1053"/>
      <c r="EE2" s="1053"/>
      <c r="EF2" s="1053"/>
      <c r="EG2" s="1053"/>
      <c r="EH2" s="1053"/>
      <c r="EI2" s="1053"/>
      <c r="EJ2" s="1053"/>
      <c r="EK2" s="1053"/>
      <c r="EL2" s="1053"/>
      <c r="EM2" s="1053"/>
      <c r="EN2" s="1053"/>
      <c r="EO2" s="1053"/>
      <c r="EP2" s="1053"/>
      <c r="EQ2" s="1053"/>
      <c r="ER2" s="1054"/>
      <c r="ES2" s="1210" t="s">
        <v>197</v>
      </c>
      <c r="ET2" s="1211"/>
      <c r="EU2" s="1211"/>
      <c r="EV2" s="1211"/>
      <c r="EW2" s="1211"/>
      <c r="EX2" s="1211"/>
      <c r="EY2" s="1211"/>
      <c r="EZ2" s="1211"/>
      <c r="FA2" s="1211"/>
      <c r="FB2" s="1211"/>
      <c r="FC2" s="1211"/>
      <c r="FD2" s="1211"/>
      <c r="FE2" s="1211"/>
      <c r="FF2" s="1212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1" t="s">
        <v>266</v>
      </c>
      <c r="HQ2" s="1161" t="str">
        <f>IFERROR(CONCATENATE("Sum of Lateral Forces = ",ROUND(HE3,0)," lbs @ ",ROUND(HF3,1),"° Relative to Blade 1"),"")</f>
        <v/>
      </c>
      <c r="HR2" s="1162"/>
      <c r="HS2" s="1162"/>
      <c r="HT2" s="1162"/>
      <c r="HU2" s="1162"/>
      <c r="HV2" s="1163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7"/>
      <c r="C3" s="1008"/>
      <c r="D3" s="1008"/>
      <c r="E3" s="1008"/>
      <c r="F3" s="1008"/>
      <c r="G3" s="1008"/>
      <c r="H3" s="1008"/>
      <c r="I3" s="1008"/>
      <c r="J3" s="1008"/>
      <c r="K3" s="1009"/>
      <c r="L3" s="991"/>
      <c r="M3" s="1007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055"/>
      <c r="AA3" s="1056"/>
      <c r="AB3" s="1056"/>
      <c r="AC3" s="1056"/>
      <c r="AD3" s="1056"/>
      <c r="AE3" s="1056"/>
      <c r="AF3" s="1056"/>
      <c r="AG3" s="1056"/>
      <c r="AH3" s="1056"/>
      <c r="AI3" s="1056"/>
      <c r="AJ3" s="1056"/>
      <c r="AK3" s="1056"/>
      <c r="AL3" s="1056"/>
      <c r="AM3" s="1056"/>
      <c r="AN3" s="1056"/>
      <c r="AO3" s="1056"/>
      <c r="AP3" s="1056"/>
      <c r="AQ3" s="1079"/>
      <c r="AS3" s="466">
        <v>100</v>
      </c>
      <c r="AT3" s="463" t="s">
        <v>45</v>
      </c>
      <c r="AV3" s="1051"/>
      <c r="AW3" s="1100"/>
      <c r="AX3" s="1086"/>
      <c r="AY3" s="1086"/>
      <c r="AZ3" s="1086"/>
      <c r="BA3" s="1086"/>
      <c r="BB3" s="1086"/>
      <c r="BC3" s="1086"/>
      <c r="BD3" s="1086"/>
      <c r="BE3" s="1101"/>
      <c r="BF3" s="1085"/>
      <c r="BG3" s="1086"/>
      <c r="BH3" s="1086"/>
      <c r="BI3" s="1086"/>
      <c r="BJ3" s="1086"/>
      <c r="BK3" s="1086"/>
      <c r="BL3" s="1086"/>
      <c r="BM3" s="1086"/>
      <c r="BN3" s="1086"/>
      <c r="BO3" s="1086"/>
      <c r="BP3" s="1086"/>
      <c r="BQ3" s="1086"/>
      <c r="BR3" s="1086"/>
      <c r="BS3" s="1086"/>
      <c r="BT3" s="1086"/>
      <c r="BU3" s="1086"/>
      <c r="BV3" s="1086"/>
      <c r="BW3" s="1086"/>
      <c r="BX3" s="1086"/>
      <c r="BY3" s="1086"/>
      <c r="BZ3" s="1086"/>
      <c r="CA3" s="1086"/>
      <c r="CB3" s="1086"/>
      <c r="CC3" s="1086"/>
      <c r="CD3" s="1086"/>
      <c r="CE3" s="1086"/>
      <c r="CF3" s="1086"/>
      <c r="CG3" s="1086"/>
      <c r="CH3" s="1086"/>
      <c r="CI3" s="1086"/>
      <c r="CJ3" s="1086"/>
      <c r="CK3" s="1086"/>
      <c r="CL3" s="1086"/>
      <c r="CM3" s="1086"/>
      <c r="CN3" s="1086"/>
      <c r="CO3" s="1086"/>
      <c r="CP3" s="1086"/>
      <c r="CQ3" s="1086"/>
      <c r="CR3" s="1086"/>
      <c r="CS3" s="1086"/>
      <c r="CT3" s="1086"/>
      <c r="CU3" s="1086"/>
      <c r="CV3" s="1086"/>
      <c r="CW3" s="1086"/>
      <c r="CX3" s="1086"/>
      <c r="CY3" s="1086"/>
      <c r="CZ3" s="1086"/>
      <c r="DA3" s="1086"/>
      <c r="DB3" s="1086"/>
      <c r="DC3" s="1086"/>
      <c r="DD3" s="1086"/>
      <c r="DE3" s="1086"/>
      <c r="DF3" s="1086"/>
      <c r="DG3" s="1086"/>
      <c r="DH3" s="1086"/>
      <c r="DI3" s="1086"/>
      <c r="DJ3" s="1086"/>
      <c r="DK3" s="1086"/>
      <c r="DL3" s="1086"/>
      <c r="DM3" s="1086"/>
      <c r="DN3" s="1086"/>
      <c r="DO3" s="1086"/>
      <c r="DP3" s="1086"/>
      <c r="DQ3" s="1086"/>
      <c r="DR3" s="1086"/>
      <c r="DS3" s="1086"/>
      <c r="DT3" s="1086"/>
      <c r="DU3" s="1086"/>
      <c r="DV3" s="1086"/>
      <c r="DW3" s="1086"/>
      <c r="DX3" s="1086"/>
      <c r="DY3" s="1086"/>
      <c r="DZ3" s="1086"/>
      <c r="EA3" s="1086"/>
      <c r="EB3" s="1086"/>
      <c r="EC3" s="1086"/>
      <c r="ED3" s="1086"/>
      <c r="EE3" s="1086"/>
      <c r="EF3" s="1086"/>
      <c r="EG3" s="1086"/>
      <c r="EH3" s="1086"/>
      <c r="EI3" s="1086"/>
      <c r="EJ3" s="1086"/>
      <c r="EK3" s="1086"/>
      <c r="EL3" s="1086"/>
      <c r="EM3" s="1086"/>
      <c r="EN3" s="1086"/>
      <c r="EO3" s="1086"/>
      <c r="EP3" s="1086"/>
      <c r="EQ3" s="1086"/>
      <c r="ER3" s="1087"/>
      <c r="ES3" s="1100"/>
      <c r="ET3" s="1086"/>
      <c r="EU3" s="1086"/>
      <c r="EV3" s="1086"/>
      <c r="EW3" s="1086"/>
      <c r="EX3" s="1086"/>
      <c r="EY3" s="1086"/>
      <c r="EZ3" s="1086"/>
      <c r="FA3" s="1086"/>
      <c r="FB3" s="1086"/>
      <c r="FC3" s="1086"/>
      <c r="FD3" s="1086"/>
      <c r="FE3" s="1086"/>
      <c r="FF3" s="1087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7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0"/>
      <c r="C4" s="1011"/>
      <c r="D4" s="1011"/>
      <c r="E4" s="1011"/>
      <c r="F4" s="1011"/>
      <c r="G4" s="1011"/>
      <c r="H4" s="1011"/>
      <c r="I4" s="1011"/>
      <c r="J4" s="1011"/>
      <c r="K4" s="1012"/>
      <c r="L4" s="991"/>
      <c r="M4" s="1007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$Q$4</f>
        <v>Polar XY; Cartesian Z</v>
      </c>
      <c r="X4" s="996"/>
      <c r="Y4" s="997"/>
      <c r="Z4" s="1019" t="s">
        <v>3</v>
      </c>
      <c r="AA4" s="1014"/>
      <c r="AB4" s="1014"/>
      <c r="AC4" s="1014"/>
      <c r="AD4" s="1014"/>
      <c r="AE4" s="1014"/>
      <c r="AF4" s="1014"/>
      <c r="AG4" s="1047" t="s">
        <v>31</v>
      </c>
      <c r="AH4" s="1014"/>
      <c r="AI4" s="1014"/>
      <c r="AJ4" s="1035"/>
      <c r="AK4" s="1080" t="s">
        <v>32</v>
      </c>
      <c r="AL4" s="1081"/>
      <c r="AM4" s="1081"/>
      <c r="AN4" s="1081"/>
      <c r="AO4" s="1081"/>
      <c r="AP4" s="1081"/>
      <c r="AQ4" s="1082"/>
      <c r="AS4" s="467">
        <v>125</v>
      </c>
      <c r="AT4" s="464" t="s">
        <v>46</v>
      </c>
      <c r="AV4" s="1051"/>
      <c r="AW4" s="1111" t="s">
        <v>112</v>
      </c>
      <c r="AX4" s="1093"/>
      <c r="AY4" s="883"/>
      <c r="AZ4" s="1097"/>
      <c r="BA4" s="1098"/>
      <c r="BB4" s="1102" t="s">
        <v>113</v>
      </c>
      <c r="BC4" s="996" t="str">
        <f>$Q$4</f>
        <v>Polar XY; Cartesian Z</v>
      </c>
      <c r="BD4" s="996"/>
      <c r="BE4" s="1105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088" t="s">
        <v>193</v>
      </c>
      <c r="CP4" s="1089"/>
      <c r="CQ4" s="1089"/>
      <c r="CR4" s="1089"/>
      <c r="CS4" s="1089"/>
      <c r="CT4" s="1089"/>
      <c r="CU4" s="1089"/>
      <c r="CV4" s="1089"/>
      <c r="CW4" s="1089"/>
      <c r="CX4" s="1089"/>
      <c r="CY4" s="1089"/>
      <c r="CZ4" s="1089"/>
      <c r="DA4" s="1090"/>
      <c r="DB4" s="1207" t="s">
        <v>162</v>
      </c>
      <c r="DC4" s="1208"/>
      <c r="DD4" s="1208"/>
      <c r="DE4" s="1208"/>
      <c r="DF4" s="1208"/>
      <c r="DG4" s="1208"/>
      <c r="DH4" s="1208"/>
      <c r="DI4" s="1208"/>
      <c r="DJ4" s="1208"/>
      <c r="DK4" s="1208"/>
      <c r="DL4" s="1208"/>
      <c r="DM4" s="1208"/>
      <c r="DN4" s="1208"/>
      <c r="DO4" s="1208"/>
      <c r="DP4" s="1208"/>
      <c r="DQ4" s="1208"/>
      <c r="DR4" s="1208"/>
      <c r="DS4" s="1208"/>
      <c r="DT4" s="1208"/>
      <c r="DU4" s="1208"/>
      <c r="DV4" s="1208"/>
      <c r="DW4" s="1208"/>
      <c r="DX4" s="1208"/>
      <c r="DY4" s="1208"/>
      <c r="DZ4" s="1208"/>
      <c r="EA4" s="1208"/>
      <c r="EB4" s="1208"/>
      <c r="EC4" s="1208"/>
      <c r="ED4" s="1208"/>
      <c r="EE4" s="1208"/>
      <c r="EF4" s="1208"/>
      <c r="EG4" s="1208"/>
      <c r="EH4" s="1208"/>
      <c r="EI4" s="1208"/>
      <c r="EJ4" s="1208"/>
      <c r="EK4" s="1208"/>
      <c r="EL4" s="1208"/>
      <c r="EM4" s="1208"/>
      <c r="EN4" s="1208"/>
      <c r="EO4" s="1208"/>
      <c r="EP4" s="1208"/>
      <c r="EQ4" s="1208"/>
      <c r="ER4" s="1209"/>
      <c r="ES4" s="1223" t="s">
        <v>196</v>
      </c>
      <c r="ET4" s="1224"/>
      <c r="EU4" s="1224"/>
      <c r="EV4" s="1224"/>
      <c r="EW4" s="1224"/>
      <c r="EX4" s="1224"/>
      <c r="EY4" s="1225"/>
      <c r="EZ4" s="1144" t="s">
        <v>201</v>
      </c>
      <c r="FA4" s="1145"/>
      <c r="FB4" s="1145"/>
      <c r="FC4" s="1145"/>
      <c r="FD4" s="1145"/>
      <c r="FE4" s="1145"/>
      <c r="FF4" s="1146"/>
      <c r="FG4" s="343"/>
      <c r="FP4" s="1181" t="s">
        <v>229</v>
      </c>
      <c r="FZ4" s="118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1" t="s">
        <v>236</v>
      </c>
      <c r="GK4" s="902"/>
      <c r="GL4" s="902"/>
      <c r="GM4" s="902"/>
      <c r="GN4" s="1173"/>
      <c r="GO4" s="1242" t="s">
        <v>229</v>
      </c>
      <c r="GP4" s="1246" t="s">
        <v>228</v>
      </c>
      <c r="GR4" s="1251" t="s">
        <v>261</v>
      </c>
      <c r="GS4" s="972" t="s">
        <v>259</v>
      </c>
      <c r="GT4" s="892"/>
      <c r="GU4" s="892"/>
      <c r="GV4" s="892"/>
      <c r="GW4" s="892"/>
      <c r="GX4" s="892"/>
      <c r="GY4" s="892"/>
      <c r="GZ4" s="892"/>
      <c r="HA4" s="1167" t="str">
        <f>IFERROR(CONCATENATE("Lateral Forces = ",ROUND(HE3,0)," lbs @ ",ROUND(HF3,1),"° Relative to Blade 1"),"")</f>
        <v/>
      </c>
      <c r="HB4" s="1168"/>
      <c r="HC4" s="1168"/>
      <c r="HD4" s="1168"/>
      <c r="HE4" s="1168"/>
      <c r="HF4" s="1168"/>
      <c r="HG4" s="1168"/>
      <c r="HH4" s="1169"/>
      <c r="HI4" s="1176" t="s">
        <v>0</v>
      </c>
      <c r="HO4" s="1198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8" t="s">
        <v>381</v>
      </c>
      <c r="IF4" s="898"/>
      <c r="IG4" s="767" cm="1">
        <f t="array" ref="IG4">MAX(MOD(IF($IG$9:$IG$150="",0,($IG$9:$IG$150*1000)),100))</f>
        <v>29</v>
      </c>
      <c r="IL4" s="31"/>
      <c r="IM4" s="767"/>
    </row>
    <row r="5" spans="1:283" ht="15" customHeight="1" x14ac:dyDescent="0.25">
      <c r="B5" s="998" t="str">
        <f>CONCATENATE(B7," ; ",E7," ; ",H7)</f>
        <v>Absolute-Point ; Incremental-Vector Point ; Pocket Info.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007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about Z Axis")</f>
        <v>Relative to 1.11's θ about Z Axis</v>
      </c>
      <c r="U5" s="1021"/>
      <c r="V5" s="1072"/>
      <c r="W5" s="1021" t="str">
        <f>CONCATENATE("Relative to ",M8,"'s θ about Z Axis")</f>
        <v>Relative to 1.11's θ about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051"/>
      <c r="AW5" s="1112"/>
      <c r="AX5" s="1113"/>
      <c r="AY5" s="1114"/>
      <c r="AZ5" s="1099"/>
      <c r="BA5" s="873"/>
      <c r="BB5" s="1103"/>
      <c r="BC5" s="1108" t="str">
        <f>$W$5</f>
        <v>Relative to 1.11's θ about Z Axis</v>
      </c>
      <c r="BD5" s="1021"/>
      <c r="BE5" s="1046"/>
      <c r="BF5" s="972" t="s">
        <v>128</v>
      </c>
      <c r="BG5" s="892"/>
      <c r="BH5" s="892"/>
      <c r="BI5" s="892"/>
      <c r="BJ5" s="892"/>
      <c r="BK5" s="892"/>
      <c r="BL5" s="892"/>
      <c r="BM5" s="892"/>
      <c r="BN5" s="892"/>
      <c r="BO5" s="892"/>
      <c r="BP5" s="892"/>
      <c r="BQ5" s="892"/>
      <c r="BR5" s="914"/>
      <c r="BS5" s="972" t="s">
        <v>130</v>
      </c>
      <c r="BT5" s="892"/>
      <c r="BU5" s="892"/>
      <c r="BV5" s="892"/>
      <c r="BW5" s="892"/>
      <c r="BX5" s="892"/>
      <c r="BY5" s="892"/>
      <c r="BZ5" s="892"/>
      <c r="CA5" s="892"/>
      <c r="CB5" s="892"/>
      <c r="CC5" s="892"/>
      <c r="CD5" s="892"/>
      <c r="CE5" s="914"/>
      <c r="CF5" s="972" t="s">
        <v>138</v>
      </c>
      <c r="CG5" s="892"/>
      <c r="CH5" s="914"/>
      <c r="CI5" s="972" t="s">
        <v>139</v>
      </c>
      <c r="CJ5" s="892"/>
      <c r="CK5" s="892"/>
      <c r="CL5" s="892"/>
      <c r="CM5" s="892"/>
      <c r="CN5" s="914"/>
      <c r="CO5" s="1091" t="s">
        <v>275</v>
      </c>
      <c r="CP5" s="1091" t="s">
        <v>149</v>
      </c>
      <c r="CQ5" s="1093"/>
      <c r="CR5" s="1093"/>
      <c r="CS5" s="973"/>
      <c r="CT5" s="1093" t="s">
        <v>150</v>
      </c>
      <c r="CU5" s="883"/>
      <c r="CV5" s="972" t="s">
        <v>161</v>
      </c>
      <c r="CW5" s="892"/>
      <c r="CX5" s="892"/>
      <c r="CY5" s="892"/>
      <c r="CZ5" s="892"/>
      <c r="DA5" s="914"/>
      <c r="DB5" s="972" t="s">
        <v>163</v>
      </c>
      <c r="DC5" s="892"/>
      <c r="DD5" s="892"/>
      <c r="DE5" s="892"/>
      <c r="DF5" s="892"/>
      <c r="DG5" s="892"/>
      <c r="DH5" s="914"/>
      <c r="DI5" s="1132" t="s">
        <v>173</v>
      </c>
      <c r="DJ5" s="1132"/>
      <c r="DK5" s="1133"/>
      <c r="DL5" s="1187" t="s">
        <v>174</v>
      </c>
      <c r="DM5" s="1132"/>
      <c r="DN5" s="1188"/>
      <c r="DO5" s="1136" t="s">
        <v>175</v>
      </c>
      <c r="DP5" s="1137"/>
      <c r="DQ5" s="1137"/>
      <c r="DR5" s="1073" t="s">
        <v>187</v>
      </c>
      <c r="DS5" s="1073"/>
      <c r="DT5" s="1073"/>
      <c r="DU5" s="1073"/>
      <c r="DV5" s="1073"/>
      <c r="DW5" s="1073"/>
      <c r="DX5" s="1091" t="s">
        <v>190</v>
      </c>
      <c r="DY5" s="934" t="s">
        <v>149</v>
      </c>
      <c r="DZ5" s="1073"/>
      <c r="EA5" s="1073"/>
      <c r="EB5" s="1073"/>
      <c r="EC5" s="1073" t="s">
        <v>150</v>
      </c>
      <c r="ED5" s="1073"/>
      <c r="EE5" s="1251" t="s">
        <v>194</v>
      </c>
      <c r="EF5" s="1251"/>
      <c r="EG5" s="1199"/>
      <c r="EH5" s="1191" t="s">
        <v>195</v>
      </c>
      <c r="EI5" s="1192"/>
      <c r="EJ5" s="1193"/>
      <c r="EK5" s="1073" t="s">
        <v>188</v>
      </c>
      <c r="EL5" s="1091"/>
      <c r="EM5" s="972" t="s">
        <v>189</v>
      </c>
      <c r="EN5" s="892"/>
      <c r="EO5" s="892"/>
      <c r="EP5" s="892"/>
      <c r="EQ5" s="892"/>
      <c r="ER5" s="1124"/>
      <c r="ES5" s="1111" t="s">
        <v>202</v>
      </c>
      <c r="ET5" s="1093"/>
      <c r="EU5" s="973"/>
      <c r="EV5" s="1226" t="s">
        <v>222</v>
      </c>
      <c r="EW5" s="1227"/>
      <c r="EX5" s="1227"/>
      <c r="EY5" s="1228"/>
      <c r="EZ5" s="1217" t="s">
        <v>200</v>
      </c>
      <c r="FA5" s="968" t="s">
        <v>202</v>
      </c>
      <c r="FB5" s="1153"/>
      <c r="FC5" s="969"/>
      <c r="FD5" s="1157" t="s">
        <v>222</v>
      </c>
      <c r="FE5" s="1158"/>
      <c r="FF5" s="1159"/>
      <c r="FP5" s="1198"/>
      <c r="FQ5" s="31"/>
      <c r="FR5" s="31"/>
      <c r="FS5" s="31"/>
      <c r="FT5" s="31"/>
      <c r="FZ5" s="1198"/>
      <c r="GJ5" s="1239" t="s">
        <v>269</v>
      </c>
      <c r="GK5" s="1201" t="s">
        <v>267</v>
      </c>
      <c r="GL5" s="1203" t="s">
        <v>110</v>
      </c>
      <c r="GM5" s="1203" t="s">
        <v>111</v>
      </c>
      <c r="GN5" s="1204"/>
      <c r="GO5" s="1243"/>
      <c r="GP5" s="1247"/>
      <c r="GQ5" s="31"/>
      <c r="GR5" s="991"/>
      <c r="GS5" s="1099" t="s">
        <v>248</v>
      </c>
      <c r="GT5" s="1257"/>
      <c r="GU5" s="1253" t="s">
        <v>249</v>
      </c>
      <c r="GV5" s="1254"/>
      <c r="GW5" s="1255"/>
      <c r="GX5" s="1256"/>
      <c r="GY5" s="1241" t="s">
        <v>107</v>
      </c>
      <c r="GZ5" s="875"/>
      <c r="HA5" s="1164" t="s">
        <v>248</v>
      </c>
      <c r="HB5" s="1165"/>
      <c r="HC5" s="1165"/>
      <c r="HD5" s="1166"/>
      <c r="HE5" s="1183" t="s">
        <v>249</v>
      </c>
      <c r="HF5" s="1165"/>
      <c r="HG5" s="1165"/>
      <c r="HH5" s="1184"/>
      <c r="HI5" s="1177"/>
      <c r="HN5" s="386" t="s">
        <v>263</v>
      </c>
      <c r="HO5" s="58" t="s">
        <v>264</v>
      </c>
      <c r="HS5" s="1170" t="s">
        <v>274</v>
      </c>
      <c r="HZ5" s="383"/>
    </row>
    <row r="6" spans="1:283" ht="15" customHeight="1" thickBot="1" x14ac:dyDescent="0.4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>Inactive Element</v>
      </c>
      <c r="M6" s="1007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$Q$6</f>
        <v>Projected XY</v>
      </c>
      <c r="X6" s="1018"/>
      <c r="Y6" s="1066" t="str">
        <f>$S$6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75" t="str">
        <f>AD6</f>
        <v>Unit Vector</v>
      </c>
      <c r="AL6" s="1076"/>
      <c r="AM6" s="1077"/>
      <c r="AN6" s="34" t="s">
        <v>15</v>
      </c>
      <c r="AO6" s="35" t="s">
        <v>16</v>
      </c>
      <c r="AP6" s="737" t="s">
        <v>17</v>
      </c>
      <c r="AQ6" s="1058" t="s">
        <v>108</v>
      </c>
      <c r="AS6" s="172">
        <f>(AS5/360)</f>
        <v>6.9444444444444447E-4</v>
      </c>
      <c r="AT6" s="465" t="s">
        <v>48</v>
      </c>
      <c r="AV6" s="1051"/>
      <c r="AW6" s="1043" t="s">
        <v>105</v>
      </c>
      <c r="AX6" s="1044"/>
      <c r="AY6" s="195" t="s">
        <v>110</v>
      </c>
      <c r="AZ6" s="1109" t="s">
        <v>111</v>
      </c>
      <c r="BA6" s="1110"/>
      <c r="BB6" s="1104"/>
      <c r="BC6" s="1017" t="str">
        <f>$Q$6</f>
        <v>Projected XY</v>
      </c>
      <c r="BD6" s="1018"/>
      <c r="BE6" s="1106" t="str">
        <f>$S$6</f>
        <v>Z</v>
      </c>
      <c r="BF6" s="918" t="s">
        <v>125</v>
      </c>
      <c r="BG6" s="916"/>
      <c r="BH6" s="1123"/>
      <c r="BI6" s="896" t="s">
        <v>126</v>
      </c>
      <c r="BJ6" s="916"/>
      <c r="BK6" s="897"/>
      <c r="BL6" s="919" t="s">
        <v>127</v>
      </c>
      <c r="BM6" s="916"/>
      <c r="BN6" s="920"/>
      <c r="BO6" s="918" t="s">
        <v>135</v>
      </c>
      <c r="BP6" s="916"/>
      <c r="BQ6" s="916"/>
      <c r="BR6" s="920"/>
      <c r="BS6" s="918" t="s">
        <v>125</v>
      </c>
      <c r="BT6" s="916"/>
      <c r="BU6" s="1123"/>
      <c r="BV6" s="896" t="s">
        <v>126</v>
      </c>
      <c r="BW6" s="916"/>
      <c r="BX6" s="897"/>
      <c r="BY6" s="919" t="s">
        <v>127</v>
      </c>
      <c r="BZ6" s="916"/>
      <c r="CA6" s="920"/>
      <c r="CB6" s="918" t="s">
        <v>135</v>
      </c>
      <c r="CC6" s="916"/>
      <c r="CD6" s="916"/>
      <c r="CE6" s="920"/>
      <c r="CF6" s="924" t="s">
        <v>136</v>
      </c>
      <c r="CG6" s="1096"/>
      <c r="CH6" s="1096"/>
      <c r="CI6" s="1127" t="s">
        <v>137</v>
      </c>
      <c r="CJ6" s="1096"/>
      <c r="CK6" s="925"/>
      <c r="CL6" s="1125" t="s">
        <v>140</v>
      </c>
      <c r="CM6" s="1096"/>
      <c r="CN6" s="1126"/>
      <c r="CO6" s="1092"/>
      <c r="CP6" s="1092"/>
      <c r="CQ6" s="988"/>
      <c r="CR6" s="988"/>
      <c r="CS6" s="1094"/>
      <c r="CT6" s="988"/>
      <c r="CU6" s="1095"/>
      <c r="CV6" s="1034" t="s">
        <v>147</v>
      </c>
      <c r="CW6" s="916"/>
      <c r="CX6" s="897"/>
      <c r="CY6" s="1115" t="s">
        <v>148</v>
      </c>
      <c r="CZ6" s="1116"/>
      <c r="DA6" s="1117"/>
      <c r="DB6" s="1128" t="s">
        <v>176</v>
      </c>
      <c r="DC6" s="1129"/>
      <c r="DD6" s="1130"/>
      <c r="DE6" s="1131" t="s">
        <v>177</v>
      </c>
      <c r="DF6" s="1129"/>
      <c r="DG6" s="1130"/>
      <c r="DH6" s="253" t="s">
        <v>29</v>
      </c>
      <c r="DI6" s="1134"/>
      <c r="DJ6" s="1134"/>
      <c r="DK6" s="1135"/>
      <c r="DL6" s="1189"/>
      <c r="DM6" s="1134"/>
      <c r="DN6" s="1190"/>
      <c r="DO6" s="1138"/>
      <c r="DP6" s="1139"/>
      <c r="DQ6" s="1139"/>
      <c r="DR6" s="1074"/>
      <c r="DS6" s="1074"/>
      <c r="DT6" s="1074"/>
      <c r="DU6" s="1074"/>
      <c r="DV6" s="1074"/>
      <c r="DW6" s="1074"/>
      <c r="DX6" s="1092"/>
      <c r="DY6" s="1140"/>
      <c r="DZ6" s="1074"/>
      <c r="EA6" s="1074"/>
      <c r="EB6" s="1074"/>
      <c r="EC6" s="1074"/>
      <c r="ED6" s="1074"/>
      <c r="EE6" s="1258"/>
      <c r="EF6" s="1258"/>
      <c r="EG6" s="1259"/>
      <c r="EH6" s="1194"/>
      <c r="EI6" s="1195"/>
      <c r="EJ6" s="1196"/>
      <c r="EK6" s="1074"/>
      <c r="EL6" s="1092"/>
      <c r="EM6" s="1148" t="s">
        <v>199</v>
      </c>
      <c r="EN6" s="1142"/>
      <c r="EO6" s="1186"/>
      <c r="EP6" s="1141" t="s">
        <v>198</v>
      </c>
      <c r="EQ6" s="1142"/>
      <c r="ER6" s="1143"/>
      <c r="ES6" s="987"/>
      <c r="ET6" s="988"/>
      <c r="EU6" s="1094"/>
      <c r="EV6" s="274" t="s">
        <v>221</v>
      </c>
      <c r="EW6" s="1141" t="s">
        <v>202</v>
      </c>
      <c r="EX6" s="1142"/>
      <c r="EY6" s="1147"/>
      <c r="EZ6" s="1218"/>
      <c r="FA6" s="1154"/>
      <c r="FB6" s="1155"/>
      <c r="FC6" s="1156"/>
      <c r="FD6" s="1148" t="s">
        <v>202</v>
      </c>
      <c r="FE6" s="1142"/>
      <c r="FF6" s="1143"/>
      <c r="FG6" s="1150" t="s">
        <v>224</v>
      </c>
      <c r="FH6" s="1151"/>
      <c r="FI6" s="1152"/>
      <c r="FJ6" s="1073" t="s">
        <v>203</v>
      </c>
      <c r="FK6" s="1091" t="s">
        <v>214</v>
      </c>
      <c r="FL6" s="1093"/>
      <c r="FM6" s="973"/>
      <c r="FN6" s="1118" t="s">
        <v>204</v>
      </c>
      <c r="FO6" s="1220" t="s">
        <v>227</v>
      </c>
      <c r="FP6" s="1213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1" t="s">
        <v>218</v>
      </c>
      <c r="FV6" s="1093"/>
      <c r="FW6" s="973"/>
      <c r="FX6" s="1118" t="s">
        <v>219</v>
      </c>
      <c r="FY6" s="1220" t="s">
        <v>227</v>
      </c>
      <c r="FZ6" s="1213" t="s">
        <v>225</v>
      </c>
      <c r="GA6" s="1215" t="s">
        <v>239</v>
      </c>
      <c r="GB6" s="336" t="s">
        <v>207</v>
      </c>
      <c r="GC6" s="337" t="s">
        <v>240</v>
      </c>
      <c r="GD6" s="338" t="s">
        <v>226</v>
      </c>
      <c r="GE6" s="1237"/>
      <c r="GF6" s="1199" t="s">
        <v>260</v>
      </c>
      <c r="GG6" s="336" t="s">
        <v>207</v>
      </c>
      <c r="GH6" s="337" t="s">
        <v>240</v>
      </c>
      <c r="GI6" s="338" t="s">
        <v>226</v>
      </c>
      <c r="GJ6" s="1240"/>
      <c r="GK6" s="1202"/>
      <c r="GL6" s="1205"/>
      <c r="GM6" s="1205"/>
      <c r="GN6" s="1206"/>
      <c r="GO6" s="1244" t="s">
        <v>238</v>
      </c>
      <c r="GP6" s="1248" t="s">
        <v>225</v>
      </c>
      <c r="GQ6" s="1093" t="s">
        <v>203</v>
      </c>
      <c r="GR6" s="991"/>
      <c r="GS6" s="1174" t="s">
        <v>252</v>
      </c>
      <c r="GT6" s="1175"/>
      <c r="GU6" s="1160" t="s">
        <v>251</v>
      </c>
      <c r="GV6" s="1116"/>
      <c r="GW6" s="1116"/>
      <c r="GX6" s="361" t="s">
        <v>106</v>
      </c>
      <c r="GY6" s="896" t="s">
        <v>250</v>
      </c>
      <c r="GZ6" s="1123"/>
      <c r="HA6" s="1222" t="s">
        <v>252</v>
      </c>
      <c r="HB6" s="1129"/>
      <c r="HC6" s="1129"/>
      <c r="HD6" s="1130"/>
      <c r="HE6" s="896" t="s">
        <v>251</v>
      </c>
      <c r="HF6" s="916"/>
      <c r="HG6" s="916"/>
      <c r="HH6" s="920"/>
      <c r="HI6" s="1177"/>
      <c r="HN6" s="955" t="s">
        <v>238</v>
      </c>
      <c r="HO6" s="958" t="s">
        <v>265</v>
      </c>
      <c r="HP6" s="934" t="s">
        <v>203</v>
      </c>
      <c r="HQ6" s="391"/>
      <c r="HS6" s="1171"/>
      <c r="HT6" s="889" t="s">
        <v>270</v>
      </c>
      <c r="HU6" s="902"/>
      <c r="HV6" s="1173"/>
      <c r="HW6" s="972" t="s">
        <v>258</v>
      </c>
      <c r="HX6" s="892"/>
      <c r="HY6" s="914"/>
      <c r="HZ6" s="972" t="s">
        <v>249</v>
      </c>
      <c r="IA6" s="889"/>
      <c r="IE6" s="853"/>
      <c r="IF6" s="853"/>
    </row>
    <row r="7" spans="1:283" ht="15" customHeight="1" thickBot="1" x14ac:dyDescent="0.4">
      <c r="A7" s="143"/>
      <c r="B7" s="1022" t="s">
        <v>40</v>
      </c>
      <c r="C7" s="1023"/>
      <c r="D7" s="1024"/>
      <c r="E7" s="1025" t="s">
        <v>41</v>
      </c>
      <c r="F7" s="1023"/>
      <c r="G7" s="1026"/>
      <c r="H7" s="993" t="s">
        <v>98</v>
      </c>
      <c r="I7" s="994"/>
      <c r="J7" s="995"/>
      <c r="K7" s="173"/>
      <c r="L7" s="991"/>
      <c r="M7" s="1016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$Q$7</f>
        <v>&lt; θ°</v>
      </c>
      <c r="X7" s="27" t="str">
        <f>$R$7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59"/>
      <c r="AS7" s="1064" t="s">
        <v>54</v>
      </c>
      <c r="AT7" s="1062" t="s">
        <v>53</v>
      </c>
      <c r="AV7" s="105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4"/>
      <c r="BC7" s="37" t="str">
        <f>$Q$7</f>
        <v>&lt; θ°</v>
      </c>
      <c r="BD7" s="27" t="str">
        <f>$R$7</f>
        <v>r</v>
      </c>
      <c r="BE7" s="1107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1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49"/>
      <c r="FK7" s="350" t="s">
        <v>211</v>
      </c>
      <c r="FL7" s="351" t="s">
        <v>212</v>
      </c>
      <c r="FM7" s="352" t="s">
        <v>213</v>
      </c>
      <c r="FN7" s="1119"/>
      <c r="FO7" s="1221"/>
      <c r="FP7" s="1214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19"/>
      <c r="FY7" s="1221"/>
      <c r="FZ7" s="1214"/>
      <c r="GA7" s="1216"/>
      <c r="GB7" s="223" t="s">
        <v>232</v>
      </c>
      <c r="GC7" s="131" t="s">
        <v>233</v>
      </c>
      <c r="GD7" s="224" t="s">
        <v>234</v>
      </c>
      <c r="GE7" s="1238"/>
      <c r="GF7" s="1200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5"/>
      <c r="GP7" s="1249"/>
      <c r="GQ7" s="1250"/>
      <c r="GR7" s="125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78"/>
      <c r="HJ7" s="31"/>
      <c r="HK7" s="1181" t="s">
        <v>246</v>
      </c>
      <c r="HL7" s="1181" t="s">
        <v>237</v>
      </c>
      <c r="HM7" s="882" t="s">
        <v>245</v>
      </c>
      <c r="HN7" s="956"/>
      <c r="HO7" s="1185"/>
      <c r="HP7" s="1179"/>
      <c r="HQ7" s="392"/>
      <c r="HR7" s="412"/>
      <c r="HS7" s="1171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980" t="s">
        <v>364</v>
      </c>
      <c r="JC7" s="980"/>
      <c r="JD7" s="980"/>
      <c r="JE7" s="98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1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90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-0.12850038755716889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5"/>
      <c r="AT8" s="1063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2"/>
      <c r="HL8" s="1182"/>
      <c r="HM8" s="967"/>
      <c r="HN8" s="957"/>
      <c r="HO8" s="959"/>
      <c r="HP8" s="1180"/>
      <c r="HQ8" s="393" t="s">
        <v>49</v>
      </c>
      <c r="HR8" s="413" t="s">
        <v>51</v>
      </c>
      <c r="HS8" s="1172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0.29580089213549071</v>
      </c>
      <c r="D9" s="704">
        <v>-0.71460215524010018</v>
      </c>
      <c r="E9" s="705">
        <v>-0.93969263802333458</v>
      </c>
      <c r="F9" s="703">
        <v>-8.8521302156295625E-2</v>
      </c>
      <c r="G9" s="706">
        <v>0.33036604714967344</v>
      </c>
      <c r="H9" s="705">
        <v>0.26600000000000001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1313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0.29580089213549071</v>
      </c>
      <c r="P9" s="625">
        <f t="shared" ref="P9:P40" si="4">IF(M9="","",D9)</f>
        <v>-0.71460215524010018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0.29580089213549071</v>
      </c>
      <c r="S9" s="626">
        <f>IF(M9="","",P9)</f>
        <v>-0.71460215524010018</v>
      </c>
      <c r="T9" s="627">
        <f>IF(M9="","",X9*COS(RADIANS(W9)))</f>
        <v>0.29580089213549071</v>
      </c>
      <c r="U9" s="624">
        <f>IF(M9="","",X9*SIN(RADIANS(W9)))</f>
        <v>0</v>
      </c>
      <c r="V9" s="628">
        <f>IF(M9="","",Y9)</f>
        <v>-0.71460215524010018</v>
      </c>
      <c r="W9" s="583">
        <f t="shared" ref="W9:W14" si="5">IF(M9="","",IF(Q9-$Q$8&lt;0,360+Q9-$Q$8,Q9-$Q$8))</f>
        <v>0</v>
      </c>
      <c r="X9" s="629">
        <f>IF(M9="","",R9)</f>
        <v>0.29580089213549071</v>
      </c>
      <c r="Y9" s="630">
        <f>IF(M9="","",S9)</f>
        <v>-0.71460215524010018</v>
      </c>
      <c r="Z9" s="623">
        <f t="shared" ref="Z9:Z40" si="6">IF(M9="","",-E9)</f>
        <v>0.93969263802333458</v>
      </c>
      <c r="AA9" s="624">
        <f t="shared" ref="AA9:AA40" si="7">IF(M9="","",-F9)</f>
        <v>8.8521302156295625E-2</v>
      </c>
      <c r="AB9" s="624">
        <f t="shared" ref="AB9:AB40" si="8">IF(M9="","",-G9)</f>
        <v>-0.33036604714967344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8.8521302156295625E-2</v>
      </c>
      <c r="AF9" s="625">
        <f>IF(M9="","",AB9*(1/SQRT(Z9^2+AA9^2+AB9^2)))</f>
        <v>-0.33036604714967344</v>
      </c>
      <c r="AG9" s="599">
        <f>IF(M9="","",DEGREES(ATAN2(-AF9,AE9)))</f>
        <v>14.999997834268271</v>
      </c>
      <c r="AH9" s="600">
        <f>IF(M9="","",DEGREES(ACOS(AD9)))</f>
        <v>19.999997112357679</v>
      </c>
      <c r="AI9" s="583">
        <f>IF(M9="","",DEGREES(-ACOS(-AF9)))</f>
        <v>-70.709005437865216</v>
      </c>
      <c r="AJ9" s="601">
        <f>IF(M9="","",DEGREES(ATAN2(-AE9,AD9)))</f>
        <v>95.38151876223948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8.8521302156295625E-2</v>
      </c>
      <c r="AM9" s="626">
        <f>IF(M9="","",AF9)</f>
        <v>-0.33036604714967344</v>
      </c>
      <c r="AN9" s="581">
        <f>IF(M9="","",DEGREES(ATAN2(-AM9,AL9)))</f>
        <v>14.999997834268271</v>
      </c>
      <c r="AO9" s="582">
        <f>IF(ROUND(IF(M9="",0,DEGREES(ACOS(AK9))),4)=90,0,IF(M9="","",DEGREES(ACOS(AK9))))</f>
        <v>19.999997112357679</v>
      </c>
      <c r="AP9" s="781">
        <f>IF(M9="","",DEGREES(ATAN2(AK9,AL9)))</f>
        <v>5.381518762239482</v>
      </c>
      <c r="AQ9" s="584">
        <f t="shared" ref="AQ9:AQ40" si="9">IF(M9="","",DEGREES(ATAN(($AS$5*SIN(RADIANS(90)))/(($X9*2*PI())-($AS$5*COS(RADIANS(90)))))))</f>
        <v>7.6609796748877619</v>
      </c>
      <c r="AS9" s="51">
        <f>IF(M9="","",W9)</f>
        <v>0</v>
      </c>
      <c r="AT9" s="71">
        <f t="shared" ref="AT9:AT40" si="10">IF(M9="","",Y9+(((AS9-$AS$9)*$AS$6)*-1))</f>
        <v>-0.71460215524010018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1313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42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1.093303297402745</v>
      </c>
      <c r="D10" s="709">
        <v>-0.54900165578899396</v>
      </c>
      <c r="E10" s="710">
        <v>-0.96592583607220739</v>
      </c>
      <c r="F10" s="708">
        <v>-6.6987279208207212E-2</v>
      </c>
      <c r="G10" s="711">
        <v>0.24999996726497564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1.093303297402745</v>
      </c>
      <c r="P10" s="633">
        <f t="shared" si="4"/>
        <v>-0.54900165578899396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1.093303297402745</v>
      </c>
      <c r="S10" s="634">
        <f t="shared" ref="S10:S105" si="80">IF(M10="","",P10)</f>
        <v>-0.54900165578899396</v>
      </c>
      <c r="T10" s="635">
        <f t="shared" ref="T10:T105" si="81">IF(M10="","",X10*COS(RADIANS(W10)))</f>
        <v>1.093303297402745</v>
      </c>
      <c r="U10" s="629">
        <f t="shared" ref="U10:U105" si="82">IF(M10="","",X10*SIN(RADIANS(W10)))</f>
        <v>0</v>
      </c>
      <c r="V10" s="636">
        <f>IF(M10="","",Y10)</f>
        <v>-0.54900165578899396</v>
      </c>
      <c r="W10" s="585">
        <f t="shared" si="5"/>
        <v>0</v>
      </c>
      <c r="X10" s="629">
        <f t="shared" ref="X10:X105" si="83">IF(M10="","",R10)</f>
        <v>1.093303297402745</v>
      </c>
      <c r="Y10" s="630">
        <f>IF(M10="","",S10)</f>
        <v>-0.54900165578899396</v>
      </c>
      <c r="Z10" s="632">
        <f t="shared" si="6"/>
        <v>0.96592583607220739</v>
      </c>
      <c r="AA10" s="629">
        <f t="shared" si="7"/>
        <v>6.6987279208207212E-2</v>
      </c>
      <c r="AB10" s="629">
        <f t="shared" si="8"/>
        <v>-0.24999996726497564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6.6987279208207212E-2</v>
      </c>
      <c r="AF10" s="633">
        <f t="shared" ref="AF10:AF105" si="86">IF(M10="","",AB10*(1/SQRT(Z10^2+AA10^2+AB10^2)))</f>
        <v>-0.24999996726497564</v>
      </c>
      <c r="AG10" s="602">
        <f t="shared" ref="AG10:AG105" si="87">IF(M10="","",DEGREES(ATAN2(-AF10,AE10)))</f>
        <v>14.999997834268271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-75.522489751159469</v>
      </c>
      <c r="AJ10" s="586">
        <f t="shared" ref="AJ10:AJ105" si="90">IF(M10="","",DEGREES(ATAN2(-AE10,AD10)))</f>
        <v>93.967129645086573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6.6987279208207212E-2</v>
      </c>
      <c r="AM10" s="634">
        <f t="shared" ref="AM10:AM105" si="92">IF(M10="","",AF10)</f>
        <v>-0.24999996726497564</v>
      </c>
      <c r="AN10" s="581">
        <f t="shared" ref="AN10:AN105" si="93">IF(M10="","",DEGREES(ATAN2(-AM10,AL10)))</f>
        <v>14.999997834268271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3.9671296450865721</v>
      </c>
      <c r="AQ10" s="586">
        <f t="shared" si="9"/>
        <v>2.0842532600440955</v>
      </c>
      <c r="AS10" s="52">
        <f>IF($M10="","",IF(AND($W10&lt;($AS$9+180),$W10&gt;($AS$9-180)),$W10,IF($W10&gt;($AS$9+180),$W10-360,IF($W10&lt;($AS$9-180),$W10+360,"Error"))))</f>
        <v>0</v>
      </c>
      <c r="AT10" s="72">
        <f t="shared" si="10"/>
        <v>-0.54900165578899396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1313</v>
      </c>
      <c r="JB10" s="787" cm="1">
        <f t="array" ref="JB10">IF($JA10="","",COUNT(IF(IF($II$9:$II$150="",$IJ$9:$IJ$150,"")=$JA10,$IG$9:$IG$150,"")))</f>
        <v>7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0</v>
      </c>
      <c r="C11" s="708">
        <v>1.8780056640650828</v>
      </c>
      <c r="D11" s="709">
        <v>-0.33880102182388183</v>
      </c>
      <c r="E11" s="710">
        <v>-0.96592583607220739</v>
      </c>
      <c r="F11" s="708">
        <v>-6.6987279208207212E-2</v>
      </c>
      <c r="G11" s="711">
        <v>0.24999996726497564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0</v>
      </c>
      <c r="O11" s="629">
        <f t="shared" si="3"/>
        <v>1.8780056640650828</v>
      </c>
      <c r="P11" s="633">
        <f t="shared" si="4"/>
        <v>-0.33880102182388183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1.8780056640650828</v>
      </c>
      <c r="S11" s="634">
        <f t="shared" si="80"/>
        <v>-0.33880102182388183</v>
      </c>
      <c r="T11" s="635">
        <f t="shared" si="81"/>
        <v>1.8780056640650828</v>
      </c>
      <c r="U11" s="629">
        <f t="shared" si="82"/>
        <v>0</v>
      </c>
      <c r="V11" s="636">
        <f t="shared" ref="V11:V105" si="114">IF(M11="","",Y11)</f>
        <v>-0.33880102182388183</v>
      </c>
      <c r="W11" s="585">
        <f t="shared" si="5"/>
        <v>0</v>
      </c>
      <c r="X11" s="629">
        <f>IF(M11="","",R11)</f>
        <v>1.8780056640650828</v>
      </c>
      <c r="Y11" s="630">
        <f>IF(M11="","",S11)</f>
        <v>-0.33880102182388183</v>
      </c>
      <c r="Z11" s="632">
        <f t="shared" si="6"/>
        <v>0.96592583607220739</v>
      </c>
      <c r="AA11" s="629">
        <f t="shared" si="7"/>
        <v>6.6987279208207212E-2</v>
      </c>
      <c r="AB11" s="629">
        <f t="shared" si="8"/>
        <v>-0.24999996726497564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6.6987279208207212E-2</v>
      </c>
      <c r="AF11" s="633">
        <f t="shared" si="86"/>
        <v>-0.24999996726497564</v>
      </c>
      <c r="AG11" s="602">
        <f>IF(M11="","",DEGREES(ATAN2(-AF11,AE11)))</f>
        <v>14.999997834268271</v>
      </c>
      <c r="AH11" s="603">
        <f t="shared" si="88"/>
        <v>14.999997834268255</v>
      </c>
      <c r="AI11" s="585">
        <f t="shared" si="89"/>
        <v>-75.522489751159469</v>
      </c>
      <c r="AJ11" s="586">
        <f t="shared" si="90"/>
        <v>93.967129645086573</v>
      </c>
      <c r="AK11" s="635">
        <f>IF(M11="","",(COS(RADIANS((90-$Q$8)-W11))*AD11)+(-SIN(RADIANS((90-$Q$8)-W11))*AE11))</f>
        <v>0.96592583607220739</v>
      </c>
      <c r="AL11" s="629">
        <f t="shared" si="91"/>
        <v>6.6987279208207212E-2</v>
      </c>
      <c r="AM11" s="634">
        <f t="shared" si="92"/>
        <v>-0.24999996726497564</v>
      </c>
      <c r="AN11" s="581">
        <f>IF(M11="","",DEGREES(ATAN2(-AM11,AL11)))</f>
        <v>14.999997834268271</v>
      </c>
      <c r="AO11" s="582">
        <f>IF(ROUND(IF(M11="",0,DEGREES(ACOS(AK11))),4)=90,0,IF(M11="","",DEGREES(ACOS(AK11))))</f>
        <v>14.999997834268255</v>
      </c>
      <c r="AP11" s="585">
        <f t="shared" si="95"/>
        <v>3.9671296450865721</v>
      </c>
      <c r="AQ11" s="586">
        <f t="shared" si="9"/>
        <v>1.2137267008674744</v>
      </c>
      <c r="AS11" s="52">
        <f t="shared" ref="AS11:AS42" si="116">IF(G11="","",IF(AND(W11&lt;(AS10+180),W11&gt;(AS10-180)),W11,IF(W11&gt;(AS10+180),W11-360,IF(W11&lt;(AS10-180),W11+360,"Error"))))</f>
        <v>0</v>
      </c>
      <c r="AT11" s="72">
        <f t="shared" si="10"/>
        <v>-0.33880102182388183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0</v>
      </c>
      <c r="C12" s="708">
        <v>2.6628080310290216</v>
      </c>
      <c r="D12" s="709">
        <v>-0.12850038755716889</v>
      </c>
      <c r="E12" s="710">
        <v>-0.97629601393762733</v>
      </c>
      <c r="F12" s="708">
        <v>-5.6018678339987617E-2</v>
      </c>
      <c r="G12" s="711">
        <v>0.20906458534754568</v>
      </c>
      <c r="H12" s="710">
        <v>0.314</v>
      </c>
      <c r="I12" s="708">
        <v>0.52</v>
      </c>
      <c r="J12" s="570">
        <v>1.1100000000000001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1.1100000000000001</v>
      </c>
      <c r="N12" s="632">
        <f t="shared" si="2"/>
        <v>0</v>
      </c>
      <c r="O12" s="629">
        <f t="shared" si="3"/>
        <v>2.6628080310290216</v>
      </c>
      <c r="P12" s="633">
        <f t="shared" si="4"/>
        <v>-0.12850038755716889</v>
      </c>
      <c r="Q12" s="585">
        <f>IF(M12="","",IF(DEGREES(ATAN2(N12,O12))&lt;0,DEGREES(ATAN2(N12,O12))+360,IF(DEGREES(ATAN2(N12,O12))&gt;360,DEGREES(ATAN2(N12,O12))-360,DEGREES(ATAN2(N12,O12)))))</f>
        <v>90</v>
      </c>
      <c r="R12" s="629">
        <f t="shared" si="79"/>
        <v>2.6628080310290216</v>
      </c>
      <c r="S12" s="634">
        <f t="shared" si="80"/>
        <v>-0.12850038755716889</v>
      </c>
      <c r="T12" s="635">
        <f>IF(M12="","",X12*COS(RADIANS(W12)))</f>
        <v>2.6628080310290216</v>
      </c>
      <c r="U12" s="629">
        <f t="shared" si="82"/>
        <v>0</v>
      </c>
      <c r="V12" s="636">
        <f t="shared" si="114"/>
        <v>-0.12850038755716889</v>
      </c>
      <c r="W12" s="585">
        <f>IF(M12="","",IF(Q12-$Q$8&lt;0,360+Q12-$Q$8,Q12-$Q$8))</f>
        <v>0</v>
      </c>
      <c r="X12" s="629">
        <f t="shared" si="83"/>
        <v>2.6628080310290216</v>
      </c>
      <c r="Y12" s="630">
        <f>IF(M12="","",S12)</f>
        <v>-0.12850038755716889</v>
      </c>
      <c r="Z12" s="632">
        <f t="shared" si="6"/>
        <v>0.97629601393762733</v>
      </c>
      <c r="AA12" s="629">
        <f t="shared" si="7"/>
        <v>5.6018678339987617E-2</v>
      </c>
      <c r="AB12" s="629">
        <f t="shared" si="8"/>
        <v>-0.20906458534754568</v>
      </c>
      <c r="AC12" s="636">
        <f t="shared" si="84"/>
        <v>1</v>
      </c>
      <c r="AD12" s="637">
        <f t="shared" si="115"/>
        <v>0.97629601393762733</v>
      </c>
      <c r="AE12" s="629">
        <f t="shared" si="85"/>
        <v>5.6018678339987617E-2</v>
      </c>
      <c r="AF12" s="633">
        <f t="shared" si="86"/>
        <v>-0.20906458534754568</v>
      </c>
      <c r="AG12" s="602">
        <f t="shared" si="87"/>
        <v>14.999997834268264</v>
      </c>
      <c r="AH12" s="603">
        <f t="shared" si="88"/>
        <v>12.499998195223544</v>
      </c>
      <c r="AI12" s="585">
        <f t="shared" si="89"/>
        <v>-77.932459801965933</v>
      </c>
      <c r="AJ12" s="586">
        <f t="shared" si="90"/>
        <v>93.283961373401809</v>
      </c>
      <c r="AK12" s="635">
        <f t="shared" ref="AK12:AK105" si="211">IF(M12="","",(COS(RADIANS((90-$Q$8)-W12))*AD12)+(-SIN(RADIANS((90-$Q$8)-W12))*AE12))</f>
        <v>0.97629601393762733</v>
      </c>
      <c r="AL12" s="629">
        <f>IF(M12="","",(SIN(RADIANS((90-$Q$8)-W12))*AD12)+(COS(RADIANS((90-$Q$8)-W12))*AE12))</f>
        <v>5.6018678339987617E-2</v>
      </c>
      <c r="AM12" s="634">
        <f t="shared" si="92"/>
        <v>-0.20906458534754568</v>
      </c>
      <c r="AN12" s="581">
        <f>IF(M12="","",DEGREES(ATAN2(-AM12,AL12)))</f>
        <v>14.999997834268264</v>
      </c>
      <c r="AO12" s="582">
        <f t="shared" si="94"/>
        <v>12.499998195223544</v>
      </c>
      <c r="AP12" s="585">
        <f t="shared" si="95"/>
        <v>3.2839613734018234</v>
      </c>
      <c r="AQ12" s="586">
        <f t="shared" si="9"/>
        <v>0.85607259677709036</v>
      </c>
      <c r="AS12" s="52">
        <f t="shared" si="116"/>
        <v>0</v>
      </c>
      <c r="AT12" s="72">
        <f>IF(M12="","",Y12+(((AS12-$AS$9)*$AS$6)*-1))</f>
        <v>-0.12850038755716889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2.035278190846479E-2</v>
      </c>
      <c r="C13" s="708">
        <v>3.4297499562199492</v>
      </c>
      <c r="D13" s="709">
        <v>-7.7600234042305885E-2</v>
      </c>
      <c r="E13" s="710">
        <v>-0.97407574561123744</v>
      </c>
      <c r="F13" s="708">
        <v>8.4039889493728273E-2</v>
      </c>
      <c r="G13" s="711">
        <v>0.2100327088474411</v>
      </c>
      <c r="H13" s="710">
        <v>0.314</v>
      </c>
      <c r="I13" s="708">
        <v>0.52</v>
      </c>
      <c r="J13" s="570">
        <v>1.113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 t="str">
        <f>IF($L12=$JH$22,$JH$29,IF($L12=$JI$22,$JI$29,""))</f>
        <v/>
      </c>
      <c r="M13" s="168">
        <f t="shared" si="1"/>
        <v>1.113</v>
      </c>
      <c r="N13" s="632">
        <f t="shared" si="2"/>
        <v>2.035278190846479E-2</v>
      </c>
      <c r="O13" s="629">
        <f t="shared" si="3"/>
        <v>3.4297499562199492</v>
      </c>
      <c r="P13" s="633">
        <f t="shared" si="4"/>
        <v>-7.7600234042305885E-2</v>
      </c>
      <c r="Q13" s="585">
        <f t="shared" si="113"/>
        <v>89.660000049089916</v>
      </c>
      <c r="R13" s="629">
        <f t="shared" si="79"/>
        <v>3.4298103443079992</v>
      </c>
      <c r="S13" s="634">
        <f t="shared" si="80"/>
        <v>-7.7600234042305885E-2</v>
      </c>
      <c r="T13" s="635">
        <f>IF(M13="","",X13*COS(RADIANS(W13)))</f>
        <v>3.4297499562199492</v>
      </c>
      <c r="U13" s="629">
        <f t="shared" si="82"/>
        <v>-2.035278190846233E-2</v>
      </c>
      <c r="V13" s="636">
        <f t="shared" si="114"/>
        <v>-7.7600234042305885E-2</v>
      </c>
      <c r="W13" s="585">
        <f t="shared" si="5"/>
        <v>359.66000004908994</v>
      </c>
      <c r="X13" s="629">
        <f t="shared" si="83"/>
        <v>3.4298103443079992</v>
      </c>
      <c r="Y13" s="630">
        <f>IF(M13="","",S13)</f>
        <v>-7.7600234042305885E-2</v>
      </c>
      <c r="Z13" s="632">
        <f t="shared" si="6"/>
        <v>0.97407574561123744</v>
      </c>
      <c r="AA13" s="629">
        <f t="shared" si="7"/>
        <v>-8.4039889493728273E-2</v>
      </c>
      <c r="AB13" s="629">
        <f t="shared" si="8"/>
        <v>-0.2100327088474411</v>
      </c>
      <c r="AC13" s="636">
        <f t="shared" si="84"/>
        <v>1</v>
      </c>
      <c r="AD13" s="637">
        <f>IF(M13="","",Z13*(1/SQRT(Z13^2+AA13^2+AB13^2)))</f>
        <v>0.97407574561123744</v>
      </c>
      <c r="AE13" s="629">
        <f t="shared" si="85"/>
        <v>-8.4039889493728273E-2</v>
      </c>
      <c r="AF13" s="633">
        <f t="shared" si="86"/>
        <v>-0.2100327088474411</v>
      </c>
      <c r="AG13" s="602">
        <f>IF(M13="","",DEGREES(ATAN2(-AF13,AE13)))</f>
        <v>-21.807713104182593</v>
      </c>
      <c r="AH13" s="603">
        <f t="shared" si="88"/>
        <v>13.074752868933761</v>
      </c>
      <c r="AI13" s="585">
        <f t="shared" si="89"/>
        <v>-77.875730926952428</v>
      </c>
      <c r="AJ13" s="586">
        <f t="shared" si="90"/>
        <v>85.068928975136515</v>
      </c>
      <c r="AK13" s="635">
        <f t="shared" si="211"/>
        <v>0.97455729496959331</v>
      </c>
      <c r="AL13" s="629">
        <f t="shared" si="91"/>
        <v>-7.8258162742013151E-2</v>
      </c>
      <c r="AM13" s="634">
        <f t="shared" si="92"/>
        <v>-0.2100327088474411</v>
      </c>
      <c r="AN13" s="581">
        <f t="shared" si="93"/>
        <v>-20.435387713039528</v>
      </c>
      <c r="AO13" s="582">
        <f t="shared" si="94"/>
        <v>12.952225572758653</v>
      </c>
      <c r="AP13" s="585">
        <f t="shared" si="95"/>
        <v>-4.5910710739534553</v>
      </c>
      <c r="AQ13" s="586">
        <f t="shared" si="9"/>
        <v>0.66465027011286515</v>
      </c>
      <c r="AS13" s="52">
        <f t="shared" si="116"/>
        <v>-0.3399999509100553</v>
      </c>
      <c r="AT13" s="72">
        <f t="shared" si="10"/>
        <v>-7.7364122965285012E-2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1.113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8.7893072725203469E-2</v>
      </c>
      <c r="C14" s="708">
        <v>4.1612844346496916</v>
      </c>
      <c r="D14" s="709">
        <v>-0.3111009382804299</v>
      </c>
      <c r="E14" s="710">
        <v>-0.96456530952788233</v>
      </c>
      <c r="F14" s="708">
        <v>0.21018308484368853</v>
      </c>
      <c r="G14" s="711">
        <v>0.15948929274710388</v>
      </c>
      <c r="H14" s="710">
        <v>0.314</v>
      </c>
      <c r="I14" s="708">
        <v>0.52</v>
      </c>
      <c r="J14" s="570">
        <v>1.1160000000000001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1.1160000000000001</v>
      </c>
      <c r="N14" s="632">
        <f t="shared" si="2"/>
        <v>8.7893072725203469E-2</v>
      </c>
      <c r="O14" s="629">
        <f t="shared" si="3"/>
        <v>4.1612844346496916</v>
      </c>
      <c r="P14" s="633">
        <f t="shared" si="4"/>
        <v>-0.3111009382804299</v>
      </c>
      <c r="Q14" s="585">
        <f t="shared" si="113"/>
        <v>88.790000174702357</v>
      </c>
      <c r="R14" s="629">
        <f t="shared" si="79"/>
        <v>4.1622125532330614</v>
      </c>
      <c r="S14" s="634">
        <f t="shared" si="80"/>
        <v>-0.3111009382804299</v>
      </c>
      <c r="T14" s="635">
        <f t="shared" si="81"/>
        <v>4.1612844346496916</v>
      </c>
      <c r="U14" s="629">
        <f t="shared" si="82"/>
        <v>-8.7893072725205468E-2</v>
      </c>
      <c r="V14" s="636">
        <f t="shared" si="114"/>
        <v>-0.3111009382804299</v>
      </c>
      <c r="W14" s="585">
        <f t="shared" si="5"/>
        <v>358.79000017470236</v>
      </c>
      <c r="X14" s="629">
        <f t="shared" si="83"/>
        <v>4.1622125532330614</v>
      </c>
      <c r="Y14" s="630">
        <f t="shared" ref="Y14:Y75" si="223">IF(M14="","",S14)</f>
        <v>-0.3111009382804299</v>
      </c>
      <c r="Z14" s="632">
        <f t="shared" si="6"/>
        <v>0.96456530952788233</v>
      </c>
      <c r="AA14" s="629">
        <f t="shared" si="7"/>
        <v>-0.21018308484368853</v>
      </c>
      <c r="AB14" s="629">
        <f t="shared" si="8"/>
        <v>-0.15948929274710388</v>
      </c>
      <c r="AC14" s="636">
        <f t="shared" si="84"/>
        <v>1</v>
      </c>
      <c r="AD14" s="637">
        <f>IF(M14="","",Z14*(1/SQRT(Z14^2+AA14^2+AB14^2)))</f>
        <v>0.96456530952788233</v>
      </c>
      <c r="AE14" s="629">
        <f t="shared" si="85"/>
        <v>-0.21018308484368853</v>
      </c>
      <c r="AF14" s="633">
        <f t="shared" si="86"/>
        <v>-0.15948929274710388</v>
      </c>
      <c r="AG14" s="602">
        <f t="shared" si="87"/>
        <v>-52.808363560424013</v>
      </c>
      <c r="AH14" s="603">
        <f t="shared" si="88"/>
        <v>15.298286487664468</v>
      </c>
      <c r="AI14" s="585">
        <f t="shared" si="89"/>
        <v>-80.822745801040256</v>
      </c>
      <c r="AJ14" s="586">
        <f t="shared" si="90"/>
        <v>77.707154291105709</v>
      </c>
      <c r="AK14" s="635">
        <f>IF(M14="","",(COS(RADIANS((90-$Q$8)-W14))*AD14)+(-SIN(RADIANS((90-$Q$8)-W14))*AE14))</f>
        <v>0.96878864169756529</v>
      </c>
      <c r="AL14" s="629">
        <f t="shared" si="91"/>
        <v>-0.18976757683233209</v>
      </c>
      <c r="AM14" s="634">
        <f t="shared" si="92"/>
        <v>-0.15948929274710388</v>
      </c>
      <c r="AN14" s="581">
        <f t="shared" si="93"/>
        <v>-49.954780789094066</v>
      </c>
      <c r="AO14" s="582">
        <f t="shared" si="94"/>
        <v>14.352582811764069</v>
      </c>
      <c r="AP14" s="585">
        <f>IF(M14="","",DEGREES(ATAN2(AK14,AL14)))</f>
        <v>-11.082845883596622</v>
      </c>
      <c r="AQ14" s="586">
        <f t="shared" si="9"/>
        <v>0.54770321381577891</v>
      </c>
      <c r="AS14" s="52">
        <f t="shared" si="116"/>
        <v>-1.2099998252976434</v>
      </c>
      <c r="AT14" s="72">
        <f t="shared" si="10"/>
        <v>-0.31026066062397317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1.1160000000000001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0.17768191567413211</v>
      </c>
      <c r="C15" s="708">
        <v>4.7549957518907391</v>
      </c>
      <c r="D15" s="709">
        <v>-0.79650240225124525</v>
      </c>
      <c r="E15" s="710">
        <v>-0.93940284486322123</v>
      </c>
      <c r="F15" s="708">
        <v>0.32538183644601137</v>
      </c>
      <c r="G15" s="711">
        <v>0.10793032740572837</v>
      </c>
      <c r="H15" s="710">
        <v>0.314</v>
      </c>
      <c r="I15" s="708">
        <v>0.52</v>
      </c>
      <c r="J15" s="570">
        <v>1.119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1313" t="str">
        <f>IF($L14=$JH$22,$JH$29,IF($L14=$JI$22,$JI$29,""))</f>
        <v/>
      </c>
      <c r="M15" s="168">
        <f t="shared" si="1"/>
        <v>1.119</v>
      </c>
      <c r="N15" s="632">
        <f t="shared" si="2"/>
        <v>0.17768191567413211</v>
      </c>
      <c r="O15" s="629">
        <f t="shared" si="3"/>
        <v>4.7549957518907391</v>
      </c>
      <c r="P15" s="633">
        <f t="shared" si="4"/>
        <v>-0.79650240225124525</v>
      </c>
      <c r="Q15" s="585">
        <f t="shared" si="113"/>
        <v>87.860000308977732</v>
      </c>
      <c r="R15" s="629">
        <f t="shared" si="79"/>
        <v>4.7583143510760832</v>
      </c>
      <c r="S15" s="634">
        <f t="shared" si="80"/>
        <v>-0.79650240225124525</v>
      </c>
      <c r="T15" s="635">
        <f t="shared" si="81"/>
        <v>4.75499575189074</v>
      </c>
      <c r="U15" s="629">
        <f t="shared" si="82"/>
        <v>-0.17768191567412811</v>
      </c>
      <c r="V15" s="636">
        <f t="shared" si="114"/>
        <v>-0.79650240225124525</v>
      </c>
      <c r="W15" s="585">
        <f t="shared" ref="W15:W78" si="224">IF(M15="","",IF(Q15-$Q$8&lt;0,360+Q15-$Q$8,Q15-$Q$8))</f>
        <v>357.86000030897776</v>
      </c>
      <c r="X15" s="629">
        <f>IF(M15="","",R15)</f>
        <v>4.7583143510760832</v>
      </c>
      <c r="Y15" s="630">
        <f>IF(M15="","",S15)</f>
        <v>-0.79650240225124525</v>
      </c>
      <c r="Z15" s="632">
        <f t="shared" si="6"/>
        <v>0.93940284486322123</v>
      </c>
      <c r="AA15" s="629">
        <f t="shared" si="7"/>
        <v>-0.32538183644601137</v>
      </c>
      <c r="AB15" s="629">
        <f t="shared" si="8"/>
        <v>-0.10793032740572837</v>
      </c>
      <c r="AC15" s="636">
        <f t="shared" si="84"/>
        <v>1</v>
      </c>
      <c r="AD15" s="637">
        <f t="shared" si="115"/>
        <v>0.93940284486322123</v>
      </c>
      <c r="AE15" s="629">
        <f t="shared" si="85"/>
        <v>-0.32538183644601137</v>
      </c>
      <c r="AF15" s="633">
        <f t="shared" si="86"/>
        <v>-0.10793032740572837</v>
      </c>
      <c r="AG15" s="602">
        <f t="shared" si="87"/>
        <v>-71.649131242893972</v>
      </c>
      <c r="AH15" s="603">
        <f t="shared" si="88"/>
        <v>20.048487378326442</v>
      </c>
      <c r="AI15" s="585">
        <f t="shared" si="89"/>
        <v>-83.803978284490057</v>
      </c>
      <c r="AJ15" s="586">
        <f t="shared" si="90"/>
        <v>70.895401669168578</v>
      </c>
      <c r="AK15" s="635">
        <f t="shared" si="211"/>
        <v>0.95089787492512767</v>
      </c>
      <c r="AL15" s="629">
        <f t="shared" si="91"/>
        <v>-0.29007632769491626</v>
      </c>
      <c r="AM15" s="634">
        <f t="shared" si="92"/>
        <v>-0.10793032740572837</v>
      </c>
      <c r="AN15" s="581">
        <f>IF(M15="","",DEGREES(ATAN2(-AM15,AL15)))</f>
        <v>-69.590993396658291</v>
      </c>
      <c r="AO15" s="582">
        <f t="shared" si="94"/>
        <v>18.029390978940128</v>
      </c>
      <c r="AP15" s="585">
        <f t="shared" si="95"/>
        <v>-16.964598639809207</v>
      </c>
      <c r="AQ15" s="586">
        <f t="shared" si="9"/>
        <v>0.47909266425318392</v>
      </c>
      <c r="AS15" s="52">
        <f t="shared" si="116"/>
        <v>-2.1399996910222399</v>
      </c>
      <c r="AT15" s="72">
        <f t="shared" si="10"/>
        <v>-0.79501629135470198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1.119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49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0.25084917324936695</v>
      </c>
      <c r="C16" s="708">
        <v>5.1289848666503044</v>
      </c>
      <c r="D16" s="709">
        <v>-1.4665044229773394</v>
      </c>
      <c r="E16" s="710">
        <v>-0.89885720871374841</v>
      </c>
      <c r="F16" s="708">
        <v>0.43474905442608414</v>
      </c>
      <c r="G16" s="711">
        <v>5.5217551729090715E-2</v>
      </c>
      <c r="H16" s="710">
        <v>0.314</v>
      </c>
      <c r="I16" s="708">
        <v>0.52</v>
      </c>
      <c r="J16" s="570">
        <v>1.1220000000000001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1613</v>
      </c>
      <c r="L16" s="320"/>
      <c r="M16" s="168">
        <f t="shared" si="1"/>
        <v>1.1220000000000001</v>
      </c>
      <c r="N16" s="632">
        <f t="shared" si="2"/>
        <v>0.25084917324936695</v>
      </c>
      <c r="O16" s="629">
        <f t="shared" si="3"/>
        <v>5.1289848666503044</v>
      </c>
      <c r="P16" s="633">
        <f t="shared" si="4"/>
        <v>-1.4665044229773394</v>
      </c>
      <c r="Q16" s="585">
        <f>IF(M16="","",IF(DEGREES(ATAN2(N16,O16))&lt;0,DEGREES(ATAN2(N16,O16))+360,IF(DEGREES(ATAN2(N16,O16))&gt;360,DEGREES(ATAN2(N16,O16))-360,DEGREES(ATAN2(N16,O16)))))</f>
        <v>87.200000404269915</v>
      </c>
      <c r="R16" s="629">
        <f t="shared" si="79"/>
        <v>5.1351154875083127</v>
      </c>
      <c r="S16" s="634">
        <f t="shared" si="80"/>
        <v>-1.4665044229773394</v>
      </c>
      <c r="T16" s="635">
        <f t="shared" si="81"/>
        <v>5.1289848666503053</v>
      </c>
      <c r="U16" s="629">
        <f t="shared" si="82"/>
        <v>-0.25084917324936584</v>
      </c>
      <c r="V16" s="636">
        <f t="shared" si="114"/>
        <v>-1.4665044229773394</v>
      </c>
      <c r="W16" s="585">
        <f>IF(M16="","",IF(Q16-$Q$8&lt;0,360+Q16-$Q$8,Q16-$Q$8))</f>
        <v>357.20000040426993</v>
      </c>
      <c r="X16" s="629">
        <f t="shared" si="83"/>
        <v>5.1351154875083127</v>
      </c>
      <c r="Y16" s="630">
        <f t="shared" si="223"/>
        <v>-1.4665044229773394</v>
      </c>
      <c r="Z16" s="632">
        <f t="shared" si="6"/>
        <v>0.89885720871374841</v>
      </c>
      <c r="AA16" s="629">
        <f t="shared" si="7"/>
        <v>-0.43474905442608414</v>
      </c>
      <c r="AB16" s="629">
        <f t="shared" si="8"/>
        <v>-5.5217551729090715E-2</v>
      </c>
      <c r="AC16" s="636">
        <f t="shared" si="84"/>
        <v>1</v>
      </c>
      <c r="AD16" s="637">
        <f t="shared" si="115"/>
        <v>0.89885720871374841</v>
      </c>
      <c r="AE16" s="629">
        <f t="shared" si="85"/>
        <v>-0.43474905442608414</v>
      </c>
      <c r="AF16" s="633">
        <f t="shared" si="86"/>
        <v>-5.5217551729090715E-2</v>
      </c>
      <c r="AG16" s="602">
        <f t="shared" si="87"/>
        <v>-82.761609448685974</v>
      </c>
      <c r="AH16" s="603">
        <f t="shared" si="88"/>
        <v>25.991743356003376</v>
      </c>
      <c r="AI16" s="585">
        <f t="shared" si="89"/>
        <v>-86.834657429154106</v>
      </c>
      <c r="AJ16" s="586">
        <f t="shared" si="90"/>
        <v>64.188401485597339</v>
      </c>
      <c r="AK16" s="635">
        <f t="shared" si="211"/>
        <v>0.91902148513041348</v>
      </c>
      <c r="AL16" s="629">
        <f t="shared" si="91"/>
        <v>-0.3903210625238337</v>
      </c>
      <c r="AM16" s="634">
        <f t="shared" si="92"/>
        <v>-5.5217551729090715E-2</v>
      </c>
      <c r="AN16" s="581">
        <f t="shared" si="93"/>
        <v>-81.94796883955091</v>
      </c>
      <c r="AO16" s="582">
        <f t="shared" si="94"/>
        <v>23.216553615751074</v>
      </c>
      <c r="AP16" s="585">
        <f t="shared" si="95"/>
        <v>-23.011598918672604</v>
      </c>
      <c r="AQ16" s="586">
        <f t="shared" si="9"/>
        <v>0.44393957962603364</v>
      </c>
      <c r="AS16" s="52">
        <f t="shared" si="116"/>
        <v>-2.7999995957300712</v>
      </c>
      <c r="AT16" s="72">
        <f t="shared" si="10"/>
        <v>-1.4645599788136379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1.1220000000000001</v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IFERROR(ROUND(VALUE(IF($IH16&lt;1,$IH16+LARGE((IF($M$9:$M$150="",0,$M$9:$M$150)-MOD(IF($M$9:$M$150="",0,$M$9:$M$150),1)),1),$IH16)),4),"")</f>
        <v/>
      </c>
      <c r="IJ16" s="533">
        <f t="shared" si="112"/>
        <v>1613</v>
      </c>
      <c r="IK16" s="533" t="str">
        <f t="shared" si="66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71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76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0.2744034401955307</v>
      </c>
      <c r="C17" s="708">
        <v>5.2359303073119499</v>
      </c>
      <c r="D17" s="709">
        <v>-2.2280067196682665</v>
      </c>
      <c r="E17" s="710">
        <v>-0.85891831291544551</v>
      </c>
      <c r="F17" s="708">
        <v>0.51158507206074644</v>
      </c>
      <c r="G17" s="711">
        <v>-2.3238885151525418E-2</v>
      </c>
      <c r="H17" s="710">
        <v>0.314</v>
      </c>
      <c r="I17" s="708">
        <v>0.52</v>
      </c>
      <c r="J17" s="570">
        <v>1.125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1613</v>
      </c>
      <c r="M17" s="168">
        <f t="shared" si="1"/>
        <v>1.125</v>
      </c>
      <c r="N17" s="632">
        <f t="shared" si="2"/>
        <v>0.2744034401955307</v>
      </c>
      <c r="O17" s="629">
        <f t="shared" si="3"/>
        <v>5.2359303073119499</v>
      </c>
      <c r="P17" s="633">
        <f t="shared" si="4"/>
        <v>-2.2280067196682665</v>
      </c>
      <c r="Q17" s="585">
        <f>IF(M17="","",IF(DEGREES(ATAN2(N17,O17))&lt;0,DEGREES(ATAN2(N17,O17))+360,IF(DEGREES(ATAN2(N17,O17))&gt;360,DEGREES(ATAN2(N17,O17))-360,DEGREES(ATAN2(N17,O17)))))</f>
        <v>87.000000433146354</v>
      </c>
      <c r="R17" s="629">
        <f>IF(M17="","",SQRT(N17^2+O17^2))</f>
        <v>5.2431158132372921</v>
      </c>
      <c r="S17" s="634">
        <f>IF(M17="","",P17)</f>
        <v>-2.2280067196682665</v>
      </c>
      <c r="T17" s="635">
        <f>IF(M17="","",X17*COS(RADIANS(W17)))</f>
        <v>5.2359303073119499</v>
      </c>
      <c r="U17" s="629">
        <f>IF(M17="","",X17*SIN(RADIANS(W17)))</f>
        <v>-0.27440344019553309</v>
      </c>
      <c r="V17" s="636">
        <f>IF(M17="","",Y17)</f>
        <v>-2.2280067196682665</v>
      </c>
      <c r="W17" s="585">
        <f t="shared" si="224"/>
        <v>357.00000043314634</v>
      </c>
      <c r="X17" s="629">
        <f>IF(M17="","",R17)</f>
        <v>5.2431158132372921</v>
      </c>
      <c r="Y17" s="630">
        <f t="shared" si="223"/>
        <v>-2.2280067196682665</v>
      </c>
      <c r="Z17" s="632">
        <f t="shared" si="6"/>
        <v>0.85891831291544551</v>
      </c>
      <c r="AA17" s="629">
        <f t="shared" si="7"/>
        <v>-0.51158507206074644</v>
      </c>
      <c r="AB17" s="629">
        <f t="shared" si="8"/>
        <v>2.3238885151525418E-2</v>
      </c>
      <c r="AC17" s="636">
        <f>IF(M17="","",SQRT(Z17^2+AA17^2+AB17^2))</f>
        <v>1</v>
      </c>
      <c r="AD17" s="637">
        <f>IF(M17="","",Z17*(1/SQRT(Z17^2+AA17^2+AB17^2)))</f>
        <v>0.85891831291544551</v>
      </c>
      <c r="AE17" s="629">
        <f>IF(M17="","",AA17*(1/SQRT(Z17^2+AA17^2+AB17^2)))</f>
        <v>-0.51158507206074644</v>
      </c>
      <c r="AF17" s="633">
        <f>IF(M17="","",AB17*(1/SQRT(Z17^2+AA17^2+AB17^2)))</f>
        <v>2.3238885151525418E-2</v>
      </c>
      <c r="AG17" s="602">
        <f>IF(M17="","",DEGREES(ATAN2(-AF17,AE17)))</f>
        <v>-92.600887753925747</v>
      </c>
      <c r="AH17" s="603">
        <f>IF(M17="","",DEGREES(ACOS(AD17)))</f>
        <v>30.80465278682744</v>
      </c>
      <c r="AI17" s="585">
        <f>IF(M17="","",DEGREES(-ACOS(-AF17)))</f>
        <v>-91.33160991316916</v>
      </c>
      <c r="AJ17" s="586">
        <f>IF(M17="","",DEGREES(ATAN2(-AE17,AD17)))</f>
        <v>59.221315940571024</v>
      </c>
      <c r="AK17" s="635">
        <f>IF(M17="","",(COS(RADIANS((90-$Q$8)-W17))*AD17)+(-SIN(RADIANS((90-$Q$8)-W17))*AE17))</f>
        <v>0.8845154856424855</v>
      </c>
      <c r="AL17" s="629">
        <f>IF(M17="","",(SIN(RADIANS((90-$Q$8)-W17))*AD17)+(COS(RADIANS((90-$Q$8)-W17))*AE17))</f>
        <v>-0.46593165794518882</v>
      </c>
      <c r="AM17" s="634">
        <f>IF(M17="","",AF17)</f>
        <v>2.3238885151525418E-2</v>
      </c>
      <c r="AN17" s="581">
        <f>IF(M17="","",DEGREES(ATAN2(-AM17,AL17)))</f>
        <v>-92.85532776393805</v>
      </c>
      <c r="AO17" s="582">
        <f t="shared" si="94"/>
        <v>27.808044348323751</v>
      </c>
      <c r="AP17" s="585">
        <f>IF(M17="","",DEGREES(ATAN2(AK17,AL17)))</f>
        <v>-27.778684492575312</v>
      </c>
      <c r="AQ17" s="586">
        <f t="shared" si="9"/>
        <v>0.43479544455822527</v>
      </c>
      <c r="AS17" s="52">
        <f t="shared" si="116"/>
        <v>-2.9999995668536599</v>
      </c>
      <c r="AT17" s="72">
        <f t="shared" si="10"/>
        <v>-2.2259233866357291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1.125</v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IFERROR(ROUND(VALUE(IF($IH17&lt;1,$IH17+LARGE((IF($M$9:$M$150="",0,$M$9:$M$150)-MOD(IF($M$9:$M$150="",0,$M$9:$M$150),1)),1),$IH17)),4),"")</f>
        <v/>
      </c>
      <c r="IJ17" s="533">
        <f t="shared" si="112"/>
        <v>1613</v>
      </c>
      <c r="IK17" s="533" t="str">
        <f t="shared" si="66"/>
        <v/>
      </c>
      <c r="IL17" s="727" t="str">
        <f t="shared" ref="IL17:IL80" si="225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226">IF(ISNUMBER($II17),(($IO17*12)/60)/$AS$3,"")</f>
        <v/>
      </c>
      <c r="IO17" s="771"/>
      <c r="IP17" s="9" t="str">
        <f t="shared" ref="IP17:IP80" si="227">IF(ISNUMBER($II17),(INDEX($X$9:$X$150,MATCH($II17,$M$9:$M$150,0))*-1),"")</f>
        <v/>
      </c>
      <c r="IQ17" s="5" t="str">
        <f t="shared" ref="IQ17:IQ80" si="228">IF(ISNUMBER($II17),INDEX($Y$9:$Y$150,MATCH($II17,$M$9:$M$150,0)),"")</f>
        <v/>
      </c>
      <c r="IR17" s="5" t="str">
        <f t="shared" si="71"/>
        <v/>
      </c>
      <c r="IS17" s="5" t="str">
        <f t="shared" ref="IS17:IS80" si="229">IF(ISNUMBER($II17),$IR17*COS(RADIANS(INDEX($AO$9:$AO$150,MATCH($II17,$M$9:$M$150,0)))),"")</f>
        <v/>
      </c>
      <c r="IT17" s="727" t="str">
        <f t="shared" ref="IT17:IT80" si="230">IF(ISNUMBER($II17),(-1*INDEX($AN$9:$AN$150,MATCH($II17,$M$9:$M$150,0))),"")</f>
        <v/>
      </c>
      <c r="IU17" s="9" t="str">
        <f t="shared" ref="IU17:IU80" si="231">IF(ISNUMBER($II17),-$X17,"")</f>
        <v/>
      </c>
      <c r="IV17" s="5" t="str">
        <f t="shared" ref="IV17:IV80" si="232">IF(ISNUMBER($II17),$Y17,"")</f>
        <v/>
      </c>
      <c r="IW17" s="5" t="str">
        <f t="shared" si="76"/>
        <v/>
      </c>
      <c r="IX17" s="5" t="str">
        <f t="shared" ref="IX17:IX80" si="233">IF(ISNUMBER($II17),$IW17*COS(RADIANS($AO17)),"")</f>
        <v/>
      </c>
      <c r="IY17" s="762" t="str">
        <f t="shared" ref="IY17:IY80" si="234">IF(ISNUMBER($II17),(-1*$AN17),"")</f>
        <v/>
      </c>
    </row>
    <row r="18" spans="1:269" ht="15" customHeight="1" x14ac:dyDescent="0.25">
      <c r="A18" s="79"/>
      <c r="B18" s="707">
        <v>0.28641303183923023</v>
      </c>
      <c r="C18" s="708">
        <v>5.2884658656321353</v>
      </c>
      <c r="D18" s="709">
        <v>-2.9086087723640581</v>
      </c>
      <c r="E18" s="710">
        <v>-0.83771876217086827</v>
      </c>
      <c r="F18" s="708">
        <v>0.54610189114019303</v>
      </c>
      <c r="G18" s="711">
        <v>1.1339743353788052E-7</v>
      </c>
      <c r="H18" s="710">
        <v>0.26600000000000001</v>
      </c>
      <c r="I18" s="708">
        <v>0.52</v>
      </c>
      <c r="J18" s="570">
        <v>1.1279999999999999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1313</v>
      </c>
      <c r="L18" s="779" t="s">
        <v>331</v>
      </c>
      <c r="M18" s="168">
        <f t="shared" si="1"/>
        <v>1.1279999999999999</v>
      </c>
      <c r="N18" s="632">
        <f t="shared" si="2"/>
        <v>0.28641303183923023</v>
      </c>
      <c r="O18" s="629">
        <f t="shared" si="3"/>
        <v>5.2884658656321353</v>
      </c>
      <c r="P18" s="633">
        <f t="shared" si="4"/>
        <v>-2.9086087723640581</v>
      </c>
      <c r="Q18" s="585">
        <f t="shared" si="113"/>
        <v>86.900000447584546</v>
      </c>
      <c r="R18" s="629">
        <f>IF(M18="","",SQRT(N18^2+O18^2))</f>
        <v>5.2962159733873762</v>
      </c>
      <c r="S18" s="634">
        <f>IF(M18="","",P18)</f>
        <v>-2.9086087723640581</v>
      </c>
      <c r="T18" s="635">
        <f>IF(M18="","",X18*COS(RADIANS(W18)))</f>
        <v>5.2884658656321353</v>
      </c>
      <c r="U18" s="629">
        <f>IF(M18="","",X18*SIN(RADIANS(W18)))</f>
        <v>-0.28641303183923289</v>
      </c>
      <c r="V18" s="636">
        <f>IF(M18="","",Y18)</f>
        <v>-2.9086087723640581</v>
      </c>
      <c r="W18" s="585">
        <f t="shared" si="224"/>
        <v>356.90000044758455</v>
      </c>
      <c r="X18" s="629">
        <f>IF(M18="","",R18)</f>
        <v>5.2962159733873762</v>
      </c>
      <c r="Y18" s="630">
        <f t="shared" si="223"/>
        <v>-2.9086087723640581</v>
      </c>
      <c r="Z18" s="632">
        <f t="shared" si="6"/>
        <v>0.83771876217086827</v>
      </c>
      <c r="AA18" s="629">
        <f t="shared" si="7"/>
        <v>-0.54610189114019303</v>
      </c>
      <c r="AB18" s="629">
        <f t="shared" si="8"/>
        <v>-1.1339743353788052E-7</v>
      </c>
      <c r="AC18" s="636">
        <f>IF(M18="","",SQRT(Z18^2+AA18^2+AB18^2))</f>
        <v>1</v>
      </c>
      <c r="AD18" s="637">
        <f>IF(M18="","",Z18*(1/SQRT(Z18^2+AA18^2+AB18^2)))</f>
        <v>0.83771876217086827</v>
      </c>
      <c r="AE18" s="629">
        <f>IF(M18="","",AA18*(1/SQRT(Z18^2+AA18^2+AB18^2)))</f>
        <v>-0.54610189114019303</v>
      </c>
      <c r="AF18" s="633">
        <f>IF(M18="","",AB18*(1/SQRT(Z18^2+AA18^2+AB18^2)))</f>
        <v>-1.1339743353788052E-7</v>
      </c>
      <c r="AG18" s="602">
        <f>IF(M18="","",DEGREES(ATAN2(-AF18,AE18)))</f>
        <v>-89.999988102596873</v>
      </c>
      <c r="AH18" s="603">
        <f>IF(M18="","",DEGREES(ACOS(AD18)))</f>
        <v>33.099995220951911</v>
      </c>
      <c r="AI18" s="585">
        <f>IF(M18="","",DEGREES(-ACOS(-AF18)))</f>
        <v>-89.999993502805651</v>
      </c>
      <c r="AJ18" s="586">
        <f>IF(M18="","",DEGREES(ATAN2(-AE18,AD18)))</f>
        <v>56.900004779048658</v>
      </c>
      <c r="AK18" s="635">
        <f>IF(M18="","",(COS(RADIANS((90-$Q$8)-W18))*AD18)+(-SIN(RADIANS((90-$Q$8)-W18))*AE18))</f>
        <v>0.86602544158358585</v>
      </c>
      <c r="AL18" s="629">
        <f>IF(M18="","",(SIN(RADIANS((90-$Q$8)-W18))*AD18)+(COS(RADIANS((90-$Q$8)-W18))*AE18))</f>
        <v>-0.49999993452993796</v>
      </c>
      <c r="AM18" s="634">
        <f>IF(M18="","",AF18)</f>
        <v>-1.1339743353788052E-7</v>
      </c>
      <c r="AN18" s="581">
        <f>IF(M18="","",DEGREES(ATAN2(-AM18,AL18)))</f>
        <v>-89.999987005609611</v>
      </c>
      <c r="AO18" s="582">
        <f t="shared" si="94"/>
        <v>29.99999566853651</v>
      </c>
      <c r="AP18" s="585">
        <f>IF(M18="","",DEGREES(ATAN2(AK18,AL18)))</f>
        <v>-29.999995668535867</v>
      </c>
      <c r="AQ18" s="586">
        <f t="shared" si="9"/>
        <v>0.43043632574939006</v>
      </c>
      <c r="AS18" s="52">
        <f t="shared" si="116"/>
        <v>-3.0999995524154542</v>
      </c>
      <c r="AT18" s="72">
        <f t="shared" si="10"/>
        <v>-2.9064559948971032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1.1279999999999999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1313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0.95651448738695877</v>
      </c>
      <c r="C19" s="708">
        <v>1.6026597451017059</v>
      </c>
      <c r="D19" s="709">
        <v>-0.40079712126353423</v>
      </c>
      <c r="E19" s="710">
        <v>-1.9474689858959784E-7</v>
      </c>
      <c r="F19" s="708">
        <v>1.1623067868520517E-7</v>
      </c>
      <c r="G19" s="711">
        <v>0.99999999999997435</v>
      </c>
      <c r="H19" s="710">
        <v>0.25700000000000001</v>
      </c>
      <c r="I19" s="708">
        <v>0.45500000000000002</v>
      </c>
      <c r="J19" s="570">
        <v>1.2070000000000001</v>
      </c>
      <c r="K19" s="865" t="str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Inactive</v>
      </c>
      <c r="L19" s="775" t="s">
        <v>366</v>
      </c>
      <c r="M19" s="168">
        <f t="shared" si="1"/>
        <v>1.2070000000000001</v>
      </c>
      <c r="N19" s="632">
        <f t="shared" si="2"/>
        <v>0.95651448738695877</v>
      </c>
      <c r="O19" s="629">
        <f t="shared" si="3"/>
        <v>1.6026597451017059</v>
      </c>
      <c r="P19" s="633">
        <f t="shared" si="4"/>
        <v>-0.40079712126353423</v>
      </c>
      <c r="Q19" s="585">
        <f t="shared" si="113"/>
        <v>59.17000445130062</v>
      </c>
      <c r="R19" s="629">
        <f>IF(M19="","",SQRT(N19^2+O19^2))</f>
        <v>1.8663971236450729</v>
      </c>
      <c r="S19" s="634">
        <f>IF(M19="","",P19)</f>
        <v>-0.40079712126353423</v>
      </c>
      <c r="T19" s="635">
        <f>IF(M19="","",X19*COS(RADIANS(W19)))</f>
        <v>1.6026597451017055</v>
      </c>
      <c r="U19" s="629">
        <f>IF(M19="","",X19*SIN(RADIANS(W19)))</f>
        <v>-0.95651448738695943</v>
      </c>
      <c r="V19" s="636">
        <f>IF(M19="","",Y19)</f>
        <v>-0.40079712126353423</v>
      </c>
      <c r="W19" s="585">
        <f t="shared" si="224"/>
        <v>329.1700044513006</v>
      </c>
      <c r="X19" s="629">
        <f>IF(M19="","",R19)</f>
        <v>1.8663971236450729</v>
      </c>
      <c r="Y19" s="630">
        <f t="shared" si="223"/>
        <v>-0.40079712126353423</v>
      </c>
      <c r="Z19" s="632">
        <f t="shared" si="6"/>
        <v>1.9474689858959784E-7</v>
      </c>
      <c r="AA19" s="629">
        <f t="shared" si="7"/>
        <v>-1.1623067868520517E-7</v>
      </c>
      <c r="AB19" s="629">
        <f t="shared" si="8"/>
        <v>-0.99999999999997435</v>
      </c>
      <c r="AC19" s="636">
        <f>IF(M19="","",SQRT(Z19^2+AA19^2+AB19^2))</f>
        <v>1</v>
      </c>
      <c r="AD19" s="637">
        <f>IF(M19="","",Z19*(1/SQRT(Z19^2+AA19^2+AB19^2)))</f>
        <v>1.9474689858959784E-7</v>
      </c>
      <c r="AE19" s="629">
        <f>IF(M19="","",AA19*(1/SQRT(Z19^2+AA19^2+AB19^2)))</f>
        <v>-1.1623067868520517E-7</v>
      </c>
      <c r="AF19" s="633">
        <f>IF(M19="","",AB19*(1/SQRT(Z19^2+AA19^2+AB19^2)))</f>
        <v>-0.99999999999997435</v>
      </c>
      <c r="AG19" s="602">
        <f>IF(M19="","",DEGREES(ATAN2(-AF19,AE19)))</f>
        <v>-6.659527338603573E-6</v>
      </c>
      <c r="AH19" s="603">
        <f>IF(M19="","",DEGREES(ACOS(AD19)))</f>
        <v>89.999988841824631</v>
      </c>
      <c r="AI19" s="585">
        <f>IF(M19="","",DEGREES(-ACOS(-AF19)))</f>
        <v>-1.2976235990044085E-5</v>
      </c>
      <c r="AJ19" s="586">
        <f>IF(M19="","",DEGREES(ATAN2(-AE19,AD19)))</f>
        <v>59.17000445130062</v>
      </c>
      <c r="AK19" s="635">
        <f>IF(M19="","",(COS(RADIANS((90-$Q$8)-W19))*AD19)+(-SIN(RADIANS((90-$Q$8)-W19))*AE19))</f>
        <v>2.2679489671923951E-7</v>
      </c>
      <c r="AL19" s="629">
        <f>IF(M19="","",(SIN(RADIANS((90-$Q$8)-W19))*AD19)+(COS(RADIANS((90-$Q$8)-W19))*AE19))</f>
        <v>9.26442286059391E-23</v>
      </c>
      <c r="AM19" s="634">
        <f>IF(M19="","",AF19)</f>
        <v>-0.99999999999997435</v>
      </c>
      <c r="AN19" s="581">
        <f>IF(M19="","",DEGREES(ATAN2(-AM19,AL19)))</f>
        <v>5.3081232953656169E-21</v>
      </c>
      <c r="AO19" s="582">
        <f t="shared" si="94"/>
        <v>0</v>
      </c>
      <c r="AP19" s="585">
        <f>IF(M19="","",DEGREES(ATAN2(AK19,AL19)))</f>
        <v>2.340495034126216E-14</v>
      </c>
      <c r="AQ19" s="586">
        <f t="shared" si="9"/>
        <v>1.2212735092163012</v>
      </c>
      <c r="AS19" s="52">
        <f t="shared" si="116"/>
        <v>-30.829995548699401</v>
      </c>
      <c r="AT19" s="72">
        <f t="shared" si="10"/>
        <v>-0.379387402132493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>Nose</v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1.2070000000000001</v>
      </c>
      <c r="IH19" s="731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>1.107</v>
      </c>
      <c r="II19" s="734" cm="1">
        <f t="array" ref="II19">IFERROR(ROUND(VALUE(IF($IH19&lt;1,$IH19+LARGE((IF($M$9:$M$150="",0,$M$9:$M$150)-MOD(IF($M$9:$M$150="",0,$M$9:$M$150),1)),1),$IH19)),4),"")</f>
        <v>1.107</v>
      </c>
      <c r="IJ19" s="533">
        <f t="shared" si="112"/>
        <v>1613</v>
      </c>
      <c r="IK19" s="533" t="str">
        <f t="shared" si="66"/>
        <v>Inactive</v>
      </c>
      <c r="IL19" s="727">
        <f t="shared" si="225"/>
        <v>30.829995548699401</v>
      </c>
      <c r="IM19" s="759">
        <v>6.7607009223507306E-2</v>
      </c>
      <c r="IN19" s="5">
        <f t="shared" si="226"/>
        <v>1.24</v>
      </c>
      <c r="IO19" s="771">
        <v>620</v>
      </c>
      <c r="IP19" s="9">
        <f t="shared" si="227"/>
        <v>-1.8780056640650828</v>
      </c>
      <c r="IQ19" s="5">
        <f t="shared" si="228"/>
        <v>-0.33880102182388183</v>
      </c>
      <c r="IR19" s="5">
        <f t="shared" si="71"/>
        <v>0.314</v>
      </c>
      <c r="IS19" s="5">
        <f t="shared" si="229"/>
        <v>0.30330071252667312</v>
      </c>
      <c r="IT19" s="727">
        <f t="shared" si="230"/>
        <v>-14.999997834268271</v>
      </c>
      <c r="IU19" s="9">
        <f t="shared" si="231"/>
        <v>-1.8663971236450729</v>
      </c>
      <c r="IV19" s="5">
        <f t="shared" si="232"/>
        <v>-0.40079712126353423</v>
      </c>
      <c r="IW19" s="5">
        <f t="shared" si="76"/>
        <v>0.25700000000000001</v>
      </c>
      <c r="IX19" s="5">
        <f t="shared" si="233"/>
        <v>0.25700000000000001</v>
      </c>
      <c r="IY19" s="762">
        <f t="shared" si="234"/>
        <v>-5.3081232953656169E-21</v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707">
        <v>0.95800414600635087</v>
      </c>
      <c r="C20" s="708">
        <v>2.4711616899122215</v>
      </c>
      <c r="D20" s="709">
        <v>-0.1739772903210913</v>
      </c>
      <c r="E20" s="710">
        <v>-2.1146059558291143E-7</v>
      </c>
      <c r="F20" s="708">
        <v>8.1977690208449787E-8</v>
      </c>
      <c r="G20" s="711">
        <v>0.99999999999997435</v>
      </c>
      <c r="H20" s="710">
        <v>0.25700000000000001</v>
      </c>
      <c r="I20" s="708">
        <v>0.45500000000000002</v>
      </c>
      <c r="J20" s="570">
        <v>1.21</v>
      </c>
      <c r="K20" s="865" t="str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Inactive</v>
      </c>
      <c r="L20" s="774">
        <f>IF($L19=$JH$22,$JH$30,IF($L19=$JI$22,$JI$30,""))</f>
        <v>500</v>
      </c>
      <c r="M20" s="168">
        <f t="shared" si="1"/>
        <v>1.21</v>
      </c>
      <c r="N20" s="632">
        <f t="shared" si="2"/>
        <v>0.95800414600635087</v>
      </c>
      <c r="O20" s="629">
        <f t="shared" si="3"/>
        <v>2.4711616899122215</v>
      </c>
      <c r="P20" s="633">
        <f t="shared" si="4"/>
        <v>-0.1739772903210913</v>
      </c>
      <c r="Q20" s="585">
        <f t="shared" si="113"/>
        <v>68.810003059457031</v>
      </c>
      <c r="R20" s="629">
        <f>IF(M20="","",SQRT(N20^2+O20^2))</f>
        <v>2.6503607379855265</v>
      </c>
      <c r="S20" s="634">
        <f>IF(M20="","",P20)</f>
        <v>-0.1739772903210913</v>
      </c>
      <c r="T20" s="635">
        <f>IF(M20="","",X20*COS(RADIANS(W20)))</f>
        <v>2.4711616899122211</v>
      </c>
      <c r="U20" s="629">
        <f>IF(M20="","",X20*SIN(RADIANS(W20)))</f>
        <v>-0.95800414600635209</v>
      </c>
      <c r="V20" s="636">
        <f>IF(M20="","",Y20)</f>
        <v>-0.1739772903210913</v>
      </c>
      <c r="W20" s="585">
        <f t="shared" si="224"/>
        <v>338.81000305945702</v>
      </c>
      <c r="X20" s="629">
        <f>IF(M20="","",R20)</f>
        <v>2.6503607379855265</v>
      </c>
      <c r="Y20" s="630">
        <f t="shared" si="223"/>
        <v>-0.1739772903210913</v>
      </c>
      <c r="Z20" s="632">
        <f t="shared" si="6"/>
        <v>2.1146059558291143E-7</v>
      </c>
      <c r="AA20" s="629">
        <f t="shared" si="7"/>
        <v>-8.1977690208449787E-8</v>
      </c>
      <c r="AB20" s="629">
        <f t="shared" si="8"/>
        <v>-0.99999999999997435</v>
      </c>
      <c r="AC20" s="636">
        <f>IF(M20="","",SQRT(Z20^2+AA20^2+AB20^2))</f>
        <v>1</v>
      </c>
      <c r="AD20" s="637">
        <f>IF(M20="","",Z20*(1/SQRT(Z20^2+AA20^2+AB20^2)))</f>
        <v>2.1146059558291143E-7</v>
      </c>
      <c r="AE20" s="629">
        <f>IF(M20="","",AA20*(1/SQRT(Z20^2+AA20^2+AB20^2)))</f>
        <v>-8.1977690208449787E-8</v>
      </c>
      <c r="AF20" s="633">
        <f>IF(M20="","",AB20*(1/SQRT(Z20^2+AA20^2+AB20^2)))</f>
        <v>-0.99999999999997435</v>
      </c>
      <c r="AG20" s="602">
        <f>IF(M20="","",DEGREES(ATAN2(-AF20,AE20)))</f>
        <v>-4.6969756631752168E-6</v>
      </c>
      <c r="AH20" s="603">
        <f>IF(M20="","",DEGREES(ACOS(AD20)))</f>
        <v>89.999987884200351</v>
      </c>
      <c r="AI20" s="585">
        <f>IF(M20="","",DEGREES(-ACOS(-AF20)))</f>
        <v>-1.2976235990044085E-5</v>
      </c>
      <c r="AJ20" s="586">
        <f>IF(M20="","",DEGREES(ATAN2(-AE20,AD20)))</f>
        <v>68.810003041802602</v>
      </c>
      <c r="AK20" s="635">
        <f>IF(M20="","",(COS(RADIANS((90-$Q$8)-W20))*AD20)+(-SIN(RADIANS((90-$Q$8)-W20))*AE20))</f>
        <v>2.267948967154953E-7</v>
      </c>
      <c r="AL20" s="629">
        <f>IF(M20="","",(SIN(RADIANS((90-$Q$8)-W20))*AD20)+(COS(RADIANS((90-$Q$8)-W20))*AE20))</f>
        <v>-6.9881687221247672E-17</v>
      </c>
      <c r="AM20" s="634">
        <f>IF(M20="","",AF20)</f>
        <v>-0.99999999999997435</v>
      </c>
      <c r="AN20" s="581">
        <f>IF(M20="","",DEGREES(ATAN2(-AM20,AL20)))</f>
        <v>-4.0039257430308915E-15</v>
      </c>
      <c r="AO20" s="582">
        <f t="shared" si="94"/>
        <v>0</v>
      </c>
      <c r="AP20" s="585">
        <f>IF(M20="","",DEGREES(ATAN2(AK20,AL20)))</f>
        <v>-1.7654390821913185E-8</v>
      </c>
      <c r="AQ20" s="586">
        <f t="shared" si="9"/>
        <v>0.86009249841924929</v>
      </c>
      <c r="AS20" s="52">
        <f t="shared" si="116"/>
        <v>-21.189996940542983</v>
      </c>
      <c r="AT20" s="72">
        <f t="shared" si="10"/>
        <v>-0.15926201466793644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>Nose</v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1.21</v>
      </c>
      <c r="IH20" s="731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>1.1100000000000001</v>
      </c>
      <c r="II20" s="734" cm="1">
        <f t="array" ref="II20">IFERROR(ROUND(VALUE(IF($IH20&lt;1,$IH20+LARGE((IF($M$9:$M$150="",0,$M$9:$M$150)-MOD(IF($M$9:$M$150="",0,$M$9:$M$150),1)),1),$IH20)),4),"")</f>
        <v>1.1100000000000001</v>
      </c>
      <c r="IJ20" s="533">
        <f t="shared" si="112"/>
        <v>1613</v>
      </c>
      <c r="IK20" s="533" t="str">
        <f t="shared" si="66"/>
        <v>Inactive</v>
      </c>
      <c r="IL20" s="727">
        <f t="shared" si="225"/>
        <v>21.189996940542983</v>
      </c>
      <c r="IM20" s="759">
        <v>6.2290352050686698E-2</v>
      </c>
      <c r="IN20" s="5">
        <f t="shared" si="226"/>
        <v>1.56</v>
      </c>
      <c r="IO20" s="771">
        <v>780</v>
      </c>
      <c r="IP20" s="9">
        <f t="shared" si="227"/>
        <v>-2.6628080310290216</v>
      </c>
      <c r="IQ20" s="5">
        <f t="shared" si="228"/>
        <v>-0.12850038755716889</v>
      </c>
      <c r="IR20" s="5">
        <f t="shared" si="71"/>
        <v>0.314</v>
      </c>
      <c r="IS20" s="5">
        <f t="shared" si="229"/>
        <v>0.30655694837641501</v>
      </c>
      <c r="IT20" s="727">
        <f t="shared" si="230"/>
        <v>-14.999997834268264</v>
      </c>
      <c r="IU20" s="9">
        <f t="shared" si="231"/>
        <v>-2.6503607379855265</v>
      </c>
      <c r="IV20" s="5">
        <f t="shared" si="232"/>
        <v>-0.1739772903210913</v>
      </c>
      <c r="IW20" s="5">
        <f t="shared" si="76"/>
        <v>0.25700000000000001</v>
      </c>
      <c r="IX20" s="5">
        <f t="shared" si="233"/>
        <v>0.25700000000000001</v>
      </c>
      <c r="IY20" s="762">
        <f t="shared" si="234"/>
        <v>4.0039257430308915E-15</v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707">
        <v>2.6429604688380191</v>
      </c>
      <c r="C21" s="708">
        <v>1.2313073256796045</v>
      </c>
      <c r="D21" s="709">
        <v>-0.16260049040307906</v>
      </c>
      <c r="E21" s="710">
        <v>-0.42483500672102154</v>
      </c>
      <c r="F21" s="708">
        <v>0.8790119147005151</v>
      </c>
      <c r="G21" s="711">
        <v>0.21645616387362132</v>
      </c>
      <c r="H21" s="710">
        <v>0.314</v>
      </c>
      <c r="I21" s="708">
        <v>0.52</v>
      </c>
      <c r="J21" s="570">
        <v>2.1110000000000002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1613</v>
      </c>
      <c r="L21" s="776" t="s">
        <v>367</v>
      </c>
      <c r="M21" s="168">
        <f t="shared" si="1"/>
        <v>2.1110000000000002</v>
      </c>
      <c r="N21" s="632">
        <f t="shared" si="2"/>
        <v>2.6429604688380191</v>
      </c>
      <c r="O21" s="629">
        <f t="shared" si="3"/>
        <v>1.2313073256796045</v>
      </c>
      <c r="P21" s="633">
        <f t="shared" si="4"/>
        <v>-0.16260049040307906</v>
      </c>
      <c r="Q21" s="585">
        <f t="shared" si="113"/>
        <v>24.979957410163589</v>
      </c>
      <c r="R21" s="629">
        <f>IF(M21="","",SQRT(N21^2+O21^2))</f>
        <v>2.9157087937777222</v>
      </c>
      <c r="S21" s="634">
        <f>IF(M21="","",P21)</f>
        <v>-0.16260049040307906</v>
      </c>
      <c r="T21" s="635">
        <f>IF(M21="","",X21*COS(RADIANS(W21)))</f>
        <v>1.2313073256796043</v>
      </c>
      <c r="U21" s="629">
        <f>IF(M21="","",X21*SIN(RADIANS(W21)))</f>
        <v>-2.6429604688380191</v>
      </c>
      <c r="V21" s="636">
        <f>IF(M21="","",Y21)</f>
        <v>-0.16260049040307906</v>
      </c>
      <c r="W21" s="585">
        <f t="shared" si="224"/>
        <v>294.97995741016359</v>
      </c>
      <c r="X21" s="629">
        <f>IF(M21="","",R21)</f>
        <v>2.9157087937777222</v>
      </c>
      <c r="Y21" s="630">
        <f t="shared" si="223"/>
        <v>-0.16260049040307906</v>
      </c>
      <c r="Z21" s="632">
        <f t="shared" si="6"/>
        <v>0.42483500672102154</v>
      </c>
      <c r="AA21" s="629">
        <f t="shared" si="7"/>
        <v>-0.8790119147005151</v>
      </c>
      <c r="AB21" s="629">
        <f t="shared" si="8"/>
        <v>-0.21645616387362132</v>
      </c>
      <c r="AC21" s="636">
        <f>IF(M21="","",SQRT(Z21^2+AA21^2+AB21^2))</f>
        <v>1</v>
      </c>
      <c r="AD21" s="637">
        <f>IF(M21="","",Z21*(1/SQRT(Z21^2+AA21^2+AB21^2)))</f>
        <v>0.42483500672102154</v>
      </c>
      <c r="AE21" s="629">
        <f>IF(M21="","",AA21*(1/SQRT(Z21^2+AA21^2+AB21^2)))</f>
        <v>-0.8790119147005151</v>
      </c>
      <c r="AF21" s="633">
        <f>IF(M21="","",AB21*(1/SQRT(Z21^2+AA21^2+AB21^2)))</f>
        <v>-0.21645616387362132</v>
      </c>
      <c r="AG21" s="602">
        <f>IF(M21="","",DEGREES(ATAN2(-AF21,AE21)))</f>
        <v>-76.16618664009232</v>
      </c>
      <c r="AH21" s="603">
        <f>IF(M21="","",DEGREES(ACOS(AD21)))</f>
        <v>64.859779675790492</v>
      </c>
      <c r="AI21" s="585">
        <f>IF(M21="","",DEGREES(-ACOS(-AF21)))</f>
        <v>-77.499028733876457</v>
      </c>
      <c r="AJ21" s="586">
        <f>IF(M21="","",DEGREES(ATAN2(-AE21,AD21)))</f>
        <v>25.79492997934323</v>
      </c>
      <c r="AK21" s="635">
        <f>IF(M21="","",(COS(RADIANS((90-$Q$8)-W21))*AD21)+(-SIN(RADIANS((90-$Q$8)-W21))*AE21))</f>
        <v>0.97619357744023116</v>
      </c>
      <c r="AL21" s="629">
        <f>IF(M21="","",(SIN(RADIANS((90-$Q$8)-W21))*AD21)+(COS(RADIANS((90-$Q$8)-W21))*AE21))</f>
        <v>1.3886269677616137E-2</v>
      </c>
      <c r="AM21" s="634">
        <f>IF(M21="","",AF21)</f>
        <v>-0.21645616387362132</v>
      </c>
      <c r="AN21" s="581">
        <f>IF(M21="","",DEGREES(ATAN2(-AM21,AL21)))</f>
        <v>3.6706547536171699</v>
      </c>
      <c r="AO21" s="582">
        <f>IF(ROUND(IF(M21="",0,DEGREES(ACOS(AK21))),4)=90,0,IF(M21="","",DEGREES(ACOS(AK21))))</f>
        <v>12.527086251835518</v>
      </c>
      <c r="AP21" s="585">
        <f>IF(M21="","",DEGREES(ATAN2(AK21,AL21)))</f>
        <v>0.81497256917964345</v>
      </c>
      <c r="AQ21" s="586">
        <f t="shared" si="9"/>
        <v>0.78182880970482194</v>
      </c>
      <c r="AS21" s="52">
        <f t="shared" si="116"/>
        <v>-65.020042589836407</v>
      </c>
      <c r="AT21" s="72">
        <f t="shared" si="10"/>
        <v>-0.117447683049026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2.1110000000000002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707">
        <v>3.3538846318733797</v>
      </c>
      <c r="C22" s="708">
        <v>1.5220924124029487</v>
      </c>
      <c r="D22" s="709">
        <v>-0.2076006261234884</v>
      </c>
      <c r="E22" s="710">
        <v>-0.29468101867087987</v>
      </c>
      <c r="F22" s="708">
        <v>0.9348070553503367</v>
      </c>
      <c r="G22" s="711">
        <v>0.1982394171256695</v>
      </c>
      <c r="H22" s="710">
        <v>0.314</v>
      </c>
      <c r="I22" s="708">
        <v>0.52</v>
      </c>
      <c r="J22" s="570">
        <v>2.1139999999999999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1613</v>
      </c>
      <c r="L22" s="1313" t="str">
        <f>IF($L21=$JH$22,$JH$30,IF($L21=$JI$22,$JI$30,""))</f>
        <v/>
      </c>
      <c r="M22" s="168">
        <f t="shared" si="1"/>
        <v>2.1139999999999999</v>
      </c>
      <c r="N22" s="632">
        <f t="shared" si="2"/>
        <v>3.3538846318733797</v>
      </c>
      <c r="O22" s="629">
        <f t="shared" si="3"/>
        <v>1.5220924124029487</v>
      </c>
      <c r="P22" s="633">
        <f t="shared" si="4"/>
        <v>-0.2076006261234884</v>
      </c>
      <c r="Q22" s="585">
        <f t="shared" si="113"/>
        <v>24.409957492461402</v>
      </c>
      <c r="R22" s="629">
        <f t="shared" si="79"/>
        <v>3.6831111082631032</v>
      </c>
      <c r="S22" s="634">
        <f t="shared" si="80"/>
        <v>-0.2076006261234884</v>
      </c>
      <c r="T22" s="635">
        <f t="shared" si="81"/>
        <v>1.5220924124029467</v>
      </c>
      <c r="U22" s="629">
        <f t="shared" si="82"/>
        <v>-3.3538846318733806</v>
      </c>
      <c r="V22" s="636">
        <f t="shared" si="114"/>
        <v>-0.2076006261234884</v>
      </c>
      <c r="W22" s="585">
        <f t="shared" si="224"/>
        <v>294.40995749246139</v>
      </c>
      <c r="X22" s="629">
        <f t="shared" si="83"/>
        <v>3.6831111082631032</v>
      </c>
      <c r="Y22" s="630">
        <f t="shared" si="223"/>
        <v>-0.2076006261234884</v>
      </c>
      <c r="Z22" s="632">
        <f t="shared" si="6"/>
        <v>0.29468101867087987</v>
      </c>
      <c r="AA22" s="629">
        <f t="shared" si="7"/>
        <v>-0.9348070553503367</v>
      </c>
      <c r="AB22" s="629">
        <f t="shared" si="8"/>
        <v>-0.1982394171256695</v>
      </c>
      <c r="AC22" s="636">
        <f t="shared" si="84"/>
        <v>1</v>
      </c>
      <c r="AD22" s="637">
        <f t="shared" si="115"/>
        <v>0.29468101867087987</v>
      </c>
      <c r="AE22" s="629">
        <f t="shared" si="85"/>
        <v>-0.9348070553503367</v>
      </c>
      <c r="AF22" s="633">
        <f t="shared" si="86"/>
        <v>-0.1982394171256695</v>
      </c>
      <c r="AG22" s="602">
        <f t="shared" si="87"/>
        <v>-78.026975500901145</v>
      </c>
      <c r="AH22" s="603">
        <f t="shared" si="88"/>
        <v>72.861589153706419</v>
      </c>
      <c r="AI22" s="585">
        <f t="shared" si="89"/>
        <v>-78.565976210958425</v>
      </c>
      <c r="AJ22" s="586">
        <f t="shared" si="90"/>
        <v>17.496514835333855</v>
      </c>
      <c r="AK22" s="635">
        <f t="shared" si="211"/>
        <v>0.97302705619284668</v>
      </c>
      <c r="AL22" s="629">
        <f t="shared" si="91"/>
        <v>-0.1179808518970672</v>
      </c>
      <c r="AM22" s="634">
        <f t="shared" si="92"/>
        <v>-0.1982394171256695</v>
      </c>
      <c r="AN22" s="581">
        <f t="shared" si="93"/>
        <v>-30.758707010090472</v>
      </c>
      <c r="AO22" s="582">
        <f t="shared" si="94"/>
        <v>13.337758540077854</v>
      </c>
      <c r="AP22" s="585">
        <f t="shared" si="95"/>
        <v>-6.9134426571275123</v>
      </c>
      <c r="AQ22" s="586">
        <f t="shared" si="9"/>
        <v>0.61894357399152833</v>
      </c>
      <c r="AS22" s="52">
        <f t="shared" si="116"/>
        <v>-65.590042507538612</v>
      </c>
      <c r="AT22" s="72">
        <f t="shared" si="10"/>
        <v>-0.16205198549325325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2.1139999999999999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IFERROR(ROUND(VALUE(IF($IH22&lt;1,$IH22+LARGE((IF($M$9:$M$150="",0,$M$9:$M$150)-MOD(IF($M$9:$M$150="",0,$M$9:$M$150),1)),1),$IH22)),4),"")</f>
        <v/>
      </c>
      <c r="IJ22" s="533">
        <f t="shared" si="112"/>
        <v>1613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">IFERROR(TRANSPOSE(_xlfn._xlws.SORT(_xlfn.UNIQUE(_xlfn._xlws.FILTER($IE$9:$IE$150,$IE$9:$IE$150&lt;&gt;"")),,1)),"")</f>
        <v>Nose</v>
      </c>
      <c r="JG22" s="862"/>
      <c r="JH22" s="863" t="str" cm="1">
        <f t="array" ref="JH22">IFERROR(TRANSPOSE(_xlfn._xlws.SORT(_xlfn.UNIQUE(_xlfn._xlws.FILTER($IE$9:$IE$150,$IE$9:$IE$150&lt;&gt;"")),,1)),"")</f>
        <v>Nose</v>
      </c>
      <c r="JI22" s="862"/>
    </row>
    <row r="23" spans="1:269" ht="15" customHeight="1" thickTop="1" x14ac:dyDescent="0.25">
      <c r="A23" s="79"/>
      <c r="B23" s="707">
        <v>4.0182008217320062</v>
      </c>
      <c r="C23" s="708">
        <v>1.7446587829037126</v>
      </c>
      <c r="D23" s="709">
        <v>-0.53060160029442649</v>
      </c>
      <c r="E23" s="710">
        <v>-0.18308372801914069</v>
      </c>
      <c r="F23" s="708">
        <v>0.97394965536812583</v>
      </c>
      <c r="G23" s="711">
        <v>0.1337999153322687</v>
      </c>
      <c r="H23" s="710">
        <v>0.314</v>
      </c>
      <c r="I23" s="708">
        <v>0.52</v>
      </c>
      <c r="J23" s="570">
        <v>2.117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1613</v>
      </c>
      <c r="M23" s="168">
        <f t="shared" si="1"/>
        <v>2.117</v>
      </c>
      <c r="N23" s="632">
        <f t="shared" si="2"/>
        <v>4.0182008217320062</v>
      </c>
      <c r="O23" s="629">
        <f t="shared" si="3"/>
        <v>1.7446587829037126</v>
      </c>
      <c r="P23" s="633">
        <f t="shared" si="4"/>
        <v>-0.53060160029442649</v>
      </c>
      <c r="Q23" s="585">
        <f t="shared" si="113"/>
        <v>23.469957628180584</v>
      </c>
      <c r="R23" s="629">
        <f t="shared" si="79"/>
        <v>4.3806132119294476</v>
      </c>
      <c r="S23" s="634">
        <f t="shared" si="80"/>
        <v>-0.53060160029442649</v>
      </c>
      <c r="T23" s="635">
        <f t="shared" si="81"/>
        <v>1.7446587829037123</v>
      </c>
      <c r="U23" s="629">
        <f t="shared" si="82"/>
        <v>-4.0182008217320062</v>
      </c>
      <c r="V23" s="636">
        <f t="shared" si="114"/>
        <v>-0.53060160029442649</v>
      </c>
      <c r="W23" s="585">
        <f t="shared" si="224"/>
        <v>293.46995762818057</v>
      </c>
      <c r="X23" s="629">
        <f t="shared" si="83"/>
        <v>4.3806132119294476</v>
      </c>
      <c r="Y23" s="630">
        <f t="shared" si="223"/>
        <v>-0.53060160029442649</v>
      </c>
      <c r="Z23" s="632">
        <f t="shared" si="6"/>
        <v>0.18308372801914069</v>
      </c>
      <c r="AA23" s="629">
        <f t="shared" si="7"/>
        <v>-0.97394965536812583</v>
      </c>
      <c r="AB23" s="629">
        <f t="shared" si="8"/>
        <v>-0.1337999153322687</v>
      </c>
      <c r="AC23" s="636">
        <f t="shared" si="84"/>
        <v>1</v>
      </c>
      <c r="AD23" s="637">
        <f t="shared" si="115"/>
        <v>0.18308372801914069</v>
      </c>
      <c r="AE23" s="629">
        <f t="shared" si="85"/>
        <v>-0.97394965536812583</v>
      </c>
      <c r="AF23" s="633">
        <f t="shared" si="86"/>
        <v>-0.1337999153322687</v>
      </c>
      <c r="AG23" s="602">
        <f t="shared" si="87"/>
        <v>-82.17774590082864</v>
      </c>
      <c r="AH23" s="603">
        <f t="shared" si="88"/>
        <v>79.450569972994955</v>
      </c>
      <c r="AI23" s="585">
        <f t="shared" si="89"/>
        <v>-82.310769460303135</v>
      </c>
      <c r="AJ23" s="586">
        <f t="shared" si="90"/>
        <v>10.646259081540764</v>
      </c>
      <c r="AK23" s="635">
        <f t="shared" si="211"/>
        <v>0.96629027372100484</v>
      </c>
      <c r="AL23" s="629">
        <f t="shared" si="91"/>
        <v>-0.21995610827904624</v>
      </c>
      <c r="AM23" s="634">
        <f t="shared" si="92"/>
        <v>-0.1337999153322687</v>
      </c>
      <c r="AN23" s="581">
        <f t="shared" si="93"/>
        <v>-58.687733869675142</v>
      </c>
      <c r="AO23" s="582">
        <f t="shared" si="94"/>
        <v>14.919107713873023</v>
      </c>
      <c r="AP23" s="585">
        <f t="shared" si="95"/>
        <v>-12.823698546639815</v>
      </c>
      <c r="AQ23" s="586">
        <f t="shared" si="9"/>
        <v>0.52039836269230766</v>
      </c>
      <c r="AS23" s="52">
        <f t="shared" si="116"/>
        <v>-66.530042371819434</v>
      </c>
      <c r="AT23" s="72">
        <f t="shared" si="10"/>
        <v>-0.48440018198066298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2.117</v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IFERROR(ROUND(VALUE(IF($IH23&lt;1,$IH23+LARGE((IF($M$9:$M$150="",0,$M$9:$M$150)-MOD(IF($M$9:$M$150="",0,$M$9:$M$150),1)),1),$IH23)),4),"")</f>
        <v/>
      </c>
      <c r="IJ23" s="533">
        <f t="shared" si="112"/>
        <v>1613</v>
      </c>
      <c r="IK23" s="533" t="str">
        <f t="shared" si="66"/>
        <v/>
      </c>
      <c r="IL23" s="727" t="str">
        <f t="shared" si="225"/>
        <v/>
      </c>
      <c r="IM23" s="759"/>
      <c r="IN23" s="5" t="str">
        <f t="shared" si="226"/>
        <v/>
      </c>
      <c r="IO23" s="771"/>
      <c r="IP23" s="9" t="str">
        <f t="shared" si="227"/>
        <v/>
      </c>
      <c r="IQ23" s="5" t="str">
        <f t="shared" si="228"/>
        <v/>
      </c>
      <c r="IR23" s="5" t="str">
        <f t="shared" si="71"/>
        <v/>
      </c>
      <c r="IS23" s="5" t="str">
        <f t="shared" si="229"/>
        <v/>
      </c>
      <c r="IT23" s="727" t="str">
        <f t="shared" si="230"/>
        <v/>
      </c>
      <c r="IU23" s="9" t="str">
        <f t="shared" si="231"/>
        <v/>
      </c>
      <c r="IV23" s="5" t="str">
        <f t="shared" si="232"/>
        <v/>
      </c>
      <c r="IW23" s="5" t="str">
        <f t="shared" si="76"/>
        <v/>
      </c>
      <c r="IX23" s="5" t="str">
        <f t="shared" si="233"/>
        <v/>
      </c>
      <c r="IY23" s="762" t="str">
        <f t="shared" si="234"/>
        <v/>
      </c>
      <c r="JA23" s="855" t="str" cm="1">
        <f t="array" ref="JA23">IFERROR(_xlfn._xlws.SORT(_xlfn.UNIQUE(_xlfn._xlws.FILTER($IK$9:$IK$150,$IK$9:$IK$150&lt;&gt;"")),,1),"")</f>
        <v>Inactive</v>
      </c>
      <c r="JB23" s="859" cm="1">
        <f t="array" ref="JB23">IF($JA23="","",COUNT(IF(IF($II$9:$II$150&lt;&gt;"",$IK$9:$IK$150,"")=$JA23,$IG$9:$IG$150,"")))</f>
        <v>6</v>
      </c>
      <c r="JC23" s="199"/>
      <c r="JD23" s="199"/>
      <c r="JE23" s="871"/>
      <c r="JF23" s="796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6</v>
      </c>
      <c r="JG23" s="801"/>
      <c r="JH23" s="800" cm="1">
        <f t="array" ref="JH23">IF(_xlfn.ANCHORARRAY($JF$23)="","",_xlfn.MINIFS($IO$9:$IO$150,$IK$9:$IK$150,_xlfn.ANCHORARRAY($JA$23),$IE$9:$IE$150,_xlfn.ANCHORARRAY($JH$22),$II$9:$II$150,"&lt;&gt;"&amp;"",$IF$9:$IF$150,"&lt;&gt;"&amp;"Gage"))</f>
        <v>500</v>
      </c>
      <c r="JI23" s="801"/>
    </row>
    <row r="24" spans="1:269" ht="15" customHeight="1" x14ac:dyDescent="0.25">
      <c r="A24" s="79"/>
      <c r="B24" s="707">
        <v>4.5343620486809781</v>
      </c>
      <c r="C24" s="708">
        <v>1.8874688265145116</v>
      </c>
      <c r="D24" s="709">
        <v>-1.0865032768938832</v>
      </c>
      <c r="E24" s="710">
        <v>-7.9951545221035508E-2</v>
      </c>
      <c r="F24" s="708">
        <v>0.99411168380185633</v>
      </c>
      <c r="G24" s="711">
        <v>7.3141715494010842E-2</v>
      </c>
      <c r="H24" s="710">
        <v>0.314</v>
      </c>
      <c r="I24" s="708">
        <v>0.52</v>
      </c>
      <c r="J24" s="570">
        <v>2.12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1613</v>
      </c>
      <c r="M24" s="168">
        <f t="shared" si="1"/>
        <v>2.12</v>
      </c>
      <c r="N24" s="632">
        <f t="shared" si="2"/>
        <v>4.5343620486809781</v>
      </c>
      <c r="O24" s="629">
        <f t="shared" si="3"/>
        <v>1.8874688265145116</v>
      </c>
      <c r="P24" s="633">
        <f t="shared" si="4"/>
        <v>-1.0865032768938832</v>
      </c>
      <c r="Q24" s="585">
        <f t="shared" si="113"/>
        <v>22.599957753793028</v>
      </c>
      <c r="R24" s="629">
        <f t="shared" si="79"/>
        <v>4.9115148131286777</v>
      </c>
      <c r="S24" s="634">
        <f t="shared" si="80"/>
        <v>-1.0865032768938832</v>
      </c>
      <c r="T24" s="635">
        <f t="shared" si="81"/>
        <v>1.8874688265145141</v>
      </c>
      <c r="U24" s="629">
        <f t="shared" si="82"/>
        <v>-4.5343620486809781</v>
      </c>
      <c r="V24" s="636">
        <f t="shared" si="114"/>
        <v>-1.0865032768938832</v>
      </c>
      <c r="W24" s="585">
        <f t="shared" si="224"/>
        <v>292.59995775379303</v>
      </c>
      <c r="X24" s="629">
        <f t="shared" si="83"/>
        <v>4.9115148131286777</v>
      </c>
      <c r="Y24" s="630">
        <f t="shared" si="223"/>
        <v>-1.0865032768938832</v>
      </c>
      <c r="Z24" s="632">
        <f t="shared" si="6"/>
        <v>7.9951545221035508E-2</v>
      </c>
      <c r="AA24" s="629">
        <f t="shared" si="7"/>
        <v>-0.99411168380185633</v>
      </c>
      <c r="AB24" s="629">
        <f t="shared" si="8"/>
        <v>-7.3141715494010842E-2</v>
      </c>
      <c r="AC24" s="636">
        <f t="shared" si="84"/>
        <v>1</v>
      </c>
      <c r="AD24" s="637">
        <f t="shared" si="115"/>
        <v>7.9951545221035508E-2</v>
      </c>
      <c r="AE24" s="629">
        <f t="shared" si="85"/>
        <v>-0.99411168380185633</v>
      </c>
      <c r="AF24" s="633">
        <f t="shared" si="86"/>
        <v>-7.3141715494010842E-2</v>
      </c>
      <c r="AG24" s="602">
        <f t="shared" si="87"/>
        <v>-85.792047999933715</v>
      </c>
      <c r="AH24" s="603">
        <f t="shared" si="88"/>
        <v>85.414219440000039</v>
      </c>
      <c r="AI24" s="585">
        <f t="shared" si="89"/>
        <v>-85.805542856246348</v>
      </c>
      <c r="AJ24" s="586">
        <f t="shared" si="90"/>
        <v>4.5981227677510157</v>
      </c>
      <c r="AK24" s="635">
        <f>IF(M24="","",(COS(RADIANS((90-$Q$8)-W24))*AD24)+(-SIN(RADIANS((90-$Q$8)-W24))*AE24))</f>
        <v>0.94849929556667734</v>
      </c>
      <c r="AL24" s="629">
        <f t="shared" si="91"/>
        <v>-0.30821968750245365</v>
      </c>
      <c r="AM24" s="634">
        <f t="shared" si="92"/>
        <v>-7.3141715494010842E-2</v>
      </c>
      <c r="AN24" s="581">
        <f t="shared" si="93"/>
        <v>-76.650421041371089</v>
      </c>
      <c r="AO24" s="582">
        <f t="shared" si="94"/>
        <v>18.468258297736675</v>
      </c>
      <c r="AP24" s="585">
        <f t="shared" si="95"/>
        <v>-18.001834986042038</v>
      </c>
      <c r="AQ24" s="586">
        <f t="shared" si="9"/>
        <v>0.46414942219057287</v>
      </c>
      <c r="AS24" s="52">
        <f t="shared" si="116"/>
        <v>-67.400042246206965</v>
      </c>
      <c r="AT24" s="72">
        <f t="shared" si="10"/>
        <v>-1.039697692000684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2.12</v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IFERROR(ROUND(VALUE(IF($IH24&lt;1,$IH24+LARGE((IF($M$9:$M$150="",0,$M$9:$M$150)-MOD(IF($M$9:$M$150="",0,$M$9:$M$150),1)),1),$IH24)),4),"")</f>
        <v/>
      </c>
      <c r="IJ24" s="533">
        <f t="shared" si="112"/>
        <v>1613</v>
      </c>
      <c r="IK24" s="533" t="str">
        <f t="shared" si="66"/>
        <v/>
      </c>
      <c r="IL24" s="727" t="str">
        <f t="shared" si="225"/>
        <v/>
      </c>
      <c r="IM24" s="759"/>
      <c r="IN24" s="5" t="str">
        <f t="shared" si="226"/>
        <v/>
      </c>
      <c r="IO24" s="771"/>
      <c r="IP24" s="9" t="str">
        <f t="shared" si="227"/>
        <v/>
      </c>
      <c r="IQ24" s="5" t="str">
        <f t="shared" si="228"/>
        <v/>
      </c>
      <c r="IR24" s="5" t="str">
        <f t="shared" si="71"/>
        <v/>
      </c>
      <c r="IS24" s="5" t="str">
        <f t="shared" si="229"/>
        <v/>
      </c>
      <c r="IT24" s="727" t="str">
        <f t="shared" si="230"/>
        <v/>
      </c>
      <c r="IU24" s="9" t="str">
        <f t="shared" si="231"/>
        <v/>
      </c>
      <c r="IV24" s="5" t="str">
        <f t="shared" si="232"/>
        <v/>
      </c>
      <c r="IW24" s="5" t="str">
        <f t="shared" si="76"/>
        <v/>
      </c>
      <c r="IX24" s="5" t="str">
        <f t="shared" si="233"/>
        <v/>
      </c>
      <c r="IY24" s="762" t="str">
        <f t="shared" si="234"/>
        <v/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4.820500785295593</v>
      </c>
      <c r="C25" s="708">
        <v>1.9554384189927227</v>
      </c>
      <c r="D25" s="709">
        <v>-1.7982054233875571</v>
      </c>
      <c r="E25" s="710">
        <v>5.8472772045628341E-2</v>
      </c>
      <c r="F25" s="708">
        <v>0.99753577015386385</v>
      </c>
      <c r="G25" s="711">
        <v>3.8772699065681669E-2</v>
      </c>
      <c r="H25" s="710">
        <v>0.314</v>
      </c>
      <c r="I25" s="708">
        <v>0.52</v>
      </c>
      <c r="J25" s="570">
        <v>2.1230000000000002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1613</v>
      </c>
      <c r="L25" s="320"/>
      <c r="M25" s="168">
        <f t="shared" si="1"/>
        <v>2.1230000000000002</v>
      </c>
      <c r="N25" s="632">
        <f t="shared" si="2"/>
        <v>4.820500785295593</v>
      </c>
      <c r="O25" s="629">
        <f t="shared" si="3"/>
        <v>1.9554384189927227</v>
      </c>
      <c r="P25" s="633">
        <f t="shared" si="4"/>
        <v>-1.7982054233875571</v>
      </c>
      <c r="Q25" s="585">
        <f t="shared" si="113"/>
        <v>22.079957828871727</v>
      </c>
      <c r="R25" s="629">
        <f>IF(M25="","",SQRT(N25^2+O25^2))</f>
        <v>5.2020156892793192</v>
      </c>
      <c r="S25" s="634">
        <f>IF(M25="","",P25)</f>
        <v>-1.7982054233875571</v>
      </c>
      <c r="T25" s="635">
        <f>IF(M25="","",X25*COS(RADIANS(W25)))</f>
        <v>1.9554384189927232</v>
      </c>
      <c r="U25" s="629">
        <f>IF(M25="","",X25*SIN(RADIANS(W25)))</f>
        <v>-4.820500785295593</v>
      </c>
      <c r="V25" s="636">
        <f>IF(M25="","",Y25)</f>
        <v>-1.7982054233875571</v>
      </c>
      <c r="W25" s="585">
        <f t="shared" si="224"/>
        <v>292.07995782887173</v>
      </c>
      <c r="X25" s="629">
        <f>IF(M25="","",R25)</f>
        <v>5.2020156892793192</v>
      </c>
      <c r="Y25" s="630">
        <f t="shared" si="223"/>
        <v>-1.7982054233875571</v>
      </c>
      <c r="Z25" s="632">
        <f t="shared" si="6"/>
        <v>-5.8472772045628341E-2</v>
      </c>
      <c r="AA25" s="629">
        <f t="shared" si="7"/>
        <v>-0.99753577015386385</v>
      </c>
      <c r="AB25" s="629">
        <f t="shared" si="8"/>
        <v>-3.8772699065681669E-2</v>
      </c>
      <c r="AC25" s="636">
        <f>IF(M25="","",SQRT(Z25^2+AA25^2+AB25^2))</f>
        <v>1</v>
      </c>
      <c r="AD25" s="637">
        <f>IF(M25="","",Z25*(1/SQRT(Z25^2+AA25^2+AB25^2)))</f>
        <v>-5.8472772045628341E-2</v>
      </c>
      <c r="AE25" s="629">
        <f>IF(M25="","",AA25*(1/SQRT(Z25^2+AA25^2+AB25^2)))</f>
        <v>-0.99753577015386385</v>
      </c>
      <c r="AF25" s="633">
        <f>IF(M25="","",AB25*(1/SQRT(Z25^2+AA25^2+AB25^2)))</f>
        <v>-3.8772699065681669E-2</v>
      </c>
      <c r="AG25" s="602">
        <f>IF(M25="","",DEGREES(ATAN2(-AF25,AE25)))</f>
        <v>-87.774120614704074</v>
      </c>
      <c r="AH25" s="603">
        <f>IF(M25="","",DEGREES(ACOS(AD25)))</f>
        <v>93.352155114465091</v>
      </c>
      <c r="AI25" s="585">
        <f>IF(M25="","",DEGREES(-ACOS(-AF25)))</f>
        <v>-87.777930998273007</v>
      </c>
      <c r="AJ25" s="586">
        <f>IF(M25="","",DEGREES(ATAN2(-AE25,AD25)))</f>
        <v>-3.3546805289273123</v>
      </c>
      <c r="AK25" s="635">
        <f>IF(M25="","",(COS(RADIANS((90-$Q$8)-W25))*AD25)+(-SIN(RADIANS((90-$Q$8)-W25))*AE25))</f>
        <v>0.90239675134744923</v>
      </c>
      <c r="AL25" s="629">
        <f>IF(M25="","",(SIN(RADIANS((90-$Q$8)-W25))*AD25)+(COS(RADIANS((90-$Q$8)-W25))*AE25))</f>
        <v>-0.42915822369463241</v>
      </c>
      <c r="AM25" s="634">
        <f>IF(M25="","",AF25)</f>
        <v>-3.8772699065681669E-2</v>
      </c>
      <c r="AN25" s="581">
        <f>IF(M25="","",DEGREES(ATAN2(-AM25,AL25)))</f>
        <v>-84.837574945462464</v>
      </c>
      <c r="AO25" s="582">
        <f>IF(ROUND(IF(M25="",0,DEGREES(ACOS(AK25))),4)=90,0,IF(M25="","",DEGREES(ACOS(AK25))))</f>
        <v>25.525079937291192</v>
      </c>
      <c r="AP25" s="585">
        <f>IF(M25="","",DEGREES(ATAN2(AK25,AL25)))</f>
        <v>-25.434638357799045</v>
      </c>
      <c r="AQ25" s="586">
        <f t="shared" si="9"/>
        <v>0.4382305461673397</v>
      </c>
      <c r="AS25" s="52">
        <f t="shared" si="116"/>
        <v>-67.920042171128273</v>
      </c>
      <c r="AT25" s="72">
        <f t="shared" si="10"/>
        <v>-1.7510387274353847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2.1230000000000002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IFERROR(ROUND(VALUE(IF($IH25&lt;1,$IH25+LARGE((IF($M$9:$M$150="",0,$M$9:$M$150)-MOD(IF($M$9:$M$150="",0,$M$9:$M$150),1)),1),$IH25)),4),"")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4.86133377489117</v>
      </c>
      <c r="C26" s="708">
        <v>1.9641021765991014</v>
      </c>
      <c r="D26" s="709">
        <v>-2.5688077475241666</v>
      </c>
      <c r="E26" s="710">
        <v>0.10065970956458911</v>
      </c>
      <c r="F26" s="708">
        <v>0.99464947448198393</v>
      </c>
      <c r="G26" s="711">
        <v>-2.3238885151525362E-2</v>
      </c>
      <c r="H26" s="710">
        <v>0.314</v>
      </c>
      <c r="I26" s="708">
        <v>0.52</v>
      </c>
      <c r="J26" s="570">
        <v>2.1259999999999999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1613</v>
      </c>
      <c r="L26" s="320"/>
      <c r="M26" s="168">
        <f t="shared" si="1"/>
        <v>2.1259999999999999</v>
      </c>
      <c r="N26" s="632">
        <f t="shared" si="2"/>
        <v>4.86133377489117</v>
      </c>
      <c r="O26" s="629">
        <f t="shared" si="3"/>
        <v>1.9641021765991014</v>
      </c>
      <c r="P26" s="633">
        <f t="shared" si="4"/>
        <v>-2.5688077475241666</v>
      </c>
      <c r="Q26" s="585">
        <f t="shared" si="113"/>
        <v>21.999957840422297</v>
      </c>
      <c r="R26" s="629">
        <f>IF(M26="","",SQRT(N26^2+O26^2))</f>
        <v>5.243115813237293</v>
      </c>
      <c r="S26" s="634">
        <f>IF(M26="","",P26)</f>
        <v>-2.5688077475241666</v>
      </c>
      <c r="T26" s="635">
        <f>IF(M26="","",X26*COS(RADIANS(W26)))</f>
        <v>1.9641021765991054</v>
      </c>
      <c r="U26" s="629">
        <f>IF(M26="","",X26*SIN(RADIANS(W26)))</f>
        <v>-4.8613337748911682</v>
      </c>
      <c r="V26" s="636">
        <f>IF(M26="","",Y26)</f>
        <v>-2.5688077475241666</v>
      </c>
      <c r="W26" s="585">
        <f t="shared" si="224"/>
        <v>291.99995784042233</v>
      </c>
      <c r="X26" s="629">
        <f>IF(M26="","",R26)</f>
        <v>5.243115813237293</v>
      </c>
      <c r="Y26" s="630">
        <f t="shared" si="223"/>
        <v>-2.5688077475241666</v>
      </c>
      <c r="Z26" s="632">
        <f t="shared" si="6"/>
        <v>-0.10065970956458911</v>
      </c>
      <c r="AA26" s="629">
        <f t="shared" si="7"/>
        <v>-0.99464947448198393</v>
      </c>
      <c r="AB26" s="629">
        <f t="shared" si="8"/>
        <v>2.3238885151525362E-2</v>
      </c>
      <c r="AC26" s="636">
        <f>IF(M26="","",SQRT(Z26^2+AA26^2+AB26^2))</f>
        <v>1</v>
      </c>
      <c r="AD26" s="637">
        <f>IF(M26="","",Z26*(1/SQRT(Z26^2+AA26^2+AB26^2)))</f>
        <v>-0.10065970956458911</v>
      </c>
      <c r="AE26" s="629">
        <f>IF(M26="","",AA26*(1/SQRT(Z26^2+AA26^2+AB26^2)))</f>
        <v>-0.99464947448198393</v>
      </c>
      <c r="AF26" s="633">
        <f>IF(M26="","",AB26*(1/SQRT(Z26^2+AA26^2+AB26^2)))</f>
        <v>2.3238885151525362E-2</v>
      </c>
      <c r="AG26" s="602">
        <f>IF(M26="","",DEGREES(ATAN2(-AF26,AE26)))</f>
        <v>-91.338409036615445</v>
      </c>
      <c r="AH26" s="603">
        <f>IF(M26="","",DEGREES(ACOS(AD26)))</f>
        <v>95.777160741864591</v>
      </c>
      <c r="AI26" s="585">
        <f>IF(M26="","",DEGREES(-ACOS(-AF26)))</f>
        <v>-91.33160991316916</v>
      </c>
      <c r="AJ26" s="586">
        <f>IF(M26="","",DEGREES(ATAN2(-AE26,AD26)))</f>
        <v>-5.7787266521530283</v>
      </c>
      <c r="AK26" s="635">
        <f>IF(M26="","",(COS(RADIANS((90-$Q$8)-W26))*AD26)+(-SIN(RADIANS((90-$Q$8)-W26))*AE26))</f>
        <v>0.88451548564248494</v>
      </c>
      <c r="AL26" s="629">
        <f>IF(M26="","",(SIN(RADIANS((90-$Q$8)-W26))*AD26)+(COS(RADIANS((90-$Q$8)-W26))*AE26))</f>
        <v>-0.4659316579451897</v>
      </c>
      <c r="AM26" s="634">
        <f>IF(M26="","",AF26)</f>
        <v>2.3238885151525362E-2</v>
      </c>
      <c r="AN26" s="581">
        <f>IF(M26="","",DEGREES(ATAN2(-AM26,AL26)))</f>
        <v>-92.855327763938035</v>
      </c>
      <c r="AO26" s="582">
        <f t="shared" si="94"/>
        <v>27.808044348323815</v>
      </c>
      <c r="AP26" s="585">
        <f>IF(M26="","",DEGREES(ATAN2(AK26,AL26)))</f>
        <v>-27.778684492575373</v>
      </c>
      <c r="AQ26" s="586">
        <f t="shared" si="9"/>
        <v>0.43479544455822516</v>
      </c>
      <c r="AS26" s="52">
        <f t="shared" si="116"/>
        <v>-68.000042159577674</v>
      </c>
      <c r="AT26" s="72">
        <f t="shared" si="10"/>
        <v>-2.5215854960244597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2.1259999999999999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4.9140226416514183</v>
      </c>
      <c r="C27" s="708">
        <v>1.9754202373421212</v>
      </c>
      <c r="D27" s="709">
        <v>-3.2206097133588956</v>
      </c>
      <c r="E27" s="710">
        <v>0.14090188532657114</v>
      </c>
      <c r="F27" s="708">
        <v>0.9900235647253075</v>
      </c>
      <c r="G27" s="711">
        <v>1.133974335089263E-7</v>
      </c>
      <c r="H27" s="710">
        <v>0.26600000000000001</v>
      </c>
      <c r="I27" s="708">
        <v>0.52</v>
      </c>
      <c r="J27" s="570">
        <v>2.129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1313</v>
      </c>
      <c r="L27" s="320"/>
      <c r="M27" s="168">
        <f t="shared" si="1"/>
        <v>2.129</v>
      </c>
      <c r="N27" s="632">
        <f t="shared" si="2"/>
        <v>4.9140226416514183</v>
      </c>
      <c r="O27" s="629">
        <f t="shared" si="3"/>
        <v>1.9754202373421212</v>
      </c>
      <c r="P27" s="633">
        <f t="shared" si="4"/>
        <v>-3.2206097133588956</v>
      </c>
      <c r="Q27" s="585">
        <f t="shared" si="113"/>
        <v>21.899957854860503</v>
      </c>
      <c r="R27" s="629">
        <f t="shared" si="79"/>
        <v>5.2962159733873762</v>
      </c>
      <c r="S27" s="634">
        <f t="shared" si="80"/>
        <v>-3.2206097133588956</v>
      </c>
      <c r="T27" s="635">
        <f t="shared" si="81"/>
        <v>1.9754202373421248</v>
      </c>
      <c r="U27" s="629">
        <f t="shared" si="82"/>
        <v>-4.9140226416514174</v>
      </c>
      <c r="V27" s="636">
        <f t="shared" si="114"/>
        <v>-3.2206097133588956</v>
      </c>
      <c r="W27" s="585">
        <f t="shared" si="224"/>
        <v>291.89995785486053</v>
      </c>
      <c r="X27" s="629">
        <f t="shared" si="83"/>
        <v>5.2962159733873762</v>
      </c>
      <c r="Y27" s="630">
        <f t="shared" si="223"/>
        <v>-3.2206097133588956</v>
      </c>
      <c r="Z27" s="632">
        <f t="shared" si="6"/>
        <v>-0.14090188532657114</v>
      </c>
      <c r="AA27" s="629">
        <f t="shared" si="7"/>
        <v>-0.9900235647253075</v>
      </c>
      <c r="AB27" s="629">
        <f t="shared" si="8"/>
        <v>-1.133974335089263E-7</v>
      </c>
      <c r="AC27" s="636">
        <f t="shared" si="84"/>
        <v>1</v>
      </c>
      <c r="AD27" s="637">
        <f t="shared" si="115"/>
        <v>-0.14090188532657114</v>
      </c>
      <c r="AE27" s="629">
        <f t="shared" si="85"/>
        <v>-0.9900235647253075</v>
      </c>
      <c r="AF27" s="633">
        <f t="shared" si="86"/>
        <v>-1.133974335089263E-7</v>
      </c>
      <c r="AG27" s="602">
        <f t="shared" si="87"/>
        <v>-89.999993437333643</v>
      </c>
      <c r="AH27" s="603">
        <f t="shared" si="88"/>
        <v>98.100037813675343</v>
      </c>
      <c r="AI27" s="585">
        <f t="shared" si="89"/>
        <v>-89.999993502805651</v>
      </c>
      <c r="AJ27" s="586">
        <f t="shared" si="90"/>
        <v>-8.1000378136753977</v>
      </c>
      <c r="AK27" s="635">
        <f t="shared" si="211"/>
        <v>0.8660254415835853</v>
      </c>
      <c r="AL27" s="629">
        <f t="shared" si="91"/>
        <v>-0.49999993452993907</v>
      </c>
      <c r="AM27" s="634">
        <f t="shared" si="92"/>
        <v>-1.133974335089263E-7</v>
      </c>
      <c r="AN27" s="581">
        <f t="shared" si="93"/>
        <v>-89.999987005609611</v>
      </c>
      <c r="AO27" s="582">
        <f t="shared" si="94"/>
        <v>29.999995668536574</v>
      </c>
      <c r="AP27" s="585">
        <f t="shared" si="95"/>
        <v>-29.999995668535945</v>
      </c>
      <c r="AQ27" s="586">
        <f t="shared" si="9"/>
        <v>0.43043632574939006</v>
      </c>
      <c r="AS27" s="52">
        <f t="shared" si="116"/>
        <v>-68.100042145139469</v>
      </c>
      <c r="AT27" s="72">
        <f t="shared" si="10"/>
        <v>-3.173318017424771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2.129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1313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0.68112669667341064</v>
      </c>
      <c r="C28" s="708">
        <v>-0.47693064860175138</v>
      </c>
      <c r="D28" s="709">
        <v>-0.61920186751283246</v>
      </c>
      <c r="E28" s="710">
        <v>0.49916002344389954</v>
      </c>
      <c r="F28" s="708">
        <v>0.82966215254342957</v>
      </c>
      <c r="G28" s="711">
        <v>0.24999996726497567</v>
      </c>
      <c r="H28" s="710">
        <v>0.314</v>
      </c>
      <c r="I28" s="708">
        <v>0.52</v>
      </c>
      <c r="J28" s="570">
        <v>3.1030000000000002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320"/>
      <c r="M28" s="168">
        <f t="shared" si="1"/>
        <v>3.1030000000000002</v>
      </c>
      <c r="N28" s="632">
        <f t="shared" si="2"/>
        <v>0.68112669667341064</v>
      </c>
      <c r="O28" s="629">
        <f t="shared" si="3"/>
        <v>-0.47693064860175138</v>
      </c>
      <c r="P28" s="633">
        <f t="shared" si="4"/>
        <v>-0.61920186751283246</v>
      </c>
      <c r="Q28" s="585">
        <f t="shared" si="113"/>
        <v>324.9999660702029</v>
      </c>
      <c r="R28" s="629">
        <f t="shared" si="79"/>
        <v>0.83150250781156376</v>
      </c>
      <c r="S28" s="634">
        <f t="shared" si="80"/>
        <v>-0.61920186751283246</v>
      </c>
      <c r="T28" s="635">
        <f t="shared" si="81"/>
        <v>-0.47693064860175149</v>
      </c>
      <c r="U28" s="629">
        <f t="shared" si="82"/>
        <v>-0.68112669667341064</v>
      </c>
      <c r="V28" s="636">
        <f t="shared" si="114"/>
        <v>-0.61920186751283246</v>
      </c>
      <c r="W28" s="585">
        <f t="shared" si="224"/>
        <v>234.9999660702029</v>
      </c>
      <c r="X28" s="629">
        <f t="shared" si="83"/>
        <v>0.83150250781156376</v>
      </c>
      <c r="Y28" s="630">
        <f t="shared" si="223"/>
        <v>-0.61920186751283246</v>
      </c>
      <c r="Z28" s="632">
        <f t="shared" si="6"/>
        <v>-0.49916002344389954</v>
      </c>
      <c r="AA28" s="629">
        <f t="shared" si="7"/>
        <v>-0.82966215254342957</v>
      </c>
      <c r="AB28" s="629">
        <f t="shared" si="8"/>
        <v>-0.24999996726497567</v>
      </c>
      <c r="AC28" s="636">
        <f t="shared" si="84"/>
        <v>1</v>
      </c>
      <c r="AD28" s="637">
        <f t="shared" si="115"/>
        <v>-0.49916002344389954</v>
      </c>
      <c r="AE28" s="629">
        <f t="shared" si="85"/>
        <v>-0.82966215254342957</v>
      </c>
      <c r="AF28" s="633">
        <f t="shared" si="86"/>
        <v>-0.24999996726497567</v>
      </c>
      <c r="AG28" s="602">
        <f t="shared" si="87"/>
        <v>-73.231004817230939</v>
      </c>
      <c r="AH28" s="603">
        <f t="shared" si="88"/>
        <v>119.94444314080609</v>
      </c>
      <c r="AI28" s="585">
        <f t="shared" si="89"/>
        <v>-75.522489751159455</v>
      </c>
      <c r="AJ28" s="586">
        <f t="shared" si="90"/>
        <v>-31.032904284710551</v>
      </c>
      <c r="AK28" s="635">
        <f t="shared" si="211"/>
        <v>0.96592583607220761</v>
      </c>
      <c r="AL28" s="629">
        <f t="shared" si="91"/>
        <v>6.6987279208207129E-2</v>
      </c>
      <c r="AM28" s="634">
        <f t="shared" si="92"/>
        <v>-0.24999996726497567</v>
      </c>
      <c r="AN28" s="581">
        <f t="shared" si="93"/>
        <v>14.999997834268251</v>
      </c>
      <c r="AO28" s="582">
        <f t="shared" si="94"/>
        <v>14.999997834268203</v>
      </c>
      <c r="AP28" s="585">
        <f t="shared" si="95"/>
        <v>3.9671296450865663</v>
      </c>
      <c r="AQ28" s="586">
        <f t="shared" si="9"/>
        <v>2.7396056842598222</v>
      </c>
      <c r="AS28" s="52">
        <f t="shared" si="116"/>
        <v>-125.0000339297971</v>
      </c>
      <c r="AT28" s="72">
        <f t="shared" si="10"/>
        <v>-0.53239628839491782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3.1030000000000002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1.3240808087828029</v>
      </c>
      <c r="C29" s="708">
        <v>-0.92713253205035595</v>
      </c>
      <c r="D29" s="709">
        <v>-0.40890123324611949</v>
      </c>
      <c r="E29" s="710">
        <v>0.49916002344389948</v>
      </c>
      <c r="F29" s="708">
        <v>0.82966215254342957</v>
      </c>
      <c r="G29" s="711">
        <v>0.2499999672649757</v>
      </c>
      <c r="H29" s="710">
        <v>0.314</v>
      </c>
      <c r="I29" s="708">
        <v>0.52</v>
      </c>
      <c r="J29" s="570">
        <v>3.1059999999999999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320"/>
      <c r="M29" s="168">
        <f t="shared" si="1"/>
        <v>3.1059999999999999</v>
      </c>
      <c r="N29" s="632">
        <f t="shared" si="2"/>
        <v>1.3240808087828029</v>
      </c>
      <c r="O29" s="629">
        <f t="shared" si="3"/>
        <v>-0.92713253205035595</v>
      </c>
      <c r="P29" s="633">
        <f t="shared" si="4"/>
        <v>-0.40890123324611949</v>
      </c>
      <c r="Q29" s="585">
        <f t="shared" si="113"/>
        <v>324.99996607020285</v>
      </c>
      <c r="R29" s="629">
        <f>IF(M29="","",SQRT(N29^2+O29^2))</f>
        <v>1.6164048750771032</v>
      </c>
      <c r="S29" s="634">
        <f>IF(M29="","",P29)</f>
        <v>-0.40890123324611949</v>
      </c>
      <c r="T29" s="635">
        <f>IF(M29="","",X29*COS(RADIANS(W29)))</f>
        <v>-0.92713253205035706</v>
      </c>
      <c r="U29" s="629">
        <f>IF(M29="","",X29*SIN(RADIANS(W29)))</f>
        <v>-1.324080808782802</v>
      </c>
      <c r="V29" s="636">
        <f>IF(M29="","",Y29)</f>
        <v>-0.40890123324611949</v>
      </c>
      <c r="W29" s="585">
        <f t="shared" si="224"/>
        <v>234.99996607020285</v>
      </c>
      <c r="X29" s="629">
        <f>IF(M29="","",R29)</f>
        <v>1.6164048750771032</v>
      </c>
      <c r="Y29" s="630">
        <f t="shared" si="223"/>
        <v>-0.40890123324611949</v>
      </c>
      <c r="Z29" s="632">
        <f t="shared" si="6"/>
        <v>-0.49916002344389948</v>
      </c>
      <c r="AA29" s="629">
        <f t="shared" si="7"/>
        <v>-0.82966215254342957</v>
      </c>
      <c r="AB29" s="629">
        <f t="shared" si="8"/>
        <v>-0.2499999672649757</v>
      </c>
      <c r="AC29" s="636">
        <f>IF(M29="","",SQRT(Z29^2+AA29^2+AB29^2))</f>
        <v>1</v>
      </c>
      <c r="AD29" s="637">
        <f>IF(M29="","",Z29*(1/SQRT(Z29^2+AA29^2+AB29^2)))</f>
        <v>-0.49916002344389948</v>
      </c>
      <c r="AE29" s="629">
        <f>IF(M29="","",AA29*(1/SQRT(Z29^2+AA29^2+AB29^2)))</f>
        <v>-0.82966215254342957</v>
      </c>
      <c r="AF29" s="633">
        <f>IF(M29="","",AB29*(1/SQRT(Z29^2+AA29^2+AB29^2)))</f>
        <v>-0.2499999672649757</v>
      </c>
      <c r="AG29" s="602">
        <f>IF(M29="","",DEGREES(ATAN2(-AF29,AE29)))</f>
        <v>-73.231004817230939</v>
      </c>
      <c r="AH29" s="603">
        <f>IF(M29="","",DEGREES(ACOS(AD29)))</f>
        <v>119.94444314080609</v>
      </c>
      <c r="AI29" s="585">
        <f>IF(M29="","",DEGREES(-ACOS(-AF29)))</f>
        <v>-75.522489751159455</v>
      </c>
      <c r="AJ29" s="586">
        <f>IF(M29="","",DEGREES(ATAN2(-AE29,AD29)))</f>
        <v>-31.032904284710551</v>
      </c>
      <c r="AK29" s="635">
        <f>IF(M29="","",(COS(RADIANS((90-$Q$8)-W29))*AD29)+(-SIN(RADIANS((90-$Q$8)-W29))*AE29))</f>
        <v>0.96592583607220739</v>
      </c>
      <c r="AL29" s="629">
        <f>IF(M29="","",(SIN(RADIANS((90-$Q$8)-W29))*AD29)+(COS(RADIANS((90-$Q$8)-W29))*AE29))</f>
        <v>6.6987279208208128E-2</v>
      </c>
      <c r="AM29" s="634">
        <f>IF(M29="","",AF29)</f>
        <v>-0.2499999672649757</v>
      </c>
      <c r="AN29" s="581">
        <f>IF(M29="","",DEGREES(ATAN2(-AM29,AL29)))</f>
        <v>14.999997834268465</v>
      </c>
      <c r="AO29" s="582">
        <f t="shared" si="94"/>
        <v>14.999997834268255</v>
      </c>
      <c r="AP29" s="585">
        <f>IF(M29="","",DEGREES(ATAN2(AK29,AL29)))</f>
        <v>3.9671296450866258</v>
      </c>
      <c r="AQ29" s="586">
        <f t="shared" si="9"/>
        <v>1.4100838134452087</v>
      </c>
      <c r="AS29" s="52">
        <f t="shared" si="116"/>
        <v>-125.00003392979715</v>
      </c>
      <c r="AT29" s="72">
        <f t="shared" si="10"/>
        <v>-0.32209565412820479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3.1059999999999999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707">
        <v>1.9676902442323503</v>
      </c>
      <c r="C30" s="708">
        <v>-1.3777932784200446</v>
      </c>
      <c r="D30" s="709">
        <v>-0.19830059807460382</v>
      </c>
      <c r="E30" s="710">
        <v>0.51409306623729989</v>
      </c>
      <c r="F30" s="708">
        <v>0.83186556510062981</v>
      </c>
      <c r="G30" s="711">
        <v>0.20906458534754577</v>
      </c>
      <c r="H30" s="710">
        <v>0.314</v>
      </c>
      <c r="I30" s="708">
        <v>0.52</v>
      </c>
      <c r="J30" s="570">
        <v>3.109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3.109</v>
      </c>
      <c r="N30" s="632">
        <f t="shared" si="2"/>
        <v>1.9676902442323503</v>
      </c>
      <c r="O30" s="629">
        <f t="shared" si="3"/>
        <v>-1.3777932784200446</v>
      </c>
      <c r="P30" s="633">
        <f t="shared" si="4"/>
        <v>-0.19830059807460382</v>
      </c>
      <c r="Q30" s="585">
        <f t="shared" si="113"/>
        <v>324.99996607020285</v>
      </c>
      <c r="R30" s="629">
        <f>IF(M30="","",SQRT(N30^2+O30^2))</f>
        <v>2.4021072447554501</v>
      </c>
      <c r="S30" s="634">
        <f>IF(M30="","",P30)</f>
        <v>-0.19830059807460382</v>
      </c>
      <c r="T30" s="635">
        <f>IF(M30="","",X30*COS(RADIANS(W30)))</f>
        <v>-1.3777932784200462</v>
      </c>
      <c r="U30" s="629">
        <f>IF(M30="","",X30*SIN(RADIANS(W30)))</f>
        <v>-1.967690244232349</v>
      </c>
      <c r="V30" s="636">
        <f>IF(M30="","",Y30)</f>
        <v>-0.19830059807460382</v>
      </c>
      <c r="W30" s="585">
        <f t="shared" si="224"/>
        <v>234.99996607020285</v>
      </c>
      <c r="X30" s="629">
        <f>IF(M30="","",R30)</f>
        <v>2.4021072447554501</v>
      </c>
      <c r="Y30" s="630">
        <f t="shared" si="223"/>
        <v>-0.19830059807460382</v>
      </c>
      <c r="Z30" s="632">
        <f t="shared" si="6"/>
        <v>-0.51409306623729989</v>
      </c>
      <c r="AA30" s="629">
        <f t="shared" si="7"/>
        <v>-0.83186556510062981</v>
      </c>
      <c r="AB30" s="629">
        <f t="shared" si="8"/>
        <v>-0.20906458534754577</v>
      </c>
      <c r="AC30" s="636">
        <f>IF(M30="","",SQRT(Z30^2+AA30^2+AB30^2))</f>
        <v>1</v>
      </c>
      <c r="AD30" s="637">
        <f>IF(M30="","",Z30*(1/SQRT(Z30^2+AA30^2+AB30^2)))</f>
        <v>-0.51409306623729989</v>
      </c>
      <c r="AE30" s="629">
        <f>IF(M30="","",AA30*(1/SQRT(Z30^2+AA30^2+AB30^2)))</f>
        <v>-0.83186556510062981</v>
      </c>
      <c r="AF30" s="633">
        <f>IF(M30="","",AB30*(1/SQRT(Z30^2+AA30^2+AB30^2)))</f>
        <v>-0.20906458534754577</v>
      </c>
      <c r="AG30" s="602">
        <f>IF(M30="","",DEGREES(ATAN2(-AF30,AE30)))</f>
        <v>-75.892588568906433</v>
      </c>
      <c r="AH30" s="603">
        <f>IF(M30="","",DEGREES(ACOS(AD30)))</f>
        <v>120.93685352027769</v>
      </c>
      <c r="AI30" s="585">
        <f>IF(M30="","",DEGREES(-ACOS(-AF30)))</f>
        <v>-77.932459801965933</v>
      </c>
      <c r="AJ30" s="586">
        <f>IF(M30="","",DEGREES(ATAN2(-AE30,AD30)))</f>
        <v>-31.716072556395304</v>
      </c>
      <c r="AK30" s="635">
        <f>IF(M30="","",(COS(RADIANS((90-$Q$8)-W30))*AD30)+(-SIN(RADIANS((90-$Q$8)-W30))*AE30))</f>
        <v>0.97629601393762733</v>
      </c>
      <c r="AL30" s="629">
        <f>IF(M30="","",(SIN(RADIANS((90-$Q$8)-W30))*AD30)+(COS(RADIANS((90-$Q$8)-W30))*AE30))</f>
        <v>5.6018678339988415E-2</v>
      </c>
      <c r="AM30" s="634">
        <f>IF(M30="","",AF30)</f>
        <v>-0.20906458534754577</v>
      </c>
      <c r="AN30" s="581">
        <f>IF(M30="","",DEGREES(ATAN2(-AM30,AL30)))</f>
        <v>14.999997834268465</v>
      </c>
      <c r="AO30" s="582">
        <f>IF(ROUND(IF(M30="",0,DEGREES(ACOS(AK30))),4)=90,0,IF(M30="","",DEGREES(ACOS(AK30))))</f>
        <v>12.499998195223544</v>
      </c>
      <c r="AP30" s="585">
        <f>IF(M30="","",DEGREES(ATAN2(AK30,AL30)))</f>
        <v>3.2839613734018704</v>
      </c>
      <c r="AQ30" s="586">
        <f t="shared" si="9"/>
        <v>0.94896602788609119</v>
      </c>
      <c r="AS30" s="52">
        <f t="shared" si="116"/>
        <v>-125.00003392979715</v>
      </c>
      <c r="AT30" s="72">
        <f t="shared" si="10"/>
        <v>-0.11149501895668912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3.109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>6</v>
      </c>
      <c r="JH30" s="804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>500</v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2.5944761051440501</v>
      </c>
      <c r="C31" s="708">
        <v>-1.8261379324617832</v>
      </c>
      <c r="D31" s="709">
        <v>-6.2500188500568515E-2</v>
      </c>
      <c r="E31" s="710">
        <v>0.59179924876139689</v>
      </c>
      <c r="F31" s="708">
        <v>0.77652537782956144</v>
      </c>
      <c r="G31" s="711">
        <v>0.21629143938700687</v>
      </c>
      <c r="H31" s="710">
        <v>0.314</v>
      </c>
      <c r="I31" s="708">
        <v>0.52</v>
      </c>
      <c r="J31" s="570">
        <v>3.1120000000000001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3.1120000000000001</v>
      </c>
      <c r="N31" s="632">
        <f t="shared" si="2"/>
        <v>2.5944761051440501</v>
      </c>
      <c r="O31" s="629">
        <f t="shared" si="3"/>
        <v>-1.8261379324617832</v>
      </c>
      <c r="P31" s="633">
        <f t="shared" si="4"/>
        <v>-6.2500188500568515E-2</v>
      </c>
      <c r="Q31" s="585">
        <f t="shared" si="113"/>
        <v>324.85996609041638</v>
      </c>
      <c r="R31" s="629">
        <f>IF(M31="","",SQRT(N31^2+O31^2))</f>
        <v>3.1727095688920595</v>
      </c>
      <c r="S31" s="634">
        <f>IF(M31="","",P31)</f>
        <v>-6.2500188500568515E-2</v>
      </c>
      <c r="T31" s="635">
        <f>IF(M31="","",X31*COS(RADIANS(W31)))</f>
        <v>-1.8261379324617844</v>
      </c>
      <c r="U31" s="629">
        <f>IF(M31="","",X31*SIN(RADIANS(W31)))</f>
        <v>-2.5944761051440497</v>
      </c>
      <c r="V31" s="636">
        <f>IF(M31="","",Y31)</f>
        <v>-6.2500188500568515E-2</v>
      </c>
      <c r="W31" s="585">
        <f t="shared" si="224"/>
        <v>234.85996609041638</v>
      </c>
      <c r="X31" s="629">
        <f>IF(M31="","",R31)</f>
        <v>3.1727095688920595</v>
      </c>
      <c r="Y31" s="630">
        <f t="shared" si="223"/>
        <v>-6.2500188500568515E-2</v>
      </c>
      <c r="Z31" s="632">
        <f t="shared" si="6"/>
        <v>-0.59179924876139689</v>
      </c>
      <c r="AA31" s="629">
        <f t="shared" si="7"/>
        <v>-0.77652537782956144</v>
      </c>
      <c r="AB31" s="629">
        <f t="shared" si="8"/>
        <v>-0.21629143938700687</v>
      </c>
      <c r="AC31" s="636">
        <f>IF(M31="","",SQRT(Z31^2+AA31^2+AB31^2))</f>
        <v>1</v>
      </c>
      <c r="AD31" s="637">
        <f>IF(M31="","",Z31*(1/SQRT(Z31^2+AA31^2+AB31^2)))</f>
        <v>-0.59179924876139689</v>
      </c>
      <c r="AE31" s="629">
        <f>IF(M31="","",AA31*(1/SQRT(Z31^2+AA31^2+AB31^2)))</f>
        <v>-0.77652537782956144</v>
      </c>
      <c r="AF31" s="633">
        <f>IF(M31="","",AB31*(1/SQRT(Z31^2+AA31^2+AB31^2)))</f>
        <v>-0.21629143938700687</v>
      </c>
      <c r="AG31" s="602">
        <f>IF(M31="","",DEGREES(ATAN2(-AF31,AE31)))</f>
        <v>-74.435486028808569</v>
      </c>
      <c r="AH31" s="603">
        <f>IF(M31="","",DEGREES(ACOS(AD31)))</f>
        <v>126.2847925753367</v>
      </c>
      <c r="AI31" s="585">
        <f>IF(M31="","",DEGREES(-ACOS(-AF31)))</f>
        <v>-77.508695757799316</v>
      </c>
      <c r="AJ31" s="586">
        <f>IF(M31="","",DEGREES(ATAN2(-AE31,AD31)))</f>
        <v>-37.311457461974932</v>
      </c>
      <c r="AK31" s="635">
        <f>IF(M31="","",(COS(RADIANS((90-$Q$8)-W31))*AD31)+(-SIN(RADIANS((90-$Q$8)-W31))*AE31))</f>
        <v>0.97562778034652076</v>
      </c>
      <c r="AL31" s="629">
        <f>IF(M31="","",(SIN(RADIANS((90-$Q$8)-W31))*AD31)+(COS(RADIANS((90-$Q$8)-W31))*AE31))</f>
        <v>-3.699253254398821E-2</v>
      </c>
      <c r="AM31" s="634">
        <f>IF(M31="","",AF31)</f>
        <v>-0.21629143938700687</v>
      </c>
      <c r="AN31" s="581">
        <f>IF(M31="","",DEGREES(ATAN2(-AM31,AL31)))</f>
        <v>-9.7054460194701111</v>
      </c>
      <c r="AO31" s="582">
        <f t="shared" si="94"/>
        <v>12.675678049825956</v>
      </c>
      <c r="AP31" s="585">
        <f>IF(M31="","",DEGREES(ATAN2(AK31,AL31)))</f>
        <v>-2.1714235523912855</v>
      </c>
      <c r="AQ31" s="586">
        <f t="shared" si="9"/>
        <v>0.71850482342463395</v>
      </c>
      <c r="AS31" s="52">
        <f t="shared" si="116"/>
        <v>-125.14003390958362</v>
      </c>
      <c r="AT31" s="72">
        <f t="shared" si="10"/>
        <v>2.4402612825531231E-2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3.1120000000000001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3.182658824002516</v>
      </c>
      <c r="C32" s="708">
        <v>-2.3030171846847263</v>
      </c>
      <c r="D32" s="709">
        <v>-0.2029006119482456</v>
      </c>
      <c r="E32" s="710">
        <v>0.6952597781124058</v>
      </c>
      <c r="F32" s="708">
        <v>0.6955415750204389</v>
      </c>
      <c r="G32" s="711">
        <v>0.18120639711990189</v>
      </c>
      <c r="H32" s="710">
        <v>0.314</v>
      </c>
      <c r="I32" s="708">
        <v>0.52</v>
      </c>
      <c r="J32" s="570">
        <v>3.1150000000000002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3.1150000000000002</v>
      </c>
      <c r="N32" s="632">
        <f t="shared" si="2"/>
        <v>3.182658824002516</v>
      </c>
      <c r="O32" s="629">
        <f t="shared" si="3"/>
        <v>-2.3030171846847263</v>
      </c>
      <c r="P32" s="633">
        <f t="shared" si="4"/>
        <v>-0.2029006119482456</v>
      </c>
      <c r="Q32" s="585">
        <f t="shared" si="113"/>
        <v>324.10996619870298</v>
      </c>
      <c r="R32" s="629">
        <f t="shared" si="79"/>
        <v>3.9285118483917345</v>
      </c>
      <c r="S32" s="634">
        <f t="shared" si="80"/>
        <v>-0.2029006119482456</v>
      </c>
      <c r="T32" s="635">
        <f t="shared" si="81"/>
        <v>-2.3030171846847249</v>
      </c>
      <c r="U32" s="629">
        <f t="shared" si="82"/>
        <v>-3.1826588240025173</v>
      </c>
      <c r="V32" s="636">
        <f t="shared" si="114"/>
        <v>-0.2029006119482456</v>
      </c>
      <c r="W32" s="585">
        <f t="shared" si="224"/>
        <v>234.10996619870298</v>
      </c>
      <c r="X32" s="629">
        <f t="shared" si="83"/>
        <v>3.9285118483917345</v>
      </c>
      <c r="Y32" s="630">
        <f t="shared" si="223"/>
        <v>-0.2029006119482456</v>
      </c>
      <c r="Z32" s="632">
        <f t="shared" si="6"/>
        <v>-0.6952597781124058</v>
      </c>
      <c r="AA32" s="629">
        <f t="shared" si="7"/>
        <v>-0.6955415750204389</v>
      </c>
      <c r="AB32" s="629">
        <f t="shared" si="8"/>
        <v>-0.18120639711990189</v>
      </c>
      <c r="AC32" s="636">
        <f t="shared" si="84"/>
        <v>1</v>
      </c>
      <c r="AD32" s="637">
        <f t="shared" si="115"/>
        <v>-0.6952597781124058</v>
      </c>
      <c r="AE32" s="629">
        <f t="shared" si="85"/>
        <v>-0.6955415750204389</v>
      </c>
      <c r="AF32" s="633">
        <f t="shared" si="86"/>
        <v>-0.18120639711990189</v>
      </c>
      <c r="AG32" s="602">
        <f t="shared" si="87"/>
        <v>-75.397578755276513</v>
      </c>
      <c r="AH32" s="603">
        <f t="shared" si="88"/>
        <v>134.04792178294986</v>
      </c>
      <c r="AI32" s="585">
        <f t="shared" si="89"/>
        <v>-79.559963092540656</v>
      </c>
      <c r="AJ32" s="586">
        <f t="shared" si="90"/>
        <v>-44.988391028486696</v>
      </c>
      <c r="AK32" s="635">
        <f t="shared" si="211"/>
        <v>0.97107171754467514</v>
      </c>
      <c r="AL32" s="629">
        <f t="shared" si="91"/>
        <v>-0.1555119321070228</v>
      </c>
      <c r="AM32" s="634">
        <f t="shared" si="92"/>
        <v>-0.18120639711990189</v>
      </c>
      <c r="AN32" s="581">
        <f t="shared" si="93"/>
        <v>-40.636302766008093</v>
      </c>
      <c r="AO32" s="582">
        <f t="shared" si="94"/>
        <v>13.815019476820073</v>
      </c>
      <c r="AP32" s="585">
        <f t="shared" si="95"/>
        <v>-9.098357227189684</v>
      </c>
      <c r="AQ32" s="586">
        <f t="shared" si="9"/>
        <v>0.58028301122985337</v>
      </c>
      <c r="AS32" s="52">
        <f t="shared" si="116"/>
        <v>-125.89003380129702</v>
      </c>
      <c r="AT32" s="72">
        <f t="shared" si="10"/>
        <v>-0.11547697736401155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3.1150000000000002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3.6657630089917395</v>
      </c>
      <c r="C33" s="708">
        <v>-2.7463379752367274</v>
      </c>
      <c r="D33" s="709">
        <v>-0.61020184036875058</v>
      </c>
      <c r="E33" s="710">
        <v>0.77434940024498222</v>
      </c>
      <c r="F33" s="708">
        <v>0.62400111438289863</v>
      </c>
      <c r="G33" s="711">
        <v>0.10490765267194396</v>
      </c>
      <c r="H33" s="710">
        <v>0.314</v>
      </c>
      <c r="I33" s="708">
        <v>0.52</v>
      </c>
      <c r="J33" s="570">
        <v>3.1179999999999999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1613</v>
      </c>
      <c r="L33" s="320"/>
      <c r="M33" s="168">
        <f t="shared" si="1"/>
        <v>3.1179999999999999</v>
      </c>
      <c r="N33" s="632">
        <f t="shared" si="2"/>
        <v>3.6657630089917395</v>
      </c>
      <c r="O33" s="629">
        <f t="shared" si="3"/>
        <v>-2.7463379752367274</v>
      </c>
      <c r="P33" s="633">
        <f t="shared" si="4"/>
        <v>-0.61020184036875058</v>
      </c>
      <c r="Q33" s="585">
        <f t="shared" si="113"/>
        <v>323.15996633586599</v>
      </c>
      <c r="R33" s="629">
        <f t="shared" si="79"/>
        <v>4.5804138145280655</v>
      </c>
      <c r="S33" s="634">
        <f t="shared" si="80"/>
        <v>-0.61020184036875058</v>
      </c>
      <c r="T33" s="635">
        <f t="shared" si="81"/>
        <v>-2.7463379752367278</v>
      </c>
      <c r="U33" s="629">
        <f t="shared" si="82"/>
        <v>-3.6657630089917399</v>
      </c>
      <c r="V33" s="636">
        <f t="shared" si="114"/>
        <v>-0.61020184036875058</v>
      </c>
      <c r="W33" s="585">
        <f t="shared" si="224"/>
        <v>233.15996633586599</v>
      </c>
      <c r="X33" s="629">
        <f t="shared" si="83"/>
        <v>4.5804138145280655</v>
      </c>
      <c r="Y33" s="630">
        <f t="shared" si="223"/>
        <v>-0.61020184036875058</v>
      </c>
      <c r="Z33" s="632">
        <f t="shared" si="6"/>
        <v>-0.77434940024498222</v>
      </c>
      <c r="AA33" s="629">
        <f t="shared" si="7"/>
        <v>-0.62400111438289863</v>
      </c>
      <c r="AB33" s="629">
        <f t="shared" si="8"/>
        <v>-0.10490765267194396</v>
      </c>
      <c r="AC33" s="636">
        <f t="shared" si="84"/>
        <v>1</v>
      </c>
      <c r="AD33" s="637">
        <f t="shared" si="115"/>
        <v>-0.77434940024498222</v>
      </c>
      <c r="AE33" s="629">
        <f t="shared" si="85"/>
        <v>-0.62400111438289863</v>
      </c>
      <c r="AF33" s="633">
        <f t="shared" si="86"/>
        <v>-0.10490765267194396</v>
      </c>
      <c r="AG33" s="602">
        <f t="shared" si="87"/>
        <v>-80.456625339467905</v>
      </c>
      <c r="AH33" s="603">
        <f t="shared" si="88"/>
        <v>140.74608413960314</v>
      </c>
      <c r="AI33" s="585">
        <f t="shared" si="89"/>
        <v>-83.97815393661088</v>
      </c>
      <c r="AJ33" s="586">
        <f t="shared" si="90"/>
        <v>-51.136770509443352</v>
      </c>
      <c r="AK33" s="635">
        <f t="shared" si="211"/>
        <v>0.96368265955983889</v>
      </c>
      <c r="AL33" s="629">
        <f t="shared" si="91"/>
        <v>-0.24558118021244801</v>
      </c>
      <c r="AM33" s="634">
        <f t="shared" si="92"/>
        <v>-0.10490765267194396</v>
      </c>
      <c r="AN33" s="581">
        <f t="shared" si="93"/>
        <v>-66.868739525252494</v>
      </c>
      <c r="AO33" s="582">
        <f t="shared" si="94"/>
        <v>15.488803038182525</v>
      </c>
      <c r="AP33" s="585">
        <f t="shared" si="95"/>
        <v>-14.296736845309319</v>
      </c>
      <c r="AQ33" s="586">
        <f t="shared" si="9"/>
        <v>0.49769941863768036</v>
      </c>
      <c r="AS33" s="52">
        <f t="shared" si="116"/>
        <v>-126.84003366413401</v>
      </c>
      <c r="AT33" s="72">
        <f t="shared" si="10"/>
        <v>-0.52211848365754643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3.1179999999999999</v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IFERROR(ROUND(VALUE(IF($IH33&lt;1,$IH33+LARGE((IF($M$9:$M$150="",0,$M$9:$M$150)-MOD(IF($M$9:$M$150="",0,$M$9:$M$150),1)),1),$IH33)),4),"")</f>
        <v/>
      </c>
      <c r="IJ33" s="533">
        <f t="shared" si="112"/>
        <v>1613</v>
      </c>
      <c r="IK33" s="533" t="str">
        <f t="shared" si="66"/>
        <v/>
      </c>
      <c r="IL33" s="727" t="str">
        <f t="shared" si="225"/>
        <v/>
      </c>
      <c r="IM33" s="759"/>
      <c r="IN33" s="5" t="str">
        <f t="shared" si="226"/>
        <v/>
      </c>
      <c r="IO33" s="771"/>
      <c r="IP33" s="9" t="str">
        <f t="shared" si="227"/>
        <v/>
      </c>
      <c r="IQ33" s="5" t="str">
        <f t="shared" si="228"/>
        <v/>
      </c>
      <c r="IR33" s="5" t="str">
        <f t="shared" si="71"/>
        <v/>
      </c>
      <c r="IS33" s="5" t="str">
        <f t="shared" si="229"/>
        <v/>
      </c>
      <c r="IT33" s="727" t="str">
        <f t="shared" si="230"/>
        <v/>
      </c>
      <c r="IU33" s="9" t="str">
        <f t="shared" si="231"/>
        <v/>
      </c>
      <c r="IV33" s="5" t="str">
        <f t="shared" si="232"/>
        <v/>
      </c>
      <c r="IW33" s="5" t="str">
        <f t="shared" si="76"/>
        <v/>
      </c>
      <c r="IX33" s="5" t="str">
        <f t="shared" si="233"/>
        <v/>
      </c>
      <c r="IY33" s="762" t="str">
        <f t="shared" si="234"/>
        <v/>
      </c>
    </row>
    <row r="34" spans="1:267" ht="15" customHeight="1" x14ac:dyDescent="0.25">
      <c r="A34" s="79"/>
      <c r="B34" s="707">
        <v>3.9903338013356464</v>
      </c>
      <c r="C34" s="708">
        <v>-3.0751939911695905</v>
      </c>
      <c r="D34" s="709">
        <v>-1.2280037036591702</v>
      </c>
      <c r="E34" s="710">
        <v>0.8474626471455502</v>
      </c>
      <c r="F34" s="708">
        <v>0.52662588945260946</v>
      </c>
      <c r="G34" s="711">
        <v>6.6874765429905725E-2</v>
      </c>
      <c r="H34" s="710">
        <v>0.314</v>
      </c>
      <c r="I34" s="708">
        <v>0.52</v>
      </c>
      <c r="J34" s="570">
        <v>3.121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3.121</v>
      </c>
      <c r="N34" s="632">
        <f t="shared" si="2"/>
        <v>3.9903338013356464</v>
      </c>
      <c r="O34" s="629">
        <f t="shared" si="3"/>
        <v>-3.0751939911695905</v>
      </c>
      <c r="P34" s="633">
        <f t="shared" si="4"/>
        <v>-1.2280037036591702</v>
      </c>
      <c r="Q34" s="585">
        <f t="shared" si="113"/>
        <v>322.37996644848403</v>
      </c>
      <c r="R34" s="629">
        <f>IF(M34="","",SQRT(N34^2+O34^2))</f>
        <v>5.0378151940506255</v>
      </c>
      <c r="S34" s="634">
        <f>IF(M34="","",P34)</f>
        <v>-1.2280037036591702</v>
      </c>
      <c r="T34" s="635">
        <f>IF(M34="","",X34*COS(RADIANS(W34)))</f>
        <v>-3.0751939911695905</v>
      </c>
      <c r="U34" s="629">
        <f>IF(M34="","",X34*SIN(RADIANS(W34)))</f>
        <v>-3.990333801335646</v>
      </c>
      <c r="V34" s="636">
        <f>IF(M34="","",Y34)</f>
        <v>-1.2280037036591702</v>
      </c>
      <c r="W34" s="585">
        <f t="shared" si="224"/>
        <v>232.37996644848403</v>
      </c>
      <c r="X34" s="629">
        <f>IF(M34="","",R34)</f>
        <v>5.0378151940506255</v>
      </c>
      <c r="Y34" s="630">
        <f t="shared" si="223"/>
        <v>-1.2280037036591702</v>
      </c>
      <c r="Z34" s="632">
        <f t="shared" si="6"/>
        <v>-0.8474626471455502</v>
      </c>
      <c r="AA34" s="629">
        <f t="shared" si="7"/>
        <v>-0.52662588945260946</v>
      </c>
      <c r="AB34" s="629">
        <f t="shared" si="8"/>
        <v>-6.6874765429905725E-2</v>
      </c>
      <c r="AC34" s="636">
        <f>IF(M34="","",SQRT(Z34^2+AA34^2+AB34^2))</f>
        <v>1</v>
      </c>
      <c r="AD34" s="637">
        <f>IF(M34="","",Z34*(1/SQRT(Z34^2+AA34^2+AB34^2)))</f>
        <v>-0.8474626471455502</v>
      </c>
      <c r="AE34" s="629">
        <f>IF(M34="","",AA34*(1/SQRT(Z34^2+AA34^2+AB34^2)))</f>
        <v>-0.52662588945260946</v>
      </c>
      <c r="AF34" s="633">
        <f>IF(M34="","",AB34*(1/SQRT(Z34^2+AA34^2+AB34^2)))</f>
        <v>-6.6874765429905725E-2</v>
      </c>
      <c r="AG34" s="602">
        <f>IF(M34="","",DEGREES(ATAN2(-AF34,AE34)))</f>
        <v>-82.762902739991361</v>
      </c>
      <c r="AH34" s="603">
        <f>IF(M34="","",DEGREES(ACOS(AD34)))</f>
        <v>147.93675609551426</v>
      </c>
      <c r="AI34" s="585">
        <f>IF(M34="","",DEGREES(-ACOS(-AF34)))</f>
        <v>-86.165496421915577</v>
      </c>
      <c r="AJ34" s="586">
        <f>IF(M34="","",DEGREES(ATAN2(-AE34,AD34)))</f>
        <v>-58.142567505012764</v>
      </c>
      <c r="AK34" s="635">
        <f>IF(M34="","",(COS(RADIANS((90-$Q$8)-W34))*AD34)+(-SIN(RADIANS((90-$Q$8)-W34))*AE34))</f>
        <v>0.93443783589822593</v>
      </c>
      <c r="AL34" s="629">
        <f>IF(M34="","",(SIN(RADIANS((90-$Q$8)-W34))*AD34)+(COS(RADIANS((90-$Q$8)-W34))*AE34))</f>
        <v>-0.34979093268770628</v>
      </c>
      <c r="AM34" s="634">
        <f>IF(M34="","",AF34)</f>
        <v>-6.6874765429905725E-2</v>
      </c>
      <c r="AN34" s="581">
        <f>IF(M34="","",DEGREES(ATAN2(-AM34,AL34)))</f>
        <v>-79.176519524679776</v>
      </c>
      <c r="AO34" s="582">
        <f t="shared" si="94"/>
        <v>20.862487577815159</v>
      </c>
      <c r="AP34" s="585">
        <f>IF(M34="","",DEGREES(ATAN2(AK34,AL34)))</f>
        <v>-20.522533953496783</v>
      </c>
      <c r="AQ34" s="586">
        <f t="shared" si="9"/>
        <v>0.45251346939955511</v>
      </c>
      <c r="AS34" s="52">
        <f t="shared" si="116"/>
        <v>-127.62003355151597</v>
      </c>
      <c r="AT34" s="72">
        <f t="shared" si="10"/>
        <v>-1.1393786803595063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3.121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4.1276219858121879</v>
      </c>
      <c r="C35" s="708">
        <v>-3.2236956256126383</v>
      </c>
      <c r="D35" s="709">
        <v>-1.9704059427443237</v>
      </c>
      <c r="E35" s="710">
        <v>0.91174391774219865</v>
      </c>
      <c r="F35" s="708">
        <v>0.41036779755537561</v>
      </c>
      <c r="G35" s="711">
        <v>1.7924820491633246E-2</v>
      </c>
      <c r="H35" s="710">
        <v>0.314</v>
      </c>
      <c r="I35" s="708">
        <v>0.52</v>
      </c>
      <c r="J35" s="570">
        <v>3.1240000000000001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3.1240000000000001</v>
      </c>
      <c r="N35" s="632">
        <f t="shared" si="2"/>
        <v>4.1276219858121879</v>
      </c>
      <c r="O35" s="629">
        <f t="shared" si="3"/>
        <v>-3.2236956256126383</v>
      </c>
      <c r="P35" s="633">
        <f t="shared" si="4"/>
        <v>-1.9704059427443237</v>
      </c>
      <c r="Q35" s="585">
        <f t="shared" si="113"/>
        <v>322.00996650190541</v>
      </c>
      <c r="R35" s="629">
        <f>IF(M35="","",SQRT(N35^2+O35^2))</f>
        <v>5.237315795744439</v>
      </c>
      <c r="S35" s="634">
        <f>IF(M35="","",P35)</f>
        <v>-1.9704059427443237</v>
      </c>
      <c r="T35" s="635">
        <f>IF(M35="","",X35*COS(RADIANS(W35)))</f>
        <v>-3.2236956256126388</v>
      </c>
      <c r="U35" s="629">
        <f>IF(M35="","",X35*SIN(RADIANS(W35)))</f>
        <v>-4.127621985812187</v>
      </c>
      <c r="V35" s="636">
        <f>IF(M35="","",Y35)</f>
        <v>-1.9704059427443237</v>
      </c>
      <c r="W35" s="585">
        <f t="shared" si="224"/>
        <v>232.00996650190541</v>
      </c>
      <c r="X35" s="629">
        <f>IF(M35="","",R35)</f>
        <v>5.237315795744439</v>
      </c>
      <c r="Y35" s="630">
        <f t="shared" si="223"/>
        <v>-1.9704059427443237</v>
      </c>
      <c r="Z35" s="632">
        <f t="shared" si="6"/>
        <v>-0.91174391774219865</v>
      </c>
      <c r="AA35" s="629">
        <f t="shared" si="7"/>
        <v>-0.41036779755537561</v>
      </c>
      <c r="AB35" s="629">
        <f t="shared" si="8"/>
        <v>-1.7924820491633246E-2</v>
      </c>
      <c r="AC35" s="636">
        <f>IF(M35="","",SQRT(Z35^2+AA35^2+AB35^2))</f>
        <v>1</v>
      </c>
      <c r="AD35" s="637">
        <f>IF(M35="","",Z35*(1/SQRT(Z35^2+AA35^2+AB35^2)))</f>
        <v>-0.91174391774219865</v>
      </c>
      <c r="AE35" s="629">
        <f>IF(M35="","",AA35*(1/SQRT(Z35^2+AA35^2+AB35^2)))</f>
        <v>-0.41036779755537561</v>
      </c>
      <c r="AF35" s="633">
        <f>IF(M35="","",AB35*(1/SQRT(Z35^2+AA35^2+AB35^2)))</f>
        <v>-1.7924820491633246E-2</v>
      </c>
      <c r="AG35" s="602">
        <f>IF(M35="","",DEGREES(ATAN2(-AF35,AE35)))</f>
        <v>-87.498916445283683</v>
      </c>
      <c r="AH35" s="603">
        <f>IF(M35="","",DEGREES(ACOS(AD35)))</f>
        <v>155.74747154783424</v>
      </c>
      <c r="AI35" s="585">
        <f>IF(M35="","",DEGREES(-ACOS(-AF35)))</f>
        <v>-88.97292843274839</v>
      </c>
      <c r="AJ35" s="586">
        <f>IF(M35="","",DEGREES(ATAN2(-AE35,AD35)))</f>
        <v>-65.767915490527216</v>
      </c>
      <c r="AK35" s="635">
        <f>IF(M35="","",(COS(RADIANS((90-$Q$8)-W35))*AD35)+(-SIN(RADIANS((90-$Q$8)-W35))*AE35))</f>
        <v>0.88461880158685435</v>
      </c>
      <c r="AL35" s="629">
        <f>IF(M35="","",(SIN(RADIANS((90-$Q$8)-W35))*AD35)+(COS(RADIANS((90-$Q$8)-W35))*AE35))</f>
        <v>-0.46597025300911682</v>
      </c>
      <c r="AM35" s="634">
        <f>IF(M35="","",AF35)</f>
        <v>-1.7924820491633246E-2</v>
      </c>
      <c r="AN35" s="581">
        <f>IF(M35="","",DEGREES(ATAN2(-AM35,AL35)))</f>
        <v>-87.797047292741581</v>
      </c>
      <c r="AO35" s="582">
        <f t="shared" si="94"/>
        <v>27.795352658086347</v>
      </c>
      <c r="AP35" s="585">
        <f>IF(M35="","",DEGREES(ATAN2(AK35,AL35)))</f>
        <v>-27.777881992432626</v>
      </c>
      <c r="AQ35" s="586">
        <f t="shared" si="9"/>
        <v>0.43527693628160063</v>
      </c>
      <c r="AS35" s="52">
        <f t="shared" si="116"/>
        <v>-127.99003349809459</v>
      </c>
      <c r="AT35" s="72">
        <f t="shared" si="10"/>
        <v>-1.8815239750373136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3.1240000000000001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4.1677759236180041</v>
      </c>
      <c r="C36" s="708">
        <v>-3.267957693617479</v>
      </c>
      <c r="D36" s="709">
        <v>-2.6566080123297646</v>
      </c>
      <c r="E36" s="710">
        <v>0.92783644366622742</v>
      </c>
      <c r="F36" s="708">
        <v>0.37298731051443951</v>
      </c>
      <c r="G36" s="711">
        <v>1.1339743350912837E-7</v>
      </c>
      <c r="H36" s="710">
        <v>0.26600000000000001</v>
      </c>
      <c r="I36" s="708">
        <v>0.52</v>
      </c>
      <c r="J36" s="570">
        <v>3.1269999999999998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1313</v>
      </c>
      <c r="L36" s="320"/>
      <c r="M36" s="168">
        <f t="shared" si="1"/>
        <v>3.1269999999999998</v>
      </c>
      <c r="N36" s="632">
        <f t="shared" si="2"/>
        <v>4.1677759236180041</v>
      </c>
      <c r="O36" s="629">
        <f t="shared" si="3"/>
        <v>-3.267957693617479</v>
      </c>
      <c r="P36" s="633">
        <f t="shared" si="4"/>
        <v>-2.6566080123297646</v>
      </c>
      <c r="Q36" s="585">
        <f t="shared" si="113"/>
        <v>321.89996651778745</v>
      </c>
      <c r="R36" s="629">
        <f>IF(M36="","",SQRT(N36^2+O36^2))</f>
        <v>5.2962159733873753</v>
      </c>
      <c r="S36" s="634">
        <f>IF(M36="","",P36)</f>
        <v>-2.6566080123297646</v>
      </c>
      <c r="T36" s="635">
        <f>IF(M36="","",X36*COS(RADIANS(W36)))</f>
        <v>-3.2679576936174808</v>
      </c>
      <c r="U36" s="629">
        <f>IF(M36="","",X36*SIN(RADIANS(W36)))</f>
        <v>-4.1677759236180032</v>
      </c>
      <c r="V36" s="636">
        <f>IF(M36="","",Y36)</f>
        <v>-2.6566080123297646</v>
      </c>
      <c r="W36" s="585">
        <f t="shared" si="224"/>
        <v>231.89996651778745</v>
      </c>
      <c r="X36" s="629">
        <f>IF(M36="","",R36)</f>
        <v>5.2962159733873753</v>
      </c>
      <c r="Y36" s="630">
        <f t="shared" si="223"/>
        <v>-2.6566080123297646</v>
      </c>
      <c r="Z36" s="632">
        <f t="shared" si="6"/>
        <v>-0.92783644366622742</v>
      </c>
      <c r="AA36" s="629">
        <f t="shared" si="7"/>
        <v>-0.37298731051443951</v>
      </c>
      <c r="AB36" s="629">
        <f t="shared" si="8"/>
        <v>-1.1339743350912837E-7</v>
      </c>
      <c r="AC36" s="636">
        <f>IF(M36="","",SQRT(Z36^2+AA36^2+AB36^2))</f>
        <v>1</v>
      </c>
      <c r="AD36" s="637">
        <f>IF(M36="","",Z36*(1/SQRT(Z36^2+AA36^2+AB36^2)))</f>
        <v>-0.92783644366622742</v>
      </c>
      <c r="AE36" s="629">
        <f>IF(M36="","",AA36*(1/SQRT(Z36^2+AA36^2+AB36^2)))</f>
        <v>-0.37298731051443951</v>
      </c>
      <c r="AF36" s="633">
        <f>IF(M36="","",AB36*(1/SQRT(Z36^2+AA36^2+AB36^2)))</f>
        <v>-1.1339743350912837E-7</v>
      </c>
      <c r="AG36" s="602">
        <f>IF(M36="","",DEGREES(ATAN2(-AF36,AE36)))</f>
        <v>-89.999982580655796</v>
      </c>
      <c r="AH36" s="603">
        <f>IF(M36="","",DEGREES(ACOS(AD36)))</f>
        <v>158.10002915074753</v>
      </c>
      <c r="AI36" s="585">
        <f>IF(M36="","",DEGREES(-ACOS(-AF36)))</f>
        <v>-89.999993502805651</v>
      </c>
      <c r="AJ36" s="586">
        <f>IF(M36="","",DEGREES(ATAN2(-AE36,AD36)))</f>
        <v>-68.100029150748441</v>
      </c>
      <c r="AK36" s="635">
        <f>IF(M36="","",(COS(RADIANS((90-$Q$8)-W36))*AD36)+(-SIN(RADIANS((90-$Q$8)-W36))*AE36))</f>
        <v>0.86602544158358596</v>
      </c>
      <c r="AL36" s="629">
        <f>IF(M36="","",(SIN(RADIANS((90-$Q$8)-W36))*AD36)+(COS(RADIANS((90-$Q$8)-W36))*AE36))</f>
        <v>-0.49999993452993791</v>
      </c>
      <c r="AM36" s="634">
        <f>IF(M36="","",AF36)</f>
        <v>-1.1339743350912837E-7</v>
      </c>
      <c r="AN36" s="581">
        <f>IF(M36="","",DEGREES(ATAN2(-AM36,AL36)))</f>
        <v>-89.999987005609611</v>
      </c>
      <c r="AO36" s="582">
        <f t="shared" si="94"/>
        <v>29.999995668536499</v>
      </c>
      <c r="AP36" s="585">
        <f>IF(M36="","",DEGREES(ATAN2(AK36,AL36)))</f>
        <v>-29.999995668535867</v>
      </c>
      <c r="AQ36" s="586">
        <f t="shared" si="9"/>
        <v>0.43043632574939017</v>
      </c>
      <c r="AS36" s="52">
        <f t="shared" si="116"/>
        <v>-128.10003348221255</v>
      </c>
      <c r="AT36" s="72">
        <f t="shared" si="10"/>
        <v>-2.5676496557448947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3.1269999999999998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1313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0.50814600116197561</v>
      </c>
      <c r="C37" s="708">
        <v>-1.5222217043623887</v>
      </c>
      <c r="D37" s="709">
        <v>-0.47882791215995513</v>
      </c>
      <c r="E37" s="710">
        <v>2.1512518861354684E-7</v>
      </c>
      <c r="F37" s="708">
        <v>7.1812801006525028E-8</v>
      </c>
      <c r="G37" s="711">
        <v>0.99999999999997435</v>
      </c>
      <c r="H37" s="710">
        <v>0.25700000000000001</v>
      </c>
      <c r="I37" s="708">
        <v>0.45500000000000002</v>
      </c>
      <c r="J37" s="570">
        <v>3.206</v>
      </c>
      <c r="K37" s="865" t="str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Inactive</v>
      </c>
      <c r="L37" s="320"/>
      <c r="M37" s="168">
        <f t="shared" si="1"/>
        <v>3.206</v>
      </c>
      <c r="N37" s="632">
        <f t="shared" si="2"/>
        <v>0.50814600116197561</v>
      </c>
      <c r="O37" s="629">
        <f t="shared" si="3"/>
        <v>-1.5222217043623887</v>
      </c>
      <c r="P37" s="633">
        <f t="shared" si="4"/>
        <v>-0.47882791215995513</v>
      </c>
      <c r="Q37" s="585">
        <f t="shared" si="113"/>
        <v>288.4599713459254</v>
      </c>
      <c r="R37" s="629">
        <f t="shared" si="79"/>
        <v>1.6047963346570935</v>
      </c>
      <c r="S37" s="634">
        <f t="shared" si="80"/>
        <v>-0.47882791215995513</v>
      </c>
      <c r="T37" s="635">
        <f t="shared" si="81"/>
        <v>-1.5222217043623885</v>
      </c>
      <c r="U37" s="629">
        <f t="shared" si="82"/>
        <v>-0.50814600116197606</v>
      </c>
      <c r="V37" s="636">
        <f t="shared" si="114"/>
        <v>-0.47882791215995513</v>
      </c>
      <c r="W37" s="585">
        <f t="shared" si="224"/>
        <v>198.4599713459254</v>
      </c>
      <c r="X37" s="629">
        <f t="shared" si="83"/>
        <v>1.6047963346570935</v>
      </c>
      <c r="Y37" s="630">
        <f t="shared" si="223"/>
        <v>-0.47882791215995513</v>
      </c>
      <c r="Z37" s="632">
        <f t="shared" si="6"/>
        <v>-2.1512518861354684E-7</v>
      </c>
      <c r="AA37" s="629">
        <f t="shared" si="7"/>
        <v>-7.1812801006525028E-8</v>
      </c>
      <c r="AB37" s="629">
        <f t="shared" si="8"/>
        <v>-0.99999999999997435</v>
      </c>
      <c r="AC37" s="636">
        <f t="shared" si="84"/>
        <v>1</v>
      </c>
      <c r="AD37" s="637">
        <f t="shared" si="115"/>
        <v>-2.1512518861354684E-7</v>
      </c>
      <c r="AE37" s="629">
        <f t="shared" si="85"/>
        <v>-7.1812801006525028E-8</v>
      </c>
      <c r="AF37" s="633">
        <f t="shared" si="86"/>
        <v>-0.99999999999997435</v>
      </c>
      <c r="AG37" s="602">
        <f t="shared" si="87"/>
        <v>-4.1145704126868126E-6</v>
      </c>
      <c r="AH37" s="603">
        <f t="shared" si="88"/>
        <v>90.000012325765368</v>
      </c>
      <c r="AI37" s="585">
        <f t="shared" si="89"/>
        <v>-1.2976235990044085E-5</v>
      </c>
      <c r="AJ37" s="586">
        <f t="shared" si="90"/>
        <v>-71.540028654074618</v>
      </c>
      <c r="AK37" s="635">
        <f t="shared" si="211"/>
        <v>2.2679489668953501E-7</v>
      </c>
      <c r="AL37" s="629">
        <f t="shared" si="91"/>
        <v>-7.9409338805090657E-23</v>
      </c>
      <c r="AM37" s="634">
        <f t="shared" si="92"/>
        <v>-0.99999999999997435</v>
      </c>
      <c r="AN37" s="581">
        <f t="shared" si="93"/>
        <v>-4.549819967456243E-21</v>
      </c>
      <c r="AO37" s="582">
        <f t="shared" si="94"/>
        <v>0</v>
      </c>
      <c r="AP37" s="585">
        <f t="shared" si="95"/>
        <v>-2.0061386009423677E-14</v>
      </c>
      <c r="AQ37" s="586">
        <f t="shared" si="9"/>
        <v>1.4202797080482741</v>
      </c>
      <c r="AS37" s="52">
        <f t="shared" si="116"/>
        <v>-161.5400286540746</v>
      </c>
      <c r="AT37" s="72">
        <f t="shared" si="10"/>
        <v>-0.36664733670573668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>Nose</v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3.206</v>
      </c>
      <c r="IH37" s="731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>3.1059999999999999</v>
      </c>
      <c r="II37" s="734" cm="1">
        <f t="array" ref="II37">IFERROR(ROUND(VALUE(IF($IH37&lt;1,$IH37+LARGE((IF($M$9:$M$150="",0,$M$9:$M$150)-MOD(IF($M$9:$M$150="",0,$M$9:$M$150),1)),1),$IH37)),4),"")</f>
        <v>3.1059999999999999</v>
      </c>
      <c r="IJ37" s="533">
        <f t="shared" si="112"/>
        <v>1613</v>
      </c>
      <c r="IK37" s="533" t="str">
        <f t="shared" si="66"/>
        <v>Inactive</v>
      </c>
      <c r="IL37" s="727">
        <f t="shared" si="225"/>
        <v>36.539994724277449</v>
      </c>
      <c r="IM37" s="759">
        <v>6.99459425155569E-2</v>
      </c>
      <c r="IN37" s="5">
        <f t="shared" si="226"/>
        <v>1.1200000000000001</v>
      </c>
      <c r="IO37" s="771">
        <v>560</v>
      </c>
      <c r="IP37" s="9">
        <f t="shared" si="227"/>
        <v>-1.6164048750771032</v>
      </c>
      <c r="IQ37" s="5">
        <f t="shared" si="228"/>
        <v>-0.40890123324611949</v>
      </c>
      <c r="IR37" s="5">
        <f t="shared" si="71"/>
        <v>0.314</v>
      </c>
      <c r="IS37" s="5">
        <f t="shared" si="229"/>
        <v>0.30330071252667312</v>
      </c>
      <c r="IT37" s="727">
        <f t="shared" si="230"/>
        <v>-14.999997834268465</v>
      </c>
      <c r="IU37" s="9">
        <f t="shared" si="231"/>
        <v>-1.6047963346570935</v>
      </c>
      <c r="IV37" s="5">
        <f t="shared" si="232"/>
        <v>-0.47882791215995513</v>
      </c>
      <c r="IW37" s="5">
        <f t="shared" si="76"/>
        <v>0.25700000000000001</v>
      </c>
      <c r="IX37" s="5">
        <f t="shared" si="233"/>
        <v>0.25700000000000001</v>
      </c>
      <c r="IY37" s="762">
        <f t="shared" si="234"/>
        <v>4.549819967456243E-21</v>
      </c>
    </row>
    <row r="38" spans="1:267" ht="15" customHeight="1" x14ac:dyDescent="0.25">
      <c r="A38" s="79"/>
      <c r="B38" s="707">
        <v>1.2443227008469429</v>
      </c>
      <c r="C38" s="708">
        <v>-2.0401312950329813</v>
      </c>
      <c r="D38" s="709">
        <v>-0.24715251101755692</v>
      </c>
      <c r="E38" s="710">
        <v>1.9362226246474907E-7</v>
      </c>
      <c r="F38" s="708">
        <v>1.1809464281088687E-7</v>
      </c>
      <c r="G38" s="711">
        <v>0.99999999999997435</v>
      </c>
      <c r="H38" s="710">
        <v>0.25700000000000001</v>
      </c>
      <c r="I38" s="708">
        <v>0.45500000000000002</v>
      </c>
      <c r="J38" s="570">
        <v>3.2090000000000001</v>
      </c>
      <c r="K38" s="865" t="str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Inactive</v>
      </c>
      <c r="L38" s="320"/>
      <c r="M38" s="168">
        <f t="shared" si="1"/>
        <v>3.2090000000000001</v>
      </c>
      <c r="N38" s="632">
        <f t="shared" si="2"/>
        <v>1.2443227008469429</v>
      </c>
      <c r="O38" s="629">
        <f t="shared" si="3"/>
        <v>-2.0401312950329813</v>
      </c>
      <c r="P38" s="633">
        <f t="shared" si="4"/>
        <v>-0.24715251101755692</v>
      </c>
      <c r="Q38" s="585">
        <f t="shared" si="113"/>
        <v>301.37996948050846</v>
      </c>
      <c r="R38" s="629">
        <f t="shared" si="79"/>
        <v>2.3896599517119541</v>
      </c>
      <c r="S38" s="634">
        <f t="shared" si="80"/>
        <v>-0.24715251101755692</v>
      </c>
      <c r="T38" s="635">
        <f t="shared" si="81"/>
        <v>-2.0401312950329813</v>
      </c>
      <c r="U38" s="629">
        <f t="shared" si="82"/>
        <v>-1.2443227008469429</v>
      </c>
      <c r="V38" s="636">
        <f t="shared" si="114"/>
        <v>-0.24715251101755692</v>
      </c>
      <c r="W38" s="585">
        <f t="shared" si="224"/>
        <v>211.37996948050846</v>
      </c>
      <c r="X38" s="629">
        <f t="shared" si="83"/>
        <v>2.3896599517119541</v>
      </c>
      <c r="Y38" s="630">
        <f t="shared" si="223"/>
        <v>-0.24715251101755692</v>
      </c>
      <c r="Z38" s="632">
        <f t="shared" si="6"/>
        <v>-1.9362226246474907E-7</v>
      </c>
      <c r="AA38" s="629">
        <f t="shared" si="7"/>
        <v>-1.1809464281088687E-7</v>
      </c>
      <c r="AB38" s="629">
        <f t="shared" si="8"/>
        <v>-0.99999999999997435</v>
      </c>
      <c r="AC38" s="636">
        <f t="shared" si="84"/>
        <v>1</v>
      </c>
      <c r="AD38" s="637">
        <f t="shared" si="115"/>
        <v>-1.9362226246474907E-7</v>
      </c>
      <c r="AE38" s="629">
        <f t="shared" si="85"/>
        <v>-1.1809464281088687E-7</v>
      </c>
      <c r="AF38" s="633">
        <f t="shared" si="86"/>
        <v>-0.99999999999997435</v>
      </c>
      <c r="AG38" s="602">
        <f t="shared" si="87"/>
        <v>-6.7663246161689291E-6</v>
      </c>
      <c r="AH38" s="603">
        <f t="shared" si="88"/>
        <v>90.000011093738451</v>
      </c>
      <c r="AI38" s="585">
        <f t="shared" si="89"/>
        <v>-1.2976235990044085E-5</v>
      </c>
      <c r="AJ38" s="586">
        <f t="shared" si="90"/>
        <v>-58.620030519491571</v>
      </c>
      <c r="AK38" s="635">
        <f t="shared" si="211"/>
        <v>2.2679489672962032E-7</v>
      </c>
      <c r="AL38" s="629">
        <f t="shared" si="91"/>
        <v>-7.9409338805090657E-23</v>
      </c>
      <c r="AM38" s="634">
        <f t="shared" si="92"/>
        <v>-0.99999999999997435</v>
      </c>
      <c r="AN38" s="581">
        <f t="shared" si="93"/>
        <v>-4.549819967456243E-21</v>
      </c>
      <c r="AO38" s="582">
        <f t="shared" si="94"/>
        <v>0</v>
      </c>
      <c r="AP38" s="585">
        <f t="shared" si="95"/>
        <v>-2.0061386005877889E-14</v>
      </c>
      <c r="AQ38" s="586">
        <f t="shared" si="9"/>
        <v>0.9539081039595686</v>
      </c>
      <c r="AS38" s="52">
        <f t="shared" si="116"/>
        <v>-148.62003051949154</v>
      </c>
      <c r="AT38" s="72">
        <f t="shared" si="10"/>
        <v>-0.14394415649013226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>Nose</v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3.2090000000000001</v>
      </c>
      <c r="IH38" s="731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3.109</v>
      </c>
      <c r="II38" s="734" cm="1">
        <f t="array" ref="II38">IFERROR(ROUND(VALUE(IF($IH38&lt;1,$IH38+LARGE((IF($M$9:$M$150="",0,$M$9:$M$150)-MOD(IF($M$9:$M$150="",0,$M$9:$M$150),1)),1),$IH38)),4),"")</f>
        <v>3.109</v>
      </c>
      <c r="IJ38" s="533">
        <f t="shared" si="112"/>
        <v>1613</v>
      </c>
      <c r="IK38" s="533" t="str">
        <f t="shared" si="66"/>
        <v>Inactive</v>
      </c>
      <c r="IL38" s="727">
        <f t="shared" si="225"/>
        <v>23.619996589694381</v>
      </c>
      <c r="IM38" s="759">
        <v>6.3489492631185099E-2</v>
      </c>
      <c r="IN38" s="5">
        <f t="shared" si="226"/>
        <v>1.46</v>
      </c>
      <c r="IO38" s="771">
        <v>730</v>
      </c>
      <c r="IP38" s="9">
        <f t="shared" si="227"/>
        <v>-2.4021072447554501</v>
      </c>
      <c r="IQ38" s="5">
        <f t="shared" si="228"/>
        <v>-0.19830059807460382</v>
      </c>
      <c r="IR38" s="5">
        <f t="shared" si="71"/>
        <v>0.314</v>
      </c>
      <c r="IS38" s="5">
        <f t="shared" si="229"/>
        <v>0.30655694837641501</v>
      </c>
      <c r="IT38" s="727">
        <f t="shared" si="230"/>
        <v>-14.999997834268465</v>
      </c>
      <c r="IU38" s="9">
        <f t="shared" si="231"/>
        <v>-2.3896599517119541</v>
      </c>
      <c r="IV38" s="5">
        <f t="shared" si="232"/>
        <v>-0.24715251101755692</v>
      </c>
      <c r="IW38" s="5">
        <f t="shared" si="76"/>
        <v>0.25700000000000001</v>
      </c>
      <c r="IX38" s="5">
        <f t="shared" si="233"/>
        <v>0.25700000000000001</v>
      </c>
      <c r="IY38" s="762">
        <f t="shared" si="234"/>
        <v>4.549819967456243E-21</v>
      </c>
    </row>
    <row r="39" spans="1:267" ht="15" customHeight="1" x14ac:dyDescent="0.25">
      <c r="A39" s="79"/>
      <c r="B39" s="707">
        <v>-0.46239288545618668</v>
      </c>
      <c r="C39" s="708">
        <v>-2.6223537956561382</v>
      </c>
      <c r="D39" s="709">
        <v>-0.21150063788592377</v>
      </c>
      <c r="E39" s="710">
        <v>0.97119137617704543</v>
      </c>
      <c r="F39" s="708">
        <v>-0.11436481099007426</v>
      </c>
      <c r="G39" s="711">
        <v>0.20906458534754568</v>
      </c>
      <c r="H39" s="710">
        <v>0.314</v>
      </c>
      <c r="I39" s="708">
        <v>0.52</v>
      </c>
      <c r="J39" s="570">
        <v>4.1100000000000003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1613</v>
      </c>
      <c r="L39" s="320"/>
      <c r="M39" s="168">
        <f t="shared" si="1"/>
        <v>4.1100000000000003</v>
      </c>
      <c r="N39" s="632">
        <f t="shared" si="2"/>
        <v>-0.46239288545618668</v>
      </c>
      <c r="O39" s="629">
        <f t="shared" si="3"/>
        <v>-2.6223537956561382</v>
      </c>
      <c r="P39" s="633">
        <f t="shared" si="4"/>
        <v>-0.21150063788592377</v>
      </c>
      <c r="Q39" s="585">
        <f t="shared" si="113"/>
        <v>259.99997545504038</v>
      </c>
      <c r="R39" s="629">
        <f t="shared" si="79"/>
        <v>2.6628080310290212</v>
      </c>
      <c r="S39" s="634">
        <f t="shared" si="80"/>
        <v>-0.21150063788592377</v>
      </c>
      <c r="T39" s="635">
        <f t="shared" si="81"/>
        <v>-2.6223537956561382</v>
      </c>
      <c r="U39" s="629">
        <f t="shared" si="82"/>
        <v>0.46239288545618545</v>
      </c>
      <c r="V39" s="636">
        <f t="shared" si="114"/>
        <v>-0.21150063788592377</v>
      </c>
      <c r="W39" s="585">
        <f t="shared" si="224"/>
        <v>169.99997545504038</v>
      </c>
      <c r="X39" s="629">
        <f t="shared" si="83"/>
        <v>2.6628080310290212</v>
      </c>
      <c r="Y39" s="630">
        <f t="shared" si="223"/>
        <v>-0.21150063788592377</v>
      </c>
      <c r="Z39" s="632">
        <f t="shared" si="6"/>
        <v>-0.97119137617704543</v>
      </c>
      <c r="AA39" s="629">
        <f t="shared" si="7"/>
        <v>0.11436481099007426</v>
      </c>
      <c r="AB39" s="629">
        <f t="shared" si="8"/>
        <v>-0.20906458534754568</v>
      </c>
      <c r="AC39" s="636">
        <f t="shared" si="84"/>
        <v>1</v>
      </c>
      <c r="AD39" s="637">
        <f t="shared" si="115"/>
        <v>-0.97119137617704543</v>
      </c>
      <c r="AE39" s="629">
        <f t="shared" si="85"/>
        <v>0.11436481099007426</v>
      </c>
      <c r="AF39" s="633">
        <f t="shared" si="86"/>
        <v>-0.20906458534754568</v>
      </c>
      <c r="AG39" s="602">
        <f t="shared" si="87"/>
        <v>28.680026821548882</v>
      </c>
      <c r="AH39" s="603">
        <f t="shared" si="88"/>
        <v>166.21372122288378</v>
      </c>
      <c r="AI39" s="585">
        <f t="shared" si="89"/>
        <v>-77.932459801965933</v>
      </c>
      <c r="AJ39" s="586">
        <f t="shared" si="90"/>
        <v>-96.716063171557806</v>
      </c>
      <c r="AK39" s="635">
        <f t="shared" si="211"/>
        <v>0.97629601393762722</v>
      </c>
      <c r="AL39" s="629">
        <f t="shared" si="91"/>
        <v>5.6018678339987291E-2</v>
      </c>
      <c r="AM39" s="634">
        <f t="shared" si="92"/>
        <v>-0.20906458534754568</v>
      </c>
      <c r="AN39" s="581">
        <f t="shared" si="93"/>
        <v>14.999997834268182</v>
      </c>
      <c r="AO39" s="582">
        <f t="shared" si="94"/>
        <v>12.499998195223583</v>
      </c>
      <c r="AP39" s="585">
        <f t="shared" si="95"/>
        <v>3.2839613734018047</v>
      </c>
      <c r="AQ39" s="586">
        <f t="shared" si="9"/>
        <v>0.85607259677709058</v>
      </c>
      <c r="AS39" s="52">
        <f t="shared" si="116"/>
        <v>-190.00002454495962</v>
      </c>
      <c r="AT39" s="72">
        <f t="shared" si="10"/>
        <v>-7.9556176396368472E-2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4.1100000000000003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-0.6156148526058467</v>
      </c>
      <c r="C40" s="708">
        <v>-3.3741098605666702</v>
      </c>
      <c r="D40" s="709">
        <v>-0.16060048437106086</v>
      </c>
      <c r="E40" s="710">
        <v>0.94468386472144117</v>
      </c>
      <c r="F40" s="708">
        <v>-0.25191001756414516</v>
      </c>
      <c r="G40" s="711">
        <v>0.21003270884744107</v>
      </c>
      <c r="H40" s="710">
        <v>0.314</v>
      </c>
      <c r="I40" s="708">
        <v>0.52</v>
      </c>
      <c r="J40" s="570">
        <v>4.1130000000000004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1613</v>
      </c>
      <c r="L40" s="320"/>
      <c r="M40" s="168">
        <f t="shared" si="1"/>
        <v>4.1130000000000004</v>
      </c>
      <c r="N40" s="632">
        <f t="shared" si="2"/>
        <v>-0.6156148526058467</v>
      </c>
      <c r="O40" s="629">
        <f t="shared" si="3"/>
        <v>-3.3741098605666702</v>
      </c>
      <c r="P40" s="633">
        <f t="shared" si="4"/>
        <v>-0.16060048437106086</v>
      </c>
      <c r="Q40" s="585">
        <f t="shared" si="113"/>
        <v>259.65997550413027</v>
      </c>
      <c r="R40" s="629">
        <f t="shared" si="79"/>
        <v>3.4298103443079988</v>
      </c>
      <c r="S40" s="634">
        <f t="shared" si="80"/>
        <v>-0.16060048437106086</v>
      </c>
      <c r="T40" s="635">
        <f t="shared" si="81"/>
        <v>-3.3741098605666702</v>
      </c>
      <c r="U40" s="629">
        <f t="shared" si="82"/>
        <v>0.61561485260584803</v>
      </c>
      <c r="V40" s="636">
        <f t="shared" si="114"/>
        <v>-0.16060048437106086</v>
      </c>
      <c r="W40" s="585">
        <f t="shared" si="224"/>
        <v>169.65997550413027</v>
      </c>
      <c r="X40" s="629">
        <f t="shared" si="83"/>
        <v>3.4298103443079988</v>
      </c>
      <c r="Y40" s="630">
        <f t="shared" si="223"/>
        <v>-0.16060048437106086</v>
      </c>
      <c r="Z40" s="632">
        <f t="shared" si="6"/>
        <v>-0.94468386472144117</v>
      </c>
      <c r="AA40" s="629">
        <f t="shared" si="7"/>
        <v>0.25191001756414516</v>
      </c>
      <c r="AB40" s="629">
        <f t="shared" si="8"/>
        <v>-0.21003270884744107</v>
      </c>
      <c r="AC40" s="636">
        <f t="shared" si="84"/>
        <v>1</v>
      </c>
      <c r="AD40" s="637">
        <f t="shared" si="115"/>
        <v>-0.94468386472144117</v>
      </c>
      <c r="AE40" s="629">
        <f t="shared" si="85"/>
        <v>0.25191001756414516</v>
      </c>
      <c r="AF40" s="633">
        <f t="shared" si="86"/>
        <v>-0.21003270884744107</v>
      </c>
      <c r="AG40" s="602">
        <f t="shared" si="87"/>
        <v>50.179976143875123</v>
      </c>
      <c r="AH40" s="603">
        <f t="shared" si="88"/>
        <v>160.85364440236731</v>
      </c>
      <c r="AI40" s="585">
        <f t="shared" si="89"/>
        <v>-77.875730926952428</v>
      </c>
      <c r="AJ40" s="586">
        <f t="shared" si="90"/>
        <v>-104.93109556982314</v>
      </c>
      <c r="AK40" s="635">
        <f t="shared" si="211"/>
        <v>0.97455729496959331</v>
      </c>
      <c r="AL40" s="629">
        <f t="shared" si="91"/>
        <v>-7.8258162742012222E-2</v>
      </c>
      <c r="AM40" s="634">
        <f t="shared" si="92"/>
        <v>-0.21003270884744107</v>
      </c>
      <c r="AN40" s="581">
        <f t="shared" si="93"/>
        <v>-20.435387713039308</v>
      </c>
      <c r="AO40" s="582">
        <f t="shared" si="94"/>
        <v>12.952225572758653</v>
      </c>
      <c r="AP40" s="585">
        <f t="shared" si="95"/>
        <v>-4.5910710739534002</v>
      </c>
      <c r="AQ40" s="586">
        <f t="shared" si="9"/>
        <v>0.66465027011286526</v>
      </c>
      <c r="AS40" s="52">
        <f t="shared" si="116"/>
        <v>-190.34002449586973</v>
      </c>
      <c r="AT40" s="72">
        <f t="shared" si="10"/>
        <v>-2.8419911804484665E-2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4.1130000000000004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-0.80915898731977443</v>
      </c>
      <c r="C41" s="708">
        <v>-4.0828023551882247</v>
      </c>
      <c r="D41" s="709">
        <v>-0.39410118860918486</v>
      </c>
      <c r="E41" s="710">
        <v>0.91341332502433636</v>
      </c>
      <c r="F41" s="708">
        <v>-0.37448533104384035</v>
      </c>
      <c r="G41" s="711">
        <v>0.15948929274710388</v>
      </c>
      <c r="H41" s="710">
        <v>0.314</v>
      </c>
      <c r="I41" s="708">
        <v>0.52</v>
      </c>
      <c r="J41" s="570">
        <v>4.1159999999999997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1613</v>
      </c>
      <c r="L41" s="320"/>
      <c r="M41" s="168">
        <f t="shared" ref="M41:M72" si="239">IF(J41="","",VALUE(J41))</f>
        <v>4.1159999999999997</v>
      </c>
      <c r="N41" s="632">
        <f t="shared" ref="N41:N72" si="240">IF(M41="","",B41)</f>
        <v>-0.80915898731977443</v>
      </c>
      <c r="O41" s="629">
        <f t="shared" ref="O41:O72" si="241">IF(M41="","",C41)</f>
        <v>-4.0828023551882247</v>
      </c>
      <c r="P41" s="633">
        <f t="shared" ref="P41:P72" si="242">IF(M41="","",D41)</f>
        <v>-0.39410118860918486</v>
      </c>
      <c r="Q41" s="585">
        <f t="shared" si="113"/>
        <v>258.78997562974274</v>
      </c>
      <c r="R41" s="629">
        <f t="shared" si="79"/>
        <v>4.1622125532330605</v>
      </c>
      <c r="S41" s="634">
        <f t="shared" si="80"/>
        <v>-0.39410118860918486</v>
      </c>
      <c r="T41" s="635">
        <f t="shared" si="81"/>
        <v>-4.0828023551882238</v>
      </c>
      <c r="U41" s="629">
        <f t="shared" si="82"/>
        <v>0.80915898731977343</v>
      </c>
      <c r="V41" s="636">
        <f t="shared" si="114"/>
        <v>-0.39410118860918486</v>
      </c>
      <c r="W41" s="585">
        <f t="shared" si="224"/>
        <v>168.78997562974274</v>
      </c>
      <c r="X41" s="629">
        <f t="shared" si="83"/>
        <v>4.1622125532330605</v>
      </c>
      <c r="Y41" s="630">
        <f t="shared" si="223"/>
        <v>-0.39410118860918486</v>
      </c>
      <c r="Z41" s="632">
        <f t="shared" ref="Z41:Z72" si="243">IF(M41="","",-E41)</f>
        <v>-0.91341332502433636</v>
      </c>
      <c r="AA41" s="629">
        <f t="shared" ref="AA41:AA72" si="244">IF(M41="","",-F41)</f>
        <v>0.37448533104384035</v>
      </c>
      <c r="AB41" s="629">
        <f t="shared" ref="AB41:AB72" si="245">IF(M41="","",-G41)</f>
        <v>-0.15948929274710388</v>
      </c>
      <c r="AC41" s="636">
        <f t="shared" si="84"/>
        <v>1</v>
      </c>
      <c r="AD41" s="637">
        <f t="shared" si="115"/>
        <v>-0.91341332502433636</v>
      </c>
      <c r="AE41" s="629">
        <f t="shared" si="85"/>
        <v>0.37448533104384035</v>
      </c>
      <c r="AF41" s="633">
        <f t="shared" si="86"/>
        <v>-0.15948929274710388</v>
      </c>
      <c r="AG41" s="602">
        <f t="shared" si="87"/>
        <v>66.931364402242934</v>
      </c>
      <c r="AH41" s="603">
        <f t="shared" si="88"/>
        <v>155.98139365684213</v>
      </c>
      <c r="AI41" s="585">
        <f t="shared" si="89"/>
        <v>-80.822745801040256</v>
      </c>
      <c r="AJ41" s="586">
        <f t="shared" si="90"/>
        <v>-112.29287025385392</v>
      </c>
      <c r="AK41" s="635">
        <f t="shared" si="211"/>
        <v>0.96878864169756518</v>
      </c>
      <c r="AL41" s="629">
        <f t="shared" si="91"/>
        <v>-0.18976757683233259</v>
      </c>
      <c r="AM41" s="634">
        <f t="shared" si="92"/>
        <v>-0.15948929274710388</v>
      </c>
      <c r="AN41" s="581">
        <f t="shared" si="93"/>
        <v>-49.954780789094137</v>
      </c>
      <c r="AO41" s="582">
        <f t="shared" si="94"/>
        <v>14.352582811764096</v>
      </c>
      <c r="AP41" s="585">
        <f t="shared" si="95"/>
        <v>-11.082845883596654</v>
      </c>
      <c r="AQ41" s="586">
        <f t="shared" ref="AQ41:AQ72" si="246">IF(M41="","",DEGREES(ATAN(($AS$5*SIN(RADIANS(90)))/(($X41*2*PI())-($AS$5*COS(RADIANS(90)))))))</f>
        <v>0.54770321381577902</v>
      </c>
      <c r="AS41" s="52">
        <f t="shared" si="116"/>
        <v>-191.21002437025726</v>
      </c>
      <c r="AT41" s="72">
        <f t="shared" ref="AT41:AT72" si="247">IF(M41="","",Y41+(((AS41-$AS$9)*$AS$6)*-1))</f>
        <v>-0.2613164494631729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4.1159999999999997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-1.0006808680858832</v>
      </c>
      <c r="C42" s="708">
        <v>-4.6519021124593207</v>
      </c>
      <c r="D42" s="709">
        <v>-0.87950265258000027</v>
      </c>
      <c r="E42" s="710">
        <v>0.86862903472395669</v>
      </c>
      <c r="F42" s="708">
        <v>-0.4835645194393603</v>
      </c>
      <c r="G42" s="711">
        <v>0.10793032740572842</v>
      </c>
      <c r="H42" s="710">
        <v>0.314</v>
      </c>
      <c r="I42" s="708">
        <v>0.52</v>
      </c>
      <c r="J42" s="570">
        <v>4.1189999999999998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1613</v>
      </c>
      <c r="L42" s="320"/>
      <c r="M42" s="168">
        <f t="shared" si="239"/>
        <v>4.1189999999999998</v>
      </c>
      <c r="N42" s="632">
        <f t="shared" si="240"/>
        <v>-1.0006808680858832</v>
      </c>
      <c r="O42" s="629">
        <f t="shared" si="241"/>
        <v>-4.6519021124593207</v>
      </c>
      <c r="P42" s="633">
        <f t="shared" si="242"/>
        <v>-0.87950265258000027</v>
      </c>
      <c r="Q42" s="585">
        <f t="shared" si="113"/>
        <v>257.85997576401809</v>
      </c>
      <c r="R42" s="629">
        <f t="shared" ref="R42:R47" si="385">IF(M42="","",SQRT(N42^2+O42^2))</f>
        <v>4.7583143510760832</v>
      </c>
      <c r="S42" s="634">
        <f t="shared" ref="S42:S47" si="386">IF(M42="","",P42)</f>
        <v>-0.87950265258000027</v>
      </c>
      <c r="T42" s="635">
        <f t="shared" ref="T42:T47" si="387">IF(M42="","",X42*COS(RADIANS(W42)))</f>
        <v>-4.6519021124593198</v>
      </c>
      <c r="U42" s="629">
        <f t="shared" ref="U42:U47" si="388">IF(M42="","",X42*SIN(RADIANS(W42)))</f>
        <v>1.0006808680858845</v>
      </c>
      <c r="V42" s="636">
        <f t="shared" ref="V42:V47" si="389">IF(M42="","",Y42)</f>
        <v>-0.87950265258000027</v>
      </c>
      <c r="W42" s="585">
        <f t="shared" si="224"/>
        <v>167.85997576401809</v>
      </c>
      <c r="X42" s="629">
        <f t="shared" ref="X42:X47" si="390">IF(M42="","",R42)</f>
        <v>4.7583143510760832</v>
      </c>
      <c r="Y42" s="630">
        <f t="shared" si="223"/>
        <v>-0.87950265258000027</v>
      </c>
      <c r="Z42" s="632">
        <f t="shared" si="243"/>
        <v>-0.86862903472395669</v>
      </c>
      <c r="AA42" s="629">
        <f t="shared" si="244"/>
        <v>0.4835645194393603</v>
      </c>
      <c r="AB42" s="629">
        <f t="shared" si="245"/>
        <v>-0.10793032740572842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-0.86862903472395669</v>
      </c>
      <c r="AE42" s="629">
        <f t="shared" ref="AE42:AE47" si="393">IF(M42="","",AA42*(1/SQRT(Z42^2+AA42^2+AB42^2)))</f>
        <v>0.4835645194393603</v>
      </c>
      <c r="AF42" s="633">
        <f t="shared" ref="AF42:AF47" si="394">IF(M42="","",AB42*(1/SQRT(Z42^2+AA42^2+AB42^2)))</f>
        <v>-0.10793032740572842</v>
      </c>
      <c r="AG42" s="602">
        <f t="shared" ref="AG42:AG47" si="395">IF(M42="","",DEGREES(ATAN2(-AF42,AE42)))</f>
        <v>77.417960886040277</v>
      </c>
      <c r="AH42" s="603">
        <f t="shared" ref="AH42:AH47" si="396">IF(M42="","",DEGREES(ACOS(AD42)))</f>
        <v>150.29971324240393</v>
      </c>
      <c r="AI42" s="585">
        <f t="shared" ref="AI42:AI47" si="397">IF(M42="","",DEGREES(-ACOS(-AF42)))</f>
        <v>-83.803978284490057</v>
      </c>
      <c r="AJ42" s="586">
        <f t="shared" ref="AJ42:AJ47" si="398">IF(M42="","",DEGREES(ATAN2(-AE42,AD42)))</f>
        <v>-119.10462287579105</v>
      </c>
      <c r="AK42" s="635">
        <f t="shared" ref="AK42:AK47" si="399">IF(M42="","",(COS(RADIANS((90-$Q$8)-W42))*AD42)+(-SIN(RADIANS((90-$Q$8)-W42))*AE42))</f>
        <v>0.95089787492512801</v>
      </c>
      <c r="AL42" s="629">
        <f t="shared" ref="AL42:AL47" si="400">IF(M42="","",(SIN(RADIANS((90-$Q$8)-W42))*AD42)+(COS(RADIANS((90-$Q$8)-W42))*AE42))</f>
        <v>-0.29007632769491509</v>
      </c>
      <c r="AM42" s="634">
        <f t="shared" ref="AM42:AM47" si="401">IF(M42="","",AF42)</f>
        <v>-0.10793032740572842</v>
      </c>
      <c r="AN42" s="581">
        <f t="shared" ref="AN42:AN47" si="402">IF(M42="","",DEGREES(ATAN2(-AM42,AL42)))</f>
        <v>-69.590993396658206</v>
      </c>
      <c r="AO42" s="582">
        <f t="shared" si="94"/>
        <v>18.029390978940079</v>
      </c>
      <c r="AP42" s="585">
        <f t="shared" ref="AP42:AP47" si="403">IF(M42="","",DEGREES(ATAN2(AK42,AL42)))</f>
        <v>-16.964598639809136</v>
      </c>
      <c r="AQ42" s="586">
        <f t="shared" si="246"/>
        <v>0.47909266425318392</v>
      </c>
      <c r="AS42" s="52">
        <f t="shared" si="116"/>
        <v>-192.14002423598191</v>
      </c>
      <c r="AT42" s="72">
        <f t="shared" si="247"/>
        <v>-0.7460720801939017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4.1189999999999998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IFERROR(ROUND(VALUE(IF($IH42&lt;1,$IH42+LARGE((IF($M$9:$M$150="",0,$M$9:$M$150)-MOD(IF($M$9:$M$150="",0,$M$9:$M$150),1)),1),$IH42)),4),"")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-1.1376792311943464</v>
      </c>
      <c r="C43" s="708">
        <v>-5.0075040725851396</v>
      </c>
      <c r="D43" s="709">
        <v>-1.5495046733060946</v>
      </c>
      <c r="E43" s="710">
        <v>0.80970791667048836</v>
      </c>
      <c r="F43" s="708">
        <v>-0.58422950256057993</v>
      </c>
      <c r="G43" s="711">
        <v>5.5217551729090764E-2</v>
      </c>
      <c r="H43" s="710">
        <v>0.314</v>
      </c>
      <c r="I43" s="708">
        <v>0.52</v>
      </c>
      <c r="J43" s="570">
        <v>4.1219999999999999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1613</v>
      </c>
      <c r="L43" s="320"/>
      <c r="M43" s="168">
        <f t="shared" si="239"/>
        <v>4.1219999999999999</v>
      </c>
      <c r="N43" s="632">
        <f t="shared" si="240"/>
        <v>-1.1376792311943464</v>
      </c>
      <c r="O43" s="629">
        <f t="shared" si="241"/>
        <v>-5.0075040725851396</v>
      </c>
      <c r="P43" s="633">
        <f t="shared" si="242"/>
        <v>-1.5495046733060946</v>
      </c>
      <c r="Q43" s="585">
        <f t="shared" si="113"/>
        <v>257.19997585931026</v>
      </c>
      <c r="R43" s="629">
        <f t="shared" si="385"/>
        <v>5.1351154875083109</v>
      </c>
      <c r="S43" s="634">
        <f t="shared" si="386"/>
        <v>-1.5495046733060946</v>
      </c>
      <c r="T43" s="635">
        <f t="shared" si="387"/>
        <v>-5.0075040725851387</v>
      </c>
      <c r="U43" s="629">
        <f t="shared" si="388"/>
        <v>1.1376792311943491</v>
      </c>
      <c r="V43" s="636">
        <f t="shared" si="389"/>
        <v>-1.5495046733060946</v>
      </c>
      <c r="W43" s="585">
        <f t="shared" si="224"/>
        <v>167.19997585931026</v>
      </c>
      <c r="X43" s="629">
        <f t="shared" si="390"/>
        <v>5.1351154875083109</v>
      </c>
      <c r="Y43" s="630">
        <f t="shared" si="223"/>
        <v>-1.5495046733060946</v>
      </c>
      <c r="Z43" s="632">
        <f t="shared" si="243"/>
        <v>-0.80970791667048836</v>
      </c>
      <c r="AA43" s="629">
        <f t="shared" si="244"/>
        <v>0.58422950256057993</v>
      </c>
      <c r="AB43" s="629">
        <f t="shared" si="245"/>
        <v>-5.5217551729090764E-2</v>
      </c>
      <c r="AC43" s="636">
        <f t="shared" si="391"/>
        <v>1</v>
      </c>
      <c r="AD43" s="637">
        <f t="shared" si="392"/>
        <v>-0.80970791667048836</v>
      </c>
      <c r="AE43" s="629">
        <f t="shared" si="393"/>
        <v>0.58422950256057993</v>
      </c>
      <c r="AF43" s="633">
        <f t="shared" si="394"/>
        <v>-5.5217551729090764E-2</v>
      </c>
      <c r="AG43" s="602">
        <f t="shared" si="395"/>
        <v>84.600816115830554</v>
      </c>
      <c r="AH43" s="603">
        <f t="shared" si="396"/>
        <v>144.067403896412</v>
      </c>
      <c r="AI43" s="585">
        <f t="shared" si="397"/>
        <v>-86.834657429154106</v>
      </c>
      <c r="AJ43" s="586">
        <f t="shared" si="398"/>
        <v>-125.81162305936229</v>
      </c>
      <c r="AK43" s="635">
        <f t="shared" si="399"/>
        <v>0.91902148513041371</v>
      </c>
      <c r="AL43" s="629">
        <f t="shared" si="400"/>
        <v>-0.39032106252383303</v>
      </c>
      <c r="AM43" s="634">
        <f t="shared" si="401"/>
        <v>-5.5217551729090764E-2</v>
      </c>
      <c r="AN43" s="581">
        <f t="shared" si="402"/>
        <v>-81.947968839550896</v>
      </c>
      <c r="AO43" s="582">
        <f t="shared" si="94"/>
        <v>23.216553615751049</v>
      </c>
      <c r="AP43" s="585">
        <f t="shared" si="403"/>
        <v>-23.011598918672561</v>
      </c>
      <c r="AQ43" s="586">
        <f t="shared" si="246"/>
        <v>0.4439395796260337</v>
      </c>
      <c r="AS43" s="52">
        <f t="shared" ref="AS43:AS74" si="406">IF(G43="","",IF(AND(W43&lt;(AS42+180),W43&gt;(AS42-180)),W43,IF(W43&gt;(AS42+180),W43-360,IF(W43&lt;(AS42-180),W43+360,"Error"))))</f>
        <v>-192.80002414068974</v>
      </c>
      <c r="AT43" s="72">
        <f t="shared" si="247"/>
        <v>-1.4156157676528378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4.1219999999999999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1613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-1.1794465801463163</v>
      </c>
      <c r="C44" s="708">
        <v>-5.108734598273835</v>
      </c>
      <c r="D44" s="709">
        <v>-2.3110069699970217</v>
      </c>
      <c r="E44" s="710">
        <v>0.75703331855541334</v>
      </c>
      <c r="F44" s="708">
        <v>-0.65296286939908965</v>
      </c>
      <c r="G44" s="711">
        <v>-2.3238885151525335E-2</v>
      </c>
      <c r="H44" s="710">
        <v>0.314</v>
      </c>
      <c r="I44" s="708">
        <v>0.52</v>
      </c>
      <c r="J44" s="570">
        <v>4.125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4.125</v>
      </c>
      <c r="N44" s="632">
        <f t="shared" si="240"/>
        <v>-1.1794465801463163</v>
      </c>
      <c r="O44" s="629">
        <f t="shared" si="241"/>
        <v>-5.108734598273835</v>
      </c>
      <c r="P44" s="633">
        <f t="shared" si="242"/>
        <v>-2.3110069699970217</v>
      </c>
      <c r="Q44" s="585">
        <f t="shared" si="113"/>
        <v>256.99997588818673</v>
      </c>
      <c r="R44" s="629">
        <f t="shared" si="385"/>
        <v>5.243115813237293</v>
      </c>
      <c r="S44" s="634">
        <f t="shared" si="386"/>
        <v>-2.3110069699970217</v>
      </c>
      <c r="T44" s="635">
        <f t="shared" si="387"/>
        <v>-5.108734598273835</v>
      </c>
      <c r="U44" s="629">
        <f t="shared" si="388"/>
        <v>1.1794465801463143</v>
      </c>
      <c r="V44" s="636">
        <f t="shared" si="389"/>
        <v>-2.3110069699970217</v>
      </c>
      <c r="W44" s="585">
        <f t="shared" si="224"/>
        <v>166.99997588818673</v>
      </c>
      <c r="X44" s="629">
        <f t="shared" si="390"/>
        <v>5.243115813237293</v>
      </c>
      <c r="Y44" s="630">
        <f t="shared" si="223"/>
        <v>-2.3110069699970217</v>
      </c>
      <c r="Z44" s="632">
        <f t="shared" si="243"/>
        <v>-0.75703331855541334</v>
      </c>
      <c r="AA44" s="629">
        <f t="shared" si="244"/>
        <v>0.65296286939908965</v>
      </c>
      <c r="AB44" s="629">
        <f t="shared" si="245"/>
        <v>2.3238885151525335E-2</v>
      </c>
      <c r="AC44" s="636">
        <f t="shared" si="391"/>
        <v>1</v>
      </c>
      <c r="AD44" s="637">
        <f t="shared" si="392"/>
        <v>-0.75703331855541334</v>
      </c>
      <c r="AE44" s="629">
        <f t="shared" si="393"/>
        <v>0.65296286939908965</v>
      </c>
      <c r="AF44" s="633">
        <f t="shared" si="394"/>
        <v>2.3238885151525335E-2</v>
      </c>
      <c r="AG44" s="602">
        <f t="shared" si="395"/>
        <v>92.038290928359302</v>
      </c>
      <c r="AH44" s="603">
        <f t="shared" si="396"/>
        <v>139.20335523129697</v>
      </c>
      <c r="AI44" s="585">
        <f t="shared" si="397"/>
        <v>-91.33160991316916</v>
      </c>
      <c r="AJ44" s="586">
        <f t="shared" si="398"/>
        <v>-130.77870860438861</v>
      </c>
      <c r="AK44" s="635">
        <f t="shared" si="399"/>
        <v>0.88451548564248528</v>
      </c>
      <c r="AL44" s="629">
        <f t="shared" si="400"/>
        <v>-0.46593165794518931</v>
      </c>
      <c r="AM44" s="634">
        <f t="shared" si="401"/>
        <v>2.3238885151525335E-2</v>
      </c>
      <c r="AN44" s="581">
        <f t="shared" si="402"/>
        <v>-92.855327763938035</v>
      </c>
      <c r="AO44" s="582">
        <f t="shared" si="94"/>
        <v>27.808044348323779</v>
      </c>
      <c r="AP44" s="585">
        <f t="shared" si="403"/>
        <v>-27.778684492575344</v>
      </c>
      <c r="AQ44" s="586">
        <f t="shared" si="246"/>
        <v>0.43479544455822516</v>
      </c>
      <c r="AS44" s="52">
        <f t="shared" si="406"/>
        <v>-193.00002411181327</v>
      </c>
      <c r="AT44" s="72">
        <f t="shared" si="247"/>
        <v>-2.176979175474929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4.125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-1.200396444342984</v>
      </c>
      <c r="C45" s="708">
        <v>-5.1583865707382097</v>
      </c>
      <c r="D45" s="709">
        <v>-2.9916090226928125</v>
      </c>
      <c r="E45" s="710">
        <v>0.73016204090476322</v>
      </c>
      <c r="F45" s="708">
        <v>-0.68327402557230144</v>
      </c>
      <c r="G45" s="711">
        <v>1.1339743346859607E-7</v>
      </c>
      <c r="H45" s="710">
        <v>0.26600000000000001</v>
      </c>
      <c r="I45" s="708">
        <v>0.52</v>
      </c>
      <c r="J45" s="570">
        <v>4.1280000000000001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1313</v>
      </c>
      <c r="L45" s="320"/>
      <c r="M45" s="168">
        <f t="shared" si="239"/>
        <v>4.1280000000000001</v>
      </c>
      <c r="N45" s="632">
        <f t="shared" si="240"/>
        <v>-1.200396444342984</v>
      </c>
      <c r="O45" s="629">
        <f t="shared" si="241"/>
        <v>-5.1583865707382097</v>
      </c>
      <c r="P45" s="633">
        <f t="shared" si="242"/>
        <v>-2.9916090226928125</v>
      </c>
      <c r="Q45" s="585">
        <f t="shared" si="113"/>
        <v>256.89997590262493</v>
      </c>
      <c r="R45" s="629">
        <f t="shared" si="385"/>
        <v>5.2962159733873753</v>
      </c>
      <c r="S45" s="634">
        <f t="shared" si="386"/>
        <v>-2.9916090226928125</v>
      </c>
      <c r="T45" s="635">
        <f t="shared" si="387"/>
        <v>-5.1583865707382097</v>
      </c>
      <c r="U45" s="629">
        <f t="shared" si="388"/>
        <v>1.2003964443429833</v>
      </c>
      <c r="V45" s="636">
        <f t="shared" si="389"/>
        <v>-2.9916090226928125</v>
      </c>
      <c r="W45" s="585">
        <f t="shared" si="224"/>
        <v>166.89997590262493</v>
      </c>
      <c r="X45" s="629">
        <f t="shared" si="390"/>
        <v>5.2962159733873753</v>
      </c>
      <c r="Y45" s="630">
        <f t="shared" si="223"/>
        <v>-2.9916090226928125</v>
      </c>
      <c r="Z45" s="632">
        <f t="shared" si="243"/>
        <v>-0.73016204090476322</v>
      </c>
      <c r="AA45" s="629">
        <f t="shared" si="244"/>
        <v>0.68327402557230144</v>
      </c>
      <c r="AB45" s="629">
        <f t="shared" si="245"/>
        <v>-1.1339743346859607E-7</v>
      </c>
      <c r="AC45" s="636">
        <f t="shared" si="391"/>
        <v>1</v>
      </c>
      <c r="AD45" s="637">
        <f t="shared" si="392"/>
        <v>-0.73016204090476322</v>
      </c>
      <c r="AE45" s="629">
        <f t="shared" si="393"/>
        <v>0.68327402557230144</v>
      </c>
      <c r="AF45" s="633">
        <f t="shared" si="394"/>
        <v>-1.1339743346859607E-7</v>
      </c>
      <c r="AG45" s="602">
        <f t="shared" si="395"/>
        <v>89.999990491085427</v>
      </c>
      <c r="AH45" s="603">
        <f t="shared" si="396"/>
        <v>136.89998023408862</v>
      </c>
      <c r="AI45" s="585">
        <f t="shared" si="397"/>
        <v>-89.999993502805651</v>
      </c>
      <c r="AJ45" s="586">
        <f t="shared" si="398"/>
        <v>-133.10001976591096</v>
      </c>
      <c r="AK45" s="635">
        <f t="shared" si="399"/>
        <v>0.86602544158358563</v>
      </c>
      <c r="AL45" s="629">
        <f t="shared" si="400"/>
        <v>-0.49999993452993846</v>
      </c>
      <c r="AM45" s="634">
        <f t="shared" si="401"/>
        <v>-1.1339743346859607E-7</v>
      </c>
      <c r="AN45" s="581">
        <f t="shared" si="402"/>
        <v>-89.999987005609611</v>
      </c>
      <c r="AO45" s="582">
        <f t="shared" si="94"/>
        <v>29.999995668536535</v>
      </c>
      <c r="AP45" s="585">
        <f t="shared" si="403"/>
        <v>-29.999995668535906</v>
      </c>
      <c r="AQ45" s="586">
        <f t="shared" si="246"/>
        <v>0.43043632574939017</v>
      </c>
      <c r="AS45" s="52">
        <f t="shared" si="406"/>
        <v>-193.10002409737507</v>
      </c>
      <c r="AT45" s="72">
        <f t="shared" si="247"/>
        <v>-2.8575117837363022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4.1280000000000001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1313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-0.51623454221949405</v>
      </c>
      <c r="C46" s="708">
        <v>-0.24072393830995767</v>
      </c>
      <c r="D46" s="709">
        <v>-0.68940207923667107</v>
      </c>
      <c r="E46" s="710">
        <v>0.46892874510133492</v>
      </c>
      <c r="F46" s="708">
        <v>-0.84711619532694482</v>
      </c>
      <c r="G46" s="711">
        <v>0.24999996726497567</v>
      </c>
      <c r="H46" s="710">
        <v>0.314</v>
      </c>
      <c r="I46" s="708">
        <v>0.52</v>
      </c>
      <c r="J46" s="570">
        <v>5.1020000000000003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5.1020000000000003</v>
      </c>
      <c r="N46" s="632">
        <f t="shared" si="240"/>
        <v>-0.51623454221949405</v>
      </c>
      <c r="O46" s="629">
        <f t="shared" si="241"/>
        <v>-0.24072393830995767</v>
      </c>
      <c r="P46" s="633">
        <f t="shared" si="242"/>
        <v>-0.68940207923667107</v>
      </c>
      <c r="Q46" s="585">
        <f t="shared" si="113"/>
        <v>204.99998339605673</v>
      </c>
      <c r="R46" s="629">
        <f t="shared" si="385"/>
        <v>0.56960171791878134</v>
      </c>
      <c r="S46" s="634">
        <f t="shared" si="386"/>
        <v>-0.68940207923667107</v>
      </c>
      <c r="T46" s="635">
        <f t="shared" si="387"/>
        <v>-0.24072393830995786</v>
      </c>
      <c r="U46" s="629">
        <f t="shared" si="388"/>
        <v>0.51623454221949405</v>
      </c>
      <c r="V46" s="636">
        <f t="shared" si="389"/>
        <v>-0.68940207923667107</v>
      </c>
      <c r="W46" s="585">
        <f t="shared" si="224"/>
        <v>114.99998339605673</v>
      </c>
      <c r="X46" s="629">
        <f t="shared" si="390"/>
        <v>0.56960171791878134</v>
      </c>
      <c r="Y46" s="630">
        <f t="shared" si="223"/>
        <v>-0.68940207923667107</v>
      </c>
      <c r="Z46" s="632">
        <f t="shared" si="243"/>
        <v>-0.46892874510133492</v>
      </c>
      <c r="AA46" s="629">
        <f t="shared" si="244"/>
        <v>0.84711619532694482</v>
      </c>
      <c r="AB46" s="629">
        <f t="shared" si="245"/>
        <v>-0.24999996726497567</v>
      </c>
      <c r="AC46" s="636">
        <f t="shared" si="391"/>
        <v>1</v>
      </c>
      <c r="AD46" s="637">
        <f t="shared" si="392"/>
        <v>-0.46892874510133492</v>
      </c>
      <c r="AE46" s="629">
        <f t="shared" si="393"/>
        <v>0.84711619532694482</v>
      </c>
      <c r="AF46" s="633">
        <f t="shared" si="394"/>
        <v>-0.24999996726497567</v>
      </c>
      <c r="AG46" s="602">
        <f t="shared" si="395"/>
        <v>73.557675922032189</v>
      </c>
      <c r="AH46" s="603">
        <f t="shared" si="396"/>
        <v>117.96478150797752</v>
      </c>
      <c r="AI46" s="585">
        <f t="shared" si="397"/>
        <v>-75.522489751159455</v>
      </c>
      <c r="AJ46" s="586">
        <f t="shared" si="398"/>
        <v>-151.03288695885672</v>
      </c>
      <c r="AK46" s="635">
        <f t="shared" si="399"/>
        <v>0.9659258360722075</v>
      </c>
      <c r="AL46" s="629">
        <f t="shared" si="400"/>
        <v>6.6987279208206962E-2</v>
      </c>
      <c r="AM46" s="634">
        <f t="shared" si="401"/>
        <v>-0.24999996726497567</v>
      </c>
      <c r="AN46" s="581">
        <f t="shared" si="402"/>
        <v>14.999997834268218</v>
      </c>
      <c r="AO46" s="582">
        <f t="shared" si="94"/>
        <v>14.99999783426823</v>
      </c>
      <c r="AP46" s="585">
        <f t="shared" si="403"/>
        <v>3.967129645086557</v>
      </c>
      <c r="AQ46" s="586">
        <f t="shared" si="246"/>
        <v>3.9958261763471423</v>
      </c>
      <c r="AS46" s="52">
        <f t="shared" si="406"/>
        <v>-245.00001660394327</v>
      </c>
      <c r="AT46" s="72">
        <f t="shared" si="247"/>
        <v>-0.51926317881726602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5.1020000000000003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-1.2279602901214757</v>
      </c>
      <c r="C47" s="708">
        <v>-0.5726068539609579</v>
      </c>
      <c r="D47" s="709">
        <v>-0.47900144466835715</v>
      </c>
      <c r="E47" s="710">
        <v>0.46892874510133487</v>
      </c>
      <c r="F47" s="708">
        <v>-0.84711619532694493</v>
      </c>
      <c r="G47" s="711">
        <v>0.24999996726497567</v>
      </c>
      <c r="H47" s="710">
        <v>0.314</v>
      </c>
      <c r="I47" s="708">
        <v>0.52</v>
      </c>
      <c r="J47" s="570">
        <v>5.1050000000000004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5.1050000000000004</v>
      </c>
      <c r="N47" s="632">
        <f t="shared" si="240"/>
        <v>-1.2279602901214757</v>
      </c>
      <c r="O47" s="629">
        <f t="shared" si="241"/>
        <v>-0.5726068539609579</v>
      </c>
      <c r="P47" s="633">
        <f t="shared" si="242"/>
        <v>-0.47900144466835715</v>
      </c>
      <c r="Q47" s="585">
        <f t="shared" si="113"/>
        <v>204.99998339605673</v>
      </c>
      <c r="R47" s="629">
        <f t="shared" si="385"/>
        <v>1.3549040863907247</v>
      </c>
      <c r="S47" s="634">
        <f t="shared" si="386"/>
        <v>-0.47900144466835715</v>
      </c>
      <c r="T47" s="635">
        <f t="shared" si="387"/>
        <v>-0.57260685396095845</v>
      </c>
      <c r="U47" s="629">
        <f t="shared" si="388"/>
        <v>1.2279602901214755</v>
      </c>
      <c r="V47" s="636">
        <f t="shared" si="389"/>
        <v>-0.47900144466835715</v>
      </c>
      <c r="W47" s="585">
        <f t="shared" si="224"/>
        <v>114.99998339605673</v>
      </c>
      <c r="X47" s="629">
        <f t="shared" si="390"/>
        <v>1.3549040863907247</v>
      </c>
      <c r="Y47" s="630">
        <f t="shared" si="223"/>
        <v>-0.47900144466835715</v>
      </c>
      <c r="Z47" s="632">
        <f t="shared" si="243"/>
        <v>-0.46892874510133487</v>
      </c>
      <c r="AA47" s="629">
        <f t="shared" si="244"/>
        <v>0.84711619532694493</v>
      </c>
      <c r="AB47" s="629">
        <f t="shared" si="245"/>
        <v>-0.24999996726497567</v>
      </c>
      <c r="AC47" s="636">
        <f t="shared" si="391"/>
        <v>1</v>
      </c>
      <c r="AD47" s="637">
        <f t="shared" si="392"/>
        <v>-0.46892874510133487</v>
      </c>
      <c r="AE47" s="629">
        <f t="shared" si="393"/>
        <v>0.84711619532694493</v>
      </c>
      <c r="AF47" s="633">
        <f t="shared" si="394"/>
        <v>-0.24999996726497567</v>
      </c>
      <c r="AG47" s="602">
        <f t="shared" si="395"/>
        <v>73.557675922032189</v>
      </c>
      <c r="AH47" s="603">
        <f t="shared" si="396"/>
        <v>117.96478150797752</v>
      </c>
      <c r="AI47" s="585">
        <f t="shared" si="397"/>
        <v>-75.522489751159455</v>
      </c>
      <c r="AJ47" s="586">
        <f t="shared" si="398"/>
        <v>-151.03288695885672</v>
      </c>
      <c r="AK47" s="635">
        <f t="shared" si="399"/>
        <v>0.9659258360722075</v>
      </c>
      <c r="AL47" s="629">
        <f t="shared" si="400"/>
        <v>6.6987279208206851E-2</v>
      </c>
      <c r="AM47" s="634">
        <f t="shared" si="401"/>
        <v>-0.24999996726497567</v>
      </c>
      <c r="AN47" s="581">
        <f t="shared" si="402"/>
        <v>14.999997834268191</v>
      </c>
      <c r="AO47" s="582">
        <f t="shared" si="94"/>
        <v>14.99999783426823</v>
      </c>
      <c r="AP47" s="585">
        <f t="shared" si="403"/>
        <v>3.9671296450865503</v>
      </c>
      <c r="AQ47" s="586">
        <f t="shared" si="246"/>
        <v>1.6820907521956798</v>
      </c>
      <c r="AS47" s="52">
        <f t="shared" si="406"/>
        <v>-245.00001660394327</v>
      </c>
      <c r="AT47" s="72">
        <f t="shared" si="247"/>
        <v>-0.3088625442489521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5.1050000000000004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-1.9391422516376922</v>
      </c>
      <c r="C48" s="708">
        <v>-0.90423619804772737</v>
      </c>
      <c r="D48" s="709">
        <v>-0.26870081040164417</v>
      </c>
      <c r="E48" s="710">
        <v>0.46892874510133475</v>
      </c>
      <c r="F48" s="708">
        <v>-0.84711619532694493</v>
      </c>
      <c r="G48" s="711">
        <v>0.24999996726497564</v>
      </c>
      <c r="H48" s="710">
        <v>0.314</v>
      </c>
      <c r="I48" s="708">
        <v>0.52</v>
      </c>
      <c r="J48" s="570">
        <v>5.1079999999999997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5.1079999999999997</v>
      </c>
      <c r="N48" s="632">
        <f t="shared" si="240"/>
        <v>-1.9391422516376922</v>
      </c>
      <c r="O48" s="629">
        <f t="shared" si="241"/>
        <v>-0.90423619804772737</v>
      </c>
      <c r="P48" s="633">
        <f t="shared" si="242"/>
        <v>-0.26870081040164417</v>
      </c>
      <c r="Q48" s="585">
        <f t="shared" si="113"/>
        <v>204.99998339605673</v>
      </c>
      <c r="R48" s="629">
        <f t="shared" si="79"/>
        <v>2.1396064530530623</v>
      </c>
      <c r="S48" s="634">
        <f t="shared" si="80"/>
        <v>-0.26870081040164417</v>
      </c>
      <c r="T48" s="635">
        <f t="shared" si="81"/>
        <v>-0.90423619804772781</v>
      </c>
      <c r="U48" s="629">
        <f t="shared" si="82"/>
        <v>1.9391422516376917</v>
      </c>
      <c r="V48" s="636">
        <f t="shared" si="114"/>
        <v>-0.26870081040164417</v>
      </c>
      <c r="W48" s="585">
        <f t="shared" si="224"/>
        <v>114.99998339605673</v>
      </c>
      <c r="X48" s="629">
        <f t="shared" si="83"/>
        <v>2.1396064530530623</v>
      </c>
      <c r="Y48" s="630">
        <f t="shared" si="223"/>
        <v>-0.26870081040164417</v>
      </c>
      <c r="Z48" s="632">
        <f t="shared" si="243"/>
        <v>-0.46892874510133475</v>
      </c>
      <c r="AA48" s="629">
        <f t="shared" si="244"/>
        <v>0.84711619532694493</v>
      </c>
      <c r="AB48" s="629">
        <f t="shared" si="245"/>
        <v>-0.24999996726497564</v>
      </c>
      <c r="AC48" s="636">
        <f t="shared" si="84"/>
        <v>1</v>
      </c>
      <c r="AD48" s="637">
        <f t="shared" si="115"/>
        <v>-0.46892874510133475</v>
      </c>
      <c r="AE48" s="629">
        <f t="shared" si="85"/>
        <v>0.84711619532694493</v>
      </c>
      <c r="AF48" s="633">
        <f t="shared" si="86"/>
        <v>-0.24999996726497564</v>
      </c>
      <c r="AG48" s="602">
        <f t="shared" si="87"/>
        <v>73.557675922032189</v>
      </c>
      <c r="AH48" s="603">
        <f t="shared" si="88"/>
        <v>117.96478150797752</v>
      </c>
      <c r="AI48" s="585">
        <f t="shared" si="89"/>
        <v>-75.522489751159469</v>
      </c>
      <c r="AJ48" s="586">
        <f t="shared" si="90"/>
        <v>-151.03288695885672</v>
      </c>
      <c r="AK48" s="635">
        <f t="shared" si="211"/>
        <v>0.9659258360722075</v>
      </c>
      <c r="AL48" s="629">
        <f t="shared" si="91"/>
        <v>6.698727920820674E-2</v>
      </c>
      <c r="AM48" s="634">
        <f t="shared" si="92"/>
        <v>-0.24999996726497564</v>
      </c>
      <c r="AN48" s="581">
        <f t="shared" si="93"/>
        <v>14.999997834268173</v>
      </c>
      <c r="AO48" s="582">
        <f t="shared" si="94"/>
        <v>14.99999783426823</v>
      </c>
      <c r="AP48" s="585">
        <f t="shared" si="95"/>
        <v>3.9671296450865441</v>
      </c>
      <c r="AQ48" s="586">
        <f t="shared" si="246"/>
        <v>1.065365964889742</v>
      </c>
      <c r="AS48" s="52">
        <f t="shared" si="406"/>
        <v>-245.00001660394327</v>
      </c>
      <c r="AT48" s="72">
        <f t="shared" si="247"/>
        <v>-9.8561909982239126E-2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5.1079999999999997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-2.6429599103293122</v>
      </c>
      <c r="C49" s="708">
        <v>-1.2313085244993698</v>
      </c>
      <c r="D49" s="709">
        <v>-7.9600240074324077E-2</v>
      </c>
      <c r="E49" s="710">
        <v>0.4248354054318102</v>
      </c>
      <c r="F49" s="708">
        <v>-0.87901172199960187</v>
      </c>
      <c r="G49" s="711">
        <v>0.21645616387362129</v>
      </c>
      <c r="H49" s="710">
        <v>0.314</v>
      </c>
      <c r="I49" s="708">
        <v>0.52</v>
      </c>
      <c r="J49" s="570">
        <v>5.1109999999999998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5.1109999999999998</v>
      </c>
      <c r="N49" s="632">
        <f t="shared" si="240"/>
        <v>-2.6429599103293122</v>
      </c>
      <c r="O49" s="629">
        <f t="shared" si="241"/>
        <v>-1.2313085244993698</v>
      </c>
      <c r="P49" s="633">
        <f t="shared" si="242"/>
        <v>-7.9600240074324077E-2</v>
      </c>
      <c r="Q49" s="585">
        <f t="shared" si="113"/>
        <v>204.97998339894437</v>
      </c>
      <c r="R49" s="629">
        <f t="shared" si="79"/>
        <v>2.9157087937777222</v>
      </c>
      <c r="S49" s="634">
        <f t="shared" si="80"/>
        <v>-7.9600240074324077E-2</v>
      </c>
      <c r="T49" s="635">
        <f t="shared" si="81"/>
        <v>-1.2313085244993696</v>
      </c>
      <c r="U49" s="629">
        <f t="shared" si="82"/>
        <v>2.6429599103293118</v>
      </c>
      <c r="V49" s="636">
        <f t="shared" si="114"/>
        <v>-7.9600240074324077E-2</v>
      </c>
      <c r="W49" s="585">
        <f t="shared" si="224"/>
        <v>114.97998339894437</v>
      </c>
      <c r="X49" s="629">
        <f t="shared" si="83"/>
        <v>2.9157087937777222</v>
      </c>
      <c r="Y49" s="630">
        <f t="shared" si="223"/>
        <v>-7.9600240074324077E-2</v>
      </c>
      <c r="Z49" s="632">
        <f t="shared" si="243"/>
        <v>-0.4248354054318102</v>
      </c>
      <c r="AA49" s="629">
        <f t="shared" si="244"/>
        <v>0.87901172199960187</v>
      </c>
      <c r="AB49" s="629">
        <f t="shared" si="245"/>
        <v>-0.21645616387362129</v>
      </c>
      <c r="AC49" s="636">
        <f t="shared" si="84"/>
        <v>1</v>
      </c>
      <c r="AD49" s="637">
        <f t="shared" si="115"/>
        <v>-0.4248354054318102</v>
      </c>
      <c r="AE49" s="629">
        <f t="shared" si="85"/>
        <v>0.87901172199960187</v>
      </c>
      <c r="AF49" s="633">
        <f t="shared" si="86"/>
        <v>-0.21645616387362129</v>
      </c>
      <c r="AG49" s="602">
        <f t="shared" si="87"/>
        <v>76.166183723878049</v>
      </c>
      <c r="AH49" s="603">
        <f t="shared" si="88"/>
        <v>115.14024555914237</v>
      </c>
      <c r="AI49" s="585">
        <f t="shared" si="89"/>
        <v>-77.499028733876457</v>
      </c>
      <c r="AJ49" s="586">
        <f t="shared" si="90"/>
        <v>-154.20504403187599</v>
      </c>
      <c r="AK49" s="635">
        <f t="shared" si="211"/>
        <v>0.97619357744023105</v>
      </c>
      <c r="AL49" s="629">
        <f t="shared" si="91"/>
        <v>1.3886269677616137E-2</v>
      </c>
      <c r="AM49" s="634">
        <f t="shared" si="92"/>
        <v>-0.21645616387362129</v>
      </c>
      <c r="AN49" s="581">
        <f t="shared" si="93"/>
        <v>3.6706547536171708</v>
      </c>
      <c r="AO49" s="582">
        <f t="shared" si="94"/>
        <v>12.527086251835557</v>
      </c>
      <c r="AP49" s="585">
        <f t="shared" si="95"/>
        <v>0.81497256917964356</v>
      </c>
      <c r="AQ49" s="586">
        <f t="shared" si="246"/>
        <v>0.78182880970482194</v>
      </c>
      <c r="AS49" s="52">
        <f t="shared" si="406"/>
        <v>-245.02001660105563</v>
      </c>
      <c r="AT49" s="72">
        <f t="shared" si="247"/>
        <v>9.0552549231964555E-2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5.1109999999999998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-3.3538839414674526</v>
      </c>
      <c r="C50" s="708">
        <v>-1.5220939336906283</v>
      </c>
      <c r="D50" s="709">
        <v>-0.12460037579473342</v>
      </c>
      <c r="E50" s="710">
        <v>0.29468144268978808</v>
      </c>
      <c r="F50" s="708">
        <v>-0.93480692168593849</v>
      </c>
      <c r="G50" s="711">
        <v>0.19823941712566945</v>
      </c>
      <c r="H50" s="710">
        <v>0.314</v>
      </c>
      <c r="I50" s="708">
        <v>0.52</v>
      </c>
      <c r="J50" s="570">
        <v>5.1139999999999999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5.1139999999999999</v>
      </c>
      <c r="N50" s="632">
        <f t="shared" si="240"/>
        <v>-3.3538839414674526</v>
      </c>
      <c r="O50" s="629">
        <f t="shared" si="241"/>
        <v>-1.5220939336906283</v>
      </c>
      <c r="P50" s="633">
        <f t="shared" si="242"/>
        <v>-0.12460037579473342</v>
      </c>
      <c r="Q50" s="585">
        <f t="shared" si="113"/>
        <v>204.40998348124216</v>
      </c>
      <c r="R50" s="629">
        <f t="shared" si="79"/>
        <v>3.6831111082631036</v>
      </c>
      <c r="S50" s="634">
        <f t="shared" si="80"/>
        <v>-0.12460037579473342</v>
      </c>
      <c r="T50" s="635">
        <f t="shared" si="81"/>
        <v>-1.5220939336906276</v>
      </c>
      <c r="U50" s="629">
        <f t="shared" si="82"/>
        <v>3.3538839414674535</v>
      </c>
      <c r="V50" s="636">
        <f t="shared" si="114"/>
        <v>-0.12460037579473342</v>
      </c>
      <c r="W50" s="585">
        <f t="shared" si="224"/>
        <v>114.40998348124216</v>
      </c>
      <c r="X50" s="629">
        <f t="shared" si="83"/>
        <v>3.6831111082631036</v>
      </c>
      <c r="Y50" s="630">
        <f t="shared" si="223"/>
        <v>-0.12460037579473342</v>
      </c>
      <c r="Z50" s="632">
        <f t="shared" si="243"/>
        <v>-0.29468144268978808</v>
      </c>
      <c r="AA50" s="629">
        <f t="shared" si="244"/>
        <v>0.93480692168593849</v>
      </c>
      <c r="AB50" s="629">
        <f t="shared" si="245"/>
        <v>-0.19823941712566945</v>
      </c>
      <c r="AC50" s="636">
        <f t="shared" si="84"/>
        <v>1</v>
      </c>
      <c r="AD50" s="637">
        <f t="shared" si="115"/>
        <v>-0.29468144268978808</v>
      </c>
      <c r="AE50" s="629">
        <f t="shared" si="85"/>
        <v>0.93480692168593849</v>
      </c>
      <c r="AF50" s="633">
        <f t="shared" si="86"/>
        <v>-0.19823941712566945</v>
      </c>
      <c r="AG50" s="602">
        <f t="shared" si="87"/>
        <v>78.026973838330548</v>
      </c>
      <c r="AH50" s="603">
        <f t="shared" si="88"/>
        <v>107.13843626969819</v>
      </c>
      <c r="AI50" s="585">
        <f t="shared" si="89"/>
        <v>-78.565976210958425</v>
      </c>
      <c r="AJ50" s="586">
        <f t="shared" si="90"/>
        <v>-162.50345917588538</v>
      </c>
      <c r="AK50" s="635">
        <f t="shared" si="211"/>
        <v>0.9730270561928468</v>
      </c>
      <c r="AL50" s="629">
        <f t="shared" si="91"/>
        <v>-0.11798085189706786</v>
      </c>
      <c r="AM50" s="634">
        <f t="shared" si="92"/>
        <v>-0.19823941712566945</v>
      </c>
      <c r="AN50" s="581">
        <f t="shared" si="93"/>
        <v>-30.758707010090617</v>
      </c>
      <c r="AO50" s="582">
        <f t="shared" si="94"/>
        <v>13.337758540077827</v>
      </c>
      <c r="AP50" s="585">
        <f t="shared" si="95"/>
        <v>-6.9134426571275505</v>
      </c>
      <c r="AQ50" s="586">
        <f t="shared" si="246"/>
        <v>0.61894357399152822</v>
      </c>
      <c r="AS50" s="52">
        <f t="shared" si="406"/>
        <v>-245.59001651875784</v>
      </c>
      <c r="AT50" s="72">
        <f t="shared" si="247"/>
        <v>4.5948246787737304E-2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5.1139999999999999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-4.018200030372177</v>
      </c>
      <c r="C51" s="708">
        <v>-1.7446606055184124</v>
      </c>
      <c r="D51" s="709">
        <v>-0.44760134996567152</v>
      </c>
      <c r="E51" s="710">
        <v>0.18308416979274464</v>
      </c>
      <c r="F51" s="708">
        <v>-0.9739495723231153</v>
      </c>
      <c r="G51" s="711">
        <v>0.13379991533226887</v>
      </c>
      <c r="H51" s="710">
        <v>0.314</v>
      </c>
      <c r="I51" s="708">
        <v>0.52</v>
      </c>
      <c r="J51" s="570">
        <v>5.117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1613</v>
      </c>
      <c r="L51" s="320"/>
      <c r="M51" s="168">
        <f t="shared" si="239"/>
        <v>5.117</v>
      </c>
      <c r="N51" s="632">
        <f t="shared" si="240"/>
        <v>-4.018200030372177</v>
      </c>
      <c r="O51" s="629">
        <f t="shared" si="241"/>
        <v>-1.7446606055184124</v>
      </c>
      <c r="P51" s="633">
        <f t="shared" si="242"/>
        <v>-0.44760134996567152</v>
      </c>
      <c r="Q51" s="585">
        <f t="shared" si="113"/>
        <v>203.46998361696134</v>
      </c>
      <c r="R51" s="629">
        <f t="shared" si="79"/>
        <v>4.3806132119294485</v>
      </c>
      <c r="S51" s="634">
        <f t="shared" si="80"/>
        <v>-0.44760134996567152</v>
      </c>
      <c r="T51" s="635">
        <f t="shared" si="81"/>
        <v>-1.744660605518412</v>
      </c>
      <c r="U51" s="629">
        <f t="shared" si="82"/>
        <v>4.0182000303721779</v>
      </c>
      <c r="V51" s="636">
        <f t="shared" si="114"/>
        <v>-0.44760134996567152</v>
      </c>
      <c r="W51" s="585">
        <f t="shared" si="224"/>
        <v>113.46998361696134</v>
      </c>
      <c r="X51" s="629">
        <f t="shared" si="83"/>
        <v>4.3806132119294485</v>
      </c>
      <c r="Y51" s="630">
        <f t="shared" si="223"/>
        <v>-0.44760134996567152</v>
      </c>
      <c r="Z51" s="632">
        <f t="shared" si="243"/>
        <v>-0.18308416979274464</v>
      </c>
      <c r="AA51" s="629">
        <f t="shared" si="244"/>
        <v>0.9739495723231153</v>
      </c>
      <c r="AB51" s="629">
        <f t="shared" si="245"/>
        <v>-0.13379991533226887</v>
      </c>
      <c r="AC51" s="636">
        <f t="shared" si="84"/>
        <v>1</v>
      </c>
      <c r="AD51" s="637">
        <f t="shared" si="115"/>
        <v>-0.18308416979274464</v>
      </c>
      <c r="AE51" s="629">
        <f t="shared" si="85"/>
        <v>0.9739495723231153</v>
      </c>
      <c r="AF51" s="633">
        <f t="shared" si="86"/>
        <v>-0.13379991533226887</v>
      </c>
      <c r="AG51" s="602">
        <f t="shared" si="87"/>
        <v>82.177745242111399</v>
      </c>
      <c r="AH51" s="603">
        <f t="shared" si="88"/>
        <v>100.54945577396157</v>
      </c>
      <c r="AI51" s="585">
        <f t="shared" si="89"/>
        <v>-82.310769460303135</v>
      </c>
      <c r="AJ51" s="586">
        <f t="shared" si="90"/>
        <v>-169.35371492967846</v>
      </c>
      <c r="AK51" s="635">
        <f t="shared" si="211"/>
        <v>0.96629027372100484</v>
      </c>
      <c r="AL51" s="629">
        <f t="shared" si="91"/>
        <v>-0.21995610827904599</v>
      </c>
      <c r="AM51" s="634">
        <f t="shared" si="92"/>
        <v>-0.13379991533226887</v>
      </c>
      <c r="AN51" s="581">
        <f t="shared" si="93"/>
        <v>-58.687733869675078</v>
      </c>
      <c r="AO51" s="582">
        <f t="shared" si="94"/>
        <v>14.919107713873023</v>
      </c>
      <c r="AP51" s="585">
        <f t="shared" si="95"/>
        <v>-12.823698546639799</v>
      </c>
      <c r="AQ51" s="586">
        <f t="shared" si="246"/>
        <v>0.52039836269230755</v>
      </c>
      <c r="AS51" s="52">
        <f t="shared" si="406"/>
        <v>-246.53001638303866</v>
      </c>
      <c r="AT51" s="72">
        <f t="shared" si="247"/>
        <v>-0.27639994969967241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5.117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1613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-4.5343611925439173</v>
      </c>
      <c r="C52" s="708">
        <v>-1.8874708832546605</v>
      </c>
      <c r="D52" s="709">
        <v>-1.0035030265651281</v>
      </c>
      <c r="E52" s="710">
        <v>7.9951996139940112E-2</v>
      </c>
      <c r="F52" s="708">
        <v>-0.99411164753654924</v>
      </c>
      <c r="G52" s="711">
        <v>7.3141715494010731E-2</v>
      </c>
      <c r="H52" s="710">
        <v>0.314</v>
      </c>
      <c r="I52" s="708">
        <v>0.52</v>
      </c>
      <c r="J52" s="570">
        <v>5.12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1613</v>
      </c>
      <c r="L52" s="320"/>
      <c r="M52" s="168">
        <f t="shared" si="239"/>
        <v>5.12</v>
      </c>
      <c r="N52" s="632">
        <f t="shared" si="240"/>
        <v>-4.5343611925439173</v>
      </c>
      <c r="O52" s="629">
        <f t="shared" si="241"/>
        <v>-1.8874708832546605</v>
      </c>
      <c r="P52" s="633">
        <f t="shared" si="242"/>
        <v>-1.0035030265651281</v>
      </c>
      <c r="Q52" s="585">
        <f t="shared" si="113"/>
        <v>202.59998374257381</v>
      </c>
      <c r="R52" s="629">
        <f t="shared" si="79"/>
        <v>4.9115148131286777</v>
      </c>
      <c r="S52" s="634">
        <f t="shared" si="80"/>
        <v>-1.0035030265651281</v>
      </c>
      <c r="T52" s="635">
        <f t="shared" si="81"/>
        <v>-1.8874708832546616</v>
      </c>
      <c r="U52" s="629">
        <f t="shared" si="82"/>
        <v>4.5343611925439173</v>
      </c>
      <c r="V52" s="636">
        <f t="shared" si="114"/>
        <v>-1.0035030265651281</v>
      </c>
      <c r="W52" s="585">
        <f t="shared" si="224"/>
        <v>112.59998374257381</v>
      </c>
      <c r="X52" s="629">
        <f t="shared" si="83"/>
        <v>4.9115148131286777</v>
      </c>
      <c r="Y52" s="630">
        <f t="shared" si="223"/>
        <v>-1.0035030265651281</v>
      </c>
      <c r="Z52" s="632">
        <f t="shared" si="243"/>
        <v>-7.9951996139940112E-2</v>
      </c>
      <c r="AA52" s="629">
        <f t="shared" si="244"/>
        <v>0.99411164753654924</v>
      </c>
      <c r="AB52" s="629">
        <f t="shared" si="245"/>
        <v>-7.3141715494010731E-2</v>
      </c>
      <c r="AC52" s="636">
        <f t="shared" si="84"/>
        <v>1</v>
      </c>
      <c r="AD52" s="637">
        <f t="shared" si="115"/>
        <v>-7.9951996139940112E-2</v>
      </c>
      <c r="AE52" s="629">
        <f t="shared" si="85"/>
        <v>0.99411164753654924</v>
      </c>
      <c r="AF52" s="633">
        <f t="shared" si="86"/>
        <v>-7.3141715494010731E-2</v>
      </c>
      <c r="AG52" s="602">
        <f t="shared" si="87"/>
        <v>85.792047846978548</v>
      </c>
      <c r="AH52" s="603">
        <f t="shared" si="88"/>
        <v>94.585806478722844</v>
      </c>
      <c r="AI52" s="585">
        <f t="shared" si="89"/>
        <v>-85.805542856246362</v>
      </c>
      <c r="AJ52" s="586">
        <f t="shared" si="90"/>
        <v>-175.40185124346823</v>
      </c>
      <c r="AK52" s="635">
        <f t="shared" si="211"/>
        <v>0.94849929556667734</v>
      </c>
      <c r="AL52" s="629">
        <f t="shared" si="91"/>
        <v>-0.30821968750245343</v>
      </c>
      <c r="AM52" s="634">
        <f t="shared" si="92"/>
        <v>-7.3141715494010731E-2</v>
      </c>
      <c r="AN52" s="581">
        <f t="shared" si="93"/>
        <v>-76.650421041371089</v>
      </c>
      <c r="AO52" s="582">
        <f t="shared" si="94"/>
        <v>18.468258297736675</v>
      </c>
      <c r="AP52" s="585">
        <f t="shared" si="95"/>
        <v>-18.001834986042024</v>
      </c>
      <c r="AQ52" s="586">
        <f t="shared" si="246"/>
        <v>0.46414942219057287</v>
      </c>
      <c r="AS52" s="52">
        <f t="shared" si="406"/>
        <v>-247.40001625742619</v>
      </c>
      <c r="AT52" s="72">
        <f t="shared" si="247"/>
        <v>-0.83169745971969333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5.12</v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>
        <f t="shared" si="112"/>
        <v>1613</v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>
        <v>-4.8204998983281886</v>
      </c>
      <c r="C53" s="708">
        <v>-1.9554406055224751</v>
      </c>
      <c r="D53" s="709">
        <v>-1.7152051730588014</v>
      </c>
      <c r="E53" s="710">
        <v>-5.8472319573578908E-2</v>
      </c>
      <c r="F53" s="708">
        <v>-0.99753579667641379</v>
      </c>
      <c r="G53" s="711">
        <v>3.8772699065681489E-2</v>
      </c>
      <c r="H53" s="710">
        <v>0.314</v>
      </c>
      <c r="I53" s="708">
        <v>0.52</v>
      </c>
      <c r="J53" s="570">
        <v>5.1230000000000002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1613</v>
      </c>
      <c r="L53" s="320"/>
      <c r="M53" s="168">
        <f t="shared" si="239"/>
        <v>5.1230000000000002</v>
      </c>
      <c r="N53" s="632">
        <f t="shared" si="240"/>
        <v>-4.8204998983281886</v>
      </c>
      <c r="O53" s="629">
        <f t="shared" si="241"/>
        <v>-1.9554406055224751</v>
      </c>
      <c r="P53" s="633">
        <f t="shared" si="242"/>
        <v>-1.7152051730588014</v>
      </c>
      <c r="Q53" s="585">
        <f t="shared" si="113"/>
        <v>202.0799838176525</v>
      </c>
      <c r="R53" s="629">
        <f t="shared" ref="R53:R58" si="410">IF(M53="","",SQRT(N53^2+O53^2))</f>
        <v>5.2020156892793183</v>
      </c>
      <c r="S53" s="634">
        <f t="shared" ref="S53:S58" si="411">IF(M53="","",P53)</f>
        <v>-1.7152051730588014</v>
      </c>
      <c r="T53" s="635">
        <f t="shared" ref="T53:T58" si="412">IF(M53="","",X53*COS(RADIANS(W53)))</f>
        <v>-1.9554406055224749</v>
      </c>
      <c r="U53" s="629">
        <f t="shared" ref="U53:U58" si="413">IF(M53="","",X53*SIN(RADIANS(W53)))</f>
        <v>4.8204998983281886</v>
      </c>
      <c r="V53" s="636">
        <f t="shared" ref="V53:V58" si="414">IF(M53="","",Y53)</f>
        <v>-1.7152051730588014</v>
      </c>
      <c r="W53" s="585">
        <f t="shared" si="224"/>
        <v>112.0799838176525</v>
      </c>
      <c r="X53" s="629">
        <f t="shared" ref="X53:X58" si="415">IF(M53="","",R53)</f>
        <v>5.2020156892793183</v>
      </c>
      <c r="Y53" s="630">
        <f t="shared" si="223"/>
        <v>-1.7152051730588014</v>
      </c>
      <c r="Z53" s="632">
        <f t="shared" si="243"/>
        <v>5.8472319573578908E-2</v>
      </c>
      <c r="AA53" s="629">
        <f t="shared" si="244"/>
        <v>0.99753579667641379</v>
      </c>
      <c r="AB53" s="629">
        <f t="shared" si="245"/>
        <v>-3.8772699065681489E-2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5.8472319573578908E-2</v>
      </c>
      <c r="AE53" s="629">
        <f t="shared" ref="AE53:AE58" si="418">IF(M53="","",AA53*(1/SQRT(Z53^2+AA53^2+AB53^2)))</f>
        <v>0.99753579667641379</v>
      </c>
      <c r="AF53" s="633">
        <f t="shared" ref="AF53:AF58" si="419">IF(M53="","",AB53*(1/SQRT(Z53^2+AA53^2+AB53^2)))</f>
        <v>-3.8772699065681489E-2</v>
      </c>
      <c r="AG53" s="602">
        <f t="shared" ref="AG53:AG58" si="420">IF(M53="","",DEGREES(ATAN2(-AF53,AE53)))</f>
        <v>87.774120673826388</v>
      </c>
      <c r="AH53" s="603">
        <f t="shared" ref="AH53:AH58" si="421">IF(M53="","",DEGREES(ACOS(AD53)))</f>
        <v>86.647870854706497</v>
      </c>
      <c r="AI53" s="585">
        <f t="shared" ref="AI53:AI58" si="422">IF(M53="","",DEGREES(-ACOS(-AF53)))</f>
        <v>-87.777930998273021</v>
      </c>
      <c r="AJ53" s="586">
        <f t="shared" ref="AJ53:AJ58" si="423">IF(M53="","",DEGREES(ATAN2(-AE53,AD53)))</f>
        <v>176.64534545985344</v>
      </c>
      <c r="AK53" s="635">
        <f t="shared" ref="AK53:AK58" si="424">IF(M53="","",(COS(RADIANS((90-$Q$8)-W53))*AD53)+(-SIN(RADIANS((90-$Q$8)-W53))*AE53))</f>
        <v>0.90239675134744923</v>
      </c>
      <c r="AL53" s="629">
        <f t="shared" ref="AL53:AL58" si="425">IF(M53="","",(SIN(RADIANS((90-$Q$8)-W53))*AD53)+(COS(RADIANS((90-$Q$8)-W53))*AE53))</f>
        <v>-0.42915822369463247</v>
      </c>
      <c r="AM53" s="634">
        <f t="shared" ref="AM53:AM58" si="426">IF(M53="","",AF53)</f>
        <v>-3.8772699065681489E-2</v>
      </c>
      <c r="AN53" s="581">
        <f t="shared" ref="AN53:AN58" si="427">IF(M53="","",DEGREES(ATAN2(-AM53,AL53)))</f>
        <v>-84.837574945462492</v>
      </c>
      <c r="AO53" s="582">
        <f t="shared" si="94"/>
        <v>25.525079937291192</v>
      </c>
      <c r="AP53" s="585">
        <f t="shared" ref="AP53:AP58" si="428">IF(M53="","",DEGREES(ATAN2(AK53,AL53)))</f>
        <v>-25.434638357799049</v>
      </c>
      <c r="AQ53" s="586">
        <f t="shared" si="246"/>
        <v>0.43823054616733975</v>
      </c>
      <c r="AS53" s="52">
        <f t="shared" si="406"/>
        <v>-247.9200161823475</v>
      </c>
      <c r="AT53" s="72">
        <f t="shared" si="247"/>
        <v>-1.5430384951543934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5.1230000000000002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>
        <f t="shared" si="112"/>
        <v>1613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-4.8613328839939696</v>
      </c>
      <c r="C54" s="708">
        <v>-1.9641043816502801</v>
      </c>
      <c r="D54" s="709">
        <v>-2.4858074971954114</v>
      </c>
      <c r="E54" s="710">
        <v>-0.10065925840172947</v>
      </c>
      <c r="F54" s="708">
        <v>-0.99464952014009844</v>
      </c>
      <c r="G54" s="711">
        <v>-2.3238885151525637E-2</v>
      </c>
      <c r="H54" s="710">
        <v>0.314</v>
      </c>
      <c r="I54" s="708">
        <v>0.52</v>
      </c>
      <c r="J54" s="570">
        <v>5.1260000000000003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1613</v>
      </c>
      <c r="L54" s="320"/>
      <c r="M54" s="168">
        <f t="shared" si="239"/>
        <v>5.1260000000000003</v>
      </c>
      <c r="N54" s="632">
        <f t="shared" si="240"/>
        <v>-4.8613328839939696</v>
      </c>
      <c r="O54" s="629">
        <f t="shared" si="241"/>
        <v>-1.9641043816502801</v>
      </c>
      <c r="P54" s="633">
        <f t="shared" si="242"/>
        <v>-2.4858074971954114</v>
      </c>
      <c r="Q54" s="585">
        <f t="shared" si="113"/>
        <v>201.99998382920307</v>
      </c>
      <c r="R54" s="629">
        <f t="shared" si="410"/>
        <v>5.243115813237293</v>
      </c>
      <c r="S54" s="634">
        <f t="shared" si="411"/>
        <v>-2.4858074971954114</v>
      </c>
      <c r="T54" s="635">
        <f t="shared" si="412"/>
        <v>-1.9641043816502806</v>
      </c>
      <c r="U54" s="629">
        <f t="shared" si="413"/>
        <v>4.8613328839939696</v>
      </c>
      <c r="V54" s="636">
        <f t="shared" si="414"/>
        <v>-2.4858074971954114</v>
      </c>
      <c r="W54" s="585">
        <f t="shared" si="224"/>
        <v>111.99998382920307</v>
      </c>
      <c r="X54" s="629">
        <f t="shared" si="415"/>
        <v>5.243115813237293</v>
      </c>
      <c r="Y54" s="630">
        <f t="shared" si="223"/>
        <v>-2.4858074971954114</v>
      </c>
      <c r="Z54" s="632">
        <f t="shared" si="243"/>
        <v>0.10065925840172947</v>
      </c>
      <c r="AA54" s="629">
        <f t="shared" si="244"/>
        <v>0.99464952014009844</v>
      </c>
      <c r="AB54" s="629">
        <f t="shared" si="245"/>
        <v>2.3238885151525637E-2</v>
      </c>
      <c r="AC54" s="636">
        <f t="shared" si="416"/>
        <v>1</v>
      </c>
      <c r="AD54" s="637">
        <f t="shared" si="417"/>
        <v>0.10065925840172947</v>
      </c>
      <c r="AE54" s="629">
        <f t="shared" si="418"/>
        <v>0.99464952014009844</v>
      </c>
      <c r="AF54" s="633">
        <f t="shared" si="419"/>
        <v>2.3238885151525637E-2</v>
      </c>
      <c r="AG54" s="602">
        <f t="shared" si="420"/>
        <v>91.338408975199854</v>
      </c>
      <c r="AH54" s="603">
        <f t="shared" si="421"/>
        <v>84.222865239825808</v>
      </c>
      <c r="AI54" s="585">
        <f t="shared" si="422"/>
        <v>-91.331609913169174</v>
      </c>
      <c r="AJ54" s="586">
        <f t="shared" si="423"/>
        <v>174.22129933662774</v>
      </c>
      <c r="AK54" s="635">
        <f t="shared" si="424"/>
        <v>0.88451548564248517</v>
      </c>
      <c r="AL54" s="629">
        <f t="shared" si="425"/>
        <v>-0.46593165794518904</v>
      </c>
      <c r="AM54" s="634">
        <f t="shared" si="426"/>
        <v>2.3238885151525637E-2</v>
      </c>
      <c r="AN54" s="581">
        <f t="shared" si="427"/>
        <v>-92.855327763938078</v>
      </c>
      <c r="AO54" s="582">
        <f t="shared" si="94"/>
        <v>27.80804434832379</v>
      </c>
      <c r="AP54" s="585">
        <f t="shared" si="428"/>
        <v>-27.77868449257533</v>
      </c>
      <c r="AQ54" s="586">
        <f t="shared" si="246"/>
        <v>0.43479544455822516</v>
      </c>
      <c r="AS54" s="52">
        <f t="shared" si="406"/>
        <v>-248.00001617079693</v>
      </c>
      <c r="AT54" s="72">
        <f t="shared" si="247"/>
        <v>-2.3135852637434691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5.1260000000000003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>
        <f t="shared" si="112"/>
        <v>1613</v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>
        <v>-4.914021745620456</v>
      </c>
      <c r="C55" s="708">
        <v>-1.9754224662924311</v>
      </c>
      <c r="D55" s="709">
        <v>-3.1376094630301408</v>
      </c>
      <c r="E55" s="710">
        <v>-0.14090143626197274</v>
      </c>
      <c r="F55" s="708">
        <v>-0.99002362863686266</v>
      </c>
      <c r="G55" s="711">
        <v>1.1339743349330409E-7</v>
      </c>
      <c r="H55" s="710">
        <v>0.26600000000000001</v>
      </c>
      <c r="I55" s="708">
        <v>0.52</v>
      </c>
      <c r="J55" s="570">
        <v>5.1289999999999996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1313</v>
      </c>
      <c r="L55" s="320"/>
      <c r="M55" s="168">
        <f t="shared" si="239"/>
        <v>5.1289999999999996</v>
      </c>
      <c r="N55" s="632">
        <f t="shared" si="240"/>
        <v>-4.914021745620456</v>
      </c>
      <c r="O55" s="629">
        <f t="shared" si="241"/>
        <v>-1.9754224662924311</v>
      </c>
      <c r="P55" s="633">
        <f t="shared" si="242"/>
        <v>-3.1376094630301408</v>
      </c>
      <c r="Q55" s="585">
        <f t="shared" si="113"/>
        <v>201.89998384364128</v>
      </c>
      <c r="R55" s="629">
        <f t="shared" si="410"/>
        <v>5.2962159733873753</v>
      </c>
      <c r="S55" s="634">
        <f t="shared" si="411"/>
        <v>-3.1376094630301408</v>
      </c>
      <c r="T55" s="635">
        <f t="shared" si="412"/>
        <v>-1.9754224662924318</v>
      </c>
      <c r="U55" s="629">
        <f t="shared" si="413"/>
        <v>4.914021745620456</v>
      </c>
      <c r="V55" s="636">
        <f t="shared" si="414"/>
        <v>-3.1376094630301408</v>
      </c>
      <c r="W55" s="585">
        <f t="shared" si="224"/>
        <v>111.89998384364128</v>
      </c>
      <c r="X55" s="629">
        <f t="shared" si="415"/>
        <v>5.2962159733873753</v>
      </c>
      <c r="Y55" s="630">
        <f t="shared" si="223"/>
        <v>-3.1376094630301408</v>
      </c>
      <c r="Z55" s="632">
        <f t="shared" si="243"/>
        <v>0.14090143626197274</v>
      </c>
      <c r="AA55" s="629">
        <f t="shared" si="244"/>
        <v>0.99002362863686266</v>
      </c>
      <c r="AB55" s="629">
        <f t="shared" si="245"/>
        <v>-1.1339743349330409E-7</v>
      </c>
      <c r="AC55" s="636">
        <f t="shared" si="416"/>
        <v>1</v>
      </c>
      <c r="AD55" s="637">
        <f t="shared" si="417"/>
        <v>0.14090143626197274</v>
      </c>
      <c r="AE55" s="629">
        <f t="shared" si="418"/>
        <v>0.99002362863686266</v>
      </c>
      <c r="AF55" s="633">
        <f t="shared" si="419"/>
        <v>-1.1339743349330409E-7</v>
      </c>
      <c r="AG55" s="602">
        <f t="shared" si="420"/>
        <v>89.999993437334069</v>
      </c>
      <c r="AH55" s="603">
        <f t="shared" si="421"/>
        <v>81.89998817510542</v>
      </c>
      <c r="AI55" s="585">
        <f t="shared" si="422"/>
        <v>-89.999993502805651</v>
      </c>
      <c r="AJ55" s="586">
        <f t="shared" si="423"/>
        <v>171.89998817510539</v>
      </c>
      <c r="AK55" s="635">
        <f t="shared" si="424"/>
        <v>0.86602544158358574</v>
      </c>
      <c r="AL55" s="629">
        <f t="shared" si="425"/>
        <v>-0.49999993452993852</v>
      </c>
      <c r="AM55" s="634">
        <f t="shared" si="426"/>
        <v>-1.1339743349330409E-7</v>
      </c>
      <c r="AN55" s="581">
        <f t="shared" si="427"/>
        <v>-89.999987005609611</v>
      </c>
      <c r="AO55" s="582">
        <f>IF(ROUND(IF(M55="",0,DEGREES(ACOS(AK55))),4)=90,0,IF(M55="","",DEGREES(ACOS(AK55))))</f>
        <v>29.99999566853651</v>
      </c>
      <c r="AP55" s="585">
        <f t="shared" si="428"/>
        <v>-29.999995668535906</v>
      </c>
      <c r="AQ55" s="586">
        <f t="shared" si="246"/>
        <v>0.43043632574939017</v>
      </c>
      <c r="AS55" s="52">
        <f t="shared" si="406"/>
        <v>-248.10001615635872</v>
      </c>
      <c r="AT55" s="72">
        <f t="shared" si="247"/>
        <v>-2.9653177851437804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5.1289999999999996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>
        <f t="shared" si="112"/>
        <v>1313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-1.2601057904580202</v>
      </c>
      <c r="C56" s="708">
        <v>0.46537761084836049</v>
      </c>
      <c r="D56" s="709">
        <v>-0.56105316015130313</v>
      </c>
      <c r="E56" s="710">
        <v>-7.8571887993453376E-8</v>
      </c>
      <c r="F56" s="708">
        <v>-2.12749579523779E-7</v>
      </c>
      <c r="G56" s="711">
        <v>0.99999999999997435</v>
      </c>
      <c r="H56" s="710">
        <v>0.25700000000000001</v>
      </c>
      <c r="I56" s="708">
        <v>0.45500000000000002</v>
      </c>
      <c r="J56" s="570">
        <v>5.2050000000000001</v>
      </c>
      <c r="K56" s="865" t="str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Inactive</v>
      </c>
      <c r="L56" s="320"/>
      <c r="M56" s="168">
        <f t="shared" si="239"/>
        <v>5.2050000000000001</v>
      </c>
      <c r="N56" s="632">
        <f t="shared" si="240"/>
        <v>-1.2601057904580202</v>
      </c>
      <c r="O56" s="629">
        <f t="shared" si="241"/>
        <v>0.46537761084836049</v>
      </c>
      <c r="P56" s="633">
        <f t="shared" si="242"/>
        <v>-0.56105316015130313</v>
      </c>
      <c r="Q56" s="585">
        <f t="shared" si="113"/>
        <v>159.72998993223507</v>
      </c>
      <c r="R56" s="629">
        <f t="shared" si="410"/>
        <v>1.3432955459707145</v>
      </c>
      <c r="S56" s="634">
        <f t="shared" si="411"/>
        <v>-0.56105316015130313</v>
      </c>
      <c r="T56" s="635">
        <f t="shared" si="412"/>
        <v>0.46537761084836077</v>
      </c>
      <c r="U56" s="629">
        <f t="shared" si="413"/>
        <v>1.2601057904580202</v>
      </c>
      <c r="V56" s="636">
        <f t="shared" si="414"/>
        <v>-0.56105316015130313</v>
      </c>
      <c r="W56" s="585">
        <f t="shared" si="224"/>
        <v>69.729989932235071</v>
      </c>
      <c r="X56" s="629">
        <f t="shared" si="415"/>
        <v>1.3432955459707145</v>
      </c>
      <c r="Y56" s="630">
        <f t="shared" si="223"/>
        <v>-0.56105316015130313</v>
      </c>
      <c r="Z56" s="632">
        <f t="shared" si="243"/>
        <v>7.8571887993453376E-8</v>
      </c>
      <c r="AA56" s="629">
        <f t="shared" si="244"/>
        <v>2.12749579523779E-7</v>
      </c>
      <c r="AB56" s="629">
        <f t="shared" si="245"/>
        <v>-0.99999999999997435</v>
      </c>
      <c r="AC56" s="636">
        <f t="shared" si="416"/>
        <v>1</v>
      </c>
      <c r="AD56" s="637">
        <f t="shared" si="417"/>
        <v>7.8571887993453376E-8</v>
      </c>
      <c r="AE56" s="629">
        <f t="shared" si="418"/>
        <v>2.12749579523779E-7</v>
      </c>
      <c r="AF56" s="633">
        <f t="shared" si="419"/>
        <v>-0.99999999999997435</v>
      </c>
      <c r="AG56" s="602">
        <f t="shared" si="420"/>
        <v>1.2189652999895545E-5</v>
      </c>
      <c r="AH56" s="603">
        <f t="shared" si="421"/>
        <v>89.999995498162434</v>
      </c>
      <c r="AI56" s="585">
        <f t="shared" si="422"/>
        <v>-1.2976235990044085E-5</v>
      </c>
      <c r="AJ56" s="586">
        <f t="shared" si="423"/>
        <v>159.72998993223507</v>
      </c>
      <c r="AK56" s="635">
        <f t="shared" si="424"/>
        <v>2.2679489670272686E-7</v>
      </c>
      <c r="AL56" s="629">
        <f t="shared" si="425"/>
        <v>1.3234889800848443E-23</v>
      </c>
      <c r="AM56" s="634">
        <f t="shared" si="426"/>
        <v>-0.99999999999997435</v>
      </c>
      <c r="AN56" s="581">
        <f t="shared" si="427"/>
        <v>7.5830332790937395E-22</v>
      </c>
      <c r="AO56" s="582">
        <f t="shared" ref="AO56:AO119" si="461">IF(ROUND(IF(M56="",0,DEGREES(ACOS(AK56))),4)=90,0,IF(M56="","",DEGREES(ACOS(AK56))))</f>
        <v>0</v>
      </c>
      <c r="AP56" s="585">
        <f t="shared" si="428"/>
        <v>3.3435643347094636E-15</v>
      </c>
      <c r="AQ56" s="586">
        <f t="shared" si="246"/>
        <v>1.6966186458054822</v>
      </c>
      <c r="AS56" s="52">
        <f t="shared" si="406"/>
        <v>-290.27001006776493</v>
      </c>
      <c r="AT56" s="72">
        <f t="shared" si="247"/>
        <v>-0.3594767642709108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>Nose</v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5.2050000000000001</v>
      </c>
      <c r="IH56" s="731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>5.1050000000000004</v>
      </c>
      <c r="II56" s="734" cm="1">
        <f t="array" ref="II56">IFERROR(ROUND(VALUE(IF($IH56&lt;1,$IH56+LARGE((IF($M$9:$M$150="",0,$M$9:$M$150)-MOD(IF($M$9:$M$150="",0,$M$9:$M$150),1)),1),$IH56)),4),"")</f>
        <v>5.1050000000000004</v>
      </c>
      <c r="IJ56" s="533">
        <f t="shared" si="112"/>
        <v>1613</v>
      </c>
      <c r="IK56" s="533" t="str">
        <f t="shared" si="382"/>
        <v>Inactive</v>
      </c>
      <c r="IL56" s="727">
        <f t="shared" si="225"/>
        <v>45.269993463821663</v>
      </c>
      <c r="IM56" s="759">
        <v>7.3945327730651794E-2</v>
      </c>
      <c r="IN56" s="5">
        <f t="shared" si="226"/>
        <v>1</v>
      </c>
      <c r="IO56" s="771">
        <v>500</v>
      </c>
      <c r="IP56" s="9">
        <f t="shared" si="227"/>
        <v>-1.3549040863907247</v>
      </c>
      <c r="IQ56" s="5">
        <f t="shared" si="228"/>
        <v>-0.47900144466835715</v>
      </c>
      <c r="IR56" s="5">
        <f t="shared" si="383"/>
        <v>0.314</v>
      </c>
      <c r="IS56" s="5">
        <f t="shared" si="229"/>
        <v>0.30330071252667318</v>
      </c>
      <c r="IT56" s="727">
        <f t="shared" si="230"/>
        <v>-14.999997834268191</v>
      </c>
      <c r="IU56" s="9">
        <f t="shared" si="231"/>
        <v>-1.3432955459707145</v>
      </c>
      <c r="IV56" s="5">
        <f t="shared" si="232"/>
        <v>-0.56105316015130313</v>
      </c>
      <c r="IW56" s="5">
        <f t="shared" si="384"/>
        <v>0.25700000000000001</v>
      </c>
      <c r="IX56" s="5">
        <f t="shared" si="233"/>
        <v>0.25700000000000001</v>
      </c>
      <c r="IY56" s="762">
        <f t="shared" si="234"/>
        <v>-7.5830332790937395E-22</v>
      </c>
    </row>
    <row r="57" spans="1:259" ht="15" customHeight="1" x14ac:dyDescent="0.25">
      <c r="A57" s="79"/>
      <c r="B57" s="707">
        <v>-2.127027935387825</v>
      </c>
      <c r="C57" s="708">
        <v>6.4243896600654257E-2</v>
      </c>
      <c r="D57" s="709">
        <v>-0.32500244822235586</v>
      </c>
      <c r="E57" s="710">
        <v>-6.8468995231555873E-9</v>
      </c>
      <c r="F57" s="708">
        <v>-2.266915197730581E-7</v>
      </c>
      <c r="G57" s="711">
        <v>0.99999999999997435</v>
      </c>
      <c r="H57" s="710">
        <v>0.25700000000000001</v>
      </c>
      <c r="I57" s="708">
        <v>0.45500000000000002</v>
      </c>
      <c r="J57" s="570">
        <v>5.2080000000000002</v>
      </c>
      <c r="K57" s="865" t="str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Inactive</v>
      </c>
      <c r="L57" s="320"/>
      <c r="M57" s="168">
        <f t="shared" si="239"/>
        <v>5.2080000000000002</v>
      </c>
      <c r="N57" s="632">
        <f t="shared" si="240"/>
        <v>-2.127027935387825</v>
      </c>
      <c r="O57" s="629">
        <f t="shared" si="241"/>
        <v>6.4243896600654257E-2</v>
      </c>
      <c r="P57" s="633">
        <f t="shared" si="242"/>
        <v>-0.32500244822235586</v>
      </c>
      <c r="Q57" s="585">
        <f t="shared" si="113"/>
        <v>178.26998725539065</v>
      </c>
      <c r="R57" s="629">
        <f t="shared" si="410"/>
        <v>2.1279979126330528</v>
      </c>
      <c r="S57" s="634">
        <f t="shared" si="411"/>
        <v>-0.32500244822235586</v>
      </c>
      <c r="T57" s="635">
        <f t="shared" si="412"/>
        <v>6.4243896600655159E-2</v>
      </c>
      <c r="U57" s="629">
        <f t="shared" si="413"/>
        <v>2.127027935387825</v>
      </c>
      <c r="V57" s="636">
        <f t="shared" si="414"/>
        <v>-0.32500244822235586</v>
      </c>
      <c r="W57" s="585">
        <f t="shared" si="224"/>
        <v>88.269987255390646</v>
      </c>
      <c r="X57" s="629">
        <f t="shared" si="415"/>
        <v>2.1279979126330528</v>
      </c>
      <c r="Y57" s="630">
        <f t="shared" si="223"/>
        <v>-0.32500244822235586</v>
      </c>
      <c r="Z57" s="632">
        <f t="shared" si="243"/>
        <v>6.8468995231555873E-9</v>
      </c>
      <c r="AA57" s="629">
        <f t="shared" si="244"/>
        <v>2.266915197730581E-7</v>
      </c>
      <c r="AB57" s="629">
        <f t="shared" si="245"/>
        <v>-0.99999999999997435</v>
      </c>
      <c r="AC57" s="636">
        <f t="shared" si="416"/>
        <v>1</v>
      </c>
      <c r="AD57" s="637">
        <f t="shared" si="417"/>
        <v>6.8468995231555873E-9</v>
      </c>
      <c r="AE57" s="629">
        <f t="shared" si="418"/>
        <v>2.266915197730581E-7</v>
      </c>
      <c r="AF57" s="633">
        <f t="shared" si="419"/>
        <v>-0.99999999999997435</v>
      </c>
      <c r="AG57" s="602">
        <f t="shared" si="420"/>
        <v>1.2988467334402789E-5</v>
      </c>
      <c r="AH57" s="603">
        <f t="shared" si="421"/>
        <v>89.999999607701554</v>
      </c>
      <c r="AI57" s="585">
        <f t="shared" si="422"/>
        <v>-1.2976235990044085E-5</v>
      </c>
      <c r="AJ57" s="586">
        <f t="shared" si="423"/>
        <v>178.26998725539065</v>
      </c>
      <c r="AK57" s="635">
        <f t="shared" si="424"/>
        <v>2.2679489670206199E-7</v>
      </c>
      <c r="AL57" s="629">
        <f t="shared" si="425"/>
        <v>9.6780131668704238E-23</v>
      </c>
      <c r="AM57" s="634">
        <f t="shared" si="426"/>
        <v>-0.99999999999997435</v>
      </c>
      <c r="AN57" s="581">
        <f t="shared" si="427"/>
        <v>5.5450930853372964E-21</v>
      </c>
      <c r="AO57" s="582">
        <f t="shared" si="461"/>
        <v>0</v>
      </c>
      <c r="AP57" s="585">
        <f t="shared" si="428"/>
        <v>2.4449814197634627E-14</v>
      </c>
      <c r="AQ57" s="586">
        <f t="shared" si="246"/>
        <v>1.0711763418740896</v>
      </c>
      <c r="AS57" s="52">
        <f t="shared" si="406"/>
        <v>-271.73001274460933</v>
      </c>
      <c r="AT57" s="72">
        <f t="shared" si="247"/>
        <v>-0.13630105048304381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>Nose</v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5.2080000000000002</v>
      </c>
      <c r="IH57" s="731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5.1079999999999997</v>
      </c>
      <c r="II57" s="734" cm="1">
        <f t="array" ref="II57">IFERROR(ROUND(VALUE(IF($IH57&lt;1,$IH57+LARGE((IF($M$9:$M$150="",0,$M$9:$M$150)-MOD(IF($M$9:$M$150="",0,$M$9:$M$150),1)),1),$IH57)),4),"")</f>
        <v>5.1079999999999997</v>
      </c>
      <c r="IJ57" s="533">
        <f t="shared" si="112"/>
        <v>1613</v>
      </c>
      <c r="IK57" s="533" t="str">
        <f t="shared" si="382"/>
        <v>Inactive</v>
      </c>
      <c r="IL57" s="727">
        <f t="shared" si="225"/>
        <v>26.729996140666088</v>
      </c>
      <c r="IM57" s="759">
        <v>6.5762445792538093E-2</v>
      </c>
      <c r="IN57" s="5">
        <f t="shared" si="226"/>
        <v>1.34</v>
      </c>
      <c r="IO57" s="771">
        <v>670</v>
      </c>
      <c r="IP57" s="9">
        <f t="shared" si="227"/>
        <v>-2.1396064530530623</v>
      </c>
      <c r="IQ57" s="5">
        <f t="shared" si="228"/>
        <v>-0.26870081040164417</v>
      </c>
      <c r="IR57" s="5">
        <f t="shared" si="383"/>
        <v>0.314</v>
      </c>
      <c r="IS57" s="5">
        <f t="shared" si="229"/>
        <v>0.30330071252667318</v>
      </c>
      <c r="IT57" s="727">
        <f t="shared" si="230"/>
        <v>-14.999997834268173</v>
      </c>
      <c r="IU57" s="9">
        <f t="shared" si="231"/>
        <v>-2.1279979126330528</v>
      </c>
      <c r="IV57" s="5">
        <f t="shared" si="232"/>
        <v>-0.32500244822235586</v>
      </c>
      <c r="IW57" s="5">
        <f t="shared" si="384"/>
        <v>0.25700000000000001</v>
      </c>
      <c r="IX57" s="5">
        <f t="shared" si="233"/>
        <v>0.25700000000000001</v>
      </c>
      <c r="IY57" s="762">
        <f t="shared" si="234"/>
        <v>-5.5450930853372964E-21</v>
      </c>
    </row>
    <row r="58" spans="1:259" ht="15" customHeight="1" x14ac:dyDescent="0.25">
      <c r="A58" s="79"/>
      <c r="B58" s="707">
        <v>-2.5944769334613103</v>
      </c>
      <c r="C58" s="708">
        <v>1.8261367556337162</v>
      </c>
      <c r="D58" s="709">
        <v>-0.14550043882932354</v>
      </c>
      <c r="E58" s="710">
        <v>-0.59179889653735052</v>
      </c>
      <c r="F58" s="708">
        <v>-0.77652564626358034</v>
      </c>
      <c r="G58" s="711">
        <v>0.21629143938700682</v>
      </c>
      <c r="H58" s="710">
        <v>0.314</v>
      </c>
      <c r="I58" s="708">
        <v>0.52</v>
      </c>
      <c r="J58" s="570">
        <v>6.1120000000000001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1613</v>
      </c>
      <c r="L58" s="320"/>
      <c r="M58" s="168">
        <f t="shared" si="239"/>
        <v>6.1120000000000001</v>
      </c>
      <c r="N58" s="632">
        <f t="shared" si="240"/>
        <v>-2.5944769334613103</v>
      </c>
      <c r="O58" s="629">
        <f t="shared" si="241"/>
        <v>1.8261367556337162</v>
      </c>
      <c r="P58" s="633">
        <f t="shared" si="242"/>
        <v>-0.14550043882932354</v>
      </c>
      <c r="Q58" s="585">
        <f t="shared" si="113"/>
        <v>144.85999207919716</v>
      </c>
      <c r="R58" s="629">
        <f t="shared" si="410"/>
        <v>3.1727095688920595</v>
      </c>
      <c r="S58" s="634">
        <f t="shared" si="411"/>
        <v>-0.14550043882932354</v>
      </c>
      <c r="T58" s="635">
        <f t="shared" si="412"/>
        <v>1.8261367556337158</v>
      </c>
      <c r="U58" s="629">
        <f t="shared" si="413"/>
        <v>2.5944769334613107</v>
      </c>
      <c r="V58" s="636">
        <f t="shared" si="414"/>
        <v>-0.14550043882932354</v>
      </c>
      <c r="W58" s="585">
        <f t="shared" si="224"/>
        <v>54.859992079197156</v>
      </c>
      <c r="X58" s="629">
        <f t="shared" si="415"/>
        <v>3.1727095688920595</v>
      </c>
      <c r="Y58" s="630">
        <f t="shared" si="223"/>
        <v>-0.14550043882932354</v>
      </c>
      <c r="Z58" s="632">
        <f t="shared" si="243"/>
        <v>0.59179889653735052</v>
      </c>
      <c r="AA58" s="629">
        <f t="shared" si="244"/>
        <v>0.77652564626358034</v>
      </c>
      <c r="AB58" s="629">
        <f t="shared" si="245"/>
        <v>-0.21629143938700682</v>
      </c>
      <c r="AC58" s="636">
        <f t="shared" si="416"/>
        <v>1</v>
      </c>
      <c r="AD58" s="637">
        <f t="shared" si="417"/>
        <v>0.59179889653735052</v>
      </c>
      <c r="AE58" s="629">
        <f t="shared" si="418"/>
        <v>0.77652564626358034</v>
      </c>
      <c r="AF58" s="633">
        <f t="shared" si="419"/>
        <v>-0.21629143938700682</v>
      </c>
      <c r="AG58" s="602">
        <f t="shared" si="420"/>
        <v>74.435491148423338</v>
      </c>
      <c r="AH58" s="603">
        <f t="shared" si="421"/>
        <v>53.71523246040816</v>
      </c>
      <c r="AI58" s="585">
        <f t="shared" si="422"/>
        <v>-77.50869575779933</v>
      </c>
      <c r="AJ58" s="586">
        <f t="shared" si="423"/>
        <v>142.68856852680585</v>
      </c>
      <c r="AK58" s="635">
        <f t="shared" si="424"/>
        <v>0.97562778034652076</v>
      </c>
      <c r="AL58" s="629">
        <f t="shared" si="425"/>
        <v>-3.6992532543988599E-2</v>
      </c>
      <c r="AM58" s="634">
        <f t="shared" si="426"/>
        <v>-0.21629143938700682</v>
      </c>
      <c r="AN58" s="581">
        <f t="shared" si="427"/>
        <v>-9.7054460194702141</v>
      </c>
      <c r="AO58" s="582">
        <f t="shared" si="461"/>
        <v>12.675678049825956</v>
      </c>
      <c r="AP58" s="585">
        <f t="shared" si="428"/>
        <v>-2.1714235523913081</v>
      </c>
      <c r="AQ58" s="586">
        <f t="shared" si="246"/>
        <v>0.71850482342463395</v>
      </c>
      <c r="AS58" s="52">
        <f t="shared" si="406"/>
        <v>-305.14000792080287</v>
      </c>
      <c r="AT58" s="72">
        <f t="shared" si="247"/>
        <v>6.6402344449011802E-2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6.1120000000000001</v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>
        <f t="shared" si="112"/>
        <v>1613</v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>
        <v>-3.1826598686272769</v>
      </c>
      <c r="C59" s="708">
        <v>2.3030157410629326</v>
      </c>
      <c r="D59" s="709">
        <v>-0.28590086227700062</v>
      </c>
      <c r="E59" s="710">
        <v>-0.69525946262177507</v>
      </c>
      <c r="F59" s="708">
        <v>-0.69554189038310621</v>
      </c>
      <c r="G59" s="711">
        <v>0.18120639711990197</v>
      </c>
      <c r="H59" s="710">
        <v>0.314</v>
      </c>
      <c r="I59" s="708">
        <v>0.52</v>
      </c>
      <c r="J59" s="570">
        <v>6.1150000000000002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1613</v>
      </c>
      <c r="L59" s="320"/>
      <c r="M59" s="168">
        <f t="shared" si="239"/>
        <v>6.1150000000000002</v>
      </c>
      <c r="N59" s="632">
        <f t="shared" si="240"/>
        <v>-3.1826598686272769</v>
      </c>
      <c r="O59" s="629">
        <f t="shared" si="241"/>
        <v>2.3030157410629326</v>
      </c>
      <c r="P59" s="633">
        <f t="shared" si="242"/>
        <v>-0.28590086227700062</v>
      </c>
      <c r="Q59" s="585">
        <f t="shared" si="113"/>
        <v>144.10999218748373</v>
      </c>
      <c r="R59" s="629">
        <f t="shared" si="79"/>
        <v>3.928511848391735</v>
      </c>
      <c r="S59" s="634">
        <f t="shared" si="80"/>
        <v>-0.28590086227700062</v>
      </c>
      <c r="T59" s="635">
        <f t="shared" si="81"/>
        <v>2.3030157410629331</v>
      </c>
      <c r="U59" s="629">
        <f t="shared" si="82"/>
        <v>3.1826598686272769</v>
      </c>
      <c r="V59" s="636">
        <f t="shared" si="114"/>
        <v>-0.28590086227700062</v>
      </c>
      <c r="W59" s="585">
        <f t="shared" si="224"/>
        <v>54.109992187483726</v>
      </c>
      <c r="X59" s="629">
        <f t="shared" si="83"/>
        <v>3.928511848391735</v>
      </c>
      <c r="Y59" s="630">
        <f t="shared" si="223"/>
        <v>-0.28590086227700062</v>
      </c>
      <c r="Z59" s="632">
        <f t="shared" si="243"/>
        <v>0.69525946262177507</v>
      </c>
      <c r="AA59" s="629">
        <f t="shared" si="244"/>
        <v>0.69554189038310621</v>
      </c>
      <c r="AB59" s="629">
        <f t="shared" si="245"/>
        <v>-0.18120639711990197</v>
      </c>
      <c r="AC59" s="636">
        <f t="shared" si="84"/>
        <v>1</v>
      </c>
      <c r="AD59" s="637">
        <f t="shared" si="115"/>
        <v>0.69525946262177507</v>
      </c>
      <c r="AE59" s="629">
        <f t="shared" si="85"/>
        <v>0.69554189038310621</v>
      </c>
      <c r="AF59" s="633">
        <f t="shared" si="86"/>
        <v>-0.18120639711990197</v>
      </c>
      <c r="AG59" s="602">
        <f t="shared" si="87"/>
        <v>75.3975850931011</v>
      </c>
      <c r="AH59" s="603">
        <f t="shared" si="88"/>
        <v>45.952103366355139</v>
      </c>
      <c r="AI59" s="585">
        <f t="shared" si="89"/>
        <v>-79.559963092540656</v>
      </c>
      <c r="AJ59" s="586">
        <f t="shared" si="90"/>
        <v>135.01163496029409</v>
      </c>
      <c r="AK59" s="635">
        <f t="shared" si="211"/>
        <v>0.97107171754467514</v>
      </c>
      <c r="AL59" s="629">
        <f t="shared" si="91"/>
        <v>-0.15551193210702202</v>
      </c>
      <c r="AM59" s="634">
        <f t="shared" si="92"/>
        <v>-0.18120639711990197</v>
      </c>
      <c r="AN59" s="581">
        <f t="shared" si="93"/>
        <v>-40.63630276600793</v>
      </c>
      <c r="AO59" s="582">
        <f t="shared" si="461"/>
        <v>13.815019476820073</v>
      </c>
      <c r="AP59" s="585">
        <f t="shared" si="95"/>
        <v>-9.0983572271896413</v>
      </c>
      <c r="AQ59" s="586">
        <f t="shared" si="246"/>
        <v>0.58028301122985326</v>
      </c>
      <c r="AS59" s="52">
        <f t="shared" si="406"/>
        <v>-305.89000781251627</v>
      </c>
      <c r="AT59" s="72">
        <f t="shared" si="247"/>
        <v>-7.3477245740530966E-2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>
        <f t="shared" si="210"/>
        <v>6.1150000000000002</v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>
        <f t="shared" si="112"/>
        <v>1613</v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>
        <v>-3.665764254702236</v>
      </c>
      <c r="C60" s="708">
        <v>2.746336312483761</v>
      </c>
      <c r="D60" s="709">
        <v>-0.6932020906975056</v>
      </c>
      <c r="E60" s="710">
        <v>-0.7743491172043665</v>
      </c>
      <c r="F60" s="708">
        <v>-0.62400146561981829</v>
      </c>
      <c r="G60" s="711">
        <v>0.10490765267194371</v>
      </c>
      <c r="H60" s="710">
        <v>0.314</v>
      </c>
      <c r="I60" s="708">
        <v>0.52</v>
      </c>
      <c r="J60" s="570">
        <v>6.1180000000000003</v>
      </c>
      <c r="K60" s="865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>1613</v>
      </c>
      <c r="L60" s="320"/>
      <c r="M60" s="168">
        <f t="shared" si="239"/>
        <v>6.1180000000000003</v>
      </c>
      <c r="N60" s="632">
        <f t="shared" si="240"/>
        <v>-3.665764254702236</v>
      </c>
      <c r="O60" s="629">
        <f t="shared" si="241"/>
        <v>2.746336312483761</v>
      </c>
      <c r="P60" s="633">
        <f t="shared" si="242"/>
        <v>-0.6932020906975056</v>
      </c>
      <c r="Q60" s="585">
        <f t="shared" si="113"/>
        <v>143.15999232464674</v>
      </c>
      <c r="R60" s="629">
        <f t="shared" si="79"/>
        <v>4.5804138145280655</v>
      </c>
      <c r="S60" s="634">
        <f t="shared" si="80"/>
        <v>-0.6932020906975056</v>
      </c>
      <c r="T60" s="635">
        <f t="shared" si="81"/>
        <v>2.7463363124837614</v>
      </c>
      <c r="U60" s="629">
        <f t="shared" si="82"/>
        <v>3.665764254702236</v>
      </c>
      <c r="V60" s="636">
        <f t="shared" si="114"/>
        <v>-0.6932020906975056</v>
      </c>
      <c r="W60" s="585">
        <f t="shared" si="224"/>
        <v>53.159992324646737</v>
      </c>
      <c r="X60" s="629">
        <f t="shared" si="83"/>
        <v>4.5804138145280655</v>
      </c>
      <c r="Y60" s="630">
        <f t="shared" si="223"/>
        <v>-0.6932020906975056</v>
      </c>
      <c r="Z60" s="632">
        <f t="shared" si="243"/>
        <v>0.7743491172043665</v>
      </c>
      <c r="AA60" s="629">
        <f t="shared" si="244"/>
        <v>0.62400146561981829</v>
      </c>
      <c r="AB60" s="629">
        <f t="shared" si="245"/>
        <v>-0.10490765267194371</v>
      </c>
      <c r="AC60" s="636">
        <f t="shared" si="84"/>
        <v>1</v>
      </c>
      <c r="AD60" s="637">
        <f t="shared" si="115"/>
        <v>0.7743491172043665</v>
      </c>
      <c r="AE60" s="629">
        <f t="shared" si="85"/>
        <v>0.62400146561981829</v>
      </c>
      <c r="AF60" s="633">
        <f t="shared" si="86"/>
        <v>-0.10490765267194371</v>
      </c>
      <c r="AG60" s="602">
        <f t="shared" si="87"/>
        <v>80.456630612423197</v>
      </c>
      <c r="AH60" s="603">
        <f t="shared" si="88"/>
        <v>39.253941489502779</v>
      </c>
      <c r="AI60" s="585">
        <f t="shared" si="89"/>
        <v>-83.978153936610894</v>
      </c>
      <c r="AJ60" s="586">
        <f t="shared" si="90"/>
        <v>128.8632554793374</v>
      </c>
      <c r="AK60" s="635">
        <f t="shared" si="211"/>
        <v>0.96368265955983867</v>
      </c>
      <c r="AL60" s="629">
        <f t="shared" si="91"/>
        <v>-0.24558118021244835</v>
      </c>
      <c r="AM60" s="634">
        <f t="shared" si="92"/>
        <v>-0.10490765267194371</v>
      </c>
      <c r="AN60" s="581">
        <f t="shared" si="93"/>
        <v>-66.868739525252579</v>
      </c>
      <c r="AO60" s="582">
        <f t="shared" si="461"/>
        <v>15.488803038182574</v>
      </c>
      <c r="AP60" s="585">
        <f t="shared" si="95"/>
        <v>-14.29673684530934</v>
      </c>
      <c r="AQ60" s="586">
        <f t="shared" si="246"/>
        <v>0.49769941863768036</v>
      </c>
      <c r="AS60" s="52">
        <f t="shared" si="406"/>
        <v>-306.84000767535326</v>
      </c>
      <c r="AT60" s="72">
        <f t="shared" si="247"/>
        <v>-0.48011875203406584</v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>
        <f t="shared" si="210"/>
        <v>6.1180000000000003</v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>
        <f t="shared" si="112"/>
        <v>1613</v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>
        <v>-3.990335196211841</v>
      </c>
      <c r="C61" s="708">
        <v>3.0751921811945917</v>
      </c>
      <c r="D61" s="709">
        <v>-1.3110039539879252</v>
      </c>
      <c r="E61" s="710">
        <v>-0.84746240827333474</v>
      </c>
      <c r="F61" s="708">
        <v>-0.52662627385296212</v>
      </c>
      <c r="G61" s="711">
        <v>6.6874765429905836E-2</v>
      </c>
      <c r="H61" s="710">
        <v>0.314</v>
      </c>
      <c r="I61" s="708">
        <v>0.52</v>
      </c>
      <c r="J61" s="570">
        <v>6.1210000000000004</v>
      </c>
      <c r="K61" s="865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>1613</v>
      </c>
      <c r="L61" s="320"/>
      <c r="M61" s="168">
        <f t="shared" si="239"/>
        <v>6.1210000000000004</v>
      </c>
      <c r="N61" s="632">
        <f t="shared" si="240"/>
        <v>-3.990335196211841</v>
      </c>
      <c r="O61" s="629">
        <f t="shared" si="241"/>
        <v>3.0751921811945917</v>
      </c>
      <c r="P61" s="633">
        <f t="shared" si="242"/>
        <v>-1.3110039539879252</v>
      </c>
      <c r="Q61" s="585">
        <f t="shared" si="113"/>
        <v>142.37999243726478</v>
      </c>
      <c r="R61" s="629">
        <f t="shared" si="79"/>
        <v>5.0378151940506255</v>
      </c>
      <c r="S61" s="634">
        <f t="shared" si="80"/>
        <v>-1.3110039539879252</v>
      </c>
      <c r="T61" s="635">
        <f t="shared" si="81"/>
        <v>3.0751921811945926</v>
      </c>
      <c r="U61" s="629">
        <f t="shared" si="82"/>
        <v>3.9903351962118401</v>
      </c>
      <c r="V61" s="636">
        <f t="shared" si="114"/>
        <v>-1.3110039539879252</v>
      </c>
      <c r="W61" s="585">
        <f t="shared" si="224"/>
        <v>52.379992437264775</v>
      </c>
      <c r="X61" s="629">
        <f t="shared" si="83"/>
        <v>5.0378151940506255</v>
      </c>
      <c r="Y61" s="630">
        <f t="shared" si="223"/>
        <v>-1.3110039539879252</v>
      </c>
      <c r="Z61" s="632">
        <f t="shared" si="243"/>
        <v>0.84746240827333474</v>
      </c>
      <c r="AA61" s="629">
        <f t="shared" si="244"/>
        <v>0.52662627385296212</v>
      </c>
      <c r="AB61" s="629">
        <f t="shared" si="245"/>
        <v>-6.6874765429905836E-2</v>
      </c>
      <c r="AC61" s="636">
        <f t="shared" si="84"/>
        <v>1</v>
      </c>
      <c r="AD61" s="637">
        <f t="shared" si="115"/>
        <v>0.84746240827333474</v>
      </c>
      <c r="AE61" s="629">
        <f t="shared" si="85"/>
        <v>0.52662627385296212</v>
      </c>
      <c r="AF61" s="633">
        <f t="shared" si="86"/>
        <v>-6.6874765429905836E-2</v>
      </c>
      <c r="AG61" s="602">
        <f t="shared" si="87"/>
        <v>82.76290796655806</v>
      </c>
      <c r="AH61" s="603">
        <f t="shared" si="88"/>
        <v>32.063269686222981</v>
      </c>
      <c r="AI61" s="585">
        <f t="shared" si="89"/>
        <v>-86.165496421915563</v>
      </c>
      <c r="AJ61" s="586">
        <f t="shared" si="90"/>
        <v>121.85745848376801</v>
      </c>
      <c r="AK61" s="635">
        <f t="shared" si="211"/>
        <v>0.93443783589822615</v>
      </c>
      <c r="AL61" s="629">
        <f t="shared" si="91"/>
        <v>-0.34979093268770584</v>
      </c>
      <c r="AM61" s="634">
        <f t="shared" si="92"/>
        <v>-6.6874765429905836E-2</v>
      </c>
      <c r="AN61" s="581">
        <f t="shared" si="93"/>
        <v>-79.176519524679733</v>
      </c>
      <c r="AO61" s="582">
        <f t="shared" si="461"/>
        <v>20.86248757781512</v>
      </c>
      <c r="AP61" s="585">
        <f t="shared" si="95"/>
        <v>-20.522533953496755</v>
      </c>
      <c r="AQ61" s="586">
        <f t="shared" si="246"/>
        <v>0.45251346939955511</v>
      </c>
      <c r="AS61" s="52">
        <f t="shared" si="406"/>
        <v>-307.62000756273522</v>
      </c>
      <c r="AT61" s="72">
        <f t="shared" si="247"/>
        <v>-1.0973789487360257</v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>
        <f t="shared" si="210"/>
        <v>6.1210000000000004</v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>
        <f t="shared" si="112"/>
        <v>1613</v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>
        <v>-4.1276234480471956</v>
      </c>
      <c r="C62" s="708">
        <v>3.2236937533651062</v>
      </c>
      <c r="D62" s="709">
        <v>-2.0534061930730783</v>
      </c>
      <c r="E62" s="710">
        <v>-0.91174373160346045</v>
      </c>
      <c r="F62" s="708">
        <v>-0.41036821111306854</v>
      </c>
      <c r="G62" s="711">
        <v>1.7924820491633547E-2</v>
      </c>
      <c r="H62" s="710">
        <v>0.314</v>
      </c>
      <c r="I62" s="708">
        <v>0.52</v>
      </c>
      <c r="J62" s="570">
        <v>6.1239999999999997</v>
      </c>
      <c r="K62" s="865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>1613</v>
      </c>
      <c r="L62" s="320"/>
      <c r="M62" s="168">
        <f t="shared" si="239"/>
        <v>6.1239999999999997</v>
      </c>
      <c r="N62" s="632">
        <f t="shared" si="240"/>
        <v>-4.1276234480471956</v>
      </c>
      <c r="O62" s="629">
        <f t="shared" si="241"/>
        <v>3.2236937533651062</v>
      </c>
      <c r="P62" s="633">
        <f t="shared" si="242"/>
        <v>-2.0534061930730783</v>
      </c>
      <c r="Q62" s="585">
        <f t="shared" si="113"/>
        <v>142.00999249068616</v>
      </c>
      <c r="R62" s="629">
        <f t="shared" si="79"/>
        <v>5.2373157957444407</v>
      </c>
      <c r="S62" s="634">
        <f t="shared" si="80"/>
        <v>-2.0534061930730783</v>
      </c>
      <c r="T62" s="635">
        <f t="shared" si="81"/>
        <v>3.2236937533651076</v>
      </c>
      <c r="U62" s="629">
        <f t="shared" si="82"/>
        <v>4.1276234480471947</v>
      </c>
      <c r="V62" s="636">
        <f t="shared" si="114"/>
        <v>-2.0534061930730783</v>
      </c>
      <c r="W62" s="585">
        <f t="shared" si="224"/>
        <v>52.009992490686159</v>
      </c>
      <c r="X62" s="629">
        <f t="shared" si="83"/>
        <v>5.2373157957444407</v>
      </c>
      <c r="Y62" s="630">
        <f t="shared" si="223"/>
        <v>-2.0534061930730783</v>
      </c>
      <c r="Z62" s="632">
        <f t="shared" si="243"/>
        <v>0.91174373160346045</v>
      </c>
      <c r="AA62" s="629">
        <f t="shared" si="244"/>
        <v>0.41036821111306854</v>
      </c>
      <c r="AB62" s="629">
        <f t="shared" si="245"/>
        <v>-1.7924820491633547E-2</v>
      </c>
      <c r="AC62" s="636">
        <f t="shared" si="84"/>
        <v>1</v>
      </c>
      <c r="AD62" s="637">
        <f t="shared" si="115"/>
        <v>0.91174373160346045</v>
      </c>
      <c r="AE62" s="629">
        <f t="shared" si="85"/>
        <v>0.41036821111306854</v>
      </c>
      <c r="AF62" s="633">
        <f t="shared" si="86"/>
        <v>-1.7924820491633547E-2</v>
      </c>
      <c r="AG62" s="602">
        <f t="shared" si="87"/>
        <v>87.498918962605529</v>
      </c>
      <c r="AH62" s="603">
        <f t="shared" si="88"/>
        <v>24.252554416189579</v>
      </c>
      <c r="AI62" s="585">
        <f t="shared" si="89"/>
        <v>-88.972928432748375</v>
      </c>
      <c r="AJ62" s="586">
        <f t="shared" si="90"/>
        <v>114.23211049825356</v>
      </c>
      <c r="AK62" s="635">
        <f t="shared" si="211"/>
        <v>0.8846188015868548</v>
      </c>
      <c r="AL62" s="629">
        <f t="shared" si="91"/>
        <v>-0.46597025300911638</v>
      </c>
      <c r="AM62" s="634">
        <f t="shared" si="92"/>
        <v>-1.7924820491633547E-2</v>
      </c>
      <c r="AN62" s="581">
        <f t="shared" si="93"/>
        <v>-87.797047292741553</v>
      </c>
      <c r="AO62" s="582">
        <f t="shared" si="461"/>
        <v>27.795352658086298</v>
      </c>
      <c r="AP62" s="585">
        <f t="shared" si="95"/>
        <v>-27.77788199243259</v>
      </c>
      <c r="AQ62" s="586">
        <f t="shared" si="246"/>
        <v>0.43527693628160052</v>
      </c>
      <c r="AS62" s="52">
        <f t="shared" si="406"/>
        <v>-307.99000750931384</v>
      </c>
      <c r="AT62" s="72">
        <f t="shared" si="247"/>
        <v>-1.8395242434138326</v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>
        <f t="shared" si="210"/>
        <v>6.1239999999999997</v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>
        <f t="shared" si="112"/>
        <v>1613</v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>
        <v>-4.1677774059298294</v>
      </c>
      <c r="C63" s="708">
        <v>3.267955803156525</v>
      </c>
      <c r="D63" s="709">
        <v>-2.7396082626585203</v>
      </c>
      <c r="E63" s="710">
        <v>-0.92783627448289507</v>
      </c>
      <c r="F63" s="708">
        <v>-0.37298773137154129</v>
      </c>
      <c r="G63" s="711">
        <v>1.1339743367987968E-7</v>
      </c>
      <c r="H63" s="710">
        <v>0.26600000000000001</v>
      </c>
      <c r="I63" s="708">
        <v>0.52</v>
      </c>
      <c r="J63" s="570">
        <v>6.1269999999999998</v>
      </c>
      <c r="K63" s="865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>1313</v>
      </c>
      <c r="L63" s="320"/>
      <c r="M63" s="168">
        <f t="shared" si="239"/>
        <v>6.1269999999999998</v>
      </c>
      <c r="N63" s="632">
        <f t="shared" si="240"/>
        <v>-4.1677774059298294</v>
      </c>
      <c r="O63" s="629">
        <f t="shared" si="241"/>
        <v>3.267955803156525</v>
      </c>
      <c r="P63" s="633">
        <f t="shared" si="242"/>
        <v>-2.7396082626585203</v>
      </c>
      <c r="Q63" s="585">
        <f t="shared" si="113"/>
        <v>141.89999250656822</v>
      </c>
      <c r="R63" s="629">
        <f t="shared" si="79"/>
        <v>5.2962159733873762</v>
      </c>
      <c r="S63" s="634">
        <f t="shared" si="80"/>
        <v>-2.7396082626585203</v>
      </c>
      <c r="T63" s="635">
        <f t="shared" si="81"/>
        <v>3.2679558031565241</v>
      </c>
      <c r="U63" s="629">
        <f t="shared" si="82"/>
        <v>4.1677774059298303</v>
      </c>
      <c r="V63" s="636">
        <f t="shared" si="114"/>
        <v>-2.7396082626585203</v>
      </c>
      <c r="W63" s="585">
        <f t="shared" si="224"/>
        <v>51.899992506568225</v>
      </c>
      <c r="X63" s="629">
        <f t="shared" si="83"/>
        <v>5.2962159733873762</v>
      </c>
      <c r="Y63" s="630">
        <f t="shared" si="223"/>
        <v>-2.7396082626585203</v>
      </c>
      <c r="Z63" s="632">
        <f t="shared" si="243"/>
        <v>0.92783627448289507</v>
      </c>
      <c r="AA63" s="629">
        <f t="shared" si="244"/>
        <v>0.37298773137154129</v>
      </c>
      <c r="AB63" s="629">
        <f t="shared" si="245"/>
        <v>-1.1339743367987968E-7</v>
      </c>
      <c r="AC63" s="636">
        <f t="shared" si="84"/>
        <v>1</v>
      </c>
      <c r="AD63" s="637">
        <f t="shared" si="115"/>
        <v>0.92783627448289507</v>
      </c>
      <c r="AE63" s="629">
        <f t="shared" si="85"/>
        <v>0.37298773137154129</v>
      </c>
      <c r="AF63" s="633">
        <f t="shared" si="86"/>
        <v>-1.1339743367987968E-7</v>
      </c>
      <c r="AG63" s="602">
        <f t="shared" si="87"/>
        <v>89.999982580675422</v>
      </c>
      <c r="AH63" s="603">
        <f t="shared" si="88"/>
        <v>21.899996838033218</v>
      </c>
      <c r="AI63" s="585">
        <f t="shared" si="89"/>
        <v>-89.999993502805637</v>
      </c>
      <c r="AJ63" s="586">
        <f t="shared" si="90"/>
        <v>111.89999683803229</v>
      </c>
      <c r="AK63" s="635">
        <f t="shared" si="211"/>
        <v>0.86602544158358552</v>
      </c>
      <c r="AL63" s="629">
        <f t="shared" si="91"/>
        <v>-0.49999993452993863</v>
      </c>
      <c r="AM63" s="634">
        <f t="shared" si="92"/>
        <v>-1.1339743367987968E-7</v>
      </c>
      <c r="AN63" s="581">
        <f t="shared" si="93"/>
        <v>-89.999987005609583</v>
      </c>
      <c r="AO63" s="582">
        <f t="shared" si="461"/>
        <v>29.999995668536549</v>
      </c>
      <c r="AP63" s="585">
        <f t="shared" si="95"/>
        <v>-29.999995668535913</v>
      </c>
      <c r="AQ63" s="586">
        <f t="shared" si="246"/>
        <v>0.43043632574939006</v>
      </c>
      <c r="AS63" s="52">
        <f t="shared" si="406"/>
        <v>-308.1000074934318</v>
      </c>
      <c r="AT63" s="72">
        <f t="shared" si="247"/>
        <v>-2.525649924121415</v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>
        <f t="shared" si="210"/>
        <v>6.1269999999999998</v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>
        <f t="shared" si="112"/>
        <v>1313</v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8.8521302156295625E-2</v>
      </c>
      <c r="G154" s="170">
        <f t="shared" si="929"/>
        <v>-0.33036604714967344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6.6987279208207212E-2</v>
      </c>
      <c r="G155" s="170">
        <f t="shared" si="929"/>
        <v>-0.24999996726497564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6.6987279208207212E-2</v>
      </c>
      <c r="G156" s="170">
        <f t="shared" si="929"/>
        <v>-0.24999996726497564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0.97629601393762733</v>
      </c>
      <c r="F157" s="170">
        <f t="shared" si="929"/>
        <v>5.6018678339987617E-2</v>
      </c>
      <c r="G157" s="170">
        <f t="shared" si="929"/>
        <v>-0.20906458534754568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0.97407574561123744</v>
      </c>
      <c r="F158" s="170">
        <f t="shared" si="929"/>
        <v>-8.4039889493728273E-2</v>
      </c>
      <c r="G158" s="170">
        <f t="shared" si="929"/>
        <v>-0.2100327088474411</v>
      </c>
      <c r="H158" s="139"/>
      <c r="I158" s="86"/>
      <c r="J158" s="79">
        <f t="shared" si="930"/>
        <v>1.113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0.96456530952788233</v>
      </c>
      <c r="F159" s="170">
        <f t="shared" si="929"/>
        <v>-0.21018308484368853</v>
      </c>
      <c r="G159" s="170">
        <f t="shared" si="929"/>
        <v>-0.15948929274710388</v>
      </c>
      <c r="H159" s="139"/>
      <c r="I159" s="86"/>
      <c r="J159" s="79">
        <f t="shared" si="930"/>
        <v>1.1160000000000001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0.93940284486322123</v>
      </c>
      <c r="F160" s="170">
        <f t="shared" si="929"/>
        <v>-0.32538183644601137</v>
      </c>
      <c r="G160" s="170">
        <f t="shared" si="929"/>
        <v>-0.10793032740572837</v>
      </c>
      <c r="H160" s="139"/>
      <c r="I160" s="86"/>
      <c r="J160" s="79">
        <f t="shared" si="930"/>
        <v>1.119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0.89885720871374841</v>
      </c>
      <c r="F161" s="170">
        <f t="shared" si="929"/>
        <v>-0.43474905442608414</v>
      </c>
      <c r="G161" s="170">
        <f t="shared" si="929"/>
        <v>-5.5217551729090715E-2</v>
      </c>
      <c r="H161" s="139"/>
      <c r="I161" s="86"/>
      <c r="J161" s="79">
        <f t="shared" si="930"/>
        <v>1.1220000000000001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0.85891831291544551</v>
      </c>
      <c r="F162" s="170">
        <f t="shared" si="929"/>
        <v>-0.51158507206074644</v>
      </c>
      <c r="G162" s="170">
        <f t="shared" si="929"/>
        <v>2.3238885151525418E-2</v>
      </c>
      <c r="H162" s="139"/>
      <c r="I162" s="86"/>
      <c r="J162" s="79">
        <f t="shared" si="930"/>
        <v>1.125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0.83771876217086827</v>
      </c>
      <c r="F163" s="170">
        <f t="shared" si="929"/>
        <v>-0.54610189114019303</v>
      </c>
      <c r="G163" s="170">
        <f t="shared" si="929"/>
        <v>-1.1339743353788052E-7</v>
      </c>
      <c r="H163" s="139"/>
      <c r="I163" s="86"/>
      <c r="J163" s="79">
        <f t="shared" si="930"/>
        <v>1.1279999999999999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1.9474689858959784E-7</v>
      </c>
      <c r="F164" s="170">
        <f t="shared" si="929"/>
        <v>-1.1623067868520517E-7</v>
      </c>
      <c r="G164" s="170">
        <f t="shared" si="929"/>
        <v>-0.99999999999997435</v>
      </c>
      <c r="H164" s="139"/>
      <c r="I164" s="86"/>
      <c r="J164" s="79">
        <f t="shared" si="930"/>
        <v>1.2070000000000001</v>
      </c>
    </row>
    <row r="165" spans="5:16" x14ac:dyDescent="0.25">
      <c r="E165" s="170">
        <f t="shared" si="929"/>
        <v>2.1146059558291143E-7</v>
      </c>
      <c r="F165" s="170">
        <f t="shared" si="929"/>
        <v>-8.1977690208449787E-8</v>
      </c>
      <c r="G165" s="170">
        <f t="shared" si="929"/>
        <v>-0.99999999999997435</v>
      </c>
      <c r="H165" s="139"/>
      <c r="I165" s="86"/>
      <c r="J165" s="79">
        <f t="shared" si="930"/>
        <v>1.21</v>
      </c>
    </row>
    <row r="166" spans="5:16" x14ac:dyDescent="0.25">
      <c r="E166" s="170">
        <f t="shared" si="929"/>
        <v>0.42483500672102154</v>
      </c>
      <c r="F166" s="170">
        <f t="shared" si="929"/>
        <v>-0.8790119147005151</v>
      </c>
      <c r="G166" s="170">
        <f t="shared" si="929"/>
        <v>-0.21645616387362132</v>
      </c>
      <c r="H166" s="139"/>
      <c r="I166" s="86"/>
      <c r="J166" s="79">
        <f t="shared" si="930"/>
        <v>2.1110000000000002</v>
      </c>
    </row>
    <row r="167" spans="5:16" x14ac:dyDescent="0.25">
      <c r="E167" s="170">
        <f t="shared" si="929"/>
        <v>0.29468101867087987</v>
      </c>
      <c r="F167" s="170">
        <f t="shared" si="929"/>
        <v>-0.9348070553503367</v>
      </c>
      <c r="G167" s="170">
        <f t="shared" si="929"/>
        <v>-0.1982394171256695</v>
      </c>
      <c r="H167" s="139"/>
      <c r="I167" s="86"/>
      <c r="J167" s="79">
        <f t="shared" si="930"/>
        <v>2.1139999999999999</v>
      </c>
    </row>
    <row r="168" spans="5:16" x14ac:dyDescent="0.25">
      <c r="E168" s="170">
        <f t="shared" si="929"/>
        <v>0.18308372801914069</v>
      </c>
      <c r="F168" s="170">
        <f t="shared" si="929"/>
        <v>-0.97394965536812583</v>
      </c>
      <c r="G168" s="170">
        <f t="shared" si="929"/>
        <v>-0.1337999153322687</v>
      </c>
      <c r="H168" s="139"/>
      <c r="I168" s="86"/>
      <c r="J168" s="79">
        <f t="shared" si="930"/>
        <v>2.117</v>
      </c>
    </row>
    <row r="169" spans="5:16" x14ac:dyDescent="0.25">
      <c r="E169" s="170">
        <f t="shared" si="929"/>
        <v>7.9951545221035508E-2</v>
      </c>
      <c r="F169" s="170">
        <f t="shared" si="929"/>
        <v>-0.99411168380185633</v>
      </c>
      <c r="G169" s="170">
        <f t="shared" si="929"/>
        <v>-7.3141715494010842E-2</v>
      </c>
      <c r="H169" s="139"/>
      <c r="I169" s="86"/>
      <c r="J169" s="79">
        <f t="shared" si="930"/>
        <v>2.12</v>
      </c>
    </row>
    <row r="170" spans="5:16" x14ac:dyDescent="0.25">
      <c r="E170" s="170">
        <f t="shared" si="929"/>
        <v>-5.8472772045628341E-2</v>
      </c>
      <c r="F170" s="170">
        <f t="shared" si="929"/>
        <v>-0.99753577015386385</v>
      </c>
      <c r="G170" s="170">
        <f t="shared" si="929"/>
        <v>-3.8772699065681669E-2</v>
      </c>
      <c r="H170" s="139"/>
      <c r="I170" s="86"/>
      <c r="J170" s="79">
        <f t="shared" si="930"/>
        <v>2.1230000000000002</v>
      </c>
    </row>
    <row r="171" spans="5:16" x14ac:dyDescent="0.25">
      <c r="E171" s="170">
        <f t="shared" si="929"/>
        <v>-0.10065970956458911</v>
      </c>
      <c r="F171" s="170">
        <f t="shared" si="929"/>
        <v>-0.99464947448198393</v>
      </c>
      <c r="G171" s="170">
        <f t="shared" si="929"/>
        <v>2.3238885151525362E-2</v>
      </c>
      <c r="H171" s="139"/>
      <c r="I171" s="86"/>
      <c r="J171" s="79">
        <f t="shared" si="930"/>
        <v>2.1259999999999999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1613</v>
      </c>
    </row>
    <row r="172" spans="5:16" x14ac:dyDescent="0.25">
      <c r="E172" s="170">
        <f t="shared" si="929"/>
        <v>-0.14090188532657114</v>
      </c>
      <c r="F172" s="170">
        <f t="shared" si="929"/>
        <v>-0.9900235647253075</v>
      </c>
      <c r="G172" s="170">
        <f t="shared" si="929"/>
        <v>-1.133974335089263E-7</v>
      </c>
      <c r="H172" s="139"/>
      <c r="I172" s="86"/>
      <c r="J172" s="79">
        <f t="shared" si="930"/>
        <v>2.129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-0.49916002344389954</v>
      </c>
      <c r="F173" s="170">
        <f t="shared" si="929"/>
        <v>-0.82966215254342957</v>
      </c>
      <c r="G173" s="170">
        <f t="shared" si="929"/>
        <v>-0.24999996726497567</v>
      </c>
      <c r="H173" s="139"/>
      <c r="I173" s="86"/>
      <c r="J173" s="79">
        <f t="shared" si="930"/>
        <v>3.1030000000000002</v>
      </c>
      <c r="O173">
        <f>IF($J24="","",IFERROR(INDEX(Settings!$AK$14:$AK$32,MATCH((((ROUND($H24,6)*2)*1000000)+ROUND($I24,6)),Settings!$AI$14:$AI$32,0)),"Undefined"))</f>
        <v>1613</v>
      </c>
    </row>
    <row r="174" spans="5:16" x14ac:dyDescent="0.25">
      <c r="E174" s="170">
        <f t="shared" ref="E174:G193" si="933">E29*-1</f>
        <v>-0.49916002344389948</v>
      </c>
      <c r="F174" s="170">
        <f t="shared" si="933"/>
        <v>-0.82966215254342957</v>
      </c>
      <c r="G174" s="170">
        <f t="shared" si="933"/>
        <v>-0.2499999672649757</v>
      </c>
      <c r="H174" s="139"/>
      <c r="I174" s="86"/>
      <c r="J174" s="79">
        <f t="shared" si="930"/>
        <v>3.1059999999999999</v>
      </c>
    </row>
    <row r="175" spans="5:16" x14ac:dyDescent="0.25">
      <c r="E175" s="170">
        <f t="shared" si="933"/>
        <v>-0.51409306623729989</v>
      </c>
      <c r="F175" s="170">
        <f t="shared" si="933"/>
        <v>-0.83186556510062981</v>
      </c>
      <c r="G175" s="170">
        <f t="shared" si="933"/>
        <v>-0.20906458534754577</v>
      </c>
      <c r="H175" s="139"/>
      <c r="I175" s="86"/>
      <c r="J175" s="79">
        <f t="shared" si="930"/>
        <v>3.109</v>
      </c>
    </row>
    <row r="176" spans="5:16" x14ac:dyDescent="0.25">
      <c r="E176" s="170">
        <f t="shared" si="933"/>
        <v>-0.59179924876139689</v>
      </c>
      <c r="F176" s="170">
        <f t="shared" si="933"/>
        <v>-0.77652537782956144</v>
      </c>
      <c r="G176" s="170">
        <f t="shared" si="933"/>
        <v>-0.21629143938700687</v>
      </c>
      <c r="H176" s="139"/>
      <c r="I176" s="86"/>
      <c r="J176" s="79">
        <f t="shared" si="930"/>
        <v>3.1120000000000001</v>
      </c>
    </row>
    <row r="177" spans="5:10" x14ac:dyDescent="0.25">
      <c r="E177" s="170">
        <f t="shared" si="933"/>
        <v>-0.6952597781124058</v>
      </c>
      <c r="F177" s="170">
        <f t="shared" si="933"/>
        <v>-0.6955415750204389</v>
      </c>
      <c r="G177" s="170">
        <f t="shared" si="933"/>
        <v>-0.18120639711990189</v>
      </c>
      <c r="H177" s="139"/>
      <c r="I177" s="86"/>
      <c r="J177" s="79">
        <f t="shared" si="930"/>
        <v>3.1150000000000002</v>
      </c>
    </row>
    <row r="178" spans="5:10" x14ac:dyDescent="0.25">
      <c r="E178" s="170">
        <f t="shared" si="933"/>
        <v>-0.77434940024498222</v>
      </c>
      <c r="F178" s="170">
        <f t="shared" si="933"/>
        <v>-0.62400111438289863</v>
      </c>
      <c r="G178" s="170">
        <f t="shared" si="933"/>
        <v>-0.10490765267194396</v>
      </c>
      <c r="H178" s="139"/>
      <c r="I178" s="86"/>
      <c r="J178" s="79">
        <f t="shared" si="930"/>
        <v>3.1179999999999999</v>
      </c>
    </row>
    <row r="179" spans="5:10" x14ac:dyDescent="0.25">
      <c r="E179" s="170">
        <f t="shared" si="933"/>
        <v>-0.8474626471455502</v>
      </c>
      <c r="F179" s="170">
        <f t="shared" si="933"/>
        <v>-0.52662588945260946</v>
      </c>
      <c r="G179" s="170">
        <f t="shared" si="933"/>
        <v>-6.6874765429905725E-2</v>
      </c>
      <c r="H179" s="139"/>
      <c r="I179" s="86"/>
      <c r="J179" s="79">
        <f t="shared" si="930"/>
        <v>3.121</v>
      </c>
    </row>
    <row r="180" spans="5:10" x14ac:dyDescent="0.25">
      <c r="E180" s="170">
        <f t="shared" si="933"/>
        <v>-0.91174391774219865</v>
      </c>
      <c r="F180" s="170">
        <f t="shared" si="933"/>
        <v>-0.41036779755537561</v>
      </c>
      <c r="G180" s="170">
        <f t="shared" si="933"/>
        <v>-1.7924820491633246E-2</v>
      </c>
      <c r="H180" s="139"/>
      <c r="I180" s="86"/>
      <c r="J180" s="79">
        <f t="shared" si="930"/>
        <v>3.1240000000000001</v>
      </c>
    </row>
    <row r="181" spans="5:10" x14ac:dyDescent="0.25">
      <c r="E181" s="170">
        <f t="shared" si="933"/>
        <v>-0.92783644366622742</v>
      </c>
      <c r="F181" s="170">
        <f t="shared" si="933"/>
        <v>-0.37298731051443951</v>
      </c>
      <c r="G181" s="170">
        <f t="shared" si="933"/>
        <v>-1.1339743350912837E-7</v>
      </c>
      <c r="H181" s="139"/>
      <c r="I181" s="86"/>
      <c r="J181" s="79">
        <f t="shared" si="930"/>
        <v>3.1269999999999998</v>
      </c>
    </row>
    <row r="182" spans="5:10" x14ac:dyDescent="0.25">
      <c r="E182" s="170">
        <f t="shared" si="933"/>
        <v>-2.1512518861354684E-7</v>
      </c>
      <c r="F182" s="170">
        <f t="shared" si="933"/>
        <v>-7.1812801006525028E-8</v>
      </c>
      <c r="G182" s="170">
        <f t="shared" si="933"/>
        <v>-0.99999999999997435</v>
      </c>
      <c r="H182" s="139"/>
      <c r="I182" s="86"/>
      <c r="J182" s="79">
        <f t="shared" si="930"/>
        <v>3.206</v>
      </c>
    </row>
    <row r="183" spans="5:10" x14ac:dyDescent="0.25">
      <c r="E183" s="170">
        <f t="shared" si="933"/>
        <v>-1.9362226246474907E-7</v>
      </c>
      <c r="F183" s="170">
        <f t="shared" si="933"/>
        <v>-1.1809464281088687E-7</v>
      </c>
      <c r="G183" s="170">
        <f t="shared" si="933"/>
        <v>-0.99999999999997435</v>
      </c>
      <c r="H183" s="139"/>
      <c r="I183" s="86"/>
      <c r="J183" s="79">
        <f t="shared" si="930"/>
        <v>3.2090000000000001</v>
      </c>
    </row>
    <row r="184" spans="5:10" x14ac:dyDescent="0.25">
      <c r="E184" s="170">
        <f t="shared" si="933"/>
        <v>-0.97119137617704543</v>
      </c>
      <c r="F184" s="170">
        <f t="shared" si="933"/>
        <v>0.11436481099007426</v>
      </c>
      <c r="G184" s="170">
        <f t="shared" si="933"/>
        <v>-0.20906458534754568</v>
      </c>
      <c r="H184" s="139"/>
      <c r="I184" s="86"/>
      <c r="J184" s="79">
        <f t="shared" si="930"/>
        <v>4.1100000000000003</v>
      </c>
    </row>
    <row r="185" spans="5:10" x14ac:dyDescent="0.25">
      <c r="E185" s="170">
        <f t="shared" si="933"/>
        <v>-0.94468386472144117</v>
      </c>
      <c r="F185" s="170">
        <f t="shared" si="933"/>
        <v>0.25191001756414516</v>
      </c>
      <c r="G185" s="170">
        <f t="shared" si="933"/>
        <v>-0.21003270884744107</v>
      </c>
      <c r="H185" s="139"/>
      <c r="I185" s="86"/>
      <c r="J185" s="79">
        <f t="shared" si="930"/>
        <v>4.1130000000000004</v>
      </c>
    </row>
    <row r="186" spans="5:10" x14ac:dyDescent="0.25">
      <c r="E186" s="170">
        <f t="shared" si="933"/>
        <v>-0.91341332502433636</v>
      </c>
      <c r="F186" s="170">
        <f t="shared" si="933"/>
        <v>0.37448533104384035</v>
      </c>
      <c r="G186" s="170">
        <f t="shared" si="933"/>
        <v>-0.15948929274710388</v>
      </c>
      <c r="H186" s="139"/>
      <c r="I186" s="86"/>
      <c r="J186" s="79">
        <f t="shared" si="930"/>
        <v>4.1159999999999997</v>
      </c>
    </row>
    <row r="187" spans="5:10" x14ac:dyDescent="0.25">
      <c r="E187" s="170">
        <f t="shared" si="933"/>
        <v>-0.86862903472395669</v>
      </c>
      <c r="F187" s="170">
        <f t="shared" si="933"/>
        <v>0.4835645194393603</v>
      </c>
      <c r="G187" s="170">
        <f t="shared" si="933"/>
        <v>-0.10793032740572842</v>
      </c>
      <c r="H187" s="139"/>
      <c r="I187" s="86"/>
      <c r="J187" s="79">
        <f t="shared" si="930"/>
        <v>4.1189999999999998</v>
      </c>
    </row>
    <row r="188" spans="5:10" x14ac:dyDescent="0.25">
      <c r="E188" s="170">
        <f t="shared" si="933"/>
        <v>-0.80970791667048836</v>
      </c>
      <c r="F188" s="170">
        <f t="shared" si="933"/>
        <v>0.58422950256057993</v>
      </c>
      <c r="G188" s="170">
        <f t="shared" si="933"/>
        <v>-5.5217551729090764E-2</v>
      </c>
      <c r="H188" s="139"/>
      <c r="I188" s="86"/>
      <c r="J188" s="79">
        <f t="shared" si="930"/>
        <v>4.1219999999999999</v>
      </c>
    </row>
    <row r="189" spans="5:10" x14ac:dyDescent="0.25">
      <c r="E189" s="170">
        <f t="shared" si="933"/>
        <v>-0.75703331855541334</v>
      </c>
      <c r="F189" s="170">
        <f t="shared" si="933"/>
        <v>0.65296286939908965</v>
      </c>
      <c r="G189" s="170">
        <f t="shared" si="933"/>
        <v>2.3238885151525335E-2</v>
      </c>
      <c r="H189" s="139"/>
      <c r="I189" s="86"/>
      <c r="J189" s="79">
        <f t="shared" si="930"/>
        <v>4.125</v>
      </c>
    </row>
    <row r="190" spans="5:10" x14ac:dyDescent="0.25">
      <c r="E190" s="170">
        <f t="shared" si="933"/>
        <v>-0.73016204090476322</v>
      </c>
      <c r="F190" s="170">
        <f t="shared" si="933"/>
        <v>0.68327402557230144</v>
      </c>
      <c r="G190" s="170">
        <f t="shared" si="933"/>
        <v>-1.1339743346859607E-7</v>
      </c>
      <c r="H190" s="139"/>
      <c r="I190" s="86"/>
      <c r="J190" s="79">
        <f t="shared" si="930"/>
        <v>4.1280000000000001</v>
      </c>
    </row>
    <row r="191" spans="5:10" x14ac:dyDescent="0.25">
      <c r="E191" s="170">
        <f t="shared" si="933"/>
        <v>-0.46892874510133492</v>
      </c>
      <c r="F191" s="170">
        <f t="shared" si="933"/>
        <v>0.84711619532694482</v>
      </c>
      <c r="G191" s="170">
        <f t="shared" si="933"/>
        <v>-0.24999996726497567</v>
      </c>
      <c r="H191" s="139"/>
      <c r="I191" s="86"/>
      <c r="J191" s="79">
        <f t="shared" si="930"/>
        <v>5.1020000000000003</v>
      </c>
    </row>
    <row r="192" spans="5:10" x14ac:dyDescent="0.25">
      <c r="E192" s="170">
        <f t="shared" si="933"/>
        <v>-0.46892874510133487</v>
      </c>
      <c r="F192" s="170">
        <f t="shared" si="933"/>
        <v>0.84711619532694493</v>
      </c>
      <c r="G192" s="170">
        <f t="shared" si="933"/>
        <v>-0.24999996726497567</v>
      </c>
      <c r="H192" s="139"/>
      <c r="I192" s="86"/>
      <c r="J192" s="79">
        <f t="shared" si="930"/>
        <v>5.1050000000000004</v>
      </c>
    </row>
    <row r="193" spans="5:10" x14ac:dyDescent="0.25">
      <c r="E193" s="170">
        <f t="shared" si="933"/>
        <v>-0.46892874510133475</v>
      </c>
      <c r="F193" s="170">
        <f t="shared" si="933"/>
        <v>0.84711619532694493</v>
      </c>
      <c r="G193" s="170">
        <f t="shared" si="933"/>
        <v>-0.24999996726497564</v>
      </c>
      <c r="H193" s="139"/>
      <c r="I193" s="86"/>
      <c r="J193" s="79">
        <f t="shared" si="930"/>
        <v>5.1079999999999997</v>
      </c>
    </row>
    <row r="194" spans="5:10" x14ac:dyDescent="0.25">
      <c r="E194" s="170">
        <f t="shared" ref="E194:G213" si="934">E49*-1</f>
        <v>-0.4248354054318102</v>
      </c>
      <c r="F194" s="170">
        <f t="shared" si="934"/>
        <v>0.87901172199960187</v>
      </c>
      <c r="G194" s="170">
        <f t="shared" si="934"/>
        <v>-0.21645616387362129</v>
      </c>
      <c r="H194" s="139"/>
      <c r="I194" s="86"/>
      <c r="J194" s="79">
        <f t="shared" si="930"/>
        <v>5.1109999999999998</v>
      </c>
    </row>
    <row r="195" spans="5:10" x14ac:dyDescent="0.25">
      <c r="E195" s="170">
        <f t="shared" si="934"/>
        <v>-0.29468144268978808</v>
      </c>
      <c r="F195" s="170">
        <f t="shared" si="934"/>
        <v>0.93480692168593849</v>
      </c>
      <c r="G195" s="170">
        <f t="shared" si="934"/>
        <v>-0.19823941712566945</v>
      </c>
      <c r="H195" s="139"/>
      <c r="I195" s="86"/>
      <c r="J195" s="79">
        <f t="shared" si="930"/>
        <v>5.1139999999999999</v>
      </c>
    </row>
    <row r="196" spans="5:10" x14ac:dyDescent="0.25">
      <c r="E196" s="170">
        <f t="shared" si="934"/>
        <v>-0.18308416979274464</v>
      </c>
      <c r="F196" s="170">
        <f t="shared" si="934"/>
        <v>0.9739495723231153</v>
      </c>
      <c r="G196" s="170">
        <f t="shared" si="934"/>
        <v>-0.13379991533226887</v>
      </c>
      <c r="H196" s="139"/>
      <c r="I196" s="86"/>
      <c r="J196" s="79">
        <f t="shared" si="930"/>
        <v>5.117</v>
      </c>
    </row>
    <row r="197" spans="5:10" x14ac:dyDescent="0.25">
      <c r="E197" s="170">
        <f t="shared" si="934"/>
        <v>-7.9951996139940112E-2</v>
      </c>
      <c r="F197" s="170">
        <f t="shared" si="934"/>
        <v>0.99411164753654924</v>
      </c>
      <c r="G197" s="170">
        <f t="shared" si="934"/>
        <v>-7.3141715494010731E-2</v>
      </c>
      <c r="H197" s="139"/>
      <c r="I197" s="86"/>
      <c r="J197" s="79">
        <f t="shared" si="930"/>
        <v>5.12</v>
      </c>
    </row>
    <row r="198" spans="5:10" x14ac:dyDescent="0.25">
      <c r="E198" s="170">
        <f t="shared" si="934"/>
        <v>5.8472319573578908E-2</v>
      </c>
      <c r="F198" s="170">
        <f t="shared" si="934"/>
        <v>0.99753579667641379</v>
      </c>
      <c r="G198" s="170">
        <f t="shared" si="934"/>
        <v>-3.8772699065681489E-2</v>
      </c>
      <c r="H198" s="139"/>
      <c r="I198" s="86"/>
      <c r="J198" s="79">
        <f t="shared" si="930"/>
        <v>5.1230000000000002</v>
      </c>
    </row>
    <row r="199" spans="5:10" x14ac:dyDescent="0.25">
      <c r="E199" s="170">
        <f t="shared" si="934"/>
        <v>0.10065925840172947</v>
      </c>
      <c r="F199" s="170">
        <f t="shared" si="934"/>
        <v>0.99464952014009844</v>
      </c>
      <c r="G199" s="170">
        <f t="shared" si="934"/>
        <v>2.3238885151525637E-2</v>
      </c>
      <c r="H199" s="139"/>
      <c r="I199" s="86"/>
      <c r="J199" s="79">
        <f t="shared" si="930"/>
        <v>5.1260000000000003</v>
      </c>
    </row>
    <row r="200" spans="5:10" x14ac:dyDescent="0.25">
      <c r="E200" s="170">
        <f t="shared" si="934"/>
        <v>0.14090143626197274</v>
      </c>
      <c r="F200" s="170">
        <f t="shared" si="934"/>
        <v>0.99002362863686266</v>
      </c>
      <c r="G200" s="170">
        <f t="shared" si="934"/>
        <v>-1.1339743349330409E-7</v>
      </c>
      <c r="H200" s="139"/>
      <c r="I200" s="86"/>
      <c r="J200" s="79">
        <f t="shared" si="930"/>
        <v>5.1289999999999996</v>
      </c>
    </row>
    <row r="201" spans="5:10" x14ac:dyDescent="0.25">
      <c r="E201" s="170">
        <f t="shared" si="934"/>
        <v>7.8571887993453376E-8</v>
      </c>
      <c r="F201" s="170">
        <f t="shared" si="934"/>
        <v>2.12749579523779E-7</v>
      </c>
      <c r="G201" s="170">
        <f t="shared" si="934"/>
        <v>-0.99999999999997435</v>
      </c>
      <c r="H201" s="139"/>
      <c r="I201" s="86"/>
      <c r="J201" s="79">
        <f t="shared" si="930"/>
        <v>5.2050000000000001</v>
      </c>
    </row>
    <row r="202" spans="5:10" x14ac:dyDescent="0.25">
      <c r="E202" s="170">
        <f t="shared" si="934"/>
        <v>6.8468995231555873E-9</v>
      </c>
      <c r="F202" s="170">
        <f t="shared" si="934"/>
        <v>2.266915197730581E-7</v>
      </c>
      <c r="G202" s="170">
        <f t="shared" si="934"/>
        <v>-0.99999999999997435</v>
      </c>
      <c r="H202" s="139"/>
      <c r="I202" s="86"/>
      <c r="J202" s="79">
        <f t="shared" si="930"/>
        <v>5.2080000000000002</v>
      </c>
    </row>
    <row r="203" spans="5:10" x14ac:dyDescent="0.25">
      <c r="E203" s="170">
        <f t="shared" si="934"/>
        <v>0.59179889653735052</v>
      </c>
      <c r="F203" s="170">
        <f t="shared" si="934"/>
        <v>0.77652564626358034</v>
      </c>
      <c r="G203" s="170">
        <f t="shared" si="934"/>
        <v>-0.21629143938700682</v>
      </c>
      <c r="H203" s="139"/>
      <c r="I203" s="86"/>
      <c r="J203" s="79">
        <f t="shared" si="930"/>
        <v>6.1120000000000001</v>
      </c>
    </row>
    <row r="204" spans="5:10" x14ac:dyDescent="0.25">
      <c r="E204" s="170">
        <f t="shared" si="934"/>
        <v>0.69525946262177507</v>
      </c>
      <c r="F204" s="170">
        <f t="shared" si="934"/>
        <v>0.69554189038310621</v>
      </c>
      <c r="G204" s="170">
        <f t="shared" si="934"/>
        <v>-0.18120639711990197</v>
      </c>
      <c r="H204" s="139"/>
      <c r="I204" s="86"/>
      <c r="J204" s="79">
        <f t="shared" si="930"/>
        <v>6.1150000000000002</v>
      </c>
    </row>
    <row r="205" spans="5:10" x14ac:dyDescent="0.25">
      <c r="E205" s="170">
        <f t="shared" si="934"/>
        <v>0.7743491172043665</v>
      </c>
      <c r="F205" s="170">
        <f t="shared" si="934"/>
        <v>0.62400146561981829</v>
      </c>
      <c r="G205" s="170">
        <f t="shared" si="934"/>
        <v>-0.10490765267194371</v>
      </c>
      <c r="H205" s="139"/>
      <c r="I205" s="86"/>
      <c r="J205" s="79">
        <f t="shared" si="930"/>
        <v>6.1180000000000003</v>
      </c>
    </row>
    <row r="206" spans="5:10" x14ac:dyDescent="0.25">
      <c r="E206" s="170">
        <f t="shared" si="934"/>
        <v>0.84746240827333474</v>
      </c>
      <c r="F206" s="170">
        <f t="shared" si="934"/>
        <v>0.52662627385296212</v>
      </c>
      <c r="G206" s="170">
        <f t="shared" si="934"/>
        <v>-6.6874765429905836E-2</v>
      </c>
      <c r="H206" s="139"/>
      <c r="I206" s="86"/>
      <c r="J206" s="79">
        <f t="shared" si="930"/>
        <v>6.1210000000000004</v>
      </c>
    </row>
    <row r="207" spans="5:10" x14ac:dyDescent="0.25">
      <c r="E207" s="170">
        <f t="shared" si="934"/>
        <v>0.91174373160346045</v>
      </c>
      <c r="F207" s="170">
        <f t="shared" si="934"/>
        <v>0.41036821111306854</v>
      </c>
      <c r="G207" s="170">
        <f t="shared" si="934"/>
        <v>-1.7924820491633547E-2</v>
      </c>
      <c r="H207" s="139"/>
      <c r="I207" s="86"/>
      <c r="J207" s="79">
        <f t="shared" si="930"/>
        <v>6.1239999999999997</v>
      </c>
    </row>
    <row r="208" spans="5:10" x14ac:dyDescent="0.25">
      <c r="E208" s="170">
        <f t="shared" si="934"/>
        <v>0.92783627448289507</v>
      </c>
      <c r="F208" s="170">
        <f t="shared" si="934"/>
        <v>0.37298773137154129</v>
      </c>
      <c r="G208" s="170">
        <f t="shared" si="934"/>
        <v>-1.1339743367987968E-7</v>
      </c>
      <c r="H208" s="139"/>
      <c r="I208" s="86"/>
      <c r="J208" s="79">
        <f t="shared" si="930"/>
        <v>6.1269999999999998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3D174F8C-41BC-4D89-A6E8-B90297619B7E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CDB232AB-2787-41D2-B188-E74ADF5E0B6B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2" t="str">
        <f>CONCATENATE(Settings!$C$19," ",Settings!$B$28)</f>
        <v>11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M1" s="107" t="s">
        <v>319</v>
      </c>
      <c r="N1" s="1309" t="s">
        <v>321</v>
      </c>
      <c r="O1" s="1309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5" t="str">
        <f>Settings!B28</f>
        <v xml:space="preserve"> Job# --- Assy# --- Post Braze --- yy.mm.dd</v>
      </c>
      <c r="C2" s="1306"/>
      <c r="D2" s="1306"/>
      <c r="E2" s="1306"/>
      <c r="F2" s="1306"/>
      <c r="G2" s="1306"/>
      <c r="H2" s="1306"/>
      <c r="I2" s="1306"/>
      <c r="J2" s="1306"/>
      <c r="K2" s="1307"/>
      <c r="L2" s="991" t="str" cm="1">
        <f t="array" ref="L2">IF(OR($K$9:$K$150="Undefined"),"Undefined Element","")</f>
        <v/>
      </c>
      <c r="M2" s="1302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299" t="str">
        <f>M2</f>
        <v>CS-Name</v>
      </c>
      <c r="AW2" s="1278"/>
      <c r="AX2" s="1278"/>
      <c r="AY2" s="1278"/>
      <c r="AZ2" s="1278"/>
      <c r="BA2" s="1278"/>
      <c r="BB2" s="1278"/>
      <c r="BC2" s="1279"/>
      <c r="BF2" s="1271" t="s">
        <v>322</v>
      </c>
      <c r="BG2" s="1272"/>
      <c r="BH2" s="1272"/>
      <c r="BI2" s="1272"/>
      <c r="BJ2" s="1272"/>
      <c r="BK2" s="1273"/>
      <c r="BM2" s="1261" t="s">
        <v>279</v>
      </c>
      <c r="BN2" s="983"/>
      <c r="BO2" s="983"/>
      <c r="BP2" s="984"/>
      <c r="BR2" s="1261" t="s">
        <v>279</v>
      </c>
      <c r="BS2" s="983"/>
      <c r="BT2" s="983"/>
      <c r="BU2" s="98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998"/>
      <c r="C3" s="999"/>
      <c r="D3" s="999"/>
      <c r="E3" s="999"/>
      <c r="F3" s="999"/>
      <c r="G3" s="999"/>
      <c r="H3" s="999"/>
      <c r="I3" s="999"/>
      <c r="J3" s="999"/>
      <c r="K3" s="1000"/>
      <c r="L3" s="991"/>
      <c r="M3" s="1303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100"/>
      <c r="AA3" s="1086"/>
      <c r="AB3" s="1086"/>
      <c r="AC3" s="1086"/>
      <c r="AD3" s="1086"/>
      <c r="AE3" s="1086"/>
      <c r="AF3" s="1086"/>
      <c r="AG3" s="1086"/>
      <c r="AH3" s="1086"/>
      <c r="AI3" s="1086"/>
      <c r="AJ3" s="1086"/>
      <c r="AK3" s="1086"/>
      <c r="AL3" s="1086"/>
      <c r="AM3" s="1086"/>
      <c r="AN3" s="1086"/>
      <c r="AO3" s="1086"/>
      <c r="AP3" s="1086"/>
      <c r="AQ3" s="1101"/>
      <c r="AS3" s="466">
        <v>100</v>
      </c>
      <c r="AT3" s="463" t="s">
        <v>45</v>
      </c>
      <c r="AV3" s="1300"/>
      <c r="AW3" s="1280"/>
      <c r="AX3" s="1280"/>
      <c r="AY3" s="1280"/>
      <c r="AZ3" s="1280"/>
      <c r="BA3" s="1280"/>
      <c r="BB3" s="1280"/>
      <c r="BC3" s="128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99" t="s">
        <v>316</v>
      </c>
      <c r="C4" s="873"/>
      <c r="D4" s="873"/>
      <c r="E4" s="873"/>
      <c r="F4" s="873"/>
      <c r="G4" s="873"/>
      <c r="H4" s="873"/>
      <c r="I4" s="873"/>
      <c r="J4" s="873"/>
      <c r="K4" s="1308"/>
      <c r="L4" s="991"/>
      <c r="M4" s="1303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Q4</f>
        <v>Polar XY; Cartesian Z</v>
      </c>
      <c r="X4" s="996"/>
      <c r="Y4" s="997"/>
      <c r="Z4" s="1310" t="s">
        <v>3</v>
      </c>
      <c r="AA4" s="1285"/>
      <c r="AB4" s="1285"/>
      <c r="AC4" s="1285"/>
      <c r="AD4" s="1285"/>
      <c r="AE4" s="1285"/>
      <c r="AF4" s="1285"/>
      <c r="AG4" s="1284" t="s">
        <v>31</v>
      </c>
      <c r="AH4" s="1285"/>
      <c r="AI4" s="1285"/>
      <c r="AJ4" s="1286"/>
      <c r="AK4" s="1264" t="s">
        <v>32</v>
      </c>
      <c r="AL4" s="1265"/>
      <c r="AM4" s="1265"/>
      <c r="AN4" s="1265"/>
      <c r="AO4" s="1265"/>
      <c r="AP4" s="1265"/>
      <c r="AQ4" s="1266"/>
      <c r="AS4" s="467">
        <v>125</v>
      </c>
      <c r="AT4" s="464" t="s">
        <v>46</v>
      </c>
      <c r="AV4" s="1300"/>
      <c r="AW4" s="1282"/>
      <c r="AX4" s="1282"/>
      <c r="AY4" s="1282"/>
      <c r="AZ4" s="1283"/>
      <c r="BA4" s="1282" t="str">
        <f>Z2</f>
        <v>PDC Orientation</v>
      </c>
      <c r="BB4" s="1282"/>
      <c r="BC4" s="128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8" t="s">
        <v>381</v>
      </c>
      <c r="IF4" s="898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998" t="str">
        <f>CONCATENATE(B7," ; ",E7," ; ",H8)</f>
        <v>Absolute-Point ; Incremental-Vector Point ; Radius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303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&amp; Z; Z Axis")</f>
        <v>Relative to 's θ &amp; Z; Z Axis</v>
      </c>
      <c r="U5" s="1021"/>
      <c r="V5" s="1072"/>
      <c r="W5" s="1021" t="str">
        <f>CONCATENATE("Relative to ",M8,"'s θ &amp; Z; Z Axis")</f>
        <v>Relative to 's θ &amp; Z;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300"/>
      <c r="AW5" s="1029" t="str">
        <f>W4</f>
        <v>Polar XY; Cartesian Z</v>
      </c>
      <c r="AX5" s="996"/>
      <c r="AY5" s="996"/>
      <c r="AZ5" s="1237" t="s">
        <v>104</v>
      </c>
      <c r="BA5" s="996" t="str">
        <f>AK4</f>
        <v>Polar Z Projection → XZ Plane</v>
      </c>
      <c r="BB5" s="996"/>
      <c r="BC5" s="1105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303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Q6</f>
        <v>Projected XY</v>
      </c>
      <c r="X6" s="1018"/>
      <c r="Y6" s="1066" t="str">
        <f>S6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29" t="str">
        <f>AD6</f>
        <v>Unit Vector</v>
      </c>
      <c r="AL6" s="996"/>
      <c r="AM6" s="1105"/>
      <c r="AN6" s="34" t="s">
        <v>15</v>
      </c>
      <c r="AO6" s="35" t="s">
        <v>16</v>
      </c>
      <c r="AP6" s="737" t="s">
        <v>17</v>
      </c>
      <c r="AQ6" s="1311" t="s">
        <v>108</v>
      </c>
      <c r="AS6" s="172">
        <f>(AS5/360)</f>
        <v>6.9444444444444447E-4</v>
      </c>
      <c r="AT6" s="465" t="s">
        <v>48</v>
      </c>
      <c r="AV6" s="1300"/>
      <c r="AW6" s="1045" t="str">
        <f>W5</f>
        <v>Relative to 's θ &amp; Z; Z Axis</v>
      </c>
      <c r="AX6" s="1021"/>
      <c r="AY6" s="1021"/>
      <c r="AZ6" s="1296"/>
      <c r="BA6" s="1021" t="str">
        <f>AK5</f>
        <v>Vector Along X Axis</v>
      </c>
      <c r="BB6" s="1021"/>
      <c r="BC6" s="1046"/>
      <c r="BD6" s="468"/>
      <c r="BF6" s="461">
        <f>SUM(AZ9:AZ150)</f>
        <v>0</v>
      </c>
      <c r="BG6" s="1289" t="s">
        <v>318</v>
      </c>
      <c r="BH6" s="1289"/>
      <c r="BI6" s="1289"/>
      <c r="BJ6" s="1289"/>
      <c r="BK6" s="1289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2" t="s">
        <v>40</v>
      </c>
      <c r="C7" s="1023"/>
      <c r="D7" s="1024"/>
      <c r="E7" s="1025" t="s">
        <v>41</v>
      </c>
      <c r="F7" s="1023"/>
      <c r="G7" s="1026"/>
      <c r="H7" s="896" t="s">
        <v>314</v>
      </c>
      <c r="I7" s="916"/>
      <c r="J7" s="897"/>
      <c r="K7" s="539"/>
      <c r="L7" s="991"/>
      <c r="M7" s="1304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Q7</f>
        <v>&lt; θ°</v>
      </c>
      <c r="X7" s="27" t="str">
        <f>R7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2"/>
      <c r="AS7" s="1287" t="s">
        <v>54</v>
      </c>
      <c r="AT7" s="1262" t="s">
        <v>53</v>
      </c>
      <c r="AV7" s="1300"/>
      <c r="AW7" s="1295" t="str">
        <f>$W$6</f>
        <v>Projected XY</v>
      </c>
      <c r="AX7" s="1018"/>
      <c r="AY7" s="1297" t="str">
        <f>$Y$6</f>
        <v>Z</v>
      </c>
      <c r="AZ7" s="1296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89"/>
      <c r="BH7" s="1289"/>
      <c r="BI7" s="1289"/>
      <c r="BJ7" s="1289"/>
      <c r="BK7" s="1289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1260" t="s">
        <v>364</v>
      </c>
      <c r="JC7" s="980"/>
      <c r="JD7" s="980"/>
      <c r="JE7" s="98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1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88"/>
      <c r="AT8" s="1263"/>
      <c r="AV8" s="1301"/>
      <c r="AW8" s="46" t="str">
        <f>$W$7</f>
        <v>&lt; θ°</v>
      </c>
      <c r="AX8" s="27" t="str">
        <f>$X$7</f>
        <v>r</v>
      </c>
      <c r="AY8" s="1298"/>
      <c r="AZ8" s="1238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3" t="str">
        <f>$W$6</f>
        <v>Projected XY</v>
      </c>
      <c r="AX152" s="1294"/>
      <c r="AY152" s="1276" t="str">
        <f>$Y$6</f>
        <v>Z</v>
      </c>
      <c r="AZ152" s="127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7"/>
      <c r="AZ153" s="127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4" t="s">
        <v>42</v>
      </c>
      <c r="C157" s="1005"/>
      <c r="D157" s="1005"/>
      <c r="E157" s="1005"/>
      <c r="F157" s="1005"/>
      <c r="G157" s="1005"/>
      <c r="H157" s="1005"/>
      <c r="I157" s="1005"/>
      <c r="J157" s="1005"/>
      <c r="K157" s="1006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7"/>
      <c r="C158" s="1008"/>
      <c r="D158" s="1008"/>
      <c r="E158" s="1008"/>
      <c r="F158" s="1008"/>
      <c r="G158" s="1008"/>
      <c r="H158" s="1008"/>
      <c r="I158" s="1008"/>
      <c r="J158" s="1008"/>
      <c r="K158" s="1009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0"/>
      <c r="C159" s="1011"/>
      <c r="D159" s="1011"/>
      <c r="E159" s="1011"/>
      <c r="F159" s="1011"/>
      <c r="G159" s="1011"/>
      <c r="H159" s="1011"/>
      <c r="I159" s="1011"/>
      <c r="J159" s="1011"/>
      <c r="K159" s="1012"/>
      <c r="AQ159" s="166"/>
      <c r="BD159" s="468"/>
    </row>
    <row r="160" spans="1:259" ht="15" customHeight="1" x14ac:dyDescent="0.25">
      <c r="B160" s="998" t="str">
        <f>CONCATENATE(B162," ; ",E162," ; ",H163)</f>
        <v>Absolute-Point ; Incremental-Vector Point ; Radius</v>
      </c>
      <c r="C160" s="999"/>
      <c r="D160" s="999"/>
      <c r="E160" s="999"/>
      <c r="F160" s="999"/>
      <c r="G160" s="999"/>
      <c r="H160" s="999"/>
      <c r="I160" s="999"/>
      <c r="J160" s="999"/>
      <c r="K160" s="1000"/>
      <c r="AQ160" s="166"/>
      <c r="BD160" s="468"/>
    </row>
    <row r="161" spans="2:56" ht="15" customHeight="1" x14ac:dyDescent="0.25">
      <c r="B161" s="1001"/>
      <c r="C161" s="1002"/>
      <c r="D161" s="1002"/>
      <c r="E161" s="1002"/>
      <c r="F161" s="1002"/>
      <c r="G161" s="1002"/>
      <c r="H161" s="1002"/>
      <c r="I161" s="1002"/>
      <c r="J161" s="1002"/>
      <c r="K161" s="1003"/>
      <c r="AQ161" s="166"/>
      <c r="BD161" s="468"/>
    </row>
    <row r="162" spans="2:56" ht="15" customHeight="1" x14ac:dyDescent="0.25">
      <c r="B162" s="1022" t="s">
        <v>40</v>
      </c>
      <c r="C162" s="1023"/>
      <c r="D162" s="1024"/>
      <c r="E162" s="1025" t="s">
        <v>41</v>
      </c>
      <c r="F162" s="1023"/>
      <c r="G162" s="1026"/>
      <c r="H162" s="896" t="s">
        <v>314</v>
      </c>
      <c r="I162" s="916"/>
      <c r="J162" s="897"/>
      <c r="K162" s="539"/>
      <c r="M162" s="1191" t="s">
        <v>313</v>
      </c>
      <c r="N162" s="1290"/>
      <c r="O162" s="1267" t="s">
        <v>292</v>
      </c>
      <c r="P162" s="1268"/>
      <c r="Q162" s="1269"/>
      <c r="R162" s="1270" t="s">
        <v>41</v>
      </c>
      <c r="S162" s="1268"/>
      <c r="T162" s="126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1"/>
      <c r="N163" s="1292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1.113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1.1160000000000001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1.119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1.1220000000000001</v>
      </c>
      <c r="N171" s="869">
        <f>Assy.Model!K16</f>
        <v>1613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1.125</v>
      </c>
      <c r="N172" s="869">
        <f>Assy.Model!K17</f>
        <v>1613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1.1279999999999999</v>
      </c>
      <c r="N173" s="869">
        <f>Assy.Model!K18</f>
        <v>1313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1.2070000000000001</v>
      </c>
      <c r="N174" s="869" t="str">
        <f>Assy.Model!K19</f>
        <v>Inactive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1.21</v>
      </c>
      <c r="N175" s="869" t="str">
        <f>Assy.Model!K20</f>
        <v>Inactive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2.1110000000000002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2.1139999999999999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2.117</v>
      </c>
      <c r="N178" s="869">
        <f>Assy.Model!K23</f>
        <v>1613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2.12</v>
      </c>
      <c r="N179" s="869">
        <f>Assy.Model!K24</f>
        <v>1613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2.1230000000000002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2.1259999999999999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2.129</v>
      </c>
      <c r="N182" s="869">
        <f>Assy.Model!K27</f>
        <v>1313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3.1030000000000002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3.1059999999999999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3.109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3.1120000000000001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3.1150000000000002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3.1179999999999999</v>
      </c>
      <c r="N188" s="869">
        <f>Assy.Model!K33</f>
        <v>1613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3.121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3.1240000000000001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3.1269999999999998</v>
      </c>
      <c r="N191" s="869">
        <f>Assy.Model!K36</f>
        <v>1313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3.206</v>
      </c>
      <c r="N192" s="869" t="str">
        <f>Assy.Model!K37</f>
        <v>Inactive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3.2090000000000001</v>
      </c>
      <c r="N193" s="869" t="str">
        <f>Assy.Model!K38</f>
        <v>Inactive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4.1100000000000003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4.1130000000000004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4.1159999999999997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4.1189999999999998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4.1219999999999999</v>
      </c>
      <c r="N198" s="869">
        <f>Assy.Model!K43</f>
        <v>1613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4.125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4.1280000000000001</v>
      </c>
      <c r="N200" s="869">
        <f>Assy.Model!K45</f>
        <v>1313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5.1020000000000003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5.1050000000000004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5.1079999999999997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5.1109999999999998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5.1139999999999999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5.117</v>
      </c>
      <c r="N206" s="869">
        <f>Assy.Model!K51</f>
        <v>1613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5.12</v>
      </c>
      <c r="N207" s="869">
        <f>Assy.Model!K52</f>
        <v>1613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5.1230000000000002</v>
      </c>
      <c r="N208" s="869">
        <f>Assy.Model!K53</f>
        <v>1613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5.1260000000000003</v>
      </c>
      <c r="N209" s="869">
        <f>Assy.Model!K54</f>
        <v>1613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5.1289999999999996</v>
      </c>
      <c r="N210" s="869">
        <f>Assy.Model!K55</f>
        <v>1313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5.2050000000000001</v>
      </c>
      <c r="N211" s="869" t="str">
        <f>Assy.Model!K56</f>
        <v>Inactive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5.2080000000000002</v>
      </c>
      <c r="N212" s="869" t="str">
        <f>Assy.Model!K57</f>
        <v>Inactive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6.1120000000000001</v>
      </c>
      <c r="N213" s="869">
        <f>Assy.Model!K58</f>
        <v>1613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6.1150000000000002</v>
      </c>
      <c r="N214" s="869">
        <f>Assy.Model!K59</f>
        <v>1613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>
        <f>Assy.Model!$M60</f>
        <v>6.1180000000000003</v>
      </c>
      <c r="N215" s="869">
        <f>Assy.Model!K60</f>
        <v>1613</v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>
        <f>Assy.Model!$M61</f>
        <v>6.1210000000000004</v>
      </c>
      <c r="N216" s="869">
        <f>Assy.Model!K61</f>
        <v>1613</v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>
        <f>Assy.Model!$M62</f>
        <v>6.1239999999999997</v>
      </c>
      <c r="N217" s="869">
        <f>Assy.Model!K62</f>
        <v>1613</v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>
        <f>Assy.Model!$M63</f>
        <v>6.1269999999999998</v>
      </c>
      <c r="N218" s="869">
        <f>Assy.Model!K63</f>
        <v>1313</v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2023-03-29T12:35:26Z</dcterms:modified>
</cp:coreProperties>
</file>