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85\"/>
    </mc:Choice>
  </mc:AlternateContent>
  <xr:revisionPtr revIDLastSave="0" documentId="13_ncr:1_{CD334285-ED16-46DF-951B-1B91A2EFEE0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Y11" i="1"/>
  <c r="IT11" i="1"/>
  <c r="IR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Q11" i="1" l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Q62" i="1" s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Q98" i="1" l="1"/>
  <c r="AD86" i="1"/>
  <c r="AH86" i="1" s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Q37" i="1" l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9" i="1" l="1"/>
  <c r="IL23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13" i="1" l="1"/>
  <c r="IT115" i="1"/>
  <c r="IT114" i="1"/>
  <c r="IT112" i="1"/>
  <c r="IT99" i="1"/>
  <c r="IT98" i="1"/>
  <c r="IT97" i="1"/>
  <c r="IT96" i="1"/>
  <c r="IT95" i="1"/>
  <c r="IT78" i="1"/>
  <c r="IT77" i="1"/>
  <c r="IY78" i="1"/>
  <c r="IT82" i="1"/>
  <c r="IT75" i="1"/>
  <c r="IT76" i="1"/>
  <c r="IT74" i="1"/>
  <c r="IY61" i="1"/>
  <c r="IT68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6" i="1" s="1"/>
  <c r="AP87" i="1"/>
  <c r="AO88" i="1"/>
  <c r="AP88" i="1"/>
  <c r="AP86" i="1"/>
  <c r="AO86" i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IS6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115" i="1" l="1"/>
  <c r="IS114" i="1"/>
  <c r="IS113" i="1"/>
  <c r="IS112" i="1"/>
  <c r="IS99" i="1"/>
  <c r="IS98" i="1"/>
  <c r="IS97" i="1"/>
  <c r="IS95" i="1"/>
  <c r="IS78" i="1"/>
  <c r="IS77" i="1"/>
  <c r="IS58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<sst xmlns="http://schemas.openxmlformats.org/spreadsheetml/2006/main" count="734" uniqueCount="391">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</sst>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13.5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13.5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38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-0.18510055826328373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0.3406010272526982</v>
      </c>
      <c r="D9" s="704">
        <v>-0.79410239501282343</v>
      </c>
      <c r="E9" s="705">
        <v>-0.93969263802333458</v>
      </c>
      <c r="F9" s="703">
        <v>-8.8521302156295598E-2</v>
      </c>
      <c r="G9" s="706">
        <v>0.33036604714967338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0.3406010272526982</v>
      </c>
      <c r="P9" s="625">
        <f t="shared" ref="P9:P40" si="4">IF(M9="","",D9)</f>
        <v>-0.79410239501282343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0.3406010272526982</v>
      </c>
      <c r="S9" s="626">
        <f>IF(M9="","",P9)</f>
        <v>-0.79410239501282343</v>
      </c>
      <c r="T9" s="627">
        <f>IF(M9="","",X9*COS(RADIANS(W9)))</f>
        <v>0.3406010272526982</v>
      </c>
      <c r="U9" s="624">
        <f>IF(M9="","",X9*SIN(RADIANS(W9)))</f>
        <v>0</v>
      </c>
      <c r="V9" s="628">
        <f>IF(M9="","",Y9)</f>
        <v>-0.79410239501282343</v>
      </c>
      <c r="W9" s="583">
        <f t="shared" ref="W9:W14" si="5">IF(M9="","",IF(Q9-$Q$8&lt;0,360+Q9-$Q$8,Q9-$Q$8))</f>
        <v>0</v>
      </c>
      <c r="X9" s="629">
        <f>IF(M9="","",R9)</f>
        <v>0.3406010272526982</v>
      </c>
      <c r="Y9" s="630">
        <f>IF(M9="","",S9)</f>
        <v>-0.79410239501282343</v>
      </c>
      <c r="Z9" s="623">
        <f t="shared" ref="Z9:Z40" si="6">IF(M9="","",-E9)</f>
        <v>0.93969263802333458</v>
      </c>
      <c r="AA9" s="624">
        <f t="shared" ref="AA9:AA40" si="7">IF(M9="","",-F9)</f>
        <v>8.8521302156295598E-2</v>
      </c>
      <c r="AB9" s="624">
        <f t="shared" ref="AB9:AB40" si="8">IF(M9="","",-G9)</f>
        <v>-0.33036604714967338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8.8521302156295598E-2</v>
      </c>
      <c r="AF9" s="625">
        <f>IF(M9="","",AB9*(1/SQRT(Z9^2+AA9^2+AB9^2)))</f>
        <v>-0.33036604714967338</v>
      </c>
      <c r="AG9" s="599">
        <f>IF(M9="","",DEGREES(ATAN2(-AF9,AE9)))</f>
        <v>14.999997834268267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8.8521302156295598E-2</v>
      </c>
      <c r="AM9" s="626">
        <f>IF(M9="","",AF9)</f>
        <v>-0.33036604714967338</v>
      </c>
      <c r="AN9" s="581">
        <f>IF(M9="","",DEGREES(ATAN2(-AM9,AL9)))</f>
        <v>14.999997834268267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5.3815187622394802</v>
      </c>
      <c r="AQ9" s="584">
        <f t="shared" ref="AQ9:AQ40" si="9">IF(M9="","",DEGREES(ATAN(($AS$5*SIN(RADIANS(90)))/(($X9*2*PI())-($AS$5*COS(RADIANS(90)))))))</f>
        <v>6.6630464313300291</v>
      </c>
      <c r="AS9" s="51">
        <f>IF(M9="","",W9)</f>
        <v>0</v>
      </c>
      <c r="AT9" s="71">
        <f t="shared" ref="AT9:AT40" si="10">IF(M9="","",Y9+(((AS9-$AS$9)*$AS$6)*-1))</f>
        <v>-0.79410239501282343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55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1.0981033118795887</v>
      </c>
      <c r="D10" s="709">
        <v>-0.59110178276297676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1.0981033118795887</v>
      </c>
      <c r="P10" s="633">
        <f t="shared" si="4"/>
        <v>-0.59110178276297676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1.0981033118795887</v>
      </c>
      <c r="S10" s="634">
        <f t="shared" ref="S10:S105" si="80">IF(M10="","",P10)</f>
        <v>-0.59110178276297676</v>
      </c>
      <c r="T10" s="635">
        <f t="shared" ref="T10:T105" si="81">IF(M10="","",X10*COS(RADIANS(W10)))</f>
        <v>1.0981033118795887</v>
      </c>
      <c r="U10" s="629">
        <f t="shared" ref="U10:U105" si="82">IF(M10="","",X10*SIN(RADIANS(W10)))</f>
        <v>0</v>
      </c>
      <c r="V10" s="636">
        <f>IF(M10="","",Y10)</f>
        <v>-0.59110178276297676</v>
      </c>
      <c r="W10" s="585">
        <f t="shared" si="5"/>
        <v>0</v>
      </c>
      <c r="X10" s="629">
        <f t="shared" ref="X10:X105" si="83">IF(M10="","",R10)</f>
        <v>1.0981033118795887</v>
      </c>
      <c r="Y10" s="630">
        <f>IF(M10="","",S10)</f>
        <v>-0.59110178276297676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2.0751505828290164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-0.59110178276297676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12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1.85570559680808</v>
      </c>
      <c r="D11" s="709">
        <v>-0.38810117051313026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1.85570559680808</v>
      </c>
      <c r="P11" s="633">
        <f t="shared" si="4"/>
        <v>-0.38810117051313026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1.85570559680808</v>
      </c>
      <c r="S11" s="634">
        <f t="shared" si="80"/>
        <v>-0.38810117051313026</v>
      </c>
      <c r="T11" s="635">
        <f t="shared" si="81"/>
        <v>1.85570559680808</v>
      </c>
      <c r="U11" s="629">
        <f t="shared" si="82"/>
        <v>0</v>
      </c>
      <c r="V11" s="636">
        <f t="shared" ref="V11:V105" si="114">IF(M11="","",Y11)</f>
        <v>-0.38810117051313026</v>
      </c>
      <c r="W11" s="585">
        <f t="shared" si="5"/>
        <v>0</v>
      </c>
      <c r="X11" s="629">
        <f>IF(M11="","",R11)</f>
        <v>1.85570559680808</v>
      </c>
      <c r="Y11" s="630">
        <f>IF(M11="","",S11)</f>
        <v>-0.38810117051313026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1.2283076474396801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-0.38810117051313026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2.6132078814349704</v>
      </c>
      <c r="D12" s="709">
        <v>-0.18510055826328373</v>
      </c>
      <c r="E12" s="710">
        <v>-0.96592583607220739</v>
      </c>
      <c r="F12" s="708">
        <v>-6.6987279208207171E-2</v>
      </c>
      <c r="G12" s="711">
        <v>0.24999996726497564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2.6132078814349704</v>
      </c>
      <c r="P12" s="633">
        <f t="shared" si="4"/>
        <v>-0.18510055826328373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2.6132078814349704</v>
      </c>
      <c r="S12" s="634">
        <f t="shared" si="80"/>
        <v>-0.18510055826328373</v>
      </c>
      <c r="T12" s="635">
        <f>IF(M12="","",X12*COS(RADIANS(W12)))</f>
        <v>2.6132078814349704</v>
      </c>
      <c r="U12" s="629">
        <f t="shared" si="82"/>
        <v>0</v>
      </c>
      <c r="V12" s="636">
        <f t="shared" si="114"/>
        <v>-0.18510055826328373</v>
      </c>
      <c r="W12" s="585">
        <f>IF(M12="","",IF(Q12-$Q$8&lt;0,360+Q12-$Q$8,Q12-$Q$8))</f>
        <v>0</v>
      </c>
      <c r="X12" s="629">
        <f t="shared" si="83"/>
        <v>2.6132078814349704</v>
      </c>
      <c r="Y12" s="630">
        <f>IF(M12="","",S12)</f>
        <v>-0.18510055826328373</v>
      </c>
      <c r="Z12" s="632">
        <f t="shared" si="6"/>
        <v>0.96592583607220739</v>
      </c>
      <c r="AA12" s="629">
        <f t="shared" si="7"/>
        <v>6.6987279208207171E-2</v>
      </c>
      <c r="AB12" s="629">
        <f t="shared" si="8"/>
        <v>-0.24999996726497564</v>
      </c>
      <c r="AC12" s="636">
        <f t="shared" si="84"/>
        <v>1</v>
      </c>
      <c r="AD12" s="637">
        <f t="shared" si="115"/>
        <v>0.96592583607220739</v>
      </c>
      <c r="AE12" s="629">
        <f t="shared" si="85"/>
        <v>6.6987279208207171E-2</v>
      </c>
      <c r="AF12" s="633">
        <f t="shared" si="86"/>
        <v>-0.24999996726497564</v>
      </c>
      <c r="AG12" s="602">
        <f t="shared" si="87"/>
        <v>14.999997834268262</v>
      </c>
      <c r="AH12" s="603">
        <f t="shared" si="88"/>
        <v>14.999997834268255</v>
      </c>
      <c r="AI12" s="585">
        <f t="shared" si="89"/>
        <v>-75.522489751159469</v>
      </c>
      <c r="AJ12" s="586">
        <f t="shared" si="90"/>
        <v>93.967129645086573</v>
      </c>
      <c r="AK12" s="635">
        <f t="shared" ref="AK12:AK105" si="211">IF(M12="","",(COS(RADIANS((90-$Q$8)-W12))*AD12)+(-SIN(RADIANS((90-$Q$8)-W12))*AE12))</f>
        <v>0.96592583607220739</v>
      </c>
      <c r="AL12" s="629">
        <f>IF(M12="","",(SIN(RADIANS((90-$Q$8)-W12))*AD12)+(COS(RADIANS((90-$Q$8)-W12))*AE12))</f>
        <v>6.6987279208207171E-2</v>
      </c>
      <c r="AM12" s="634">
        <f t="shared" si="92"/>
        <v>-0.24999996726497564</v>
      </c>
      <c r="AN12" s="581">
        <f>IF(M12="","",DEGREES(ATAN2(-AM12,AL12)))</f>
        <v>14.999997834268262</v>
      </c>
      <c r="AO12" s="582">
        <f t="shared" si="94"/>
        <v>14.999997834268255</v>
      </c>
      <c r="AP12" s="585">
        <f t="shared" si="95"/>
        <v>3.9671296450865694</v>
      </c>
      <c r="AQ12" s="586">
        <f t="shared" si="9"/>
        <v>0.87231884683465677</v>
      </c>
      <c r="AS12" s="52">
        <f t="shared" si="116"/>
        <v>0</v>
      </c>
      <c r="AT12" s="72">
        <f>IF(M12="","",Y12+(((AS12-$AS$9)*$AS$6)*-1))</f>
        <v>-0.18510055826328373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</v>
      </c>
      <c r="C13" s="708">
        <v>3.3872102158260109</v>
      </c>
      <c r="D13" s="709">
        <v>-5.8900177642935779E-2</v>
      </c>
      <c r="E13" s="710">
        <v>-0.96592583607220739</v>
      </c>
      <c r="F13" s="708">
        <v>0</v>
      </c>
      <c r="G13" s="711">
        <v>0.25881900859134593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670</v>
      </c>
      <c r="M13" s="168">
        <f t="shared" si="1"/>
        <v>1.113</v>
      </c>
      <c r="N13" s="632">
        <f t="shared" si="2"/>
        <v>0</v>
      </c>
      <c r="O13" s="629">
        <f t="shared" si="3"/>
        <v>3.3872102158260109</v>
      </c>
      <c r="P13" s="633">
        <f t="shared" si="4"/>
        <v>-5.8900177642935779E-2</v>
      </c>
      <c r="Q13" s="585">
        <f t="shared" si="113"/>
        <v>90</v>
      </c>
      <c r="R13" s="629">
        <f t="shared" si="79"/>
        <v>3.3872102158260109</v>
      </c>
      <c r="S13" s="634">
        <f t="shared" si="80"/>
        <v>-5.8900177642935779E-2</v>
      </c>
      <c r="T13" s="635">
        <f>IF(M13="","",X13*COS(RADIANS(W13)))</f>
        <v>3.3872102158260109</v>
      </c>
      <c r="U13" s="629">
        <f t="shared" si="82"/>
        <v>0</v>
      </c>
      <c r="V13" s="636">
        <f t="shared" si="114"/>
        <v>-5.8900177642935779E-2</v>
      </c>
      <c r="W13" s="585">
        <f t="shared" si="5"/>
        <v>0</v>
      </c>
      <c r="X13" s="629">
        <f t="shared" si="83"/>
        <v>3.3872102158260109</v>
      </c>
      <c r="Y13" s="630">
        <f>IF(M13="","",S13)</f>
        <v>-5.8900177642935779E-2</v>
      </c>
      <c r="Z13" s="632">
        <f t="shared" si="6"/>
        <v>0.96592583607220739</v>
      </c>
      <c r="AA13" s="629">
        <f t="shared" si="7"/>
        <v>0</v>
      </c>
      <c r="AB13" s="629">
        <f t="shared" si="8"/>
        <v>-0.25881900859134593</v>
      </c>
      <c r="AC13" s="636">
        <f t="shared" si="84"/>
        <v>1</v>
      </c>
      <c r="AD13" s="637">
        <f>IF(M13="","",Z13*(1/SQRT(Z13^2+AA13^2+AB13^2)))</f>
        <v>0.96592583607220739</v>
      </c>
      <c r="AE13" s="629">
        <f t="shared" si="85"/>
        <v>0</v>
      </c>
      <c r="AF13" s="633">
        <f t="shared" si="86"/>
        <v>-0.25881900859134593</v>
      </c>
      <c r="AG13" s="602">
        <f>IF(M13="","",DEGREES(ATAN2(-AF13,AE13)))</f>
        <v>0</v>
      </c>
      <c r="AH13" s="603">
        <f t="shared" si="88"/>
        <v>14.999997834268255</v>
      </c>
      <c r="AI13" s="585">
        <f t="shared" si="89"/>
        <v>-75.000002165731729</v>
      </c>
      <c r="AJ13" s="586">
        <f t="shared" si="90"/>
        <v>90</v>
      </c>
      <c r="AK13" s="635">
        <f t="shared" si="211"/>
        <v>0.96592583607220739</v>
      </c>
      <c r="AL13" s="629">
        <f t="shared" si="91"/>
        <v>0</v>
      </c>
      <c r="AM13" s="634">
        <f t="shared" si="92"/>
        <v>-0.25881900859134593</v>
      </c>
      <c r="AN13" s="581">
        <f t="shared" si="93"/>
        <v>0</v>
      </c>
      <c r="AO13" s="582">
        <f t="shared" si="94"/>
        <v>14.999997834268255</v>
      </c>
      <c r="AP13" s="585">
        <f t="shared" si="95"/>
        <v>0</v>
      </c>
      <c r="AQ13" s="586">
        <f t="shared" si="9"/>
        <v>0.67300865265617327</v>
      </c>
      <c r="AS13" s="52">
        <f t="shared" si="116"/>
        <v>0</v>
      </c>
      <c r="AT13" s="72">
        <f t="shared" si="10"/>
        <v>-5.8900177642935779E-2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2.1167335167025344E-2</v>
      </c>
      <c r="C14" s="708">
        <v>4.1676588162380588</v>
      </c>
      <c r="D14" s="709">
        <v>-0.13590040987563617</v>
      </c>
      <c r="E14" s="710">
        <v>-0.96431480591824292</v>
      </c>
      <c r="F14" s="708">
        <v>9.8395993397721843E-2</v>
      </c>
      <c r="G14" s="711">
        <v>0.24579500314314162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2.1167335167025344E-2</v>
      </c>
      <c r="O14" s="629">
        <f t="shared" si="3"/>
        <v>4.1676588162380588</v>
      </c>
      <c r="P14" s="633">
        <f t="shared" si="4"/>
        <v>-0.13590040987563617</v>
      </c>
      <c r="Q14" s="585">
        <f t="shared" si="113"/>
        <v>89.709000042015205</v>
      </c>
      <c r="R14" s="629">
        <f t="shared" si="79"/>
        <v>4.167712569821111</v>
      </c>
      <c r="S14" s="634">
        <f t="shared" si="80"/>
        <v>-0.13590040987563617</v>
      </c>
      <c r="T14" s="635">
        <f t="shared" si="81"/>
        <v>4.1676588162380588</v>
      </c>
      <c r="U14" s="629">
        <f t="shared" si="82"/>
        <v>-2.1167335167025205E-2</v>
      </c>
      <c r="V14" s="636">
        <f t="shared" si="114"/>
        <v>-0.13590040987563617</v>
      </c>
      <c r="W14" s="585">
        <f t="shared" si="5"/>
        <v>359.70900004201519</v>
      </c>
      <c r="X14" s="629">
        <f t="shared" si="83"/>
        <v>4.167712569821111</v>
      </c>
      <c r="Y14" s="630">
        <f t="shared" ref="Y14:Y75" si="223">IF(M14="","",S14)</f>
        <v>-0.13590040987563617</v>
      </c>
      <c r="Z14" s="632">
        <f t="shared" si="6"/>
        <v>0.96431480591824292</v>
      </c>
      <c r="AA14" s="629">
        <f t="shared" si="7"/>
        <v>-9.8395993397721843E-2</v>
      </c>
      <c r="AB14" s="629">
        <f t="shared" si="8"/>
        <v>-0.24579500314314162</v>
      </c>
      <c r="AC14" s="636">
        <f t="shared" si="84"/>
        <v>1</v>
      </c>
      <c r="AD14" s="637">
        <f>IF(M14="","",Z14*(1/SQRT(Z14^2+AA14^2+AB14^2)))</f>
        <v>0.96431480591824292</v>
      </c>
      <c r="AE14" s="629">
        <f t="shared" si="85"/>
        <v>-9.8395993397721843E-2</v>
      </c>
      <c r="AF14" s="633">
        <f t="shared" si="86"/>
        <v>-0.24579500314314162</v>
      </c>
      <c r="AG14" s="602">
        <f t="shared" si="87"/>
        <v>-21.817080421240011</v>
      </c>
      <c r="AH14" s="603">
        <f t="shared" si="88"/>
        <v>15.352591181791285</v>
      </c>
      <c r="AI14" s="585">
        <f t="shared" si="89"/>
        <v>-75.771179199938999</v>
      </c>
      <c r="AJ14" s="586">
        <f t="shared" si="90"/>
        <v>84.173862407344501</v>
      </c>
      <c r="AK14" s="635">
        <f>IF(M14="","",(COS(RADIANS((90-$Q$8)-W14))*AD14)+(-SIN(RADIANS((90-$Q$8)-W14))*AE14))</f>
        <v>0.96480211053949727</v>
      </c>
      <c r="AL14" s="629">
        <f t="shared" si="91"/>
        <v>-9.34970797853861E-2</v>
      </c>
      <c r="AM14" s="634">
        <f t="shared" si="92"/>
        <v>-0.24579500314314162</v>
      </c>
      <c r="AN14" s="581">
        <f t="shared" si="93"/>
        <v>-20.826134809408472</v>
      </c>
      <c r="AO14" s="582">
        <f t="shared" si="94"/>
        <v>15.246778696082648</v>
      </c>
      <c r="AP14" s="585">
        <f>IF(M14="","",DEGREES(ATAN2(AK14,AL14)))</f>
        <v>-5.5351376346707033</v>
      </c>
      <c r="AQ14" s="586">
        <f t="shared" si="9"/>
        <v>0.5469804687690053</v>
      </c>
      <c r="AS14" s="52">
        <f t="shared" si="116"/>
        <v>-0.29099995798480904</v>
      </c>
      <c r="AT14" s="72">
        <f t="shared" si="10"/>
        <v>-0.13569832657148007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7.8443762567159792E-2</v>
      </c>
      <c r="C15" s="708">
        <v>4.9008870364224775</v>
      </c>
      <c r="D15" s="709">
        <v>-0.41250124410375222</v>
      </c>
      <c r="E15" s="710">
        <v>-0.95942529373310426</v>
      </c>
      <c r="F15" s="708">
        <v>0.18693640657292859</v>
      </c>
      <c r="G15" s="711">
        <v>0.21108738863974655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730</v>
      </c>
      <c r="M15" s="168">
        <f t="shared" si="1"/>
        <v>1.119</v>
      </c>
      <c r="N15" s="632">
        <f t="shared" si="2"/>
        <v>7.8443762567159792E-2</v>
      </c>
      <c r="O15" s="629">
        <f t="shared" si="3"/>
        <v>4.9008870364224775</v>
      </c>
      <c r="P15" s="633">
        <f t="shared" si="4"/>
        <v>-0.41250124410375222</v>
      </c>
      <c r="Q15" s="585">
        <f t="shared" si="113"/>
        <v>89.083000132398396</v>
      </c>
      <c r="R15" s="629">
        <f t="shared" si="79"/>
        <v>4.9015147829685866</v>
      </c>
      <c r="S15" s="634">
        <f t="shared" si="80"/>
        <v>-0.41250124410375222</v>
      </c>
      <c r="T15" s="635">
        <f t="shared" si="81"/>
        <v>4.9008870364224784</v>
      </c>
      <c r="U15" s="629">
        <f t="shared" si="82"/>
        <v>-7.844376256716E-2</v>
      </c>
      <c r="V15" s="636">
        <f t="shared" si="114"/>
        <v>-0.41250124410375222</v>
      </c>
      <c r="W15" s="585">
        <f t="shared" ref="W15:W78" si="224">IF(M15="","",IF(Q15-$Q$8&lt;0,360+Q15-$Q$8,Q15-$Q$8))</f>
        <v>359.08300013239841</v>
      </c>
      <c r="X15" s="629">
        <f>IF(M15="","",R15)</f>
        <v>4.9015147829685866</v>
      </c>
      <c r="Y15" s="630">
        <f>IF(M15="","",S15)</f>
        <v>-0.41250124410375222</v>
      </c>
      <c r="Z15" s="632">
        <f t="shared" si="6"/>
        <v>0.95942529373310426</v>
      </c>
      <c r="AA15" s="629">
        <f t="shared" si="7"/>
        <v>-0.18693640657292859</v>
      </c>
      <c r="AB15" s="629">
        <f t="shared" si="8"/>
        <v>-0.21108738863974655</v>
      </c>
      <c r="AC15" s="636">
        <f t="shared" si="84"/>
        <v>1</v>
      </c>
      <c r="AD15" s="637">
        <f t="shared" si="115"/>
        <v>0.95942529373310426</v>
      </c>
      <c r="AE15" s="629">
        <f t="shared" si="85"/>
        <v>-0.18693640657292859</v>
      </c>
      <c r="AF15" s="633">
        <f t="shared" si="86"/>
        <v>-0.21108738863974655</v>
      </c>
      <c r="AG15" s="602">
        <f t="shared" si="87"/>
        <v>-41.527707875347389</v>
      </c>
      <c r="AH15" s="603">
        <f t="shared" si="88"/>
        <v>16.377394754431005</v>
      </c>
      <c r="AI15" s="585">
        <f t="shared" si="89"/>
        <v>-77.813916398252019</v>
      </c>
      <c r="AJ15" s="586">
        <f t="shared" si="90"/>
        <v>78.974508715437636</v>
      </c>
      <c r="AK15" s="635">
        <f t="shared" si="211"/>
        <v>0.96229414546580438</v>
      </c>
      <c r="AL15" s="629">
        <f t="shared" si="91"/>
        <v>-0.17155783852534989</v>
      </c>
      <c r="AM15" s="634">
        <f t="shared" si="92"/>
        <v>-0.21108738863974655</v>
      </c>
      <c r="AN15" s="581">
        <f>IF(M15="","",DEGREES(ATAN2(-AM15,AL15)))</f>
        <v>-39.101924159478322</v>
      </c>
      <c r="AO15" s="582">
        <f t="shared" si="94"/>
        <v>15.78396746353868</v>
      </c>
      <c r="AP15" s="585">
        <f t="shared" si="95"/>
        <v>-10.108491416960769</v>
      </c>
      <c r="AQ15" s="586">
        <f t="shared" si="9"/>
        <v>0.46509633446985216</v>
      </c>
      <c r="AS15" s="52">
        <f t="shared" si="116"/>
        <v>-0.91699986760158936</v>
      </c>
      <c r="AT15" s="72">
        <f t="shared" si="10"/>
        <v>-0.41186443864014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67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0.157835976520113</v>
      </c>
      <c r="C16" s="708">
        <v>5.5363672930476433</v>
      </c>
      <c r="D16" s="709">
        <v>-0.86990262362631299</v>
      </c>
      <c r="E16" s="710">
        <v>-0.94224637993595017</v>
      </c>
      <c r="F16" s="708">
        <v>0.27613674747529099</v>
      </c>
      <c r="G16" s="711">
        <v>0.18952639972142279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0.157835976520113</v>
      </c>
      <c r="O16" s="629">
        <f t="shared" si="3"/>
        <v>5.5363672930476433</v>
      </c>
      <c r="P16" s="633">
        <f t="shared" si="4"/>
        <v>-0.86990262362631299</v>
      </c>
      <c r="Q16" s="585">
        <f>IF(M16="","",IF(DEGREES(ATAN2(N16,O16))&lt;0,DEGREES(ATAN2(N16,O16))+360,IF(DEGREES(ATAN2(N16,O16))&gt;360,DEGREES(ATAN2(N16,O16))-360,DEGREES(ATAN2(N16,O16)))))</f>
        <v>88.367000235776004</v>
      </c>
      <c r="R16" s="629">
        <f t="shared" si="79"/>
        <v>5.5386167044679802</v>
      </c>
      <c r="S16" s="634">
        <f t="shared" si="80"/>
        <v>-0.86990262362631299</v>
      </c>
      <c r="T16" s="635">
        <f t="shared" si="81"/>
        <v>5.5363672930476433</v>
      </c>
      <c r="U16" s="629">
        <f t="shared" si="82"/>
        <v>-0.15783597652011488</v>
      </c>
      <c r="V16" s="636">
        <f t="shared" si="114"/>
        <v>-0.86990262362631299</v>
      </c>
      <c r="W16" s="585">
        <f>IF(M16="","",IF(Q16-$Q$8&lt;0,360+Q16-$Q$8,Q16-$Q$8))</f>
        <v>358.367000235776</v>
      </c>
      <c r="X16" s="629">
        <f t="shared" si="83"/>
        <v>5.5386167044679802</v>
      </c>
      <c r="Y16" s="630">
        <f t="shared" si="223"/>
        <v>-0.86990262362631299</v>
      </c>
      <c r="Z16" s="632">
        <f t="shared" si="6"/>
        <v>0.94224637993595017</v>
      </c>
      <c r="AA16" s="629">
        <f t="shared" si="7"/>
        <v>-0.27613674747529099</v>
      </c>
      <c r="AB16" s="629">
        <f t="shared" si="8"/>
        <v>-0.18952639972142279</v>
      </c>
      <c r="AC16" s="636">
        <f t="shared" si="84"/>
        <v>1</v>
      </c>
      <c r="AD16" s="637">
        <f t="shared" si="115"/>
        <v>0.94224637993595017</v>
      </c>
      <c r="AE16" s="629">
        <f t="shared" si="85"/>
        <v>-0.27613674747529099</v>
      </c>
      <c r="AF16" s="633">
        <f t="shared" si="86"/>
        <v>-0.18952639972142279</v>
      </c>
      <c r="AG16" s="602">
        <f t="shared" si="87"/>
        <v>-55.536251444300831</v>
      </c>
      <c r="AH16" s="603">
        <f t="shared" si="88"/>
        <v>19.56770531465445</v>
      </c>
      <c r="AI16" s="585">
        <f t="shared" si="89"/>
        <v>-79.074853274541752</v>
      </c>
      <c r="AJ16" s="586">
        <f t="shared" si="90"/>
        <v>73.666136290492588</v>
      </c>
      <c r="AK16" s="635">
        <f t="shared" si="211"/>
        <v>0.94973287261734529</v>
      </c>
      <c r="AL16" s="629">
        <f t="shared" si="91"/>
        <v>-0.24917306130206182</v>
      </c>
      <c r="AM16" s="634">
        <f t="shared" si="92"/>
        <v>-0.18952639972142279</v>
      </c>
      <c r="AN16" s="581">
        <f t="shared" si="93"/>
        <v>-52.74259918179083</v>
      </c>
      <c r="AO16" s="582">
        <f t="shared" si="94"/>
        <v>18.243824818906248</v>
      </c>
      <c r="AP16" s="585">
        <f t="shared" si="95"/>
        <v>-14.700863945283389</v>
      </c>
      <c r="AQ16" s="586">
        <f t="shared" si="9"/>
        <v>0.41159869645677571</v>
      </c>
      <c r="AS16" s="52">
        <f t="shared" si="116"/>
        <v>-1.632999764223996</v>
      </c>
      <c r="AT16" s="72">
        <f t="shared" si="10"/>
        <v>-0.86876859601226852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0.23894527744182145</v>
      </c>
      <c r="C17" s="708">
        <v>6.0305862865938558</v>
      </c>
      <c r="D17" s="709">
        <v>-1.4768044540422334</v>
      </c>
      <c r="E17" s="710">
        <v>-0.91034637569506105</v>
      </c>
      <c r="F17" s="708">
        <v>0.37453382305705762</v>
      </c>
      <c r="G17" s="711">
        <v>0.17605082119982163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0.23894527744182145</v>
      </c>
      <c r="O17" s="629">
        <f t="shared" si="3"/>
        <v>6.0305862865938558</v>
      </c>
      <c r="P17" s="633">
        <f t="shared" si="4"/>
        <v>-1.4768044540422334</v>
      </c>
      <c r="Q17" s="585">
        <f>IF(M17="","",IF(DEGREES(ATAN2(N17,O17))&lt;0,DEGREES(ATAN2(N17,O17))+360,IF(DEGREES(ATAN2(N17,O17))&gt;360,DEGREES(ATAN2(N17,O17))-360,DEGREES(ATAN2(N17,O17)))))</f>
        <v>87.731000327603027</v>
      </c>
      <c r="R17" s="629">
        <f>IF(M17="","",SQRT(N17^2+O17^2))</f>
        <v>6.0353182025196999</v>
      </c>
      <c r="S17" s="634">
        <f>IF(M17="","",P17)</f>
        <v>-1.4768044540422334</v>
      </c>
      <c r="T17" s="635">
        <f>IF(M17="","",X17*COS(RADIANS(W17)))</f>
        <v>6.0305862865938558</v>
      </c>
      <c r="U17" s="629">
        <f>IF(M17="","",X17*SIN(RADIANS(W17)))</f>
        <v>-0.23894527744181879</v>
      </c>
      <c r="V17" s="636">
        <f>IF(M17="","",Y17)</f>
        <v>-1.4768044540422334</v>
      </c>
      <c r="W17" s="585">
        <f t="shared" si="224"/>
        <v>357.73100032760306</v>
      </c>
      <c r="X17" s="629">
        <f>IF(M17="","",R17)</f>
        <v>6.0353182025196999</v>
      </c>
      <c r="Y17" s="630">
        <f t="shared" si="223"/>
        <v>-1.4768044540422334</v>
      </c>
      <c r="Z17" s="632">
        <f t="shared" si="6"/>
        <v>0.91034637569506105</v>
      </c>
      <c r="AA17" s="629">
        <f t="shared" si="7"/>
        <v>-0.37453382305705762</v>
      </c>
      <c r="AB17" s="629">
        <f t="shared" si="8"/>
        <v>-0.17605082119982163</v>
      </c>
      <c r="AC17" s="636">
        <f>IF(M17="","",SQRT(Z17^2+AA17^2+AB17^2))</f>
        <v>1</v>
      </c>
      <c r="AD17" s="637">
        <f>IF(M17="","",Z17*(1/SQRT(Z17^2+AA17^2+AB17^2)))</f>
        <v>0.91034637569506105</v>
      </c>
      <c r="AE17" s="629">
        <f>IF(M17="","",AA17*(1/SQRT(Z17^2+AA17^2+AB17^2)))</f>
        <v>-0.37453382305705762</v>
      </c>
      <c r="AF17" s="633">
        <f>IF(M17="","",AB17*(1/SQRT(Z17^2+AA17^2+AB17^2)))</f>
        <v>-0.17605082119982163</v>
      </c>
      <c r="AG17" s="602">
        <f>IF(M17="","",DEGREES(ATAN2(-AF17,AE17)))</f>
        <v>-64.823979001475138</v>
      </c>
      <c r="AH17" s="603">
        <f>IF(M17="","",DEGREES(ACOS(AD17)))</f>
        <v>24.446737952743504</v>
      </c>
      <c r="AI17" s="585">
        <f>IF(M17="","",DEGREES(-ACOS(-AF17)))</f>
        <v>-79.860184799373613</v>
      </c>
      <c r="AJ17" s="586">
        <f>IF(M17="","",DEGREES(ATAN2(-AE17,AD17)))</f>
        <v>67.636801516341222</v>
      </c>
      <c r="AK17" s="635">
        <f>IF(M17="","",(COS(RADIANS((90-$Q$8)-W17))*AD17)+(-SIN(RADIANS((90-$Q$8)-W17))*AE17))</f>
        <v>0.92446086028229679</v>
      </c>
      <c r="AL17" s="629">
        <f>IF(M17="","",(SIN(RADIANS((90-$Q$8)-W17))*AD17)+(COS(RADIANS((90-$Q$8)-W17))*AE17))</f>
        <v>-0.33819850112172911</v>
      </c>
      <c r="AM17" s="634">
        <f>IF(M17="","",AF17)</f>
        <v>-0.17605082119982163</v>
      </c>
      <c r="AN17" s="581">
        <f>IF(M17="","",DEGREES(ATAN2(-AM17,AL17)))</f>
        <v>-62.500556506975798</v>
      </c>
      <c r="AO17" s="582">
        <f t="shared" si="94"/>
        <v>22.412802753034835</v>
      </c>
      <c r="AP17" s="585">
        <f>IF(M17="","",DEGREES(ATAN2(AK17,AL17)))</f>
        <v>-20.094198811261826</v>
      </c>
      <c r="AQ17" s="586">
        <f t="shared" si="9"/>
        <v>0.37772550317639475</v>
      </c>
      <c r="AS17" s="52">
        <f t="shared" si="116"/>
        <v>-2.2689996723969443</v>
      </c>
      <c r="AT17" s="72">
        <f t="shared" si="10"/>
        <v>-1.4752287598252911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0.30071350530693813</v>
      </c>
      <c r="C18" s="708">
        <v>6.3507035871662287</v>
      </c>
      <c r="D18" s="709">
        <v>-2.191606609885536</v>
      </c>
      <c r="E18" s="710">
        <v>-0.86662999417029352</v>
      </c>
      <c r="F18" s="708">
        <v>0.47536747761982995</v>
      </c>
      <c r="G18" s="711">
        <v>0.15158566695356673</v>
      </c>
      <c r="H18" s="710">
        <v>0.314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1.1279999999999999</v>
      </c>
      <c r="N18" s="632">
        <f t="shared" si="2"/>
        <v>0.30071350530693813</v>
      </c>
      <c r="O18" s="629">
        <f t="shared" si="3"/>
        <v>6.3507035871662287</v>
      </c>
      <c r="P18" s="633">
        <f t="shared" si="4"/>
        <v>-2.191606609885536</v>
      </c>
      <c r="Q18" s="585">
        <f t="shared" si="113"/>
        <v>87.289000391419918</v>
      </c>
      <c r="R18" s="629">
        <f>IF(M18="","",SQRT(N18^2+O18^2))</f>
        <v>6.3578191751826347</v>
      </c>
      <c r="S18" s="634">
        <f>IF(M18="","",P18)</f>
        <v>-2.191606609885536</v>
      </c>
      <c r="T18" s="635">
        <f>IF(M18="","",X18*COS(RADIANS(W18)))</f>
        <v>6.3507035871662287</v>
      </c>
      <c r="U18" s="629">
        <f>IF(M18="","",X18*SIN(RADIANS(W18)))</f>
        <v>-0.30071350530694102</v>
      </c>
      <c r="V18" s="636">
        <f>IF(M18="","",Y18)</f>
        <v>-2.191606609885536</v>
      </c>
      <c r="W18" s="585">
        <f t="shared" si="224"/>
        <v>357.2890003914199</v>
      </c>
      <c r="X18" s="629">
        <f>IF(M18="","",R18)</f>
        <v>6.3578191751826347</v>
      </c>
      <c r="Y18" s="630">
        <f t="shared" si="223"/>
        <v>-2.191606609885536</v>
      </c>
      <c r="Z18" s="632">
        <f t="shared" si="6"/>
        <v>0.86662999417029352</v>
      </c>
      <c r="AA18" s="629">
        <f t="shared" si="7"/>
        <v>-0.47536747761982995</v>
      </c>
      <c r="AB18" s="629">
        <f t="shared" si="8"/>
        <v>-0.15158566695356673</v>
      </c>
      <c r="AC18" s="636">
        <f>IF(M18="","",SQRT(Z18^2+AA18^2+AB18^2))</f>
        <v>1</v>
      </c>
      <c r="AD18" s="637">
        <f>IF(M18="","",Z18*(1/SQRT(Z18^2+AA18^2+AB18^2)))</f>
        <v>0.86662999417029352</v>
      </c>
      <c r="AE18" s="629">
        <f>IF(M18="","",AA18*(1/SQRT(Z18^2+AA18^2+AB18^2)))</f>
        <v>-0.47536747761982995</v>
      </c>
      <c r="AF18" s="633">
        <f>IF(M18="","",AB18*(1/SQRT(Z18^2+AA18^2+AB18^2)))</f>
        <v>-0.15158566695356673</v>
      </c>
      <c r="AG18" s="602">
        <f>IF(M18="","",DEGREES(ATAN2(-AF18,AE18)))</f>
        <v>-72.313504665234674</v>
      </c>
      <c r="AH18" s="603">
        <f>IF(M18="","",DEGREES(ACOS(AD18)))</f>
        <v>29.930646326087505</v>
      </c>
      <c r="AI18" s="585">
        <f>IF(M18="","",DEGREES(-ACOS(-AF18)))</f>
        <v>-81.281170532412773</v>
      </c>
      <c r="AJ18" s="586">
        <f>IF(M18="","",DEGREES(ATAN2(-AE18,AD18)))</f>
        <v>61.254168167804195</v>
      </c>
      <c r="AK18" s="635">
        <f>IF(M18="","",(COS(RADIANS((90-$Q$8)-W18))*AD18)+(-SIN(RADIANS((90-$Q$8)-W18))*AE18))</f>
        <v>0.88814410690831003</v>
      </c>
      <c r="AL18" s="629">
        <f>IF(M18="","",(SIN(RADIANS((90-$Q$8)-W18))*AD18)+(COS(RADIANS((90-$Q$8)-W18))*AE18))</f>
        <v>-0.43384539981228676</v>
      </c>
      <c r="AM18" s="634">
        <f>IF(M18="","",AF18)</f>
        <v>-0.15158566695356673</v>
      </c>
      <c r="AN18" s="581">
        <f>IF(M18="","",DEGREES(ATAN2(-AM18,AL18)))</f>
        <v>-70.740575397925994</v>
      </c>
      <c r="AO18" s="582">
        <f t="shared" si="94"/>
        <v>27.359045250648059</v>
      </c>
      <c r="AP18" s="585">
        <f>IF(M18="","",DEGREES(ATAN2(AK18,AL18)))</f>
        <v>-26.034832223615702</v>
      </c>
      <c r="AQ18" s="586">
        <f t="shared" si="9"/>
        <v>0.35856585530484492</v>
      </c>
      <c r="AS18" s="52">
        <f t="shared" si="116"/>
        <v>-2.7109996085800958</v>
      </c>
      <c r="AT18" s="72">
        <f t="shared" si="10"/>
        <v>-2.1897239712684664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0.32680231146885147</v>
      </c>
      <c r="C19" s="708">
        <v>6.4757787060132079</v>
      </c>
      <c r="D19" s="709">
        <v>-2.9656089442765761</v>
      </c>
      <c r="E19" s="710">
        <v>-0.83738139116106591</v>
      </c>
      <c r="F19" s="708">
        <v>0.53947994726336967</v>
      </c>
      <c r="G19" s="711">
        <v>8.8055620137898749E-2</v>
      </c>
      <c r="H19" s="710">
        <v>0.314</v>
      </c>
      <c r="I19" s="708">
        <v>0.52</v>
      </c>
      <c r="J19" s="570">
        <v>1.131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1.131</v>
      </c>
      <c r="N19" s="632">
        <f t="shared" si="2"/>
        <v>0.32680231146885147</v>
      </c>
      <c r="O19" s="629">
        <f t="shared" si="3"/>
        <v>6.4757787060132079</v>
      </c>
      <c r="P19" s="633">
        <f t="shared" si="4"/>
        <v>-2.9656089442765761</v>
      </c>
      <c r="Q19" s="585">
        <f t="shared" si="113"/>
        <v>87.111000417119939</v>
      </c>
      <c r="R19" s="629">
        <f>IF(M19="","",SQRT(N19^2+O19^2))</f>
        <v>6.4840195558029805</v>
      </c>
      <c r="S19" s="634">
        <f>IF(M19="","",P19)</f>
        <v>-2.9656089442765761</v>
      </c>
      <c r="T19" s="635">
        <f>IF(M19="","",X19*COS(RADIANS(W19)))</f>
        <v>6.4757787060132079</v>
      </c>
      <c r="U19" s="629">
        <f>IF(M19="","",X19*SIN(RADIANS(W19)))</f>
        <v>-0.32680231146885258</v>
      </c>
      <c r="V19" s="636">
        <f>IF(M19="","",Y19)</f>
        <v>-2.9656089442765761</v>
      </c>
      <c r="W19" s="585">
        <f t="shared" si="224"/>
        <v>357.11100041711995</v>
      </c>
      <c r="X19" s="629">
        <f>IF(M19="","",R19)</f>
        <v>6.4840195558029805</v>
      </c>
      <c r="Y19" s="630">
        <f t="shared" si="223"/>
        <v>-2.9656089442765761</v>
      </c>
      <c r="Z19" s="632">
        <f t="shared" si="6"/>
        <v>0.83738139116106591</v>
      </c>
      <c r="AA19" s="629">
        <f t="shared" si="7"/>
        <v>-0.53947994726336967</v>
      </c>
      <c r="AB19" s="629">
        <f t="shared" si="8"/>
        <v>-8.8055620137898749E-2</v>
      </c>
      <c r="AC19" s="636">
        <f>IF(M19="","",SQRT(Z19^2+AA19^2+AB19^2))</f>
        <v>1</v>
      </c>
      <c r="AD19" s="637">
        <f>IF(M19="","",Z19*(1/SQRT(Z19^2+AA19^2+AB19^2)))</f>
        <v>0.83738139116106591</v>
      </c>
      <c r="AE19" s="629">
        <f>IF(M19="","",AA19*(1/SQRT(Z19^2+AA19^2+AB19^2)))</f>
        <v>-0.53947994726336967</v>
      </c>
      <c r="AF19" s="633">
        <f>IF(M19="","",AB19*(1/SQRT(Z19^2+AA19^2+AB19^2)))</f>
        <v>-8.8055620137898749E-2</v>
      </c>
      <c r="AG19" s="602">
        <f>IF(M19="","",DEGREES(ATAN2(-AF19,AE19)))</f>
        <v>-80.729750503664306</v>
      </c>
      <c r="AH19" s="603">
        <f>IF(M19="","",DEGREES(ACOS(AD19)))</f>
        <v>33.135374672974024</v>
      </c>
      <c r="AI19" s="585">
        <f>IF(M19="","",DEGREES(-ACOS(-AF19)))</f>
        <v>-84.948241823442046</v>
      </c>
      <c r="AJ19" s="586">
        <f>IF(M19="","",DEGREES(ATAN2(-AE19,AD19)))</f>
        <v>57.208486833117163</v>
      </c>
      <c r="AK19" s="635">
        <f>IF(M19="","",(COS(RADIANS((90-$Q$8)-W19))*AD19)+(-SIN(RADIANS((90-$Q$8)-W19))*AE19))</f>
        <v>0.86350755534634283</v>
      </c>
      <c r="AL19" s="629">
        <f>IF(M19="","",(SIN(RADIANS((90-$Q$8)-W19))*AD19)+(COS(RADIANS((90-$Q$8)-W19))*AE19))</f>
        <v>-0.49658927658771784</v>
      </c>
      <c r="AM19" s="634">
        <f>IF(M19="","",AF19)</f>
        <v>-8.8055620137898749E-2</v>
      </c>
      <c r="AN19" s="581">
        <f>IF(M19="","",DEGREES(ATAN2(-AM19,AL19)))</f>
        <v>-79.944783370378332</v>
      </c>
      <c r="AO19" s="582">
        <f t="shared" si="94"/>
        <v>30.28727796441542</v>
      </c>
      <c r="AP19" s="585">
        <f>IF(M19="","",DEGREES(ATAN2(AK19,AL19)))</f>
        <v>-29.902513584002762</v>
      </c>
      <c r="AQ19" s="586">
        <f t="shared" si="9"/>
        <v>0.35158715948000119</v>
      </c>
      <c r="AS19" s="52">
        <f t="shared" si="116"/>
        <v>-2.8889995828800465</v>
      </c>
      <c r="AT19" s="72">
        <f t="shared" si="10"/>
        <v>-2.9636026945662426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1.131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0.3435857857631528</v>
      </c>
      <c r="C20" s="708">
        <v>6.5538196839179914</v>
      </c>
      <c r="D20" s="709">
        <v>-3.7125111969337699</v>
      </c>
      <c r="E20" s="710">
        <v>-0.78800006712416137</v>
      </c>
      <c r="F20" s="708">
        <v>0.61567515315489263</v>
      </c>
      <c r="G20" s="711">
        <v>1.3008419229319738E-7</v>
      </c>
      <c r="H20" s="710">
        <v>0.26600000000000001</v>
      </c>
      <c r="I20" s="708">
        <v>0.52</v>
      </c>
      <c r="J20" s="570">
        <v>1.1339999999999999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>
        <f>IF($L19=$JH$22,$JH$30,IF($L19=$JI$22,$JI$30,""))</f>
        <v>510</v>
      </c>
      <c r="M20" s="168">
        <f t="shared" si="1"/>
        <v>1.1339999999999999</v>
      </c>
      <c r="N20" s="632">
        <f t="shared" si="2"/>
        <v>0.3435857857631528</v>
      </c>
      <c r="O20" s="629">
        <f t="shared" si="3"/>
        <v>6.5538196839179914</v>
      </c>
      <c r="P20" s="633">
        <f t="shared" si="4"/>
        <v>-3.7125111969337699</v>
      </c>
      <c r="Q20" s="585">
        <f t="shared" si="113"/>
        <v>86.999000433290732</v>
      </c>
      <c r="R20" s="629">
        <f>IF(M20="","",SQRT(N20^2+O20^2))</f>
        <v>6.5628197934644987</v>
      </c>
      <c r="S20" s="634">
        <f>IF(M20="","",P20)</f>
        <v>-3.7125111969337699</v>
      </c>
      <c r="T20" s="635">
        <f>IF(M20="","",X20*COS(RADIANS(W20)))</f>
        <v>6.5538196839179923</v>
      </c>
      <c r="U20" s="629">
        <f>IF(M20="","",X20*SIN(RADIANS(W20)))</f>
        <v>-0.34358578576314863</v>
      </c>
      <c r="V20" s="636">
        <f>IF(M20="","",Y20)</f>
        <v>-3.7125111969337699</v>
      </c>
      <c r="W20" s="585">
        <f t="shared" si="224"/>
        <v>356.99900043329075</v>
      </c>
      <c r="X20" s="629">
        <f>IF(M20="","",R20)</f>
        <v>6.5628197934644987</v>
      </c>
      <c r="Y20" s="630">
        <f t="shared" si="223"/>
        <v>-3.7125111969337699</v>
      </c>
      <c r="Z20" s="632">
        <f t="shared" si="6"/>
        <v>0.78800006712416137</v>
      </c>
      <c r="AA20" s="629">
        <f t="shared" si="7"/>
        <v>-0.61567515315489263</v>
      </c>
      <c r="AB20" s="629">
        <f t="shared" si="8"/>
        <v>-1.3008419229319738E-7</v>
      </c>
      <c r="AC20" s="636">
        <f>IF(M20="","",SQRT(Z20^2+AA20^2+AB20^2))</f>
        <v>1</v>
      </c>
      <c r="AD20" s="637">
        <f>IF(M20="","",Z20*(1/SQRT(Z20^2+AA20^2+AB20^2)))</f>
        <v>0.78800006712416137</v>
      </c>
      <c r="AE20" s="629">
        <f>IF(M20="","",AA20*(1/SQRT(Z20^2+AA20^2+AB20^2)))</f>
        <v>-0.61567515315489263</v>
      </c>
      <c r="AF20" s="633">
        <f>IF(M20="","",AB20*(1/SQRT(Z20^2+AA20^2+AB20^2)))</f>
        <v>-1.3008419229319738E-7</v>
      </c>
      <c r="AG20" s="602">
        <f>IF(M20="","",DEGREES(ATAN2(-AF20,AE20)))</f>
        <v>-89.999987894143274</v>
      </c>
      <c r="AH20" s="603">
        <f>IF(M20="","",DEGREES(ACOS(AD20)))</f>
        <v>38.000994513335151</v>
      </c>
      <c r="AI20" s="585">
        <f>IF(M20="","",DEGREES(-ACOS(-AF20)))</f>
        <v>-89.999992546724798</v>
      </c>
      <c r="AJ20" s="586">
        <f>IF(M20="","",DEGREES(ATAN2(-AE20,AD20)))</f>
        <v>51.99900548666546</v>
      </c>
      <c r="AK20" s="635">
        <f>IF(M20="","",(COS(RADIANS((90-$Q$8)-W20))*AD20)+(-SIN(RADIANS((90-$Q$8)-W20))*AE20))</f>
        <v>0.81915209487729168</v>
      </c>
      <c r="AL20" s="629">
        <f>IF(M20="","",(SIN(RADIANS((90-$Q$8)-W20))*AD20)+(COS(RADIANS((90-$Q$8)-W20))*AE20))</f>
        <v>-0.57357636410344526</v>
      </c>
      <c r="AM20" s="634">
        <f>IF(M20="","",AF20)</f>
        <v>-1.3008419229319738E-7</v>
      </c>
      <c r="AN20" s="581">
        <f>IF(M20="","",DEGREES(ATAN2(-AM20,AL20)))</f>
        <v>-89.999987005609611</v>
      </c>
      <c r="AO20" s="582">
        <f t="shared" si="94"/>
        <v>34.999994946625982</v>
      </c>
      <c r="AP20" s="585">
        <f>IF(M20="","",DEGREES(ATAN2(AK20,AL20)))</f>
        <v>-34.999994946625307</v>
      </c>
      <c r="AQ20" s="586">
        <f t="shared" si="9"/>
        <v>0.3473657318635433</v>
      </c>
      <c r="AS20" s="52">
        <f t="shared" si="116"/>
        <v>-3.0009995667092539</v>
      </c>
      <c r="AT20" s="72">
        <f t="shared" si="10"/>
        <v>-3.7104271694568882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1.1339999999999999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0.3435857857631528</v>
      </c>
      <c r="C21" s="708">
        <v>6.5538196839179914</v>
      </c>
      <c r="D21" s="709">
        <v>-4.5083135970738093</v>
      </c>
      <c r="E21" s="710">
        <v>-0.78800006712416126</v>
      </c>
      <c r="F21" s="708">
        <v>0.61567515315489263</v>
      </c>
      <c r="G21" s="711">
        <v>1.3008419229319743E-7</v>
      </c>
      <c r="H21" s="710">
        <v>0.26600000000000001</v>
      </c>
      <c r="I21" s="708">
        <v>0.52</v>
      </c>
      <c r="J21" s="570">
        <v>1.137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1.137</v>
      </c>
      <c r="N21" s="632">
        <f t="shared" si="2"/>
        <v>0.3435857857631528</v>
      </c>
      <c r="O21" s="629">
        <f t="shared" si="3"/>
        <v>6.5538196839179914</v>
      </c>
      <c r="P21" s="633">
        <f t="shared" si="4"/>
        <v>-4.5083135970738093</v>
      </c>
      <c r="Q21" s="585">
        <f t="shared" si="113"/>
        <v>86.999000433290732</v>
      </c>
      <c r="R21" s="629">
        <f>IF(M21="","",SQRT(N21^2+O21^2))</f>
        <v>6.5628197934644987</v>
      </c>
      <c r="S21" s="634">
        <f>IF(M21="","",P21)</f>
        <v>-4.5083135970738093</v>
      </c>
      <c r="T21" s="635">
        <f>IF(M21="","",X21*COS(RADIANS(W21)))</f>
        <v>6.5538196839179923</v>
      </c>
      <c r="U21" s="629">
        <f>IF(M21="","",X21*SIN(RADIANS(W21)))</f>
        <v>-0.34358578576314863</v>
      </c>
      <c r="V21" s="636">
        <f>IF(M21="","",Y21)</f>
        <v>-4.5083135970738093</v>
      </c>
      <c r="W21" s="585">
        <f t="shared" si="224"/>
        <v>356.99900043329075</v>
      </c>
      <c r="X21" s="629">
        <f>IF(M21="","",R21)</f>
        <v>6.5628197934644987</v>
      </c>
      <c r="Y21" s="630">
        <f t="shared" si="223"/>
        <v>-4.5083135970738093</v>
      </c>
      <c r="Z21" s="632">
        <f t="shared" si="6"/>
        <v>0.78800006712416126</v>
      </c>
      <c r="AA21" s="629">
        <f t="shared" si="7"/>
        <v>-0.61567515315489263</v>
      </c>
      <c r="AB21" s="629">
        <f t="shared" si="8"/>
        <v>-1.3008419229319743E-7</v>
      </c>
      <c r="AC21" s="636">
        <f>IF(M21="","",SQRT(Z21^2+AA21^2+AB21^2))</f>
        <v>1</v>
      </c>
      <c r="AD21" s="637">
        <f>IF(M21="","",Z21*(1/SQRT(Z21^2+AA21^2+AB21^2)))</f>
        <v>0.78800006712416126</v>
      </c>
      <c r="AE21" s="629">
        <f>IF(M21="","",AA21*(1/SQRT(Z21^2+AA21^2+AB21^2)))</f>
        <v>-0.61567515315489263</v>
      </c>
      <c r="AF21" s="633">
        <f>IF(M21="","",AB21*(1/SQRT(Z21^2+AA21^2+AB21^2)))</f>
        <v>-1.3008419229319743E-7</v>
      </c>
      <c r="AG21" s="602">
        <f>IF(M21="","",DEGREES(ATAN2(-AF21,AE21)))</f>
        <v>-89.999987894143274</v>
      </c>
      <c r="AH21" s="603">
        <f>IF(M21="","",DEGREES(ACOS(AD21)))</f>
        <v>38.000994513335165</v>
      </c>
      <c r="AI21" s="585">
        <f>IF(M21="","",DEGREES(-ACOS(-AF21)))</f>
        <v>-89.999992546724798</v>
      </c>
      <c r="AJ21" s="586">
        <f>IF(M21="","",DEGREES(ATAN2(-AE21,AD21)))</f>
        <v>51.999005486665453</v>
      </c>
      <c r="AK21" s="635">
        <f>IF(M21="","",(COS(RADIANS((90-$Q$8)-W21))*AD21)+(-SIN(RADIANS((90-$Q$8)-W21))*AE21))</f>
        <v>0.81915209487729157</v>
      </c>
      <c r="AL21" s="629">
        <f>IF(M21="","",(SIN(RADIANS((90-$Q$8)-W21))*AD21)+(COS(RADIANS((90-$Q$8)-W21))*AE21))</f>
        <v>-0.57357636410344526</v>
      </c>
      <c r="AM21" s="634">
        <f>IF(M21="","",AF21)</f>
        <v>-1.3008419229319743E-7</v>
      </c>
      <c r="AN21" s="581">
        <f>IF(M21="","",DEGREES(ATAN2(-AM21,AL21)))</f>
        <v>-89.999987005609611</v>
      </c>
      <c r="AO21" s="582">
        <f>IF(ROUND(IF(M21="",0,DEGREES(ACOS(AK21))),4)=90,0,IF(M21="","",DEGREES(ACOS(AK21))))</f>
        <v>34.999994946625989</v>
      </c>
      <c r="AP21" s="585">
        <f>IF(M21="","",DEGREES(ATAN2(AK21,AL21)))</f>
        <v>-34.999994946625314</v>
      </c>
      <c r="AQ21" s="586">
        <f t="shared" si="9"/>
        <v>0.3473657318635433</v>
      </c>
      <c r="AS21" s="52">
        <f t="shared" si="116"/>
        <v>-3.0009995667092539</v>
      </c>
      <c r="AT21" s="72">
        <f t="shared" si="10"/>
        <v>-4.5062295695969281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1.137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1313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0.89738381012751378</v>
      </c>
      <c r="C22" s="708">
        <v>1.6110233551069861</v>
      </c>
      <c r="D22" s="709">
        <v>-0.42730016508560331</v>
      </c>
      <c r="E22" s="710">
        <v>-0.12594800942305751</v>
      </c>
      <c r="F22" s="708">
        <v>-0.22610700592999025</v>
      </c>
      <c r="G22" s="711">
        <v>0.96592583607218263</v>
      </c>
      <c r="H22" s="710">
        <v>0.25700000000000001</v>
      </c>
      <c r="I22" s="708">
        <v>0.41499999999999992</v>
      </c>
      <c r="J22" s="570">
        <v>1.2070000000000001</v>
      </c>
      <c r="K22" s="865" t="str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CPS-32193r1</v>
      </c>
      <c r="L22" s="1313">
        <f>IF($L21=$JH$22,$JH$30,IF($L21=$JI$22,$JI$30,""))</f>
        <v>0</v>
      </c>
      <c r="M22" s="168">
        <f t="shared" si="1"/>
        <v>1.2070000000000001</v>
      </c>
      <c r="N22" s="632">
        <f t="shared" si="2"/>
        <v>0.89738381012751378</v>
      </c>
      <c r="O22" s="629">
        <f t="shared" si="3"/>
        <v>1.6110233551069861</v>
      </c>
      <c r="P22" s="633">
        <f t="shared" si="4"/>
        <v>-0.42730016508560331</v>
      </c>
      <c r="Q22" s="585">
        <f t="shared" si="113"/>
        <v>60.881004204262823</v>
      </c>
      <c r="R22" s="629">
        <f t="shared" si="79"/>
        <v>1.8440970563880699</v>
      </c>
      <c r="S22" s="634">
        <f t="shared" si="80"/>
        <v>-0.42730016508560331</v>
      </c>
      <c r="T22" s="635">
        <f t="shared" si="81"/>
        <v>1.6110233551069861</v>
      </c>
      <c r="U22" s="629">
        <f t="shared" si="82"/>
        <v>-0.89738381012751389</v>
      </c>
      <c r="V22" s="636">
        <f t="shared" si="114"/>
        <v>-0.42730016508560331</v>
      </c>
      <c r="W22" s="585">
        <f t="shared" si="224"/>
        <v>330.88100420426281</v>
      </c>
      <c r="X22" s="629">
        <f t="shared" si="83"/>
        <v>1.8440970563880699</v>
      </c>
      <c r="Y22" s="630">
        <f t="shared" si="223"/>
        <v>-0.42730016508560331</v>
      </c>
      <c r="Z22" s="632">
        <f t="shared" si="6"/>
        <v>0.12594800942305751</v>
      </c>
      <c r="AA22" s="629">
        <f t="shared" si="7"/>
        <v>0.22610700592999025</v>
      </c>
      <c r="AB22" s="629">
        <f t="shared" si="8"/>
        <v>-0.96592583607218263</v>
      </c>
      <c r="AC22" s="636">
        <f t="shared" si="84"/>
        <v>1</v>
      </c>
      <c r="AD22" s="637">
        <f t="shared" si="115"/>
        <v>0.12594800942305751</v>
      </c>
      <c r="AE22" s="629">
        <f t="shared" si="85"/>
        <v>0.22610700592999025</v>
      </c>
      <c r="AF22" s="633">
        <f t="shared" si="86"/>
        <v>-0.96592583607218263</v>
      </c>
      <c r="AG22" s="602">
        <f t="shared" si="87"/>
        <v>13.174761085022064</v>
      </c>
      <c r="AH22" s="603">
        <f t="shared" si="88"/>
        <v>82.764494586094088</v>
      </c>
      <c r="AI22" s="585">
        <f t="shared" si="89"/>
        <v>-14.999997834273739</v>
      </c>
      <c r="AJ22" s="586">
        <f t="shared" si="90"/>
        <v>150.88095399778663</v>
      </c>
      <c r="AK22" s="635">
        <f t="shared" si="211"/>
        <v>2.267948966822031E-7</v>
      </c>
      <c r="AL22" s="629">
        <f t="shared" si="91"/>
        <v>0.25881900859133938</v>
      </c>
      <c r="AM22" s="634">
        <f t="shared" si="92"/>
        <v>-0.96592583607218263</v>
      </c>
      <c r="AN22" s="581">
        <f t="shared" si="93"/>
        <v>14.999997834268271</v>
      </c>
      <c r="AO22" s="582">
        <f t="shared" si="94"/>
        <v>0</v>
      </c>
      <c r="AP22" s="585">
        <f t="shared" si="95"/>
        <v>89.999949793523797</v>
      </c>
      <c r="AQ22" s="586">
        <f t="shared" si="9"/>
        <v>1.2360374191466661</v>
      </c>
      <c r="AS22" s="52">
        <f t="shared" si="116"/>
        <v>-29.118995795737192</v>
      </c>
      <c r="AT22" s="72">
        <f t="shared" si="10"/>
        <v>-0.40707864022745249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Nose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1.2070000000000001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1.107</v>
      </c>
      <c r="II22" s="734" cm="1">
        <f t="array" ref="II22">IFERROR(ROUND(VALUE(IF($IH22&lt;1,$IH22+LARGE((IF($M$9:$M$150="",0,$M$9:$M$150)-MOD(IF($M$9:$M$150="",0,$M$9:$M$150),1)),1),$IH22)),4),"")</f>
        <v>1.107</v>
      </c>
      <c r="IJ22" s="533">
        <f t="shared" si="112"/>
        <v>1613</v>
      </c>
      <c r="IK22" s="533" t="str">
        <f t="shared" si="66"/>
        <v>CPS-32193r1</v>
      </c>
      <c r="IL22" s="727">
        <f t="shared" si="225"/>
        <v>29.118995795737192</v>
      </c>
      <c r="IM22" s="759">
        <v>5.5372154150101202E-2</v>
      </c>
      <c r="IN22" s="5">
        <f t="shared" si="226"/>
        <v>1.02</v>
      </c>
      <c r="IO22" s="771">
        <v>510</v>
      </c>
      <c r="IP22" s="9">
        <f t="shared" si="227"/>
        <v>-1.85570559680808</v>
      </c>
      <c r="IQ22" s="5">
        <f t="shared" si="228"/>
        <v>-0.38810117051313026</v>
      </c>
      <c r="IR22" s="5">
        <f t="shared" si="71"/>
        <v>0.314</v>
      </c>
      <c r="IS22" s="5">
        <f t="shared" si="229"/>
        <v>0.30330071252667312</v>
      </c>
      <c r="IT22" s="727">
        <f t="shared" si="230"/>
        <v>-14.999997834268271</v>
      </c>
      <c r="IU22" s="9">
        <f t="shared" si="231"/>
        <v>-1.8440970563880699</v>
      </c>
      <c r="IV22" s="5">
        <f t="shared" si="232"/>
        <v>-0.42730016508560331</v>
      </c>
      <c r="IW22" s="5">
        <f t="shared" si="76"/>
        <v>0.25700000000000001</v>
      </c>
      <c r="IX22" s="5">
        <f t="shared" si="233"/>
        <v>0.25700000000000001</v>
      </c>
      <c r="IY22" s="762">
        <f t="shared" si="234"/>
        <v>-14.999997834268271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0.96720407310729506</v>
      </c>
      <c r="C23" s="708">
        <v>2.4151263760172332</v>
      </c>
      <c r="D23" s="709">
        <v>-0.22241526381940768</v>
      </c>
      <c r="E23" s="710">
        <v>-9.6222098114389393E-2</v>
      </c>
      <c r="F23" s="708">
        <v>-0.24026774032882581</v>
      </c>
      <c r="G23" s="711">
        <v>0.96592583607218252</v>
      </c>
      <c r="H23" s="710">
        <v>0.25700000000000001</v>
      </c>
      <c r="I23" s="708">
        <v>0.41499999999999992</v>
      </c>
      <c r="J23" s="570">
        <v>1.21</v>
      </c>
      <c r="K23" s="865" t="str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CPS-32193r1</v>
      </c>
      <c r="M23" s="168">
        <f t="shared" si="1"/>
        <v>1.21</v>
      </c>
      <c r="N23" s="632">
        <f t="shared" si="2"/>
        <v>0.96720407310729506</v>
      </c>
      <c r="O23" s="629">
        <f t="shared" si="3"/>
        <v>2.4151263760172332</v>
      </c>
      <c r="P23" s="633">
        <f t="shared" si="4"/>
        <v>-0.22241526381940768</v>
      </c>
      <c r="Q23" s="585">
        <f t="shared" si="113"/>
        <v>68.175003151139677</v>
      </c>
      <c r="R23" s="629">
        <f t="shared" si="79"/>
        <v>2.6015993410149605</v>
      </c>
      <c r="S23" s="634">
        <f t="shared" si="80"/>
        <v>-0.22241526381940768</v>
      </c>
      <c r="T23" s="635">
        <f t="shared" si="81"/>
        <v>2.4151263760172328</v>
      </c>
      <c r="U23" s="629">
        <f t="shared" si="82"/>
        <v>-0.96720407310729661</v>
      </c>
      <c r="V23" s="636">
        <f t="shared" si="114"/>
        <v>-0.22241526381940768</v>
      </c>
      <c r="W23" s="585">
        <f t="shared" si="224"/>
        <v>338.17500315113966</v>
      </c>
      <c r="X23" s="629">
        <f t="shared" si="83"/>
        <v>2.6015993410149605</v>
      </c>
      <c r="Y23" s="630">
        <f t="shared" si="223"/>
        <v>-0.22241526381940768</v>
      </c>
      <c r="Z23" s="632">
        <f t="shared" si="6"/>
        <v>9.6222098114389393E-2</v>
      </c>
      <c r="AA23" s="629">
        <f t="shared" si="7"/>
        <v>0.24026774032882581</v>
      </c>
      <c r="AB23" s="629">
        <f t="shared" si="8"/>
        <v>-0.96592583607218252</v>
      </c>
      <c r="AC23" s="636">
        <f t="shared" si="84"/>
        <v>1</v>
      </c>
      <c r="AD23" s="637">
        <f t="shared" si="115"/>
        <v>9.6222098114389393E-2</v>
      </c>
      <c r="AE23" s="629">
        <f t="shared" si="85"/>
        <v>0.24026774032882581</v>
      </c>
      <c r="AF23" s="633">
        <f t="shared" si="86"/>
        <v>-0.96592583607218252</v>
      </c>
      <c r="AG23" s="602">
        <f t="shared" si="87"/>
        <v>13.9684643100955</v>
      </c>
      <c r="AH23" s="603">
        <f t="shared" si="88"/>
        <v>84.478336859981681</v>
      </c>
      <c r="AI23" s="585">
        <f t="shared" si="89"/>
        <v>-14.999997834273763</v>
      </c>
      <c r="AJ23" s="586">
        <f t="shared" si="90"/>
        <v>158.17495294466349</v>
      </c>
      <c r="AK23" s="635">
        <f t="shared" si="211"/>
        <v>2.2679489650179185E-7</v>
      </c>
      <c r="AL23" s="629">
        <f t="shared" si="91"/>
        <v>0.25881900859133938</v>
      </c>
      <c r="AM23" s="634">
        <f t="shared" si="92"/>
        <v>-0.96592583607218252</v>
      </c>
      <c r="AN23" s="581">
        <f t="shared" si="93"/>
        <v>14.999997834268274</v>
      </c>
      <c r="AO23" s="582">
        <f t="shared" si="94"/>
        <v>0</v>
      </c>
      <c r="AP23" s="585">
        <f t="shared" si="95"/>
        <v>89.99994979352384</v>
      </c>
      <c r="AQ23" s="586">
        <f t="shared" si="9"/>
        <v>0.87621059649415001</v>
      </c>
      <c r="AS23" s="52">
        <f t="shared" si="116"/>
        <v>-21.824996848860337</v>
      </c>
      <c r="AT23" s="72">
        <f t="shared" si="10"/>
        <v>-0.20725901600769911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1.21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1.1100000000000001</v>
      </c>
      <c r="II23" s="734" cm="1">
        <f t="array" ref="II23">IFERROR(ROUND(VALUE(IF($IH23&lt;1,$IH23+LARGE((IF($M$9:$M$150="",0,$M$9:$M$150)-MOD(IF($M$9:$M$150="",0,$M$9:$M$150),1)),1),$IH23)),4),"")</f>
        <v>1.1100000000000001</v>
      </c>
      <c r="IJ23" s="533">
        <f t="shared" si="112"/>
        <v>1613</v>
      </c>
      <c r="IK23" s="533" t="str">
        <f t="shared" si="66"/>
        <v>CPS-32193r1</v>
      </c>
      <c r="IL23" s="727">
        <f t="shared" si="225"/>
        <v>21.824996848860337</v>
      </c>
      <c r="IM23" s="759">
        <v>5.4681544487346703E-2</v>
      </c>
      <c r="IN23" s="5">
        <f t="shared" si="226"/>
        <v>1.34</v>
      </c>
      <c r="IO23" s="771">
        <v>670</v>
      </c>
      <c r="IP23" s="9">
        <f t="shared" si="227"/>
        <v>-2.6132078814349704</v>
      </c>
      <c r="IQ23" s="5">
        <f t="shared" si="228"/>
        <v>-0.18510055826328373</v>
      </c>
      <c r="IR23" s="5">
        <f t="shared" si="71"/>
        <v>0.314</v>
      </c>
      <c r="IS23" s="5">
        <f t="shared" si="229"/>
        <v>0.30330071252667312</v>
      </c>
      <c r="IT23" s="727">
        <f t="shared" si="230"/>
        <v>-14.999997834268262</v>
      </c>
      <c r="IU23" s="9">
        <f t="shared" si="231"/>
        <v>-2.6015993410149605</v>
      </c>
      <c r="IV23" s="5">
        <f t="shared" si="232"/>
        <v>-0.22241526381940768</v>
      </c>
      <c r="IW23" s="5">
        <f t="shared" si="76"/>
        <v>0.25700000000000001</v>
      </c>
      <c r="IX23" s="5">
        <f t="shared" si="233"/>
        <v>0.25700000000000001</v>
      </c>
      <c r="IY23" s="762">
        <f t="shared" si="234"/>
        <v>-14.999997834268274</v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18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8</v>
      </c>
      <c r="JG23" s="801">
        <v>10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670</v>
      </c>
      <c r="JI23" s="801">
        <v>730</v>
      </c>
    </row>
    <row r="24" spans="1:269" ht="15" customHeight="1" x14ac:dyDescent="0.25">
      <c r="A24" s="79"/>
      <c r="B24" s="707">
        <v>1.0450747288895106</v>
      </c>
      <c r="C24" s="708">
        <v>3.2219577677605598</v>
      </c>
      <c r="D24" s="709">
        <v>-9.3690970189965611E-2</v>
      </c>
      <c r="E24" s="710">
        <v>-2.1573021234708103E-7</v>
      </c>
      <c r="F24" s="708">
        <v>6.9974285698164554E-8</v>
      </c>
      <c r="G24" s="711">
        <v>0.99999999999997435</v>
      </c>
      <c r="H24" s="710">
        <v>0.25700000000000001</v>
      </c>
      <c r="I24" s="708">
        <v>0.41499999999999992</v>
      </c>
      <c r="J24" s="570">
        <v>1.2130000000000001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1.2130000000000001</v>
      </c>
      <c r="N24" s="632">
        <f t="shared" si="2"/>
        <v>1.0450747288895106</v>
      </c>
      <c r="O24" s="629">
        <f t="shared" si="3"/>
        <v>3.2219577677605598</v>
      </c>
      <c r="P24" s="633">
        <f t="shared" si="4"/>
        <v>-9.3690970189965611E-2</v>
      </c>
      <c r="Q24" s="585">
        <f t="shared" si="113"/>
        <v>72.029002594691008</v>
      </c>
      <c r="R24" s="629">
        <f t="shared" si="79"/>
        <v>3.3872102158260113</v>
      </c>
      <c r="S24" s="634">
        <f t="shared" si="80"/>
        <v>-9.3690970189965611E-2</v>
      </c>
      <c r="T24" s="635">
        <f t="shared" si="81"/>
        <v>3.2219577677605602</v>
      </c>
      <c r="U24" s="629">
        <f t="shared" si="82"/>
        <v>-1.0450747288895099</v>
      </c>
      <c r="V24" s="636">
        <f t="shared" si="114"/>
        <v>-9.3690970189965611E-2</v>
      </c>
      <c r="W24" s="585">
        <f t="shared" si="224"/>
        <v>342.02900259469101</v>
      </c>
      <c r="X24" s="629">
        <f t="shared" si="83"/>
        <v>3.3872102158260113</v>
      </c>
      <c r="Y24" s="630">
        <f t="shared" si="223"/>
        <v>-9.3690970189965611E-2</v>
      </c>
      <c r="Z24" s="632">
        <f t="shared" si="6"/>
        <v>2.1573021234708103E-7</v>
      </c>
      <c r="AA24" s="629">
        <f t="shared" si="7"/>
        <v>-6.9974285698164554E-8</v>
      </c>
      <c r="AB24" s="629">
        <f t="shared" si="8"/>
        <v>-0.99999999999997435</v>
      </c>
      <c r="AC24" s="636">
        <f t="shared" si="84"/>
        <v>1</v>
      </c>
      <c r="AD24" s="637">
        <f t="shared" si="115"/>
        <v>2.1573021234708103E-7</v>
      </c>
      <c r="AE24" s="629">
        <f t="shared" si="85"/>
        <v>-6.9974285698164554E-8</v>
      </c>
      <c r="AF24" s="633">
        <f t="shared" si="86"/>
        <v>-0.99999999999997435</v>
      </c>
      <c r="AG24" s="602">
        <f t="shared" si="87"/>
        <v>-4.0092312449475621E-6</v>
      </c>
      <c r="AH24" s="603">
        <f t="shared" si="88"/>
        <v>89.999987639569312</v>
      </c>
      <c r="AI24" s="585">
        <f t="shared" si="89"/>
        <v>-1.2976235990044085E-5</v>
      </c>
      <c r="AJ24" s="586">
        <f t="shared" si="90"/>
        <v>72.029002582250669</v>
      </c>
      <c r="AK24" s="635">
        <f>IF(M24="","",(COS(RADIANS((90-$Q$8)-W24))*AD24)+(-SIN(RADIANS((90-$Q$8)-W24))*AE24))</f>
        <v>2.2679489672010928E-7</v>
      </c>
      <c r="AL24" s="629">
        <f t="shared" si="91"/>
        <v>-4.9242855958669788E-17</v>
      </c>
      <c r="AM24" s="634">
        <f t="shared" si="92"/>
        <v>-0.99999999999997435</v>
      </c>
      <c r="AN24" s="581">
        <f t="shared" si="93"/>
        <v>-2.8214078176024886E-15</v>
      </c>
      <c r="AO24" s="582">
        <f t="shared" si="94"/>
        <v>0</v>
      </c>
      <c r="AP24" s="585">
        <f t="shared" si="95"/>
        <v>-1.2440349665735004E-8</v>
      </c>
      <c r="AQ24" s="586">
        <f t="shared" si="9"/>
        <v>0.67300865265617327</v>
      </c>
      <c r="AS24" s="52">
        <f t="shared" si="116"/>
        <v>-17.970997405308992</v>
      </c>
      <c r="AT24" s="72">
        <f t="shared" si="10"/>
        <v>-8.1211110880723247E-2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Nose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1.2130000000000001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1.113</v>
      </c>
      <c r="II24" s="734" cm="1">
        <f t="array" ref="II24">IFERROR(ROUND(VALUE(IF($IH24&lt;1,$IH24+LARGE((IF($M$9:$M$150="",0,$M$9:$M$150)-MOD(IF($M$9:$M$150="",0,$M$9:$M$150),1)),1),$IH24)),4),"")</f>
        <v>1.113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17.970997405308992</v>
      </c>
      <c r="IM24" s="759">
        <v>7.2708649526775804E-2</v>
      </c>
      <c r="IN24" s="5">
        <f t="shared" si="226"/>
        <v>1.6</v>
      </c>
      <c r="IO24" s="771">
        <v>800</v>
      </c>
      <c r="IP24" s="9">
        <f t="shared" si="227"/>
        <v>-3.3872102158260109</v>
      </c>
      <c r="IQ24" s="5">
        <f t="shared" si="228"/>
        <v>-5.8900177642935779E-2</v>
      </c>
      <c r="IR24" s="5">
        <f t="shared" si="71"/>
        <v>0.314</v>
      </c>
      <c r="IS24" s="5">
        <f t="shared" si="229"/>
        <v>0.30330071252667312</v>
      </c>
      <c r="IT24" s="727">
        <f t="shared" si="230"/>
        <v>0</v>
      </c>
      <c r="IU24" s="9">
        <f t="shared" si="231"/>
        <v>-3.3872102158260113</v>
      </c>
      <c r="IV24" s="5">
        <f t="shared" si="232"/>
        <v>-9.3690970189965611E-2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2.8214078176024886E-15</v>
      </c>
      <c r="JA24" s="798" t="str">
        <v>CPS-32193r1</v>
      </c>
      <c r="JB24" s="856" cm="1">
        <f t="array" ref="JB24">IF($JA24="","",COUNT(IF(IF($II$9:$II$150&lt;&gt;"",$IK$9:$IK$150,"")=$JA24,$IG$9:$IG$150,"")))</f>
        <v>24</v>
      </c>
      <c r="JC24" s="5"/>
      <c r="JD24" s="5"/>
      <c r="JE24" s="10"/>
      <c r="JF24" s="247">
        <v>12</v>
      </c>
      <c r="JG24" s="803">
        <v>10</v>
      </c>
      <c r="JH24" s="787">
        <v>510</v>
      </c>
      <c r="JI24" s="803">
        <v>0</v>
      </c>
    </row>
    <row r="25" spans="1:269" ht="15" customHeight="1" x14ac:dyDescent="0.25">
      <c r="A25" s="79"/>
      <c r="B25" s="707">
        <v>1.0385464513400955</v>
      </c>
      <c r="C25" s="708">
        <v>4.0460446215466837</v>
      </c>
      <c r="D25" s="709">
        <v>-0.1370934195059762</v>
      </c>
      <c r="E25" s="710">
        <v>-0.88220231173363728</v>
      </c>
      <c r="F25" s="708">
        <v>0.3382553700292944</v>
      </c>
      <c r="G25" s="711">
        <v>0.32757042879077397</v>
      </c>
      <c r="H25" s="710">
        <v>0.26600000000000001</v>
      </c>
      <c r="I25" s="708">
        <v>0.52</v>
      </c>
      <c r="J25" s="570">
        <v>1.216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1.216</v>
      </c>
      <c r="N25" s="632">
        <f t="shared" si="2"/>
        <v>1.0385464513400955</v>
      </c>
      <c r="O25" s="629">
        <f t="shared" si="3"/>
        <v>4.0460446215466837</v>
      </c>
      <c r="P25" s="633">
        <f t="shared" si="4"/>
        <v>-0.1370934195059762</v>
      </c>
      <c r="Q25" s="585">
        <f t="shared" si="113"/>
        <v>75.604002078524928</v>
      </c>
      <c r="R25" s="629">
        <f>IF(M25="","",SQRT(N25^2+O25^2))</f>
        <v>4.1772066995945929</v>
      </c>
      <c r="S25" s="634">
        <f>IF(M25="","",P25)</f>
        <v>-0.1370934195059762</v>
      </c>
      <c r="T25" s="635">
        <f>IF(M25="","",X25*COS(RADIANS(W25)))</f>
        <v>4.0460446215466828</v>
      </c>
      <c r="U25" s="629">
        <f>IF(M25="","",X25*SIN(RADIANS(W25)))</f>
        <v>-1.0385464513400975</v>
      </c>
      <c r="V25" s="636">
        <f>IF(M25="","",Y25)</f>
        <v>-0.1370934195059762</v>
      </c>
      <c r="W25" s="585">
        <f t="shared" si="224"/>
        <v>345.6040020785249</v>
      </c>
      <c r="X25" s="629">
        <f>IF(M25="","",R25)</f>
        <v>4.1772066995945929</v>
      </c>
      <c r="Y25" s="630">
        <f t="shared" si="223"/>
        <v>-0.1370934195059762</v>
      </c>
      <c r="Z25" s="632">
        <f t="shared" si="6"/>
        <v>0.88220231173363728</v>
      </c>
      <c r="AA25" s="629">
        <f t="shared" si="7"/>
        <v>-0.3382553700292944</v>
      </c>
      <c r="AB25" s="629">
        <f t="shared" si="8"/>
        <v>-0.32757042879077397</v>
      </c>
      <c r="AC25" s="636">
        <f>IF(M25="","",SQRT(Z25^2+AA25^2+AB25^2))</f>
        <v>1</v>
      </c>
      <c r="AD25" s="637">
        <f>IF(M25="","",Z25*(1/SQRT(Z25^2+AA25^2+AB25^2)))</f>
        <v>0.88220231173363728</v>
      </c>
      <c r="AE25" s="629">
        <f>IF(M25="","",AA25*(1/SQRT(Z25^2+AA25^2+AB25^2)))</f>
        <v>-0.3382553700292944</v>
      </c>
      <c r="AF25" s="633">
        <f>IF(M25="","",AB25*(1/SQRT(Z25^2+AA25^2+AB25^2)))</f>
        <v>-0.32757042879077397</v>
      </c>
      <c r="AG25" s="602">
        <f>IF(M25="","",DEGREES(ATAN2(-AF25,AE25)))</f>
        <v>-45.91938385930986</v>
      </c>
      <c r="AH25" s="603">
        <f>IF(M25="","",DEGREES(ACOS(AD25)))</f>
        <v>28.09082110266824</v>
      </c>
      <c r="AI25" s="585">
        <f>IF(M25="","",DEGREES(-ACOS(-AF25)))</f>
        <v>-70.878623420355567</v>
      </c>
      <c r="AJ25" s="586">
        <f>IF(M25="","",DEGREES(ATAN2(-AE25,AD25)))</f>
        <v>69.022100270749675</v>
      </c>
      <c r="AK25" s="635">
        <f>IF(M25="","",(COS(RADIANS((90-$Q$8)-W25))*AD25)+(-SIN(RADIANS((90-$Q$8)-W25))*AE25))</f>
        <v>0.93859943130827195</v>
      </c>
      <c r="AL25" s="629">
        <f>IF(M25="","",(SIN(RADIANS((90-$Q$8)-W25))*AD25)+(COS(RADIANS((90-$Q$8)-W25))*AE25))</f>
        <v>-0.10829922312563933</v>
      </c>
      <c r="AM25" s="634">
        <f>IF(M25="","",AF25)</f>
        <v>-0.32757042879077397</v>
      </c>
      <c r="AN25" s="581">
        <f>IF(M25="","",DEGREES(ATAN2(-AM25,AL25)))</f>
        <v>-18.294585804983999</v>
      </c>
      <c r="AO25" s="582">
        <f>IF(ROUND(IF(M25="",0,DEGREES(ACOS(AK25))),4)=90,0,IF(M25="","",DEGREES(ACOS(AK25))))</f>
        <v>20.182336090313179</v>
      </c>
      <c r="AP25" s="585">
        <f>IF(M25="","",DEGREES(ATAN2(AK25,AL25)))</f>
        <v>-6.5819018077752229</v>
      </c>
      <c r="AQ25" s="586">
        <f t="shared" si="9"/>
        <v>0.54573734400099472</v>
      </c>
      <c r="AS25" s="52">
        <f t="shared" si="116"/>
        <v>-14.3959979214751</v>
      </c>
      <c r="AT25" s="72">
        <f t="shared" si="10"/>
        <v>-0.12709619872717404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Nose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1.216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1.1160000000000001</v>
      </c>
      <c r="II25" s="734" cm="1">
        <f t="array" ref="II25">IFERROR(ROUND(VALUE(IF($IH25&lt;1,$IH25+LARGE((IF($M$9:$M$150="",0,$M$9:$M$150)-MOD(IF($M$9:$M$150="",0,$M$9:$M$150),1)),1),$IH25)),4),"")</f>
        <v>1.1160000000000001</v>
      </c>
      <c r="IJ25" s="533">
        <f t="shared" si="112"/>
        <v>1613</v>
      </c>
      <c r="IK25" s="533">
        <f t="shared" si="66"/>
        <v>1313</v>
      </c>
      <c r="IL25" s="727">
        <f t="shared" si="225"/>
        <v>14.104997963490291</v>
      </c>
      <c r="IM25" s="759">
        <v>3.9937249452391098E-2</v>
      </c>
      <c r="IN25" s="5">
        <f t="shared" si="226"/>
        <v>1.34</v>
      </c>
      <c r="IO25" s="771">
        <v>670</v>
      </c>
      <c r="IP25" s="9">
        <f t="shared" si="227"/>
        <v>-4.167712569821111</v>
      </c>
      <c r="IQ25" s="5">
        <f t="shared" si="228"/>
        <v>-0.13590040987563617</v>
      </c>
      <c r="IR25" s="5">
        <f t="shared" si="71"/>
        <v>0.314</v>
      </c>
      <c r="IS25" s="5">
        <f t="shared" si="229"/>
        <v>0.30294786270940216</v>
      </c>
      <c r="IT25" s="727">
        <f t="shared" si="230"/>
        <v>20.826134809408472</v>
      </c>
      <c r="IU25" s="9">
        <f t="shared" si="231"/>
        <v>-4.1772066995945929</v>
      </c>
      <c r="IV25" s="5">
        <f t="shared" si="232"/>
        <v>-0.1370934195059762</v>
      </c>
      <c r="IW25" s="5">
        <f t="shared" si="76"/>
        <v>0.26600000000000001</v>
      </c>
      <c r="IX25" s="5">
        <f t="shared" si="233"/>
        <v>0.24966744872800034</v>
      </c>
      <c r="IY25" s="762">
        <f t="shared" si="234"/>
        <v>18.294585804983999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1.1854725650188385</v>
      </c>
      <c r="C26" s="708">
        <v>4.7752594482617434</v>
      </c>
      <c r="D26" s="709">
        <v>-0.41594827464325818</v>
      </c>
      <c r="E26" s="710">
        <v>-0.86024157468398688</v>
      </c>
      <c r="F26" s="708">
        <v>0.42027396948792284</v>
      </c>
      <c r="G26" s="711">
        <v>0.28871131560103308</v>
      </c>
      <c r="H26" s="710">
        <v>0.26600000000000001</v>
      </c>
      <c r="I26" s="708">
        <v>0.52</v>
      </c>
      <c r="J26" s="570">
        <v>1.2190000000000001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1313</v>
      </c>
      <c r="L26" s="843"/>
      <c r="M26" s="168">
        <f t="shared" si="1"/>
        <v>1.2190000000000001</v>
      </c>
      <c r="N26" s="632">
        <f t="shared" si="2"/>
        <v>1.1854725650188385</v>
      </c>
      <c r="O26" s="629">
        <f t="shared" si="3"/>
        <v>4.7752594482617434</v>
      </c>
      <c r="P26" s="633">
        <f t="shared" si="4"/>
        <v>-0.41594827464325818</v>
      </c>
      <c r="Q26" s="585">
        <f t="shared" si="113"/>
        <v>76.05800201297545</v>
      </c>
      <c r="R26" s="629">
        <f>IF(M26="","",SQRT(N26^2+O26^2))</f>
        <v>4.9202081257427919</v>
      </c>
      <c r="S26" s="634">
        <f>IF(M26="","",P26)</f>
        <v>-0.41594827464325818</v>
      </c>
      <c r="T26" s="635">
        <f>IF(M26="","",X26*COS(RADIANS(W26)))</f>
        <v>4.7752594482617434</v>
      </c>
      <c r="U26" s="629">
        <f>IF(M26="","",X26*SIN(RADIANS(W26)))</f>
        <v>-1.1854725650188371</v>
      </c>
      <c r="V26" s="636">
        <f>IF(M26="","",Y26)</f>
        <v>-0.41594827464325818</v>
      </c>
      <c r="W26" s="585">
        <f t="shared" si="224"/>
        <v>346.05800201297546</v>
      </c>
      <c r="X26" s="629">
        <f>IF(M26="","",R26)</f>
        <v>4.9202081257427919</v>
      </c>
      <c r="Y26" s="630">
        <f t="shared" si="223"/>
        <v>-0.41594827464325818</v>
      </c>
      <c r="Z26" s="632">
        <f t="shared" si="6"/>
        <v>0.86024157468398688</v>
      </c>
      <c r="AA26" s="629">
        <f t="shared" si="7"/>
        <v>-0.42027396948792284</v>
      </c>
      <c r="AB26" s="629">
        <f t="shared" si="8"/>
        <v>-0.28871131560103308</v>
      </c>
      <c r="AC26" s="636">
        <f>IF(M26="","",SQRT(Z26^2+AA26^2+AB26^2))</f>
        <v>1</v>
      </c>
      <c r="AD26" s="637">
        <f>IF(M26="","",Z26*(1/SQRT(Z26^2+AA26^2+AB26^2)))</f>
        <v>0.86024157468398688</v>
      </c>
      <c r="AE26" s="629">
        <f>IF(M26="","",AA26*(1/SQRT(Z26^2+AA26^2+AB26^2)))</f>
        <v>-0.42027396948792284</v>
      </c>
      <c r="AF26" s="633">
        <f>IF(M26="","",AB26*(1/SQRT(Z26^2+AA26^2+AB26^2)))</f>
        <v>-0.28871131560103308</v>
      </c>
      <c r="AG26" s="602">
        <f>IF(M26="","",DEGREES(ATAN2(-AF26,AE26)))</f>
        <v>-55.512500154958069</v>
      </c>
      <c r="AH26" s="603">
        <f>IF(M26="","",DEGREES(ACOS(AD26)))</f>
        <v>30.656282290004267</v>
      </c>
      <c r="AI26" s="585">
        <f>IF(M26="","",DEGREES(-ACOS(-AF26)))</f>
        <v>-73.219179909021207</v>
      </c>
      <c r="AJ26" s="586">
        <f>IF(M26="","",DEGREES(ATAN2(-AE26,AD26)))</f>
        <v>63.962019535644181</v>
      </c>
      <c r="AK26" s="635">
        <f>IF(M26="","",(COS(RADIANS((90-$Q$8)-W26))*AD26)+(-SIN(RADIANS((90-$Q$8)-W26))*AE26))</f>
        <v>0.93615957906686997</v>
      </c>
      <c r="AL26" s="629">
        <f>IF(M26="","",(SIN(RADIANS((90-$Q$8)-W26))*AD26)+(COS(RADIANS((90-$Q$8)-W26))*AE26))</f>
        <v>-0.20062656545248844</v>
      </c>
      <c r="AM26" s="634">
        <f>IF(M26="","",AF26)</f>
        <v>-0.28871131560103308</v>
      </c>
      <c r="AN26" s="581">
        <f>IF(M26="","",DEGREES(ATAN2(-AM26,AL26)))</f>
        <v>-34.795580385962182</v>
      </c>
      <c r="AO26" s="582">
        <f t="shared" si="94"/>
        <v>20.583702241349751</v>
      </c>
      <c r="AP26" s="585">
        <f>IF(M26="","",DEGREES(ATAN2(AK26,AL26)))</f>
        <v>-12.09598247733129</v>
      </c>
      <c r="AQ26" s="586">
        <f t="shared" si="9"/>
        <v>0.4633293715215735</v>
      </c>
      <c r="AS26" s="52">
        <f t="shared" si="116"/>
        <v>-13.941997987024536</v>
      </c>
      <c r="AT26" s="72">
        <f t="shared" si="10"/>
        <v>-0.40626633159671338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Nose</v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1.2190000000000001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1.119</v>
      </c>
      <c r="II26" s="734" cm="1">
        <f t="array" ref="II26">IFERROR(ROUND(VALUE(IF($IH26&lt;1,$IH26+LARGE((IF($M$9:$M$150="",0,$M$9:$M$150)-MOD(IF($M$9:$M$150="",0,$M$9:$M$150),1)),1),$IH26)),4),"")</f>
        <v>1.119</v>
      </c>
      <c r="IJ26" s="533">
        <f t="shared" si="112"/>
        <v>1613</v>
      </c>
      <c r="IK26" s="533">
        <f t="shared" si="66"/>
        <v>1313</v>
      </c>
      <c r="IL26" s="727">
        <f t="shared" si="225"/>
        <v>13.024998119422946</v>
      </c>
      <c r="IM26" s="759">
        <v>2.9667743810249E-2</v>
      </c>
      <c r="IN26" s="5">
        <f t="shared" si="226"/>
        <v>1.44</v>
      </c>
      <c r="IO26" s="771">
        <v>720</v>
      </c>
      <c r="IP26" s="9">
        <f t="shared" si="227"/>
        <v>-4.9015147829685866</v>
      </c>
      <c r="IQ26" s="5">
        <f t="shared" si="228"/>
        <v>-0.41250124410375222</v>
      </c>
      <c r="IR26" s="5">
        <f t="shared" si="71"/>
        <v>0.314</v>
      </c>
      <c r="IS26" s="5">
        <f t="shared" si="229"/>
        <v>0.30216036167626259</v>
      </c>
      <c r="IT26" s="727">
        <f t="shared" si="230"/>
        <v>39.101924159478322</v>
      </c>
      <c r="IU26" s="9">
        <f t="shared" si="231"/>
        <v>-4.9202081257427919</v>
      </c>
      <c r="IV26" s="5">
        <f t="shared" si="232"/>
        <v>-0.41594827464325818</v>
      </c>
      <c r="IW26" s="5">
        <f t="shared" si="76"/>
        <v>0.26600000000000001</v>
      </c>
      <c r="IX26" s="5">
        <f t="shared" si="233"/>
        <v>0.24901844803178744</v>
      </c>
      <c r="IY26" s="762">
        <f t="shared" si="234"/>
        <v>34.795580385962182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1.3437228416883276</v>
      </c>
      <c r="C27" s="708">
        <v>5.4014255457158313</v>
      </c>
      <c r="D27" s="709">
        <v>-0.87704027665804052</v>
      </c>
      <c r="E27" s="710">
        <v>-0.82333017858911173</v>
      </c>
      <c r="F27" s="708">
        <v>0.50466945070254254</v>
      </c>
      <c r="G27" s="711">
        <v>0.25968473684838622</v>
      </c>
      <c r="H27" s="710">
        <v>0.26600000000000001</v>
      </c>
      <c r="I27" s="708">
        <v>0.52</v>
      </c>
      <c r="J27" s="570">
        <v>1.222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843"/>
      <c r="M27" s="168">
        <f t="shared" si="1"/>
        <v>1.222</v>
      </c>
      <c r="N27" s="632">
        <f t="shared" si="2"/>
        <v>1.3437228416883276</v>
      </c>
      <c r="O27" s="629">
        <f t="shared" si="3"/>
        <v>5.4014255457158313</v>
      </c>
      <c r="P27" s="633">
        <f t="shared" si="4"/>
        <v>-0.87704027665804052</v>
      </c>
      <c r="Q27" s="585">
        <f t="shared" si="113"/>
        <v>76.030002017018148</v>
      </c>
      <c r="R27" s="629">
        <f t="shared" si="79"/>
        <v>5.5660568629135039</v>
      </c>
      <c r="S27" s="634">
        <f t="shared" si="80"/>
        <v>-0.87704027665804052</v>
      </c>
      <c r="T27" s="635">
        <f t="shared" si="81"/>
        <v>5.4014255457158313</v>
      </c>
      <c r="U27" s="629">
        <f t="shared" si="82"/>
        <v>-1.3437228416883269</v>
      </c>
      <c r="V27" s="636">
        <f t="shared" si="114"/>
        <v>-0.87704027665804052</v>
      </c>
      <c r="W27" s="585">
        <f t="shared" si="224"/>
        <v>346.03000201701815</v>
      </c>
      <c r="X27" s="629">
        <f t="shared" si="83"/>
        <v>5.5660568629135039</v>
      </c>
      <c r="Y27" s="630">
        <f t="shared" si="223"/>
        <v>-0.87704027665804052</v>
      </c>
      <c r="Z27" s="632">
        <f t="shared" si="6"/>
        <v>0.82333017858911173</v>
      </c>
      <c r="AA27" s="629">
        <f t="shared" si="7"/>
        <v>-0.50466945070254254</v>
      </c>
      <c r="AB27" s="629">
        <f t="shared" si="8"/>
        <v>-0.25968473684838622</v>
      </c>
      <c r="AC27" s="636">
        <f t="shared" si="84"/>
        <v>1</v>
      </c>
      <c r="AD27" s="637">
        <f t="shared" si="115"/>
        <v>0.82333017858911173</v>
      </c>
      <c r="AE27" s="629">
        <f t="shared" si="85"/>
        <v>-0.50466945070254254</v>
      </c>
      <c r="AF27" s="633">
        <f t="shared" si="86"/>
        <v>-0.25968473684838622</v>
      </c>
      <c r="AG27" s="602">
        <f t="shared" si="87"/>
        <v>-62.771279855542517</v>
      </c>
      <c r="AH27" s="603">
        <f t="shared" si="88"/>
        <v>34.580439607133748</v>
      </c>
      <c r="AI27" s="585">
        <f t="shared" si="89"/>
        <v>-74.94864362691861</v>
      </c>
      <c r="AJ27" s="586">
        <f t="shared" si="90"/>
        <v>58.493318900618817</v>
      </c>
      <c r="AK27" s="635">
        <f t="shared" si="211"/>
        <v>0.92081210340322017</v>
      </c>
      <c r="AL27" s="629">
        <f t="shared" si="91"/>
        <v>-0.2909792220659782</v>
      </c>
      <c r="AM27" s="634">
        <f t="shared" si="92"/>
        <v>-0.25968473684838622</v>
      </c>
      <c r="AN27" s="581">
        <f t="shared" si="93"/>
        <v>-48.252646733573314</v>
      </c>
      <c r="AO27" s="582">
        <f t="shared" si="94"/>
        <v>22.954903865578398</v>
      </c>
      <c r="AP27" s="585">
        <f t="shared" si="95"/>
        <v>-17.536683116399338</v>
      </c>
      <c r="AQ27" s="586">
        <f t="shared" si="9"/>
        <v>0.4095696212918995</v>
      </c>
      <c r="AS27" s="52">
        <f t="shared" si="116"/>
        <v>-13.969997982981852</v>
      </c>
      <c r="AT27" s="72">
        <f t="shared" si="10"/>
        <v>-0.86733888916985868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>Taper</v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1.222</v>
      </c>
      <c r="IH27" s="731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>1.1220000000000001</v>
      </c>
      <c r="II27" s="734" cm="1">
        <f t="array" ref="II27">IFERROR(ROUND(VALUE(IF($IH27&lt;1,$IH27+LARGE((IF($M$9:$M$150="",0,$M$9:$M$150)-MOD(IF($M$9:$M$150="",0,$M$9:$M$150),1)),1),$IH27)),4),"")</f>
        <v>1.1220000000000001</v>
      </c>
      <c r="IJ27" s="533">
        <f t="shared" si="112"/>
        <v>1613</v>
      </c>
      <c r="IK27" s="533">
        <f t="shared" si="66"/>
        <v>1313</v>
      </c>
      <c r="IL27" s="727">
        <f t="shared" si="225"/>
        <v>12.336998218757856</v>
      </c>
      <c r="IM27" s="759">
        <v>1.99266810120905E-2</v>
      </c>
      <c r="IN27" s="5">
        <f t="shared" si="226"/>
        <v>1.5</v>
      </c>
      <c r="IO27" s="771">
        <v>750</v>
      </c>
      <c r="IP27" s="9">
        <f t="shared" si="227"/>
        <v>-5.5386167044679802</v>
      </c>
      <c r="IQ27" s="5">
        <f t="shared" si="228"/>
        <v>-0.86990262362631299</v>
      </c>
      <c r="IR27" s="5">
        <f t="shared" si="71"/>
        <v>0.314</v>
      </c>
      <c r="IS27" s="5">
        <f t="shared" si="229"/>
        <v>0.29821612200184644</v>
      </c>
      <c r="IT27" s="727">
        <f t="shared" si="230"/>
        <v>52.74259918179083</v>
      </c>
      <c r="IU27" s="9">
        <f t="shared" si="231"/>
        <v>-5.5660568629135039</v>
      </c>
      <c r="IV27" s="5">
        <f t="shared" si="232"/>
        <v>-0.87704027665804052</v>
      </c>
      <c r="IW27" s="5">
        <f t="shared" si="76"/>
        <v>0.26600000000000001</v>
      </c>
      <c r="IX27" s="5">
        <f t="shared" si="233"/>
        <v>0.24493601950525659</v>
      </c>
      <c r="IY27" s="762">
        <f t="shared" si="234"/>
        <v>48.252646733573314</v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1.6055123638615869</v>
      </c>
      <c r="C28" s="708">
        <v>5.8415179493160334</v>
      </c>
      <c r="D28" s="709">
        <v>-1.5289868797247514</v>
      </c>
      <c r="E28" s="710">
        <v>0.25598709938313635</v>
      </c>
      <c r="F28" s="708">
        <v>0.93138778838018188</v>
      </c>
      <c r="G28" s="711">
        <v>0.25881922765838306</v>
      </c>
      <c r="H28" s="710">
        <v>0.25700000000000001</v>
      </c>
      <c r="I28" s="708">
        <v>0.41499999999999992</v>
      </c>
      <c r="J28" s="570">
        <v>1.2250000000000001</v>
      </c>
      <c r="K28" s="865" t="str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CPS-32193r1</v>
      </c>
      <c r="L28" s="843"/>
      <c r="M28" s="168">
        <f t="shared" si="1"/>
        <v>1.2250000000000001</v>
      </c>
      <c r="N28" s="632">
        <f t="shared" si="2"/>
        <v>1.6055123638615869</v>
      </c>
      <c r="O28" s="629">
        <f t="shared" si="3"/>
        <v>5.8415179493160334</v>
      </c>
      <c r="P28" s="633">
        <f t="shared" si="4"/>
        <v>-1.5289868797247514</v>
      </c>
      <c r="Q28" s="585">
        <f t="shared" si="113"/>
        <v>74.632002218864358</v>
      </c>
      <c r="R28" s="629">
        <f t="shared" si="79"/>
        <v>6.0581351835935306</v>
      </c>
      <c r="S28" s="634">
        <f t="shared" si="80"/>
        <v>-1.5289868797247514</v>
      </c>
      <c r="T28" s="635">
        <f t="shared" si="81"/>
        <v>5.8415179493160352</v>
      </c>
      <c r="U28" s="629">
        <f t="shared" si="82"/>
        <v>-1.6055123638615816</v>
      </c>
      <c r="V28" s="636">
        <f t="shared" si="114"/>
        <v>-1.5289868797247514</v>
      </c>
      <c r="W28" s="585">
        <f t="shared" si="224"/>
        <v>344.63200221886439</v>
      </c>
      <c r="X28" s="629">
        <f t="shared" si="83"/>
        <v>6.0581351835935306</v>
      </c>
      <c r="Y28" s="630">
        <f t="shared" si="223"/>
        <v>-1.5289868797247514</v>
      </c>
      <c r="Z28" s="632">
        <f t="shared" si="6"/>
        <v>-0.25598709938313635</v>
      </c>
      <c r="AA28" s="629">
        <f t="shared" si="7"/>
        <v>-0.93138778838018188</v>
      </c>
      <c r="AB28" s="629">
        <f t="shared" si="8"/>
        <v>-0.25881922765838306</v>
      </c>
      <c r="AC28" s="636">
        <f t="shared" si="84"/>
        <v>1</v>
      </c>
      <c r="AD28" s="637">
        <f t="shared" si="115"/>
        <v>-0.25598709938313635</v>
      </c>
      <c r="AE28" s="629">
        <f t="shared" si="85"/>
        <v>-0.93138778838018188</v>
      </c>
      <c r="AF28" s="633">
        <f t="shared" si="86"/>
        <v>-0.25881922765838306</v>
      </c>
      <c r="AG28" s="602">
        <f t="shared" si="87"/>
        <v>-74.470155464795425</v>
      </c>
      <c r="AH28" s="603">
        <f t="shared" si="88"/>
        <v>104.8320832913008</v>
      </c>
      <c r="AI28" s="585">
        <f t="shared" si="89"/>
        <v>-74.999989171341724</v>
      </c>
      <c r="AJ28" s="586">
        <f t="shared" si="90"/>
        <v>-15.367984328352113</v>
      </c>
      <c r="AK28" s="635">
        <f t="shared" si="211"/>
        <v>2.2679489580790246E-7</v>
      </c>
      <c r="AL28" s="629">
        <f t="shared" si="91"/>
        <v>-0.9659257773733273</v>
      </c>
      <c r="AM28" s="634">
        <f t="shared" si="92"/>
        <v>-0.25881922765838306</v>
      </c>
      <c r="AN28" s="581">
        <f t="shared" si="93"/>
        <v>-74.999989171341326</v>
      </c>
      <c r="AO28" s="582">
        <f t="shared" si="94"/>
        <v>0</v>
      </c>
      <c r="AP28" s="585">
        <f t="shared" si="95"/>
        <v>-89.999986547216508</v>
      </c>
      <c r="AQ28" s="586">
        <f t="shared" si="9"/>
        <v>0.37630290247690551</v>
      </c>
      <c r="AS28" s="52">
        <f t="shared" si="116"/>
        <v>-15.367997781135614</v>
      </c>
      <c r="AT28" s="72">
        <f t="shared" si="10"/>
        <v>-1.5183146590434073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Taper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1.2250000000000001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1.125</v>
      </c>
      <c r="II28" s="734" cm="1">
        <f t="array" ref="II28">IFERROR(ROUND(VALUE(IF($IH28&lt;1,$IH28+LARGE((IF($M$9:$M$150="",0,$M$9:$M$150)-MOD(IF($M$9:$M$150="",0,$M$9:$M$150),1)),1),$IH28)),4),"")</f>
        <v>1.125</v>
      </c>
      <c r="IJ28" s="533">
        <f t="shared" si="112"/>
        <v>1613</v>
      </c>
      <c r="IK28" s="533" t="str">
        <f t="shared" si="66"/>
        <v>CPS-32193r1</v>
      </c>
      <c r="IL28" s="727">
        <f t="shared" si="225"/>
        <v>13.09899810873867</v>
      </c>
      <c r="IM28" s="759">
        <v>4.9039464471171499E-3</v>
      </c>
      <c r="IN28" s="5">
        <f t="shared" si="226"/>
        <v>2.08</v>
      </c>
      <c r="IO28" s="771">
        <v>1040</v>
      </c>
      <c r="IP28" s="9">
        <f t="shared" si="227"/>
        <v>-6.0353182025196999</v>
      </c>
      <c r="IQ28" s="5">
        <f t="shared" si="228"/>
        <v>-1.4768044540422334</v>
      </c>
      <c r="IR28" s="5">
        <f t="shared" si="71"/>
        <v>0.314</v>
      </c>
      <c r="IS28" s="5">
        <f t="shared" si="229"/>
        <v>0.29028071012864121</v>
      </c>
      <c r="IT28" s="727">
        <f t="shared" si="230"/>
        <v>62.500556506975798</v>
      </c>
      <c r="IU28" s="9">
        <f t="shared" si="231"/>
        <v>-6.0581351835935306</v>
      </c>
      <c r="IV28" s="5">
        <f t="shared" si="232"/>
        <v>-1.5289868797247514</v>
      </c>
      <c r="IW28" s="5">
        <f t="shared" si="76"/>
        <v>0.25700000000000001</v>
      </c>
      <c r="IX28" s="5">
        <f t="shared" si="233"/>
        <v>0.25700000000000001</v>
      </c>
      <c r="IY28" s="762">
        <f t="shared" si="234"/>
        <v>74.999989171341326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1.7054212787101724</v>
      </c>
      <c r="C29" s="708">
        <v>6.1441376290809853</v>
      </c>
      <c r="D29" s="709">
        <v>-2.2549647278598042</v>
      </c>
      <c r="E29" s="710">
        <v>0.25834336539278974</v>
      </c>
      <c r="F29" s="708">
        <v>0.93073697302290825</v>
      </c>
      <c r="G29" s="711">
        <v>0.25881922765838289</v>
      </c>
      <c r="H29" s="710">
        <v>0.25700000000000001</v>
      </c>
      <c r="I29" s="708">
        <v>0.41499999999999992</v>
      </c>
      <c r="J29" s="570">
        <v>1.228</v>
      </c>
      <c r="K29" s="865" t="str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CPS-32193r1</v>
      </c>
      <c r="L29" s="843"/>
      <c r="M29" s="168">
        <f t="shared" si="1"/>
        <v>1.228</v>
      </c>
      <c r="N29" s="632">
        <f t="shared" si="2"/>
        <v>1.7054212787101724</v>
      </c>
      <c r="O29" s="629">
        <f t="shared" si="3"/>
        <v>6.1441376290809853</v>
      </c>
      <c r="P29" s="633">
        <f t="shared" si="4"/>
        <v>-2.2549647278598042</v>
      </c>
      <c r="Q29" s="585">
        <f t="shared" si="113"/>
        <v>74.487002239799764</v>
      </c>
      <c r="R29" s="629">
        <f>IF(M29="","",SQRT(N29^2+O29^2))</f>
        <v>6.3764323052131866</v>
      </c>
      <c r="S29" s="634">
        <f>IF(M29="","",P29)</f>
        <v>-2.2549647278598042</v>
      </c>
      <c r="T29" s="635">
        <f>IF(M29="","",X29*COS(RADIANS(W29)))</f>
        <v>6.1441376290809862</v>
      </c>
      <c r="U29" s="629">
        <f>IF(M29="","",X29*SIN(RADIANS(W29)))</f>
        <v>-1.7054212787101717</v>
      </c>
      <c r="V29" s="636">
        <f>IF(M29="","",Y29)</f>
        <v>-2.2549647278598042</v>
      </c>
      <c r="W29" s="585">
        <f t="shared" si="224"/>
        <v>344.48700223979978</v>
      </c>
      <c r="X29" s="629">
        <f>IF(M29="","",R29)</f>
        <v>6.3764323052131866</v>
      </c>
      <c r="Y29" s="630">
        <f t="shared" si="223"/>
        <v>-2.2549647278598042</v>
      </c>
      <c r="Z29" s="632">
        <f t="shared" si="6"/>
        <v>-0.25834336539278974</v>
      </c>
      <c r="AA29" s="629">
        <f t="shared" si="7"/>
        <v>-0.93073697302290825</v>
      </c>
      <c r="AB29" s="629">
        <f t="shared" si="8"/>
        <v>-0.25881922765838289</v>
      </c>
      <c r="AC29" s="636">
        <f>IF(M29="","",SQRT(Z29^2+AA29^2+AB29^2))</f>
        <v>1</v>
      </c>
      <c r="AD29" s="637">
        <f>IF(M29="","",Z29*(1/SQRT(Z29^2+AA29^2+AB29^2)))</f>
        <v>-0.25834336539278974</v>
      </c>
      <c r="AE29" s="629">
        <f>IF(M29="","",AA29*(1/SQRT(Z29^2+AA29^2+AB29^2)))</f>
        <v>-0.93073697302290825</v>
      </c>
      <c r="AF29" s="633">
        <f>IF(M29="","",AB29*(1/SQRT(Z29^2+AA29^2+AB29^2)))</f>
        <v>-0.25881922765838289</v>
      </c>
      <c r="AG29" s="602">
        <f>IF(M29="","",DEGREES(ATAN2(-AF29,AE29)))</f>
        <v>-74.459820878003697</v>
      </c>
      <c r="AH29" s="603">
        <f>IF(M29="","",DEGREES(ACOS(AD29)))</f>
        <v>104.97178598791423</v>
      </c>
      <c r="AI29" s="585">
        <f>IF(M29="","",DEGREES(-ACOS(-AF29)))</f>
        <v>-74.999989171341724</v>
      </c>
      <c r="AJ29" s="586">
        <f>IF(M29="","",DEGREES(ATAN2(-AE29,AD29)))</f>
        <v>-15.51298430741671</v>
      </c>
      <c r="AK29" s="635">
        <f>IF(M29="","",(COS(RADIANS((90-$Q$8)-W29))*AD29)+(-SIN(RADIANS((90-$Q$8)-W29))*AE29))</f>
        <v>2.2679489650179185E-7</v>
      </c>
      <c r="AL29" s="629">
        <f>IF(M29="","",(SIN(RADIANS((90-$Q$8)-W29))*AD29)+(COS(RADIANS((90-$Q$8)-W29))*AE29))</f>
        <v>-0.96592577737332741</v>
      </c>
      <c r="AM29" s="634">
        <f>IF(M29="","",AF29)</f>
        <v>-0.25881922765838289</v>
      </c>
      <c r="AN29" s="581">
        <f>IF(M29="","",DEGREES(ATAN2(-AM29,AL29)))</f>
        <v>-74.99998917134134</v>
      </c>
      <c r="AO29" s="582">
        <f t="shared" si="94"/>
        <v>0</v>
      </c>
      <c r="AP29" s="585">
        <f>IF(M29="","",DEGREES(ATAN2(AK29,AL29)))</f>
        <v>-89.99998654721648</v>
      </c>
      <c r="AQ29" s="586">
        <f t="shared" si="9"/>
        <v>0.35751921055482389</v>
      </c>
      <c r="AS29" s="52">
        <f t="shared" si="116"/>
        <v>-15.512997760200221</v>
      </c>
      <c r="AT29" s="72">
        <f t="shared" si="10"/>
        <v>-2.2441918127485541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1.228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1.1279999999999999</v>
      </c>
      <c r="II29" s="734" cm="1">
        <f t="array" ref="II29">IFERROR(ROUND(VALUE(IF($IH29&lt;1,$IH29+LARGE((IF($M$9:$M$150="",0,$M$9:$M$150)-MOD(IF($M$9:$M$150="",0,$M$9:$M$150),1)),1),$IH29)),4),"")</f>
        <v>1.1279999999999999</v>
      </c>
      <c r="IJ29" s="533">
        <f t="shared" si="112"/>
        <v>1613</v>
      </c>
      <c r="IK29" s="533" t="str">
        <f t="shared" si="66"/>
        <v>CPS-32193r1</v>
      </c>
      <c r="IL29" s="727">
        <f t="shared" si="225"/>
        <v>12.801998151620126</v>
      </c>
      <c r="IM29" s="759">
        <v>1.9942593987342801E-4</v>
      </c>
      <c r="IN29" s="5">
        <f t="shared" si="226"/>
        <v>0</v>
      </c>
      <c r="IO29" s="771">
        <v>0</v>
      </c>
      <c r="IP29" s="9">
        <f t="shared" si="227"/>
        <v>-6.3578191751826347</v>
      </c>
      <c r="IQ29" s="5">
        <f t="shared" si="228"/>
        <v>-2.191606609885536</v>
      </c>
      <c r="IR29" s="5">
        <f t="shared" si="71"/>
        <v>0.314</v>
      </c>
      <c r="IS29" s="5">
        <f t="shared" si="229"/>
        <v>0.27887724956920934</v>
      </c>
      <c r="IT29" s="727">
        <f t="shared" si="230"/>
        <v>70.740575397925994</v>
      </c>
      <c r="IU29" s="9">
        <f t="shared" si="231"/>
        <v>-6.3764323052131866</v>
      </c>
      <c r="IV29" s="5">
        <f t="shared" si="232"/>
        <v>-2.2549647278598042</v>
      </c>
      <c r="IW29" s="5">
        <f t="shared" si="76"/>
        <v>0.25700000000000001</v>
      </c>
      <c r="IX29" s="5">
        <f t="shared" si="233"/>
        <v>0.25700000000000001</v>
      </c>
      <c r="IY29" s="762">
        <f t="shared" si="234"/>
        <v>74.99998917134134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18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670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730</v>
      </c>
    </row>
    <row r="30" spans="1:269" ht="15" customHeight="1" x14ac:dyDescent="0.25">
      <c r="A30" s="79"/>
      <c r="B30" s="707">
        <v>2.5986650561553102</v>
      </c>
      <c r="C30" s="708">
        <v>1.2117750648047316</v>
      </c>
      <c r="D30" s="709">
        <v>-0.12160036674670612</v>
      </c>
      <c r="E30" s="710">
        <v>-0.44894985330743192</v>
      </c>
      <c r="F30" s="708">
        <v>0.85643252101642475</v>
      </c>
      <c r="G30" s="711">
        <v>0.2548869674202402</v>
      </c>
      <c r="H30" s="710">
        <v>0.314</v>
      </c>
      <c r="I30" s="708">
        <v>0.52</v>
      </c>
      <c r="J30" s="570">
        <v>2.1110000000000002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2.1110000000000002</v>
      </c>
      <c r="N30" s="632">
        <f t="shared" si="2"/>
        <v>2.5986650561553102</v>
      </c>
      <c r="O30" s="629">
        <f t="shared" si="3"/>
        <v>1.2117750648047316</v>
      </c>
      <c r="P30" s="633">
        <f t="shared" si="4"/>
        <v>-0.12160036674670612</v>
      </c>
      <c r="Q30" s="585">
        <f t="shared" si="113"/>
        <v>24.999957407275947</v>
      </c>
      <c r="R30" s="629">
        <f>IF(M30="","",SQRT(N30^2+O30^2))</f>
        <v>2.8673086478028824</v>
      </c>
      <c r="S30" s="634">
        <f>IF(M30="","",P30)</f>
        <v>-0.12160036674670612</v>
      </c>
      <c r="T30" s="635">
        <f>IF(M30="","",X30*COS(RADIANS(W30)))</f>
        <v>1.2117750648047294</v>
      </c>
      <c r="U30" s="629">
        <f>IF(M30="","",X30*SIN(RADIANS(W30)))</f>
        <v>-2.5986650561553115</v>
      </c>
      <c r="V30" s="636">
        <f>IF(M30="","",Y30)</f>
        <v>-0.12160036674670612</v>
      </c>
      <c r="W30" s="585">
        <f t="shared" si="224"/>
        <v>294.99995740727593</v>
      </c>
      <c r="X30" s="629">
        <f>IF(M30="","",R30)</f>
        <v>2.8673086478028824</v>
      </c>
      <c r="Y30" s="630">
        <f t="shared" si="223"/>
        <v>-0.12160036674670612</v>
      </c>
      <c r="Z30" s="632">
        <f t="shared" si="6"/>
        <v>0.44894985330743192</v>
      </c>
      <c r="AA30" s="629">
        <f t="shared" si="7"/>
        <v>-0.85643252101642475</v>
      </c>
      <c r="AB30" s="629">
        <f t="shared" si="8"/>
        <v>-0.2548869674202402</v>
      </c>
      <c r="AC30" s="636">
        <f>IF(M30="","",SQRT(Z30^2+AA30^2+AB30^2))</f>
        <v>1</v>
      </c>
      <c r="AD30" s="637">
        <f>IF(M30="","",Z30*(1/SQRT(Z30^2+AA30^2+AB30^2)))</f>
        <v>0.44894985330743192</v>
      </c>
      <c r="AE30" s="629">
        <f>IF(M30="","",AA30*(1/SQRT(Z30^2+AA30^2+AB30^2)))</f>
        <v>-0.85643252101642475</v>
      </c>
      <c r="AF30" s="633">
        <f>IF(M30="","",AB30*(1/SQRT(Z30^2+AA30^2+AB30^2)))</f>
        <v>-0.2548869674202402</v>
      </c>
      <c r="AG30" s="602">
        <f>IF(M30="","",DEGREES(ATAN2(-AF30,AE30)))</f>
        <v>-73.426217411086967</v>
      </c>
      <c r="AH30" s="603">
        <f>IF(M30="","",DEGREES(ACOS(AD30)))</f>
        <v>63.323672429840279</v>
      </c>
      <c r="AI30" s="585">
        <f>IF(M30="","",DEGREES(-ACOS(-AF30)))</f>
        <v>-75.233112454846449</v>
      </c>
      <c r="AJ30" s="586">
        <f>IF(M30="","",DEGREES(ATAN2(-AE30,AD30)))</f>
        <v>27.663944241522469</v>
      </c>
      <c r="AK30" s="635">
        <f>IF(M30="","",(COS(RADIANS((90-$Q$8)-W30))*AD30)+(-SIN(RADIANS((90-$Q$8)-W30))*AE30))</f>
        <v>0.96592583607220728</v>
      </c>
      <c r="AL30" s="629">
        <f>IF(M30="","",(SIN(RADIANS((90-$Q$8)-W30))*AD30)+(COS(RADIANS((90-$Q$8)-W30))*AE30))</f>
        <v>4.4943442764442676E-2</v>
      </c>
      <c r="AM30" s="634">
        <f>IF(M30="","",AF30)</f>
        <v>-0.2548869674202402</v>
      </c>
      <c r="AN30" s="581">
        <f>IF(M30="","",DEGREES(ATAN2(-AM30,AL30)))</f>
        <v>9.9999985561790368</v>
      </c>
      <c r="AO30" s="582">
        <f>IF(ROUND(IF(M30="",0,DEGREES(ACOS(AK30))),4)=90,0,IF(M30="","",DEGREES(ACOS(AK30))))</f>
        <v>14.99999783426828</v>
      </c>
      <c r="AP30" s="585">
        <f>IF(M30="","",DEGREES(ATAN2(AK30,AL30)))</f>
        <v>2.6639868342465687</v>
      </c>
      <c r="AQ30" s="586">
        <f t="shared" si="9"/>
        <v>0.79502439361023347</v>
      </c>
      <c r="AS30" s="52">
        <f t="shared" si="116"/>
        <v>-65.000042592724071</v>
      </c>
      <c r="AT30" s="72">
        <f t="shared" si="10"/>
        <v>-7.6461448279536617E-2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2.1110000000000002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24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510</v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0</v>
      </c>
    </row>
    <row r="31" spans="1:269" ht="15" customHeight="1" x14ac:dyDescent="0.25">
      <c r="A31" s="79"/>
      <c r="B31" s="707">
        <v>3.3084760253076135</v>
      </c>
      <c r="C31" s="708">
        <v>1.5399536391812547</v>
      </c>
      <c r="D31" s="709">
        <v>-6.1700186087761205E-2</v>
      </c>
      <c r="E31" s="710">
        <v>-0.37748351790667445</v>
      </c>
      <c r="F31" s="708">
        <v>0.88956406759715623</v>
      </c>
      <c r="G31" s="711">
        <v>0.25725855349978854</v>
      </c>
      <c r="H31" s="710">
        <v>0.314</v>
      </c>
      <c r="I31" s="708">
        <v>0.52</v>
      </c>
      <c r="J31" s="570">
        <v>2.1139999999999999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2.1139999999999999</v>
      </c>
      <c r="N31" s="632">
        <f t="shared" si="2"/>
        <v>3.3084760253076135</v>
      </c>
      <c r="O31" s="629">
        <f t="shared" si="3"/>
        <v>1.5399536391812547</v>
      </c>
      <c r="P31" s="633">
        <f t="shared" si="4"/>
        <v>-6.1700186087761205E-2</v>
      </c>
      <c r="Q31" s="585">
        <f t="shared" si="113"/>
        <v>24.959957413051235</v>
      </c>
      <c r="R31" s="629">
        <f>IF(M31="","",SQRT(N31^2+O31^2))</f>
        <v>3.6493110063219953</v>
      </c>
      <c r="S31" s="634">
        <f>IF(M31="","",P31)</f>
        <v>-6.1700186087761205E-2</v>
      </c>
      <c r="T31" s="635">
        <f>IF(M31="","",X31*COS(RADIANS(W31)))</f>
        <v>1.5399536391812545</v>
      </c>
      <c r="U31" s="629">
        <f>IF(M31="","",X31*SIN(RADIANS(W31)))</f>
        <v>-3.3084760253076135</v>
      </c>
      <c r="V31" s="636">
        <f>IF(M31="","",Y31)</f>
        <v>-6.1700186087761205E-2</v>
      </c>
      <c r="W31" s="585">
        <f t="shared" si="224"/>
        <v>294.95995741305126</v>
      </c>
      <c r="X31" s="629">
        <f>IF(M31="","",R31)</f>
        <v>3.6493110063219953</v>
      </c>
      <c r="Y31" s="630">
        <f t="shared" si="223"/>
        <v>-6.1700186087761205E-2</v>
      </c>
      <c r="Z31" s="632">
        <f t="shared" si="6"/>
        <v>0.37748351790667445</v>
      </c>
      <c r="AA31" s="629">
        <f t="shared" si="7"/>
        <v>-0.88956406759715623</v>
      </c>
      <c r="AB31" s="629">
        <f t="shared" si="8"/>
        <v>-0.25725855349978854</v>
      </c>
      <c r="AC31" s="636">
        <f>IF(M31="","",SQRT(Z31^2+AA31^2+AB31^2))</f>
        <v>1</v>
      </c>
      <c r="AD31" s="637">
        <f>IF(M31="","",Z31*(1/SQRT(Z31^2+AA31^2+AB31^2)))</f>
        <v>0.37748351790667445</v>
      </c>
      <c r="AE31" s="629">
        <f>IF(M31="","",AA31*(1/SQRT(Z31^2+AA31^2+AB31^2)))</f>
        <v>-0.88956406759715623</v>
      </c>
      <c r="AF31" s="633">
        <f>IF(M31="","",AB31*(1/SQRT(Z31^2+AA31^2+AB31^2)))</f>
        <v>-0.25725855349978854</v>
      </c>
      <c r="AG31" s="602">
        <f>IF(M31="","",DEGREES(ATAN2(-AF31,AE31)))</f>
        <v>-73.870331427709303</v>
      </c>
      <c r="AH31" s="603">
        <f>IF(M31="","",DEGREES(ACOS(AD31)))</f>
        <v>67.822107182329574</v>
      </c>
      <c r="AI31" s="585">
        <f>IF(M31="","",DEGREES(-ACOS(-AF31)))</f>
        <v>-75.092543625681472</v>
      </c>
      <c r="AJ31" s="586">
        <f>IF(M31="","",DEGREES(ATAN2(-AE31,AD31)))</f>
        <v>22.993776678852814</v>
      </c>
      <c r="AK31" s="635">
        <f>IF(M31="","",(COS(RADIANS((90-$Q$8)-W31))*AD31)+(-SIN(RADIANS((90-$Q$8)-W31))*AE31))</f>
        <v>0.96577367663266345</v>
      </c>
      <c r="AL31" s="629">
        <f>IF(M31="","",(SIN(RADIANS((90-$Q$8)-W31))*AD31)+(COS(RADIANS((90-$Q$8)-W31))*AE31))</f>
        <v>-3.3154821287773417E-2</v>
      </c>
      <c r="AM31" s="634">
        <f>IF(M31="","",AF31)</f>
        <v>-0.25725855349978854</v>
      </c>
      <c r="AN31" s="581">
        <f>IF(M31="","",DEGREES(ATAN2(-AM31,AL31)))</f>
        <v>-7.3436534858583284</v>
      </c>
      <c r="AO31" s="582">
        <f t="shared" si="94"/>
        <v>15.033645096584697</v>
      </c>
      <c r="AP31" s="585">
        <f>IF(M31="","",DEGREES(ATAN2(AK31,AL31)))</f>
        <v>-1.9661807341984134</v>
      </c>
      <c r="AQ31" s="586">
        <f t="shared" si="9"/>
        <v>0.62467580828683089</v>
      </c>
      <c r="AS31" s="52">
        <f t="shared" si="116"/>
        <v>-65.040042586948744</v>
      </c>
      <c r="AT31" s="72">
        <f t="shared" si="10"/>
        <v>-1.6533489846824574E-2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2.1139999999999999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4.0212741723955654</v>
      </c>
      <c r="C32" s="708">
        <v>1.8346312639117119</v>
      </c>
      <c r="D32" s="709">
        <v>-0.20660062310747931</v>
      </c>
      <c r="E32" s="710">
        <v>-0.28981233474436507</v>
      </c>
      <c r="F32" s="708">
        <v>0.92744352614353054</v>
      </c>
      <c r="G32" s="711">
        <v>0.23634152501089312</v>
      </c>
      <c r="H32" s="710">
        <v>0.314</v>
      </c>
      <c r="I32" s="708">
        <v>0.52</v>
      </c>
      <c r="J32" s="570">
        <v>2.117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2.117</v>
      </c>
      <c r="N32" s="632">
        <f t="shared" si="2"/>
        <v>4.0212741723955654</v>
      </c>
      <c r="O32" s="629">
        <f t="shared" si="3"/>
        <v>1.8346312639117119</v>
      </c>
      <c r="P32" s="633">
        <f t="shared" si="4"/>
        <v>-0.20660062310747931</v>
      </c>
      <c r="Q32" s="585">
        <f t="shared" si="113"/>
        <v>24.52395747600184</v>
      </c>
      <c r="R32" s="629">
        <f t="shared" si="79"/>
        <v>4.420013330760205</v>
      </c>
      <c r="S32" s="634">
        <f t="shared" si="80"/>
        <v>-0.20660062310747931</v>
      </c>
      <c r="T32" s="635">
        <f t="shared" si="81"/>
        <v>1.8346312639117126</v>
      </c>
      <c r="U32" s="629">
        <f t="shared" si="82"/>
        <v>-4.0212741723955645</v>
      </c>
      <c r="V32" s="636">
        <f t="shared" si="114"/>
        <v>-0.20660062310747931</v>
      </c>
      <c r="W32" s="585">
        <f t="shared" si="224"/>
        <v>294.52395747600184</v>
      </c>
      <c r="X32" s="629">
        <f t="shared" si="83"/>
        <v>4.420013330760205</v>
      </c>
      <c r="Y32" s="630">
        <f t="shared" si="223"/>
        <v>-0.20660062310747931</v>
      </c>
      <c r="Z32" s="632">
        <f t="shared" si="6"/>
        <v>0.28981233474436507</v>
      </c>
      <c r="AA32" s="629">
        <f t="shared" si="7"/>
        <v>-0.92744352614353054</v>
      </c>
      <c r="AB32" s="629">
        <f t="shared" si="8"/>
        <v>-0.23634152501089312</v>
      </c>
      <c r="AC32" s="636">
        <f t="shared" si="84"/>
        <v>1</v>
      </c>
      <c r="AD32" s="637">
        <f t="shared" si="115"/>
        <v>0.28981233474436507</v>
      </c>
      <c r="AE32" s="629">
        <f t="shared" si="85"/>
        <v>-0.92744352614353054</v>
      </c>
      <c r="AF32" s="633">
        <f t="shared" si="86"/>
        <v>-0.23634152501089312</v>
      </c>
      <c r="AG32" s="602">
        <f t="shared" si="87"/>
        <v>-75.703530811892861</v>
      </c>
      <c r="AH32" s="603">
        <f t="shared" si="88"/>
        <v>73.153278886993874</v>
      </c>
      <c r="AI32" s="585">
        <f t="shared" si="89"/>
        <v>-76.329285723702057</v>
      </c>
      <c r="AJ32" s="586">
        <f t="shared" si="90"/>
        <v>17.353249790097095</v>
      </c>
      <c r="AK32" s="635">
        <f t="shared" si="211"/>
        <v>0.9640702751665271</v>
      </c>
      <c r="AL32" s="629">
        <f t="shared" si="91"/>
        <v>-0.12128968668383239</v>
      </c>
      <c r="AM32" s="634">
        <f t="shared" si="92"/>
        <v>-0.23634152501089312</v>
      </c>
      <c r="AN32" s="581">
        <f t="shared" si="93"/>
        <v>-27.166744190161669</v>
      </c>
      <c r="AO32" s="582">
        <f t="shared" si="94"/>
        <v>15.405420859063547</v>
      </c>
      <c r="AP32" s="585">
        <f t="shared" si="95"/>
        <v>-7.1707076859047518</v>
      </c>
      <c r="AQ32" s="586">
        <f t="shared" si="9"/>
        <v>0.51575976927418832</v>
      </c>
      <c r="AS32" s="52">
        <f t="shared" si="116"/>
        <v>-65.47604252399816</v>
      </c>
      <c r="AT32" s="72">
        <f t="shared" si="10"/>
        <v>-0.16113114913248058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2.117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4.6893321866456752</v>
      </c>
      <c r="C33" s="708">
        <v>2.072540905688272</v>
      </c>
      <c r="D33" s="709">
        <v>-0.54620164734416843</v>
      </c>
      <c r="E33" s="710">
        <v>-0.21134086198365395</v>
      </c>
      <c r="F33" s="708">
        <v>0.9576073172722438</v>
      </c>
      <c r="G33" s="711">
        <v>0.19576329064117823</v>
      </c>
      <c r="H33" s="710">
        <v>0.314</v>
      </c>
      <c r="I33" s="708">
        <v>0.52</v>
      </c>
      <c r="J33" s="570">
        <v>2.12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2.12</v>
      </c>
      <c r="N33" s="632">
        <f t="shared" si="2"/>
        <v>4.6893321866456752</v>
      </c>
      <c r="O33" s="629">
        <f t="shared" si="3"/>
        <v>2.072540905688272</v>
      </c>
      <c r="P33" s="633">
        <f t="shared" si="4"/>
        <v>-0.54620164734416843</v>
      </c>
      <c r="Q33" s="585">
        <f t="shared" si="113"/>
        <v>23.843957574181676</v>
      </c>
      <c r="R33" s="629">
        <f t="shared" si="79"/>
        <v>5.1269154627770366</v>
      </c>
      <c r="S33" s="634">
        <f t="shared" si="80"/>
        <v>-0.54620164734416843</v>
      </c>
      <c r="T33" s="635">
        <f t="shared" si="81"/>
        <v>2.0725409056882698</v>
      </c>
      <c r="U33" s="629">
        <f t="shared" si="82"/>
        <v>-4.689332186645677</v>
      </c>
      <c r="V33" s="636">
        <f t="shared" si="114"/>
        <v>-0.54620164734416843</v>
      </c>
      <c r="W33" s="585">
        <f t="shared" si="224"/>
        <v>293.84395757418167</v>
      </c>
      <c r="X33" s="629">
        <f t="shared" si="83"/>
        <v>5.1269154627770366</v>
      </c>
      <c r="Y33" s="630">
        <f t="shared" si="223"/>
        <v>-0.54620164734416843</v>
      </c>
      <c r="Z33" s="632">
        <f t="shared" si="6"/>
        <v>0.21134086198365395</v>
      </c>
      <c r="AA33" s="629">
        <f t="shared" si="7"/>
        <v>-0.9576073172722438</v>
      </c>
      <c r="AB33" s="629">
        <f t="shared" si="8"/>
        <v>-0.19576329064117823</v>
      </c>
      <c r="AC33" s="636">
        <f t="shared" si="84"/>
        <v>1</v>
      </c>
      <c r="AD33" s="637">
        <f t="shared" si="115"/>
        <v>0.21134086198365395</v>
      </c>
      <c r="AE33" s="629">
        <f t="shared" si="85"/>
        <v>-0.9576073172722438</v>
      </c>
      <c r="AF33" s="633">
        <f t="shared" si="86"/>
        <v>-0.19576329064117823</v>
      </c>
      <c r="AG33" s="602">
        <f t="shared" si="87"/>
        <v>-78.446240191343662</v>
      </c>
      <c r="AH33" s="603">
        <f t="shared" si="88"/>
        <v>77.799058242651597</v>
      </c>
      <c r="AI33" s="585">
        <f t="shared" si="89"/>
        <v>-78.71068365072891</v>
      </c>
      <c r="AJ33" s="586">
        <f t="shared" si="90"/>
        <v>12.445493062345854</v>
      </c>
      <c r="AK33" s="635">
        <f t="shared" si="211"/>
        <v>0.96130927695989388</v>
      </c>
      <c r="AL33" s="629">
        <f t="shared" si="91"/>
        <v>-0.19380714142720248</v>
      </c>
      <c r="AM33" s="634">
        <f t="shared" si="92"/>
        <v>-0.19576329064117823</v>
      </c>
      <c r="AN33" s="581">
        <f t="shared" si="93"/>
        <v>-44.712303237410552</v>
      </c>
      <c r="AO33" s="582">
        <f t="shared" si="94"/>
        <v>15.990106519452221</v>
      </c>
      <c r="AP33" s="585">
        <f t="shared" si="95"/>
        <v>-11.398464511835796</v>
      </c>
      <c r="AQ33" s="586">
        <f t="shared" si="9"/>
        <v>0.44464959123315301</v>
      </c>
      <c r="AS33" s="52">
        <f t="shared" si="116"/>
        <v>-66.156042425818328</v>
      </c>
      <c r="AT33" s="72">
        <f t="shared" si="10"/>
        <v>-0.5002599512151279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2.12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5.2613390048536655</v>
      </c>
      <c r="C34" s="708">
        <v>2.2483807294835025</v>
      </c>
      <c r="D34" s="709">
        <v>-1.0574031891280187</v>
      </c>
      <c r="E34" s="710">
        <v>-0.11691597700394948</v>
      </c>
      <c r="F34" s="708">
        <v>0.9761305462396771</v>
      </c>
      <c r="G34" s="711">
        <v>0.18302953591986681</v>
      </c>
      <c r="H34" s="710">
        <v>0.314</v>
      </c>
      <c r="I34" s="708">
        <v>0.52</v>
      </c>
      <c r="J34" s="570">
        <v>2.1230000000000002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2.1230000000000002</v>
      </c>
      <c r="N34" s="632">
        <f t="shared" si="2"/>
        <v>5.2613390048536655</v>
      </c>
      <c r="O34" s="629">
        <f t="shared" si="3"/>
        <v>2.2483807294835025</v>
      </c>
      <c r="P34" s="633">
        <f t="shared" si="4"/>
        <v>-1.0574031891280187</v>
      </c>
      <c r="Q34" s="585">
        <f t="shared" si="113"/>
        <v>23.138957675971067</v>
      </c>
      <c r="R34" s="629">
        <f>IF(M34="","",SQRT(N34^2+O34^2))</f>
        <v>5.7216172563976464</v>
      </c>
      <c r="S34" s="634">
        <f>IF(M34="","",P34)</f>
        <v>-1.0574031891280187</v>
      </c>
      <c r="T34" s="635">
        <f>IF(M34="","",X34*COS(RADIANS(W34)))</f>
        <v>2.248380729483503</v>
      </c>
      <c r="U34" s="629">
        <f>IF(M34="","",X34*SIN(RADIANS(W34)))</f>
        <v>-5.2613390048536655</v>
      </c>
      <c r="V34" s="636">
        <f>IF(M34="","",Y34)</f>
        <v>-1.0574031891280187</v>
      </c>
      <c r="W34" s="585">
        <f t="shared" si="224"/>
        <v>293.13895767597108</v>
      </c>
      <c r="X34" s="629">
        <f>IF(M34="","",R34)</f>
        <v>5.7216172563976464</v>
      </c>
      <c r="Y34" s="630">
        <f t="shared" si="223"/>
        <v>-1.0574031891280187</v>
      </c>
      <c r="Z34" s="632">
        <f t="shared" si="6"/>
        <v>0.11691597700394948</v>
      </c>
      <c r="AA34" s="629">
        <f t="shared" si="7"/>
        <v>-0.9761305462396771</v>
      </c>
      <c r="AB34" s="629">
        <f t="shared" si="8"/>
        <v>-0.18302953591986681</v>
      </c>
      <c r="AC34" s="636">
        <f>IF(M34="","",SQRT(Z34^2+AA34^2+AB34^2))</f>
        <v>1</v>
      </c>
      <c r="AD34" s="637">
        <f>IF(M34="","",Z34*(1/SQRT(Z34^2+AA34^2+AB34^2)))</f>
        <v>0.11691597700394948</v>
      </c>
      <c r="AE34" s="629">
        <f>IF(M34="","",AA34*(1/SQRT(Z34^2+AA34^2+AB34^2)))</f>
        <v>-0.9761305462396771</v>
      </c>
      <c r="AF34" s="633">
        <f>IF(M34="","",AB34*(1/SQRT(Z34^2+AA34^2+AB34^2)))</f>
        <v>-0.18302953591986681</v>
      </c>
      <c r="AG34" s="602">
        <f>IF(M34="","",DEGREES(ATAN2(-AF34,AE34)))</f>
        <v>-79.380057890154333</v>
      </c>
      <c r="AH34" s="603">
        <f>IF(M34="","",DEGREES(ACOS(AD34)))</f>
        <v>83.285851962650256</v>
      </c>
      <c r="AI34" s="585">
        <f>IF(M34="","",DEGREES(-ACOS(-AF34)))</f>
        <v>-79.453728320149011</v>
      </c>
      <c r="AJ34" s="586">
        <f>IF(M34="","",DEGREES(ATAN2(-AE34,AD34)))</f>
        <v>6.8300611031792977</v>
      </c>
      <c r="AK34" s="635">
        <f>IF(M34="","",(COS(RADIANS((90-$Q$8)-W34))*AD34)+(-SIN(RADIANS((90-$Q$8)-W34))*AE34))</f>
        <v>0.94354884370985359</v>
      </c>
      <c r="AL34" s="629">
        <f>IF(M34="","",(SIN(RADIANS((90-$Q$8)-W34))*AD34)+(COS(RADIANS((90-$Q$8)-W34))*AE34))</f>
        <v>-0.27607203501035144</v>
      </c>
      <c r="AM34" s="634">
        <f>IF(M34="","",AF34)</f>
        <v>-0.18302953591986681</v>
      </c>
      <c r="AN34" s="581">
        <f>IF(M34="","",DEGREES(ATAN2(-AM34,AL34)))</f>
        <v>-56.456519050924605</v>
      </c>
      <c r="AO34" s="582">
        <f t="shared" si="94"/>
        <v>19.343656257313942</v>
      </c>
      <c r="AP34" s="585">
        <f>IF(M34="","",DEGREES(ATAN2(AK34,AL34)))</f>
        <v>-16.30889657279177</v>
      </c>
      <c r="AQ34" s="586">
        <f t="shared" si="9"/>
        <v>0.39843453030391968</v>
      </c>
      <c r="AS34" s="52">
        <f t="shared" si="116"/>
        <v>-66.861042324028915</v>
      </c>
      <c r="AT34" s="72">
        <f t="shared" si="10"/>
        <v>-1.0109719097363319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2.1230000000000002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5.6919598318751152</v>
      </c>
      <c r="C35" s="708">
        <v>2.364435381098374</v>
      </c>
      <c r="D35" s="709">
        <v>-1.7053051432003119</v>
      </c>
      <c r="E35" s="710">
        <v>-3.6812412193107389E-3</v>
      </c>
      <c r="F35" s="708">
        <v>0.98469272149570175</v>
      </c>
      <c r="G35" s="711">
        <v>0.17426041632130279</v>
      </c>
      <c r="H35" s="710">
        <v>0.314</v>
      </c>
      <c r="I35" s="708">
        <v>0.52</v>
      </c>
      <c r="J35" s="570">
        <v>2.1259999999999999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2.1259999999999999</v>
      </c>
      <c r="N35" s="632">
        <f t="shared" si="2"/>
        <v>5.6919598318751152</v>
      </c>
      <c r="O35" s="629">
        <f t="shared" si="3"/>
        <v>2.364435381098374</v>
      </c>
      <c r="P35" s="633">
        <f t="shared" si="4"/>
        <v>-1.7053051432003119</v>
      </c>
      <c r="Q35" s="585">
        <f t="shared" si="113"/>
        <v>22.557957759857075</v>
      </c>
      <c r="R35" s="629">
        <f>IF(M35="","",SQRT(N35^2+O35^2))</f>
        <v>6.1635185891720647</v>
      </c>
      <c r="S35" s="634">
        <f>IF(M35="","",P35)</f>
        <v>-1.7053051432003119</v>
      </c>
      <c r="T35" s="635">
        <f>IF(M35="","",X35*COS(RADIANS(W35)))</f>
        <v>2.3644353810983718</v>
      </c>
      <c r="U35" s="629">
        <f>IF(M35="","",X35*SIN(RADIANS(W35)))</f>
        <v>-5.6919598318751161</v>
      </c>
      <c r="V35" s="636">
        <f>IF(M35="","",Y35)</f>
        <v>-1.7053051432003119</v>
      </c>
      <c r="W35" s="585">
        <f t="shared" si="224"/>
        <v>292.55795775985706</v>
      </c>
      <c r="X35" s="629">
        <f>IF(M35="","",R35)</f>
        <v>6.1635185891720647</v>
      </c>
      <c r="Y35" s="630">
        <f t="shared" si="223"/>
        <v>-1.7053051432003119</v>
      </c>
      <c r="Z35" s="632">
        <f t="shared" si="6"/>
        <v>3.6812412193107389E-3</v>
      </c>
      <c r="AA35" s="629">
        <f t="shared" si="7"/>
        <v>-0.98469272149570175</v>
      </c>
      <c r="AB35" s="629">
        <f t="shared" si="8"/>
        <v>-0.17426041632130279</v>
      </c>
      <c r="AC35" s="636">
        <f>IF(M35="","",SQRT(Z35^2+AA35^2+AB35^2))</f>
        <v>1</v>
      </c>
      <c r="AD35" s="637">
        <f>IF(M35="","",Z35*(1/SQRT(Z35^2+AA35^2+AB35^2)))</f>
        <v>3.6812412193107389E-3</v>
      </c>
      <c r="AE35" s="629">
        <f>IF(M35="","",AA35*(1/SQRT(Z35^2+AA35^2+AB35^2)))</f>
        <v>-0.98469272149570175</v>
      </c>
      <c r="AF35" s="633">
        <f>IF(M35="","",AB35*(1/SQRT(Z35^2+AA35^2+AB35^2)))</f>
        <v>-0.17426041632130279</v>
      </c>
      <c r="AG35" s="602">
        <f>IF(M35="","",DEGREES(ATAN2(-AF35,AE35)))</f>
        <v>-79.964309505094192</v>
      </c>
      <c r="AH35" s="603">
        <f>IF(M35="","",DEGREES(ACOS(AD35)))</f>
        <v>89.78907993838024</v>
      </c>
      <c r="AI35" s="585">
        <f>IF(M35="","",DEGREES(-ACOS(-AF35)))</f>
        <v>-79.964378208874479</v>
      </c>
      <c r="AJ35" s="586">
        <f>IF(M35="","",DEGREES(ATAN2(-AE35,AD35)))</f>
        <v>0.21419738160591653</v>
      </c>
      <c r="AK35" s="635">
        <f>IF(M35="","",(COS(RADIANS((90-$Q$8)-W35))*AD35)+(-SIN(RADIANS((90-$Q$8)-W35))*AE35))</f>
        <v>0.91076799611513426</v>
      </c>
      <c r="AL35" s="629">
        <f>IF(M35="","",(SIN(RADIANS((90-$Q$8)-W35))*AD35)+(COS(RADIANS((90-$Q$8)-W35))*AE35))</f>
        <v>-0.37434604920574388</v>
      </c>
      <c r="AM35" s="634">
        <f>IF(M35="","",AF35)</f>
        <v>-0.17426041632130279</v>
      </c>
      <c r="AN35" s="581">
        <f>IF(M35="","",DEGREES(ATAN2(-AM35,AL35)))</f>
        <v>-65.037728928384482</v>
      </c>
      <c r="AO35" s="582">
        <f t="shared" si="94"/>
        <v>24.388300427769774</v>
      </c>
      <c r="AP35" s="585">
        <f>IF(M35="","",DEGREES(ATAN2(AK35,AL35)))</f>
        <v>-22.34376037825114</v>
      </c>
      <c r="AQ35" s="586">
        <f t="shared" si="9"/>
        <v>0.36986908232522753</v>
      </c>
      <c r="AS35" s="52">
        <f t="shared" si="116"/>
        <v>-67.442042240142939</v>
      </c>
      <c r="AT35" s="72">
        <f t="shared" si="10"/>
        <v>-1.658470391644657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2.1259999999999999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5.9463733169001012</v>
      </c>
      <c r="C36" s="708">
        <v>2.4265438261910148</v>
      </c>
      <c r="D36" s="709">
        <v>-2.4456073759518464</v>
      </c>
      <c r="E36" s="710">
        <v>9.0021604620391937E-2</v>
      </c>
      <c r="F36" s="708">
        <v>0.98725097280769125</v>
      </c>
      <c r="G36" s="711">
        <v>0.13126929340800639</v>
      </c>
      <c r="H36" s="710">
        <v>0.314</v>
      </c>
      <c r="I36" s="708">
        <v>0.52</v>
      </c>
      <c r="J36" s="570">
        <v>2.129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2.129</v>
      </c>
      <c r="N36" s="632">
        <f t="shared" si="2"/>
        <v>5.9463733169001012</v>
      </c>
      <c r="O36" s="629">
        <f t="shared" si="3"/>
        <v>2.4265438261910148</v>
      </c>
      <c r="P36" s="633">
        <f t="shared" si="4"/>
        <v>-2.4456073759518464</v>
      </c>
      <c r="Q36" s="585">
        <f t="shared" si="113"/>
        <v>22.198957811690253</v>
      </c>
      <c r="R36" s="629">
        <f>IF(M36="","",SQRT(N36^2+O36^2))</f>
        <v>6.4224193700168195</v>
      </c>
      <c r="S36" s="634">
        <f>IF(M36="","",P36)</f>
        <v>-2.4456073759518464</v>
      </c>
      <c r="T36" s="635">
        <f>IF(M36="","",X36*COS(RADIANS(W36)))</f>
        <v>2.4265438261910184</v>
      </c>
      <c r="U36" s="629">
        <f>IF(M36="","",X36*SIN(RADIANS(W36)))</f>
        <v>-5.9463733169001003</v>
      </c>
      <c r="V36" s="636">
        <f>IF(M36="","",Y36)</f>
        <v>-2.4456073759518464</v>
      </c>
      <c r="W36" s="585">
        <f t="shared" si="224"/>
        <v>292.19895781169026</v>
      </c>
      <c r="X36" s="629">
        <f>IF(M36="","",R36)</f>
        <v>6.4224193700168195</v>
      </c>
      <c r="Y36" s="630">
        <f t="shared" si="223"/>
        <v>-2.4456073759518464</v>
      </c>
      <c r="Z36" s="632">
        <f t="shared" si="6"/>
        <v>-9.0021604620391937E-2</v>
      </c>
      <c r="AA36" s="629">
        <f t="shared" si="7"/>
        <v>-0.98725097280769125</v>
      </c>
      <c r="AB36" s="629">
        <f t="shared" si="8"/>
        <v>-0.13126929340800639</v>
      </c>
      <c r="AC36" s="636">
        <f>IF(M36="","",SQRT(Z36^2+AA36^2+AB36^2))</f>
        <v>1</v>
      </c>
      <c r="AD36" s="637">
        <f>IF(M36="","",Z36*(1/SQRT(Z36^2+AA36^2+AB36^2)))</f>
        <v>-9.0021604620391937E-2</v>
      </c>
      <c r="AE36" s="629">
        <f>IF(M36="","",AA36*(1/SQRT(Z36^2+AA36^2+AB36^2)))</f>
        <v>-0.98725097280769125</v>
      </c>
      <c r="AF36" s="633">
        <f>IF(M36="","",AB36*(1/SQRT(Z36^2+AA36^2+AB36^2)))</f>
        <v>-0.13126929340800639</v>
      </c>
      <c r="AG36" s="602">
        <f>IF(M36="","",DEGREES(ATAN2(-AF36,AE36)))</f>
        <v>-82.426123298203152</v>
      </c>
      <c r="AH36" s="603">
        <f>IF(M36="","",DEGREES(ACOS(AD36)))</f>
        <v>95.164849989600981</v>
      </c>
      <c r="AI36" s="585">
        <f>IF(M36="","",DEGREES(-ACOS(-AF36)))</f>
        <v>-82.457053923720764</v>
      </c>
      <c r="AJ36" s="586">
        <f>IF(M36="","",DEGREES(ATAN2(-AE36,AD36)))</f>
        <v>-5.2100569847228746</v>
      </c>
      <c r="AK36" s="635">
        <f>IF(M36="","",(COS(RADIANS((90-$Q$8)-W36))*AD36)+(-SIN(RADIANS((90-$Q$8)-W36))*AE36))</f>
        <v>0.88006110271448967</v>
      </c>
      <c r="AL36" s="629">
        <f>IF(M36="","",(SIN(RADIANS((90-$Q$8)-W36))*AD36)+(COS(RADIANS((90-$Q$8)-W36))*AE36))</f>
        <v>-0.45635603216909415</v>
      </c>
      <c r="AM36" s="634">
        <f>IF(M36="","",AF36)</f>
        <v>-0.13126929340800639</v>
      </c>
      <c r="AN36" s="581">
        <f>IF(M36="","",DEGREES(ATAN2(-AM36,AL36)))</f>
        <v>-73.952294952969226</v>
      </c>
      <c r="AO36" s="582">
        <f t="shared" si="94"/>
        <v>28.35026491532787</v>
      </c>
      <c r="AP36" s="585">
        <f>IF(M36="","",DEGREES(ATAN2(AK36,AL36)))</f>
        <v>-27.409014796413157</v>
      </c>
      <c r="AQ36" s="586">
        <f t="shared" si="9"/>
        <v>0.35495929723248371</v>
      </c>
      <c r="AS36" s="52">
        <f t="shared" si="116"/>
        <v>-67.801042188309737</v>
      </c>
      <c r="AT36" s="72">
        <f t="shared" si="10"/>
        <v>-2.3985233188766313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2.129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6.0085453582650903</v>
      </c>
      <c r="C37" s="708">
        <v>2.4409116221672198</v>
      </c>
      <c r="D37" s="709">
        <v>-3.2280097356773632</v>
      </c>
      <c r="E37" s="710">
        <v>0.15493700249159376</v>
      </c>
      <c r="F37" s="708">
        <v>0.9858133966991528</v>
      </c>
      <c r="G37" s="711">
        <v>6.454821567943482E-2</v>
      </c>
      <c r="H37" s="710">
        <v>0.314</v>
      </c>
      <c r="I37" s="708">
        <v>0.52</v>
      </c>
      <c r="J37" s="570">
        <v>2.1320000000000001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2.1320000000000001</v>
      </c>
      <c r="N37" s="632">
        <f t="shared" si="2"/>
        <v>6.0085453582650903</v>
      </c>
      <c r="O37" s="629">
        <f t="shared" si="3"/>
        <v>2.4409116221672198</v>
      </c>
      <c r="P37" s="633">
        <f t="shared" si="4"/>
        <v>-3.2280097356773632</v>
      </c>
      <c r="Q37" s="585">
        <f t="shared" si="113"/>
        <v>22.108957824684644</v>
      </c>
      <c r="R37" s="629">
        <f t="shared" si="79"/>
        <v>6.4854195600253934</v>
      </c>
      <c r="S37" s="634">
        <f t="shared" si="80"/>
        <v>-3.2280097356773632</v>
      </c>
      <c r="T37" s="635">
        <f t="shared" si="81"/>
        <v>2.4409116221672162</v>
      </c>
      <c r="U37" s="629">
        <f t="shared" si="82"/>
        <v>-6.0085453582650912</v>
      </c>
      <c r="V37" s="636">
        <f t="shared" si="114"/>
        <v>-3.2280097356773632</v>
      </c>
      <c r="W37" s="585">
        <f t="shared" si="224"/>
        <v>292.10895782468464</v>
      </c>
      <c r="X37" s="629">
        <f t="shared" si="83"/>
        <v>6.4854195600253934</v>
      </c>
      <c r="Y37" s="630">
        <f t="shared" si="223"/>
        <v>-3.2280097356773632</v>
      </c>
      <c r="Z37" s="632">
        <f t="shared" si="6"/>
        <v>-0.15493700249159376</v>
      </c>
      <c r="AA37" s="629">
        <f t="shared" si="7"/>
        <v>-0.9858133966991528</v>
      </c>
      <c r="AB37" s="629">
        <f t="shared" si="8"/>
        <v>-6.454821567943482E-2</v>
      </c>
      <c r="AC37" s="636">
        <f t="shared" si="84"/>
        <v>1</v>
      </c>
      <c r="AD37" s="637">
        <f t="shared" si="115"/>
        <v>-0.15493700249159376</v>
      </c>
      <c r="AE37" s="629">
        <f t="shared" si="85"/>
        <v>-0.9858133966991528</v>
      </c>
      <c r="AF37" s="633">
        <f t="shared" si="86"/>
        <v>-6.454821567943482E-2</v>
      </c>
      <c r="AG37" s="602">
        <f t="shared" si="87"/>
        <v>-86.253785289982574</v>
      </c>
      <c r="AH37" s="603">
        <f t="shared" si="88"/>
        <v>98.913142623646138</v>
      </c>
      <c r="AI37" s="585">
        <f t="shared" si="89"/>
        <v>-86.299086667396367</v>
      </c>
      <c r="AJ37" s="586">
        <f t="shared" si="90"/>
        <v>-8.9319212341177376</v>
      </c>
      <c r="AK37" s="635">
        <f t="shared" si="211"/>
        <v>0.85501283724888943</v>
      </c>
      <c r="AL37" s="629">
        <f t="shared" si="91"/>
        <v>-0.51457416957344981</v>
      </c>
      <c r="AM37" s="634">
        <f t="shared" si="92"/>
        <v>-6.454821567943482E-2</v>
      </c>
      <c r="AN37" s="581">
        <f t="shared" si="93"/>
        <v>-82.850159210940504</v>
      </c>
      <c r="AO37" s="582">
        <f t="shared" si="94"/>
        <v>31.238846983473902</v>
      </c>
      <c r="AP37" s="585">
        <f t="shared" si="95"/>
        <v>-31.04087905880235</v>
      </c>
      <c r="AQ37" s="586">
        <f t="shared" si="9"/>
        <v>0.35151126444330233</v>
      </c>
      <c r="AS37" s="52">
        <f t="shared" si="116"/>
        <v>-67.891042175315363</v>
      </c>
      <c r="AT37" s="72">
        <f t="shared" si="10"/>
        <v>-3.1808631786111721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2.1320000000000001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6.0849852694160012</v>
      </c>
      <c r="C38" s="708">
        <v>2.458364885951569</v>
      </c>
      <c r="D38" s="709">
        <v>-3.9749119883345569</v>
      </c>
      <c r="E38" s="710">
        <v>0.22496869129713573</v>
      </c>
      <c r="F38" s="708">
        <v>0.97436599280559721</v>
      </c>
      <c r="G38" s="711">
        <v>1.3008419221481359E-7</v>
      </c>
      <c r="H38" s="710">
        <v>0.26600000000000001</v>
      </c>
      <c r="I38" s="708">
        <v>0.52</v>
      </c>
      <c r="J38" s="570">
        <v>2.1349999999999998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2.1349999999999998</v>
      </c>
      <c r="N38" s="632">
        <f t="shared" si="2"/>
        <v>6.0849852694160012</v>
      </c>
      <c r="O38" s="629">
        <f t="shared" si="3"/>
        <v>2.458364885951569</v>
      </c>
      <c r="P38" s="633">
        <f t="shared" si="4"/>
        <v>-3.9749119883345569</v>
      </c>
      <c r="Q38" s="585">
        <f t="shared" si="113"/>
        <v>21.998957840566675</v>
      </c>
      <c r="R38" s="629">
        <f t="shared" si="79"/>
        <v>6.5628197934644978</v>
      </c>
      <c r="S38" s="634">
        <f t="shared" si="80"/>
        <v>-3.9749119883345569</v>
      </c>
      <c r="T38" s="635">
        <f t="shared" si="81"/>
        <v>2.458364885951569</v>
      </c>
      <c r="U38" s="629">
        <f t="shared" si="82"/>
        <v>-6.0849852694160012</v>
      </c>
      <c r="V38" s="636">
        <f t="shared" si="114"/>
        <v>-3.9749119883345569</v>
      </c>
      <c r="W38" s="585">
        <f t="shared" si="224"/>
        <v>291.99895784056667</v>
      </c>
      <c r="X38" s="629">
        <f t="shared" si="83"/>
        <v>6.5628197934644978</v>
      </c>
      <c r="Y38" s="630">
        <f t="shared" si="223"/>
        <v>-3.9749119883345569</v>
      </c>
      <c r="Z38" s="632">
        <f t="shared" si="6"/>
        <v>-0.22496869129713573</v>
      </c>
      <c r="AA38" s="629">
        <f t="shared" si="7"/>
        <v>-0.97436599280559721</v>
      </c>
      <c r="AB38" s="629">
        <f t="shared" si="8"/>
        <v>-1.3008419221481359E-7</v>
      </c>
      <c r="AC38" s="636">
        <f t="shared" si="84"/>
        <v>1</v>
      </c>
      <c r="AD38" s="637">
        <f t="shared" si="115"/>
        <v>-0.22496869129713573</v>
      </c>
      <c r="AE38" s="629">
        <f t="shared" si="85"/>
        <v>-0.97436599280559721</v>
      </c>
      <c r="AF38" s="633">
        <f t="shared" si="86"/>
        <v>-1.3008419221481359E-7</v>
      </c>
      <c r="AG38" s="602">
        <f t="shared" si="87"/>
        <v>-89.999992350641079</v>
      </c>
      <c r="AH38" s="603">
        <f t="shared" si="88"/>
        <v>103.00103710605848</v>
      </c>
      <c r="AI38" s="585">
        <f t="shared" si="89"/>
        <v>-89.999992546724798</v>
      </c>
      <c r="AJ38" s="586">
        <f t="shared" si="90"/>
        <v>-13.001037106058595</v>
      </c>
      <c r="AK38" s="635">
        <f t="shared" si="211"/>
        <v>0.8191520948772919</v>
      </c>
      <c r="AL38" s="629">
        <f t="shared" si="91"/>
        <v>-0.57357636410344459</v>
      </c>
      <c r="AM38" s="634">
        <f t="shared" si="92"/>
        <v>-1.3008419221481359E-7</v>
      </c>
      <c r="AN38" s="581">
        <f t="shared" si="93"/>
        <v>-89.999987005609611</v>
      </c>
      <c r="AO38" s="582">
        <f t="shared" si="94"/>
        <v>34.999994946625968</v>
      </c>
      <c r="AP38" s="585">
        <f t="shared" si="95"/>
        <v>-34.999994946625272</v>
      </c>
      <c r="AQ38" s="586">
        <f t="shared" si="9"/>
        <v>0.34736573186354336</v>
      </c>
      <c r="AS38" s="52">
        <f t="shared" si="116"/>
        <v>-68.001042159433325</v>
      </c>
      <c r="AT38" s="72">
        <f t="shared" si="10"/>
        <v>-3.9276890423905062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2.1349999999999998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1313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6.0849852694160012</v>
      </c>
      <c r="C39" s="708">
        <v>2.458364885951569</v>
      </c>
      <c r="D39" s="709">
        <v>-4.7708143887761976</v>
      </c>
      <c r="E39" s="710">
        <v>0.22496869129713573</v>
      </c>
      <c r="F39" s="708">
        <v>0.97436599280559721</v>
      </c>
      <c r="G39" s="711">
        <v>1.3008419221481359E-7</v>
      </c>
      <c r="H39" s="710">
        <v>0.26600000000000001</v>
      </c>
      <c r="I39" s="708">
        <v>0.52</v>
      </c>
      <c r="J39" s="570">
        <v>2.1379999999999999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2.1379999999999999</v>
      </c>
      <c r="N39" s="632">
        <f t="shared" si="2"/>
        <v>6.0849852694160012</v>
      </c>
      <c r="O39" s="629">
        <f t="shared" si="3"/>
        <v>2.458364885951569</v>
      </c>
      <c r="P39" s="633">
        <f t="shared" si="4"/>
        <v>-4.7708143887761976</v>
      </c>
      <c r="Q39" s="585">
        <f t="shared" si="113"/>
        <v>21.998957840566675</v>
      </c>
      <c r="R39" s="629">
        <f t="shared" si="79"/>
        <v>6.5628197934644978</v>
      </c>
      <c r="S39" s="634">
        <f t="shared" si="80"/>
        <v>-4.7708143887761976</v>
      </c>
      <c r="T39" s="635">
        <f t="shared" si="81"/>
        <v>2.458364885951569</v>
      </c>
      <c r="U39" s="629">
        <f t="shared" si="82"/>
        <v>-6.0849852694160012</v>
      </c>
      <c r="V39" s="636">
        <f t="shared" si="114"/>
        <v>-4.7708143887761976</v>
      </c>
      <c r="W39" s="585">
        <f t="shared" si="224"/>
        <v>291.99895784056667</v>
      </c>
      <c r="X39" s="629">
        <f t="shared" si="83"/>
        <v>6.5628197934644978</v>
      </c>
      <c r="Y39" s="630">
        <f t="shared" si="223"/>
        <v>-4.7708143887761976</v>
      </c>
      <c r="Z39" s="632">
        <f t="shared" si="6"/>
        <v>-0.22496869129713573</v>
      </c>
      <c r="AA39" s="629">
        <f t="shared" si="7"/>
        <v>-0.97436599280559721</v>
      </c>
      <c r="AB39" s="629">
        <f t="shared" si="8"/>
        <v>-1.3008419221481359E-7</v>
      </c>
      <c r="AC39" s="636">
        <f t="shared" si="84"/>
        <v>1</v>
      </c>
      <c r="AD39" s="637">
        <f t="shared" si="115"/>
        <v>-0.22496869129713573</v>
      </c>
      <c r="AE39" s="629">
        <f t="shared" si="85"/>
        <v>-0.97436599280559721</v>
      </c>
      <c r="AF39" s="633">
        <f t="shared" si="86"/>
        <v>-1.3008419221481359E-7</v>
      </c>
      <c r="AG39" s="602">
        <f t="shared" si="87"/>
        <v>-89.999992350641079</v>
      </c>
      <c r="AH39" s="603">
        <f t="shared" si="88"/>
        <v>103.00103710605848</v>
      </c>
      <c r="AI39" s="585">
        <f t="shared" si="89"/>
        <v>-89.999992546724798</v>
      </c>
      <c r="AJ39" s="586">
        <f t="shared" si="90"/>
        <v>-13.001037106058595</v>
      </c>
      <c r="AK39" s="635">
        <f t="shared" si="211"/>
        <v>0.8191520948772919</v>
      </c>
      <c r="AL39" s="629">
        <f t="shared" si="91"/>
        <v>-0.57357636410344459</v>
      </c>
      <c r="AM39" s="634">
        <f t="shared" si="92"/>
        <v>-1.3008419221481359E-7</v>
      </c>
      <c r="AN39" s="581">
        <f t="shared" si="93"/>
        <v>-89.999987005609611</v>
      </c>
      <c r="AO39" s="582">
        <f t="shared" si="94"/>
        <v>34.999994946625968</v>
      </c>
      <c r="AP39" s="585">
        <f t="shared" si="95"/>
        <v>-34.999994946625272</v>
      </c>
      <c r="AQ39" s="586">
        <f t="shared" si="9"/>
        <v>0.34736573186354336</v>
      </c>
      <c r="AS39" s="52">
        <f t="shared" si="116"/>
        <v>-68.001042159433325</v>
      </c>
      <c r="AT39" s="72">
        <f t="shared" si="10"/>
        <v>-4.7235914428321468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2.1379999999999999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1313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3.6180336700113194</v>
      </c>
      <c r="C40" s="708">
        <v>0.49682873724459975</v>
      </c>
      <c r="D40" s="709">
        <v>-9.6356439727202411E-2</v>
      </c>
      <c r="E40" s="710">
        <v>5.9100163756714376E-2</v>
      </c>
      <c r="F40" s="708">
        <v>8.1158691875962505E-3</v>
      </c>
      <c r="G40" s="711">
        <v>0.99821906579230368</v>
      </c>
      <c r="H40" s="710">
        <v>0.25700000000000001</v>
      </c>
      <c r="I40" s="708">
        <v>0.41499999999999992</v>
      </c>
      <c r="J40" s="570">
        <v>2.214</v>
      </c>
      <c r="K40" s="865" t="str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CPS-32193r1</v>
      </c>
      <c r="L40" s="320"/>
      <c r="M40" s="168">
        <f t="shared" si="1"/>
        <v>2.214</v>
      </c>
      <c r="N40" s="632">
        <f t="shared" si="2"/>
        <v>3.6180336700113194</v>
      </c>
      <c r="O40" s="629">
        <f t="shared" si="3"/>
        <v>0.49682873724459975</v>
      </c>
      <c r="P40" s="633">
        <f t="shared" si="4"/>
        <v>-9.6356439727202411E-2</v>
      </c>
      <c r="Q40" s="585">
        <f t="shared" si="113"/>
        <v>7.818959887905077</v>
      </c>
      <c r="R40" s="629">
        <f t="shared" si="79"/>
        <v>3.6519866417455091</v>
      </c>
      <c r="S40" s="634">
        <f t="shared" si="80"/>
        <v>-9.6356439727202411E-2</v>
      </c>
      <c r="T40" s="635">
        <f t="shared" si="81"/>
        <v>0.49682873724459881</v>
      </c>
      <c r="U40" s="629">
        <f t="shared" si="82"/>
        <v>-3.6180336700113198</v>
      </c>
      <c r="V40" s="636">
        <f t="shared" si="114"/>
        <v>-9.6356439727202411E-2</v>
      </c>
      <c r="W40" s="585">
        <f t="shared" si="224"/>
        <v>277.81895988790507</v>
      </c>
      <c r="X40" s="629">
        <f t="shared" si="83"/>
        <v>3.6519866417455091</v>
      </c>
      <c r="Y40" s="630">
        <f t="shared" si="223"/>
        <v>-9.6356439727202411E-2</v>
      </c>
      <c r="Z40" s="632">
        <f t="shared" si="6"/>
        <v>-5.9100163756714376E-2</v>
      </c>
      <c r="AA40" s="629">
        <f t="shared" si="7"/>
        <v>-8.1158691875962505E-3</v>
      </c>
      <c r="AB40" s="629">
        <f t="shared" si="8"/>
        <v>-0.99821906579230368</v>
      </c>
      <c r="AC40" s="636">
        <f t="shared" si="84"/>
        <v>1</v>
      </c>
      <c r="AD40" s="637">
        <f t="shared" si="115"/>
        <v>-5.9100163756714376E-2</v>
      </c>
      <c r="AE40" s="629">
        <f t="shared" si="85"/>
        <v>-8.1158691875962505E-3</v>
      </c>
      <c r="AF40" s="633">
        <f t="shared" si="86"/>
        <v>-0.99821906579230368</v>
      </c>
      <c r="AG40" s="602">
        <f t="shared" si="87"/>
        <v>-0.46582440854993745</v>
      </c>
      <c r="AH40" s="603">
        <f t="shared" si="88"/>
        <v>93.388164287187692</v>
      </c>
      <c r="AI40" s="585">
        <f t="shared" si="89"/>
        <v>-3.4199995062377564</v>
      </c>
      <c r="AJ40" s="586">
        <f t="shared" si="90"/>
        <v>-82.180822285740462</v>
      </c>
      <c r="AK40" s="635">
        <f t="shared" si="211"/>
        <v>2.2679489672210174E-7</v>
      </c>
      <c r="AL40" s="629">
        <f t="shared" si="91"/>
        <v>-5.9654812787311585E-2</v>
      </c>
      <c r="AM40" s="634">
        <f t="shared" si="92"/>
        <v>-0.99821906579230368</v>
      </c>
      <c r="AN40" s="581">
        <f t="shared" si="93"/>
        <v>-3.4199995062131667</v>
      </c>
      <c r="AO40" s="582">
        <f t="shared" si="94"/>
        <v>0</v>
      </c>
      <c r="AP40" s="585">
        <f t="shared" si="95"/>
        <v>-89.999782173645514</v>
      </c>
      <c r="AQ40" s="586">
        <f t="shared" si="9"/>
        <v>0.62421817451576223</v>
      </c>
      <c r="AS40" s="52">
        <f t="shared" si="116"/>
        <v>-82.181040112094934</v>
      </c>
      <c r="AT40" s="72">
        <f t="shared" si="10"/>
        <v>-3.9286272982692036E-2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Nose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2.214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2.1139999999999999</v>
      </c>
      <c r="II40" s="734" cm="1">
        <f t="array" ref="II40">IFERROR(ROUND(VALUE(IF($IH40&lt;1,$IH40+LARGE((IF($M$9:$M$150="",0,$M$9:$M$150)-MOD(IF($M$9:$M$150="",0,$M$9:$M$150),1)),1),$IH40)),4),"")</f>
        <v>2.1139999999999999</v>
      </c>
      <c r="IJ40" s="533">
        <f t="shared" si="112"/>
        <v>1613</v>
      </c>
      <c r="IK40" s="533" t="str">
        <f t="shared" si="66"/>
        <v>CPS-32193r1</v>
      </c>
      <c r="IL40" s="727">
        <f t="shared" si="225"/>
        <v>17.14099752514619</v>
      </c>
      <c r="IM40" s="759">
        <v>6.6633378957874301E-2</v>
      </c>
      <c r="IN40" s="5">
        <f t="shared" si="226"/>
        <v>1.68</v>
      </c>
      <c r="IO40" s="771">
        <v>840</v>
      </c>
      <c r="IP40" s="9">
        <f t="shared" si="227"/>
        <v>-3.6493110063219953</v>
      </c>
      <c r="IQ40" s="5">
        <f t="shared" si="228"/>
        <v>-6.1700186087761205E-2</v>
      </c>
      <c r="IR40" s="5">
        <f t="shared" si="71"/>
        <v>0.314</v>
      </c>
      <c r="IS40" s="5">
        <f t="shared" si="229"/>
        <v>0.30325293446265633</v>
      </c>
      <c r="IT40" s="727">
        <f t="shared" si="230"/>
        <v>7.3436534858583284</v>
      </c>
      <c r="IU40" s="9">
        <f t="shared" si="231"/>
        <v>-3.6519866417455091</v>
      </c>
      <c r="IV40" s="5">
        <f t="shared" si="232"/>
        <v>-9.6356439727202411E-2</v>
      </c>
      <c r="IW40" s="5">
        <f t="shared" si="76"/>
        <v>0.25700000000000001</v>
      </c>
      <c r="IX40" s="5">
        <f t="shared" si="233"/>
        <v>0.25700000000000001</v>
      </c>
      <c r="IY40" s="762">
        <f t="shared" si="234"/>
        <v>3.4199995062131667</v>
      </c>
    </row>
    <row r="41" spans="1:267" ht="15" customHeight="1" x14ac:dyDescent="0.25">
      <c r="A41" s="79"/>
      <c r="B41" s="707">
        <v>4.353612566869467</v>
      </c>
      <c r="C41" s="708">
        <v>0.83317062058832692</v>
      </c>
      <c r="D41" s="709">
        <v>-0.20834620640408802</v>
      </c>
      <c r="E41" s="710">
        <v>-3.7871655854797612E-2</v>
      </c>
      <c r="F41" s="708">
        <v>0.94766006033686923</v>
      </c>
      <c r="G41" s="711">
        <v>0.31702704573133395</v>
      </c>
      <c r="H41" s="710">
        <v>0.26600000000000001</v>
      </c>
      <c r="I41" s="708">
        <v>0.52</v>
      </c>
      <c r="J41" s="570">
        <v>2.2170000000000001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2.2170000000000001</v>
      </c>
      <c r="N41" s="632">
        <f t="shared" ref="N41:N72" si="240">IF(M41="","",B41)</f>
        <v>4.353612566869467</v>
      </c>
      <c r="O41" s="629">
        <f t="shared" ref="O41:O72" si="241">IF(M41="","",C41)</f>
        <v>0.83317062058832692</v>
      </c>
      <c r="P41" s="633">
        <f t="shared" ref="P41:P72" si="242">IF(M41="","",D41)</f>
        <v>-0.20834620640408802</v>
      </c>
      <c r="Q41" s="585">
        <f t="shared" si="113"/>
        <v>10.833959452592994</v>
      </c>
      <c r="R41" s="629">
        <f t="shared" si="79"/>
        <v>4.4326195037940357</v>
      </c>
      <c r="S41" s="634">
        <f t="shared" si="80"/>
        <v>-0.20834620640408802</v>
      </c>
      <c r="T41" s="635">
        <f t="shared" si="81"/>
        <v>0.83317062058832458</v>
      </c>
      <c r="U41" s="629">
        <f t="shared" si="82"/>
        <v>-4.353612566869467</v>
      </c>
      <c r="V41" s="636">
        <f t="shared" si="114"/>
        <v>-0.20834620640408802</v>
      </c>
      <c r="W41" s="585">
        <f t="shared" si="224"/>
        <v>280.83395945259298</v>
      </c>
      <c r="X41" s="629">
        <f t="shared" si="83"/>
        <v>4.4326195037940357</v>
      </c>
      <c r="Y41" s="630">
        <f t="shared" si="223"/>
        <v>-0.20834620640408802</v>
      </c>
      <c r="Z41" s="632">
        <f t="shared" ref="Z41:Z72" si="243">IF(M41="","",-E41)</f>
        <v>3.7871655854797612E-2</v>
      </c>
      <c r="AA41" s="629">
        <f t="shared" ref="AA41:AA72" si="244">IF(M41="","",-F41)</f>
        <v>-0.94766006033686923</v>
      </c>
      <c r="AB41" s="629">
        <f t="shared" ref="AB41:AB72" si="245">IF(M41="","",-G41)</f>
        <v>-0.31702704573133395</v>
      </c>
      <c r="AC41" s="636">
        <f t="shared" si="84"/>
        <v>1</v>
      </c>
      <c r="AD41" s="637">
        <f t="shared" si="115"/>
        <v>3.7871655854797612E-2</v>
      </c>
      <c r="AE41" s="629">
        <f t="shared" si="85"/>
        <v>-0.94766006033686923</v>
      </c>
      <c r="AF41" s="633">
        <f t="shared" si="86"/>
        <v>-0.31702704573133395</v>
      </c>
      <c r="AG41" s="602">
        <f t="shared" si="87"/>
        <v>-71.503021828833113</v>
      </c>
      <c r="AH41" s="603">
        <f t="shared" si="88"/>
        <v>87.829594923654454</v>
      </c>
      <c r="AI41" s="585">
        <f t="shared" si="89"/>
        <v>-71.516771849132709</v>
      </c>
      <c r="AJ41" s="586">
        <f t="shared" si="90"/>
        <v>2.2885126092696275</v>
      </c>
      <c r="AK41" s="635">
        <f t="shared" si="211"/>
        <v>0.93788747156297581</v>
      </c>
      <c r="AL41" s="629">
        <f t="shared" si="91"/>
        <v>-0.14092885779736944</v>
      </c>
      <c r="AM41" s="634">
        <f t="shared" si="92"/>
        <v>-0.31702704573133395</v>
      </c>
      <c r="AN41" s="581">
        <f t="shared" si="93"/>
        <v>-23.966706766921941</v>
      </c>
      <c r="AO41" s="582">
        <f t="shared" si="94"/>
        <v>20.300241618439173</v>
      </c>
      <c r="AP41" s="585">
        <f t="shared" si="95"/>
        <v>-8.5454468433233384</v>
      </c>
      <c r="AQ41" s="586">
        <f t="shared" ref="AQ41:AQ72" si="246">IF(M41="","",DEGREES(ATAN(($AS$5*SIN(RADIANS(90)))/(($X41*2*PI())-($AS$5*COS(RADIANS(90)))))))</f>
        <v>0.51429305029136985</v>
      </c>
      <c r="AS41" s="52">
        <f t="shared" si="116"/>
        <v>-79.166040547407022</v>
      </c>
      <c r="AT41" s="72">
        <f t="shared" ref="AT41:AT72" si="247">IF(M41="","",Y41+(((AS41-$AS$9)*$AS$6)*-1))</f>
        <v>-0.15336978935727758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Nose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2.2170000000000001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2.117</v>
      </c>
      <c r="II41" s="734" cm="1">
        <f t="array" ref="II41">IFERROR(ROUND(VALUE(IF($IH41&lt;1,$IH41+LARGE((IF($M$9:$M$150="",0,$M$9:$M$150)-MOD(IF($M$9:$M$150="",0,$M$9:$M$150),1)),1),$IH41)),4),"")</f>
        <v>2.117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13.689998023408862</v>
      </c>
      <c r="IM41" s="759">
        <v>3.6518626480055598E-2</v>
      </c>
      <c r="IN41" s="5">
        <f t="shared" si="226"/>
        <v>1.38</v>
      </c>
      <c r="IO41" s="771">
        <v>690</v>
      </c>
      <c r="IP41" s="9">
        <f t="shared" si="227"/>
        <v>-4.420013330760205</v>
      </c>
      <c r="IQ41" s="5">
        <f t="shared" si="228"/>
        <v>-0.20660062310747931</v>
      </c>
      <c r="IR41" s="5">
        <f t="shared" ref="IR41:IR72" si="383">IF(ISNUMBER($II41),INDEX($H$9:$H$150,MATCH($II41,$M$9:$M$150,0)),"")</f>
        <v>0.314</v>
      </c>
      <c r="IS41" s="5">
        <f t="shared" si="229"/>
        <v>0.30271806640228949</v>
      </c>
      <c r="IT41" s="727">
        <f t="shared" si="230"/>
        <v>27.166744190161669</v>
      </c>
      <c r="IU41" s="9">
        <f t="shared" si="231"/>
        <v>-4.4326195037940357</v>
      </c>
      <c r="IV41" s="5">
        <f t="shared" si="232"/>
        <v>-0.20834620640408802</v>
      </c>
      <c r="IW41" s="5">
        <f t="shared" ref="IW41:IW72" si="384">IF(ISNUMBER($II41),$H41,"")</f>
        <v>0.26600000000000001</v>
      </c>
      <c r="IX41" s="5">
        <f t="shared" si="233"/>
        <v>0.24947806743575157</v>
      </c>
      <c r="IY41" s="762">
        <f t="shared" si="234"/>
        <v>23.966706766921941</v>
      </c>
    </row>
    <row r="42" spans="1:267" ht="15" customHeight="1" x14ac:dyDescent="0.25">
      <c r="A42" s="79"/>
      <c r="B42" s="707">
        <v>5.0524976671037436</v>
      </c>
      <c r="C42" s="708">
        <v>0.98988333192090605</v>
      </c>
      <c r="D42" s="709">
        <v>-0.55078400959480256</v>
      </c>
      <c r="E42" s="710">
        <v>4.3371447884702416E-2</v>
      </c>
      <c r="F42" s="708">
        <v>0.96147838200589997</v>
      </c>
      <c r="G42" s="711">
        <v>0.27143735638946487</v>
      </c>
      <c r="H42" s="710">
        <v>0.26600000000000001</v>
      </c>
      <c r="I42" s="708">
        <v>0.52</v>
      </c>
      <c r="J42" s="570">
        <v>2.2200000000000002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2.2200000000000002</v>
      </c>
      <c r="N42" s="632">
        <f t="shared" si="240"/>
        <v>5.0524976671037436</v>
      </c>
      <c r="O42" s="629">
        <f t="shared" si="241"/>
        <v>0.98988333192090605</v>
      </c>
      <c r="P42" s="633">
        <f t="shared" si="242"/>
        <v>-0.55078400959480256</v>
      </c>
      <c r="Q42" s="585">
        <f t="shared" si="113"/>
        <v>11.084959416353087</v>
      </c>
      <c r="R42" s="629">
        <f t="shared" ref="R42:R47" si="385">IF(M42="","",SQRT(N42^2+O42^2))</f>
        <v>5.1485533586536327</v>
      </c>
      <c r="S42" s="634">
        <f t="shared" ref="S42:S47" si="386">IF(M42="","",P42)</f>
        <v>-0.55078400959480256</v>
      </c>
      <c r="T42" s="635">
        <f t="shared" ref="T42:T47" si="387">IF(M42="","",X42*COS(RADIANS(W42)))</f>
        <v>0.98988333192090117</v>
      </c>
      <c r="U42" s="629">
        <f t="shared" ref="U42:U47" si="388">IF(M42="","",X42*SIN(RADIANS(W42)))</f>
        <v>-5.0524976671037445</v>
      </c>
      <c r="V42" s="636">
        <f t="shared" ref="V42:V47" si="389">IF(M42="","",Y42)</f>
        <v>-0.55078400959480256</v>
      </c>
      <c r="W42" s="585">
        <f t="shared" si="224"/>
        <v>281.08495941635306</v>
      </c>
      <c r="X42" s="629">
        <f t="shared" ref="X42:X47" si="390">IF(M42="","",R42)</f>
        <v>5.1485533586536327</v>
      </c>
      <c r="Y42" s="630">
        <f t="shared" si="223"/>
        <v>-0.55078400959480256</v>
      </c>
      <c r="Z42" s="632">
        <f t="shared" si="243"/>
        <v>-4.3371447884702416E-2</v>
      </c>
      <c r="AA42" s="629">
        <f t="shared" si="244"/>
        <v>-0.96147838200589997</v>
      </c>
      <c r="AB42" s="629">
        <f t="shared" si="245"/>
        <v>-0.27143735638946487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-4.3371447884702416E-2</v>
      </c>
      <c r="AE42" s="629">
        <f t="shared" ref="AE42:AE47" si="393">IF(M42="","",AA42*(1/SQRT(Z42^2+AA42^2+AB42^2)))</f>
        <v>-0.96147838200589997</v>
      </c>
      <c r="AF42" s="633">
        <f t="shared" ref="AF42:AF47" si="394">IF(M42="","",AB42*(1/SQRT(Z42^2+AA42^2+AB42^2)))</f>
        <v>-0.27143735638946487</v>
      </c>
      <c r="AG42" s="602">
        <f t="shared" ref="AG42:AG47" si="395">IF(M42="","",DEGREES(ATAN2(-AF42,AE42)))</f>
        <v>-74.234964016293361</v>
      </c>
      <c r="AH42" s="603">
        <f t="shared" ref="AH42:AH47" si="396">IF(M42="","",DEGREES(ACOS(AD42)))</f>
        <v>92.485780657339447</v>
      </c>
      <c r="AI42" s="585">
        <f t="shared" ref="AI42:AI47" si="397">IF(M42="","",DEGREES(-ACOS(-AF42)))</f>
        <v>-74.250184157152859</v>
      </c>
      <c r="AJ42" s="586">
        <f t="shared" ref="AJ42:AJ47" si="398">IF(M42="","",DEGREES(ATAN2(-AE42,AD42)))</f>
        <v>-2.5828115283733095</v>
      </c>
      <c r="AK42" s="635">
        <f t="shared" ref="AK42:AK47" si="399">IF(M42="","",(COS(RADIANS((90-$Q$8)-W42))*AD42)+(-SIN(RADIANS((90-$Q$8)-W42))*AE42))</f>
        <v>0.9352014582154925</v>
      </c>
      <c r="AL42" s="629">
        <f t="shared" ref="AL42:AL47" si="400">IF(M42="","",(SIN(RADIANS((90-$Q$8)-W42))*AD42)+(COS(RADIANS((90-$Q$8)-W42))*AE42))</f>
        <v>-0.2274203027610224</v>
      </c>
      <c r="AM42" s="634">
        <f t="shared" ref="AM42:AM47" si="401">IF(M42="","",AF42)</f>
        <v>-0.27143735638946487</v>
      </c>
      <c r="AN42" s="581">
        <f t="shared" ref="AN42:AN47" si="402">IF(M42="","",DEGREES(ATAN2(-AM42,AL42)))</f>
        <v>-39.957525983586663</v>
      </c>
      <c r="AO42" s="582">
        <f t="shared" si="94"/>
        <v>20.73928367383623</v>
      </c>
      <c r="AP42" s="585">
        <f t="shared" ref="AP42:AP47" si="403">IF(M42="","",DEGREES(ATAN2(AK42,AL42)))</f>
        <v>-13.667770944726342</v>
      </c>
      <c r="AQ42" s="586">
        <f t="shared" si="246"/>
        <v>0.44278093085105863</v>
      </c>
      <c r="AS42" s="52">
        <f t="shared" si="116"/>
        <v>-78.915040583646942</v>
      </c>
      <c r="AT42" s="72">
        <f t="shared" si="247"/>
        <v>-0.49598189807838106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2.2200000000000002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2.12</v>
      </c>
      <c r="II42" s="734" cm="1">
        <f t="array" ref="II42">IFERROR(ROUND(VALUE(IF($IH42&lt;1,$IH42+LARGE((IF($M$9:$M$150="",0,$M$9:$M$150)-MOD(IF($M$9:$M$150="",0,$M$9:$M$150),1)),1),$IH42)),4),"")</f>
        <v>2.12</v>
      </c>
      <c r="IJ42" s="533">
        <f t="shared" si="112"/>
        <v>1613</v>
      </c>
      <c r="IK42" s="533">
        <f t="shared" si="382"/>
        <v>1313</v>
      </c>
      <c r="IL42" s="727">
        <f t="shared" si="225"/>
        <v>12.758998157828614</v>
      </c>
      <c r="IM42" s="759">
        <v>2.6356015066882801E-2</v>
      </c>
      <c r="IN42" s="5">
        <f t="shared" si="226"/>
        <v>1.46</v>
      </c>
      <c r="IO42" s="771">
        <v>730</v>
      </c>
      <c r="IP42" s="9">
        <f t="shared" si="227"/>
        <v>-5.1269154627770366</v>
      </c>
      <c r="IQ42" s="5">
        <f t="shared" si="228"/>
        <v>-0.54620164734416843</v>
      </c>
      <c r="IR42" s="5">
        <f t="shared" si="383"/>
        <v>0.314</v>
      </c>
      <c r="IS42" s="5">
        <f t="shared" si="229"/>
        <v>0.30185111296540668</v>
      </c>
      <c r="IT42" s="727">
        <f t="shared" si="230"/>
        <v>44.712303237410552</v>
      </c>
      <c r="IU42" s="9">
        <f t="shared" si="231"/>
        <v>-5.1485533586536327</v>
      </c>
      <c r="IV42" s="5">
        <f t="shared" si="232"/>
        <v>-0.55078400959480256</v>
      </c>
      <c r="IW42" s="5">
        <f t="shared" si="384"/>
        <v>0.26600000000000001</v>
      </c>
      <c r="IX42" s="5">
        <f t="shared" si="233"/>
        <v>0.24876358788532102</v>
      </c>
      <c r="IY42" s="762">
        <f t="shared" si="234"/>
        <v>39.957525983586663</v>
      </c>
    </row>
    <row r="43" spans="1:267" ht="15" customHeight="1" x14ac:dyDescent="0.25">
      <c r="A43" s="79"/>
      <c r="B43" s="707">
        <v>5.6467432534787081</v>
      </c>
      <c r="C43" s="708">
        <v>1.0944412658981191</v>
      </c>
      <c r="D43" s="709">
        <v>-1.0661120185050244</v>
      </c>
      <c r="E43" s="710">
        <v>0.14200646666552227</v>
      </c>
      <c r="F43" s="708">
        <v>0.95775677465460085</v>
      </c>
      <c r="G43" s="711">
        <v>0.25007223762023295</v>
      </c>
      <c r="H43" s="710">
        <v>0.26600000000000001</v>
      </c>
      <c r="I43" s="708">
        <v>0.52</v>
      </c>
      <c r="J43" s="570">
        <v>2.2229999999999999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1313</v>
      </c>
      <c r="L43" s="320"/>
      <c r="M43" s="168">
        <f t="shared" si="239"/>
        <v>2.2229999999999999</v>
      </c>
      <c r="N43" s="632">
        <f t="shared" si="240"/>
        <v>5.6467432534787081</v>
      </c>
      <c r="O43" s="629">
        <f t="shared" si="241"/>
        <v>1.0944412658981191</v>
      </c>
      <c r="P43" s="633">
        <f t="shared" si="242"/>
        <v>-1.0661120185050244</v>
      </c>
      <c r="Q43" s="585">
        <f t="shared" si="113"/>
        <v>10.968959433101412</v>
      </c>
      <c r="R43" s="629">
        <f t="shared" si="385"/>
        <v>5.7518267581011155</v>
      </c>
      <c r="S43" s="634">
        <f t="shared" si="386"/>
        <v>-1.0661120185050244</v>
      </c>
      <c r="T43" s="635">
        <f t="shared" si="387"/>
        <v>1.0944412658981202</v>
      </c>
      <c r="U43" s="629">
        <f t="shared" si="388"/>
        <v>-5.6467432534787081</v>
      </c>
      <c r="V43" s="636">
        <f t="shared" si="389"/>
        <v>-1.0661120185050244</v>
      </c>
      <c r="W43" s="585">
        <f t="shared" si="224"/>
        <v>280.96895943310142</v>
      </c>
      <c r="X43" s="629">
        <f t="shared" si="390"/>
        <v>5.7518267581011155</v>
      </c>
      <c r="Y43" s="630">
        <f t="shared" si="223"/>
        <v>-1.0661120185050244</v>
      </c>
      <c r="Z43" s="632">
        <f t="shared" si="243"/>
        <v>-0.14200646666552227</v>
      </c>
      <c r="AA43" s="629">
        <f t="shared" si="244"/>
        <v>-0.95775677465460085</v>
      </c>
      <c r="AB43" s="629">
        <f t="shared" si="245"/>
        <v>-0.25007223762023295</v>
      </c>
      <c r="AC43" s="636">
        <f t="shared" si="391"/>
        <v>1</v>
      </c>
      <c r="AD43" s="637">
        <f t="shared" si="392"/>
        <v>-0.14200646666552227</v>
      </c>
      <c r="AE43" s="629">
        <f t="shared" si="393"/>
        <v>-0.95775677465460085</v>
      </c>
      <c r="AF43" s="633">
        <f t="shared" si="394"/>
        <v>-0.25007223762023295</v>
      </c>
      <c r="AG43" s="602">
        <f t="shared" si="395"/>
        <v>-75.366656156249249</v>
      </c>
      <c r="AH43" s="603">
        <f t="shared" si="396"/>
        <v>98.163968501571176</v>
      </c>
      <c r="AI43" s="585">
        <f t="shared" si="397"/>
        <v>-75.518213124239807</v>
      </c>
      <c r="AJ43" s="586">
        <f t="shared" si="398"/>
        <v>-8.4337929292971356</v>
      </c>
      <c r="AK43" s="635">
        <f t="shared" si="399"/>
        <v>0.91323836574406769</v>
      </c>
      <c r="AL43" s="629">
        <f t="shared" si="400"/>
        <v>-0.32165130701539901</v>
      </c>
      <c r="AM43" s="634">
        <f t="shared" si="401"/>
        <v>-0.25007223762023295</v>
      </c>
      <c r="AN43" s="581">
        <f t="shared" si="402"/>
        <v>-52.13622804890506</v>
      </c>
      <c r="AO43" s="582">
        <f t="shared" si="94"/>
        <v>24.043222508107487</v>
      </c>
      <c r="AP43" s="585">
        <f t="shared" si="403"/>
        <v>-19.402752362398562</v>
      </c>
      <c r="AQ43" s="586">
        <f t="shared" si="246"/>
        <v>0.39634195621534429</v>
      </c>
      <c r="AS43" s="52">
        <f t="shared" ref="AS43:AS74" si="406">IF(G43="","",IF(AND(W43&lt;(AS42+180),W43&gt;(AS42-180)),W43,IF(W43&gt;(AS42+180),W43-360,IF(W43&lt;(AS42-180),W43+360,"Error"))))</f>
        <v>-79.031040566898582</v>
      </c>
      <c r="AT43" s="72">
        <f t="shared" si="247"/>
        <v>-1.0112293514446782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2.2229999999999999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2.1230000000000002</v>
      </c>
      <c r="II43" s="734" cm="1">
        <f t="array" ref="II43">IFERROR(ROUND(VALUE(IF($IH43&lt;1,$IH43+LARGE((IF($M$9:$M$150="",0,$M$9:$M$150)-MOD(IF($M$9:$M$150="",0,$M$9:$M$150),1)),1),$IH43)),4),"")</f>
        <v>2.1230000000000002</v>
      </c>
      <c r="IJ43" s="533">
        <f t="shared" si="112"/>
        <v>1613</v>
      </c>
      <c r="IK43" s="533">
        <f t="shared" si="382"/>
        <v>1313</v>
      </c>
      <c r="IL43" s="727">
        <f t="shared" si="225"/>
        <v>12.169998242869667</v>
      </c>
      <c r="IM43" s="759">
        <v>1.6848776514957298E-2</v>
      </c>
      <c r="IN43" s="5">
        <f t="shared" si="226"/>
        <v>1.52</v>
      </c>
      <c r="IO43" s="771">
        <v>760</v>
      </c>
      <c r="IP43" s="9">
        <f t="shared" si="227"/>
        <v>-5.7216172563976464</v>
      </c>
      <c r="IQ43" s="5">
        <f t="shared" si="228"/>
        <v>-1.0574031891280187</v>
      </c>
      <c r="IR43" s="5">
        <f t="shared" si="383"/>
        <v>0.314</v>
      </c>
      <c r="IS43" s="5">
        <f t="shared" si="229"/>
        <v>0.29627433692489402</v>
      </c>
      <c r="IT43" s="727">
        <f t="shared" si="230"/>
        <v>56.456519050924605</v>
      </c>
      <c r="IU43" s="9">
        <f t="shared" si="231"/>
        <v>-5.7518267581011155</v>
      </c>
      <c r="IV43" s="5">
        <f t="shared" si="232"/>
        <v>-1.0661120185050244</v>
      </c>
      <c r="IW43" s="5">
        <f t="shared" si="384"/>
        <v>0.26600000000000001</v>
      </c>
      <c r="IX43" s="5">
        <f t="shared" si="233"/>
        <v>0.24292140528792205</v>
      </c>
      <c r="IY43" s="762">
        <f t="shared" si="234"/>
        <v>52.13622804890506</v>
      </c>
    </row>
    <row r="44" spans="1:267" ht="15" customHeight="1" x14ac:dyDescent="0.25">
      <c r="A44" s="79"/>
      <c r="B44" s="707">
        <v>6.0987235027972995</v>
      </c>
      <c r="C44" s="708">
        <v>1.0294372972288564</v>
      </c>
      <c r="D44" s="709">
        <v>-1.7617797910666317</v>
      </c>
      <c r="E44" s="710">
        <v>0.95245242996346213</v>
      </c>
      <c r="F44" s="708">
        <v>0.16076994759909025</v>
      </c>
      <c r="G44" s="711">
        <v>0.25881922765838339</v>
      </c>
      <c r="H44" s="710">
        <v>0.25700000000000001</v>
      </c>
      <c r="I44" s="708">
        <v>0.41499999999999992</v>
      </c>
      <c r="J44" s="570">
        <v>2.226</v>
      </c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CPS-32193r1</v>
      </c>
      <c r="L44" s="320"/>
      <c r="M44" s="168">
        <f t="shared" si="239"/>
        <v>2.226</v>
      </c>
      <c r="N44" s="632">
        <f t="shared" si="240"/>
        <v>6.0987235027972995</v>
      </c>
      <c r="O44" s="629">
        <f t="shared" si="241"/>
        <v>1.0294372972288564</v>
      </c>
      <c r="P44" s="633">
        <f t="shared" si="242"/>
        <v>-1.7617797910666317</v>
      </c>
      <c r="Q44" s="585">
        <f t="shared" si="113"/>
        <v>9.5809596335037881</v>
      </c>
      <c r="R44" s="629">
        <f t="shared" si="385"/>
        <v>6.1849955143474453</v>
      </c>
      <c r="S44" s="634">
        <f t="shared" si="386"/>
        <v>-1.7617797910666317</v>
      </c>
      <c r="T44" s="635">
        <f t="shared" si="387"/>
        <v>1.0294372972288526</v>
      </c>
      <c r="U44" s="629">
        <f t="shared" si="388"/>
        <v>-6.0987235027973004</v>
      </c>
      <c r="V44" s="636">
        <f t="shared" si="389"/>
        <v>-1.7617797910666317</v>
      </c>
      <c r="W44" s="585">
        <f t="shared" si="224"/>
        <v>279.58095963350377</v>
      </c>
      <c r="X44" s="629">
        <f t="shared" si="390"/>
        <v>6.1849955143474453</v>
      </c>
      <c r="Y44" s="630">
        <f t="shared" si="223"/>
        <v>-1.7617797910666317</v>
      </c>
      <c r="Z44" s="632">
        <f t="shared" si="243"/>
        <v>-0.95245242996346213</v>
      </c>
      <c r="AA44" s="629">
        <f t="shared" si="244"/>
        <v>-0.16076994759909025</v>
      </c>
      <c r="AB44" s="629">
        <f t="shared" si="245"/>
        <v>-0.25881922765838339</v>
      </c>
      <c r="AC44" s="636">
        <f t="shared" si="391"/>
        <v>1</v>
      </c>
      <c r="AD44" s="637">
        <f t="shared" si="392"/>
        <v>-0.95245242996346213</v>
      </c>
      <c r="AE44" s="629">
        <f t="shared" si="393"/>
        <v>-0.16076994759909025</v>
      </c>
      <c r="AF44" s="633">
        <f t="shared" si="394"/>
        <v>-0.25881922765838339</v>
      </c>
      <c r="AG44" s="602">
        <f t="shared" si="395"/>
        <v>-31.847183399458707</v>
      </c>
      <c r="AH44" s="603">
        <f t="shared" si="396"/>
        <v>162.26064611487755</v>
      </c>
      <c r="AI44" s="585">
        <f t="shared" si="397"/>
        <v>-74.999989171341696</v>
      </c>
      <c r="AJ44" s="586">
        <f t="shared" si="398"/>
        <v>-80.419026913712671</v>
      </c>
      <c r="AK44" s="635">
        <f t="shared" si="399"/>
        <v>2.2679489733445912E-7</v>
      </c>
      <c r="AL44" s="629">
        <f t="shared" si="400"/>
        <v>-0.96592577737332719</v>
      </c>
      <c r="AM44" s="634">
        <f t="shared" si="401"/>
        <v>-0.25881922765838339</v>
      </c>
      <c r="AN44" s="581">
        <f t="shared" si="402"/>
        <v>-74.999989171341298</v>
      </c>
      <c r="AO44" s="582">
        <f t="shared" si="94"/>
        <v>0</v>
      </c>
      <c r="AP44" s="585">
        <f t="shared" si="403"/>
        <v>-89.999986547216423</v>
      </c>
      <c r="AQ44" s="586">
        <f t="shared" si="246"/>
        <v>0.36858477564322217</v>
      </c>
      <c r="AS44" s="52">
        <f t="shared" si="406"/>
        <v>-80.419040366496233</v>
      </c>
      <c r="AT44" s="72">
        <f t="shared" si="247"/>
        <v>-1.7059332352565648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>Taper</v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2.226</v>
      </c>
      <c r="IH44" s="731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>2.1259999999999999</v>
      </c>
      <c r="II44" s="734" cm="1">
        <f t="array" ref="II44">IFERROR(ROUND(VALUE(IF($IH44&lt;1,$IH44+LARGE((IF($M$9:$M$150="",0,$M$9:$M$150)-MOD(IF($M$9:$M$150="",0,$M$9:$M$150),1)),1),$IH44)),4),"")</f>
        <v>2.1259999999999999</v>
      </c>
      <c r="IJ44" s="533">
        <f t="shared" si="112"/>
        <v>1613</v>
      </c>
      <c r="IK44" s="533" t="str">
        <f t="shared" si="382"/>
        <v>CPS-32193r1</v>
      </c>
      <c r="IL44" s="727">
        <f t="shared" si="225"/>
        <v>12.976998126353294</v>
      </c>
      <c r="IM44" s="759">
        <v>1.16310769689915E-3</v>
      </c>
      <c r="IN44" s="5">
        <f t="shared" si="226"/>
        <v>0</v>
      </c>
      <c r="IO44" s="771">
        <v>0</v>
      </c>
      <c r="IP44" s="9">
        <f t="shared" si="227"/>
        <v>-6.1635185891720647</v>
      </c>
      <c r="IQ44" s="5">
        <f t="shared" si="228"/>
        <v>-1.7053051432003119</v>
      </c>
      <c r="IR44" s="5">
        <f t="shared" si="383"/>
        <v>0.314</v>
      </c>
      <c r="IS44" s="5">
        <f t="shared" si="229"/>
        <v>0.28598115078015218</v>
      </c>
      <c r="IT44" s="727">
        <f t="shared" si="230"/>
        <v>65.037728928384482</v>
      </c>
      <c r="IU44" s="9">
        <f t="shared" si="231"/>
        <v>-6.1849955143474453</v>
      </c>
      <c r="IV44" s="5">
        <f t="shared" si="232"/>
        <v>-1.7617797910666317</v>
      </c>
      <c r="IW44" s="5">
        <f t="shared" si="384"/>
        <v>0.25700000000000001</v>
      </c>
      <c r="IX44" s="5">
        <f t="shared" si="233"/>
        <v>0.25700000000000001</v>
      </c>
      <c r="IY44" s="762">
        <f t="shared" si="234"/>
        <v>74.999989171341298</v>
      </c>
    </row>
    <row r="45" spans="1:267" ht="15" customHeight="1" x14ac:dyDescent="0.25">
      <c r="A45" s="79"/>
      <c r="B45" s="707">
        <v>6.3525133954571338</v>
      </c>
      <c r="C45" s="708">
        <v>1.0574574887194808</v>
      </c>
      <c r="D45" s="709">
        <v>-2.5115240257826561</v>
      </c>
      <c r="E45" s="710">
        <v>0.95281475341074362</v>
      </c>
      <c r="F45" s="708">
        <v>0.15860848992768956</v>
      </c>
      <c r="G45" s="711">
        <v>0.25881922765838344</v>
      </c>
      <c r="H45" s="710">
        <v>0.25700000000000001</v>
      </c>
      <c r="I45" s="708">
        <v>0.41499999999999992</v>
      </c>
      <c r="J45" s="570">
        <v>2.2290000000000001</v>
      </c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CPS-32193r1</v>
      </c>
      <c r="L45" s="320"/>
      <c r="M45" s="168">
        <f t="shared" si="239"/>
        <v>2.2290000000000001</v>
      </c>
      <c r="N45" s="632">
        <f t="shared" si="240"/>
        <v>6.3525133954571338</v>
      </c>
      <c r="O45" s="629">
        <f t="shared" si="241"/>
        <v>1.0574574887194808</v>
      </c>
      <c r="P45" s="633">
        <f t="shared" si="242"/>
        <v>-2.5115240257826561</v>
      </c>
      <c r="Q45" s="585">
        <f t="shared" si="113"/>
        <v>9.4509596522734629</v>
      </c>
      <c r="R45" s="629">
        <f t="shared" si="385"/>
        <v>6.4399256812413013</v>
      </c>
      <c r="S45" s="634">
        <f t="shared" si="386"/>
        <v>-2.5115240257826561</v>
      </c>
      <c r="T45" s="635">
        <f t="shared" si="387"/>
        <v>1.0574574887194803</v>
      </c>
      <c r="U45" s="629">
        <f t="shared" si="388"/>
        <v>-6.3525133954571338</v>
      </c>
      <c r="V45" s="636">
        <f t="shared" si="389"/>
        <v>-2.5115240257826561</v>
      </c>
      <c r="W45" s="585">
        <f t="shared" si="224"/>
        <v>279.45095965227347</v>
      </c>
      <c r="X45" s="629">
        <f t="shared" si="390"/>
        <v>6.4399256812413013</v>
      </c>
      <c r="Y45" s="630">
        <f t="shared" si="223"/>
        <v>-2.5115240257826561</v>
      </c>
      <c r="Z45" s="632">
        <f t="shared" si="243"/>
        <v>-0.95281475341074362</v>
      </c>
      <c r="AA45" s="629">
        <f t="shared" si="244"/>
        <v>-0.15860848992768956</v>
      </c>
      <c r="AB45" s="629">
        <f t="shared" si="245"/>
        <v>-0.25881922765838344</v>
      </c>
      <c r="AC45" s="636">
        <f t="shared" si="391"/>
        <v>1</v>
      </c>
      <c r="AD45" s="637">
        <f t="shared" si="392"/>
        <v>-0.95281475341074362</v>
      </c>
      <c r="AE45" s="629">
        <f t="shared" si="393"/>
        <v>-0.15860848992768956</v>
      </c>
      <c r="AF45" s="633">
        <f t="shared" si="394"/>
        <v>-0.25881922765838344</v>
      </c>
      <c r="AG45" s="602">
        <f t="shared" si="395"/>
        <v>-31.500621735503028</v>
      </c>
      <c r="AH45" s="603">
        <f t="shared" si="396"/>
        <v>162.32890736671797</v>
      </c>
      <c r="AI45" s="585">
        <f t="shared" si="397"/>
        <v>-74.999989171341696</v>
      </c>
      <c r="AJ45" s="586">
        <f t="shared" si="398"/>
        <v>-80.549026894943012</v>
      </c>
      <c r="AK45" s="635">
        <f t="shared" si="399"/>
        <v>2.2679489675159203E-7</v>
      </c>
      <c r="AL45" s="629">
        <f t="shared" si="400"/>
        <v>-0.9659257773733273</v>
      </c>
      <c r="AM45" s="634">
        <f t="shared" si="401"/>
        <v>-0.25881922765838344</v>
      </c>
      <c r="AN45" s="581">
        <f t="shared" si="402"/>
        <v>-74.999989171341298</v>
      </c>
      <c r="AO45" s="582">
        <f t="shared" si="94"/>
        <v>0</v>
      </c>
      <c r="AP45" s="585">
        <f t="shared" si="403"/>
        <v>-89.999986547216466</v>
      </c>
      <c r="AQ45" s="586">
        <f t="shared" si="246"/>
        <v>0.3539943995167168</v>
      </c>
      <c r="AS45" s="52">
        <f t="shared" si="406"/>
        <v>-80.549040347726532</v>
      </c>
      <c r="AT45" s="72">
        <f t="shared" si="247"/>
        <v>-2.455587192207846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>Taper</v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2.2290000000000001</v>
      </c>
      <c r="IH45" s="731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>2.129</v>
      </c>
      <c r="II45" s="734" cm="1">
        <f t="array" ref="II45">IFERROR(ROUND(VALUE(IF($IH45&lt;1,$IH45+LARGE((IF($M$9:$M$150="",0,$M$9:$M$150)-MOD(IF($M$9:$M$150="",0,$M$9:$M$150),1)),1),$IH45)),4),"")</f>
        <v>2.129</v>
      </c>
      <c r="IJ45" s="533">
        <f t="shared" si="112"/>
        <v>1613</v>
      </c>
      <c r="IK45" s="533" t="str">
        <f t="shared" si="382"/>
        <v>CPS-32193r1</v>
      </c>
      <c r="IL45" s="727">
        <f t="shared" si="225"/>
        <v>12.747998159416795</v>
      </c>
      <c r="IM45" s="759">
        <v>2.3372978104353899E-4</v>
      </c>
      <c r="IN45" s="5">
        <f t="shared" si="226"/>
        <v>0</v>
      </c>
      <c r="IO45" s="771">
        <v>0</v>
      </c>
      <c r="IP45" s="9">
        <f t="shared" si="227"/>
        <v>-6.4224193700168195</v>
      </c>
      <c r="IQ45" s="5">
        <f t="shared" si="228"/>
        <v>-2.4456073759518464</v>
      </c>
      <c r="IR45" s="5">
        <f t="shared" si="383"/>
        <v>0.314</v>
      </c>
      <c r="IS45" s="5">
        <f t="shared" si="229"/>
        <v>0.27633918625234977</v>
      </c>
      <c r="IT45" s="727">
        <f t="shared" si="230"/>
        <v>73.952294952969226</v>
      </c>
      <c r="IU45" s="9">
        <f t="shared" si="231"/>
        <v>-6.4399256812413013</v>
      </c>
      <c r="IV45" s="5">
        <f t="shared" si="232"/>
        <v>-2.5115240257826561</v>
      </c>
      <c r="IW45" s="5">
        <f t="shared" si="384"/>
        <v>0.25700000000000001</v>
      </c>
      <c r="IX45" s="5">
        <f t="shared" si="233"/>
        <v>0.25700000000000001</v>
      </c>
      <c r="IY45" s="762">
        <f t="shared" si="234"/>
        <v>74.999989171341298</v>
      </c>
    </row>
    <row r="46" spans="1:267" ht="15" customHeight="1" x14ac:dyDescent="0.25">
      <c r="A46" s="79"/>
      <c r="B46" s="707">
        <v>0.69267677054363908</v>
      </c>
      <c r="C46" s="708">
        <v>-0.48501810758585806</v>
      </c>
      <c r="D46" s="709">
        <v>-0.65880198694679271</v>
      </c>
      <c r="E46" s="710">
        <v>0.49916002344389943</v>
      </c>
      <c r="F46" s="708">
        <v>0.82966215254342957</v>
      </c>
      <c r="G46" s="711">
        <v>0.24999996726497567</v>
      </c>
      <c r="H46" s="710">
        <v>0.314</v>
      </c>
      <c r="I46" s="708">
        <v>0.52</v>
      </c>
      <c r="J46" s="570">
        <v>3.1030000000000002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3.1030000000000002</v>
      </c>
      <c r="N46" s="632">
        <f t="shared" si="240"/>
        <v>0.69267677054363908</v>
      </c>
      <c r="O46" s="629">
        <f t="shared" si="241"/>
        <v>-0.48501810758585806</v>
      </c>
      <c r="P46" s="633">
        <f t="shared" si="242"/>
        <v>-0.65880198694679271</v>
      </c>
      <c r="Q46" s="585">
        <f t="shared" si="113"/>
        <v>324.9999660702029</v>
      </c>
      <c r="R46" s="629">
        <f t="shared" si="385"/>
        <v>0.84560255033729181</v>
      </c>
      <c r="S46" s="634">
        <f t="shared" si="386"/>
        <v>-0.65880198694679271</v>
      </c>
      <c r="T46" s="635">
        <f t="shared" si="387"/>
        <v>-0.48501810758585806</v>
      </c>
      <c r="U46" s="629">
        <f t="shared" si="388"/>
        <v>-0.69267677054363908</v>
      </c>
      <c r="V46" s="636">
        <f t="shared" si="389"/>
        <v>-0.65880198694679271</v>
      </c>
      <c r="W46" s="585">
        <f t="shared" si="224"/>
        <v>234.9999660702029</v>
      </c>
      <c r="X46" s="629">
        <f t="shared" si="390"/>
        <v>0.84560255033729181</v>
      </c>
      <c r="Y46" s="630">
        <f t="shared" si="223"/>
        <v>-0.65880198694679271</v>
      </c>
      <c r="Z46" s="632">
        <f t="shared" si="243"/>
        <v>-0.49916002344389943</v>
      </c>
      <c r="AA46" s="629">
        <f t="shared" si="244"/>
        <v>-0.82966215254342957</v>
      </c>
      <c r="AB46" s="629">
        <f t="shared" si="245"/>
        <v>-0.24999996726497567</v>
      </c>
      <c r="AC46" s="636">
        <f t="shared" si="391"/>
        <v>1</v>
      </c>
      <c r="AD46" s="637">
        <f t="shared" si="392"/>
        <v>-0.49916002344389943</v>
      </c>
      <c r="AE46" s="629">
        <f t="shared" si="393"/>
        <v>-0.82966215254342957</v>
      </c>
      <c r="AF46" s="633">
        <f t="shared" si="394"/>
        <v>-0.24999996726497567</v>
      </c>
      <c r="AG46" s="602">
        <f t="shared" si="395"/>
        <v>-73.231004817230939</v>
      </c>
      <c r="AH46" s="603">
        <f t="shared" si="396"/>
        <v>119.94444314080609</v>
      </c>
      <c r="AI46" s="585">
        <f t="shared" si="397"/>
        <v>-75.522489751159455</v>
      </c>
      <c r="AJ46" s="586">
        <f t="shared" si="398"/>
        <v>-31.032904284710551</v>
      </c>
      <c r="AK46" s="635">
        <f t="shared" si="399"/>
        <v>0.9659258360722075</v>
      </c>
      <c r="AL46" s="629">
        <f t="shared" si="400"/>
        <v>6.698727920820724E-2</v>
      </c>
      <c r="AM46" s="634">
        <f t="shared" si="401"/>
        <v>-0.24999996726497567</v>
      </c>
      <c r="AN46" s="581">
        <f t="shared" si="402"/>
        <v>14.999997834268274</v>
      </c>
      <c r="AO46" s="582">
        <f t="shared" si="94"/>
        <v>14.99999783426823</v>
      </c>
      <c r="AP46" s="585">
        <f t="shared" si="403"/>
        <v>3.9671296450865734</v>
      </c>
      <c r="AQ46" s="586">
        <f t="shared" si="246"/>
        <v>2.6939918584737454</v>
      </c>
      <c r="AS46" s="52">
        <f t="shared" si="406"/>
        <v>-125.0000339297971</v>
      </c>
      <c r="AT46" s="72">
        <f t="shared" si="247"/>
        <v>-0.57199640782887806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3.1030000000000002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1.3132679736702486</v>
      </c>
      <c r="C47" s="708">
        <v>-0.91956129385246876</v>
      </c>
      <c r="D47" s="709">
        <v>-0.45580137469694609</v>
      </c>
      <c r="E47" s="710">
        <v>0.49916002344389948</v>
      </c>
      <c r="F47" s="708">
        <v>0.82966215254342957</v>
      </c>
      <c r="G47" s="711">
        <v>0.2499999672649757</v>
      </c>
      <c r="H47" s="710">
        <v>0.314</v>
      </c>
      <c r="I47" s="708">
        <v>0.52</v>
      </c>
      <c r="J47" s="570">
        <v>3.1059999999999999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3.1059999999999999</v>
      </c>
      <c r="N47" s="632">
        <f t="shared" si="240"/>
        <v>1.3132679736702486</v>
      </c>
      <c r="O47" s="629">
        <f t="shared" si="241"/>
        <v>-0.91956129385246876</v>
      </c>
      <c r="P47" s="633">
        <f t="shared" si="242"/>
        <v>-0.45580137469694609</v>
      </c>
      <c r="Q47" s="585">
        <f t="shared" si="113"/>
        <v>324.9999660702029</v>
      </c>
      <c r="R47" s="629">
        <f t="shared" si="385"/>
        <v>1.6032048352657833</v>
      </c>
      <c r="S47" s="634">
        <f t="shared" si="386"/>
        <v>-0.45580137469694609</v>
      </c>
      <c r="T47" s="635">
        <f t="shared" si="387"/>
        <v>-0.91956129385246888</v>
      </c>
      <c r="U47" s="629">
        <f t="shared" si="388"/>
        <v>-1.3132679736702486</v>
      </c>
      <c r="V47" s="636">
        <f t="shared" si="389"/>
        <v>-0.45580137469694609</v>
      </c>
      <c r="W47" s="585">
        <f t="shared" si="224"/>
        <v>234.9999660702029</v>
      </c>
      <c r="X47" s="629">
        <f t="shared" si="390"/>
        <v>1.6032048352657833</v>
      </c>
      <c r="Y47" s="630">
        <f t="shared" si="223"/>
        <v>-0.45580137469694609</v>
      </c>
      <c r="Z47" s="632">
        <f t="shared" si="243"/>
        <v>-0.49916002344389948</v>
      </c>
      <c r="AA47" s="629">
        <f t="shared" si="244"/>
        <v>-0.82966215254342957</v>
      </c>
      <c r="AB47" s="629">
        <f t="shared" si="245"/>
        <v>-0.2499999672649757</v>
      </c>
      <c r="AC47" s="636">
        <f t="shared" si="391"/>
        <v>1</v>
      </c>
      <c r="AD47" s="637">
        <f t="shared" si="392"/>
        <v>-0.49916002344389948</v>
      </c>
      <c r="AE47" s="629">
        <f t="shared" si="393"/>
        <v>-0.82966215254342957</v>
      </c>
      <c r="AF47" s="633">
        <f t="shared" si="394"/>
        <v>-0.2499999672649757</v>
      </c>
      <c r="AG47" s="602">
        <f t="shared" si="395"/>
        <v>-73.231004817230939</v>
      </c>
      <c r="AH47" s="603">
        <f t="shared" si="396"/>
        <v>119.94444314080609</v>
      </c>
      <c r="AI47" s="585">
        <f t="shared" si="397"/>
        <v>-75.522489751159455</v>
      </c>
      <c r="AJ47" s="586">
        <f t="shared" si="398"/>
        <v>-31.032904284710551</v>
      </c>
      <c r="AK47" s="635">
        <f t="shared" si="399"/>
        <v>0.9659258360722075</v>
      </c>
      <c r="AL47" s="629">
        <f t="shared" si="400"/>
        <v>6.6987279208207184E-2</v>
      </c>
      <c r="AM47" s="634">
        <f t="shared" si="401"/>
        <v>-0.2499999672649757</v>
      </c>
      <c r="AN47" s="581">
        <f t="shared" si="402"/>
        <v>14.999997834268262</v>
      </c>
      <c r="AO47" s="582">
        <f t="shared" si="94"/>
        <v>14.99999783426823</v>
      </c>
      <c r="AP47" s="585">
        <f t="shared" si="403"/>
        <v>3.9671296450865703</v>
      </c>
      <c r="AQ47" s="586">
        <f t="shared" si="246"/>
        <v>1.4216890395434567</v>
      </c>
      <c r="AS47" s="52">
        <f t="shared" si="406"/>
        <v>-125.0000339297971</v>
      </c>
      <c r="AT47" s="72">
        <f t="shared" si="247"/>
        <v>-0.36899579557903145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3.1059999999999999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1.9337772613793387</v>
      </c>
      <c r="C48" s="708">
        <v>-1.3540471222539441</v>
      </c>
      <c r="D48" s="709">
        <v>-0.25280076244709959</v>
      </c>
      <c r="E48" s="710">
        <v>0.49916002344389937</v>
      </c>
      <c r="F48" s="708">
        <v>0.82966215254342968</v>
      </c>
      <c r="G48" s="711">
        <v>0.24999996726497559</v>
      </c>
      <c r="H48" s="710">
        <v>0.314</v>
      </c>
      <c r="I48" s="708">
        <v>0.52</v>
      </c>
      <c r="J48" s="570">
        <v>3.109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3.109</v>
      </c>
      <c r="N48" s="632">
        <f t="shared" si="240"/>
        <v>1.9337772613793387</v>
      </c>
      <c r="O48" s="629">
        <f t="shared" si="241"/>
        <v>-1.3540471222539441</v>
      </c>
      <c r="P48" s="633">
        <f t="shared" si="242"/>
        <v>-0.25280076244709959</v>
      </c>
      <c r="Q48" s="585">
        <f t="shared" si="113"/>
        <v>324.9999660702029</v>
      </c>
      <c r="R48" s="629">
        <f t="shared" si="79"/>
        <v>2.3607071198926737</v>
      </c>
      <c r="S48" s="634">
        <f t="shared" si="80"/>
        <v>-0.25280076244709959</v>
      </c>
      <c r="T48" s="635">
        <f t="shared" si="81"/>
        <v>-1.3540471222539441</v>
      </c>
      <c r="U48" s="629">
        <f t="shared" si="82"/>
        <v>-1.9337772613793387</v>
      </c>
      <c r="V48" s="636">
        <f t="shared" si="114"/>
        <v>-0.25280076244709959</v>
      </c>
      <c r="W48" s="585">
        <f t="shared" si="224"/>
        <v>234.9999660702029</v>
      </c>
      <c r="X48" s="629">
        <f t="shared" si="83"/>
        <v>2.3607071198926737</v>
      </c>
      <c r="Y48" s="630">
        <f t="shared" si="223"/>
        <v>-0.25280076244709959</v>
      </c>
      <c r="Z48" s="632">
        <f t="shared" si="243"/>
        <v>-0.49916002344389937</v>
      </c>
      <c r="AA48" s="629">
        <f t="shared" si="244"/>
        <v>-0.82966215254342968</v>
      </c>
      <c r="AB48" s="629">
        <f t="shared" si="245"/>
        <v>-0.24999996726497559</v>
      </c>
      <c r="AC48" s="636">
        <f t="shared" si="84"/>
        <v>1</v>
      </c>
      <c r="AD48" s="637">
        <f t="shared" si="115"/>
        <v>-0.49916002344389937</v>
      </c>
      <c r="AE48" s="629">
        <f t="shared" si="85"/>
        <v>-0.82966215254342968</v>
      </c>
      <c r="AF48" s="633">
        <f t="shared" si="86"/>
        <v>-0.24999996726497559</v>
      </c>
      <c r="AG48" s="602">
        <f t="shared" si="87"/>
        <v>-73.231004817230954</v>
      </c>
      <c r="AH48" s="603">
        <f t="shared" si="88"/>
        <v>119.94444314080609</v>
      </c>
      <c r="AI48" s="585">
        <f t="shared" si="89"/>
        <v>-75.522489751159469</v>
      </c>
      <c r="AJ48" s="586">
        <f t="shared" si="90"/>
        <v>-31.032904284710543</v>
      </c>
      <c r="AK48" s="635">
        <f t="shared" si="211"/>
        <v>0.96592583607220739</v>
      </c>
      <c r="AL48" s="629">
        <f t="shared" si="91"/>
        <v>6.6987279208207295E-2</v>
      </c>
      <c r="AM48" s="634">
        <f t="shared" si="92"/>
        <v>-0.24999996726497559</v>
      </c>
      <c r="AN48" s="581">
        <f t="shared" si="93"/>
        <v>14.999997834268294</v>
      </c>
      <c r="AO48" s="582">
        <f t="shared" si="94"/>
        <v>14.999997834268255</v>
      </c>
      <c r="AP48" s="585">
        <f t="shared" si="95"/>
        <v>3.9671296450865774</v>
      </c>
      <c r="AQ48" s="586">
        <f t="shared" si="246"/>
        <v>0.96560508370698828</v>
      </c>
      <c r="AS48" s="52">
        <f t="shared" si="406"/>
        <v>-125.0000339297971</v>
      </c>
      <c r="AT48" s="72">
        <f t="shared" si="247"/>
        <v>-0.16599518332918495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3.109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2.5605940362374193</v>
      </c>
      <c r="C49" s="708">
        <v>-1.7929495062708534</v>
      </c>
      <c r="D49" s="709">
        <v>-7.8900237963117695E-2</v>
      </c>
      <c r="E49" s="710">
        <v>0.53555470392949145</v>
      </c>
      <c r="F49" s="708">
        <v>0.80417829079726511</v>
      </c>
      <c r="G49" s="711">
        <v>0.25783412440827969</v>
      </c>
      <c r="H49" s="710">
        <v>0.314</v>
      </c>
      <c r="I49" s="708">
        <v>0.52</v>
      </c>
      <c r="J49" s="570">
        <v>3.1120000000000001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3.1120000000000001</v>
      </c>
      <c r="N49" s="632">
        <f t="shared" si="240"/>
        <v>2.5605940362374193</v>
      </c>
      <c r="O49" s="629">
        <f t="shared" si="241"/>
        <v>-1.7929495062708534</v>
      </c>
      <c r="P49" s="633">
        <f t="shared" si="242"/>
        <v>-7.8900237963117695E-2</v>
      </c>
      <c r="Q49" s="585">
        <f t="shared" si="113"/>
        <v>324.9999660702029</v>
      </c>
      <c r="R49" s="629">
        <f t="shared" si="79"/>
        <v>3.1259094277428345</v>
      </c>
      <c r="S49" s="634">
        <f t="shared" si="80"/>
        <v>-7.8900237963117695E-2</v>
      </c>
      <c r="T49" s="635">
        <f t="shared" si="81"/>
        <v>-1.7929495062708536</v>
      </c>
      <c r="U49" s="629">
        <f t="shared" si="82"/>
        <v>-2.5605940362374193</v>
      </c>
      <c r="V49" s="636">
        <f t="shared" si="114"/>
        <v>-7.8900237963117695E-2</v>
      </c>
      <c r="W49" s="585">
        <f t="shared" si="224"/>
        <v>234.9999660702029</v>
      </c>
      <c r="X49" s="629">
        <f t="shared" si="83"/>
        <v>3.1259094277428345</v>
      </c>
      <c r="Y49" s="630">
        <f t="shared" si="223"/>
        <v>-7.8900237963117695E-2</v>
      </c>
      <c r="Z49" s="632">
        <f t="shared" si="243"/>
        <v>-0.53555470392949145</v>
      </c>
      <c r="AA49" s="629">
        <f t="shared" si="244"/>
        <v>-0.80417829079726511</v>
      </c>
      <c r="AB49" s="629">
        <f t="shared" si="245"/>
        <v>-0.25783412440827969</v>
      </c>
      <c r="AC49" s="636">
        <f t="shared" si="84"/>
        <v>1</v>
      </c>
      <c r="AD49" s="637">
        <f t="shared" si="115"/>
        <v>-0.53555470392949145</v>
      </c>
      <c r="AE49" s="629">
        <f t="shared" si="85"/>
        <v>-0.80417829079726511</v>
      </c>
      <c r="AF49" s="633">
        <f t="shared" si="86"/>
        <v>-0.25783412440827969</v>
      </c>
      <c r="AG49" s="602">
        <f t="shared" si="87"/>
        <v>-72.223208647075211</v>
      </c>
      <c r="AH49" s="603">
        <f t="shared" si="88"/>
        <v>122.38153788975058</v>
      </c>
      <c r="AI49" s="585">
        <f t="shared" si="89"/>
        <v>-75.058414528502141</v>
      </c>
      <c r="AJ49" s="586">
        <f t="shared" si="90"/>
        <v>-33.662231340247345</v>
      </c>
      <c r="AK49" s="635">
        <f t="shared" si="211"/>
        <v>0.9659258360722075</v>
      </c>
      <c r="AL49" s="629">
        <f t="shared" si="91"/>
        <v>2.2557559682354289E-2</v>
      </c>
      <c r="AM49" s="634">
        <f t="shared" si="92"/>
        <v>-0.25783412440827969</v>
      </c>
      <c r="AN49" s="581">
        <f t="shared" si="93"/>
        <v>4.999999278089394</v>
      </c>
      <c r="AO49" s="582">
        <f t="shared" si="94"/>
        <v>14.99999783426823</v>
      </c>
      <c r="AP49" s="585">
        <f t="shared" si="95"/>
        <v>1.3378025895497729</v>
      </c>
      <c r="AQ49" s="586">
        <f t="shared" si="246"/>
        <v>0.72926090038681446</v>
      </c>
      <c r="AS49" s="52">
        <f t="shared" si="406"/>
        <v>-125.0000339297971</v>
      </c>
      <c r="AT49" s="72">
        <f t="shared" si="247"/>
        <v>7.9053411547969632E-3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3.1120000000000001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3.1974458328937838</v>
      </c>
      <c r="C50" s="708">
        <v>-2.2506253305834085</v>
      </c>
      <c r="D50" s="709">
        <v>-8.7500263900795919E-2</v>
      </c>
      <c r="E50" s="710">
        <v>0.6080609366191676</v>
      </c>
      <c r="F50" s="708">
        <v>0.75255074649595122</v>
      </c>
      <c r="G50" s="711">
        <v>0.25284238431522388</v>
      </c>
      <c r="H50" s="710">
        <v>0.314</v>
      </c>
      <c r="I50" s="708">
        <v>0.52</v>
      </c>
      <c r="J50" s="570">
        <v>3.1150000000000002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3.1150000000000002</v>
      </c>
      <c r="N50" s="632">
        <f t="shared" si="240"/>
        <v>3.1974458328937838</v>
      </c>
      <c r="O50" s="629">
        <f t="shared" si="241"/>
        <v>-2.2506253305834085</v>
      </c>
      <c r="P50" s="633">
        <f t="shared" si="242"/>
        <v>-8.7500263900795919E-2</v>
      </c>
      <c r="Q50" s="585">
        <f t="shared" si="113"/>
        <v>324.85896609056078</v>
      </c>
      <c r="R50" s="629">
        <f t="shared" si="79"/>
        <v>3.9101117928971671</v>
      </c>
      <c r="S50" s="634">
        <f t="shared" si="80"/>
        <v>-8.7500263900795919E-2</v>
      </c>
      <c r="T50" s="635">
        <f t="shared" si="81"/>
        <v>-2.2506253305834067</v>
      </c>
      <c r="U50" s="629">
        <f t="shared" si="82"/>
        <v>-3.1974458328937851</v>
      </c>
      <c r="V50" s="636">
        <f t="shared" si="114"/>
        <v>-8.7500263900795919E-2</v>
      </c>
      <c r="W50" s="585">
        <f t="shared" si="224"/>
        <v>234.85896609056078</v>
      </c>
      <c r="X50" s="629">
        <f t="shared" si="83"/>
        <v>3.9101117928971671</v>
      </c>
      <c r="Y50" s="630">
        <f t="shared" si="223"/>
        <v>-8.7500263900795919E-2</v>
      </c>
      <c r="Z50" s="632">
        <f t="shared" si="243"/>
        <v>-0.6080609366191676</v>
      </c>
      <c r="AA50" s="629">
        <f t="shared" si="244"/>
        <v>-0.75255074649595122</v>
      </c>
      <c r="AB50" s="629">
        <f t="shared" si="245"/>
        <v>-0.25284238431522388</v>
      </c>
      <c r="AC50" s="636">
        <f t="shared" si="84"/>
        <v>1</v>
      </c>
      <c r="AD50" s="637">
        <f t="shared" si="115"/>
        <v>-0.6080609366191676</v>
      </c>
      <c r="AE50" s="629">
        <f t="shared" si="85"/>
        <v>-0.75255074649595122</v>
      </c>
      <c r="AF50" s="633">
        <f t="shared" si="86"/>
        <v>-0.25284238431522388</v>
      </c>
      <c r="AG50" s="602">
        <f t="shared" si="87"/>
        <v>-71.428654860539439</v>
      </c>
      <c r="AH50" s="603">
        <f t="shared" si="88"/>
        <v>127.44942773439217</v>
      </c>
      <c r="AI50" s="585">
        <f t="shared" si="89"/>
        <v>-75.354226180348832</v>
      </c>
      <c r="AJ50" s="586">
        <f t="shared" si="90"/>
        <v>-38.938208145816439</v>
      </c>
      <c r="AK50" s="635">
        <f t="shared" si="211"/>
        <v>0.96538354779904612</v>
      </c>
      <c r="AL50" s="629">
        <f t="shared" si="91"/>
        <v>-6.4072882974934076E-2</v>
      </c>
      <c r="AM50" s="634">
        <f t="shared" si="92"/>
        <v>-0.25284238431522388</v>
      </c>
      <c r="AN50" s="581">
        <f t="shared" si="93"/>
        <v>-14.22000125747725</v>
      </c>
      <c r="AO50" s="582">
        <f t="shared" si="94"/>
        <v>15.119580675771836</v>
      </c>
      <c r="AP50" s="585">
        <f t="shared" si="95"/>
        <v>-3.7971742363772294</v>
      </c>
      <c r="AQ50" s="586">
        <f t="shared" si="246"/>
        <v>0.58301349692822135</v>
      </c>
      <c r="AS50" s="52">
        <f t="shared" si="406"/>
        <v>-125.14103390943922</v>
      </c>
      <c r="AT50" s="72">
        <f t="shared" si="247"/>
        <v>-5.9676813035201837E-4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3.1150000000000002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3.789193193175477</v>
      </c>
      <c r="C51" s="708">
        <v>-2.7216117140422331</v>
      </c>
      <c r="D51" s="709">
        <v>-0.29900090178671979</v>
      </c>
      <c r="E51" s="710">
        <v>0.68161781296357116</v>
      </c>
      <c r="F51" s="708">
        <v>0.69635936193814407</v>
      </c>
      <c r="G51" s="711">
        <v>0.22467931834474433</v>
      </c>
      <c r="H51" s="710">
        <v>0.314</v>
      </c>
      <c r="I51" s="708">
        <v>0.52</v>
      </c>
      <c r="J51" s="570">
        <v>3.1179999999999999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3.1179999999999999</v>
      </c>
      <c r="N51" s="632">
        <f t="shared" si="240"/>
        <v>3.789193193175477</v>
      </c>
      <c r="O51" s="629">
        <f t="shared" si="241"/>
        <v>-2.7216117140422331</v>
      </c>
      <c r="P51" s="633">
        <f t="shared" si="242"/>
        <v>-0.29900090178671979</v>
      </c>
      <c r="Q51" s="585">
        <f t="shared" si="113"/>
        <v>324.31196616953775</v>
      </c>
      <c r="R51" s="629">
        <f t="shared" si="79"/>
        <v>4.6653140705872387</v>
      </c>
      <c r="S51" s="634">
        <f t="shared" si="80"/>
        <v>-0.29900090178671979</v>
      </c>
      <c r="T51" s="635">
        <f t="shared" si="81"/>
        <v>-2.7216117140422336</v>
      </c>
      <c r="U51" s="629">
        <f t="shared" si="82"/>
        <v>-3.789193193175477</v>
      </c>
      <c r="V51" s="636">
        <f t="shared" si="114"/>
        <v>-0.29900090178671979</v>
      </c>
      <c r="W51" s="585">
        <f t="shared" si="224"/>
        <v>234.31196616953775</v>
      </c>
      <c r="X51" s="629">
        <f t="shared" si="83"/>
        <v>4.6653140705872387</v>
      </c>
      <c r="Y51" s="630">
        <f t="shared" si="223"/>
        <v>-0.29900090178671979</v>
      </c>
      <c r="Z51" s="632">
        <f t="shared" si="243"/>
        <v>-0.68161781296357116</v>
      </c>
      <c r="AA51" s="629">
        <f t="shared" si="244"/>
        <v>-0.69635936193814407</v>
      </c>
      <c r="AB51" s="629">
        <f t="shared" si="245"/>
        <v>-0.22467931834474433</v>
      </c>
      <c r="AC51" s="636">
        <f t="shared" si="84"/>
        <v>1</v>
      </c>
      <c r="AD51" s="637">
        <f t="shared" si="115"/>
        <v>-0.68161781296357116</v>
      </c>
      <c r="AE51" s="629">
        <f t="shared" si="85"/>
        <v>-0.69635936193814407</v>
      </c>
      <c r="AF51" s="633">
        <f t="shared" si="86"/>
        <v>-0.22467931834474433</v>
      </c>
      <c r="AG51" s="602">
        <f t="shared" si="87"/>
        <v>-72.11778100608781</v>
      </c>
      <c r="AH51" s="603">
        <f t="shared" si="88"/>
        <v>132.97019437190104</v>
      </c>
      <c r="AI51" s="585">
        <f t="shared" si="89"/>
        <v>-77.015978348955443</v>
      </c>
      <c r="AJ51" s="586">
        <f t="shared" si="90"/>
        <v>-44.387075246415648</v>
      </c>
      <c r="AK51" s="635">
        <f t="shared" si="211"/>
        <v>0.96322329226505765</v>
      </c>
      <c r="AL51" s="629">
        <f t="shared" si="91"/>
        <v>-0.14737738342840984</v>
      </c>
      <c r="AM51" s="634">
        <f t="shared" si="92"/>
        <v>-0.22467931834474433</v>
      </c>
      <c r="AN51" s="581">
        <f t="shared" si="93"/>
        <v>-33.262690767999672</v>
      </c>
      <c r="AO51" s="582">
        <f t="shared" si="94"/>
        <v>15.587056658252148</v>
      </c>
      <c r="AP51" s="585">
        <f t="shared" si="95"/>
        <v>-8.6990414159534133</v>
      </c>
      <c r="AQ51" s="586">
        <f t="shared" si="246"/>
        <v>0.48864263498303234</v>
      </c>
      <c r="AS51" s="52">
        <f t="shared" si="406"/>
        <v>-125.68803383046225</v>
      </c>
      <c r="AT51" s="72">
        <f t="shared" si="247"/>
        <v>-0.21171754496000988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3.1179999999999999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4.2982042065262602</v>
      </c>
      <c r="C52" s="708">
        <v>-3.1684501941790346</v>
      </c>
      <c r="D52" s="709">
        <v>-0.69900210819035824</v>
      </c>
      <c r="E52" s="710">
        <v>0.74551317394802397</v>
      </c>
      <c r="F52" s="708">
        <v>0.63769248281244928</v>
      </c>
      <c r="G52" s="711">
        <v>0.19379990927355348</v>
      </c>
      <c r="H52" s="710">
        <v>0.314</v>
      </c>
      <c r="I52" s="708">
        <v>0.52</v>
      </c>
      <c r="J52" s="570">
        <v>3.121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3.121</v>
      </c>
      <c r="N52" s="632">
        <f t="shared" si="240"/>
        <v>4.2982042065262602</v>
      </c>
      <c r="O52" s="629">
        <f t="shared" si="241"/>
        <v>-3.1684501941790346</v>
      </c>
      <c r="P52" s="633">
        <f t="shared" si="242"/>
        <v>-0.69900210819035824</v>
      </c>
      <c r="Q52" s="585">
        <f t="shared" si="113"/>
        <v>323.60396627176033</v>
      </c>
      <c r="R52" s="629">
        <f t="shared" si="79"/>
        <v>5.3398161048853732</v>
      </c>
      <c r="S52" s="634">
        <f t="shared" si="80"/>
        <v>-0.69900210819035824</v>
      </c>
      <c r="T52" s="635">
        <f t="shared" si="81"/>
        <v>-3.1684501941790355</v>
      </c>
      <c r="U52" s="629">
        <f t="shared" si="82"/>
        <v>-4.2982042065262593</v>
      </c>
      <c r="V52" s="636">
        <f t="shared" si="114"/>
        <v>-0.69900210819035824</v>
      </c>
      <c r="W52" s="585">
        <f t="shared" si="224"/>
        <v>233.60396627176033</v>
      </c>
      <c r="X52" s="629">
        <f t="shared" si="83"/>
        <v>5.3398161048853732</v>
      </c>
      <c r="Y52" s="630">
        <f t="shared" si="223"/>
        <v>-0.69900210819035824</v>
      </c>
      <c r="Z52" s="632">
        <f t="shared" si="243"/>
        <v>-0.74551317394802397</v>
      </c>
      <c r="AA52" s="629">
        <f t="shared" si="244"/>
        <v>-0.63769248281244928</v>
      </c>
      <c r="AB52" s="629">
        <f t="shared" si="245"/>
        <v>-0.19379990927355348</v>
      </c>
      <c r="AC52" s="636">
        <f t="shared" si="84"/>
        <v>1</v>
      </c>
      <c r="AD52" s="637">
        <f t="shared" si="115"/>
        <v>-0.74551317394802397</v>
      </c>
      <c r="AE52" s="629">
        <f t="shared" si="85"/>
        <v>-0.63769248281244928</v>
      </c>
      <c r="AF52" s="633">
        <f t="shared" si="86"/>
        <v>-0.19379990927355348</v>
      </c>
      <c r="AG52" s="602">
        <f t="shared" si="87"/>
        <v>-73.095548475103669</v>
      </c>
      <c r="AH52" s="603">
        <f t="shared" si="88"/>
        <v>138.20319563566852</v>
      </c>
      <c r="AI52" s="585">
        <f t="shared" si="89"/>
        <v>-78.825373840329945</v>
      </c>
      <c r="AJ52" s="586">
        <f t="shared" si="90"/>
        <v>-49.4571851770148</v>
      </c>
      <c r="AK52" s="635">
        <f t="shared" si="211"/>
        <v>0.95566097644908199</v>
      </c>
      <c r="AL52" s="629">
        <f t="shared" si="91"/>
        <v>-0.22170632209738572</v>
      </c>
      <c r="AM52" s="634">
        <f t="shared" si="92"/>
        <v>-0.19379990927355348</v>
      </c>
      <c r="AN52" s="581">
        <f t="shared" si="93"/>
        <v>-48.842353999262905</v>
      </c>
      <c r="AO52" s="582">
        <f t="shared" si="94"/>
        <v>17.125709831188509</v>
      </c>
      <c r="AP52" s="585">
        <f t="shared" si="95"/>
        <v>-13.061151448775108</v>
      </c>
      <c r="AQ52" s="586">
        <f t="shared" si="246"/>
        <v>0.42692190080504272</v>
      </c>
      <c r="AS52" s="52">
        <f t="shared" si="406"/>
        <v>-126.39603372823967</v>
      </c>
      <c r="AT52" s="72">
        <f t="shared" si="247"/>
        <v>-0.61122708476796961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3.121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4.6974783357793957</v>
      </c>
      <c r="C53" s="708">
        <v>-3.5493295335984834</v>
      </c>
      <c r="D53" s="709">
        <v>-1.2602038007746632</v>
      </c>
      <c r="E53" s="710">
        <v>0.80610216025669357</v>
      </c>
      <c r="F53" s="708">
        <v>0.56548730817534476</v>
      </c>
      <c r="G53" s="711">
        <v>0.17442308196478681</v>
      </c>
      <c r="H53" s="710">
        <v>0.314</v>
      </c>
      <c r="I53" s="708">
        <v>0.52</v>
      </c>
      <c r="J53" s="570">
        <v>3.1240000000000001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3.1240000000000001</v>
      </c>
      <c r="N53" s="632">
        <f t="shared" si="240"/>
        <v>4.6974783357793957</v>
      </c>
      <c r="O53" s="629">
        <f t="shared" si="241"/>
        <v>-3.5493295335984834</v>
      </c>
      <c r="P53" s="633">
        <f t="shared" si="242"/>
        <v>-1.2602038007746632</v>
      </c>
      <c r="Q53" s="585">
        <f t="shared" si="113"/>
        <v>322.92596636965141</v>
      </c>
      <c r="R53" s="629">
        <f t="shared" ref="R53:R58" si="410">IF(M53="","",SQRT(N53^2+O53^2))</f>
        <v>5.887617757055156</v>
      </c>
      <c r="S53" s="634">
        <f t="shared" ref="S53:S58" si="411">IF(M53="","",P53)</f>
        <v>-1.2602038007746632</v>
      </c>
      <c r="T53" s="635">
        <f t="shared" ref="T53:T58" si="412">IF(M53="","",X53*COS(RADIANS(W53)))</f>
        <v>-3.5493295335984838</v>
      </c>
      <c r="U53" s="629">
        <f t="shared" ref="U53:U58" si="413">IF(M53="","",X53*SIN(RADIANS(W53)))</f>
        <v>-4.6974783357793948</v>
      </c>
      <c r="V53" s="636">
        <f t="shared" ref="V53:V58" si="414">IF(M53="","",Y53)</f>
        <v>-1.2602038007746632</v>
      </c>
      <c r="W53" s="585">
        <f t="shared" si="224"/>
        <v>232.92596636965141</v>
      </c>
      <c r="X53" s="629">
        <f t="shared" ref="X53:X58" si="415">IF(M53="","",R53)</f>
        <v>5.887617757055156</v>
      </c>
      <c r="Y53" s="630">
        <f t="shared" si="223"/>
        <v>-1.2602038007746632</v>
      </c>
      <c r="Z53" s="632">
        <f t="shared" si="243"/>
        <v>-0.80610216025669357</v>
      </c>
      <c r="AA53" s="629">
        <f t="shared" si="244"/>
        <v>-0.56548730817534476</v>
      </c>
      <c r="AB53" s="629">
        <f t="shared" si="245"/>
        <v>-0.17442308196478681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-0.80610216025669357</v>
      </c>
      <c r="AE53" s="629">
        <f t="shared" ref="AE53:AE58" si="418">IF(M53="","",AA53*(1/SQRT(Z53^2+AA53^2+AB53^2)))</f>
        <v>-0.56548730817534476</v>
      </c>
      <c r="AF53" s="633">
        <f t="shared" ref="AF53:AF58" si="419">IF(M53="","",AB53*(1/SQRT(Z53^2+AA53^2+AB53^2)))</f>
        <v>-0.17442308196478681</v>
      </c>
      <c r="AG53" s="602">
        <f t="shared" ref="AG53:AG58" si="420">IF(M53="","",DEGREES(ATAN2(-AF53,AE53)))</f>
        <v>-72.857758276059087</v>
      </c>
      <c r="AH53" s="603">
        <f t="shared" ref="AH53:AH58" si="421">IF(M53="","",DEGREES(ACOS(AD53)))</f>
        <v>143.71683149797587</v>
      </c>
      <c r="AI53" s="585">
        <f t="shared" ref="AI53:AI58" si="422">IF(M53="","",DEGREES(-ACOS(-AF53)))</f>
        <v>-79.954913199346365</v>
      </c>
      <c r="AJ53" s="586">
        <f t="shared" ref="AJ53:AJ58" si="423">IF(M53="","",DEGREES(ATAN2(-AE53,AD53)))</f>
        <v>-54.95002369241854</v>
      </c>
      <c r="AK53" s="635">
        <f t="shared" ref="AK53:AK58" si="424">IF(M53="","",(COS(RADIANS((90-$Q$8)-W53))*AD53)+(-SIN(RADIANS((90-$Q$8)-W53))*AE53))</f>
        <v>0.93713396682331873</v>
      </c>
      <c r="AL53" s="629">
        <f t="shared" ref="AL53:AL58" si="425">IF(M53="","",(SIN(RADIANS((90-$Q$8)-W53))*AD53)+(COS(RADIANS((90-$Q$8)-W53))*AE53))</f>
        <v>-0.30225240562135541</v>
      </c>
      <c r="AM53" s="634">
        <f t="shared" ref="AM53:AM58" si="426">IF(M53="","",AF53)</f>
        <v>-0.17442308196478681</v>
      </c>
      <c r="AN53" s="581">
        <f t="shared" ref="AN53:AN58" si="427">IF(M53="","",DEGREES(ATAN2(-AM53,AL53)))</f>
        <v>-60.011720023877189</v>
      </c>
      <c r="AO53" s="582">
        <f t="shared" si="94"/>
        <v>20.424317032637667</v>
      </c>
      <c r="AP53" s="585">
        <f t="shared" ref="AP53:AP58" si="428">IF(M53="","",DEGREES(ATAN2(AK53,AL53)))</f>
        <v>-17.875990062069917</v>
      </c>
      <c r="AQ53" s="586">
        <f t="shared" si="246"/>
        <v>0.38720107539756704</v>
      </c>
      <c r="AS53" s="52">
        <f t="shared" si="406"/>
        <v>-127.07403363034859</v>
      </c>
      <c r="AT53" s="72">
        <f t="shared" si="247"/>
        <v>-1.1719579440869212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3.1240000000000001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4.9693665452102183</v>
      </c>
      <c r="C54" s="708">
        <v>-3.8255505570016175</v>
      </c>
      <c r="D54" s="709">
        <v>-1.9442058637248856</v>
      </c>
      <c r="E54" s="710">
        <v>0.87181923580125786</v>
      </c>
      <c r="F54" s="708">
        <v>0.45971106609574985</v>
      </c>
      <c r="G54" s="711">
        <v>0.16910634463561683</v>
      </c>
      <c r="H54" s="710">
        <v>0.314</v>
      </c>
      <c r="I54" s="708">
        <v>0.52</v>
      </c>
      <c r="J54" s="570">
        <v>3.1269999999999998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3.1269999999999998</v>
      </c>
      <c r="N54" s="632">
        <f t="shared" si="240"/>
        <v>4.9693665452102183</v>
      </c>
      <c r="O54" s="629">
        <f t="shared" si="241"/>
        <v>-3.8255505570016175</v>
      </c>
      <c r="P54" s="633">
        <f t="shared" si="242"/>
        <v>-1.9442058637248856</v>
      </c>
      <c r="Q54" s="585">
        <f t="shared" si="113"/>
        <v>322.40996644415259</v>
      </c>
      <c r="R54" s="629">
        <f t="shared" si="410"/>
        <v>6.2713189142978472</v>
      </c>
      <c r="S54" s="634">
        <f t="shared" si="411"/>
        <v>-1.9442058637248856</v>
      </c>
      <c r="T54" s="635">
        <f t="shared" si="412"/>
        <v>-3.8255505570016175</v>
      </c>
      <c r="U54" s="629">
        <f t="shared" si="413"/>
        <v>-4.9693665452102183</v>
      </c>
      <c r="V54" s="636">
        <f t="shared" si="414"/>
        <v>-1.9442058637248856</v>
      </c>
      <c r="W54" s="585">
        <f t="shared" si="224"/>
        <v>232.40996644415259</v>
      </c>
      <c r="X54" s="629">
        <f t="shared" si="415"/>
        <v>6.2713189142978472</v>
      </c>
      <c r="Y54" s="630">
        <f t="shared" si="223"/>
        <v>-1.9442058637248856</v>
      </c>
      <c r="Z54" s="632">
        <f t="shared" si="243"/>
        <v>-0.87181923580125786</v>
      </c>
      <c r="AA54" s="629">
        <f t="shared" si="244"/>
        <v>-0.45971106609574985</v>
      </c>
      <c r="AB54" s="629">
        <f t="shared" si="245"/>
        <v>-0.16910634463561683</v>
      </c>
      <c r="AC54" s="636">
        <f t="shared" si="416"/>
        <v>1</v>
      </c>
      <c r="AD54" s="637">
        <f t="shared" si="417"/>
        <v>-0.87181923580125786</v>
      </c>
      <c r="AE54" s="629">
        <f t="shared" si="418"/>
        <v>-0.45971106609574985</v>
      </c>
      <c r="AF54" s="633">
        <f t="shared" si="419"/>
        <v>-0.16910634463561683</v>
      </c>
      <c r="AG54" s="602">
        <f t="shared" si="420"/>
        <v>-69.803775673643088</v>
      </c>
      <c r="AH54" s="603">
        <f t="shared" si="421"/>
        <v>150.67073959522969</v>
      </c>
      <c r="AI54" s="585">
        <f t="shared" si="422"/>
        <v>-80.264135879316143</v>
      </c>
      <c r="AJ54" s="586">
        <f t="shared" si="423"/>
        <v>-62.197278281938537</v>
      </c>
      <c r="AK54" s="635">
        <f t="shared" si="424"/>
        <v>0.89608923294129128</v>
      </c>
      <c r="AL54" s="629">
        <f t="shared" si="425"/>
        <v>-0.41039874611244653</v>
      </c>
      <c r="AM54" s="634">
        <f t="shared" si="426"/>
        <v>-0.16910634463561683</v>
      </c>
      <c r="AN54" s="581">
        <f t="shared" si="427"/>
        <v>-67.605705962280609</v>
      </c>
      <c r="AO54" s="582">
        <f t="shared" si="94"/>
        <v>26.351317120776887</v>
      </c>
      <c r="AP54" s="585">
        <f t="shared" si="428"/>
        <v>-24.607244726091096</v>
      </c>
      <c r="AQ54" s="586">
        <f t="shared" si="246"/>
        <v>0.36351141999528003</v>
      </c>
      <c r="AS54" s="52">
        <f t="shared" si="406"/>
        <v>-127.59003355584741</v>
      </c>
      <c r="AT54" s="72">
        <f t="shared" si="247"/>
        <v>-1.8556016737555472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3.1269999999999998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5.1038279125940882</v>
      </c>
      <c r="C55" s="708">
        <v>-3.9676499194609587</v>
      </c>
      <c r="D55" s="709">
        <v>-2.7043081561933979</v>
      </c>
      <c r="E55" s="710">
        <v>0.91184799361666169</v>
      </c>
      <c r="F55" s="708">
        <v>0.39544135182623064</v>
      </c>
      <c r="G55" s="711">
        <v>0.11026955066160408</v>
      </c>
      <c r="H55" s="710">
        <v>0.314</v>
      </c>
      <c r="I55" s="708">
        <v>0.52</v>
      </c>
      <c r="J55" s="570">
        <v>3.13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3.13</v>
      </c>
      <c r="N55" s="632">
        <f t="shared" si="240"/>
        <v>5.1038279125940882</v>
      </c>
      <c r="O55" s="629">
        <f t="shared" si="241"/>
        <v>-3.9676499194609587</v>
      </c>
      <c r="P55" s="633">
        <f t="shared" si="242"/>
        <v>-2.7043081561933979</v>
      </c>
      <c r="Q55" s="585">
        <f t="shared" si="113"/>
        <v>322.13896648328011</v>
      </c>
      <c r="R55" s="629">
        <f t="shared" si="410"/>
        <v>6.4646194972924027</v>
      </c>
      <c r="S55" s="634">
        <f t="shared" si="411"/>
        <v>-2.7043081561933979</v>
      </c>
      <c r="T55" s="635">
        <f t="shared" si="412"/>
        <v>-3.9676499194609574</v>
      </c>
      <c r="U55" s="629">
        <f t="shared" si="413"/>
        <v>-5.1038279125940891</v>
      </c>
      <c r="V55" s="636">
        <f t="shared" si="414"/>
        <v>-2.7043081561933979</v>
      </c>
      <c r="W55" s="585">
        <f t="shared" si="224"/>
        <v>232.13896648328011</v>
      </c>
      <c r="X55" s="629">
        <f t="shared" si="415"/>
        <v>6.4646194972924027</v>
      </c>
      <c r="Y55" s="630">
        <f t="shared" si="223"/>
        <v>-2.7043081561933979</v>
      </c>
      <c r="Z55" s="632">
        <f t="shared" si="243"/>
        <v>-0.91184799361666169</v>
      </c>
      <c r="AA55" s="629">
        <f t="shared" si="244"/>
        <v>-0.39544135182623064</v>
      </c>
      <c r="AB55" s="629">
        <f t="shared" si="245"/>
        <v>-0.11026955066160408</v>
      </c>
      <c r="AC55" s="636">
        <f t="shared" si="416"/>
        <v>1</v>
      </c>
      <c r="AD55" s="637">
        <f t="shared" si="417"/>
        <v>-0.91184799361666169</v>
      </c>
      <c r="AE55" s="629">
        <f t="shared" si="418"/>
        <v>-0.39544135182623064</v>
      </c>
      <c r="AF55" s="633">
        <f t="shared" si="419"/>
        <v>-0.11026955066160408</v>
      </c>
      <c r="AG55" s="602">
        <f t="shared" si="420"/>
        <v>-74.418773582698449</v>
      </c>
      <c r="AH55" s="603">
        <f t="shared" si="421"/>
        <v>155.76199292149317</v>
      </c>
      <c r="AI55" s="585">
        <f t="shared" si="422"/>
        <v>-83.669145788508558</v>
      </c>
      <c r="AJ55" s="586">
        <f t="shared" si="423"/>
        <v>-66.55505683586145</v>
      </c>
      <c r="AK55" s="635">
        <f t="shared" si="424"/>
        <v>0.87184686276416556</v>
      </c>
      <c r="AL55" s="629">
        <f t="shared" si="425"/>
        <v>-0.477204017255901</v>
      </c>
      <c r="AM55" s="634">
        <f t="shared" si="426"/>
        <v>-0.11026955066160408</v>
      </c>
      <c r="AN55" s="581">
        <f t="shared" si="427"/>
        <v>-76.988792744853313</v>
      </c>
      <c r="AO55" s="582">
        <f>IF(ROUND(IF(M55="",0,DEGREES(ACOS(AK55))),4)=90,0,IF(M55="","",DEGREES(ACOS(AK55))))</f>
        <v>29.326028681271225</v>
      </c>
      <c r="AP55" s="585">
        <f t="shared" si="428"/>
        <v>-28.694023319141579</v>
      </c>
      <c r="AQ55" s="586">
        <f t="shared" si="246"/>
        <v>0.35264223154940533</v>
      </c>
      <c r="AS55" s="52">
        <f t="shared" si="406"/>
        <v>-127.86103351671989</v>
      </c>
      <c r="AT55" s="72">
        <f t="shared" si="247"/>
        <v>-2.6155157718067867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3.13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5.171499688633979</v>
      </c>
      <c r="C56" s="708">
        <v>-4.0405686000794567</v>
      </c>
      <c r="D56" s="709">
        <v>-3.4487104013105703</v>
      </c>
      <c r="E56" s="710">
        <v>0.95631000379885989</v>
      </c>
      <c r="F56" s="708">
        <v>0.29235453927416238</v>
      </c>
      <c r="G56" s="711">
        <v>1.3008419218807098E-7</v>
      </c>
      <c r="H56" s="710">
        <v>0.26600000000000001</v>
      </c>
      <c r="I56" s="708">
        <v>0.52</v>
      </c>
      <c r="J56" s="570">
        <v>3.133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1313</v>
      </c>
      <c r="L56" s="320"/>
      <c r="M56" s="168">
        <f t="shared" si="239"/>
        <v>3.133</v>
      </c>
      <c r="N56" s="632">
        <f t="shared" si="240"/>
        <v>5.171499688633979</v>
      </c>
      <c r="O56" s="629">
        <f t="shared" si="241"/>
        <v>-4.0405686000794567</v>
      </c>
      <c r="P56" s="633">
        <f t="shared" si="242"/>
        <v>-3.4487104013105703</v>
      </c>
      <c r="Q56" s="585">
        <f t="shared" si="113"/>
        <v>321.99896650349359</v>
      </c>
      <c r="R56" s="629">
        <f t="shared" si="410"/>
        <v>6.5628197934644978</v>
      </c>
      <c r="S56" s="634">
        <f t="shared" si="411"/>
        <v>-3.4487104013105703</v>
      </c>
      <c r="T56" s="635">
        <f t="shared" si="412"/>
        <v>-4.0405686000794567</v>
      </c>
      <c r="U56" s="629">
        <f t="shared" si="413"/>
        <v>-5.1714996886339781</v>
      </c>
      <c r="V56" s="636">
        <f t="shared" si="414"/>
        <v>-3.4487104013105703</v>
      </c>
      <c r="W56" s="585">
        <f t="shared" si="224"/>
        <v>231.99896650349359</v>
      </c>
      <c r="X56" s="629">
        <f t="shared" si="415"/>
        <v>6.5628197934644978</v>
      </c>
      <c r="Y56" s="630">
        <f t="shared" si="223"/>
        <v>-3.4487104013105703</v>
      </c>
      <c r="Z56" s="632">
        <f t="shared" si="243"/>
        <v>-0.95631000379885989</v>
      </c>
      <c r="AA56" s="629">
        <f t="shared" si="244"/>
        <v>-0.29235453927416238</v>
      </c>
      <c r="AB56" s="629">
        <f t="shared" si="245"/>
        <v>-1.3008419218807098E-7</v>
      </c>
      <c r="AC56" s="636">
        <f t="shared" si="416"/>
        <v>1</v>
      </c>
      <c r="AD56" s="637">
        <f t="shared" si="417"/>
        <v>-0.95631000379885989</v>
      </c>
      <c r="AE56" s="629">
        <f t="shared" si="418"/>
        <v>-0.29235453927416238</v>
      </c>
      <c r="AF56" s="633">
        <f t="shared" si="419"/>
        <v>-1.3008419218807098E-7</v>
      </c>
      <c r="AG56" s="602">
        <f t="shared" si="420"/>
        <v>-89.999974506039095</v>
      </c>
      <c r="AH56" s="603">
        <f t="shared" si="421"/>
        <v>163.00102844313008</v>
      </c>
      <c r="AI56" s="585">
        <f t="shared" si="422"/>
        <v>-89.999992546724812</v>
      </c>
      <c r="AJ56" s="586">
        <f t="shared" si="423"/>
        <v>-73.001028443131659</v>
      </c>
      <c r="AK56" s="635">
        <f t="shared" si="424"/>
        <v>0.81915209487729213</v>
      </c>
      <c r="AL56" s="629">
        <f t="shared" si="425"/>
        <v>-0.57357636410344459</v>
      </c>
      <c r="AM56" s="634">
        <f t="shared" si="426"/>
        <v>-1.3008419218807098E-7</v>
      </c>
      <c r="AN56" s="581">
        <f t="shared" si="427"/>
        <v>-89.999987005609611</v>
      </c>
      <c r="AO56" s="582">
        <f t="shared" ref="AO56:AO119" si="461">IF(ROUND(IF(M56="",0,DEGREES(ACOS(AK56))),4)=90,0,IF(M56="","",DEGREES(ACOS(AK56))))</f>
        <v>34.999994946625939</v>
      </c>
      <c r="AP56" s="585">
        <f t="shared" si="428"/>
        <v>-34.999994946625264</v>
      </c>
      <c r="AQ56" s="586">
        <f t="shared" si="246"/>
        <v>0.34736573186354336</v>
      </c>
      <c r="AS56" s="52">
        <f t="shared" si="406"/>
        <v>-128.00103349650641</v>
      </c>
      <c r="AT56" s="72">
        <f t="shared" si="247"/>
        <v>-3.3598207947157741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3.133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1313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5.171499688633979</v>
      </c>
      <c r="C57" s="708">
        <v>-4.0405686000794567</v>
      </c>
      <c r="D57" s="709">
        <v>-4.2446128017522105</v>
      </c>
      <c r="E57" s="710">
        <v>0.95631000379885989</v>
      </c>
      <c r="F57" s="708">
        <v>0.29235453927416238</v>
      </c>
      <c r="G57" s="711">
        <v>1.3008419218807098E-7</v>
      </c>
      <c r="H57" s="710">
        <v>0.26600000000000001</v>
      </c>
      <c r="I57" s="708">
        <v>0.52</v>
      </c>
      <c r="J57" s="570">
        <v>3.1360000000000001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3.1360000000000001</v>
      </c>
      <c r="N57" s="632">
        <f t="shared" si="240"/>
        <v>5.171499688633979</v>
      </c>
      <c r="O57" s="629">
        <f t="shared" si="241"/>
        <v>-4.0405686000794567</v>
      </c>
      <c r="P57" s="633">
        <f t="shared" si="242"/>
        <v>-4.2446128017522105</v>
      </c>
      <c r="Q57" s="585">
        <f t="shared" si="113"/>
        <v>321.99896650349359</v>
      </c>
      <c r="R57" s="629">
        <f t="shared" si="410"/>
        <v>6.5628197934644978</v>
      </c>
      <c r="S57" s="634">
        <f t="shared" si="411"/>
        <v>-4.2446128017522105</v>
      </c>
      <c r="T57" s="635">
        <f t="shared" si="412"/>
        <v>-4.0405686000794567</v>
      </c>
      <c r="U57" s="629">
        <f t="shared" si="413"/>
        <v>-5.1714996886339781</v>
      </c>
      <c r="V57" s="636">
        <f t="shared" si="414"/>
        <v>-4.2446128017522105</v>
      </c>
      <c r="W57" s="585">
        <f t="shared" si="224"/>
        <v>231.99896650349359</v>
      </c>
      <c r="X57" s="629">
        <f t="shared" si="415"/>
        <v>6.5628197934644978</v>
      </c>
      <c r="Y57" s="630">
        <f t="shared" si="223"/>
        <v>-4.2446128017522105</v>
      </c>
      <c r="Z57" s="632">
        <f t="shared" si="243"/>
        <v>-0.95631000379885989</v>
      </c>
      <c r="AA57" s="629">
        <f t="shared" si="244"/>
        <v>-0.29235453927416238</v>
      </c>
      <c r="AB57" s="629">
        <f t="shared" si="245"/>
        <v>-1.3008419218807098E-7</v>
      </c>
      <c r="AC57" s="636">
        <f t="shared" si="416"/>
        <v>1</v>
      </c>
      <c r="AD57" s="637">
        <f t="shared" si="417"/>
        <v>-0.95631000379885989</v>
      </c>
      <c r="AE57" s="629">
        <f t="shared" si="418"/>
        <v>-0.29235453927416238</v>
      </c>
      <c r="AF57" s="633">
        <f t="shared" si="419"/>
        <v>-1.3008419218807098E-7</v>
      </c>
      <c r="AG57" s="602">
        <f t="shared" si="420"/>
        <v>-89.999974506039095</v>
      </c>
      <c r="AH57" s="603">
        <f t="shared" si="421"/>
        <v>163.00102844313008</v>
      </c>
      <c r="AI57" s="585">
        <f t="shared" si="422"/>
        <v>-89.999992546724812</v>
      </c>
      <c r="AJ57" s="586">
        <f t="shared" si="423"/>
        <v>-73.001028443131659</v>
      </c>
      <c r="AK57" s="635">
        <f t="shared" si="424"/>
        <v>0.81915209487729213</v>
      </c>
      <c r="AL57" s="629">
        <f t="shared" si="425"/>
        <v>-0.57357636410344459</v>
      </c>
      <c r="AM57" s="634">
        <f t="shared" si="426"/>
        <v>-1.3008419218807098E-7</v>
      </c>
      <c r="AN57" s="581">
        <f t="shared" si="427"/>
        <v>-89.999987005609611</v>
      </c>
      <c r="AO57" s="582">
        <f t="shared" si="461"/>
        <v>34.999994946625939</v>
      </c>
      <c r="AP57" s="585">
        <f t="shared" si="428"/>
        <v>-34.999994946625264</v>
      </c>
      <c r="AQ57" s="586">
        <f t="shared" si="246"/>
        <v>0.34736573186354336</v>
      </c>
      <c r="AS57" s="52">
        <f t="shared" si="406"/>
        <v>-128.00103349650641</v>
      </c>
      <c r="AT57" s="72">
        <f t="shared" si="247"/>
        <v>-4.1557231951574147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3.1360000000000001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>
        <f t="shared" si="112"/>
        <v>1313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1.2202954401007537</v>
      </c>
      <c r="C58" s="708">
        <v>-2.0072725711646124</v>
      </c>
      <c r="D58" s="709">
        <v>-0.29060061946644034</v>
      </c>
      <c r="E58" s="710">
        <v>-0.13444953035012006</v>
      </c>
      <c r="F58" s="708">
        <v>0.2211574167801916</v>
      </c>
      <c r="G58" s="711">
        <v>0.96592583607218252</v>
      </c>
      <c r="H58" s="710">
        <v>0.25700000000000001</v>
      </c>
      <c r="I58" s="708">
        <v>0.41499999999999992</v>
      </c>
      <c r="J58" s="570">
        <v>3.2090000000000001</v>
      </c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CPS-32193r1</v>
      </c>
      <c r="L58" s="320"/>
      <c r="M58" s="168">
        <f t="shared" si="239"/>
        <v>3.2090000000000001</v>
      </c>
      <c r="N58" s="632">
        <f t="shared" si="240"/>
        <v>1.2202954401007537</v>
      </c>
      <c r="O58" s="629">
        <f t="shared" si="241"/>
        <v>-2.0072725711646124</v>
      </c>
      <c r="P58" s="633">
        <f t="shared" si="242"/>
        <v>-0.29060061946644034</v>
      </c>
      <c r="Q58" s="585">
        <f t="shared" si="113"/>
        <v>301.29696949249217</v>
      </c>
      <c r="R58" s="629">
        <f t="shared" si="410"/>
        <v>2.3490985794726638</v>
      </c>
      <c r="S58" s="634">
        <f t="shared" si="411"/>
        <v>-0.29060061946644034</v>
      </c>
      <c r="T58" s="635">
        <f t="shared" si="412"/>
        <v>-2.0072725711646124</v>
      </c>
      <c r="U58" s="629">
        <f t="shared" si="413"/>
        <v>-1.2202954401007537</v>
      </c>
      <c r="V58" s="636">
        <f t="shared" si="414"/>
        <v>-0.29060061946644034</v>
      </c>
      <c r="W58" s="585">
        <f t="shared" si="224"/>
        <v>211.29696949249217</v>
      </c>
      <c r="X58" s="629">
        <f t="shared" si="415"/>
        <v>2.3490985794726638</v>
      </c>
      <c r="Y58" s="630">
        <f t="shared" si="223"/>
        <v>-0.29060061946644034</v>
      </c>
      <c r="Z58" s="632">
        <f t="shared" si="243"/>
        <v>0.13444953035012006</v>
      </c>
      <c r="AA58" s="629">
        <f t="shared" si="244"/>
        <v>-0.2211574167801916</v>
      </c>
      <c r="AB58" s="629">
        <f t="shared" si="245"/>
        <v>-0.96592583607218252</v>
      </c>
      <c r="AC58" s="636">
        <f t="shared" si="416"/>
        <v>1</v>
      </c>
      <c r="AD58" s="637">
        <f t="shared" si="417"/>
        <v>0.13444953035012006</v>
      </c>
      <c r="AE58" s="629">
        <f t="shared" si="418"/>
        <v>-0.2211574167801916</v>
      </c>
      <c r="AF58" s="633">
        <f t="shared" si="419"/>
        <v>-0.96592583607218252</v>
      </c>
      <c r="AG58" s="602">
        <f t="shared" si="420"/>
        <v>-12.896103616037367</v>
      </c>
      <c r="AH58" s="603">
        <f t="shared" si="421"/>
        <v>82.273209889723688</v>
      </c>
      <c r="AI58" s="585">
        <f t="shared" si="422"/>
        <v>-14.999997834273763</v>
      </c>
      <c r="AJ58" s="586">
        <f t="shared" si="423"/>
        <v>31.29691928601596</v>
      </c>
      <c r="AK58" s="635">
        <f t="shared" si="424"/>
        <v>2.2679489666832531E-7</v>
      </c>
      <c r="AL58" s="629">
        <f t="shared" si="425"/>
        <v>0.25881900859133933</v>
      </c>
      <c r="AM58" s="634">
        <f t="shared" si="426"/>
        <v>-0.96592583607218252</v>
      </c>
      <c r="AN58" s="581">
        <f t="shared" si="427"/>
        <v>14.999997834268271</v>
      </c>
      <c r="AO58" s="582">
        <f t="shared" si="461"/>
        <v>0</v>
      </c>
      <c r="AP58" s="585">
        <f t="shared" si="428"/>
        <v>89.999949793523797</v>
      </c>
      <c r="AQ58" s="586">
        <f t="shared" si="246"/>
        <v>0.97037590416007036</v>
      </c>
      <c r="AS58" s="52">
        <f t="shared" si="406"/>
        <v>-148.70303050750783</v>
      </c>
      <c r="AT58" s="72">
        <f t="shared" si="247"/>
        <v>-0.18733462605844878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Nose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3.2090000000000001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3.109</v>
      </c>
      <c r="II58" s="734" cm="1">
        <f t="array" ref="II58">IFERROR(ROUND(VALUE(IF($IH58&lt;1,$IH58+LARGE((IF($M$9:$M$150="",0,$M$9:$M$150)-MOD(IF($M$9:$M$150="",0,$M$9:$M$150),1)),1),$IH58)),4),"")</f>
        <v>3.109</v>
      </c>
      <c r="IJ58" s="533">
        <f t="shared" si="112"/>
        <v>1613</v>
      </c>
      <c r="IK58" s="533" t="str">
        <f t="shared" si="382"/>
        <v>CPS-32193r1</v>
      </c>
      <c r="IL58" s="727">
        <f t="shared" si="225"/>
        <v>23.702996577710735</v>
      </c>
      <c r="IM58" s="759">
        <v>5.4854001183183697E-2</v>
      </c>
      <c r="IN58" s="5">
        <f t="shared" si="226"/>
        <v>1.24</v>
      </c>
      <c r="IO58" s="771">
        <v>620</v>
      </c>
      <c r="IP58" s="9">
        <f t="shared" si="227"/>
        <v>-2.3607071198926737</v>
      </c>
      <c r="IQ58" s="5">
        <f t="shared" si="228"/>
        <v>-0.25280076244709959</v>
      </c>
      <c r="IR58" s="5">
        <f t="shared" si="383"/>
        <v>0.314</v>
      </c>
      <c r="IS58" s="5">
        <f t="shared" si="229"/>
        <v>0.30330071252667312</v>
      </c>
      <c r="IT58" s="727">
        <f t="shared" si="230"/>
        <v>-14.999997834268294</v>
      </c>
      <c r="IU58" s="9">
        <f t="shared" si="231"/>
        <v>-2.3490985794726638</v>
      </c>
      <c r="IV58" s="5">
        <f t="shared" si="232"/>
        <v>-0.29060061946644034</v>
      </c>
      <c r="IW58" s="5">
        <f t="shared" si="384"/>
        <v>0.25700000000000001</v>
      </c>
      <c r="IX58" s="5">
        <f t="shared" si="233"/>
        <v>0.25700000000000001</v>
      </c>
      <c r="IY58" s="762">
        <f t="shared" si="234"/>
        <v>-14.999997834268271</v>
      </c>
    </row>
    <row r="59" spans="1:259" ht="15" customHeight="1" x14ac:dyDescent="0.25">
      <c r="A59" s="79"/>
      <c r="B59" s="707">
        <v>1.8355050503313222</v>
      </c>
      <c r="C59" s="708">
        <v>-2.5254320862094026</v>
      </c>
      <c r="D59" s="709">
        <v>-0.11409999999999999</v>
      </c>
      <c r="E59" s="710">
        <v>-5.1240933271835445E-2</v>
      </c>
      <c r="F59" s="708">
        <v>7.0501688373120985E-2</v>
      </c>
      <c r="G59" s="711">
        <v>0.99619469918985748</v>
      </c>
      <c r="H59" s="710">
        <v>0.25700000000000001</v>
      </c>
      <c r="I59" s="708">
        <v>0.41499999999999992</v>
      </c>
      <c r="J59" s="570">
        <v>3.2120000000000002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CPS-32193r1</v>
      </c>
      <c r="L59" s="320"/>
      <c r="M59" s="168">
        <f t="shared" si="239"/>
        <v>3.2120000000000002</v>
      </c>
      <c r="N59" s="632">
        <f t="shared" si="240"/>
        <v>1.8355050503313222</v>
      </c>
      <c r="O59" s="629">
        <f t="shared" si="241"/>
        <v>-2.5254320862094026</v>
      </c>
      <c r="P59" s="633">
        <f t="shared" si="242"/>
        <v>-0.11409999999999999</v>
      </c>
      <c r="Q59" s="585">
        <f t="shared" si="113"/>
        <v>306.00996607020289</v>
      </c>
      <c r="R59" s="629">
        <f t="shared" si="79"/>
        <v>3.1220003222049426</v>
      </c>
      <c r="S59" s="634">
        <f t="shared" si="80"/>
        <v>-0.11409999999999999</v>
      </c>
      <c r="T59" s="635">
        <f t="shared" si="81"/>
        <v>-2.5254320862094026</v>
      </c>
      <c r="U59" s="629">
        <f t="shared" si="82"/>
        <v>-1.8355050503313224</v>
      </c>
      <c r="V59" s="636">
        <f t="shared" si="114"/>
        <v>-0.11409999999999999</v>
      </c>
      <c r="W59" s="585">
        <f t="shared" si="224"/>
        <v>216.00996607020289</v>
      </c>
      <c r="X59" s="629">
        <f t="shared" si="83"/>
        <v>3.1220003222049426</v>
      </c>
      <c r="Y59" s="630">
        <f t="shared" si="223"/>
        <v>-0.11409999999999999</v>
      </c>
      <c r="Z59" s="632">
        <f t="shared" si="243"/>
        <v>5.1240933271835445E-2</v>
      </c>
      <c r="AA59" s="629">
        <f t="shared" si="244"/>
        <v>-7.0501688373120985E-2</v>
      </c>
      <c r="AB59" s="629">
        <f t="shared" si="245"/>
        <v>-0.99619469918985748</v>
      </c>
      <c r="AC59" s="636">
        <f t="shared" si="84"/>
        <v>1</v>
      </c>
      <c r="AD59" s="637">
        <f t="shared" si="115"/>
        <v>5.1240933271835445E-2</v>
      </c>
      <c r="AE59" s="629">
        <f t="shared" si="85"/>
        <v>-7.0501688373120985E-2</v>
      </c>
      <c r="AF59" s="633">
        <f t="shared" si="86"/>
        <v>-0.99619469918985748</v>
      </c>
      <c r="AG59" s="602">
        <f t="shared" si="87"/>
        <v>-4.0481298325598614</v>
      </c>
      <c r="AH59" s="603">
        <f t="shared" si="88"/>
        <v>87.0628245034587</v>
      </c>
      <c r="AI59" s="585">
        <f t="shared" si="89"/>
        <v>-4.9999992781062668</v>
      </c>
      <c r="AJ59" s="586">
        <f t="shared" si="90"/>
        <v>36.009816976272241</v>
      </c>
      <c r="AK59" s="635">
        <f t="shared" si="211"/>
        <v>2.2679489666138641E-7</v>
      </c>
      <c r="AL59" s="629">
        <f t="shared" si="91"/>
        <v>8.7155730195885114E-2</v>
      </c>
      <c r="AM59" s="634">
        <f t="shared" si="92"/>
        <v>-0.99619469918985748</v>
      </c>
      <c r="AN59" s="581">
        <f t="shared" si="93"/>
        <v>4.9999992780894198</v>
      </c>
      <c r="AO59" s="582">
        <f t="shared" si="461"/>
        <v>0</v>
      </c>
      <c r="AP59" s="585">
        <f t="shared" si="95"/>
        <v>89.999850906069355</v>
      </c>
      <c r="AQ59" s="586">
        <f t="shared" si="246"/>
        <v>0.73017392059048358</v>
      </c>
      <c r="AS59" s="52">
        <f t="shared" si="406"/>
        <v>-143.99003392979711</v>
      </c>
      <c r="AT59" s="72">
        <f t="shared" si="247"/>
        <v>-1.410692088208533E-2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Nose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3.2120000000000002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3.1120000000000001</v>
      </c>
      <c r="II59" s="734" cm="1">
        <f t="array" ref="II59">IFERROR(ROUND(VALUE(IF($IH59&lt;1,$IH59+LARGE((IF($M$9:$M$150="",0,$M$9:$M$150)-MOD(IF($M$9:$M$150="",0,$M$9:$M$150),1)),1),$IH59)),4),"")</f>
        <v>3.1120000000000001</v>
      </c>
      <c r="IJ59" s="533">
        <f t="shared" si="112"/>
        <v>1613</v>
      </c>
      <c r="IK59" s="533" t="str">
        <f>IF(ISNUMBER($II59),INDEX($K$9:$K$150,MATCH($IG59,$M$9:$M$150,0)),"")</f>
        <v>CPS-32193r1</v>
      </c>
      <c r="IL59" s="727">
        <f t="shared" si="225"/>
        <v>18.990000000000009</v>
      </c>
      <c r="IM59" s="759">
        <v>6.6954751284384106E-2</v>
      </c>
      <c r="IN59" s="5">
        <f t="shared" si="226"/>
        <v>1.52</v>
      </c>
      <c r="IO59" s="771">
        <v>760</v>
      </c>
      <c r="IP59" s="9">
        <f t="shared" si="227"/>
        <v>-3.1259094277428345</v>
      </c>
      <c r="IQ59" s="5">
        <f t="shared" si="228"/>
        <v>-7.8900237963117695E-2</v>
      </c>
      <c r="IR59" s="5">
        <f t="shared" si="383"/>
        <v>0.314</v>
      </c>
      <c r="IS59" s="5">
        <f t="shared" si="229"/>
        <v>0.30330071252667318</v>
      </c>
      <c r="IT59" s="727">
        <f t="shared" si="230"/>
        <v>-4.999999278089394</v>
      </c>
      <c r="IU59" s="9">
        <f t="shared" si="231"/>
        <v>-3.1220003222049426</v>
      </c>
      <c r="IV59" s="5">
        <f t="shared" si="232"/>
        <v>-0.11409999999999999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-4.9999992780894198</v>
      </c>
    </row>
    <row r="60" spans="1:259" ht="15" customHeight="1" x14ac:dyDescent="0.25">
      <c r="A60" s="79"/>
      <c r="B60" s="707">
        <v>2.4333587059914126</v>
      </c>
      <c r="C60" s="708">
        <v>-3.0674976415342017</v>
      </c>
      <c r="D60" s="709">
        <v>-0.12221348435766312</v>
      </c>
      <c r="E60" s="710">
        <v>7.4016142177804958E-2</v>
      </c>
      <c r="F60" s="708">
        <v>-9.3304555962904656E-2</v>
      </c>
      <c r="G60" s="711">
        <v>0.99288260662259575</v>
      </c>
      <c r="H60" s="710">
        <v>0.25700000000000001</v>
      </c>
      <c r="I60" s="708">
        <v>0.41499999999999992</v>
      </c>
      <c r="J60" s="570">
        <v>3.2149999999999999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3.2149999999999999</v>
      </c>
      <c r="N60" s="632">
        <f t="shared" si="240"/>
        <v>2.4333587059914126</v>
      </c>
      <c r="O60" s="629">
        <f t="shared" si="241"/>
        <v>-3.0674976415342017</v>
      </c>
      <c r="P60" s="633">
        <f t="shared" si="242"/>
        <v>-0.12221348435766312</v>
      </c>
      <c r="Q60" s="585">
        <f t="shared" si="113"/>
        <v>308.42396846348083</v>
      </c>
      <c r="R60" s="629">
        <f t="shared" si="79"/>
        <v>3.9154535334801372</v>
      </c>
      <c r="S60" s="634">
        <f t="shared" si="80"/>
        <v>-0.12221348435766312</v>
      </c>
      <c r="T60" s="635">
        <f t="shared" si="81"/>
        <v>-3.0674976415342021</v>
      </c>
      <c r="U60" s="629">
        <f t="shared" si="82"/>
        <v>-2.4333587059914117</v>
      </c>
      <c r="V60" s="636">
        <f t="shared" si="114"/>
        <v>-0.12221348435766312</v>
      </c>
      <c r="W60" s="585">
        <f t="shared" si="224"/>
        <v>218.42396846348083</v>
      </c>
      <c r="X60" s="629">
        <f t="shared" si="83"/>
        <v>3.9154535334801372</v>
      </c>
      <c r="Y60" s="630">
        <f t="shared" si="223"/>
        <v>-0.12221348435766312</v>
      </c>
      <c r="Z60" s="632">
        <f t="shared" si="243"/>
        <v>-7.4016142177804958E-2</v>
      </c>
      <c r="AA60" s="629">
        <f t="shared" si="244"/>
        <v>9.3304555962904656E-2</v>
      </c>
      <c r="AB60" s="629">
        <f t="shared" si="245"/>
        <v>-0.99288260662259575</v>
      </c>
      <c r="AC60" s="636">
        <f t="shared" si="84"/>
        <v>1</v>
      </c>
      <c r="AD60" s="637">
        <f t="shared" si="115"/>
        <v>-7.4016142177804958E-2</v>
      </c>
      <c r="AE60" s="629">
        <f t="shared" si="85"/>
        <v>9.3304555962904656E-2</v>
      </c>
      <c r="AF60" s="633">
        <f t="shared" si="86"/>
        <v>-0.99288260662259575</v>
      </c>
      <c r="AG60" s="602">
        <f t="shared" si="87"/>
        <v>5.3685132301308105</v>
      </c>
      <c r="AH60" s="603">
        <f t="shared" si="88"/>
        <v>94.244694276786717</v>
      </c>
      <c r="AI60" s="585">
        <f t="shared" si="89"/>
        <v>-6.839999012438593</v>
      </c>
      <c r="AJ60" s="586">
        <f t="shared" si="90"/>
        <v>-141.57592242902865</v>
      </c>
      <c r="AK60" s="635">
        <f t="shared" si="211"/>
        <v>2.2679489677934761E-7</v>
      </c>
      <c r="AL60" s="629">
        <f t="shared" si="91"/>
        <v>-0.11909714298113287</v>
      </c>
      <c r="AM60" s="634">
        <f t="shared" si="92"/>
        <v>-0.99288260662259575</v>
      </c>
      <c r="AN60" s="581">
        <f t="shared" si="93"/>
        <v>-6.8399990124263299</v>
      </c>
      <c r="AO60" s="582">
        <f t="shared" si="461"/>
        <v>0</v>
      </c>
      <c r="AP60" s="585">
        <f t="shared" si="95"/>
        <v>-89.99989089250947</v>
      </c>
      <c r="AQ60" s="586">
        <f t="shared" si="246"/>
        <v>0.58221816318147612</v>
      </c>
      <c r="AS60" s="52">
        <f t="shared" si="406"/>
        <v>-141.57603153651917</v>
      </c>
      <c r="AT60" s="72">
        <f t="shared" si="247"/>
        <v>-2.3896795790635916E-2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Nose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3.2149999999999999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3.1150000000000002</v>
      </c>
      <c r="II60" s="734" cm="1">
        <f t="array" ref="II60">IFERROR(ROUND(VALUE(IF($IH60&lt;1,$IH60+LARGE((IF($M$9:$M$150="",0,$M$9:$M$150)-MOD(IF($M$9:$M$150="",0,$M$9:$M$150),1)),1),$IH60)),4),"")</f>
        <v>3.1150000000000002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16.434997627079952</v>
      </c>
      <c r="IM60" s="759">
        <v>6.08494369432344E-2</v>
      </c>
      <c r="IN60" s="5">
        <f t="shared" si="226"/>
        <v>1.74</v>
      </c>
      <c r="IO60" s="771">
        <v>870</v>
      </c>
      <c r="IP60" s="9">
        <f t="shared" si="227"/>
        <v>-3.9101117928971671</v>
      </c>
      <c r="IQ60" s="5">
        <f t="shared" si="228"/>
        <v>-8.7500263900795919E-2</v>
      </c>
      <c r="IR60" s="5">
        <f t="shared" si="383"/>
        <v>0.314</v>
      </c>
      <c r="IS60" s="5">
        <f t="shared" si="229"/>
        <v>0.3031304340089005</v>
      </c>
      <c r="IT60" s="727">
        <f t="shared" si="230"/>
        <v>14.22000125747725</v>
      </c>
      <c r="IU60" s="9">
        <f t="shared" si="231"/>
        <v>-3.9154535334801372</v>
      </c>
      <c r="IV60" s="5">
        <f t="shared" si="232"/>
        <v>-0.12221348435766312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6.8399990124263299</v>
      </c>
    </row>
    <row r="61" spans="1:259" ht="15" customHeight="1" x14ac:dyDescent="0.25">
      <c r="A61" s="79"/>
      <c r="B61" s="707">
        <v>3.0697745399751883</v>
      </c>
      <c r="C61" s="708">
        <v>-3.5338662140955743</v>
      </c>
      <c r="D61" s="709">
        <v>-0.30150099343503772</v>
      </c>
      <c r="E61" s="710">
        <v>0.82008292703543773</v>
      </c>
      <c r="F61" s="708">
        <v>0.48483279381376054</v>
      </c>
      <c r="G61" s="711">
        <v>0.3039755826176383</v>
      </c>
      <c r="H61" s="710">
        <v>0.26600000000000001</v>
      </c>
      <c r="I61" s="708">
        <v>0.52</v>
      </c>
      <c r="J61" s="570">
        <v>3.218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1313</v>
      </c>
      <c r="L61" s="320"/>
      <c r="M61" s="168">
        <f t="shared" si="239"/>
        <v>3.218</v>
      </c>
      <c r="N61" s="632">
        <f t="shared" si="240"/>
        <v>3.0697745399751883</v>
      </c>
      <c r="O61" s="629">
        <f t="shared" si="241"/>
        <v>-3.5338662140955743</v>
      </c>
      <c r="P61" s="633">
        <f t="shared" si="242"/>
        <v>-0.30150099343503772</v>
      </c>
      <c r="Q61" s="585">
        <f t="shared" si="113"/>
        <v>310.97996809444015</v>
      </c>
      <c r="R61" s="629">
        <f t="shared" si="79"/>
        <v>4.6809962770126265</v>
      </c>
      <c r="S61" s="634">
        <f t="shared" si="80"/>
        <v>-0.30150099343503772</v>
      </c>
      <c r="T61" s="635">
        <f t="shared" si="81"/>
        <v>-3.5338662140955743</v>
      </c>
      <c r="U61" s="629">
        <f t="shared" si="82"/>
        <v>-3.0697745399751888</v>
      </c>
      <c r="V61" s="636">
        <f t="shared" si="114"/>
        <v>-0.30150099343503772</v>
      </c>
      <c r="W61" s="585">
        <f t="shared" si="224"/>
        <v>220.97996809444015</v>
      </c>
      <c r="X61" s="629">
        <f t="shared" si="83"/>
        <v>4.6809962770126265</v>
      </c>
      <c r="Y61" s="630">
        <f t="shared" si="223"/>
        <v>-0.30150099343503772</v>
      </c>
      <c r="Z61" s="632">
        <f t="shared" si="243"/>
        <v>-0.82008292703543773</v>
      </c>
      <c r="AA61" s="629">
        <f t="shared" si="244"/>
        <v>-0.48483279381376054</v>
      </c>
      <c r="AB61" s="629">
        <f t="shared" si="245"/>
        <v>-0.3039755826176383</v>
      </c>
      <c r="AC61" s="636">
        <f t="shared" si="84"/>
        <v>1</v>
      </c>
      <c r="AD61" s="637">
        <f t="shared" si="115"/>
        <v>-0.82008292703543773</v>
      </c>
      <c r="AE61" s="629">
        <f t="shared" si="85"/>
        <v>-0.48483279381376054</v>
      </c>
      <c r="AF61" s="633">
        <f t="shared" si="86"/>
        <v>-0.3039755826176383</v>
      </c>
      <c r="AG61" s="602">
        <f t="shared" si="87"/>
        <v>-57.913524666424152</v>
      </c>
      <c r="AH61" s="603">
        <f t="shared" si="88"/>
        <v>145.09309592802052</v>
      </c>
      <c r="AI61" s="585">
        <f t="shared" si="89"/>
        <v>-72.303456876146129</v>
      </c>
      <c r="AJ61" s="586">
        <f t="shared" si="90"/>
        <v>-59.408432617800877</v>
      </c>
      <c r="AK61" s="635">
        <f t="shared" si="211"/>
        <v>0.93706349153540036</v>
      </c>
      <c r="AL61" s="629">
        <f t="shared" si="91"/>
        <v>-0.17178724633613585</v>
      </c>
      <c r="AM61" s="634">
        <f t="shared" si="92"/>
        <v>-0.3039755826176383</v>
      </c>
      <c r="AN61" s="581">
        <f t="shared" si="93"/>
        <v>-29.472311953278702</v>
      </c>
      <c r="AO61" s="582">
        <f t="shared" si="461"/>
        <v>20.43588491650295</v>
      </c>
      <c r="AP61" s="585">
        <f t="shared" si="95"/>
        <v>-10.388400712241021</v>
      </c>
      <c r="AQ61" s="586">
        <f t="shared" si="246"/>
        <v>0.4870056704324216</v>
      </c>
      <c r="AS61" s="52">
        <f t="shared" si="406"/>
        <v>-139.02003190555985</v>
      </c>
      <c r="AT61" s="72">
        <f t="shared" si="247"/>
        <v>-0.20495930461173228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Nose</v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3.218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3.1179999999999999</v>
      </c>
      <c r="II61" s="734" cm="1">
        <f t="array" ref="II61">IFERROR(ROUND(VALUE(IF($IH61&lt;1,$IH61+LARGE((IF($M$9:$M$150="",0,$M$9:$M$150)-MOD(IF($M$9:$M$150="",0,$M$9:$M$150),1)),1),$IH61)),4),"")</f>
        <v>3.1179999999999999</v>
      </c>
      <c r="IJ61" s="533">
        <f t="shared" si="112"/>
        <v>1613</v>
      </c>
      <c r="IK61" s="533">
        <f t="shared" si="382"/>
        <v>1313</v>
      </c>
      <c r="IL61" s="727">
        <f t="shared" si="225"/>
        <v>13.331998075097601</v>
      </c>
      <c r="IM61" s="759">
        <v>3.3060698439494399E-2</v>
      </c>
      <c r="IN61" s="5">
        <f t="shared" si="226"/>
        <v>1.4</v>
      </c>
      <c r="IO61" s="771">
        <v>700</v>
      </c>
      <c r="IP61" s="9">
        <f t="shared" si="227"/>
        <v>-4.6653140705872387</v>
      </c>
      <c r="IQ61" s="5">
        <f t="shared" si="228"/>
        <v>-0.29900090178671979</v>
      </c>
      <c r="IR61" s="5">
        <f t="shared" si="383"/>
        <v>0.314</v>
      </c>
      <c r="IS61" s="5">
        <f t="shared" si="229"/>
        <v>0.3024521137712281</v>
      </c>
      <c r="IT61" s="727">
        <f t="shared" si="230"/>
        <v>33.262690767999672</v>
      </c>
      <c r="IU61" s="9">
        <f t="shared" si="231"/>
        <v>-4.6809962770126265</v>
      </c>
      <c r="IV61" s="5">
        <f t="shared" si="232"/>
        <v>-0.30150099343503772</v>
      </c>
      <c r="IW61" s="5">
        <f t="shared" si="384"/>
        <v>0.26600000000000001</v>
      </c>
      <c r="IX61" s="5">
        <f t="shared" si="233"/>
        <v>0.24925888874841651</v>
      </c>
      <c r="IY61" s="762">
        <f t="shared" si="234"/>
        <v>29.472311953278702</v>
      </c>
    </row>
    <row r="62" spans="1:259" ht="15" customHeight="1" x14ac:dyDescent="0.25">
      <c r="A62" s="79"/>
      <c r="B62" s="707">
        <v>3.5244420777842347</v>
      </c>
      <c r="C62" s="708">
        <v>-4.0441362391173836</v>
      </c>
      <c r="D62" s="709">
        <v>-0.70476206869322444</v>
      </c>
      <c r="E62" s="710">
        <v>0.87021707011522098</v>
      </c>
      <c r="F62" s="708">
        <v>0.41414731059888521</v>
      </c>
      <c r="G62" s="711">
        <v>0.26684125618762794</v>
      </c>
      <c r="H62" s="710">
        <v>0.26600000000000001</v>
      </c>
      <c r="I62" s="708">
        <v>0.52</v>
      </c>
      <c r="J62" s="570">
        <v>3.2210000000000001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1313</v>
      </c>
      <c r="L62" s="320"/>
      <c r="M62" s="168">
        <f t="shared" si="239"/>
        <v>3.2210000000000001</v>
      </c>
      <c r="N62" s="632">
        <f t="shared" si="240"/>
        <v>3.5244420777842347</v>
      </c>
      <c r="O62" s="629">
        <f t="shared" si="241"/>
        <v>-4.0441362391173836</v>
      </c>
      <c r="P62" s="633">
        <f t="shared" si="242"/>
        <v>-0.70476206869322444</v>
      </c>
      <c r="Q62" s="585">
        <f t="shared" si="113"/>
        <v>311.07196808115697</v>
      </c>
      <c r="R62" s="629">
        <f t="shared" si="79"/>
        <v>5.3643946424735152</v>
      </c>
      <c r="S62" s="634">
        <f t="shared" si="80"/>
        <v>-0.70476206869322444</v>
      </c>
      <c r="T62" s="635">
        <f t="shared" si="81"/>
        <v>-4.0441362391173854</v>
      </c>
      <c r="U62" s="629">
        <f t="shared" si="82"/>
        <v>-3.5244420777842334</v>
      </c>
      <c r="V62" s="636">
        <f t="shared" si="114"/>
        <v>-0.70476206869322444</v>
      </c>
      <c r="W62" s="585">
        <f t="shared" si="224"/>
        <v>221.07196808115697</v>
      </c>
      <c r="X62" s="629">
        <f t="shared" si="83"/>
        <v>5.3643946424735152</v>
      </c>
      <c r="Y62" s="630">
        <f t="shared" si="223"/>
        <v>-0.70476206869322444</v>
      </c>
      <c r="Z62" s="632">
        <f t="shared" si="243"/>
        <v>-0.87021707011522098</v>
      </c>
      <c r="AA62" s="629">
        <f t="shared" si="244"/>
        <v>-0.41414731059888521</v>
      </c>
      <c r="AB62" s="629">
        <f t="shared" si="245"/>
        <v>-0.26684125618762794</v>
      </c>
      <c r="AC62" s="636">
        <f t="shared" si="84"/>
        <v>1</v>
      </c>
      <c r="AD62" s="637">
        <f t="shared" si="115"/>
        <v>-0.87021707011522098</v>
      </c>
      <c r="AE62" s="629">
        <f t="shared" si="85"/>
        <v>-0.41414731059888521</v>
      </c>
      <c r="AF62" s="633">
        <f t="shared" si="86"/>
        <v>-0.26684125618762794</v>
      </c>
      <c r="AG62" s="602">
        <f t="shared" si="87"/>
        <v>-57.205715992373044</v>
      </c>
      <c r="AH62" s="603">
        <f t="shared" si="88"/>
        <v>150.48387424900685</v>
      </c>
      <c r="AI62" s="585">
        <f t="shared" si="89"/>
        <v>-74.52361070491267</v>
      </c>
      <c r="AJ62" s="586">
        <f t="shared" si="90"/>
        <v>-64.549632297578711</v>
      </c>
      <c r="AK62" s="635">
        <f t="shared" si="211"/>
        <v>0.92814099798064742</v>
      </c>
      <c r="AL62" s="629">
        <f t="shared" si="91"/>
        <v>-0.25951884683717424</v>
      </c>
      <c r="AM62" s="634">
        <f t="shared" si="92"/>
        <v>-0.26684125618762794</v>
      </c>
      <c r="AN62" s="581">
        <f t="shared" si="93"/>
        <v>-44.202986533291359</v>
      </c>
      <c r="AO62" s="582">
        <f t="shared" si="461"/>
        <v>21.853139667345722</v>
      </c>
      <c r="AP62" s="585">
        <f t="shared" si="95"/>
        <v>-15.621600378735673</v>
      </c>
      <c r="AQ62" s="586">
        <f t="shared" si="246"/>
        <v>0.42496590558700026</v>
      </c>
      <c r="AS62" s="52">
        <f t="shared" si="406"/>
        <v>-138.92803191884303</v>
      </c>
      <c r="AT62" s="72">
        <f t="shared" si="247"/>
        <v>-0.60828426874958341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>Taper</v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3.2210000000000001</v>
      </c>
      <c r="IH62" s="731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3.121</v>
      </c>
      <c r="II62" s="734" cm="1">
        <f t="array" ref="II62">IFERROR(ROUND(VALUE(IF($IH62&lt;1,$IH62+LARGE((IF($M$9:$M$150="",0,$M$9:$M$150)-MOD(IF($M$9:$M$150="",0,$M$9:$M$150),1)),1),$IH62)),4),"")</f>
        <v>3.121</v>
      </c>
      <c r="IJ62" s="533">
        <f t="shared" si="112"/>
        <v>1613</v>
      </c>
      <c r="IK62" s="533">
        <f t="shared" si="382"/>
        <v>1313</v>
      </c>
      <c r="IL62" s="727">
        <f t="shared" si="225"/>
        <v>12.53199819060336</v>
      </c>
      <c r="IM62" s="759">
        <v>2.3098431307054301E-2</v>
      </c>
      <c r="IN62" s="5">
        <f t="shared" si="226"/>
        <v>1.48</v>
      </c>
      <c r="IO62" s="771">
        <v>740</v>
      </c>
      <c r="IP62" s="9">
        <f t="shared" si="227"/>
        <v>-5.3398161048853732</v>
      </c>
      <c r="IQ62" s="5">
        <f t="shared" si="228"/>
        <v>-0.69900210819035824</v>
      </c>
      <c r="IR62" s="5">
        <f t="shared" si="383"/>
        <v>0.314</v>
      </c>
      <c r="IS62" s="5">
        <f t="shared" si="229"/>
        <v>0.30007754660501174</v>
      </c>
      <c r="IT62" s="727">
        <f t="shared" si="230"/>
        <v>48.842353999262905</v>
      </c>
      <c r="IU62" s="9">
        <f t="shared" si="231"/>
        <v>-5.3643946424735152</v>
      </c>
      <c r="IV62" s="5">
        <f t="shared" si="232"/>
        <v>-0.70476206869322444</v>
      </c>
      <c r="IW62" s="5">
        <f t="shared" si="384"/>
        <v>0.26600000000000001</v>
      </c>
      <c r="IX62" s="5">
        <f t="shared" si="233"/>
        <v>0.24688550546285223</v>
      </c>
      <c r="IY62" s="762">
        <f t="shared" si="234"/>
        <v>44.202986533291359</v>
      </c>
    </row>
    <row r="63" spans="1:259" ht="15" customHeight="1" x14ac:dyDescent="0.25">
      <c r="A63" s="79"/>
      <c r="B63" s="707">
        <v>3.8761506076303931</v>
      </c>
      <c r="C63" s="708">
        <v>-4.4752291505952444</v>
      </c>
      <c r="D63" s="709">
        <v>-1.2706702450303862</v>
      </c>
      <c r="E63" s="710">
        <v>0.91445762925857199</v>
      </c>
      <c r="F63" s="708">
        <v>0.32719790320029535</v>
      </c>
      <c r="G63" s="711">
        <v>0.23813604605796782</v>
      </c>
      <c r="H63" s="710">
        <v>0.26600000000000001</v>
      </c>
      <c r="I63" s="708">
        <v>0.52</v>
      </c>
      <c r="J63" s="570">
        <v>3.2240000000000002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3.2240000000000002</v>
      </c>
      <c r="N63" s="632">
        <f t="shared" si="240"/>
        <v>3.8761506076303931</v>
      </c>
      <c r="O63" s="629">
        <f t="shared" si="241"/>
        <v>-4.4752291505952444</v>
      </c>
      <c r="P63" s="633">
        <f t="shared" si="242"/>
        <v>-1.2706702450303862</v>
      </c>
      <c r="Q63" s="585">
        <f t="shared" si="113"/>
        <v>310.89696810642386</v>
      </c>
      <c r="R63" s="629">
        <f t="shared" si="79"/>
        <v>5.9204914900176062</v>
      </c>
      <c r="S63" s="634">
        <f t="shared" si="80"/>
        <v>-1.2706702450303862</v>
      </c>
      <c r="T63" s="635">
        <f t="shared" si="81"/>
        <v>-4.4752291505952453</v>
      </c>
      <c r="U63" s="629">
        <f t="shared" si="82"/>
        <v>-3.8761506076303918</v>
      </c>
      <c r="V63" s="636">
        <f t="shared" si="114"/>
        <v>-1.2706702450303862</v>
      </c>
      <c r="W63" s="585">
        <f t="shared" si="224"/>
        <v>220.89696810642386</v>
      </c>
      <c r="X63" s="629">
        <f t="shared" si="83"/>
        <v>5.9204914900176062</v>
      </c>
      <c r="Y63" s="630">
        <f t="shared" si="223"/>
        <v>-1.2706702450303862</v>
      </c>
      <c r="Z63" s="632">
        <f t="shared" si="243"/>
        <v>-0.91445762925857199</v>
      </c>
      <c r="AA63" s="629">
        <f t="shared" si="244"/>
        <v>-0.32719790320029535</v>
      </c>
      <c r="AB63" s="629">
        <f t="shared" si="245"/>
        <v>-0.23813604605796782</v>
      </c>
      <c r="AC63" s="636">
        <f t="shared" si="84"/>
        <v>1</v>
      </c>
      <c r="AD63" s="637">
        <f t="shared" si="115"/>
        <v>-0.91445762925857199</v>
      </c>
      <c r="AE63" s="629">
        <f t="shared" si="85"/>
        <v>-0.32719790320029535</v>
      </c>
      <c r="AF63" s="633">
        <f t="shared" si="86"/>
        <v>-0.23813604605796782</v>
      </c>
      <c r="AG63" s="602">
        <f t="shared" si="87"/>
        <v>-53.952710619230992</v>
      </c>
      <c r="AH63" s="603">
        <f t="shared" si="88"/>
        <v>156.12882026866734</v>
      </c>
      <c r="AI63" s="585">
        <f t="shared" si="89"/>
        <v>-76.223445634366115</v>
      </c>
      <c r="AJ63" s="586">
        <f t="shared" si="90"/>
        <v>-70.312514910794377</v>
      </c>
      <c r="AK63" s="635">
        <f t="shared" si="211"/>
        <v>0.90544438747794809</v>
      </c>
      <c r="AL63" s="629">
        <f t="shared" si="91"/>
        <v>-0.35137114957344057</v>
      </c>
      <c r="AM63" s="634">
        <f t="shared" si="92"/>
        <v>-0.23813604605796782</v>
      </c>
      <c r="AN63" s="581">
        <f t="shared" si="93"/>
        <v>-55.873186061442631</v>
      </c>
      <c r="AO63" s="582">
        <f t="shared" si="461"/>
        <v>25.116798763504086</v>
      </c>
      <c r="AP63" s="585">
        <f t="shared" si="95"/>
        <v>-21.209483017218215</v>
      </c>
      <c r="AQ63" s="586">
        <f t="shared" si="246"/>
        <v>0.38505119300063489</v>
      </c>
      <c r="AS63" s="52">
        <f t="shared" si="406"/>
        <v>-139.10303189357614</v>
      </c>
      <c r="AT63" s="72">
        <f t="shared" si="247"/>
        <v>-1.1740709173265138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>Taper</v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3.2240000000000002</v>
      </c>
      <c r="IH63" s="731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3.1240000000000001</v>
      </c>
      <c r="II63" s="734" cm="1">
        <f t="array" ref="II63">IFERROR(ROUND(VALUE(IF($IH63&lt;1,$IH63+LARGE((IF($M$9:$M$150="",0,$M$9:$M$150)-MOD(IF($M$9:$M$150="",0,$M$9:$M$150),1)),1),$IH63)),4),"")</f>
        <v>3.1240000000000001</v>
      </c>
      <c r="IJ63" s="533">
        <f t="shared" si="112"/>
        <v>1613</v>
      </c>
      <c r="IK63" s="533">
        <f t="shared" si="382"/>
        <v>1313</v>
      </c>
      <c r="IL63" s="727">
        <f t="shared" si="225"/>
        <v>12.02899826322755</v>
      </c>
      <c r="IM63" s="759">
        <v>1.38352388141445E-2</v>
      </c>
      <c r="IN63" s="5">
        <f t="shared" si="226"/>
        <v>1.54</v>
      </c>
      <c r="IO63" s="771">
        <v>770</v>
      </c>
      <c r="IP63" s="9">
        <f t="shared" si="227"/>
        <v>-5.887617757055156</v>
      </c>
      <c r="IQ63" s="5">
        <f t="shared" si="228"/>
        <v>-1.2602038007746632</v>
      </c>
      <c r="IR63" s="5">
        <f t="shared" si="383"/>
        <v>0.314</v>
      </c>
      <c r="IS63" s="5">
        <f t="shared" si="229"/>
        <v>0.2942600655825221</v>
      </c>
      <c r="IT63" s="727">
        <f t="shared" si="230"/>
        <v>60.011720023877189</v>
      </c>
      <c r="IU63" s="9">
        <f t="shared" si="231"/>
        <v>-5.9204914900176062</v>
      </c>
      <c r="IV63" s="5">
        <f t="shared" si="232"/>
        <v>-1.2706702450303862</v>
      </c>
      <c r="IW63" s="5">
        <f t="shared" si="384"/>
        <v>0.26600000000000001</v>
      </c>
      <c r="IX63" s="5">
        <f t="shared" si="233"/>
        <v>0.24084820706913421</v>
      </c>
      <c r="IY63" s="762">
        <f t="shared" si="234"/>
        <v>55.873186061442631</v>
      </c>
    </row>
    <row r="64" spans="1:259" ht="15" customHeight="1" x14ac:dyDescent="0.25">
      <c r="A64" s="79"/>
      <c r="B64" s="707">
        <v>4.0040457277742654</v>
      </c>
      <c r="C64" s="708">
        <v>-4.8519503789916198</v>
      </c>
      <c r="D64" s="709">
        <v>-2.0049503472105883</v>
      </c>
      <c r="E64" s="710">
        <v>0.61480728568818632</v>
      </c>
      <c r="F64" s="708">
        <v>-0.74499973748924442</v>
      </c>
      <c r="G64" s="711">
        <v>0.25881922765838283</v>
      </c>
      <c r="H64" s="710">
        <v>0.25700000000000001</v>
      </c>
      <c r="I64" s="708">
        <v>0.41499999999999992</v>
      </c>
      <c r="J64" s="570">
        <v>3.2269999999999999</v>
      </c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>CPS-32193r1</v>
      </c>
      <c r="L64" s="320"/>
      <c r="M64" s="168">
        <f t="shared" si="239"/>
        <v>3.2269999999999999</v>
      </c>
      <c r="N64" s="632">
        <f t="shared" si="240"/>
        <v>4.0040457277742654</v>
      </c>
      <c r="O64" s="629">
        <f t="shared" si="241"/>
        <v>-4.8519503789916198</v>
      </c>
      <c r="P64" s="633">
        <f t="shared" si="242"/>
        <v>-2.0049503472105883</v>
      </c>
      <c r="Q64" s="585">
        <f t="shared" si="113"/>
        <v>309.53096830364984</v>
      </c>
      <c r="R64" s="629">
        <f t="shared" si="79"/>
        <v>6.2907713891306107</v>
      </c>
      <c r="S64" s="634">
        <f t="shared" si="80"/>
        <v>-2.0049503472105883</v>
      </c>
      <c r="T64" s="635">
        <f t="shared" si="81"/>
        <v>-4.8519503789916198</v>
      </c>
      <c r="U64" s="629">
        <f t="shared" si="82"/>
        <v>-4.0040457277742663</v>
      </c>
      <c r="V64" s="636">
        <f t="shared" si="114"/>
        <v>-2.0049503472105883</v>
      </c>
      <c r="W64" s="585">
        <f t="shared" si="224"/>
        <v>219.53096830364984</v>
      </c>
      <c r="X64" s="629">
        <f t="shared" si="83"/>
        <v>6.2907713891306107</v>
      </c>
      <c r="Y64" s="630">
        <f t="shared" si="223"/>
        <v>-2.0049503472105883</v>
      </c>
      <c r="Z64" s="632">
        <f t="shared" si="243"/>
        <v>-0.61480728568818632</v>
      </c>
      <c r="AA64" s="629">
        <f t="shared" si="244"/>
        <v>0.74499973748924442</v>
      </c>
      <c r="AB64" s="629">
        <f t="shared" si="245"/>
        <v>-0.25881922765838283</v>
      </c>
      <c r="AC64" s="636">
        <f t="shared" si="84"/>
        <v>1</v>
      </c>
      <c r="AD64" s="637">
        <f t="shared" si="115"/>
        <v>-0.61480728568818632</v>
      </c>
      <c r="AE64" s="629">
        <f t="shared" si="85"/>
        <v>0.74499973748924442</v>
      </c>
      <c r="AF64" s="633">
        <f t="shared" si="86"/>
        <v>-0.25881922765838283</v>
      </c>
      <c r="AG64" s="602">
        <f t="shared" si="87"/>
        <v>70.842339416050947</v>
      </c>
      <c r="AH64" s="603">
        <f t="shared" si="88"/>
        <v>127.93791865942022</v>
      </c>
      <c r="AI64" s="585">
        <f t="shared" si="89"/>
        <v>-74.999989171341738</v>
      </c>
      <c r="AJ64" s="586">
        <f t="shared" si="90"/>
        <v>-140.46901824356664</v>
      </c>
      <c r="AK64" s="635">
        <f t="shared" si="211"/>
        <v>2.2679489647403628E-7</v>
      </c>
      <c r="AL64" s="629">
        <f t="shared" si="91"/>
        <v>-0.96592577737332741</v>
      </c>
      <c r="AM64" s="634">
        <f t="shared" si="92"/>
        <v>-0.25881922765838283</v>
      </c>
      <c r="AN64" s="581">
        <f t="shared" si="93"/>
        <v>-74.99998917134134</v>
      </c>
      <c r="AO64" s="582">
        <f t="shared" si="461"/>
        <v>0</v>
      </c>
      <c r="AP64" s="585">
        <f t="shared" si="95"/>
        <v>-89.99998654721648</v>
      </c>
      <c r="AQ64" s="586">
        <f t="shared" si="246"/>
        <v>0.36238739124943486</v>
      </c>
      <c r="AS64" s="52">
        <f t="shared" si="406"/>
        <v>-140.46903169635016</v>
      </c>
      <c r="AT64" s="72">
        <f t="shared" si="247"/>
        <v>-1.9074024085325674</v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>Taper</v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>
        <f t="shared" si="210"/>
        <v>3.2269999999999999</v>
      </c>
      <c r="IH64" s="731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3.1269999999999998</v>
      </c>
      <c r="II64" s="734" cm="1">
        <f t="array" ref="II64">IFERROR(ROUND(VALUE(IF($IH64&lt;1,$IH64+LARGE((IF($M$9:$M$150="",0,$M$9:$M$150)-MOD(IF($M$9:$M$150="",0,$M$9:$M$150),1)),1),$IH64)),4),"")</f>
        <v>3.1269999999999998</v>
      </c>
      <c r="IJ64" s="533">
        <f t="shared" si="112"/>
        <v>1613</v>
      </c>
      <c r="IK64" s="533" t="str">
        <f t="shared" si="382"/>
        <v>CPS-32193r1</v>
      </c>
      <c r="IL64" s="727">
        <f t="shared" si="225"/>
        <v>12.878998140502745</v>
      </c>
      <c r="IM64" s="759">
        <v>1.3598242026826901E-4</v>
      </c>
      <c r="IN64" s="5">
        <f t="shared" si="226"/>
        <v>0</v>
      </c>
      <c r="IO64" s="771">
        <v>0</v>
      </c>
      <c r="IP64" s="9">
        <f t="shared" si="227"/>
        <v>-6.2713189142978472</v>
      </c>
      <c r="IQ64" s="5">
        <f t="shared" si="228"/>
        <v>-1.9442058637248856</v>
      </c>
      <c r="IR64" s="5">
        <f t="shared" si="383"/>
        <v>0.314</v>
      </c>
      <c r="IS64" s="5">
        <f t="shared" si="229"/>
        <v>0.28137201914356552</v>
      </c>
      <c r="IT64" s="727">
        <f t="shared" si="230"/>
        <v>67.605705962280609</v>
      </c>
      <c r="IU64" s="9">
        <f t="shared" si="231"/>
        <v>-6.2907713891306107</v>
      </c>
      <c r="IV64" s="5">
        <f t="shared" si="232"/>
        <v>-2.0049503472105883</v>
      </c>
      <c r="IW64" s="5">
        <f t="shared" si="384"/>
        <v>0.25700000000000001</v>
      </c>
      <c r="IX64" s="5">
        <f t="shared" si="233"/>
        <v>0.25700000000000001</v>
      </c>
      <c r="IY64" s="762">
        <f t="shared" si="234"/>
        <v>74.99998917134134</v>
      </c>
    </row>
    <row r="65" spans="1:259" ht="15" customHeight="1" x14ac:dyDescent="0.25">
      <c r="A65" s="79"/>
      <c r="B65" s="707">
        <v>4.1128821698320523</v>
      </c>
      <c r="C65" s="708">
        <v>-5.0023023930698631</v>
      </c>
      <c r="D65" s="709">
        <v>-2.7726104760542829</v>
      </c>
      <c r="E65" s="710">
        <v>0.61345399318292326</v>
      </c>
      <c r="F65" s="708">
        <v>-0.74611447221069516</v>
      </c>
      <c r="G65" s="711">
        <v>0.25881922765838322</v>
      </c>
      <c r="H65" s="710">
        <v>0.25700000000000001</v>
      </c>
      <c r="I65" s="708">
        <v>0.41499999999999992</v>
      </c>
      <c r="J65" s="570">
        <v>3.23</v>
      </c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>CPS-32193r1</v>
      </c>
      <c r="L65" s="320"/>
      <c r="M65" s="168">
        <f t="shared" si="239"/>
        <v>3.23</v>
      </c>
      <c r="N65" s="632">
        <f t="shared" si="240"/>
        <v>4.1128821698320523</v>
      </c>
      <c r="O65" s="629">
        <f t="shared" si="241"/>
        <v>-5.0023023930698631</v>
      </c>
      <c r="P65" s="633">
        <f t="shared" si="242"/>
        <v>-2.7726104760542829</v>
      </c>
      <c r="Q65" s="585">
        <f t="shared" si="113"/>
        <v>309.42696831866556</v>
      </c>
      <c r="R65" s="629">
        <f t="shared" si="79"/>
        <v>6.4760195316749076</v>
      </c>
      <c r="S65" s="634">
        <f t="shared" si="80"/>
        <v>-2.7726104760542829</v>
      </c>
      <c r="T65" s="635">
        <f t="shared" si="81"/>
        <v>-5.002302393069864</v>
      </c>
      <c r="U65" s="629">
        <f t="shared" si="82"/>
        <v>-4.1128821698320506</v>
      </c>
      <c r="V65" s="636">
        <f t="shared" si="114"/>
        <v>-2.7726104760542829</v>
      </c>
      <c r="W65" s="585">
        <f t="shared" si="224"/>
        <v>219.42696831866556</v>
      </c>
      <c r="X65" s="629">
        <f t="shared" si="83"/>
        <v>6.4760195316749076</v>
      </c>
      <c r="Y65" s="630">
        <f t="shared" si="223"/>
        <v>-2.7726104760542829</v>
      </c>
      <c r="Z65" s="632">
        <f t="shared" si="243"/>
        <v>-0.61345399318292326</v>
      </c>
      <c r="AA65" s="629">
        <f t="shared" si="244"/>
        <v>0.74611447221069516</v>
      </c>
      <c r="AB65" s="629">
        <f t="shared" si="245"/>
        <v>-0.25881922765838322</v>
      </c>
      <c r="AC65" s="636">
        <f t="shared" si="84"/>
        <v>1</v>
      </c>
      <c r="AD65" s="637">
        <f t="shared" si="115"/>
        <v>-0.61345399318292326</v>
      </c>
      <c r="AE65" s="629">
        <f t="shared" si="85"/>
        <v>0.74611447221069516</v>
      </c>
      <c r="AF65" s="633">
        <f t="shared" si="86"/>
        <v>-0.25881922765838322</v>
      </c>
      <c r="AG65" s="602">
        <f t="shared" si="87"/>
        <v>70.868880120303288</v>
      </c>
      <c r="AH65" s="603">
        <f t="shared" si="88"/>
        <v>127.83967037614558</v>
      </c>
      <c r="AI65" s="585">
        <f t="shared" si="89"/>
        <v>-74.99998917134171</v>
      </c>
      <c r="AJ65" s="586">
        <f t="shared" si="90"/>
        <v>-140.57301822855089</v>
      </c>
      <c r="AK65" s="635">
        <f t="shared" si="211"/>
        <v>2.2679489686261434E-7</v>
      </c>
      <c r="AL65" s="629">
        <f t="shared" si="91"/>
        <v>-0.9659257773733273</v>
      </c>
      <c r="AM65" s="634">
        <f t="shared" si="92"/>
        <v>-0.25881922765838322</v>
      </c>
      <c r="AN65" s="581">
        <f t="shared" si="93"/>
        <v>-74.999989171341312</v>
      </c>
      <c r="AO65" s="582">
        <f t="shared" si="461"/>
        <v>0</v>
      </c>
      <c r="AP65" s="585">
        <f t="shared" si="95"/>
        <v>-89.999986547216452</v>
      </c>
      <c r="AQ65" s="586">
        <f t="shared" si="246"/>
        <v>0.35202147488113139</v>
      </c>
      <c r="AS65" s="52">
        <f t="shared" si="406"/>
        <v>-140.57303168133444</v>
      </c>
      <c r="AT65" s="72">
        <f t="shared" si="247"/>
        <v>-2.6749903151644672</v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>Taper</v>
      </c>
      <c r="IF65" s="533" t="str">
        <f>IFERROR(IF((((($IW65*COS(RADIANS(180-$IY65)))*COS(RADIANS($IY65)))-(($IX65*SIN(RADIANS(180-$IY65)))*SIN(RADIANS($IY65))))+$IU65)&lt;(((Settings!$C$19+$IF$8)/2)*-1),"Gage",""),"")</f>
        <v>Gage</v>
      </c>
      <c r="IG65" s="847">
        <f t="shared" si="210"/>
        <v>3.23</v>
      </c>
      <c r="IH65" s="731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3.13</v>
      </c>
      <c r="II65" s="734" cm="1">
        <f t="array" ref="II65">IFERROR(ROUND(VALUE(IF($IH65&lt;1,$IH65+LARGE((IF($M$9:$M$150="",0,$M$9:$M$150)-MOD(IF($M$9:$M$150="",0,$M$9:$M$150),1)),1),$IH65)),4),"")</f>
        <v>3.13</v>
      </c>
      <c r="IJ65" s="533">
        <f t="shared" si="112"/>
        <v>1613</v>
      </c>
      <c r="IK65" s="533" t="str">
        <f t="shared" si="382"/>
        <v>CPS-32193r1</v>
      </c>
      <c r="IL65" s="727">
        <f t="shared" si="225"/>
        <v>12.711998164614556</v>
      </c>
      <c r="IM65" s="759">
        <v>1.4430071723085301E-4</v>
      </c>
      <c r="IN65" s="5">
        <f t="shared" si="226"/>
        <v>0</v>
      </c>
      <c r="IO65" s="771">
        <v>0</v>
      </c>
      <c r="IP65" s="9">
        <f t="shared" si="227"/>
        <v>-6.4646194972924027</v>
      </c>
      <c r="IQ65" s="5">
        <f t="shared" si="228"/>
        <v>-2.7043081561933979</v>
      </c>
      <c r="IR65" s="5">
        <f t="shared" si="383"/>
        <v>0.314</v>
      </c>
      <c r="IS65" s="5">
        <f t="shared" si="229"/>
        <v>0.27375991490794804</v>
      </c>
      <c r="IT65" s="727">
        <f t="shared" si="230"/>
        <v>76.988792744853313</v>
      </c>
      <c r="IU65" s="9">
        <f t="shared" si="231"/>
        <v>-6.4760195316749076</v>
      </c>
      <c r="IV65" s="5">
        <f t="shared" si="232"/>
        <v>-2.7726104760542829</v>
      </c>
      <c r="IW65" s="5">
        <f t="shared" si="384"/>
        <v>0.25700000000000001</v>
      </c>
      <c r="IX65" s="5">
        <f t="shared" si="233"/>
        <v>0.25700000000000001</v>
      </c>
      <c r="IY65" s="762">
        <f t="shared" si="234"/>
        <v>74.999989171341312</v>
      </c>
    </row>
    <row r="66" spans="1:259" ht="15" customHeight="1" x14ac:dyDescent="0.25">
      <c r="A66" s="79"/>
      <c r="B66" s="707">
        <v>-0.45377988894175569</v>
      </c>
      <c r="C66" s="708">
        <v>-2.5735071874750717</v>
      </c>
      <c r="D66" s="709">
        <v>-0.18510055826328373</v>
      </c>
      <c r="E66" s="710">
        <v>0.96288342756627354</v>
      </c>
      <c r="F66" s="708">
        <v>-0.10176208176789696</v>
      </c>
      <c r="G66" s="711">
        <v>0.24999996726497575</v>
      </c>
      <c r="H66" s="710">
        <v>0.314</v>
      </c>
      <c r="I66" s="708">
        <v>0.52</v>
      </c>
      <c r="J66" s="570">
        <v>4.1100000000000003</v>
      </c>
      <c r="K66" s="865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>1613</v>
      </c>
      <c r="L66" s="320"/>
      <c r="M66" s="168">
        <f t="shared" si="239"/>
        <v>4.1100000000000003</v>
      </c>
      <c r="N66" s="632">
        <f t="shared" si="240"/>
        <v>-0.45377988894175569</v>
      </c>
      <c r="O66" s="629">
        <f t="shared" si="241"/>
        <v>-2.5735071874750717</v>
      </c>
      <c r="P66" s="633">
        <f t="shared" si="242"/>
        <v>-0.18510055826328373</v>
      </c>
      <c r="Q66" s="585">
        <f t="shared" si="113"/>
        <v>259.99997545504038</v>
      </c>
      <c r="R66" s="629">
        <f t="shared" si="79"/>
        <v>2.6132078814349704</v>
      </c>
      <c r="S66" s="634">
        <f t="shared" si="80"/>
        <v>-0.18510055826328373</v>
      </c>
      <c r="T66" s="635">
        <f t="shared" si="81"/>
        <v>-2.5735071874750717</v>
      </c>
      <c r="U66" s="629">
        <f t="shared" si="82"/>
        <v>0.45377988894175453</v>
      </c>
      <c r="V66" s="636">
        <f t="shared" si="114"/>
        <v>-0.18510055826328373</v>
      </c>
      <c r="W66" s="585">
        <f t="shared" si="224"/>
        <v>169.99997545504038</v>
      </c>
      <c r="X66" s="629">
        <f t="shared" si="83"/>
        <v>2.6132078814349704</v>
      </c>
      <c r="Y66" s="630">
        <f t="shared" si="223"/>
        <v>-0.18510055826328373</v>
      </c>
      <c r="Z66" s="632">
        <f t="shared" si="243"/>
        <v>-0.96288342756627354</v>
      </c>
      <c r="AA66" s="629">
        <f t="shared" si="244"/>
        <v>0.10176208176789696</v>
      </c>
      <c r="AB66" s="629">
        <f t="shared" si="245"/>
        <v>-0.24999996726497575</v>
      </c>
      <c r="AC66" s="636">
        <f t="shared" si="84"/>
        <v>1</v>
      </c>
      <c r="AD66" s="637">
        <f t="shared" si="115"/>
        <v>-0.96288342756627354</v>
      </c>
      <c r="AE66" s="629">
        <f t="shared" si="85"/>
        <v>0.10176208176789696</v>
      </c>
      <c r="AF66" s="633">
        <f t="shared" si="86"/>
        <v>-0.24999996726497575</v>
      </c>
      <c r="AG66" s="602">
        <f t="shared" si="87"/>
        <v>22.148701179685855</v>
      </c>
      <c r="AH66" s="603">
        <f t="shared" si="88"/>
        <v>164.34063701541467</v>
      </c>
      <c r="AI66" s="585">
        <f t="shared" si="89"/>
        <v>-75.522489751159455</v>
      </c>
      <c r="AJ66" s="586">
        <f t="shared" si="90"/>
        <v>-96.032894899873057</v>
      </c>
      <c r="AK66" s="635">
        <f t="shared" si="211"/>
        <v>0.9659258360722075</v>
      </c>
      <c r="AL66" s="629">
        <f t="shared" si="91"/>
        <v>6.6987279208206726E-2</v>
      </c>
      <c r="AM66" s="634">
        <f t="shared" si="92"/>
        <v>-0.24999996726497575</v>
      </c>
      <c r="AN66" s="581">
        <f t="shared" si="93"/>
        <v>14.999997834268163</v>
      </c>
      <c r="AO66" s="582">
        <f t="shared" si="461"/>
        <v>14.99999783426823</v>
      </c>
      <c r="AP66" s="585">
        <f t="shared" si="95"/>
        <v>3.9671296450865432</v>
      </c>
      <c r="AQ66" s="586">
        <f t="shared" si="246"/>
        <v>0.87231884683465677</v>
      </c>
      <c r="AS66" s="52">
        <f t="shared" si="406"/>
        <v>-190.00002454495962</v>
      </c>
      <c r="AT66" s="72">
        <f t="shared" si="247"/>
        <v>-5.3156096773728428E-2</v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>
        <f t="shared" si="210"/>
        <v>4.1100000000000003</v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>
        <f t="shared" si="112"/>
        <v>1613</v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>
        <v>-0.58818431035646512</v>
      </c>
      <c r="C67" s="708">
        <v>-3.3357506296554273</v>
      </c>
      <c r="D67" s="709">
        <v>-5.8900177642935779E-2</v>
      </c>
      <c r="E67" s="710">
        <v>0.95125118034416623</v>
      </c>
      <c r="F67" s="708">
        <v>-0.1677316687021963</v>
      </c>
      <c r="G67" s="711">
        <v>0.25881900859134593</v>
      </c>
      <c r="H67" s="710">
        <v>0.314</v>
      </c>
      <c r="I67" s="708">
        <v>0.52</v>
      </c>
      <c r="J67" s="570">
        <v>4.1130000000000004</v>
      </c>
      <c r="K67" s="865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>1613</v>
      </c>
      <c r="L67" s="320"/>
      <c r="M67" s="168">
        <f t="shared" si="239"/>
        <v>4.1130000000000004</v>
      </c>
      <c r="N67" s="632">
        <f t="shared" si="240"/>
        <v>-0.58818431035646512</v>
      </c>
      <c r="O67" s="629">
        <f t="shared" si="241"/>
        <v>-3.3357506296554273</v>
      </c>
      <c r="P67" s="633">
        <f t="shared" si="242"/>
        <v>-5.8900177642935779E-2</v>
      </c>
      <c r="Q67" s="585">
        <f t="shared" si="113"/>
        <v>259.99997545504038</v>
      </c>
      <c r="R67" s="629">
        <f>IF(M67="","",SQRT(N67^2+O67^2))</f>
        <v>3.3872102158260109</v>
      </c>
      <c r="S67" s="634">
        <f>IF(M67="","",P67)</f>
        <v>-5.8900177642935779E-2</v>
      </c>
      <c r="T67" s="635">
        <f>IF(M67="","",X67*COS(RADIANS(W67)))</f>
        <v>-3.3357506296554273</v>
      </c>
      <c r="U67" s="629">
        <f>IF(M67="","",X67*SIN(RADIANS(W67)))</f>
        <v>0.58818431035646368</v>
      </c>
      <c r="V67" s="636">
        <f>IF(M67="","",Y67)</f>
        <v>-5.8900177642935779E-2</v>
      </c>
      <c r="W67" s="585">
        <f t="shared" si="224"/>
        <v>169.99997545504038</v>
      </c>
      <c r="X67" s="629">
        <f>IF(M67="","",R67)</f>
        <v>3.3872102158260109</v>
      </c>
      <c r="Y67" s="630">
        <f t="shared" si="223"/>
        <v>-5.8900177642935779E-2</v>
      </c>
      <c r="Z67" s="632">
        <f t="shared" si="243"/>
        <v>-0.95125118034416623</v>
      </c>
      <c r="AA67" s="629">
        <f t="shared" si="244"/>
        <v>0.1677316687021963</v>
      </c>
      <c r="AB67" s="629">
        <f t="shared" si="245"/>
        <v>-0.25881900859134593</v>
      </c>
      <c r="AC67" s="636">
        <f>IF(M67="","",SQRT(Z67^2+AA67^2+AB67^2))</f>
        <v>1</v>
      </c>
      <c r="AD67" s="637">
        <f>IF(M67="","",Z67*(1/SQRT(Z67^2+AA67^2+AB67^2)))</f>
        <v>-0.95125118034416623</v>
      </c>
      <c r="AE67" s="629">
        <f>IF(M67="","",AA67*(1/SQRT(Z67^2+AA67^2+AB67^2)))</f>
        <v>0.1677316687021963</v>
      </c>
      <c r="AF67" s="633">
        <f>IF(M67="","",AB67*(1/SQRT(Z67^2+AA67^2+AB67^2)))</f>
        <v>-0.25881900859134593</v>
      </c>
      <c r="AG67" s="602">
        <f>IF(M67="","",DEGREES(ATAN2(-AF67,AE67)))</f>
        <v>32.945880199133597</v>
      </c>
      <c r="AH67" s="603">
        <f>IF(M67="","",DEGREES(ACOS(AD67)))</f>
        <v>162.03612831132597</v>
      </c>
      <c r="AI67" s="585">
        <f>IF(M67="","",DEGREES(-ACOS(-AF67)))</f>
        <v>-75.000002165731729</v>
      </c>
      <c r="AJ67" s="586">
        <f>IF(M67="","",DEGREES(ATAN2(-AE67,AD67)))</f>
        <v>-100.00002454495963</v>
      </c>
      <c r="AK67" s="635">
        <f>IF(M67="","",(COS(RADIANS((90-$Q$8)-W67))*AD67)+(-SIN(RADIANS((90-$Q$8)-W67))*AE67))</f>
        <v>0.96592583607220728</v>
      </c>
      <c r="AL67" s="629">
        <f>IF(M67="","",(SIN(RADIANS((90-$Q$8)-W67))*AD67)+(COS(RADIANS((90-$Q$8)-W67))*AE67))</f>
        <v>-4.163336342344337E-16</v>
      </c>
      <c r="AM67" s="634">
        <f>IF(M67="","",AF67)</f>
        <v>-0.25881900859134593</v>
      </c>
      <c r="AN67" s="581">
        <f>IF(M67="","",DEGREES(ATAN2(-AM67,AL67)))</f>
        <v>-9.2165410264128409E-14</v>
      </c>
      <c r="AO67" s="582">
        <f t="shared" si="461"/>
        <v>14.99999783426828</v>
      </c>
      <c r="AP67" s="585">
        <f>IF(M67="","",DEGREES(ATAN2(AK67,AL67)))</f>
        <v>-2.4695643516458513E-14</v>
      </c>
      <c r="AQ67" s="586">
        <f t="shared" si="246"/>
        <v>0.67300865265617327</v>
      </c>
      <c r="AS67" s="52">
        <f t="shared" si="406"/>
        <v>-190.00002454495962</v>
      </c>
      <c r="AT67" s="72">
        <f t="shared" si="247"/>
        <v>7.3044283846619512E-2</v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>
        <f t="shared" si="210"/>
        <v>4.1130000000000004</v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>
        <f t="shared" si="112"/>
        <v>1613</v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>
        <v>-0.74455387104651471</v>
      </c>
      <c r="C68" s="708">
        <v>-4.1006667260037775</v>
      </c>
      <c r="D68" s="709">
        <v>-0.13590040987563617</v>
      </c>
      <c r="E68" s="710">
        <v>0.93257829902329592</v>
      </c>
      <c r="F68" s="708">
        <v>-0.26435304541593491</v>
      </c>
      <c r="G68" s="711">
        <v>0.24579500314314168</v>
      </c>
      <c r="H68" s="710">
        <v>0.314</v>
      </c>
      <c r="I68" s="708">
        <v>0.52</v>
      </c>
      <c r="J68" s="570">
        <v>4.1159999999999997</v>
      </c>
      <c r="K68" s="865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>1613</v>
      </c>
      <c r="L68" s="320"/>
      <c r="M68" s="168">
        <f t="shared" si="239"/>
        <v>4.1159999999999997</v>
      </c>
      <c r="N68" s="632">
        <f t="shared" si="240"/>
        <v>-0.74455387104651471</v>
      </c>
      <c r="O68" s="629">
        <f t="shared" si="241"/>
        <v>-4.1006667260037775</v>
      </c>
      <c r="P68" s="633">
        <f t="shared" si="242"/>
        <v>-0.13590040987563617</v>
      </c>
      <c r="Q68" s="585">
        <f t="shared" si="113"/>
        <v>259.70897549705558</v>
      </c>
      <c r="R68" s="629">
        <f>IF(M68="","",SQRT(N68^2+O68^2))</f>
        <v>4.167712569821111</v>
      </c>
      <c r="S68" s="634">
        <f>IF(M68="","",P68)</f>
        <v>-0.13590040987563617</v>
      </c>
      <c r="T68" s="635">
        <f>IF(M68="","",X68*COS(RADIANS(W68)))</f>
        <v>-4.1006667260037775</v>
      </c>
      <c r="U68" s="629">
        <f>IF(M68="","",X68*SIN(RADIANS(W68)))</f>
        <v>0.74455387104651349</v>
      </c>
      <c r="V68" s="636">
        <f>IF(M68="","",Y68)</f>
        <v>-0.13590040987563617</v>
      </c>
      <c r="W68" s="585">
        <f t="shared" si="224"/>
        <v>169.70897549705558</v>
      </c>
      <c r="X68" s="629">
        <f>IF(M68="","",R68)</f>
        <v>4.167712569821111</v>
      </c>
      <c r="Y68" s="630">
        <f t="shared" si="223"/>
        <v>-0.13590040987563617</v>
      </c>
      <c r="Z68" s="632">
        <f t="shared" si="243"/>
        <v>-0.93257829902329592</v>
      </c>
      <c r="AA68" s="629">
        <f t="shared" si="244"/>
        <v>0.26435304541593491</v>
      </c>
      <c r="AB68" s="629">
        <f t="shared" si="245"/>
        <v>-0.24579500314314168</v>
      </c>
      <c r="AC68" s="636">
        <f>IF(M68="","",SQRT(Z68^2+AA68^2+AB68^2))</f>
        <v>1</v>
      </c>
      <c r="AD68" s="637">
        <f>IF(M68="","",Z68*(1/SQRT(Z68^2+AA68^2+AB68^2)))</f>
        <v>-0.93257829902329592</v>
      </c>
      <c r="AE68" s="629">
        <f>IF(M68="","",AA68*(1/SQRT(Z68^2+AA68^2+AB68^2)))</f>
        <v>0.26435304541593491</v>
      </c>
      <c r="AF68" s="633">
        <f>IF(M68="","",AB68*(1/SQRT(Z68^2+AA68^2+AB68^2)))</f>
        <v>-0.24579500314314168</v>
      </c>
      <c r="AG68" s="602">
        <f>IF(M68="","",DEGREES(ATAN2(-AF68,AE68)))</f>
        <v>47.083373323029555</v>
      </c>
      <c r="AH68" s="603">
        <f>IF(M68="","",DEGREES(ACOS(AD68)))</f>
        <v>158.84035927114894</v>
      </c>
      <c r="AI68" s="585">
        <f>IF(M68="","",DEGREES(-ACOS(-AF68)))</f>
        <v>-75.771179199938999</v>
      </c>
      <c r="AJ68" s="586">
        <f>IF(M68="","",DEGREES(ATAN2(-AE68,AD68)))</f>
        <v>-105.82616213761513</v>
      </c>
      <c r="AK68" s="635">
        <f>IF(M68="","",(COS(RADIANS((90-$Q$8)-W68))*AD68)+(-SIN(RADIANS((90-$Q$8)-W68))*AE68))</f>
        <v>0.96480211053949727</v>
      </c>
      <c r="AL68" s="629">
        <f>IF(M68="","",(SIN(RADIANS((90-$Q$8)-W68))*AD68)+(COS(RADIANS((90-$Q$8)-W68))*AE68))</f>
        <v>-9.3497079785386294E-2</v>
      </c>
      <c r="AM68" s="634">
        <f>IF(M68="","",AF68)</f>
        <v>-0.24579500314314168</v>
      </c>
      <c r="AN68" s="581">
        <f>IF(M68="","",DEGREES(ATAN2(-AM68,AL68)))</f>
        <v>-20.826134809408508</v>
      </c>
      <c r="AO68" s="582">
        <f t="shared" si="461"/>
        <v>15.246778696082648</v>
      </c>
      <c r="AP68" s="585">
        <f>IF(M68="","",DEGREES(ATAN2(AK68,AL68)))</f>
        <v>-5.5351376346707148</v>
      </c>
      <c r="AQ68" s="586">
        <f t="shared" si="246"/>
        <v>0.5469804687690053</v>
      </c>
      <c r="AS68" s="52">
        <f t="shared" si="406"/>
        <v>-190.29102450294442</v>
      </c>
      <c r="AT68" s="72">
        <f t="shared" si="247"/>
        <v>-3.7538650819247676E-3</v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>
        <f t="shared" si="210"/>
        <v>4.1159999999999997</v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>
        <f t="shared" si="112"/>
        <v>1613</v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>
        <v>-0.9282841901391311</v>
      </c>
      <c r="C69" s="708">
        <v>-4.8128095360191985</v>
      </c>
      <c r="D69" s="709">
        <v>-0.41250124410375222</v>
      </c>
      <c r="E69" s="710">
        <v>0.91238815112728089</v>
      </c>
      <c r="F69" s="708">
        <v>-0.35069926723589645</v>
      </c>
      <c r="G69" s="711">
        <v>0.21108738863974649</v>
      </c>
      <c r="H69" s="710">
        <v>0.314</v>
      </c>
      <c r="I69" s="708">
        <v>0.52</v>
      </c>
      <c r="J69" s="570">
        <v>4.1189999999999998</v>
      </c>
      <c r="K69" s="865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>1613</v>
      </c>
      <c r="L69" s="320"/>
      <c r="M69" s="168">
        <f t="shared" si="239"/>
        <v>4.1189999999999998</v>
      </c>
      <c r="N69" s="632">
        <f t="shared" si="240"/>
        <v>-0.9282841901391311</v>
      </c>
      <c r="O69" s="629">
        <f t="shared" si="241"/>
        <v>-4.8128095360191985</v>
      </c>
      <c r="P69" s="633">
        <f t="shared" si="242"/>
        <v>-0.41250124410375222</v>
      </c>
      <c r="Q69" s="585">
        <f t="shared" si="113"/>
        <v>259.0829755874388</v>
      </c>
      <c r="R69" s="629">
        <f t="shared" si="79"/>
        <v>4.9015147829685866</v>
      </c>
      <c r="S69" s="634">
        <f t="shared" si="80"/>
        <v>-0.41250124410375222</v>
      </c>
      <c r="T69" s="635">
        <f t="shared" si="81"/>
        <v>-4.8128095360191985</v>
      </c>
      <c r="U69" s="629">
        <f t="shared" si="82"/>
        <v>0.92828419013912788</v>
      </c>
      <c r="V69" s="636">
        <f t="shared" si="114"/>
        <v>-0.41250124410375222</v>
      </c>
      <c r="W69" s="585">
        <f t="shared" si="224"/>
        <v>169.0829755874388</v>
      </c>
      <c r="X69" s="629">
        <f t="shared" si="83"/>
        <v>4.9015147829685866</v>
      </c>
      <c r="Y69" s="630">
        <f t="shared" si="223"/>
        <v>-0.41250124410375222</v>
      </c>
      <c r="Z69" s="632">
        <f t="shared" si="243"/>
        <v>-0.91238815112728089</v>
      </c>
      <c r="AA69" s="629">
        <f t="shared" si="244"/>
        <v>0.35069926723589645</v>
      </c>
      <c r="AB69" s="629">
        <f t="shared" si="245"/>
        <v>-0.21108738863974649</v>
      </c>
      <c r="AC69" s="636">
        <f t="shared" si="84"/>
        <v>1</v>
      </c>
      <c r="AD69" s="637">
        <f t="shared" si="115"/>
        <v>-0.91238815112728089</v>
      </c>
      <c r="AE69" s="629">
        <f t="shared" si="85"/>
        <v>0.35069926723589645</v>
      </c>
      <c r="AF69" s="633">
        <f t="shared" si="86"/>
        <v>-0.21108738863974649</v>
      </c>
      <c r="AG69" s="602">
        <f t="shared" si="87"/>
        <v>58.956085131989127</v>
      </c>
      <c r="AH69" s="603">
        <f t="shared" si="88"/>
        <v>155.83749108879024</v>
      </c>
      <c r="AI69" s="585">
        <f t="shared" si="89"/>
        <v>-77.813916398252019</v>
      </c>
      <c r="AJ69" s="586">
        <f t="shared" si="90"/>
        <v>-111.02551582952201</v>
      </c>
      <c r="AK69" s="635">
        <f t="shared" si="211"/>
        <v>0.96229414546580416</v>
      </c>
      <c r="AL69" s="629">
        <f t="shared" si="91"/>
        <v>-0.17155783852535059</v>
      </c>
      <c r="AM69" s="634">
        <f t="shared" si="92"/>
        <v>-0.21108738863974649</v>
      </c>
      <c r="AN69" s="581">
        <f t="shared" si="93"/>
        <v>-39.101924159478443</v>
      </c>
      <c r="AO69" s="582">
        <f t="shared" si="461"/>
        <v>15.783967463538731</v>
      </c>
      <c r="AP69" s="585">
        <f t="shared" si="95"/>
        <v>-10.108491416960812</v>
      </c>
      <c r="AQ69" s="586">
        <f t="shared" si="246"/>
        <v>0.46509633446985216</v>
      </c>
      <c r="AS69" s="52">
        <f t="shared" si="406"/>
        <v>-190.9170244125612</v>
      </c>
      <c r="AT69" s="72">
        <f t="shared" si="247"/>
        <v>-0.2799199771505847</v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>
        <f t="shared" si="210"/>
        <v>4.1189999999999998</v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>
        <f t="shared" si="112"/>
        <v>1613</v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>
        <v>-1.1168205086669114</v>
      </c>
      <c r="C70" s="708">
        <v>-5.424849025588891</v>
      </c>
      <c r="D70" s="709">
        <v>-0.86990262362631299</v>
      </c>
      <c r="E70" s="710">
        <v>0.87998071063244832</v>
      </c>
      <c r="F70" s="708">
        <v>-0.4355613535696744</v>
      </c>
      <c r="G70" s="711">
        <v>0.18952639972142288</v>
      </c>
      <c r="H70" s="710">
        <v>0.314</v>
      </c>
      <c r="I70" s="708">
        <v>0.52</v>
      </c>
      <c r="J70" s="570">
        <v>4.1219999999999999</v>
      </c>
      <c r="K70" s="865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>1613</v>
      </c>
      <c r="L70" s="320"/>
      <c r="M70" s="168">
        <f t="shared" si="239"/>
        <v>4.1219999999999999</v>
      </c>
      <c r="N70" s="632">
        <f t="shared" si="240"/>
        <v>-1.1168205086669114</v>
      </c>
      <c r="O70" s="629">
        <f t="shared" si="241"/>
        <v>-5.424849025588891</v>
      </c>
      <c r="P70" s="633">
        <f t="shared" si="242"/>
        <v>-0.86990262362631299</v>
      </c>
      <c r="Q70" s="585">
        <f t="shared" si="113"/>
        <v>258.36697569081639</v>
      </c>
      <c r="R70" s="629">
        <f t="shared" si="79"/>
        <v>5.538616704467981</v>
      </c>
      <c r="S70" s="634">
        <f t="shared" si="80"/>
        <v>-0.86990262362631299</v>
      </c>
      <c r="T70" s="635">
        <f t="shared" si="81"/>
        <v>-5.424849025588891</v>
      </c>
      <c r="U70" s="629">
        <f t="shared" si="82"/>
        <v>1.1168205086669096</v>
      </c>
      <c r="V70" s="636">
        <f t="shared" si="114"/>
        <v>-0.86990262362631299</v>
      </c>
      <c r="W70" s="585">
        <f t="shared" si="224"/>
        <v>168.36697569081639</v>
      </c>
      <c r="X70" s="629">
        <f t="shared" si="83"/>
        <v>5.538616704467981</v>
      </c>
      <c r="Y70" s="630">
        <f t="shared" si="223"/>
        <v>-0.86990262362631299</v>
      </c>
      <c r="Z70" s="632">
        <f t="shared" si="243"/>
        <v>-0.87998071063244832</v>
      </c>
      <c r="AA70" s="629">
        <f t="shared" si="244"/>
        <v>0.4355613535696744</v>
      </c>
      <c r="AB70" s="629">
        <f t="shared" si="245"/>
        <v>-0.18952639972142288</v>
      </c>
      <c r="AC70" s="636">
        <f t="shared" si="84"/>
        <v>1</v>
      </c>
      <c r="AD70" s="637">
        <f t="shared" si="115"/>
        <v>-0.87998071063244832</v>
      </c>
      <c r="AE70" s="629">
        <f t="shared" si="85"/>
        <v>0.4355613535696744</v>
      </c>
      <c r="AF70" s="633">
        <f t="shared" si="86"/>
        <v>-0.18952639972142288</v>
      </c>
      <c r="AG70" s="602">
        <f t="shared" si="87"/>
        <v>66.48463176347181</v>
      </c>
      <c r="AH70" s="603">
        <f t="shared" si="88"/>
        <v>151.64003664681422</v>
      </c>
      <c r="AI70" s="585">
        <f t="shared" si="89"/>
        <v>-79.074853274541752</v>
      </c>
      <c r="AJ70" s="586">
        <f t="shared" si="90"/>
        <v>-116.33388825446704</v>
      </c>
      <c r="AK70" s="635">
        <f t="shared" si="211"/>
        <v>0.94973287261734507</v>
      </c>
      <c r="AL70" s="629">
        <f t="shared" si="91"/>
        <v>-0.24917306130206243</v>
      </c>
      <c r="AM70" s="634">
        <f t="shared" si="92"/>
        <v>-0.18952639972142288</v>
      </c>
      <c r="AN70" s="581">
        <f t="shared" si="93"/>
        <v>-52.742599181790887</v>
      </c>
      <c r="AO70" s="582">
        <f t="shared" si="461"/>
        <v>18.243824818906297</v>
      </c>
      <c r="AP70" s="585">
        <f t="shared" si="95"/>
        <v>-14.700863945283432</v>
      </c>
      <c r="AQ70" s="586">
        <f t="shared" si="246"/>
        <v>0.4115986964567756</v>
      </c>
      <c r="AS70" s="52">
        <f t="shared" si="406"/>
        <v>-191.63302430918361</v>
      </c>
      <c r="AT70" s="72">
        <f t="shared" si="247"/>
        <v>-0.73682413452271323</v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>
        <f t="shared" si="210"/>
        <v>4.1219999999999999</v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>
        <f t="shared" si="112"/>
        <v>1613</v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>
        <v>-1.2825180071221933</v>
      </c>
      <c r="C71" s="708">
        <v>-5.8974751688390299</v>
      </c>
      <c r="D71" s="709">
        <v>-1.4768044540422343</v>
      </c>
      <c r="E71" s="710">
        <v>0.83147882713342014</v>
      </c>
      <c r="F71" s="708">
        <v>-0.52692415809459781</v>
      </c>
      <c r="G71" s="711">
        <v>0.1760508211998216</v>
      </c>
      <c r="H71" s="710">
        <v>0.314</v>
      </c>
      <c r="I71" s="708">
        <v>0.52</v>
      </c>
      <c r="J71" s="570">
        <v>4.125</v>
      </c>
      <c r="K71" s="865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>1613</v>
      </c>
      <c r="L71" s="320"/>
      <c r="M71" s="168">
        <f t="shared" si="239"/>
        <v>4.125</v>
      </c>
      <c r="N71" s="632">
        <f t="shared" si="240"/>
        <v>-1.2825180071221933</v>
      </c>
      <c r="O71" s="629">
        <f t="shared" si="241"/>
        <v>-5.8974751688390299</v>
      </c>
      <c r="P71" s="633">
        <f t="shared" si="242"/>
        <v>-1.4768044540422343</v>
      </c>
      <c r="Q71" s="585">
        <f t="shared" si="113"/>
        <v>257.73097578264338</v>
      </c>
      <c r="R71" s="629">
        <f t="shared" si="79"/>
        <v>6.0353182025196999</v>
      </c>
      <c r="S71" s="634">
        <f t="shared" si="80"/>
        <v>-1.4768044540422343</v>
      </c>
      <c r="T71" s="635">
        <f t="shared" si="81"/>
        <v>-5.897475168839029</v>
      </c>
      <c r="U71" s="629">
        <f t="shared" si="82"/>
        <v>1.2825180071221944</v>
      </c>
      <c r="V71" s="636">
        <f t="shared" si="114"/>
        <v>-1.4768044540422343</v>
      </c>
      <c r="W71" s="585">
        <f t="shared" si="224"/>
        <v>167.73097578264338</v>
      </c>
      <c r="X71" s="629">
        <f t="shared" si="83"/>
        <v>6.0353182025196999</v>
      </c>
      <c r="Y71" s="630">
        <f t="shared" si="223"/>
        <v>-1.4768044540422343</v>
      </c>
      <c r="Z71" s="632">
        <f t="shared" si="243"/>
        <v>-0.83147882713342014</v>
      </c>
      <c r="AA71" s="629">
        <f t="shared" si="244"/>
        <v>0.52692415809459781</v>
      </c>
      <c r="AB71" s="629">
        <f t="shared" si="245"/>
        <v>-0.1760508211998216</v>
      </c>
      <c r="AC71" s="636">
        <f t="shared" si="84"/>
        <v>1</v>
      </c>
      <c r="AD71" s="637">
        <f t="shared" si="115"/>
        <v>-0.83147882713342014</v>
      </c>
      <c r="AE71" s="629">
        <f t="shared" si="85"/>
        <v>0.52692415809459781</v>
      </c>
      <c r="AF71" s="633">
        <f t="shared" si="86"/>
        <v>-0.1760508211998216</v>
      </c>
      <c r="AG71" s="602">
        <f t="shared" si="87"/>
        <v>71.524992105630616</v>
      </c>
      <c r="AH71" s="603">
        <f t="shared" si="88"/>
        <v>146.25095033434081</v>
      </c>
      <c r="AI71" s="585">
        <f t="shared" si="89"/>
        <v>-79.860184799373613</v>
      </c>
      <c r="AJ71" s="586">
        <f t="shared" si="90"/>
        <v>-122.36322302861842</v>
      </c>
      <c r="AK71" s="635">
        <f t="shared" si="211"/>
        <v>0.92446086028229713</v>
      </c>
      <c r="AL71" s="629">
        <f t="shared" si="91"/>
        <v>-0.33819850112172861</v>
      </c>
      <c r="AM71" s="634">
        <f t="shared" si="92"/>
        <v>-0.1760508211998216</v>
      </c>
      <c r="AN71" s="581">
        <f t="shared" si="93"/>
        <v>-62.500556506975776</v>
      </c>
      <c r="AO71" s="582">
        <f t="shared" si="461"/>
        <v>22.412802753034782</v>
      </c>
      <c r="AP71" s="585">
        <f t="shared" si="95"/>
        <v>-20.094198811261794</v>
      </c>
      <c r="AQ71" s="586">
        <f t="shared" si="246"/>
        <v>0.37772550317639475</v>
      </c>
      <c r="AS71" s="52">
        <f t="shared" si="406"/>
        <v>-192.26902421735662</v>
      </c>
      <c r="AT71" s="72">
        <f t="shared" si="247"/>
        <v>-1.3432842983357367</v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>
        <f t="shared" si="210"/>
        <v>4.125</v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>
        <f t="shared" si="112"/>
        <v>1613</v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>
        <v>-1.398935753154509</v>
      </c>
      <c r="C72" s="708">
        <v>-6.2020031782373355</v>
      </c>
      <c r="D72" s="709">
        <v>-2.191606609885536</v>
      </c>
      <c r="E72" s="710">
        <v>0.7709169760239809</v>
      </c>
      <c r="F72" s="708">
        <v>-0.6186346269424976</v>
      </c>
      <c r="G72" s="711">
        <v>0.15158566695356698</v>
      </c>
      <c r="H72" s="710">
        <v>0.314</v>
      </c>
      <c r="I72" s="708">
        <v>0.52</v>
      </c>
      <c r="J72" s="570">
        <v>4.1280000000000001</v>
      </c>
      <c r="K72" s="865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>1613</v>
      </c>
      <c r="L72" s="320"/>
      <c r="M72" s="168">
        <f t="shared" si="239"/>
        <v>4.1280000000000001</v>
      </c>
      <c r="N72" s="632">
        <f t="shared" si="240"/>
        <v>-1.398935753154509</v>
      </c>
      <c r="O72" s="629">
        <f t="shared" si="241"/>
        <v>-6.2020031782373355</v>
      </c>
      <c r="P72" s="633">
        <f t="shared" si="242"/>
        <v>-2.191606609885536</v>
      </c>
      <c r="Q72" s="585">
        <f t="shared" si="113"/>
        <v>257.28897584646029</v>
      </c>
      <c r="R72" s="629">
        <f t="shared" si="79"/>
        <v>6.3578191751826338</v>
      </c>
      <c r="S72" s="634">
        <f t="shared" si="80"/>
        <v>-2.191606609885536</v>
      </c>
      <c r="T72" s="635">
        <f t="shared" si="81"/>
        <v>-6.2020031782373355</v>
      </c>
      <c r="U72" s="629">
        <f t="shared" si="82"/>
        <v>1.3989357531545075</v>
      </c>
      <c r="V72" s="636">
        <f t="shared" si="114"/>
        <v>-2.191606609885536</v>
      </c>
      <c r="W72" s="585">
        <f t="shared" si="224"/>
        <v>167.28897584646029</v>
      </c>
      <c r="X72" s="629">
        <f t="shared" si="83"/>
        <v>6.3578191751826338</v>
      </c>
      <c r="Y72" s="630">
        <f t="shared" si="223"/>
        <v>-2.191606609885536</v>
      </c>
      <c r="Z72" s="632">
        <f t="shared" si="243"/>
        <v>-0.7709169760239809</v>
      </c>
      <c r="AA72" s="629">
        <f t="shared" si="244"/>
        <v>0.6186346269424976</v>
      </c>
      <c r="AB72" s="629">
        <f t="shared" si="245"/>
        <v>-0.15158566695356698</v>
      </c>
      <c r="AC72" s="636">
        <f t="shared" si="84"/>
        <v>1</v>
      </c>
      <c r="AD72" s="637">
        <f t="shared" si="115"/>
        <v>-0.7709169760239809</v>
      </c>
      <c r="AE72" s="629">
        <f t="shared" si="85"/>
        <v>0.6186346269424976</v>
      </c>
      <c r="AF72" s="633">
        <f t="shared" si="86"/>
        <v>-0.15158566695356698</v>
      </c>
      <c r="AG72" s="602">
        <f t="shared" si="87"/>
        <v>76.231935867853593</v>
      </c>
      <c r="AH72" s="603">
        <f t="shared" si="88"/>
        <v>140.43630405383669</v>
      </c>
      <c r="AI72" s="585">
        <f t="shared" si="89"/>
        <v>-81.281170532412759</v>
      </c>
      <c r="AJ72" s="586">
        <f t="shared" si="90"/>
        <v>-128.74585637715546</v>
      </c>
      <c r="AK72" s="635">
        <f t="shared" si="211"/>
        <v>0.88814410690830969</v>
      </c>
      <c r="AL72" s="629">
        <f t="shared" si="91"/>
        <v>-0.4338453998122872</v>
      </c>
      <c r="AM72" s="634">
        <f t="shared" si="92"/>
        <v>-0.15158566695356698</v>
      </c>
      <c r="AN72" s="581">
        <f t="shared" si="93"/>
        <v>-70.740575397925994</v>
      </c>
      <c r="AO72" s="582">
        <f t="shared" si="461"/>
        <v>27.359045250648109</v>
      </c>
      <c r="AP72" s="585">
        <f t="shared" si="95"/>
        <v>-26.034832223615734</v>
      </c>
      <c r="AQ72" s="586">
        <f t="shared" si="246"/>
        <v>0.35856585530484503</v>
      </c>
      <c r="AS72" s="52">
        <f t="shared" si="406"/>
        <v>-192.71102415353971</v>
      </c>
      <c r="AT72" s="72">
        <f t="shared" si="247"/>
        <v>-2.0577795097789111</v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>
        <f t="shared" si="210"/>
        <v>4.1280000000000001</v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>
        <f t="shared" si="112"/>
        <v>1613</v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>
        <v>-1.4463473290150763</v>
      </c>
      <c r="C73" s="708">
        <v>-6.320647831028591</v>
      </c>
      <c r="D73" s="709">
        <v>-2.9656089442765761</v>
      </c>
      <c r="E73" s="710">
        <v>0.73097968662426782</v>
      </c>
      <c r="F73" s="708">
        <v>-0.67669410039161526</v>
      </c>
      <c r="G73" s="711">
        <v>8.8055620137898888E-2</v>
      </c>
      <c r="H73" s="710">
        <v>0.314</v>
      </c>
      <c r="I73" s="708">
        <v>0.52</v>
      </c>
      <c r="J73" s="570">
        <v>4.1310000000000002</v>
      </c>
      <c r="K73" s="865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>1613</v>
      </c>
      <c r="L73" s="320"/>
      <c r="M73" s="168">
        <f t="shared" ref="M73:M104" si="464">IF(J73="","",VALUE(J73))</f>
        <v>4.1310000000000002</v>
      </c>
      <c r="N73" s="632">
        <f t="shared" ref="N73:N104" si="465">IF(M73="","",B73)</f>
        <v>-1.4463473290150763</v>
      </c>
      <c r="O73" s="629">
        <f t="shared" ref="O73:O104" si="466">IF(M73="","",C73)</f>
        <v>-6.320647831028591</v>
      </c>
      <c r="P73" s="633">
        <f t="shared" ref="P73:P104" si="467">IF(M73="","",D73)</f>
        <v>-2.9656089442765761</v>
      </c>
      <c r="Q73" s="585">
        <f t="shared" si="113"/>
        <v>257.11097587216028</v>
      </c>
      <c r="R73" s="629">
        <f>IF(M73="","",SQRT(N73^2+O73^2))</f>
        <v>6.4840195558029796</v>
      </c>
      <c r="S73" s="634">
        <f>IF(M73="","",P73)</f>
        <v>-2.9656089442765761</v>
      </c>
      <c r="T73" s="635">
        <f>IF(M73="","",X73*COS(RADIANS(W73)))</f>
        <v>-6.3206478310285901</v>
      </c>
      <c r="U73" s="629">
        <f>IF(M73="","",X73*SIN(RADIANS(W73)))</f>
        <v>1.4463473290150786</v>
      </c>
      <c r="V73" s="636">
        <f>IF(M73="","",Y73)</f>
        <v>-2.9656089442765761</v>
      </c>
      <c r="W73" s="585">
        <f t="shared" si="224"/>
        <v>167.11097587216028</v>
      </c>
      <c r="X73" s="629">
        <f>IF(M73="","",R73)</f>
        <v>6.4840195558029796</v>
      </c>
      <c r="Y73" s="630">
        <f t="shared" si="223"/>
        <v>-2.9656089442765761</v>
      </c>
      <c r="Z73" s="632">
        <f t="shared" ref="Z73:Z104" si="468">IF(M73="","",-E73)</f>
        <v>-0.73097968662426782</v>
      </c>
      <c r="AA73" s="629">
        <f t="shared" ref="AA73:AA104" si="469">IF(M73="","",-F73)</f>
        <v>0.67669410039161526</v>
      </c>
      <c r="AB73" s="629">
        <f t="shared" ref="AB73:AB104" si="470">IF(M73="","",-G73)</f>
        <v>-8.8055620137898888E-2</v>
      </c>
      <c r="AC73" s="636">
        <f>IF(M73="","",SQRT(Z73^2+AA73^2+AB73^2))</f>
        <v>1</v>
      </c>
      <c r="AD73" s="637">
        <f>IF(M73="","",Z73*(1/SQRT(Z73^2+AA73^2+AB73^2)))</f>
        <v>-0.73097968662426782</v>
      </c>
      <c r="AE73" s="629">
        <f>IF(M73="","",AA73*(1/SQRT(Z73^2+AA73^2+AB73^2)))</f>
        <v>0.67669410039161526</v>
      </c>
      <c r="AF73" s="633">
        <f>IF(M73="","",AB73*(1/SQRT(Z73^2+AA73^2+AB73^2)))</f>
        <v>-8.8055620137898888E-2</v>
      </c>
      <c r="AG73" s="602">
        <f>IF(M73="","",DEGREES(ATAN2(-AF73,AE73)))</f>
        <v>82.585978402179492</v>
      </c>
      <c r="AH73" s="603">
        <f>IF(M73="","",DEGREES(ACOS(AD73)))</f>
        <v>136.96858763100639</v>
      </c>
      <c r="AI73" s="585">
        <f>IF(M73="","",DEGREES(-ACOS(-AF73)))</f>
        <v>-84.948241823442032</v>
      </c>
      <c r="AJ73" s="586">
        <f>IF(M73="","",DEGREES(ATAN2(-AE73,AD73)))</f>
        <v>-132.79153771184247</v>
      </c>
      <c r="AK73" s="635">
        <f>IF(M73="","",(COS(RADIANS((90-$Q$8)-W73))*AD73)+(-SIN(RADIANS((90-$Q$8)-W73))*AE73))</f>
        <v>0.86350755534634294</v>
      </c>
      <c r="AL73" s="629">
        <f>IF(M73="","",(SIN(RADIANS((90-$Q$8)-W73))*AD73)+(COS(RADIANS((90-$Q$8)-W73))*AE73))</f>
        <v>-0.49658927658771779</v>
      </c>
      <c r="AM73" s="634">
        <f>IF(M73="","",AF73)</f>
        <v>-8.8055620137898888E-2</v>
      </c>
      <c r="AN73" s="581">
        <f>IF(M73="","",DEGREES(ATAN2(-AM73,AL73)))</f>
        <v>-79.944783370378317</v>
      </c>
      <c r="AO73" s="582">
        <f t="shared" si="461"/>
        <v>30.287277964415406</v>
      </c>
      <c r="AP73" s="585">
        <f>IF(M73="","",DEGREES(ATAN2(AK73,AL73)))</f>
        <v>-29.902513584002754</v>
      </c>
      <c r="AQ73" s="586">
        <f t="shared" ref="AQ73:AQ104" si="471">IF(M73="","",DEGREES(ATAN(($AS$5*SIN(RADIANS(90)))/(($X73*2*PI())-($AS$5*COS(RADIANS(90)))))))</f>
        <v>0.35158715948000119</v>
      </c>
      <c r="AS73" s="52">
        <f t="shared" si="406"/>
        <v>-192.88902412783972</v>
      </c>
      <c r="AT73" s="72">
        <f t="shared" ref="AT73:AT104" si="472">IF(M73="","",Y73+(((AS73-$AS$9)*$AS$6)*-1))</f>
        <v>-2.8316582330766873</v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>
        <f t="shared" si="210"/>
        <v>4.1310000000000002</v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>
        <f t="shared" si="112"/>
        <v>1613</v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>
        <v>-1.4764275298946794</v>
      </c>
      <c r="C74" s="708">
        <v>-6.3945887585096886</v>
      </c>
      <c r="D74" s="709">
        <v>-3.7125111969337699</v>
      </c>
      <c r="E74" s="710">
        <v>0.66911738873674265</v>
      </c>
      <c r="F74" s="708">
        <v>-0.74315672646495368</v>
      </c>
      <c r="G74" s="711">
        <v>1.3008419218723615E-7</v>
      </c>
      <c r="H74" s="710">
        <v>0.26600000000000001</v>
      </c>
      <c r="I74" s="708">
        <v>0.52</v>
      </c>
      <c r="J74" s="570">
        <v>4.1340000000000003</v>
      </c>
      <c r="K74" s="865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>1313</v>
      </c>
      <c r="L74" s="320"/>
      <c r="M74" s="168">
        <f t="shared" si="464"/>
        <v>4.1340000000000003</v>
      </c>
      <c r="N74" s="632">
        <f t="shared" si="465"/>
        <v>-1.4764275298946794</v>
      </c>
      <c r="O74" s="629">
        <f t="shared" si="466"/>
        <v>-6.3945887585096886</v>
      </c>
      <c r="P74" s="633">
        <f t="shared" si="467"/>
        <v>-3.7125111969337699</v>
      </c>
      <c r="Q74" s="585">
        <f t="shared" ref="Q74:Q129" si="520">IF(M74="","",IF(DEGREES(ATAN2(N74,O74))&lt;0,DEGREES(ATAN2(N74,O74))+360,IF(DEGREES(ATAN2(N74,O74))&gt;360,DEGREES(ATAN2(N74,O74))-360,DEGREES(ATAN2(N74,O74)))))</f>
        <v>256.99897588833107</v>
      </c>
      <c r="R74" s="629">
        <f>IF(M74="","",SQRT(N74^2+O74^2))</f>
        <v>6.562819793464497</v>
      </c>
      <c r="S74" s="634">
        <f>IF(M74="","",P74)</f>
        <v>-3.7125111969337699</v>
      </c>
      <c r="T74" s="635">
        <f>IF(M74="","",X74*COS(RADIANS(W74)))</f>
        <v>-6.3945887585096877</v>
      </c>
      <c r="U74" s="629">
        <f>IF(M74="","",X74*SIN(RADIANS(W74)))</f>
        <v>1.4764275298946823</v>
      </c>
      <c r="V74" s="636">
        <f>IF(M74="","",Y74)</f>
        <v>-3.7125111969337699</v>
      </c>
      <c r="W74" s="585">
        <f t="shared" si="224"/>
        <v>166.99897588833107</v>
      </c>
      <c r="X74" s="629">
        <f>IF(M74="","",R74)</f>
        <v>6.562819793464497</v>
      </c>
      <c r="Y74" s="630">
        <f t="shared" si="223"/>
        <v>-3.7125111969337699</v>
      </c>
      <c r="Z74" s="632">
        <f t="shared" si="468"/>
        <v>-0.66911738873674265</v>
      </c>
      <c r="AA74" s="629">
        <f t="shared" si="469"/>
        <v>0.74315672646495368</v>
      </c>
      <c r="AB74" s="629">
        <f t="shared" si="470"/>
        <v>-1.3008419218723615E-7</v>
      </c>
      <c r="AC74" s="636">
        <f>IF(M74="","",SQRT(Z74^2+AA74^2+AB74^2))</f>
        <v>1</v>
      </c>
      <c r="AD74" s="637">
        <f>IF(M74="","",Z74*(1/SQRT(Z74^2+AA74^2+AB74^2)))</f>
        <v>-0.66911738873674265</v>
      </c>
      <c r="AE74" s="629">
        <f>IF(M74="","",AA74*(1/SQRT(Z74^2+AA74^2+AB74^2)))</f>
        <v>0.74315672646495368</v>
      </c>
      <c r="AF74" s="633">
        <f>IF(M74="","",AB74*(1/SQRT(Z74^2+AA74^2+AB74^2)))</f>
        <v>-1.3008419218723615E-7</v>
      </c>
      <c r="AG74" s="602">
        <f>IF(M74="","",DEGREES(ATAN2(-AF74,AE74)))</f>
        <v>89.999989970789571</v>
      </c>
      <c r="AH74" s="603">
        <f>IF(M74="","",DEGREES(ACOS(AD74)))</f>
        <v>131.99898094170538</v>
      </c>
      <c r="AI74" s="585">
        <f>IF(M74="","",DEGREES(-ACOS(-AF74)))</f>
        <v>-89.999992546724812</v>
      </c>
      <c r="AJ74" s="586">
        <f>IF(M74="","",DEGREES(ATAN2(-AE74,AD74)))</f>
        <v>-138.00101905829416</v>
      </c>
      <c r="AK74" s="635">
        <f>IF(M74="","",(COS(RADIANS((90-$Q$8)-W74))*AD74)+(-SIN(RADIANS((90-$Q$8)-W74))*AE74))</f>
        <v>0.81915209487729213</v>
      </c>
      <c r="AL74" s="629">
        <f>IF(M74="","",(SIN(RADIANS((90-$Q$8)-W74))*AD74)+(COS(RADIANS((90-$Q$8)-W74))*AE74))</f>
        <v>-0.57357636410344426</v>
      </c>
      <c r="AM74" s="634">
        <f>IF(M74="","",AF74)</f>
        <v>-1.3008419218723615E-7</v>
      </c>
      <c r="AN74" s="581">
        <f>IF(M74="","",DEGREES(ATAN2(-AM74,AL74)))</f>
        <v>-89.999987005609611</v>
      </c>
      <c r="AO74" s="582">
        <f t="shared" si="461"/>
        <v>34.999994946625939</v>
      </c>
      <c r="AP74" s="585">
        <f>IF(M74="","",DEGREES(ATAN2(AK74,AL74)))</f>
        <v>-34.999994946625243</v>
      </c>
      <c r="AQ74" s="586">
        <f t="shared" si="471"/>
        <v>0.34736573186354341</v>
      </c>
      <c r="AS74" s="52">
        <f t="shared" si="406"/>
        <v>-193.00102411166893</v>
      </c>
      <c r="AT74" s="72">
        <f t="shared" si="472"/>
        <v>-3.5784827079673329</v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>
        <f t="shared" si="210"/>
        <v>4.1340000000000003</v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>
        <f t="shared" ref="IJ74:IJ137" si="542">IF(ISNUMBER($II74),INDEX($K$9:$K$150,MATCH($II74,$M$9:$M$150,0)),$K74)</f>
        <v>1313</v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>
        <v>-1.4764275298946794</v>
      </c>
      <c r="C75" s="708">
        <v>-6.3945887585096886</v>
      </c>
      <c r="D75" s="709">
        <v>-4.5083135970738093</v>
      </c>
      <c r="E75" s="710">
        <v>0.66911738873674265</v>
      </c>
      <c r="F75" s="708">
        <v>-0.74315672646495368</v>
      </c>
      <c r="G75" s="711">
        <v>1.3008419218723607E-7</v>
      </c>
      <c r="H75" s="710">
        <v>0.26600000000000001</v>
      </c>
      <c r="I75" s="708">
        <v>0.52</v>
      </c>
      <c r="J75" s="570">
        <v>4.1369999999999996</v>
      </c>
      <c r="K75" s="865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>1313</v>
      </c>
      <c r="L75" s="320"/>
      <c r="M75" s="168">
        <f t="shared" si="464"/>
        <v>4.1369999999999996</v>
      </c>
      <c r="N75" s="632">
        <f t="shared" si="465"/>
        <v>-1.4764275298946794</v>
      </c>
      <c r="O75" s="629">
        <f t="shared" si="466"/>
        <v>-6.3945887585096886</v>
      </c>
      <c r="P75" s="633">
        <f t="shared" si="467"/>
        <v>-4.5083135970738093</v>
      </c>
      <c r="Q75" s="585">
        <f t="shared" si="520"/>
        <v>256.99897588833107</v>
      </c>
      <c r="R75" s="629">
        <f>IF(M75="","",SQRT(N75^2+O75^2))</f>
        <v>6.562819793464497</v>
      </c>
      <c r="S75" s="634">
        <f>IF(M75="","",P75)</f>
        <v>-4.5083135970738093</v>
      </c>
      <c r="T75" s="635">
        <f>IF(M75="","",X75*COS(RADIANS(W75)))</f>
        <v>-6.3945887585096877</v>
      </c>
      <c r="U75" s="629">
        <f>IF(M75="","",X75*SIN(RADIANS(W75)))</f>
        <v>1.4764275298946823</v>
      </c>
      <c r="V75" s="636">
        <f>IF(M75="","",Y75)</f>
        <v>-4.5083135970738093</v>
      </c>
      <c r="W75" s="585">
        <f t="shared" si="224"/>
        <v>166.99897588833107</v>
      </c>
      <c r="X75" s="629">
        <f>IF(M75="","",R75)</f>
        <v>6.562819793464497</v>
      </c>
      <c r="Y75" s="630">
        <f t="shared" si="223"/>
        <v>-4.5083135970738093</v>
      </c>
      <c r="Z75" s="632">
        <f t="shared" si="468"/>
        <v>-0.66911738873674265</v>
      </c>
      <c r="AA75" s="629">
        <f t="shared" si="469"/>
        <v>0.74315672646495368</v>
      </c>
      <c r="AB75" s="629">
        <f t="shared" si="470"/>
        <v>-1.3008419218723607E-7</v>
      </c>
      <c r="AC75" s="636">
        <f>IF(M75="","",SQRT(Z75^2+AA75^2+AB75^2))</f>
        <v>1</v>
      </c>
      <c r="AD75" s="637">
        <f>IF(M75="","",Z75*(1/SQRT(Z75^2+AA75^2+AB75^2)))</f>
        <v>-0.66911738873674265</v>
      </c>
      <c r="AE75" s="629">
        <f>IF(M75="","",AA75*(1/SQRT(Z75^2+AA75^2+AB75^2)))</f>
        <v>0.74315672646495368</v>
      </c>
      <c r="AF75" s="633">
        <f>IF(M75="","",AB75*(1/SQRT(Z75^2+AA75^2+AB75^2)))</f>
        <v>-1.3008419218723607E-7</v>
      </c>
      <c r="AG75" s="602">
        <f>IF(M75="","",DEGREES(ATAN2(-AF75,AE75)))</f>
        <v>89.999989970789571</v>
      </c>
      <c r="AH75" s="603">
        <f>IF(M75="","",DEGREES(ACOS(AD75)))</f>
        <v>131.99898094170538</v>
      </c>
      <c r="AI75" s="585">
        <f>IF(M75="","",DEGREES(-ACOS(-AF75)))</f>
        <v>-89.999992546724812</v>
      </c>
      <c r="AJ75" s="586">
        <f>IF(M75="","",DEGREES(ATAN2(-AE75,AD75)))</f>
        <v>-138.00101905829416</v>
      </c>
      <c r="AK75" s="635">
        <f>IF(M75="","",(COS(RADIANS((90-$Q$8)-W75))*AD75)+(-SIN(RADIANS((90-$Q$8)-W75))*AE75))</f>
        <v>0.81915209487729213</v>
      </c>
      <c r="AL75" s="629">
        <f>IF(M75="","",(SIN(RADIANS((90-$Q$8)-W75))*AD75)+(COS(RADIANS((90-$Q$8)-W75))*AE75))</f>
        <v>-0.57357636410344426</v>
      </c>
      <c r="AM75" s="634">
        <f>IF(M75="","",AF75)</f>
        <v>-1.3008419218723607E-7</v>
      </c>
      <c r="AN75" s="581">
        <f>IF(M75="","",DEGREES(ATAN2(-AM75,AL75)))</f>
        <v>-89.999987005609611</v>
      </c>
      <c r="AO75" s="582">
        <f t="shared" si="461"/>
        <v>34.999994946625939</v>
      </c>
      <c r="AP75" s="585">
        <f>IF(M75="","",DEGREES(ATAN2(AK75,AL75)))</f>
        <v>-34.999994946625243</v>
      </c>
      <c r="AQ75" s="586">
        <f t="shared" si="471"/>
        <v>0.34736573186354341</v>
      </c>
      <c r="AS75" s="52">
        <f t="shared" ref="AS75:AS106" si="543">IF(G75="","",IF(AND(W75&lt;(AS74+180),W75&gt;(AS74-180)),W75,IF(W75&gt;(AS74+180),W75-360,IF(W75&lt;(AS74-180),W75+360,"Error"))))</f>
        <v>-193.00102411166893</v>
      </c>
      <c r="AT75" s="72">
        <f t="shared" si="472"/>
        <v>-4.3742851081073724</v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>
        <f t="shared" ref="IG75:IG138" si="643">$M75</f>
        <v>4.1369999999999996</v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>
        <f t="shared" si="542"/>
        <v>1313</v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>
        <v>-1.5886860719229936</v>
      </c>
      <c r="C76" s="708">
        <v>-2.9915329867935569</v>
      </c>
      <c r="D76" s="709">
        <v>-9.3690970189965611E-2</v>
      </c>
      <c r="E76" s="710">
        <v>2.0030183292465707E-7</v>
      </c>
      <c r="F76" s="708">
        <v>-1.0637246311724786E-7</v>
      </c>
      <c r="G76" s="711">
        <v>0.99999999999997435</v>
      </c>
      <c r="H76" s="710">
        <v>0.25700000000000001</v>
      </c>
      <c r="I76" s="708">
        <v>0.41499999999999992</v>
      </c>
      <c r="J76" s="570">
        <v>4.2130000000000001</v>
      </c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>CPS-32193r1</v>
      </c>
      <c r="L76" s="320"/>
      <c r="M76" s="168">
        <f t="shared" si="464"/>
        <v>4.2130000000000001</v>
      </c>
      <c r="N76" s="632">
        <f t="shared" si="465"/>
        <v>-1.5886860719229936</v>
      </c>
      <c r="O76" s="629">
        <f t="shared" si="466"/>
        <v>-2.9915329867935569</v>
      </c>
      <c r="P76" s="633">
        <f t="shared" si="467"/>
        <v>-9.3690970189965611E-2</v>
      </c>
      <c r="Q76" s="585">
        <f t="shared" si="520"/>
        <v>242.02897804973134</v>
      </c>
      <c r="R76" s="629">
        <f t="shared" si="79"/>
        <v>3.3872102158260109</v>
      </c>
      <c r="S76" s="634">
        <f t="shared" si="80"/>
        <v>-9.3690970189965611E-2</v>
      </c>
      <c r="T76" s="635">
        <f t="shared" si="81"/>
        <v>-2.9915329867935561</v>
      </c>
      <c r="U76" s="629">
        <f t="shared" si="82"/>
        <v>1.5886860719229947</v>
      </c>
      <c r="V76" s="636">
        <f t="shared" si="114"/>
        <v>-9.3690970189965611E-2</v>
      </c>
      <c r="W76" s="585">
        <f t="shared" si="224"/>
        <v>152.02897804973134</v>
      </c>
      <c r="X76" s="629">
        <f t="shared" si="83"/>
        <v>3.3872102158260109</v>
      </c>
      <c r="Y76" s="630">
        <f t="shared" ref="Y76:Y129" si="644">IF(M76="","",S76)</f>
        <v>-9.3690970189965611E-2</v>
      </c>
      <c r="Z76" s="632">
        <f t="shared" si="468"/>
        <v>-2.0030183292465707E-7</v>
      </c>
      <c r="AA76" s="629">
        <f t="shared" si="469"/>
        <v>1.0637246311724786E-7</v>
      </c>
      <c r="AB76" s="629">
        <f t="shared" si="470"/>
        <v>-0.99999999999997435</v>
      </c>
      <c r="AC76" s="636">
        <f t="shared" si="84"/>
        <v>1</v>
      </c>
      <c r="AD76" s="637">
        <f t="shared" si="115"/>
        <v>-2.0030183292465707E-7</v>
      </c>
      <c r="AE76" s="629">
        <f t="shared" si="85"/>
        <v>1.0637246311724786E-7</v>
      </c>
      <c r="AF76" s="633">
        <f t="shared" si="86"/>
        <v>-0.99999999999997435</v>
      </c>
      <c r="AG76" s="602">
        <f t="shared" si="87"/>
        <v>6.0946931930294484E-6</v>
      </c>
      <c r="AH76" s="603">
        <f t="shared" si="88"/>
        <v>90.000011476449657</v>
      </c>
      <c r="AI76" s="585">
        <f t="shared" si="89"/>
        <v>-1.2976235990044085E-5</v>
      </c>
      <c r="AJ76" s="586">
        <f t="shared" si="90"/>
        <v>-117.97102196173066</v>
      </c>
      <c r="AK76" s="635">
        <f t="shared" si="211"/>
        <v>2.2679489672963871E-7</v>
      </c>
      <c r="AL76" s="629">
        <f t="shared" si="91"/>
        <v>-4.5370208088933326E-17</v>
      </c>
      <c r="AM76" s="634">
        <f t="shared" si="92"/>
        <v>-0.99999999999997435</v>
      </c>
      <c r="AN76" s="581">
        <f t="shared" si="93"/>
        <v>-2.5995214391262547E-15</v>
      </c>
      <c r="AO76" s="582">
        <f t="shared" si="461"/>
        <v>0</v>
      </c>
      <c r="AP76" s="585">
        <f t="shared" si="95"/>
        <v>-1.146199264891338E-8</v>
      </c>
      <c r="AQ76" s="586">
        <f t="shared" si="471"/>
        <v>0.67300865265617327</v>
      </c>
      <c r="AS76" s="52">
        <f t="shared" si="543"/>
        <v>-207.97102195026866</v>
      </c>
      <c r="AT76" s="72">
        <f t="shared" si="472"/>
        <v>5.0733350608832078E-2</v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>Nose</v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>
        <f t="shared" si="643"/>
        <v>4.2130000000000001</v>
      </c>
      <c r="IH76" s="731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4.1130000000000004</v>
      </c>
      <c r="II76" s="734" cm="1">
        <f t="array" ref="II76">IFERROR(ROUND(VALUE(IF($IH76&lt;1,$IH76+LARGE((IF($M$9:$M$150="",0,$M$9:$M$150)-MOD(IF($M$9:$M$150="",0,$M$9:$M$150),1)),1),$IH76)),4),"")</f>
        <v>4.1130000000000004</v>
      </c>
      <c r="IJ76" s="533">
        <f t="shared" si="542"/>
        <v>1613</v>
      </c>
      <c r="IK76" s="533" t="str">
        <f t="shared" si="517"/>
        <v>CPS-32193r1</v>
      </c>
      <c r="IL76" s="727">
        <f t="shared" si="225"/>
        <v>17.970997405309049</v>
      </c>
      <c r="IM76" s="759">
        <v>7.2708649526776095E-2</v>
      </c>
      <c r="IN76" s="5">
        <f t="shared" si="226"/>
        <v>1.6</v>
      </c>
      <c r="IO76" s="771">
        <v>800</v>
      </c>
      <c r="IP76" s="9">
        <f t="shared" si="227"/>
        <v>-3.3872102158260109</v>
      </c>
      <c r="IQ76" s="5">
        <f t="shared" si="228"/>
        <v>-5.8900177642935779E-2</v>
      </c>
      <c r="IR76" s="5">
        <f t="shared" si="518"/>
        <v>0.314</v>
      </c>
      <c r="IS76" s="5">
        <f t="shared" si="229"/>
        <v>0.30330071252667307</v>
      </c>
      <c r="IT76" s="727">
        <f t="shared" si="230"/>
        <v>9.2165410264128409E-14</v>
      </c>
      <c r="IU76" s="9">
        <f t="shared" si="231"/>
        <v>-3.3872102158260109</v>
      </c>
      <c r="IV76" s="5">
        <f t="shared" si="232"/>
        <v>-9.3690970189965611E-2</v>
      </c>
      <c r="IW76" s="5">
        <f t="shared" si="519"/>
        <v>0.25700000000000001</v>
      </c>
      <c r="IX76" s="5">
        <f t="shared" si="233"/>
        <v>0.25700000000000001</v>
      </c>
      <c r="IY76" s="762">
        <f t="shared" si="234"/>
        <v>2.5995214391262547E-15</v>
      </c>
    </row>
    <row r="77" spans="1:259" ht="15" customHeight="1" x14ac:dyDescent="0.25">
      <c r="A77" s="79"/>
      <c r="B77" s="707">
        <v>-1.7253585021309017</v>
      </c>
      <c r="C77" s="708">
        <v>-3.8042336745082523</v>
      </c>
      <c r="D77" s="709">
        <v>-0.1370934195059762</v>
      </c>
      <c r="E77" s="710">
        <v>0.8100620393986333</v>
      </c>
      <c r="F77" s="708">
        <v>-0.48630968169177519</v>
      </c>
      <c r="G77" s="711">
        <v>0.32757042879077403</v>
      </c>
      <c r="H77" s="710">
        <v>0.26600000000000001</v>
      </c>
      <c r="I77" s="708">
        <v>0.52</v>
      </c>
      <c r="J77" s="570">
        <v>4.2160000000000002</v>
      </c>
      <c r="K77" s="865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>1313</v>
      </c>
      <c r="L77" s="320"/>
      <c r="M77" s="168">
        <f t="shared" si="464"/>
        <v>4.2160000000000002</v>
      </c>
      <c r="N77" s="632">
        <f t="shared" si="465"/>
        <v>-1.7253585021309017</v>
      </c>
      <c r="O77" s="629">
        <f t="shared" si="466"/>
        <v>-3.8042336745082523</v>
      </c>
      <c r="P77" s="633">
        <f t="shared" si="467"/>
        <v>-0.1370934195059762</v>
      </c>
      <c r="Q77" s="585">
        <f t="shared" si="520"/>
        <v>245.60397753356528</v>
      </c>
      <c r="R77" s="629">
        <f t="shared" si="79"/>
        <v>4.1772066995945929</v>
      </c>
      <c r="S77" s="634">
        <f t="shared" si="80"/>
        <v>-0.1370934195059762</v>
      </c>
      <c r="T77" s="635">
        <f t="shared" si="81"/>
        <v>-3.8042336745082523</v>
      </c>
      <c r="U77" s="629">
        <f t="shared" si="82"/>
        <v>1.7253585021309026</v>
      </c>
      <c r="V77" s="636">
        <f t="shared" si="114"/>
        <v>-0.1370934195059762</v>
      </c>
      <c r="W77" s="585">
        <f t="shared" si="224"/>
        <v>155.60397753356528</v>
      </c>
      <c r="X77" s="629">
        <f t="shared" si="83"/>
        <v>4.1772066995945929</v>
      </c>
      <c r="Y77" s="630">
        <f t="shared" si="644"/>
        <v>-0.1370934195059762</v>
      </c>
      <c r="Z77" s="632">
        <f t="shared" si="468"/>
        <v>-0.8100620393986333</v>
      </c>
      <c r="AA77" s="629">
        <f t="shared" si="469"/>
        <v>0.48630968169177519</v>
      </c>
      <c r="AB77" s="629">
        <f t="shared" si="470"/>
        <v>-0.32757042879077403</v>
      </c>
      <c r="AC77" s="636">
        <f t="shared" si="84"/>
        <v>1</v>
      </c>
      <c r="AD77" s="637">
        <f t="shared" si="115"/>
        <v>-0.8100620393986333</v>
      </c>
      <c r="AE77" s="629">
        <f t="shared" si="85"/>
        <v>0.48630968169177519</v>
      </c>
      <c r="AF77" s="633">
        <f t="shared" si="86"/>
        <v>-0.32757042879077403</v>
      </c>
      <c r="AG77" s="602">
        <f t="shared" si="87"/>
        <v>56.036422027872192</v>
      </c>
      <c r="AH77" s="603">
        <f t="shared" si="88"/>
        <v>144.10199327607594</v>
      </c>
      <c r="AI77" s="585">
        <f t="shared" si="89"/>
        <v>-70.878623420355567</v>
      </c>
      <c r="AJ77" s="586">
        <f t="shared" si="90"/>
        <v>-120.97792427420994</v>
      </c>
      <c r="AK77" s="635">
        <f t="shared" si="211"/>
        <v>0.93859943130827195</v>
      </c>
      <c r="AL77" s="629">
        <f t="shared" si="91"/>
        <v>-0.10829922312563933</v>
      </c>
      <c r="AM77" s="634">
        <f t="shared" si="92"/>
        <v>-0.32757042879077403</v>
      </c>
      <c r="AN77" s="581">
        <f t="shared" si="93"/>
        <v>-18.294585804983996</v>
      </c>
      <c r="AO77" s="582">
        <f t="shared" si="461"/>
        <v>20.182336090313179</v>
      </c>
      <c r="AP77" s="585">
        <f t="shared" si="95"/>
        <v>-6.5819018077752229</v>
      </c>
      <c r="AQ77" s="586">
        <f t="shared" si="471"/>
        <v>0.54573734400099472</v>
      </c>
      <c r="AS77" s="52">
        <f t="shared" si="543"/>
        <v>-204.39602246643472</v>
      </c>
      <c r="AT77" s="72">
        <f t="shared" si="472"/>
        <v>4.8482627623812335E-3</v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>Nose</v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>
        <f t="shared" si="643"/>
        <v>4.2160000000000002</v>
      </c>
      <c r="IH77" s="731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4.1159999999999997</v>
      </c>
      <c r="II77" s="734" cm="1">
        <f t="array" ref="II77">IFERROR(ROUND(VALUE(IF($IH77&lt;1,$IH77+LARGE((IF($M$9:$M$150="",0,$M$9:$M$150)-MOD(IF($M$9:$M$150="",0,$M$9:$M$150),1)),1),$IH77)),4),"")</f>
        <v>4.1159999999999997</v>
      </c>
      <c r="IJ77" s="533">
        <f t="shared" si="542"/>
        <v>1613</v>
      </c>
      <c r="IK77" s="533">
        <f t="shared" si="517"/>
        <v>1313</v>
      </c>
      <c r="IL77" s="727">
        <f t="shared" si="225"/>
        <v>14.104997963490291</v>
      </c>
      <c r="IM77" s="759">
        <v>3.9937249452391098E-2</v>
      </c>
      <c r="IN77" s="5">
        <f t="shared" si="226"/>
        <v>1.34</v>
      </c>
      <c r="IO77" s="771">
        <v>670</v>
      </c>
      <c r="IP77" s="9">
        <f t="shared" si="227"/>
        <v>-4.167712569821111</v>
      </c>
      <c r="IQ77" s="5">
        <f t="shared" si="228"/>
        <v>-0.13590040987563617</v>
      </c>
      <c r="IR77" s="5">
        <f t="shared" si="518"/>
        <v>0.314</v>
      </c>
      <c r="IS77" s="5">
        <f t="shared" si="229"/>
        <v>0.30294786270940216</v>
      </c>
      <c r="IT77" s="727">
        <f t="shared" si="230"/>
        <v>20.826134809408508</v>
      </c>
      <c r="IU77" s="9">
        <f t="shared" si="231"/>
        <v>-4.1772066995945929</v>
      </c>
      <c r="IV77" s="5">
        <f t="shared" si="232"/>
        <v>-0.1370934195059762</v>
      </c>
      <c r="IW77" s="5">
        <f t="shared" si="519"/>
        <v>0.26600000000000001</v>
      </c>
      <c r="IX77" s="5">
        <f t="shared" si="233"/>
        <v>0.24966744872800034</v>
      </c>
      <c r="IY77" s="762">
        <f t="shared" si="234"/>
        <v>18.294585804983996</v>
      </c>
    </row>
    <row r="78" spans="1:259" ht="15" customHeight="1" x14ac:dyDescent="0.25">
      <c r="A78" s="79"/>
      <c r="B78" s="707">
        <v>-1.9966796005014336</v>
      </c>
      <c r="C78" s="708">
        <v>-4.4968565213454204</v>
      </c>
      <c r="D78" s="709">
        <v>-0.41594827464325862</v>
      </c>
      <c r="E78" s="710">
        <v>0.77419252199095234</v>
      </c>
      <c r="F78" s="708">
        <v>-0.56326877699479283</v>
      </c>
      <c r="G78" s="711">
        <v>0.28871131560103303</v>
      </c>
      <c r="H78" s="710">
        <v>0.26600000000000001</v>
      </c>
      <c r="I78" s="708">
        <v>0.52</v>
      </c>
      <c r="J78" s="570">
        <v>4.2190000000000003</v>
      </c>
      <c r="K78" s="865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>1313</v>
      </c>
      <c r="L78" s="320"/>
      <c r="M78" s="168">
        <f t="shared" si="464"/>
        <v>4.2190000000000003</v>
      </c>
      <c r="N78" s="632">
        <f t="shared" si="465"/>
        <v>-1.9966796005014336</v>
      </c>
      <c r="O78" s="629">
        <f t="shared" si="466"/>
        <v>-4.4968565213454204</v>
      </c>
      <c r="P78" s="633">
        <f t="shared" si="467"/>
        <v>-0.41594827464325862</v>
      </c>
      <c r="Q78" s="585">
        <f t="shared" si="520"/>
        <v>246.05797746801582</v>
      </c>
      <c r="R78" s="629">
        <f>IF(M78="","",SQRT(N78^2+O78^2))</f>
        <v>4.9202081257427919</v>
      </c>
      <c r="S78" s="634">
        <f>IF(M78="","",P78)</f>
        <v>-0.41594827464325862</v>
      </c>
      <c r="T78" s="635">
        <f>IF(M78="","",X78*COS(RADIANS(W78)))</f>
        <v>-4.4968565213454204</v>
      </c>
      <c r="U78" s="629">
        <f>IF(M78="","",X78*SIN(RADIANS(W78)))</f>
        <v>1.9966796005014331</v>
      </c>
      <c r="V78" s="636">
        <f>IF(M78="","",Y78)</f>
        <v>-0.41594827464325862</v>
      </c>
      <c r="W78" s="585">
        <f t="shared" si="224"/>
        <v>156.05797746801582</v>
      </c>
      <c r="X78" s="629">
        <f>IF(M78="","",R78)</f>
        <v>4.9202081257427919</v>
      </c>
      <c r="Y78" s="630">
        <f t="shared" si="644"/>
        <v>-0.41594827464325862</v>
      </c>
      <c r="Z78" s="632">
        <f t="shared" si="468"/>
        <v>-0.77419252199095234</v>
      </c>
      <c r="AA78" s="629">
        <f t="shared" si="469"/>
        <v>0.56326877699479283</v>
      </c>
      <c r="AB78" s="629">
        <f t="shared" si="470"/>
        <v>-0.28871131560103303</v>
      </c>
      <c r="AC78" s="636">
        <f>IF(M78="","",SQRT(Z78^2+AA78^2+AB78^2))</f>
        <v>1</v>
      </c>
      <c r="AD78" s="637">
        <f>IF(M78="","",Z78*(1/SQRT(Z78^2+AA78^2+AB78^2)))</f>
        <v>-0.77419252199095234</v>
      </c>
      <c r="AE78" s="629">
        <f>IF(M78="","",AA78*(1/SQRT(Z78^2+AA78^2+AB78^2)))</f>
        <v>0.56326877699479283</v>
      </c>
      <c r="AF78" s="633">
        <f>IF(M78="","",AB78*(1/SQRT(Z78^2+AA78^2+AB78^2)))</f>
        <v>-0.28871131560103303</v>
      </c>
      <c r="AG78" s="602">
        <f>IF(M78="","",DEGREES(ATAN2(-AF78,AE78)))</f>
        <v>62.861954848589939</v>
      </c>
      <c r="AH78" s="603">
        <f>IF(M78="","",DEGREES(ACOS(AD78)))</f>
        <v>140.73188108694535</v>
      </c>
      <c r="AI78" s="585">
        <f>IF(M78="","",DEGREES(-ACOS(-AF78)))</f>
        <v>-73.219179909021221</v>
      </c>
      <c r="AJ78" s="586">
        <f>IF(M78="","",DEGREES(ATAN2(-AE78,AD78)))</f>
        <v>-126.03800500931546</v>
      </c>
      <c r="AK78" s="635">
        <f>IF(M78="","",(COS(RADIANS((90-$Q$8)-W78))*AD78)+(-SIN(RADIANS((90-$Q$8)-W78))*AE78))</f>
        <v>0.93615957906686997</v>
      </c>
      <c r="AL78" s="629">
        <f>IF(M78="","",(SIN(RADIANS((90-$Q$8)-W78))*AD78)+(COS(RADIANS((90-$Q$8)-W78))*AE78))</f>
        <v>-0.20062656545248841</v>
      </c>
      <c r="AM78" s="634">
        <f>IF(M78="","",AF78)</f>
        <v>-0.28871131560103303</v>
      </c>
      <c r="AN78" s="581">
        <f>IF(M78="","",DEGREES(ATAN2(-AM78,AL78)))</f>
        <v>-34.795580385962182</v>
      </c>
      <c r="AO78" s="582">
        <f t="shared" si="461"/>
        <v>20.583702241349751</v>
      </c>
      <c r="AP78" s="585">
        <f>IF(M78="","",DEGREES(ATAN2(AK78,AL78)))</f>
        <v>-12.095982477331289</v>
      </c>
      <c r="AQ78" s="586">
        <f t="shared" si="471"/>
        <v>0.4633293715215735</v>
      </c>
      <c r="AS78" s="52">
        <f t="shared" si="543"/>
        <v>-203.94202253198418</v>
      </c>
      <c r="AT78" s="72">
        <f t="shared" si="472"/>
        <v>-0.27432187010715847</v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>Nose</v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>
        <f t="shared" si="643"/>
        <v>4.2190000000000003</v>
      </c>
      <c r="IH78" s="731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4.1189999999999998</v>
      </c>
      <c r="II78" s="734" cm="1">
        <f t="array" ref="II78">IFERROR(ROUND(VALUE(IF($IH78&lt;1,$IH78+LARGE((IF($M$9:$M$150="",0,$M$9:$M$150)-MOD(IF($M$9:$M$150="",0,$M$9:$M$150),1)),1),$IH78)),4),"")</f>
        <v>4.1189999999999998</v>
      </c>
      <c r="IJ78" s="533">
        <f t="shared" si="542"/>
        <v>1613</v>
      </c>
      <c r="IK78" s="533">
        <f t="shared" si="517"/>
        <v>1313</v>
      </c>
      <c r="IL78" s="727">
        <f t="shared" si="225"/>
        <v>13.024998119422975</v>
      </c>
      <c r="IM78" s="759">
        <v>2.9667743810249E-2</v>
      </c>
      <c r="IN78" s="5">
        <f t="shared" si="226"/>
        <v>1.44</v>
      </c>
      <c r="IO78" s="771">
        <v>720</v>
      </c>
      <c r="IP78" s="9">
        <f t="shared" si="227"/>
        <v>-4.9015147829685866</v>
      </c>
      <c r="IQ78" s="5">
        <f t="shared" si="228"/>
        <v>-0.41250124410375222</v>
      </c>
      <c r="IR78" s="5">
        <f t="shared" si="518"/>
        <v>0.314</v>
      </c>
      <c r="IS78" s="5">
        <f t="shared" si="229"/>
        <v>0.30216036167626253</v>
      </c>
      <c r="IT78" s="727">
        <f t="shared" si="230"/>
        <v>39.101924159478443</v>
      </c>
      <c r="IU78" s="9">
        <f t="shared" si="231"/>
        <v>-4.9202081257427919</v>
      </c>
      <c r="IV78" s="5">
        <f t="shared" si="232"/>
        <v>-0.41594827464325862</v>
      </c>
      <c r="IW78" s="5">
        <f t="shared" si="519"/>
        <v>0.26600000000000001</v>
      </c>
      <c r="IX78" s="5">
        <f t="shared" si="233"/>
        <v>0.24901844803178744</v>
      </c>
      <c r="IY78" s="762">
        <f t="shared" si="234"/>
        <v>34.795580385962182</v>
      </c>
    </row>
    <row r="79" spans="1:259" ht="15" customHeight="1" x14ac:dyDescent="0.25">
      <c r="A79" s="79"/>
      <c r="B79" s="707">
        <v>-2.2612585540177483</v>
      </c>
      <c r="C79" s="708">
        <v>-5.0860297632896359</v>
      </c>
      <c r="D79" s="709">
        <v>-0.8770402766580403</v>
      </c>
      <c r="E79" s="710">
        <v>0.72318673856683979</v>
      </c>
      <c r="F79" s="708">
        <v>-0.63997248269675</v>
      </c>
      <c r="G79" s="711">
        <v>0.25968473684838628</v>
      </c>
      <c r="H79" s="710">
        <v>0.26600000000000001</v>
      </c>
      <c r="I79" s="708">
        <v>0.52</v>
      </c>
      <c r="J79" s="570">
        <v>4.2220000000000004</v>
      </c>
      <c r="K79" s="865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>1313</v>
      </c>
      <c r="L79" s="320"/>
      <c r="M79" s="168">
        <f>IF(J79="","",VALUE(J79))</f>
        <v>4.2220000000000004</v>
      </c>
      <c r="N79" s="632">
        <f t="shared" si="465"/>
        <v>-2.2612585540177483</v>
      </c>
      <c r="O79" s="629">
        <f t="shared" si="466"/>
        <v>-5.0860297632896359</v>
      </c>
      <c r="P79" s="633">
        <f t="shared" si="467"/>
        <v>-0.8770402766580403</v>
      </c>
      <c r="Q79" s="585">
        <f t="shared" si="520"/>
        <v>246.02997747205853</v>
      </c>
      <c r="R79" s="629">
        <f>IF(M79="","",SQRT(N79^2+O79^2))</f>
        <v>5.5660568629134994</v>
      </c>
      <c r="S79" s="634">
        <f>IF(M79="","",P79)</f>
        <v>-0.8770402766580403</v>
      </c>
      <c r="T79" s="635">
        <f>IF(M79="","",X79*COS(RADIANS(W79)))</f>
        <v>-5.0860297632896359</v>
      </c>
      <c r="U79" s="629">
        <f>IF(M79="","",X79*SIN(RADIANS(W79)))</f>
        <v>2.261258554017747</v>
      </c>
      <c r="V79" s="636">
        <f>IF(M79="","",Y79)</f>
        <v>-0.8770402766580403</v>
      </c>
      <c r="W79" s="585">
        <f t="shared" ref="W79:W129" si="645">IF(M79="","",IF(Q79-$Q$8&lt;0,360+Q79-$Q$8,Q79-$Q$8))</f>
        <v>156.02997747205853</v>
      </c>
      <c r="X79" s="629">
        <f>IF(M79="","",R79)</f>
        <v>5.5660568629134994</v>
      </c>
      <c r="Y79" s="630">
        <f t="shared" si="644"/>
        <v>-0.8770402766580403</v>
      </c>
      <c r="Z79" s="632">
        <f t="shared" si="468"/>
        <v>-0.72318673856683979</v>
      </c>
      <c r="AA79" s="629">
        <f t="shared" si="469"/>
        <v>0.63997248269675</v>
      </c>
      <c r="AB79" s="629">
        <f t="shared" si="470"/>
        <v>-0.25968473684838628</v>
      </c>
      <c r="AC79" s="636">
        <f>IF(M79="","",SQRT(Z79^2+AA79^2+AB79^2))</f>
        <v>1.0000000000000002</v>
      </c>
      <c r="AD79" s="637">
        <f>IF(M79="","",Z79*(1/SQRT(Z79^2+AA79^2+AB79^2)))</f>
        <v>-0.72318673856683968</v>
      </c>
      <c r="AE79" s="629">
        <f>IF(M79="","",AA79*(1/SQRT(Z79^2+AA79^2+AB79^2)))</f>
        <v>0.63997248269674989</v>
      </c>
      <c r="AF79" s="633">
        <f>IF(M79="","",AB79*(1/SQRT(Z79^2+AA79^2+AB79^2)))</f>
        <v>-0.25968473684838622</v>
      </c>
      <c r="AG79" s="602">
        <f>IF(M79="","",DEGREES(ATAN2(-AF79,AE79)))</f>
        <v>67.913923162641836</v>
      </c>
      <c r="AH79" s="603">
        <f>IF(M79="","",DEGREES(ACOS(AD79)))</f>
        <v>136.31821413535869</v>
      </c>
      <c r="AI79" s="585">
        <f>IF(M79="","",DEGREES(-ACOS(-AF79)))</f>
        <v>-74.94864362691861</v>
      </c>
      <c r="AJ79" s="586">
        <f>IF(M79="","",DEGREES(ATAN2(-AE79,AD79)))</f>
        <v>-131.50670564434083</v>
      </c>
      <c r="AK79" s="635">
        <f>IF(M79="","",(COS(RADIANS((90-$Q$8)-W79))*AD79)+(-SIN(RADIANS((90-$Q$8)-W79))*AE79))</f>
        <v>0.92081210340322006</v>
      </c>
      <c r="AL79" s="629">
        <f>IF(M79="","",(SIN(RADIANS((90-$Q$8)-W79))*AD79)+(COS(RADIANS((90-$Q$8)-W79))*AE79))</f>
        <v>-0.29097922206597826</v>
      </c>
      <c r="AM79" s="634">
        <f>IF(M79="","",AF79)</f>
        <v>-0.25968473684838622</v>
      </c>
      <c r="AN79" s="581">
        <f>IF(M79="","",DEGREES(ATAN2(-AM79,AL79)))</f>
        <v>-48.252646733573322</v>
      </c>
      <c r="AO79" s="582">
        <f t="shared" si="461"/>
        <v>22.954903865578409</v>
      </c>
      <c r="AP79" s="585">
        <f>IF(M79="","",DEGREES(ATAN2(AK79,AL79)))</f>
        <v>-17.536683116399342</v>
      </c>
      <c r="AQ79" s="586">
        <f t="shared" si="471"/>
        <v>0.40956962129189983</v>
      </c>
      <c r="AS79" s="52">
        <f t="shared" si="543"/>
        <v>-203.97002252794147</v>
      </c>
      <c r="AT79" s="72">
        <f t="shared" si="472"/>
        <v>-0.73539442768030316</v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>Taper</v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>
        <f t="shared" si="643"/>
        <v>4.2220000000000004</v>
      </c>
      <c r="IH79" s="731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4.1219999999999999</v>
      </c>
      <c r="II79" s="734" cm="1">
        <f t="array" ref="II79">IFERROR(ROUND(VALUE(IF($IH79&lt;1,$IH79+LARGE((IF($M$9:$M$150="",0,$M$9:$M$150)-MOD(IF($M$9:$M$150="",0,$M$9:$M$150),1)),1),$IH79)),4),"")</f>
        <v>4.1219999999999999</v>
      </c>
      <c r="IJ79" s="533">
        <f t="shared" si="542"/>
        <v>1613</v>
      </c>
      <c r="IK79" s="533">
        <f t="shared" si="517"/>
        <v>1313</v>
      </c>
      <c r="IL79" s="727">
        <f t="shared" si="225"/>
        <v>12.336998218757856</v>
      </c>
      <c r="IM79" s="759">
        <v>1.9926681012090899E-2</v>
      </c>
      <c r="IN79" s="5">
        <f t="shared" si="226"/>
        <v>1.5</v>
      </c>
      <c r="IO79" s="771">
        <v>750</v>
      </c>
      <c r="IP79" s="9">
        <f t="shared" si="227"/>
        <v>-5.538616704467981</v>
      </c>
      <c r="IQ79" s="5">
        <f t="shared" si="228"/>
        <v>-0.86990262362631299</v>
      </c>
      <c r="IR79" s="5">
        <f t="shared" si="518"/>
        <v>0.314</v>
      </c>
      <c r="IS79" s="5">
        <f t="shared" si="229"/>
        <v>0.29821612200184633</v>
      </c>
      <c r="IT79" s="727">
        <f t="shared" si="230"/>
        <v>52.742599181790887</v>
      </c>
      <c r="IU79" s="9">
        <f t="shared" si="231"/>
        <v>-5.5660568629134994</v>
      </c>
      <c r="IV79" s="5">
        <f t="shared" si="232"/>
        <v>-0.8770402766580403</v>
      </c>
      <c r="IW79" s="5">
        <f t="shared" si="519"/>
        <v>0.26600000000000001</v>
      </c>
      <c r="IX79" s="5">
        <f t="shared" si="233"/>
        <v>0.24493601950525659</v>
      </c>
      <c r="IY79" s="762">
        <f t="shared" si="234"/>
        <v>48.252646733573322</v>
      </c>
    </row>
    <row r="80" spans="1:259" ht="15" customHeight="1" x14ac:dyDescent="0.25">
      <c r="A80" s="79"/>
      <c r="B80" s="707">
        <v>-2.5954923151943561</v>
      </c>
      <c r="C80" s="708">
        <v>-5.4739767577567289</v>
      </c>
      <c r="D80" s="709">
        <v>-1.5289868797247514</v>
      </c>
      <c r="E80" s="710">
        <v>-0.41383224619023656</v>
      </c>
      <c r="F80" s="708">
        <v>-0.872786044461907</v>
      </c>
      <c r="G80" s="711">
        <v>0.25881922765838278</v>
      </c>
      <c r="H80" s="710">
        <v>0.25700000000000001</v>
      </c>
      <c r="I80" s="708">
        <v>0.41499999999999992</v>
      </c>
      <c r="J80" s="570">
        <v>4.2249999999999996</v>
      </c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>CPS-32193r1</v>
      </c>
      <c r="L80" s="320"/>
      <c r="M80" s="168">
        <f t="shared" si="464"/>
        <v>4.2249999999999996</v>
      </c>
      <c r="N80" s="632">
        <f t="shared" si="465"/>
        <v>-2.5954923151943561</v>
      </c>
      <c r="O80" s="629">
        <f t="shared" si="466"/>
        <v>-5.4739767577567289</v>
      </c>
      <c r="P80" s="633">
        <f t="shared" si="467"/>
        <v>-1.5289868797247514</v>
      </c>
      <c r="Q80" s="585">
        <f t="shared" si="520"/>
        <v>244.63197767390471</v>
      </c>
      <c r="R80" s="629">
        <f t="shared" si="79"/>
        <v>6.0581351835935306</v>
      </c>
      <c r="S80" s="634">
        <f t="shared" si="80"/>
        <v>-1.5289868797247514</v>
      </c>
      <c r="T80" s="635">
        <f t="shared" si="81"/>
        <v>-5.473976757756728</v>
      </c>
      <c r="U80" s="629">
        <f t="shared" si="82"/>
        <v>2.5954923151943565</v>
      </c>
      <c r="V80" s="636">
        <f t="shared" si="114"/>
        <v>-1.5289868797247514</v>
      </c>
      <c r="W80" s="585">
        <f t="shared" si="645"/>
        <v>154.63197767390471</v>
      </c>
      <c r="X80" s="629">
        <f t="shared" si="83"/>
        <v>6.0581351835935306</v>
      </c>
      <c r="Y80" s="630">
        <f t="shared" si="644"/>
        <v>-1.5289868797247514</v>
      </c>
      <c r="Z80" s="632">
        <f t="shared" si="468"/>
        <v>0.41383224619023656</v>
      </c>
      <c r="AA80" s="629">
        <f t="shared" si="469"/>
        <v>0.872786044461907</v>
      </c>
      <c r="AB80" s="629">
        <f t="shared" si="470"/>
        <v>-0.25881922765838278</v>
      </c>
      <c r="AC80" s="636">
        <f t="shared" si="84"/>
        <v>1</v>
      </c>
      <c r="AD80" s="637">
        <f t="shared" si="115"/>
        <v>0.41383224619023656</v>
      </c>
      <c r="AE80" s="629">
        <f t="shared" si="85"/>
        <v>0.872786044461907</v>
      </c>
      <c r="AF80" s="633">
        <f t="shared" si="86"/>
        <v>-0.25881922765838278</v>
      </c>
      <c r="AG80" s="602">
        <f t="shared" si="87"/>
        <v>73.482606841828598</v>
      </c>
      <c r="AH80" s="603">
        <f t="shared" si="88"/>
        <v>65.554201031668143</v>
      </c>
      <c r="AI80" s="585">
        <f t="shared" si="89"/>
        <v>-74.999989171341738</v>
      </c>
      <c r="AJ80" s="586">
        <f t="shared" si="90"/>
        <v>154.63199112668823</v>
      </c>
      <c r="AK80" s="635">
        <f t="shared" si="211"/>
        <v>2.2679489691812549E-7</v>
      </c>
      <c r="AL80" s="629">
        <f t="shared" si="91"/>
        <v>-0.96592577737332752</v>
      </c>
      <c r="AM80" s="634">
        <f t="shared" si="92"/>
        <v>-0.25881922765838278</v>
      </c>
      <c r="AN80" s="581">
        <f t="shared" si="93"/>
        <v>-74.99998917134134</v>
      </c>
      <c r="AO80" s="582">
        <f t="shared" si="461"/>
        <v>0</v>
      </c>
      <c r="AP80" s="585">
        <f t="shared" si="95"/>
        <v>-89.999986547216452</v>
      </c>
      <c r="AQ80" s="586">
        <f t="shared" si="471"/>
        <v>0.37630290247690551</v>
      </c>
      <c r="AS80" s="52">
        <f t="shared" si="543"/>
        <v>-205.36802232609529</v>
      </c>
      <c r="AT80" s="72">
        <f t="shared" si="472"/>
        <v>-1.3863701975538518</v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>Taper</v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>
        <f t="shared" si="643"/>
        <v>4.2249999999999996</v>
      </c>
      <c r="IH80" s="731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4.125</v>
      </c>
      <c r="II80" s="734" cm="1">
        <f t="array" ref="II80">IFERROR(ROUND(VALUE(IF($IH80&lt;1,$IH80+LARGE((IF($M$9:$M$150="",0,$M$9:$M$150)-MOD(IF($M$9:$M$150="",0,$M$9:$M$150),1)),1),$IH80)),4),"")</f>
        <v>4.125</v>
      </c>
      <c r="IJ80" s="533">
        <f t="shared" si="542"/>
        <v>1613</v>
      </c>
      <c r="IK80" s="533" t="str">
        <f t="shared" si="517"/>
        <v>CPS-32193r1</v>
      </c>
      <c r="IL80" s="727">
        <f t="shared" si="225"/>
        <v>13.09899810873867</v>
      </c>
      <c r="IM80" s="759">
        <v>4.9039464471171499E-3</v>
      </c>
      <c r="IN80" s="5">
        <f t="shared" si="226"/>
        <v>2.08</v>
      </c>
      <c r="IO80" s="771">
        <v>1040</v>
      </c>
      <c r="IP80" s="9">
        <f t="shared" si="227"/>
        <v>-6.0353182025196999</v>
      </c>
      <c r="IQ80" s="5">
        <f t="shared" si="228"/>
        <v>-1.4768044540422343</v>
      </c>
      <c r="IR80" s="5">
        <f t="shared" si="518"/>
        <v>0.314</v>
      </c>
      <c r="IS80" s="5">
        <f t="shared" si="229"/>
        <v>0.29028071012864132</v>
      </c>
      <c r="IT80" s="727">
        <f t="shared" si="230"/>
        <v>62.500556506975776</v>
      </c>
      <c r="IU80" s="9">
        <f t="shared" si="231"/>
        <v>-6.0581351835935306</v>
      </c>
      <c r="IV80" s="5">
        <f t="shared" si="232"/>
        <v>-1.5289868797247514</v>
      </c>
      <c r="IW80" s="5">
        <f t="shared" si="519"/>
        <v>0.25700000000000001</v>
      </c>
      <c r="IX80" s="5">
        <f t="shared" si="233"/>
        <v>0.25700000000000001</v>
      </c>
      <c r="IY80" s="762">
        <f t="shared" si="234"/>
        <v>74.99998917134134</v>
      </c>
    </row>
    <row r="81" spans="1:259" ht="15" customHeight="1" x14ac:dyDescent="0.25">
      <c r="A81" s="79"/>
      <c r="B81" s="707">
        <v>-2.7464328652872951</v>
      </c>
      <c r="C81" s="708">
        <v>-5.7546498989457353</v>
      </c>
      <c r="D81" s="709">
        <v>-2.2549647278598055</v>
      </c>
      <c r="E81" s="710">
        <v>-0.4160397018740658</v>
      </c>
      <c r="F81" s="708">
        <v>-0.8717359542079568</v>
      </c>
      <c r="G81" s="711">
        <v>0.25881922765838244</v>
      </c>
      <c r="H81" s="710">
        <v>0.25700000000000001</v>
      </c>
      <c r="I81" s="708">
        <v>0.41499999999999992</v>
      </c>
      <c r="J81" s="570">
        <v>4.2279999999999998</v>
      </c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>CPS-32193r1</v>
      </c>
      <c r="L81" s="320"/>
      <c r="M81" s="168">
        <f t="shared" si="464"/>
        <v>4.2279999999999998</v>
      </c>
      <c r="N81" s="632">
        <f t="shared" si="465"/>
        <v>-2.7464328652872951</v>
      </c>
      <c r="O81" s="629">
        <f t="shared" si="466"/>
        <v>-5.7546498989457353</v>
      </c>
      <c r="P81" s="633">
        <f t="shared" si="467"/>
        <v>-2.2549647278598055</v>
      </c>
      <c r="Q81" s="585">
        <f t="shared" si="520"/>
        <v>244.48697769484011</v>
      </c>
      <c r="R81" s="629">
        <f t="shared" si="79"/>
        <v>6.3764323052131857</v>
      </c>
      <c r="S81" s="634">
        <f t="shared" si="80"/>
        <v>-2.2549647278598055</v>
      </c>
      <c r="T81" s="635">
        <f t="shared" si="81"/>
        <v>-5.7546498989457344</v>
      </c>
      <c r="U81" s="629">
        <f t="shared" si="82"/>
        <v>2.7464328652872951</v>
      </c>
      <c r="V81" s="636">
        <f t="shared" si="114"/>
        <v>-2.2549647278598055</v>
      </c>
      <c r="W81" s="585">
        <f t="shared" si="645"/>
        <v>154.48697769484011</v>
      </c>
      <c r="X81" s="629">
        <f t="shared" si="83"/>
        <v>6.3764323052131857</v>
      </c>
      <c r="Y81" s="630">
        <f t="shared" si="644"/>
        <v>-2.2549647278598055</v>
      </c>
      <c r="Z81" s="632">
        <f t="shared" si="468"/>
        <v>0.4160397018740658</v>
      </c>
      <c r="AA81" s="629">
        <f t="shared" si="469"/>
        <v>0.8717359542079568</v>
      </c>
      <c r="AB81" s="629">
        <f t="shared" si="470"/>
        <v>-0.25881922765838244</v>
      </c>
      <c r="AC81" s="636">
        <f t="shared" si="84"/>
        <v>1</v>
      </c>
      <c r="AD81" s="637">
        <f t="shared" si="115"/>
        <v>0.4160397018740658</v>
      </c>
      <c r="AE81" s="629">
        <f t="shared" si="85"/>
        <v>0.8717359542079568</v>
      </c>
      <c r="AF81" s="633">
        <f t="shared" si="86"/>
        <v>-0.25881922765838244</v>
      </c>
      <c r="AG81" s="602">
        <f t="shared" si="87"/>
        <v>73.46379607387712</v>
      </c>
      <c r="AH81" s="603">
        <f t="shared" si="88"/>
        <v>65.415191459378235</v>
      </c>
      <c r="AI81" s="585">
        <f t="shared" si="89"/>
        <v>-74.999989171341753</v>
      </c>
      <c r="AJ81" s="586">
        <f t="shared" si="90"/>
        <v>154.48699114762366</v>
      </c>
      <c r="AK81" s="635">
        <f t="shared" si="211"/>
        <v>2.2679489680710319E-7</v>
      </c>
      <c r="AL81" s="629">
        <f t="shared" si="91"/>
        <v>-0.96592577737332741</v>
      </c>
      <c r="AM81" s="634">
        <f t="shared" si="92"/>
        <v>-0.25881922765838244</v>
      </c>
      <c r="AN81" s="581">
        <f t="shared" si="93"/>
        <v>-74.999989171341369</v>
      </c>
      <c r="AO81" s="582">
        <f t="shared" si="461"/>
        <v>0</v>
      </c>
      <c r="AP81" s="585">
        <f t="shared" si="95"/>
        <v>-89.999986547216466</v>
      </c>
      <c r="AQ81" s="586">
        <f t="shared" si="471"/>
        <v>0.35751921055482389</v>
      </c>
      <c r="AS81" s="52">
        <f t="shared" si="543"/>
        <v>-205.51302230515989</v>
      </c>
      <c r="AT81" s="72">
        <f t="shared" si="472"/>
        <v>-2.1122473512590001</v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>Taper</v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>
        <f t="shared" si="643"/>
        <v>4.2279999999999998</v>
      </c>
      <c r="IH81" s="731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4.1280000000000001</v>
      </c>
      <c r="II81" s="734" cm="1">
        <f t="array" ref="II81">IFERROR(ROUND(VALUE(IF($IH81&lt;1,$IH81+LARGE((IF($M$9:$M$150="",0,$M$9:$M$150)-MOD(IF($M$9:$M$150="",0,$M$9:$M$150),1)),1),$IH81)),4),"")</f>
        <v>4.1280000000000001</v>
      </c>
      <c r="IJ81" s="533">
        <f t="shared" si="542"/>
        <v>1613</v>
      </c>
      <c r="IK81" s="533" t="str">
        <f t="shared" si="517"/>
        <v>CPS-32193r1</v>
      </c>
      <c r="IL81" s="727">
        <f t="shared" ref="IL81:IL144" si="647">IF(ISNUMBER($II81),IFERROR(IF(INDEX($W$9:$W$150,MATCH($II81,$M$9:$M$150,0))&lt;$W81,((INDEX($W$9:$W$150,MATCH($II81,$M$9:$M$150,0))+360)-$W81),INDEX($W$9:$W$150,MATCH($II81,$M$9:$M$150,0))-$W81),""),"")</f>
        <v>12.801998151620182</v>
      </c>
      <c r="IM81" s="759">
        <v>1.99425939882664E-4</v>
      </c>
      <c r="IN81" s="5">
        <f t="shared" ref="IN81:IN144" si="648">IF(ISNUMBER($II81),(($IO81*12)/60)/$AS$3,"")</f>
        <v>0</v>
      </c>
      <c r="IO81" s="771">
        <v>0</v>
      </c>
      <c r="IP81" s="9">
        <f t="shared" ref="IP81:IP144" si="649">IF(ISNUMBER($II81),(INDEX($X$9:$X$150,MATCH($II81,$M$9:$M$150,0))*-1),"")</f>
        <v>-6.3578191751826338</v>
      </c>
      <c r="IQ81" s="5">
        <f t="shared" ref="IQ81:IQ144" si="650">IF(ISNUMBER($II81),INDEX($Y$9:$Y$150,MATCH($II81,$M$9:$M$150,0)),"")</f>
        <v>-2.191606609885536</v>
      </c>
      <c r="IR81" s="5">
        <f t="shared" si="518"/>
        <v>0.314</v>
      </c>
      <c r="IS81" s="5">
        <f t="shared" ref="IS81:IS144" si="651">IF(ISNUMBER($II81),$IR81*COS(RADIANS(INDEX($AO$9:$AO$150,MATCH($II81,$M$9:$M$150,0)))),"")</f>
        <v>0.27887724956920923</v>
      </c>
      <c r="IT81" s="727">
        <f t="shared" ref="IT81:IT144" si="652">IF(ISNUMBER($II81),(-1*INDEX($AN$9:$AN$150,MATCH($II81,$M$9:$M$150,0))),"")</f>
        <v>70.740575397925994</v>
      </c>
      <c r="IU81" s="9">
        <f t="shared" ref="IU81:IU144" si="653">IF(ISNUMBER($II81),-$X81,"")</f>
        <v>-6.3764323052131857</v>
      </c>
      <c r="IV81" s="5">
        <f t="shared" ref="IV81:IV144" si="654">IF(ISNUMBER($II81),$Y81,"")</f>
        <v>-2.2549647278598055</v>
      </c>
      <c r="IW81" s="5">
        <f t="shared" si="519"/>
        <v>0.25700000000000001</v>
      </c>
      <c r="IX81" s="5">
        <f t="shared" ref="IX81:IX144" si="655">IF(ISNUMBER($II81),$IW81*COS(RADIANS($AO81)),"")</f>
        <v>0.25700000000000001</v>
      </c>
      <c r="IY81" s="762">
        <f t="shared" ref="IY81:IY144" si="656">IF(ISNUMBER($II81),(-1*$AN81),"")</f>
        <v>74.999989171341369</v>
      </c>
    </row>
    <row r="82" spans="1:259" ht="15" customHeight="1" x14ac:dyDescent="0.25">
      <c r="A82" s="79"/>
      <c r="B82" s="707">
        <v>-0.53753284232861986</v>
      </c>
      <c r="C82" s="708">
        <v>-0.25065549124233827</v>
      </c>
      <c r="D82" s="709">
        <v>-0.7264021908290077</v>
      </c>
      <c r="E82" s="710">
        <v>0.4735944187439165</v>
      </c>
      <c r="F82" s="708">
        <v>-0.83146955959349167</v>
      </c>
      <c r="G82" s="711">
        <v>0.29045946017304536</v>
      </c>
      <c r="H82" s="710">
        <v>0.314</v>
      </c>
      <c r="I82" s="708">
        <v>0.52</v>
      </c>
      <c r="J82" s="570">
        <v>5.1020000000000003</v>
      </c>
      <c r="K82" s="865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>1613</v>
      </c>
      <c r="L82" s="320"/>
      <c r="M82" s="168">
        <f t="shared" si="464"/>
        <v>5.1020000000000003</v>
      </c>
      <c r="N82" s="632">
        <f t="shared" si="465"/>
        <v>-0.53753284232861986</v>
      </c>
      <c r="O82" s="629">
        <f t="shared" si="466"/>
        <v>-0.25065549124233827</v>
      </c>
      <c r="P82" s="633">
        <f t="shared" si="467"/>
        <v>-0.7264021908290077</v>
      </c>
      <c r="Q82" s="585">
        <f t="shared" si="520"/>
        <v>204.99998339605673</v>
      </c>
      <c r="R82" s="629">
        <f t="shared" si="79"/>
        <v>0.59310178879499498</v>
      </c>
      <c r="S82" s="634">
        <f t="shared" si="80"/>
        <v>-0.7264021908290077</v>
      </c>
      <c r="T82" s="635">
        <f t="shared" si="81"/>
        <v>-0.25065549124233844</v>
      </c>
      <c r="U82" s="629">
        <f t="shared" si="82"/>
        <v>0.53753284232861975</v>
      </c>
      <c r="V82" s="636">
        <f t="shared" si="114"/>
        <v>-0.7264021908290077</v>
      </c>
      <c r="W82" s="585">
        <f t="shared" si="645"/>
        <v>114.99998339605673</v>
      </c>
      <c r="X82" s="629">
        <f t="shared" si="83"/>
        <v>0.59310178879499498</v>
      </c>
      <c r="Y82" s="630">
        <f t="shared" si="644"/>
        <v>-0.7264021908290077</v>
      </c>
      <c r="Z82" s="632">
        <f t="shared" si="468"/>
        <v>-0.4735944187439165</v>
      </c>
      <c r="AA82" s="629">
        <f t="shared" si="469"/>
        <v>0.83146955959349167</v>
      </c>
      <c r="AB82" s="629">
        <f t="shared" si="470"/>
        <v>-0.29045946017304536</v>
      </c>
      <c r="AC82" s="636">
        <f t="shared" si="84"/>
        <v>1</v>
      </c>
      <c r="AD82" s="637">
        <f t="shared" si="115"/>
        <v>-0.4735944187439165</v>
      </c>
      <c r="AE82" s="629">
        <f t="shared" si="85"/>
        <v>0.83146955959349167</v>
      </c>
      <c r="AF82" s="633">
        <f t="shared" si="86"/>
        <v>-0.29045946017304536</v>
      </c>
      <c r="AG82" s="602">
        <f t="shared" si="87"/>
        <v>70.744024694262038</v>
      </c>
      <c r="AH82" s="603">
        <f t="shared" si="88"/>
        <v>118.26787216468571</v>
      </c>
      <c r="AI82" s="585">
        <f t="shared" si="89"/>
        <v>-73.114534769632428</v>
      </c>
      <c r="AJ82" s="586">
        <f t="shared" si="90"/>
        <v>-150.33471465516058</v>
      </c>
      <c r="AK82" s="635">
        <f t="shared" si="211"/>
        <v>0.95371696400905348</v>
      </c>
      <c r="AL82" s="629">
        <f t="shared" si="91"/>
        <v>7.7828366019961071E-2</v>
      </c>
      <c r="AM82" s="634">
        <f t="shared" si="92"/>
        <v>-0.29045946017304536</v>
      </c>
      <c r="AN82" s="581">
        <f t="shared" si="93"/>
        <v>14.999997834268182</v>
      </c>
      <c r="AO82" s="582">
        <f t="shared" si="461"/>
        <v>17.499997473312952</v>
      </c>
      <c r="AP82" s="585">
        <f t="shared" si="95"/>
        <v>4.665301948782675</v>
      </c>
      <c r="AQ82" s="586">
        <f t="shared" si="471"/>
        <v>3.8379851523239958</v>
      </c>
      <c r="AS82" s="52">
        <f t="shared" si="543"/>
        <v>-245.00001660394327</v>
      </c>
      <c r="AT82" s="72">
        <f t="shared" si="472"/>
        <v>-0.55626329040960265</v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>
        <f t="shared" si="643"/>
        <v>5.1020000000000003</v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>
        <f t="shared" si="542"/>
        <v>1613</v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>
        <v>-1.224063154356827</v>
      </c>
      <c r="C83" s="708">
        <v>-0.57078959108396909</v>
      </c>
      <c r="D83" s="709">
        <v>-0.52340157857916103</v>
      </c>
      <c r="E83" s="710">
        <v>0.46892874510133492</v>
      </c>
      <c r="F83" s="708">
        <v>-0.84711619532694482</v>
      </c>
      <c r="G83" s="711">
        <v>0.24999996726497561</v>
      </c>
      <c r="H83" s="710">
        <v>0.314</v>
      </c>
      <c r="I83" s="708">
        <v>0.52</v>
      </c>
      <c r="J83" s="570">
        <v>5.1050000000000004</v>
      </c>
      <c r="K83" s="865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>1613</v>
      </c>
      <c r="L83" s="320"/>
      <c r="M83" s="168">
        <f t="shared" si="464"/>
        <v>5.1050000000000004</v>
      </c>
      <c r="N83" s="632">
        <f t="shared" si="465"/>
        <v>-1.224063154356827</v>
      </c>
      <c r="O83" s="629">
        <f t="shared" si="466"/>
        <v>-0.57078959108396909</v>
      </c>
      <c r="P83" s="633">
        <f t="shared" si="467"/>
        <v>-0.52340157857916103</v>
      </c>
      <c r="Q83" s="585">
        <f t="shared" si="520"/>
        <v>204.99998339605673</v>
      </c>
      <c r="R83" s="629">
        <f t="shared" si="79"/>
        <v>1.3506040734218856</v>
      </c>
      <c r="S83" s="634">
        <f t="shared" si="80"/>
        <v>-0.52340157857916103</v>
      </c>
      <c r="T83" s="635">
        <f t="shared" si="81"/>
        <v>-0.57078959108396965</v>
      </c>
      <c r="U83" s="629">
        <f t="shared" si="82"/>
        <v>1.2240631543568268</v>
      </c>
      <c r="V83" s="636">
        <f t="shared" si="114"/>
        <v>-0.52340157857916103</v>
      </c>
      <c r="W83" s="585">
        <f t="shared" si="645"/>
        <v>114.99998339605673</v>
      </c>
      <c r="X83" s="629">
        <f t="shared" si="83"/>
        <v>1.3506040734218856</v>
      </c>
      <c r="Y83" s="630">
        <f t="shared" si="644"/>
        <v>-0.52340157857916103</v>
      </c>
      <c r="Z83" s="632">
        <f t="shared" si="468"/>
        <v>-0.46892874510133492</v>
      </c>
      <c r="AA83" s="629">
        <f t="shared" si="469"/>
        <v>0.84711619532694482</v>
      </c>
      <c r="AB83" s="629">
        <f t="shared" si="470"/>
        <v>-0.24999996726497561</v>
      </c>
      <c r="AC83" s="636">
        <f t="shared" si="84"/>
        <v>1</v>
      </c>
      <c r="AD83" s="637">
        <f t="shared" si="115"/>
        <v>-0.46892874510133492</v>
      </c>
      <c r="AE83" s="629">
        <f t="shared" si="85"/>
        <v>0.84711619532694482</v>
      </c>
      <c r="AF83" s="633">
        <f t="shared" si="86"/>
        <v>-0.24999996726497561</v>
      </c>
      <c r="AG83" s="602">
        <f t="shared" si="87"/>
        <v>73.557675922032189</v>
      </c>
      <c r="AH83" s="603">
        <f t="shared" si="88"/>
        <v>117.96478150797752</v>
      </c>
      <c r="AI83" s="585">
        <f t="shared" si="89"/>
        <v>-75.522489751159469</v>
      </c>
      <c r="AJ83" s="586">
        <f t="shared" si="90"/>
        <v>-151.03288695885672</v>
      </c>
      <c r="AK83" s="635">
        <f t="shared" si="211"/>
        <v>0.9659258360722075</v>
      </c>
      <c r="AL83" s="629">
        <f t="shared" si="91"/>
        <v>6.6987279208206962E-2</v>
      </c>
      <c r="AM83" s="634">
        <f t="shared" si="92"/>
        <v>-0.24999996726497561</v>
      </c>
      <c r="AN83" s="581">
        <f t="shared" si="93"/>
        <v>14.999997834268218</v>
      </c>
      <c r="AO83" s="582">
        <f t="shared" si="461"/>
        <v>14.99999783426823</v>
      </c>
      <c r="AP83" s="585">
        <f t="shared" si="95"/>
        <v>3.967129645086557</v>
      </c>
      <c r="AQ83" s="586">
        <f t="shared" si="471"/>
        <v>1.6874430512142433</v>
      </c>
      <c r="AS83" s="52">
        <f t="shared" si="543"/>
        <v>-245.00001660394327</v>
      </c>
      <c r="AT83" s="72">
        <f t="shared" si="472"/>
        <v>-0.35326267815975598</v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>
        <f t="shared" si="643"/>
        <v>5.1050000000000004</v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>
        <f t="shared" si="542"/>
        <v>1613</v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>
        <v>-1.9106840974493282</v>
      </c>
      <c r="C84" s="708">
        <v>-0.89096595285297175</v>
      </c>
      <c r="D84" s="709">
        <v>-0.32050096663091537</v>
      </c>
      <c r="E84" s="710">
        <v>0.46892874510133498</v>
      </c>
      <c r="F84" s="708">
        <v>-0.84711619532694482</v>
      </c>
      <c r="G84" s="711">
        <v>0.24999996726497561</v>
      </c>
      <c r="H84" s="710">
        <v>0.314</v>
      </c>
      <c r="I84" s="708">
        <v>0.52</v>
      </c>
      <c r="J84" s="570">
        <v>5.1079999999999997</v>
      </c>
      <c r="K84" s="865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>1613</v>
      </c>
      <c r="L84" s="320"/>
      <c r="M84" s="168">
        <f t="shared" si="464"/>
        <v>5.1079999999999997</v>
      </c>
      <c r="N84" s="632">
        <f t="shared" si="465"/>
        <v>-1.9106840974493282</v>
      </c>
      <c r="O84" s="629">
        <f t="shared" si="466"/>
        <v>-0.89096595285297175</v>
      </c>
      <c r="P84" s="633">
        <f t="shared" si="467"/>
        <v>-0.32050096663091537</v>
      </c>
      <c r="Q84" s="585">
        <f t="shared" si="520"/>
        <v>204.99998339605673</v>
      </c>
      <c r="R84" s="629">
        <f t="shared" si="79"/>
        <v>2.108206358350377</v>
      </c>
      <c r="S84" s="634">
        <f t="shared" si="80"/>
        <v>-0.32050096663091537</v>
      </c>
      <c r="T84" s="635">
        <f t="shared" si="81"/>
        <v>-0.89096595285297253</v>
      </c>
      <c r="U84" s="629">
        <f t="shared" si="82"/>
        <v>1.910684097449328</v>
      </c>
      <c r="V84" s="636">
        <f t="shared" si="114"/>
        <v>-0.32050096663091537</v>
      </c>
      <c r="W84" s="585">
        <f t="shared" si="645"/>
        <v>114.99998339605673</v>
      </c>
      <c r="X84" s="629">
        <f t="shared" si="83"/>
        <v>2.108206358350377</v>
      </c>
      <c r="Y84" s="630">
        <f t="shared" si="644"/>
        <v>-0.32050096663091537</v>
      </c>
      <c r="Z84" s="632">
        <f t="shared" si="468"/>
        <v>-0.46892874510133498</v>
      </c>
      <c r="AA84" s="629">
        <f t="shared" si="469"/>
        <v>0.84711619532694482</v>
      </c>
      <c r="AB84" s="629">
        <f t="shared" si="470"/>
        <v>-0.24999996726497561</v>
      </c>
      <c r="AC84" s="636">
        <f t="shared" si="84"/>
        <v>1</v>
      </c>
      <c r="AD84" s="637">
        <f t="shared" si="115"/>
        <v>-0.46892874510133498</v>
      </c>
      <c r="AE84" s="629">
        <f t="shared" si="85"/>
        <v>0.84711619532694482</v>
      </c>
      <c r="AF84" s="633">
        <f t="shared" si="86"/>
        <v>-0.24999996726497561</v>
      </c>
      <c r="AG84" s="602">
        <f t="shared" si="87"/>
        <v>73.557675922032189</v>
      </c>
      <c r="AH84" s="603">
        <f t="shared" si="88"/>
        <v>117.96478150797752</v>
      </c>
      <c r="AI84" s="585">
        <f t="shared" si="89"/>
        <v>-75.522489751159469</v>
      </c>
      <c r="AJ84" s="586">
        <f t="shared" si="90"/>
        <v>-151.03288695885672</v>
      </c>
      <c r="AK84" s="635">
        <f t="shared" si="211"/>
        <v>0.96592583607220761</v>
      </c>
      <c r="AL84" s="629">
        <f t="shared" si="91"/>
        <v>6.6987279208207018E-2</v>
      </c>
      <c r="AM84" s="634">
        <f t="shared" si="92"/>
        <v>-0.24999996726497561</v>
      </c>
      <c r="AN84" s="581">
        <f t="shared" si="93"/>
        <v>14.99999783426823</v>
      </c>
      <c r="AO84" s="582">
        <f t="shared" si="461"/>
        <v>14.999997834268203</v>
      </c>
      <c r="AP84" s="585">
        <f t="shared" si="95"/>
        <v>3.9671296450865601</v>
      </c>
      <c r="AQ84" s="586">
        <f t="shared" si="471"/>
        <v>1.0812300233974224</v>
      </c>
      <c r="AS84" s="52">
        <f t="shared" si="543"/>
        <v>-245.00001660394327</v>
      </c>
      <c r="AT84" s="72">
        <f t="shared" si="472"/>
        <v>-0.15036206621151033</v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>
        <f t="shared" si="643"/>
        <v>5.1079999999999997</v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>
        <f t="shared" si="542"/>
        <v>1613</v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>
        <v>-2.5986645065062417</v>
      </c>
      <c r="C85" s="708">
        <v>-1.2117762435325521</v>
      </c>
      <c r="D85" s="709">
        <v>-0.12160036674670612</v>
      </c>
      <c r="E85" s="710">
        <v>0.44895024177643561</v>
      </c>
      <c r="F85" s="708">
        <v>-0.85643231737726577</v>
      </c>
      <c r="G85" s="711">
        <v>0.2548869674202402</v>
      </c>
      <c r="H85" s="710">
        <v>0.314</v>
      </c>
      <c r="I85" s="708">
        <v>0.52</v>
      </c>
      <c r="J85" s="570">
        <v>5.1109999999999998</v>
      </c>
      <c r="K85" s="865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>1613</v>
      </c>
      <c r="L85" s="320"/>
      <c r="M85" s="168">
        <f t="shared" si="464"/>
        <v>5.1109999999999998</v>
      </c>
      <c r="N85" s="632">
        <f t="shared" si="465"/>
        <v>-2.5986645065062417</v>
      </c>
      <c r="O85" s="629">
        <f t="shared" si="466"/>
        <v>-1.2117762435325521</v>
      </c>
      <c r="P85" s="633">
        <f t="shared" si="467"/>
        <v>-0.12160036674670612</v>
      </c>
      <c r="Q85" s="585">
        <f t="shared" si="520"/>
        <v>204.99998339605673</v>
      </c>
      <c r="R85" s="629">
        <f t="shared" si="79"/>
        <v>2.867308647802882</v>
      </c>
      <c r="S85" s="634">
        <f t="shared" si="80"/>
        <v>-0.12160036674670612</v>
      </c>
      <c r="T85" s="635">
        <f t="shared" si="81"/>
        <v>-1.211776243532553</v>
      </c>
      <c r="U85" s="629">
        <f t="shared" si="82"/>
        <v>2.5986645065062413</v>
      </c>
      <c r="V85" s="636">
        <f t="shared" si="114"/>
        <v>-0.12160036674670612</v>
      </c>
      <c r="W85" s="585">
        <f t="shared" si="645"/>
        <v>114.99998339605673</v>
      </c>
      <c r="X85" s="629">
        <f t="shared" si="83"/>
        <v>2.867308647802882</v>
      </c>
      <c r="Y85" s="630">
        <f t="shared" si="644"/>
        <v>-0.12160036674670612</v>
      </c>
      <c r="Z85" s="632">
        <f t="shared" si="468"/>
        <v>-0.44895024177643561</v>
      </c>
      <c r="AA85" s="629">
        <f t="shared" si="469"/>
        <v>0.85643231737726577</v>
      </c>
      <c r="AB85" s="629">
        <f t="shared" si="470"/>
        <v>-0.2548869674202402</v>
      </c>
      <c r="AC85" s="636">
        <f t="shared" si="84"/>
        <v>1</v>
      </c>
      <c r="AD85" s="637">
        <f t="shared" si="115"/>
        <v>-0.44895024177643561</v>
      </c>
      <c r="AE85" s="629">
        <f t="shared" si="85"/>
        <v>0.85643231737726577</v>
      </c>
      <c r="AF85" s="633">
        <f t="shared" si="86"/>
        <v>-0.2548869674202402</v>
      </c>
      <c r="AG85" s="602">
        <f t="shared" si="87"/>
        <v>73.426213686422344</v>
      </c>
      <c r="AH85" s="603">
        <f t="shared" si="88"/>
        <v>116.67635247918955</v>
      </c>
      <c r="AI85" s="585">
        <f t="shared" si="89"/>
        <v>-75.233112454846449</v>
      </c>
      <c r="AJ85" s="586">
        <f t="shared" si="90"/>
        <v>-152.33602976969675</v>
      </c>
      <c r="AK85" s="635">
        <f t="shared" si="211"/>
        <v>0.9659258360722075</v>
      </c>
      <c r="AL85" s="629">
        <f t="shared" si="91"/>
        <v>4.4943442764441344E-2</v>
      </c>
      <c r="AM85" s="634">
        <f t="shared" si="92"/>
        <v>-0.2548869674202402</v>
      </c>
      <c r="AN85" s="581">
        <f t="shared" si="93"/>
        <v>9.999998556178749</v>
      </c>
      <c r="AO85" s="582">
        <f t="shared" si="461"/>
        <v>14.99999783426823</v>
      </c>
      <c r="AP85" s="585">
        <f t="shared" si="95"/>
        <v>2.6639868342464892</v>
      </c>
      <c r="AQ85" s="586">
        <f t="shared" si="471"/>
        <v>0.79502439361023358</v>
      </c>
      <c r="AS85" s="52">
        <f t="shared" si="543"/>
        <v>-245.00001660394327</v>
      </c>
      <c r="AT85" s="72">
        <f t="shared" si="472"/>
        <v>4.8538533672698933E-2</v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>
        <f t="shared" si="643"/>
        <v>5.1109999999999998</v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>
        <f t="shared" si="542"/>
        <v>1613</v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>
        <v>-3.3084753268000209</v>
      </c>
      <c r="C86" s="708">
        <v>-1.5399551398720519</v>
      </c>
      <c r="D86" s="709">
        <v>-6.170018608776124E-2</v>
      </c>
      <c r="E86" s="710">
        <v>0.37748392140381692</v>
      </c>
      <c r="F86" s="708">
        <v>-0.88956389637439393</v>
      </c>
      <c r="G86" s="711">
        <v>0.25725855349978854</v>
      </c>
      <c r="H86" s="710">
        <v>0.314</v>
      </c>
      <c r="I86" s="708">
        <v>0.52</v>
      </c>
      <c r="J86" s="570">
        <v>5.1139999999999999</v>
      </c>
      <c r="K86" s="865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>1613</v>
      </c>
      <c r="L86" s="320"/>
      <c r="M86" s="168">
        <f t="shared" si="464"/>
        <v>5.1139999999999999</v>
      </c>
      <c r="N86" s="632">
        <f t="shared" si="465"/>
        <v>-3.3084753268000209</v>
      </c>
      <c r="O86" s="629">
        <f t="shared" si="466"/>
        <v>-1.5399551398720519</v>
      </c>
      <c r="P86" s="633">
        <f t="shared" si="467"/>
        <v>-6.170018608776124E-2</v>
      </c>
      <c r="Q86" s="585">
        <f t="shared" si="520"/>
        <v>204.95998340183201</v>
      </c>
      <c r="R86" s="629">
        <f t="shared" si="79"/>
        <v>3.6493110063219958</v>
      </c>
      <c r="S86" s="634">
        <f t="shared" si="80"/>
        <v>-6.170018608776124E-2</v>
      </c>
      <c r="T86" s="635">
        <f t="shared" si="81"/>
        <v>-1.5399551398720515</v>
      </c>
      <c r="U86" s="629">
        <f t="shared" si="82"/>
        <v>3.3084753268000213</v>
      </c>
      <c r="V86" s="636">
        <f t="shared" si="114"/>
        <v>-6.170018608776124E-2</v>
      </c>
      <c r="W86" s="585">
        <f t="shared" si="645"/>
        <v>114.95998340183201</v>
      </c>
      <c r="X86" s="629">
        <f t="shared" si="83"/>
        <v>3.6493110063219958</v>
      </c>
      <c r="Y86" s="630">
        <f t="shared" si="644"/>
        <v>-6.170018608776124E-2</v>
      </c>
      <c r="Z86" s="632">
        <f t="shared" si="468"/>
        <v>-0.37748392140381692</v>
      </c>
      <c r="AA86" s="629">
        <f t="shared" si="469"/>
        <v>0.88956389637439393</v>
      </c>
      <c r="AB86" s="629">
        <f t="shared" si="470"/>
        <v>-0.25725855349978854</v>
      </c>
      <c r="AC86" s="636">
        <f t="shared" si="84"/>
        <v>1</v>
      </c>
      <c r="AD86" s="637">
        <f t="shared" si="115"/>
        <v>-0.37748392140381692</v>
      </c>
      <c r="AE86" s="629">
        <f t="shared" si="85"/>
        <v>0.88956389637439393</v>
      </c>
      <c r="AF86" s="633">
        <f t="shared" si="86"/>
        <v>-0.25725855349978854</v>
      </c>
      <c r="AG86" s="602">
        <f t="shared" si="87"/>
        <v>73.870328484529679</v>
      </c>
      <c r="AH86" s="603">
        <f t="shared" si="88"/>
        <v>112.17791778341378</v>
      </c>
      <c r="AI86" s="585">
        <f t="shared" si="89"/>
        <v>-75.092543625681472</v>
      </c>
      <c r="AJ86" s="586">
        <f t="shared" si="90"/>
        <v>-157.00619733236641</v>
      </c>
      <c r="AK86" s="635">
        <f t="shared" si="211"/>
        <v>0.96577367663266345</v>
      </c>
      <c r="AL86" s="629">
        <f t="shared" si="91"/>
        <v>-3.3154821287773417E-2</v>
      </c>
      <c r="AM86" s="634">
        <f t="shared" si="92"/>
        <v>-0.25725855349978854</v>
      </c>
      <c r="AN86" s="581">
        <f t="shared" si="93"/>
        <v>-7.3436534858583284</v>
      </c>
      <c r="AO86" s="582">
        <f t="shared" si="461"/>
        <v>15.033645096584697</v>
      </c>
      <c r="AP86" s="585">
        <f t="shared" si="95"/>
        <v>-1.9661807341984134</v>
      </c>
      <c r="AQ86" s="586">
        <f t="shared" si="471"/>
        <v>0.62467580828683089</v>
      </c>
      <c r="AS86" s="52">
        <f t="shared" si="543"/>
        <v>-245.04001659816799</v>
      </c>
      <c r="AT86" s="72">
        <f t="shared" si="472"/>
        <v>0.10846649210541098</v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>
        <f t="shared" si="643"/>
        <v>5.1139999999999999</v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>
        <f t="shared" si="542"/>
        <v>1613</v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>
        <v>-4.0212733402251368</v>
      </c>
      <c r="C87" s="708">
        <v>-1.8346330879204429</v>
      </c>
      <c r="D87" s="709">
        <v>-0.20660062310747931</v>
      </c>
      <c r="E87" s="710">
        <v>0.28981275542325247</v>
      </c>
      <c r="F87" s="708">
        <v>-0.92744339468751802</v>
      </c>
      <c r="G87" s="711">
        <v>0.23634152501089314</v>
      </c>
      <c r="H87" s="710">
        <v>0.314</v>
      </c>
      <c r="I87" s="708">
        <v>0.52</v>
      </c>
      <c r="J87" s="570">
        <v>5.117</v>
      </c>
      <c r="K87" s="865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>1613</v>
      </c>
      <c r="L87" s="320"/>
      <c r="M87" s="168">
        <f t="shared" si="464"/>
        <v>5.117</v>
      </c>
      <c r="N87" s="632">
        <f t="shared" si="465"/>
        <v>-4.0212733402251368</v>
      </c>
      <c r="O87" s="629">
        <f t="shared" si="466"/>
        <v>-1.8346330879204429</v>
      </c>
      <c r="P87" s="633">
        <f t="shared" si="467"/>
        <v>-0.20660062310747931</v>
      </c>
      <c r="Q87" s="585">
        <f t="shared" si="520"/>
        <v>204.52398346478259</v>
      </c>
      <c r="R87" s="629">
        <f t="shared" si="79"/>
        <v>4.4200133307602059</v>
      </c>
      <c r="S87" s="634">
        <f t="shared" si="80"/>
        <v>-0.20660062310747931</v>
      </c>
      <c r="T87" s="635">
        <f t="shared" si="81"/>
        <v>-1.8346330879204409</v>
      </c>
      <c r="U87" s="629">
        <f t="shared" si="82"/>
        <v>4.0212733402251377</v>
      </c>
      <c r="V87" s="636">
        <f t="shared" si="114"/>
        <v>-0.20660062310747931</v>
      </c>
      <c r="W87" s="585">
        <f t="shared" si="645"/>
        <v>114.52398346478259</v>
      </c>
      <c r="X87" s="629">
        <f t="shared" si="83"/>
        <v>4.4200133307602059</v>
      </c>
      <c r="Y87" s="630">
        <f t="shared" si="644"/>
        <v>-0.20660062310747931</v>
      </c>
      <c r="Z87" s="632">
        <f t="shared" si="468"/>
        <v>-0.28981275542325247</v>
      </c>
      <c r="AA87" s="629">
        <f t="shared" si="469"/>
        <v>0.92744339468751802</v>
      </c>
      <c r="AB87" s="629">
        <f t="shared" si="470"/>
        <v>-0.23634152501089314</v>
      </c>
      <c r="AC87" s="636">
        <f t="shared" si="84"/>
        <v>1</v>
      </c>
      <c r="AD87" s="637">
        <f t="shared" si="115"/>
        <v>-0.28981275542325247</v>
      </c>
      <c r="AE87" s="629">
        <f t="shared" si="85"/>
        <v>0.92744339468751802</v>
      </c>
      <c r="AF87" s="633">
        <f t="shared" si="86"/>
        <v>-0.23634152501089314</v>
      </c>
      <c r="AG87" s="602">
        <f t="shared" si="87"/>
        <v>75.703528868576413</v>
      </c>
      <c r="AH87" s="603">
        <f t="shared" si="88"/>
        <v>106.84674629693896</v>
      </c>
      <c r="AI87" s="585">
        <f t="shared" si="89"/>
        <v>-76.329285723702057</v>
      </c>
      <c r="AJ87" s="586">
        <f t="shared" si="90"/>
        <v>-162.64672422112213</v>
      </c>
      <c r="AK87" s="635">
        <f t="shared" si="211"/>
        <v>0.96407027516652699</v>
      </c>
      <c r="AL87" s="629">
        <f t="shared" si="91"/>
        <v>-0.1212896866838315</v>
      </c>
      <c r="AM87" s="634">
        <f t="shared" si="92"/>
        <v>-0.23634152501089314</v>
      </c>
      <c r="AN87" s="581">
        <f t="shared" si="93"/>
        <v>-27.166744190161495</v>
      </c>
      <c r="AO87" s="582">
        <f t="shared" si="461"/>
        <v>15.405420859063574</v>
      </c>
      <c r="AP87" s="585">
        <f t="shared" si="95"/>
        <v>-7.1707076859047003</v>
      </c>
      <c r="AQ87" s="586">
        <f t="shared" si="471"/>
        <v>0.51575976927418832</v>
      </c>
      <c r="AS87" s="52">
        <f t="shared" si="543"/>
        <v>-245.47601653521741</v>
      </c>
      <c r="AT87" s="72">
        <f t="shared" si="472"/>
        <v>-3.6131167180245005E-2</v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>
        <f t="shared" si="643"/>
        <v>5.117</v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>
        <f t="shared" si="542"/>
        <v>1613</v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>
        <v>-4.6893312465617916</v>
      </c>
      <c r="C88" s="708">
        <v>-2.0725430327212746</v>
      </c>
      <c r="D88" s="709">
        <v>-0.54620164734416843</v>
      </c>
      <c r="E88" s="710">
        <v>0.21134129634453699</v>
      </c>
      <c r="F88" s="708">
        <v>-0.95760722141008747</v>
      </c>
      <c r="G88" s="711">
        <v>0.19576329064117823</v>
      </c>
      <c r="H88" s="710">
        <v>0.314</v>
      </c>
      <c r="I88" s="708">
        <v>0.52</v>
      </c>
      <c r="J88" s="570">
        <v>5.12</v>
      </c>
      <c r="K88" s="865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>1613</v>
      </c>
      <c r="L88" s="320"/>
      <c r="M88" s="168">
        <f t="shared" si="464"/>
        <v>5.12</v>
      </c>
      <c r="N88" s="632">
        <f t="shared" si="465"/>
        <v>-4.6893312465617916</v>
      </c>
      <c r="O88" s="629">
        <f t="shared" si="466"/>
        <v>-2.0725430327212746</v>
      </c>
      <c r="P88" s="633">
        <f t="shared" si="467"/>
        <v>-0.54620164734416843</v>
      </c>
      <c r="Q88" s="585">
        <f t="shared" si="520"/>
        <v>203.84398356296245</v>
      </c>
      <c r="R88" s="629">
        <f t="shared" si="79"/>
        <v>5.1269154627770357</v>
      </c>
      <c r="S88" s="634">
        <f t="shared" si="80"/>
        <v>-0.54620164734416843</v>
      </c>
      <c r="T88" s="635">
        <f t="shared" si="81"/>
        <v>-2.072543032721275</v>
      </c>
      <c r="U88" s="629">
        <f t="shared" si="82"/>
        <v>4.6893312465617916</v>
      </c>
      <c r="V88" s="636">
        <f t="shared" si="114"/>
        <v>-0.54620164734416843</v>
      </c>
      <c r="W88" s="585">
        <f t="shared" si="645"/>
        <v>113.84398356296245</v>
      </c>
      <c r="X88" s="629">
        <f t="shared" si="83"/>
        <v>5.1269154627770357</v>
      </c>
      <c r="Y88" s="630">
        <f t="shared" si="644"/>
        <v>-0.54620164734416843</v>
      </c>
      <c r="Z88" s="632">
        <f t="shared" si="468"/>
        <v>-0.21134129634453699</v>
      </c>
      <c r="AA88" s="629">
        <f t="shared" si="469"/>
        <v>0.95760722141008747</v>
      </c>
      <c r="AB88" s="629">
        <f t="shared" si="470"/>
        <v>-0.19576329064117823</v>
      </c>
      <c r="AC88" s="636">
        <f t="shared" si="84"/>
        <v>1</v>
      </c>
      <c r="AD88" s="637">
        <f t="shared" si="115"/>
        <v>-0.21134129634453699</v>
      </c>
      <c r="AE88" s="629">
        <f t="shared" si="85"/>
        <v>0.95760722141008747</v>
      </c>
      <c r="AF88" s="633">
        <f t="shared" si="86"/>
        <v>-0.19576329064117823</v>
      </c>
      <c r="AG88" s="602">
        <f t="shared" si="87"/>
        <v>78.446239065843869</v>
      </c>
      <c r="AH88" s="603">
        <f t="shared" si="88"/>
        <v>102.20096721952389</v>
      </c>
      <c r="AI88" s="585">
        <f t="shared" si="89"/>
        <v>-78.71068365072891</v>
      </c>
      <c r="AJ88" s="586">
        <f t="shared" si="90"/>
        <v>-167.55448094887339</v>
      </c>
      <c r="AK88" s="635">
        <f t="shared" si="211"/>
        <v>0.96130927695989377</v>
      </c>
      <c r="AL88" s="629">
        <f t="shared" si="91"/>
        <v>-0.19380714142720315</v>
      </c>
      <c r="AM88" s="634">
        <f t="shared" si="92"/>
        <v>-0.19576329064117823</v>
      </c>
      <c r="AN88" s="581">
        <f t="shared" si="93"/>
        <v>-44.712303237410659</v>
      </c>
      <c r="AO88" s="582">
        <f t="shared" si="461"/>
        <v>15.990106519452246</v>
      </c>
      <c r="AP88" s="585">
        <f t="shared" si="95"/>
        <v>-11.398464511835835</v>
      </c>
      <c r="AQ88" s="586">
        <f t="shared" si="471"/>
        <v>0.44464959123315312</v>
      </c>
      <c r="AS88" s="52">
        <f t="shared" si="543"/>
        <v>-246.15601643703755</v>
      </c>
      <c r="AT88" s="72">
        <f t="shared" si="472"/>
        <v>-0.37525996926289235</v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>
        <f t="shared" si="643"/>
        <v>5.12</v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>
        <f t="shared" si="542"/>
        <v>1613</v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>
        <v>-5.2613379850105755</v>
      </c>
      <c r="C89" s="708">
        <v>-2.2483831159729415</v>
      </c>
      <c r="D89" s="709">
        <v>-1.0574031891280187</v>
      </c>
      <c r="E89" s="710">
        <v>0.11691641976678985</v>
      </c>
      <c r="F89" s="708">
        <v>-0.97613049320768275</v>
      </c>
      <c r="G89" s="711">
        <v>0.18302953591986681</v>
      </c>
      <c r="H89" s="710">
        <v>0.314</v>
      </c>
      <c r="I89" s="708">
        <v>0.52</v>
      </c>
      <c r="J89" s="570">
        <v>5.1230000000000002</v>
      </c>
      <c r="K89" s="865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>1613</v>
      </c>
      <c r="L89" s="320"/>
      <c r="M89" s="168">
        <f t="shared" si="464"/>
        <v>5.1230000000000002</v>
      </c>
      <c r="N89" s="632">
        <f t="shared" si="465"/>
        <v>-5.2613379850105755</v>
      </c>
      <c r="O89" s="629">
        <f t="shared" si="466"/>
        <v>-2.2483831159729415</v>
      </c>
      <c r="P89" s="633">
        <f t="shared" si="467"/>
        <v>-1.0574031891280187</v>
      </c>
      <c r="Q89" s="585">
        <f t="shared" si="520"/>
        <v>203.13898366475183</v>
      </c>
      <c r="R89" s="629">
        <f t="shared" si="79"/>
        <v>5.7216172563976473</v>
      </c>
      <c r="S89" s="634">
        <f t="shared" si="80"/>
        <v>-1.0574031891280187</v>
      </c>
      <c r="T89" s="635">
        <f t="shared" si="81"/>
        <v>-2.2483831159729419</v>
      </c>
      <c r="U89" s="629">
        <f t="shared" si="82"/>
        <v>5.2613379850105764</v>
      </c>
      <c r="V89" s="636">
        <f t="shared" si="114"/>
        <v>-1.0574031891280187</v>
      </c>
      <c r="W89" s="585">
        <f t="shared" si="645"/>
        <v>113.13898366475183</v>
      </c>
      <c r="X89" s="629">
        <f t="shared" si="83"/>
        <v>5.7216172563976473</v>
      </c>
      <c r="Y89" s="630">
        <f t="shared" si="644"/>
        <v>-1.0574031891280187</v>
      </c>
      <c r="Z89" s="632">
        <f t="shared" si="468"/>
        <v>-0.11691641976678985</v>
      </c>
      <c r="AA89" s="629">
        <f t="shared" si="469"/>
        <v>0.97613049320768275</v>
      </c>
      <c r="AB89" s="629">
        <f t="shared" si="470"/>
        <v>-0.18302953591986681</v>
      </c>
      <c r="AC89" s="636">
        <f t="shared" si="84"/>
        <v>1</v>
      </c>
      <c r="AD89" s="637">
        <f t="shared" si="115"/>
        <v>-0.11691641976678985</v>
      </c>
      <c r="AE89" s="629">
        <f t="shared" si="85"/>
        <v>0.97613049320768275</v>
      </c>
      <c r="AF89" s="633">
        <f t="shared" si="86"/>
        <v>-0.18302953591986681</v>
      </c>
      <c r="AG89" s="602">
        <f t="shared" si="87"/>
        <v>79.380057326309952</v>
      </c>
      <c r="AH89" s="603">
        <f t="shared" si="88"/>
        <v>96.71417358097554</v>
      </c>
      <c r="AI89" s="585">
        <f t="shared" si="89"/>
        <v>-79.453728320149011</v>
      </c>
      <c r="AJ89" s="586">
        <f t="shared" si="90"/>
        <v>-173.16991290803995</v>
      </c>
      <c r="AK89" s="635">
        <f t="shared" si="211"/>
        <v>0.94354884370985359</v>
      </c>
      <c r="AL89" s="629">
        <f t="shared" si="91"/>
        <v>-0.27607203501035132</v>
      </c>
      <c r="AM89" s="634">
        <f t="shared" si="92"/>
        <v>-0.18302953591986681</v>
      </c>
      <c r="AN89" s="581">
        <f t="shared" si="93"/>
        <v>-56.456519050924591</v>
      </c>
      <c r="AO89" s="582">
        <f t="shared" si="461"/>
        <v>19.343656257313942</v>
      </c>
      <c r="AP89" s="585">
        <f t="shared" si="95"/>
        <v>-16.308896572791767</v>
      </c>
      <c r="AQ89" s="586">
        <f t="shared" si="471"/>
        <v>0.39843453030391957</v>
      </c>
      <c r="AS89" s="52">
        <f t="shared" si="543"/>
        <v>-246.86101633524817</v>
      </c>
      <c r="AT89" s="72">
        <f t="shared" si="472"/>
        <v>-0.88597192778409628</v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>
        <f t="shared" si="643"/>
        <v>5.1230000000000002</v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>
        <f t="shared" si="542"/>
        <v>1613</v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>
        <v>-5.6919587593907748</v>
      </c>
      <c r="C90" s="708">
        <v>-2.364437962913013</v>
      </c>
      <c r="D90" s="709">
        <v>-1.7053051432003119</v>
      </c>
      <c r="E90" s="710">
        <v>3.6816878658778311E-3</v>
      </c>
      <c r="F90" s="708">
        <v>-0.98469271982582696</v>
      </c>
      <c r="G90" s="711">
        <v>0.1742604163213026</v>
      </c>
      <c r="H90" s="710">
        <v>0.314</v>
      </c>
      <c r="I90" s="708">
        <v>0.52</v>
      </c>
      <c r="J90" s="570">
        <v>5.1260000000000003</v>
      </c>
      <c r="K90" s="865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>1613</v>
      </c>
      <c r="L90" s="320"/>
      <c r="M90" s="168">
        <f t="shared" si="464"/>
        <v>5.1260000000000003</v>
      </c>
      <c r="N90" s="632">
        <f t="shared" si="465"/>
        <v>-5.6919587593907748</v>
      </c>
      <c r="O90" s="629">
        <f t="shared" si="466"/>
        <v>-2.364437962913013</v>
      </c>
      <c r="P90" s="633">
        <f t="shared" si="467"/>
        <v>-1.7053051432003119</v>
      </c>
      <c r="Q90" s="585">
        <f t="shared" si="520"/>
        <v>202.55798374863787</v>
      </c>
      <c r="R90" s="629">
        <f t="shared" si="79"/>
        <v>6.1635185891720647</v>
      </c>
      <c r="S90" s="634">
        <f t="shared" si="80"/>
        <v>-1.7053051432003119</v>
      </c>
      <c r="T90" s="635">
        <f t="shared" si="81"/>
        <v>-2.3644379629130139</v>
      </c>
      <c r="U90" s="629">
        <f t="shared" si="82"/>
        <v>5.691958759390773</v>
      </c>
      <c r="V90" s="636">
        <f t="shared" si="114"/>
        <v>-1.7053051432003119</v>
      </c>
      <c r="W90" s="585">
        <f t="shared" si="645"/>
        <v>112.55798374863787</v>
      </c>
      <c r="X90" s="629">
        <f t="shared" si="83"/>
        <v>6.1635185891720647</v>
      </c>
      <c r="Y90" s="630">
        <f t="shared" si="644"/>
        <v>-1.7053051432003119</v>
      </c>
      <c r="Z90" s="632">
        <f t="shared" si="468"/>
        <v>-3.6816878658778311E-3</v>
      </c>
      <c r="AA90" s="629">
        <f t="shared" si="469"/>
        <v>0.98469271982582696</v>
      </c>
      <c r="AB90" s="629">
        <f t="shared" si="470"/>
        <v>-0.1742604163213026</v>
      </c>
      <c r="AC90" s="636">
        <f t="shared" si="84"/>
        <v>1</v>
      </c>
      <c r="AD90" s="637">
        <f t="shared" si="115"/>
        <v>-3.6816878658778311E-3</v>
      </c>
      <c r="AE90" s="629">
        <f t="shared" si="85"/>
        <v>0.98469271982582696</v>
      </c>
      <c r="AF90" s="633">
        <f t="shared" si="86"/>
        <v>-0.1742604163213026</v>
      </c>
      <c r="AG90" s="602">
        <f t="shared" si="87"/>
        <v>79.964309488421279</v>
      </c>
      <c r="AH90" s="603">
        <f t="shared" si="88"/>
        <v>90.210945652756422</v>
      </c>
      <c r="AI90" s="585">
        <f t="shared" si="89"/>
        <v>-79.964378208874479</v>
      </c>
      <c r="AJ90" s="586">
        <f t="shared" si="90"/>
        <v>-179.78577662961331</v>
      </c>
      <c r="AK90" s="635">
        <f t="shared" si="211"/>
        <v>0.91076799611513382</v>
      </c>
      <c r="AL90" s="629">
        <f t="shared" si="91"/>
        <v>-0.37434604920574466</v>
      </c>
      <c r="AM90" s="634">
        <f t="shared" si="92"/>
        <v>-0.1742604163213026</v>
      </c>
      <c r="AN90" s="581">
        <f t="shared" si="93"/>
        <v>-65.037728928384553</v>
      </c>
      <c r="AO90" s="582">
        <f t="shared" si="461"/>
        <v>24.388300427769838</v>
      </c>
      <c r="AP90" s="585">
        <f t="shared" si="95"/>
        <v>-22.34376037825119</v>
      </c>
      <c r="AQ90" s="586">
        <f t="shared" si="471"/>
        <v>0.36986908232522753</v>
      </c>
      <c r="AS90" s="52">
        <f t="shared" si="543"/>
        <v>-247.44201625136213</v>
      </c>
      <c r="AT90" s="72">
        <f t="shared" si="472"/>
        <v>-1.5334704096924214</v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>
        <f t="shared" si="643"/>
        <v>5.1260000000000003</v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>
        <f t="shared" si="542"/>
        <v>1613</v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>
        <v>-5.9463722162439776</v>
      </c>
      <c r="C91" s="708">
        <v>-2.4265465234050074</v>
      </c>
      <c r="D91" s="709">
        <v>-2.4456073759518464</v>
      </c>
      <c r="E91" s="710">
        <v>-9.002115681341831E-2</v>
      </c>
      <c r="F91" s="708">
        <v>-0.98725101364047063</v>
      </c>
      <c r="G91" s="711">
        <v>0.13126929340800639</v>
      </c>
      <c r="H91" s="710">
        <v>0.314</v>
      </c>
      <c r="I91" s="708">
        <v>0.52</v>
      </c>
      <c r="J91" s="570">
        <v>5.1289999999999996</v>
      </c>
      <c r="K91" s="865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>1613</v>
      </c>
      <c r="L91" s="320"/>
      <c r="M91" s="168">
        <f t="shared" si="464"/>
        <v>5.1289999999999996</v>
      </c>
      <c r="N91" s="632">
        <f t="shared" si="465"/>
        <v>-5.9463722162439776</v>
      </c>
      <c r="O91" s="629">
        <f t="shared" si="466"/>
        <v>-2.4265465234050074</v>
      </c>
      <c r="P91" s="633">
        <f t="shared" si="467"/>
        <v>-2.4456073759518464</v>
      </c>
      <c r="Q91" s="585">
        <f t="shared" si="520"/>
        <v>202.19898380047104</v>
      </c>
      <c r="R91" s="629">
        <f t="shared" si="79"/>
        <v>6.4224193700168195</v>
      </c>
      <c r="S91" s="634">
        <f t="shared" si="80"/>
        <v>-2.4456073759518464</v>
      </c>
      <c r="T91" s="635">
        <f t="shared" si="81"/>
        <v>-2.4265465234050092</v>
      </c>
      <c r="U91" s="629">
        <f t="shared" si="82"/>
        <v>5.9463722162439767</v>
      </c>
      <c r="V91" s="636">
        <f t="shared" si="114"/>
        <v>-2.4456073759518464</v>
      </c>
      <c r="W91" s="585">
        <f t="shared" si="645"/>
        <v>112.19898380047104</v>
      </c>
      <c r="X91" s="629">
        <f t="shared" si="83"/>
        <v>6.4224193700168195</v>
      </c>
      <c r="Y91" s="630">
        <f t="shared" si="644"/>
        <v>-2.4456073759518464</v>
      </c>
      <c r="Z91" s="632">
        <f t="shared" si="468"/>
        <v>9.002115681341831E-2</v>
      </c>
      <c r="AA91" s="629">
        <f t="shared" si="469"/>
        <v>0.98725101364047063</v>
      </c>
      <c r="AB91" s="629">
        <f t="shared" si="470"/>
        <v>-0.13126929340800639</v>
      </c>
      <c r="AC91" s="636">
        <f t="shared" si="84"/>
        <v>1</v>
      </c>
      <c r="AD91" s="637">
        <f t="shared" si="115"/>
        <v>9.002115681341831E-2</v>
      </c>
      <c r="AE91" s="629">
        <f t="shared" si="85"/>
        <v>0.98725101364047063</v>
      </c>
      <c r="AF91" s="633">
        <f t="shared" si="86"/>
        <v>-0.13126929340800639</v>
      </c>
      <c r="AG91" s="602">
        <f t="shared" si="87"/>
        <v>82.426123607822802</v>
      </c>
      <c r="AH91" s="603">
        <f t="shared" si="88"/>
        <v>84.835175772446874</v>
      </c>
      <c r="AI91" s="585">
        <f t="shared" si="89"/>
        <v>-82.457053923720764</v>
      </c>
      <c r="AJ91" s="586">
        <f t="shared" si="90"/>
        <v>174.78996900405789</v>
      </c>
      <c r="AK91" s="635">
        <f t="shared" si="211"/>
        <v>0.88006110271448978</v>
      </c>
      <c r="AL91" s="629">
        <f t="shared" si="91"/>
        <v>-0.45635603216909398</v>
      </c>
      <c r="AM91" s="634">
        <f t="shared" si="92"/>
        <v>-0.13126929340800639</v>
      </c>
      <c r="AN91" s="581">
        <f t="shared" si="93"/>
        <v>-73.952294952969226</v>
      </c>
      <c r="AO91" s="582">
        <f t="shared" si="461"/>
        <v>28.350264915327855</v>
      </c>
      <c r="AP91" s="585">
        <f t="shared" si="95"/>
        <v>-27.409014796413146</v>
      </c>
      <c r="AQ91" s="586">
        <f t="shared" si="471"/>
        <v>0.35495929723248371</v>
      </c>
      <c r="AS91" s="52">
        <f t="shared" si="543"/>
        <v>-247.80101619952896</v>
      </c>
      <c r="AT91" s="72">
        <f t="shared" si="472"/>
        <v>-2.2735233369243959</v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>
        <f t="shared" si="643"/>
        <v>5.1289999999999996</v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>
        <f t="shared" si="542"/>
        <v>1613</v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>
        <v>-6.0085442510918741</v>
      </c>
      <c r="C92" s="708">
        <v>-2.4409143475818147</v>
      </c>
      <c r="D92" s="709">
        <v>-3.2280097356773632</v>
      </c>
      <c r="E92" s="710">
        <v>-0.15493655533668327</v>
      </c>
      <c r="F92" s="708">
        <v>-0.9858134669768942</v>
      </c>
      <c r="G92" s="711">
        <v>6.4548215679434764E-2</v>
      </c>
      <c r="H92" s="710">
        <v>0.314</v>
      </c>
      <c r="I92" s="708">
        <v>0.52</v>
      </c>
      <c r="J92" s="570">
        <v>5.1319999999999997</v>
      </c>
      <c r="K92" s="865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>1613</v>
      </c>
      <c r="L92" s="320"/>
      <c r="M92" s="168">
        <f t="shared" si="464"/>
        <v>5.1319999999999997</v>
      </c>
      <c r="N92" s="632">
        <f t="shared" si="465"/>
        <v>-6.0085442510918741</v>
      </c>
      <c r="O92" s="629">
        <f t="shared" si="466"/>
        <v>-2.4409143475818147</v>
      </c>
      <c r="P92" s="633">
        <f t="shared" si="467"/>
        <v>-3.2280097356773632</v>
      </c>
      <c r="Q92" s="585">
        <f t="shared" si="520"/>
        <v>202.10898381346544</v>
      </c>
      <c r="R92" s="629">
        <f t="shared" si="79"/>
        <v>6.4854195600253934</v>
      </c>
      <c r="S92" s="634">
        <f t="shared" si="80"/>
        <v>-3.2280097356773632</v>
      </c>
      <c r="T92" s="635">
        <f t="shared" si="81"/>
        <v>-2.4409143475818169</v>
      </c>
      <c r="U92" s="629">
        <f t="shared" si="82"/>
        <v>6.0085442510918732</v>
      </c>
      <c r="V92" s="636">
        <f t="shared" si="114"/>
        <v>-3.2280097356773632</v>
      </c>
      <c r="W92" s="585">
        <f t="shared" si="645"/>
        <v>112.10898381346544</v>
      </c>
      <c r="X92" s="629">
        <f t="shared" si="83"/>
        <v>6.4854195600253934</v>
      </c>
      <c r="Y92" s="630">
        <f t="shared" si="644"/>
        <v>-3.2280097356773632</v>
      </c>
      <c r="Z92" s="632">
        <f t="shared" si="468"/>
        <v>0.15493655533668327</v>
      </c>
      <c r="AA92" s="629">
        <f t="shared" si="469"/>
        <v>0.9858134669768942</v>
      </c>
      <c r="AB92" s="629">
        <f t="shared" si="470"/>
        <v>-6.4548215679434764E-2</v>
      </c>
      <c r="AC92" s="636">
        <f t="shared" si="84"/>
        <v>1</v>
      </c>
      <c r="AD92" s="637">
        <f t="shared" si="115"/>
        <v>0.15493655533668327</v>
      </c>
      <c r="AE92" s="629">
        <f t="shared" si="85"/>
        <v>0.9858134669768942</v>
      </c>
      <c r="AF92" s="633">
        <f t="shared" si="86"/>
        <v>-6.4548215679434764E-2</v>
      </c>
      <c r="AG92" s="602">
        <f t="shared" si="87"/>
        <v>86.253785556286317</v>
      </c>
      <c r="AH92" s="603">
        <f t="shared" si="88"/>
        <v>81.086883309602896</v>
      </c>
      <c r="AI92" s="585">
        <f t="shared" si="89"/>
        <v>-86.299086667396367</v>
      </c>
      <c r="AJ92" s="586">
        <f t="shared" si="90"/>
        <v>171.06810475466304</v>
      </c>
      <c r="AK92" s="635">
        <f t="shared" si="211"/>
        <v>0.85501283724888877</v>
      </c>
      <c r="AL92" s="629">
        <f t="shared" si="91"/>
        <v>-0.5145741695734507</v>
      </c>
      <c r="AM92" s="634">
        <f t="shared" si="92"/>
        <v>-6.4548215679434764E-2</v>
      </c>
      <c r="AN92" s="581">
        <f t="shared" si="93"/>
        <v>-82.850159210940518</v>
      </c>
      <c r="AO92" s="582">
        <f t="shared" si="461"/>
        <v>31.238846983473977</v>
      </c>
      <c r="AP92" s="585">
        <f t="shared" si="95"/>
        <v>-31.04087905880241</v>
      </c>
      <c r="AQ92" s="586">
        <f t="shared" si="471"/>
        <v>0.35151126444330233</v>
      </c>
      <c r="AS92" s="52">
        <f t="shared" si="543"/>
        <v>-247.89101618653456</v>
      </c>
      <c r="AT92" s="73">
        <f t="shared" si="472"/>
        <v>-3.0558631966589362</v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>
        <f t="shared" si="643"/>
        <v>5.1319999999999997</v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>
        <f t="shared" si="542"/>
        <v>1613</v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>
        <v>-6.0849841543261558</v>
      </c>
      <c r="C93" s="708">
        <v>-2.4583676460385249</v>
      </c>
      <c r="D93" s="709">
        <v>-3.9749119883345569</v>
      </c>
      <c r="E93" s="710">
        <v>-0.22496824933464363</v>
      </c>
      <c r="F93" s="708">
        <v>-0.97436609484899916</v>
      </c>
      <c r="G93" s="711">
        <v>1.3008419223739197E-7</v>
      </c>
      <c r="H93" s="710">
        <v>0.26600000000000001</v>
      </c>
      <c r="I93" s="708">
        <v>0.52</v>
      </c>
      <c r="J93" s="570">
        <v>5.1349999999999998</v>
      </c>
      <c r="K93" s="865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>1313</v>
      </c>
      <c r="L93" s="320"/>
      <c r="M93" s="168">
        <f t="shared" si="464"/>
        <v>5.1349999999999998</v>
      </c>
      <c r="N93" s="632">
        <f t="shared" si="465"/>
        <v>-6.0849841543261558</v>
      </c>
      <c r="O93" s="629">
        <f t="shared" si="466"/>
        <v>-2.4583676460385249</v>
      </c>
      <c r="P93" s="633">
        <f t="shared" si="467"/>
        <v>-3.9749119883345569</v>
      </c>
      <c r="Q93" s="585">
        <f t="shared" si="520"/>
        <v>201.99898382934745</v>
      </c>
      <c r="R93" s="629">
        <f t="shared" si="79"/>
        <v>6.5628197934644978</v>
      </c>
      <c r="S93" s="634">
        <f t="shared" si="80"/>
        <v>-3.9749119883345569</v>
      </c>
      <c r="T93" s="635">
        <f t="shared" si="81"/>
        <v>-2.4583676460385249</v>
      </c>
      <c r="U93" s="629">
        <f t="shared" si="82"/>
        <v>6.0849841543261558</v>
      </c>
      <c r="V93" s="636">
        <f t="shared" si="114"/>
        <v>-3.9749119883345569</v>
      </c>
      <c r="W93" s="585">
        <f t="shared" si="645"/>
        <v>111.99898382934745</v>
      </c>
      <c r="X93" s="629">
        <f t="shared" si="83"/>
        <v>6.5628197934644978</v>
      </c>
      <c r="Y93" s="630">
        <f t="shared" si="644"/>
        <v>-3.9749119883345569</v>
      </c>
      <c r="Z93" s="632">
        <f t="shared" si="468"/>
        <v>0.22496824933464363</v>
      </c>
      <c r="AA93" s="629">
        <f t="shared" si="469"/>
        <v>0.97436609484899916</v>
      </c>
      <c r="AB93" s="629">
        <f t="shared" si="470"/>
        <v>-1.3008419223739197E-7</v>
      </c>
      <c r="AC93" s="636">
        <f t="shared" si="84"/>
        <v>1</v>
      </c>
      <c r="AD93" s="637">
        <f t="shared" si="115"/>
        <v>0.22496824933464363</v>
      </c>
      <c r="AE93" s="629">
        <f t="shared" si="85"/>
        <v>0.97436609484899916</v>
      </c>
      <c r="AF93" s="633">
        <f t="shared" si="86"/>
        <v>-1.3008419223739197E-7</v>
      </c>
      <c r="AG93" s="602">
        <f t="shared" si="87"/>
        <v>89.99999235064189</v>
      </c>
      <c r="AH93" s="603">
        <f t="shared" si="88"/>
        <v>76.998988882722273</v>
      </c>
      <c r="AI93" s="585">
        <f t="shared" si="89"/>
        <v>-89.999992546724798</v>
      </c>
      <c r="AJ93" s="586">
        <f t="shared" si="90"/>
        <v>166.99898888272219</v>
      </c>
      <c r="AK93" s="635">
        <f t="shared" si="211"/>
        <v>0.81915209487729201</v>
      </c>
      <c r="AL93" s="629">
        <f t="shared" si="91"/>
        <v>-0.57357636410344459</v>
      </c>
      <c r="AM93" s="634">
        <f t="shared" si="92"/>
        <v>-1.3008419223739197E-7</v>
      </c>
      <c r="AN93" s="581">
        <f t="shared" si="93"/>
        <v>-89.999987005609611</v>
      </c>
      <c r="AO93" s="582">
        <f t="shared" si="461"/>
        <v>34.999994946625954</v>
      </c>
      <c r="AP93" s="585">
        <f t="shared" si="95"/>
        <v>-34.999994946625264</v>
      </c>
      <c r="AQ93" s="586">
        <f t="shared" si="471"/>
        <v>0.34736573186354336</v>
      </c>
      <c r="AS93" s="52">
        <f t="shared" si="543"/>
        <v>-248.00101617065255</v>
      </c>
      <c r="AT93" s="73">
        <f t="shared" si="472"/>
        <v>-3.8026890604382704</v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>
        <f t="shared" si="643"/>
        <v>5.1349999999999998</v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>
        <f t="shared" si="542"/>
        <v>1313</v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>
        <v>-6.0849841543261558</v>
      </c>
      <c r="C94" s="708">
        <v>-2.4583676460385249</v>
      </c>
      <c r="D94" s="709">
        <v>-4.7708143887761976</v>
      </c>
      <c r="E94" s="710">
        <v>-0.22496824933464363</v>
      </c>
      <c r="F94" s="708">
        <v>-0.97436609484899916</v>
      </c>
      <c r="G94" s="711">
        <v>1.3008419223739474E-7</v>
      </c>
      <c r="H94" s="710">
        <v>0.26600000000000001</v>
      </c>
      <c r="I94" s="708">
        <v>0.52</v>
      </c>
      <c r="J94" s="570">
        <v>5.1379999999999999</v>
      </c>
      <c r="K94" s="865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>1313</v>
      </c>
      <c r="L94" s="320"/>
      <c r="M94" s="168">
        <f t="shared" si="464"/>
        <v>5.1379999999999999</v>
      </c>
      <c r="N94" s="632">
        <f t="shared" si="465"/>
        <v>-6.0849841543261558</v>
      </c>
      <c r="O94" s="629">
        <f t="shared" si="466"/>
        <v>-2.4583676460385249</v>
      </c>
      <c r="P94" s="633">
        <f t="shared" si="467"/>
        <v>-4.7708143887761976</v>
      </c>
      <c r="Q94" s="585">
        <f t="shared" si="520"/>
        <v>201.99898382934745</v>
      </c>
      <c r="R94" s="629">
        <f t="shared" si="79"/>
        <v>6.5628197934644978</v>
      </c>
      <c r="S94" s="634">
        <f t="shared" si="80"/>
        <v>-4.7708143887761976</v>
      </c>
      <c r="T94" s="635">
        <f t="shared" si="81"/>
        <v>-2.4583676460385249</v>
      </c>
      <c r="U94" s="629">
        <f t="shared" si="82"/>
        <v>6.0849841543261558</v>
      </c>
      <c r="V94" s="636">
        <f t="shared" si="114"/>
        <v>-4.7708143887761976</v>
      </c>
      <c r="W94" s="585">
        <f t="shared" si="645"/>
        <v>111.99898382934745</v>
      </c>
      <c r="X94" s="629">
        <f t="shared" si="83"/>
        <v>6.5628197934644978</v>
      </c>
      <c r="Y94" s="630">
        <f t="shared" si="644"/>
        <v>-4.7708143887761976</v>
      </c>
      <c r="Z94" s="632">
        <f t="shared" si="468"/>
        <v>0.22496824933464363</v>
      </c>
      <c r="AA94" s="629">
        <f t="shared" si="469"/>
        <v>0.97436609484899916</v>
      </c>
      <c r="AB94" s="629">
        <f t="shared" si="470"/>
        <v>-1.3008419223739474E-7</v>
      </c>
      <c r="AC94" s="636">
        <f t="shared" si="84"/>
        <v>1</v>
      </c>
      <c r="AD94" s="637">
        <f t="shared" si="115"/>
        <v>0.22496824933464363</v>
      </c>
      <c r="AE94" s="629">
        <f t="shared" si="85"/>
        <v>0.97436609484899916</v>
      </c>
      <c r="AF94" s="633">
        <f t="shared" si="86"/>
        <v>-1.3008419223739474E-7</v>
      </c>
      <c r="AG94" s="602">
        <f t="shared" si="87"/>
        <v>89.99999235064189</v>
      </c>
      <c r="AH94" s="603">
        <f t="shared" si="88"/>
        <v>76.998988882722273</v>
      </c>
      <c r="AI94" s="585">
        <f t="shared" si="89"/>
        <v>-89.999992546724798</v>
      </c>
      <c r="AJ94" s="586">
        <f t="shared" si="90"/>
        <v>166.99898888272219</v>
      </c>
      <c r="AK94" s="635">
        <f t="shared" si="211"/>
        <v>0.81915209487729201</v>
      </c>
      <c r="AL94" s="629">
        <f t="shared" si="91"/>
        <v>-0.57357636410344459</v>
      </c>
      <c r="AM94" s="634">
        <f t="shared" si="92"/>
        <v>-1.3008419223739474E-7</v>
      </c>
      <c r="AN94" s="581">
        <f t="shared" si="93"/>
        <v>-89.999987005609611</v>
      </c>
      <c r="AO94" s="582">
        <f t="shared" si="461"/>
        <v>34.999994946625954</v>
      </c>
      <c r="AP94" s="585">
        <f t="shared" si="95"/>
        <v>-34.999994946625264</v>
      </c>
      <c r="AQ94" s="586">
        <f t="shared" si="471"/>
        <v>0.34736573186354336</v>
      </c>
      <c r="AS94" s="52">
        <f t="shared" si="543"/>
        <v>-248.00101617065255</v>
      </c>
      <c r="AT94" s="73">
        <f t="shared" si="472"/>
        <v>-4.598591460879911</v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>
        <f t="shared" si="643"/>
        <v>5.1379999999999999</v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>
        <f t="shared" si="542"/>
        <v>1313</v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>
        <v>-2.0962376649851633</v>
      </c>
      <c r="C95" s="708">
        <v>3.8859516825677856E-2</v>
      </c>
      <c r="D95" s="709">
        <v>-0.35891023382157072</v>
      </c>
      <c r="E95" s="710">
        <v>0.25877454453601995</v>
      </c>
      <c r="F95" s="708">
        <v>-4.7973230483917047E-3</v>
      </c>
      <c r="G95" s="711">
        <v>0.96592583607218252</v>
      </c>
      <c r="H95" s="710">
        <v>0.25700000000000001</v>
      </c>
      <c r="I95" s="708">
        <v>0.41499999999999992</v>
      </c>
      <c r="J95" s="570">
        <v>5.2080000000000002</v>
      </c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>CPS-32193r1</v>
      </c>
      <c r="L95" s="320"/>
      <c r="M95" s="168">
        <f t="shared" si="464"/>
        <v>5.2080000000000002</v>
      </c>
      <c r="N95" s="632">
        <f t="shared" si="465"/>
        <v>-2.0962376649851633</v>
      </c>
      <c r="O95" s="629">
        <f t="shared" si="466"/>
        <v>3.8859516825677856E-2</v>
      </c>
      <c r="P95" s="633">
        <f t="shared" si="467"/>
        <v>-0.35891023382157072</v>
      </c>
      <c r="Q95" s="585">
        <f t="shared" si="520"/>
        <v>178.9379871589434</v>
      </c>
      <c r="R95" s="629">
        <f t="shared" si="79"/>
        <v>2.0965978179303666</v>
      </c>
      <c r="S95" s="634">
        <f t="shared" si="80"/>
        <v>-0.35891023382157072</v>
      </c>
      <c r="T95" s="635">
        <f t="shared" si="81"/>
        <v>3.885951682567821E-2</v>
      </c>
      <c r="U95" s="629">
        <f t="shared" si="82"/>
        <v>2.0962376649851633</v>
      </c>
      <c r="V95" s="636">
        <f t="shared" si="114"/>
        <v>-0.35891023382157072</v>
      </c>
      <c r="W95" s="585">
        <f t="shared" si="645"/>
        <v>88.9379871589434</v>
      </c>
      <c r="X95" s="629">
        <f t="shared" si="83"/>
        <v>2.0965978179303666</v>
      </c>
      <c r="Y95" s="630">
        <f t="shared" si="644"/>
        <v>-0.35891023382157072</v>
      </c>
      <c r="Z95" s="632">
        <f t="shared" si="468"/>
        <v>-0.25877454453601995</v>
      </c>
      <c r="AA95" s="629">
        <f t="shared" si="469"/>
        <v>4.7973230483917047E-3</v>
      </c>
      <c r="AB95" s="629">
        <f t="shared" si="470"/>
        <v>-0.96592583607218252</v>
      </c>
      <c r="AC95" s="636">
        <f t="shared" si="84"/>
        <v>1</v>
      </c>
      <c r="AD95" s="637">
        <f t="shared" si="115"/>
        <v>-0.25877454453601995</v>
      </c>
      <c r="AE95" s="629">
        <f t="shared" si="85"/>
        <v>4.7973230483917047E-3</v>
      </c>
      <c r="AF95" s="633">
        <f t="shared" si="86"/>
        <v>-0.96592583607218252</v>
      </c>
      <c r="AG95" s="602">
        <f t="shared" si="87"/>
        <v>0.28456025648203948</v>
      </c>
      <c r="AH95" s="603">
        <f t="shared" si="88"/>
        <v>104.99736037815663</v>
      </c>
      <c r="AI95" s="585">
        <f t="shared" si="89"/>
        <v>-14.999997834273763</v>
      </c>
      <c r="AJ95" s="586">
        <f t="shared" si="90"/>
        <v>-91.062063047532789</v>
      </c>
      <c r="AK95" s="635">
        <f t="shared" si="211"/>
        <v>2.267948966570496E-7</v>
      </c>
      <c r="AL95" s="629">
        <f t="shared" si="91"/>
        <v>0.25881900859133927</v>
      </c>
      <c r="AM95" s="634">
        <f t="shared" si="92"/>
        <v>-0.96592583607218252</v>
      </c>
      <c r="AN95" s="581">
        <f t="shared" si="93"/>
        <v>14.999997834268267</v>
      </c>
      <c r="AO95" s="582">
        <f t="shared" si="461"/>
        <v>0</v>
      </c>
      <c r="AP95" s="585">
        <f t="shared" si="95"/>
        <v>89.999949793523797</v>
      </c>
      <c r="AQ95" s="586">
        <f t="shared" si="471"/>
        <v>1.0872151951327083</v>
      </c>
      <c r="AS95" s="52">
        <f t="shared" si="543"/>
        <v>-271.06201284105657</v>
      </c>
      <c r="AT95" s="73">
        <f t="shared" si="472"/>
        <v>-0.17067272490417032</v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>Nose</v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>
        <f t="shared" si="643"/>
        <v>5.2080000000000002</v>
      </c>
      <c r="IH95" s="731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5.1079999999999997</v>
      </c>
      <c r="II95" s="734" cm="1">
        <f t="array" ref="II95">IFERROR(ROUND(VALUE(IF($IH95&lt;1,$IH95+LARGE((IF($M$9:$M$150="",0,$M$9:$M$150)-MOD(IF($M$9:$M$150="",0,$M$9:$M$150),1)),1),$IH95)),4),"")</f>
        <v>5.1079999999999997</v>
      </c>
      <c r="IJ95" s="533">
        <f t="shared" si="542"/>
        <v>1613</v>
      </c>
      <c r="IK95" s="533" t="str">
        <f t="shared" si="517"/>
        <v>CPS-32193r1</v>
      </c>
      <c r="IL95" s="727">
        <f t="shared" si="647"/>
        <v>26.061996237113334</v>
      </c>
      <c r="IM95" s="759">
        <v>5.5075918785686601E-2</v>
      </c>
      <c r="IN95" s="5">
        <f t="shared" si="648"/>
        <v>1.1399999999999999</v>
      </c>
      <c r="IO95" s="771">
        <v>570</v>
      </c>
      <c r="IP95" s="9">
        <f t="shared" si="649"/>
        <v>-2.108206358350377</v>
      </c>
      <c r="IQ95" s="5">
        <f t="shared" si="650"/>
        <v>-0.32050096663091537</v>
      </c>
      <c r="IR95" s="5">
        <f t="shared" si="518"/>
        <v>0.314</v>
      </c>
      <c r="IS95" s="5">
        <f t="shared" si="651"/>
        <v>0.30330071252667318</v>
      </c>
      <c r="IT95" s="727">
        <f t="shared" si="652"/>
        <v>-14.99999783426823</v>
      </c>
      <c r="IU95" s="9">
        <f t="shared" si="653"/>
        <v>-2.0965978179303666</v>
      </c>
      <c r="IV95" s="5">
        <f t="shared" si="654"/>
        <v>-0.35891023382157072</v>
      </c>
      <c r="IW95" s="5">
        <f t="shared" si="519"/>
        <v>0.25700000000000001</v>
      </c>
      <c r="IX95" s="5">
        <f t="shared" si="655"/>
        <v>0.25700000000000001</v>
      </c>
      <c r="IY95" s="762">
        <f t="shared" si="656"/>
        <v>-14.999997834268267</v>
      </c>
    </row>
    <row r="96" spans="1:259" ht="15" customHeight="1" x14ac:dyDescent="0.25">
      <c r="A96" s="79"/>
      <c r="B96" s="707">
        <v>-2.8498310335769421</v>
      </c>
      <c r="C96" s="708">
        <v>-0.23519945174063417</v>
      </c>
      <c r="D96" s="709">
        <v>-0.15766957142091975</v>
      </c>
      <c r="E96" s="710">
        <v>0.17305978479960427</v>
      </c>
      <c r="F96" s="708">
        <v>1.4282572369754014E-2</v>
      </c>
      <c r="G96" s="711">
        <v>0.98480775738801807</v>
      </c>
      <c r="H96" s="710">
        <v>0.25700000000000001</v>
      </c>
      <c r="I96" s="708">
        <v>0.41499999999999992</v>
      </c>
      <c r="J96" s="570">
        <v>5.2110000000000003</v>
      </c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>CPS-32193r1</v>
      </c>
      <c r="L96" s="320"/>
      <c r="M96" s="168">
        <f t="shared" si="464"/>
        <v>5.2110000000000003</v>
      </c>
      <c r="N96" s="632">
        <f t="shared" si="465"/>
        <v>-2.8498310335769421</v>
      </c>
      <c r="O96" s="629">
        <f t="shared" si="466"/>
        <v>-0.23519945174063417</v>
      </c>
      <c r="P96" s="633">
        <f t="shared" si="467"/>
        <v>-0.15766957142091975</v>
      </c>
      <c r="Q96" s="585">
        <f t="shared" si="520"/>
        <v>184.7179863244148</v>
      </c>
      <c r="R96" s="629">
        <f t="shared" si="79"/>
        <v>2.8595201873806237</v>
      </c>
      <c r="S96" s="634">
        <f t="shared" si="80"/>
        <v>-0.15766957142091975</v>
      </c>
      <c r="T96" s="635">
        <f t="shared" si="81"/>
        <v>-0.2351994517406345</v>
      </c>
      <c r="U96" s="629">
        <f t="shared" si="82"/>
        <v>2.8498310335769421</v>
      </c>
      <c r="V96" s="636">
        <f t="shared" si="114"/>
        <v>-0.15766957142091975</v>
      </c>
      <c r="W96" s="585">
        <f t="shared" si="645"/>
        <v>94.717986324414795</v>
      </c>
      <c r="X96" s="629">
        <f t="shared" si="83"/>
        <v>2.8595201873806237</v>
      </c>
      <c r="Y96" s="630">
        <f t="shared" si="644"/>
        <v>-0.15766957142091975</v>
      </c>
      <c r="Z96" s="632">
        <f t="shared" si="468"/>
        <v>-0.17305978479960427</v>
      </c>
      <c r="AA96" s="629">
        <f t="shared" si="469"/>
        <v>-1.4282572369754014E-2</v>
      </c>
      <c r="AB96" s="629">
        <f t="shared" si="470"/>
        <v>-0.98480775738801807</v>
      </c>
      <c r="AC96" s="636">
        <f t="shared" si="84"/>
        <v>1</v>
      </c>
      <c r="AD96" s="637">
        <f t="shared" si="115"/>
        <v>-0.17305978479960427</v>
      </c>
      <c r="AE96" s="629">
        <f t="shared" si="85"/>
        <v>-1.4282572369754014E-2</v>
      </c>
      <c r="AF96" s="633">
        <f t="shared" si="86"/>
        <v>-0.98480775738801807</v>
      </c>
      <c r="AG96" s="602">
        <f t="shared" si="87"/>
        <v>-0.83089693813940502</v>
      </c>
      <c r="AH96" s="603">
        <f t="shared" si="88"/>
        <v>99.965769304435568</v>
      </c>
      <c r="AI96" s="585">
        <f t="shared" si="89"/>
        <v>-9.9999985561871902</v>
      </c>
      <c r="AJ96" s="586">
        <f t="shared" si="90"/>
        <v>-85.282088507307776</v>
      </c>
      <c r="AK96" s="635">
        <f t="shared" si="211"/>
        <v>2.2679489671689756E-7</v>
      </c>
      <c r="AL96" s="629">
        <f t="shared" si="91"/>
        <v>0.17364815285032884</v>
      </c>
      <c r="AM96" s="634">
        <f t="shared" si="92"/>
        <v>-0.98480775738801807</v>
      </c>
      <c r="AN96" s="581">
        <f t="shared" si="93"/>
        <v>9.9999985561788431</v>
      </c>
      <c r="AO96" s="582">
        <f t="shared" si="461"/>
        <v>0</v>
      </c>
      <c r="AP96" s="585">
        <f t="shared" si="95"/>
        <v>89.999925168277443</v>
      </c>
      <c r="AQ96" s="586">
        <f t="shared" si="471"/>
        <v>0.79718951838723573</v>
      </c>
      <c r="AS96" s="52">
        <f t="shared" si="543"/>
        <v>-265.28201367558518</v>
      </c>
      <c r="AT96" s="73">
        <f t="shared" si="472"/>
        <v>2.6554049187125506E-2</v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>Nose</v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>
        <f t="shared" si="643"/>
        <v>5.2110000000000003</v>
      </c>
      <c r="IH96" s="731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5.1109999999999998</v>
      </c>
      <c r="II96" s="734" cm="1">
        <f t="array" ref="II96">IFERROR(ROUND(VALUE(IF($IH96&lt;1,$IH96+LARGE((IF($M$9:$M$150="",0,$M$9:$M$150)-MOD(IF($M$9:$M$150="",0,$M$9:$M$150),1)),1),$IH96)),4),"")</f>
        <v>5.1109999999999998</v>
      </c>
      <c r="IJ96" s="533">
        <f t="shared" si="542"/>
        <v>1613</v>
      </c>
      <c r="IK96" s="533" t="str">
        <f t="shared" si="517"/>
        <v>CPS-32193r1</v>
      </c>
      <c r="IL96" s="727">
        <f t="shared" si="647"/>
        <v>20.281997071641939</v>
      </c>
      <c r="IM96" s="759">
        <v>6.0961136101617699E-2</v>
      </c>
      <c r="IN96" s="5">
        <f t="shared" si="648"/>
        <v>1.44</v>
      </c>
      <c r="IO96" s="771">
        <v>720</v>
      </c>
      <c r="IP96" s="9">
        <f t="shared" si="649"/>
        <v>-2.867308647802882</v>
      </c>
      <c r="IQ96" s="5">
        <f t="shared" si="650"/>
        <v>-0.12160036674670612</v>
      </c>
      <c r="IR96" s="5">
        <f t="shared" si="518"/>
        <v>0.314</v>
      </c>
      <c r="IS96" s="5">
        <f t="shared" si="651"/>
        <v>0.30330071252667318</v>
      </c>
      <c r="IT96" s="727">
        <f t="shared" si="652"/>
        <v>-9.999998556178749</v>
      </c>
      <c r="IU96" s="9">
        <f t="shared" si="653"/>
        <v>-2.8595201873806237</v>
      </c>
      <c r="IV96" s="5">
        <f t="shared" si="654"/>
        <v>-0.15766957142091975</v>
      </c>
      <c r="IW96" s="5">
        <f t="shared" si="519"/>
        <v>0.25700000000000001</v>
      </c>
      <c r="IX96" s="5">
        <f t="shared" si="655"/>
        <v>0.25700000000000001</v>
      </c>
      <c r="IY96" s="762">
        <f t="shared" si="656"/>
        <v>-9.9999985561788431</v>
      </c>
    </row>
    <row r="97" spans="1:259" ht="15" customHeight="1" x14ac:dyDescent="0.25">
      <c r="A97" s="79"/>
      <c r="B97" s="707">
        <v>-3.6180334446545031</v>
      </c>
      <c r="C97" s="708">
        <v>-0.49683037834769228</v>
      </c>
      <c r="D97" s="709">
        <v>-9.6356439727202411E-2</v>
      </c>
      <c r="E97" s="710">
        <v>-5.9100160075432832E-2</v>
      </c>
      <c r="F97" s="708">
        <v>-8.115895994826457E-3</v>
      </c>
      <c r="G97" s="711">
        <v>0.99821906579230368</v>
      </c>
      <c r="H97" s="710">
        <v>0.25700000000000001</v>
      </c>
      <c r="I97" s="708">
        <v>0.41499999999999992</v>
      </c>
      <c r="J97" s="570">
        <v>5.2140000000000004</v>
      </c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>CPS-32193r1</v>
      </c>
      <c r="L97" s="320"/>
      <c r="M97" s="168">
        <f t="shared" si="464"/>
        <v>5.2140000000000004</v>
      </c>
      <c r="N97" s="632">
        <f t="shared" si="465"/>
        <v>-3.6180334446545031</v>
      </c>
      <c r="O97" s="629">
        <f t="shared" si="466"/>
        <v>-0.49683037834769228</v>
      </c>
      <c r="P97" s="633">
        <f t="shared" si="467"/>
        <v>-9.6356439727202411E-2</v>
      </c>
      <c r="Q97" s="585">
        <f t="shared" si="520"/>
        <v>187.81898587668587</v>
      </c>
      <c r="R97" s="629">
        <f t="shared" si="79"/>
        <v>3.6519866417455091</v>
      </c>
      <c r="S97" s="634">
        <f t="shared" si="80"/>
        <v>-9.6356439727202411E-2</v>
      </c>
      <c r="T97" s="635">
        <f t="shared" si="81"/>
        <v>-0.49683037834769345</v>
      </c>
      <c r="U97" s="629">
        <f t="shared" si="82"/>
        <v>3.6180334446545031</v>
      </c>
      <c r="V97" s="636">
        <f t="shared" si="114"/>
        <v>-9.6356439727202411E-2</v>
      </c>
      <c r="W97" s="585">
        <f t="shared" si="645"/>
        <v>97.818985876685872</v>
      </c>
      <c r="X97" s="629">
        <f t="shared" si="83"/>
        <v>3.6519866417455091</v>
      </c>
      <c r="Y97" s="630">
        <f t="shared" si="644"/>
        <v>-9.6356439727202411E-2</v>
      </c>
      <c r="Z97" s="632">
        <f t="shared" si="468"/>
        <v>5.9100160075432832E-2</v>
      </c>
      <c r="AA97" s="629">
        <f t="shared" si="469"/>
        <v>8.115895994826457E-3</v>
      </c>
      <c r="AB97" s="629">
        <f t="shared" si="470"/>
        <v>-0.99821906579230368</v>
      </c>
      <c r="AC97" s="636">
        <f t="shared" si="84"/>
        <v>1</v>
      </c>
      <c r="AD97" s="637">
        <f t="shared" si="115"/>
        <v>5.9100160075432832E-2</v>
      </c>
      <c r="AE97" s="629">
        <f t="shared" si="85"/>
        <v>8.115895994826457E-3</v>
      </c>
      <c r="AF97" s="633">
        <f t="shared" si="86"/>
        <v>-0.99821906579230368</v>
      </c>
      <c r="AG97" s="602">
        <f t="shared" si="87"/>
        <v>0.46582594712967479</v>
      </c>
      <c r="AH97" s="603">
        <f t="shared" si="88"/>
        <v>86.611835924103531</v>
      </c>
      <c r="AI97" s="585">
        <f t="shared" si="89"/>
        <v>-3.4199995062377564</v>
      </c>
      <c r="AJ97" s="586">
        <f t="shared" si="90"/>
        <v>97.819203703040316</v>
      </c>
      <c r="AK97" s="635">
        <f t="shared" si="211"/>
        <v>2.2679489668567254E-7</v>
      </c>
      <c r="AL97" s="629">
        <f t="shared" si="91"/>
        <v>-5.9654812787311551E-2</v>
      </c>
      <c r="AM97" s="634">
        <f t="shared" si="92"/>
        <v>-0.99821906579230368</v>
      </c>
      <c r="AN97" s="581">
        <f t="shared" si="93"/>
        <v>-3.4199995062131645</v>
      </c>
      <c r="AO97" s="582">
        <f t="shared" si="461"/>
        <v>0</v>
      </c>
      <c r="AP97" s="585">
        <f t="shared" si="95"/>
        <v>-89.999782173645556</v>
      </c>
      <c r="AQ97" s="586">
        <f t="shared" si="471"/>
        <v>0.62421817451576223</v>
      </c>
      <c r="AS97" s="52">
        <f t="shared" si="543"/>
        <v>-262.18101412331413</v>
      </c>
      <c r="AT97" s="73">
        <f t="shared" si="472"/>
        <v>8.5713708969543514E-2</v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>Nose</v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>
        <f t="shared" si="643"/>
        <v>5.2140000000000004</v>
      </c>
      <c r="IH97" s="731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5.1139999999999999</v>
      </c>
      <c r="II97" s="734" cm="1">
        <f t="array" ref="II97">IFERROR(ROUND(VALUE(IF($IH97&lt;1,$IH97+LARGE((IF($M$9:$M$150="",0,$M$9:$M$150)-MOD(IF($M$9:$M$150="",0,$M$9:$M$150),1)),1),$IH97)),4),"")</f>
        <v>5.1139999999999999</v>
      </c>
      <c r="IJ97" s="533">
        <f t="shared" si="542"/>
        <v>1613</v>
      </c>
      <c r="IK97" s="533" t="str">
        <f t="shared" si="517"/>
        <v>CPS-32193r1</v>
      </c>
      <c r="IL97" s="727">
        <f t="shared" si="647"/>
        <v>17.140997525146133</v>
      </c>
      <c r="IM97" s="759">
        <v>6.6633378957874301E-2</v>
      </c>
      <c r="IN97" s="5">
        <f t="shared" si="648"/>
        <v>1.68</v>
      </c>
      <c r="IO97" s="771">
        <v>840</v>
      </c>
      <c r="IP97" s="9">
        <f t="shared" si="649"/>
        <v>-3.6493110063219958</v>
      </c>
      <c r="IQ97" s="5">
        <f t="shared" si="650"/>
        <v>-6.170018608776124E-2</v>
      </c>
      <c r="IR97" s="5">
        <f t="shared" si="518"/>
        <v>0.314</v>
      </c>
      <c r="IS97" s="5">
        <f t="shared" si="651"/>
        <v>0.30325293446265633</v>
      </c>
      <c r="IT97" s="727">
        <f t="shared" si="652"/>
        <v>7.3436534858583284</v>
      </c>
      <c r="IU97" s="9">
        <f t="shared" si="653"/>
        <v>-3.6519866417455091</v>
      </c>
      <c r="IV97" s="5">
        <f t="shared" si="654"/>
        <v>-9.6356439727202411E-2</v>
      </c>
      <c r="IW97" s="5">
        <f t="shared" si="519"/>
        <v>0.25700000000000001</v>
      </c>
      <c r="IX97" s="5">
        <f t="shared" si="655"/>
        <v>0.25700000000000001</v>
      </c>
      <c r="IY97" s="762">
        <f t="shared" si="656"/>
        <v>3.4199995062131645</v>
      </c>
    </row>
    <row r="98" spans="1:259" ht="15" customHeight="1" x14ac:dyDescent="0.25">
      <c r="A98" s="79"/>
      <c r="B98" s="707">
        <v>-4.3536121889513293</v>
      </c>
      <c r="C98" s="708">
        <v>-0.83317259534246435</v>
      </c>
      <c r="D98" s="709">
        <v>-0.20834620640408802</v>
      </c>
      <c r="E98" s="710">
        <v>3.7872085703724356E-2</v>
      </c>
      <c r="F98" s="708">
        <v>-0.94766004315857522</v>
      </c>
      <c r="G98" s="711">
        <v>0.31702704573133389</v>
      </c>
      <c r="H98" s="710">
        <v>0.26600000000000001</v>
      </c>
      <c r="I98" s="708">
        <v>0.52</v>
      </c>
      <c r="J98" s="570">
        <v>5.2169999999999996</v>
      </c>
      <c r="K98" s="865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>1313</v>
      </c>
      <c r="L98" s="320"/>
      <c r="M98" s="168">
        <f t="shared" si="464"/>
        <v>5.2169999999999996</v>
      </c>
      <c r="N98" s="632">
        <f t="shared" si="465"/>
        <v>-4.3536121889513293</v>
      </c>
      <c r="O98" s="629">
        <f t="shared" si="466"/>
        <v>-0.83317259534246435</v>
      </c>
      <c r="P98" s="633">
        <f t="shared" si="467"/>
        <v>-0.20834620640408802</v>
      </c>
      <c r="Q98" s="585">
        <f t="shared" si="520"/>
        <v>190.83398544137376</v>
      </c>
      <c r="R98" s="629">
        <f t="shared" si="79"/>
        <v>4.4326195037940357</v>
      </c>
      <c r="S98" s="634">
        <f t="shared" si="80"/>
        <v>-0.20834620640408802</v>
      </c>
      <c r="T98" s="635">
        <f t="shared" si="81"/>
        <v>-0.83317259534246357</v>
      </c>
      <c r="U98" s="629">
        <f t="shared" si="82"/>
        <v>4.3536121889513293</v>
      </c>
      <c r="V98" s="636">
        <f t="shared" si="114"/>
        <v>-0.20834620640408802</v>
      </c>
      <c r="W98" s="585">
        <f t="shared" si="645"/>
        <v>100.83398544137376</v>
      </c>
      <c r="X98" s="629">
        <f t="shared" si="83"/>
        <v>4.4326195037940357</v>
      </c>
      <c r="Y98" s="630">
        <f t="shared" si="644"/>
        <v>-0.20834620640408802</v>
      </c>
      <c r="Z98" s="632">
        <f t="shared" si="468"/>
        <v>-3.7872085703724356E-2</v>
      </c>
      <c r="AA98" s="629">
        <f t="shared" si="469"/>
        <v>0.94766004315857522</v>
      </c>
      <c r="AB98" s="629">
        <f t="shared" si="470"/>
        <v>-0.31702704573133389</v>
      </c>
      <c r="AC98" s="636">
        <f t="shared" si="84"/>
        <v>1</v>
      </c>
      <c r="AD98" s="637">
        <f t="shared" si="115"/>
        <v>-3.7872085703724356E-2</v>
      </c>
      <c r="AE98" s="629">
        <f t="shared" si="85"/>
        <v>0.94766004315857522</v>
      </c>
      <c r="AF98" s="633">
        <f t="shared" si="86"/>
        <v>-0.31702704573133389</v>
      </c>
      <c r="AG98" s="602">
        <f t="shared" si="87"/>
        <v>71.503021516353044</v>
      </c>
      <c r="AH98" s="603">
        <f t="shared" si="88"/>
        <v>92.17042972255598</v>
      </c>
      <c r="AI98" s="585">
        <f t="shared" si="89"/>
        <v>-71.516771849132709</v>
      </c>
      <c r="AJ98" s="586">
        <f t="shared" si="90"/>
        <v>-177.71146140194961</v>
      </c>
      <c r="AK98" s="635">
        <f t="shared" si="211"/>
        <v>0.93788747156297581</v>
      </c>
      <c r="AL98" s="629">
        <f t="shared" si="91"/>
        <v>-0.14092885779736974</v>
      </c>
      <c r="AM98" s="634">
        <f t="shared" si="92"/>
        <v>-0.31702704573133389</v>
      </c>
      <c r="AN98" s="581">
        <f t="shared" si="93"/>
        <v>-23.966706766921988</v>
      </c>
      <c r="AO98" s="582">
        <f t="shared" si="461"/>
        <v>20.300241618439173</v>
      </c>
      <c r="AP98" s="585">
        <f t="shared" si="95"/>
        <v>-8.5454468433233544</v>
      </c>
      <c r="AQ98" s="586">
        <f t="shared" si="471"/>
        <v>0.51429305029136985</v>
      </c>
      <c r="AS98" s="52">
        <f t="shared" si="543"/>
        <v>-259.16601455862622</v>
      </c>
      <c r="AT98" s="73">
        <f t="shared" si="472"/>
        <v>-2.8369807405042025E-2</v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>Nose</v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>
        <f t="shared" si="643"/>
        <v>5.2169999999999996</v>
      </c>
      <c r="IH98" s="731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>5.117</v>
      </c>
      <c r="II98" s="734" cm="1">
        <f t="array" ref="II98">IFERROR(ROUND(VALUE(IF($IH98&lt;1,$IH98+LARGE((IF($M$9:$M$150="",0,$M$9:$M$150)-MOD(IF($M$9:$M$150="",0,$M$9:$M$150),1)),1),$IH98)),4),"")</f>
        <v>5.117</v>
      </c>
      <c r="IJ98" s="533">
        <f t="shared" si="542"/>
        <v>1613</v>
      </c>
      <c r="IK98" s="533">
        <f t="shared" si="517"/>
        <v>1313</v>
      </c>
      <c r="IL98" s="727">
        <f t="shared" si="647"/>
        <v>13.689998023408833</v>
      </c>
      <c r="IM98" s="759">
        <v>3.6518626480055799E-2</v>
      </c>
      <c r="IN98" s="5">
        <f t="shared" si="648"/>
        <v>1.38</v>
      </c>
      <c r="IO98" s="771">
        <v>690</v>
      </c>
      <c r="IP98" s="9">
        <f t="shared" si="649"/>
        <v>-4.4200133307602059</v>
      </c>
      <c r="IQ98" s="5">
        <f t="shared" si="650"/>
        <v>-0.20660062310747931</v>
      </c>
      <c r="IR98" s="5">
        <f t="shared" si="518"/>
        <v>0.314</v>
      </c>
      <c r="IS98" s="5">
        <f t="shared" si="651"/>
        <v>0.30271806640228949</v>
      </c>
      <c r="IT98" s="727">
        <f t="shared" si="652"/>
        <v>27.166744190161495</v>
      </c>
      <c r="IU98" s="9">
        <f t="shared" si="653"/>
        <v>-4.4326195037940357</v>
      </c>
      <c r="IV98" s="5">
        <f t="shared" si="654"/>
        <v>-0.20834620640408802</v>
      </c>
      <c r="IW98" s="5">
        <f t="shared" si="519"/>
        <v>0.26600000000000001</v>
      </c>
      <c r="IX98" s="5">
        <f t="shared" si="655"/>
        <v>0.24947806743575157</v>
      </c>
      <c r="IY98" s="762">
        <f t="shared" si="656"/>
        <v>23.966706766921988</v>
      </c>
    </row>
    <row r="99" spans="1:259" ht="15" customHeight="1" x14ac:dyDescent="0.25">
      <c r="A99" s="79"/>
      <c r="B99" s="707">
        <v>-5.0524972181022481</v>
      </c>
      <c r="C99" s="708">
        <v>-0.98988562368217559</v>
      </c>
      <c r="D99" s="709">
        <v>-0.55078400959480256</v>
      </c>
      <c r="E99" s="710">
        <v>-4.3371011767917633E-2</v>
      </c>
      <c r="F99" s="708">
        <v>-0.96147840167864707</v>
      </c>
      <c r="G99" s="711">
        <v>0.27143735638946476</v>
      </c>
      <c r="H99" s="710">
        <v>0.26600000000000001</v>
      </c>
      <c r="I99" s="708">
        <v>0.52</v>
      </c>
      <c r="J99" s="570">
        <v>5.22</v>
      </c>
      <c r="K99" s="865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>1313</v>
      </c>
      <c r="L99" s="320"/>
      <c r="M99" s="168">
        <f t="shared" si="464"/>
        <v>5.22</v>
      </c>
      <c r="N99" s="632">
        <f t="shared" si="465"/>
        <v>-5.0524972181022481</v>
      </c>
      <c r="O99" s="629">
        <f t="shared" si="466"/>
        <v>-0.98988562368217559</v>
      </c>
      <c r="P99" s="633">
        <f t="shared" si="467"/>
        <v>-0.55078400959480256</v>
      </c>
      <c r="Q99" s="585">
        <f t="shared" si="520"/>
        <v>191.08498540513386</v>
      </c>
      <c r="R99" s="629">
        <f t="shared" si="79"/>
        <v>5.1485533586536327</v>
      </c>
      <c r="S99" s="634">
        <f t="shared" si="80"/>
        <v>-0.55078400959480256</v>
      </c>
      <c r="T99" s="635">
        <f t="shared" si="81"/>
        <v>-0.98988562368217581</v>
      </c>
      <c r="U99" s="629">
        <f t="shared" si="82"/>
        <v>5.0524972181022481</v>
      </c>
      <c r="V99" s="636">
        <f t="shared" si="114"/>
        <v>-0.55078400959480256</v>
      </c>
      <c r="W99" s="585">
        <f t="shared" si="645"/>
        <v>101.08498540513386</v>
      </c>
      <c r="X99" s="629">
        <f t="shared" si="83"/>
        <v>5.1485533586536327</v>
      </c>
      <c r="Y99" s="630">
        <f t="shared" si="644"/>
        <v>-0.55078400959480256</v>
      </c>
      <c r="Z99" s="632">
        <f t="shared" si="468"/>
        <v>4.3371011767917633E-2</v>
      </c>
      <c r="AA99" s="629">
        <f t="shared" si="469"/>
        <v>0.96147840167864707</v>
      </c>
      <c r="AB99" s="629">
        <f t="shared" si="470"/>
        <v>-0.27143735638946476</v>
      </c>
      <c r="AC99" s="636">
        <f t="shared" si="84"/>
        <v>1</v>
      </c>
      <c r="AD99" s="637">
        <f t="shared" si="115"/>
        <v>4.3371011767917633E-2</v>
      </c>
      <c r="AE99" s="629">
        <f t="shared" si="85"/>
        <v>0.96147840167864707</v>
      </c>
      <c r="AF99" s="633">
        <f t="shared" si="86"/>
        <v>-0.27143735638946476</v>
      </c>
      <c r="AG99" s="602">
        <f t="shared" si="87"/>
        <v>74.234964322824766</v>
      </c>
      <c r="AH99" s="603">
        <f t="shared" si="88"/>
        <v>87.514244353846578</v>
      </c>
      <c r="AI99" s="585">
        <f t="shared" si="89"/>
        <v>-74.250184157152873</v>
      </c>
      <c r="AJ99" s="586">
        <f t="shared" si="90"/>
        <v>177.41721446040745</v>
      </c>
      <c r="AK99" s="635">
        <f t="shared" si="211"/>
        <v>0.93520145821549228</v>
      </c>
      <c r="AL99" s="629">
        <f t="shared" si="91"/>
        <v>-0.22742030276102335</v>
      </c>
      <c r="AM99" s="634">
        <f t="shared" si="92"/>
        <v>-0.27143735638946476</v>
      </c>
      <c r="AN99" s="581">
        <f t="shared" si="93"/>
        <v>-39.957525983586798</v>
      </c>
      <c r="AO99" s="582">
        <f t="shared" si="461"/>
        <v>20.739283673836269</v>
      </c>
      <c r="AP99" s="585">
        <f t="shared" si="95"/>
        <v>-13.667770944726399</v>
      </c>
      <c r="AQ99" s="586">
        <f t="shared" si="471"/>
        <v>0.44278093085105863</v>
      </c>
      <c r="AS99" s="52">
        <f t="shared" si="543"/>
        <v>-258.91501459486614</v>
      </c>
      <c r="AT99" s="73">
        <f t="shared" si="472"/>
        <v>-0.37098191612614551</v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>Taper</v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>
        <f t="shared" si="643"/>
        <v>5.22</v>
      </c>
      <c r="IH99" s="731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>5.12</v>
      </c>
      <c r="II99" s="734" cm="1">
        <f t="array" ref="II99">IFERROR(ROUND(VALUE(IF($IH99&lt;1,$IH99+LARGE((IF($M$9:$M$150="",0,$M$9:$M$150)-MOD(IF($M$9:$M$150="",0,$M$9:$M$150),1)),1),$IH99)),4),"")</f>
        <v>5.12</v>
      </c>
      <c r="IJ99" s="533">
        <f t="shared" si="542"/>
        <v>1613</v>
      </c>
      <c r="IK99" s="533">
        <f t="shared" si="517"/>
        <v>1313</v>
      </c>
      <c r="IL99" s="727">
        <f t="shared" si="647"/>
        <v>12.758998157828586</v>
      </c>
      <c r="IM99" s="759">
        <v>2.6356015066882801E-2</v>
      </c>
      <c r="IN99" s="5">
        <f t="shared" si="648"/>
        <v>1.46</v>
      </c>
      <c r="IO99" s="771">
        <v>730</v>
      </c>
      <c r="IP99" s="9">
        <f t="shared" si="649"/>
        <v>-5.1269154627770357</v>
      </c>
      <c r="IQ99" s="5">
        <f t="shared" si="650"/>
        <v>-0.54620164734416843</v>
      </c>
      <c r="IR99" s="5">
        <f t="shared" si="518"/>
        <v>0.314</v>
      </c>
      <c r="IS99" s="5">
        <f t="shared" si="651"/>
        <v>0.30185111296540662</v>
      </c>
      <c r="IT99" s="727">
        <f t="shared" si="652"/>
        <v>44.712303237410659</v>
      </c>
      <c r="IU99" s="9">
        <f t="shared" si="653"/>
        <v>-5.1485533586536327</v>
      </c>
      <c r="IV99" s="5">
        <f t="shared" si="654"/>
        <v>-0.55078400959480256</v>
      </c>
      <c r="IW99" s="5">
        <f t="shared" si="519"/>
        <v>0.26600000000000001</v>
      </c>
      <c r="IX99" s="5">
        <f t="shared" si="655"/>
        <v>0.24876358788532096</v>
      </c>
      <c r="IY99" s="762">
        <f t="shared" si="656"/>
        <v>39.957525983586798</v>
      </c>
    </row>
    <row r="100" spans="1:259" ht="15" customHeight="1" x14ac:dyDescent="0.25">
      <c r="A100" s="79"/>
      <c r="B100" s="707">
        <v>-5.64674275705074</v>
      </c>
      <c r="C100" s="708">
        <v>-1.0944438272031103</v>
      </c>
      <c r="D100" s="709">
        <v>-1.0661120185050244</v>
      </c>
      <c r="E100" s="710">
        <v>-0.14200603223681052</v>
      </c>
      <c r="F100" s="708">
        <v>-0.95775683906718601</v>
      </c>
      <c r="G100" s="711">
        <v>0.25007223762023306</v>
      </c>
      <c r="H100" s="710">
        <v>0.26600000000000001</v>
      </c>
      <c r="I100" s="708">
        <v>0.52</v>
      </c>
      <c r="J100" s="570">
        <v>5.2229999999999999</v>
      </c>
      <c r="K100" s="865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>1313</v>
      </c>
      <c r="L100" s="320"/>
      <c r="M100" s="168">
        <f t="shared" si="464"/>
        <v>5.2229999999999999</v>
      </c>
      <c r="N100" s="632">
        <f t="shared" si="465"/>
        <v>-5.64674275705074</v>
      </c>
      <c r="O100" s="629">
        <f t="shared" si="466"/>
        <v>-1.0944438272031103</v>
      </c>
      <c r="P100" s="633">
        <f t="shared" si="467"/>
        <v>-1.0661120185050244</v>
      </c>
      <c r="Q100" s="585">
        <f t="shared" si="520"/>
        <v>190.96898542188219</v>
      </c>
      <c r="R100" s="629">
        <f t="shared" si="79"/>
        <v>5.7518267581011155</v>
      </c>
      <c r="S100" s="634">
        <f t="shared" si="80"/>
        <v>-1.0661120185050244</v>
      </c>
      <c r="T100" s="635">
        <f t="shared" si="81"/>
        <v>-1.094443827203111</v>
      </c>
      <c r="U100" s="629">
        <f t="shared" si="82"/>
        <v>5.6467427570507409</v>
      </c>
      <c r="V100" s="636">
        <f t="shared" si="114"/>
        <v>-1.0661120185050244</v>
      </c>
      <c r="W100" s="585">
        <f t="shared" si="645"/>
        <v>100.96898542188219</v>
      </c>
      <c r="X100" s="629">
        <f t="shared" si="83"/>
        <v>5.7518267581011155</v>
      </c>
      <c r="Y100" s="630">
        <f t="shared" si="644"/>
        <v>-1.0661120185050244</v>
      </c>
      <c r="Z100" s="632">
        <f t="shared" si="468"/>
        <v>0.14200603223681052</v>
      </c>
      <c r="AA100" s="629">
        <f t="shared" si="469"/>
        <v>0.95775683906718601</v>
      </c>
      <c r="AB100" s="629">
        <f t="shared" si="470"/>
        <v>-0.25007223762023306</v>
      </c>
      <c r="AC100" s="636">
        <f t="shared" si="84"/>
        <v>1</v>
      </c>
      <c r="AD100" s="637">
        <f t="shared" si="115"/>
        <v>0.14200603223681052</v>
      </c>
      <c r="AE100" s="629">
        <f t="shared" si="85"/>
        <v>0.95775683906718601</v>
      </c>
      <c r="AF100" s="633">
        <f t="shared" si="86"/>
        <v>-0.25007223762023306</v>
      </c>
      <c r="AG100" s="602">
        <f t="shared" si="87"/>
        <v>75.366657098152359</v>
      </c>
      <c r="AH100" s="603">
        <f t="shared" si="88"/>
        <v>81.83605664419369</v>
      </c>
      <c r="AI100" s="585">
        <f t="shared" si="89"/>
        <v>-75.518213124239807</v>
      </c>
      <c r="AJ100" s="586">
        <f t="shared" si="90"/>
        <v>171.56623305948364</v>
      </c>
      <c r="AK100" s="635">
        <f t="shared" si="211"/>
        <v>0.91323836574406758</v>
      </c>
      <c r="AL100" s="629">
        <f t="shared" si="91"/>
        <v>-0.32165130701539896</v>
      </c>
      <c r="AM100" s="634">
        <f t="shared" si="92"/>
        <v>-0.25007223762023306</v>
      </c>
      <c r="AN100" s="581">
        <f t="shared" si="93"/>
        <v>-52.136228048905039</v>
      </c>
      <c r="AO100" s="582">
        <f t="shared" si="461"/>
        <v>24.043222508107515</v>
      </c>
      <c r="AP100" s="585">
        <f t="shared" si="95"/>
        <v>-19.402752362398559</v>
      </c>
      <c r="AQ100" s="586">
        <f t="shared" si="471"/>
        <v>0.39634195621534429</v>
      </c>
      <c r="AS100" s="52">
        <f t="shared" si="543"/>
        <v>-259.03101457811783</v>
      </c>
      <c r="AT100" s="73">
        <f t="shared" si="472"/>
        <v>-0.88622936949244258</v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>Taper</v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>
        <f t="shared" si="643"/>
        <v>5.2229999999999999</v>
      </c>
      <c r="IH100" s="731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>5.1230000000000002</v>
      </c>
      <c r="II100" s="734" cm="1">
        <f t="array" ref="II100">IFERROR(ROUND(VALUE(IF($IH100&lt;1,$IH100+LARGE((IF($M$9:$M$150="",0,$M$9:$M$150)-MOD(IF($M$9:$M$150="",0,$M$9:$M$150),1)),1),$IH100)),4),"")</f>
        <v>5.1230000000000002</v>
      </c>
      <c r="IJ100" s="533">
        <f t="shared" si="542"/>
        <v>1613</v>
      </c>
      <c r="IK100" s="533">
        <f t="shared" si="517"/>
        <v>1313</v>
      </c>
      <c r="IL100" s="727">
        <f t="shared" si="647"/>
        <v>12.169998242869639</v>
      </c>
      <c r="IM100" s="759">
        <v>1.68487765149575E-2</v>
      </c>
      <c r="IN100" s="5">
        <f t="shared" si="648"/>
        <v>1.52</v>
      </c>
      <c r="IO100" s="771">
        <v>760</v>
      </c>
      <c r="IP100" s="9">
        <f t="shared" si="649"/>
        <v>-5.7216172563976473</v>
      </c>
      <c r="IQ100" s="5">
        <f t="shared" si="650"/>
        <v>-1.0574031891280187</v>
      </c>
      <c r="IR100" s="5">
        <f t="shared" si="518"/>
        <v>0.314</v>
      </c>
      <c r="IS100" s="5">
        <f t="shared" si="651"/>
        <v>0.29627433692489402</v>
      </c>
      <c r="IT100" s="727">
        <f t="shared" si="652"/>
        <v>56.456519050924591</v>
      </c>
      <c r="IU100" s="9">
        <f t="shared" si="653"/>
        <v>-5.7518267581011155</v>
      </c>
      <c r="IV100" s="5">
        <f t="shared" si="654"/>
        <v>-1.0661120185050244</v>
      </c>
      <c r="IW100" s="5">
        <f t="shared" si="519"/>
        <v>0.26600000000000001</v>
      </c>
      <c r="IX100" s="5">
        <f t="shared" si="655"/>
        <v>0.242921405287922</v>
      </c>
      <c r="IY100" s="762">
        <f t="shared" si="656"/>
        <v>52.136228048905039</v>
      </c>
    </row>
    <row r="101" spans="1:259" ht="15" customHeight="1" x14ac:dyDescent="0.25">
      <c r="A101" s="79"/>
      <c r="B101" s="707">
        <v>-6.0987230358544213</v>
      </c>
      <c r="C101" s="708">
        <v>-1.0294400635474819</v>
      </c>
      <c r="D101" s="709">
        <v>-1.7617797910666311</v>
      </c>
      <c r="E101" s="710">
        <v>-0.95245235703975706</v>
      </c>
      <c r="F101" s="708">
        <v>-0.16077037962177437</v>
      </c>
      <c r="G101" s="711">
        <v>0.25881922765838294</v>
      </c>
      <c r="H101" s="710">
        <v>0.25700000000000001</v>
      </c>
      <c r="I101" s="708">
        <v>0.41499999999999992</v>
      </c>
      <c r="J101" s="570">
        <v>5.226</v>
      </c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>CPS-32193r1</v>
      </c>
      <c r="L101" s="320"/>
      <c r="M101" s="168">
        <f t="shared" si="464"/>
        <v>5.226</v>
      </c>
      <c r="N101" s="632">
        <f t="shared" si="465"/>
        <v>-6.0987230358544213</v>
      </c>
      <c r="O101" s="629">
        <f t="shared" si="466"/>
        <v>-1.0294400635474819</v>
      </c>
      <c r="P101" s="633">
        <f t="shared" si="467"/>
        <v>-1.7617797910666311</v>
      </c>
      <c r="Q101" s="585">
        <f t="shared" si="520"/>
        <v>189.58098562228454</v>
      </c>
      <c r="R101" s="629">
        <f t="shared" si="79"/>
        <v>6.1849955143474453</v>
      </c>
      <c r="S101" s="634">
        <f t="shared" si="80"/>
        <v>-1.7617797910666311</v>
      </c>
      <c r="T101" s="635">
        <f t="shared" si="81"/>
        <v>-1.0294400635474803</v>
      </c>
      <c r="U101" s="629">
        <f t="shared" si="82"/>
        <v>6.0987230358544222</v>
      </c>
      <c r="V101" s="636">
        <f t="shared" si="114"/>
        <v>-1.7617797910666311</v>
      </c>
      <c r="W101" s="585">
        <f t="shared" si="645"/>
        <v>99.580985622284544</v>
      </c>
      <c r="X101" s="629">
        <f t="shared" si="83"/>
        <v>6.1849955143474453</v>
      </c>
      <c r="Y101" s="630">
        <f t="shared" si="644"/>
        <v>-1.7617797910666311</v>
      </c>
      <c r="Z101" s="632">
        <f t="shared" si="468"/>
        <v>0.95245235703975706</v>
      </c>
      <c r="AA101" s="629">
        <f t="shared" si="469"/>
        <v>0.16077037962177437</v>
      </c>
      <c r="AB101" s="629">
        <f t="shared" si="470"/>
        <v>-0.25881922765838294</v>
      </c>
      <c r="AC101" s="636">
        <f t="shared" si="84"/>
        <v>1</v>
      </c>
      <c r="AD101" s="637">
        <f t="shared" si="115"/>
        <v>0.95245235703975706</v>
      </c>
      <c r="AE101" s="629">
        <f t="shared" si="85"/>
        <v>0.16077037962177437</v>
      </c>
      <c r="AF101" s="633">
        <f t="shared" si="86"/>
        <v>-0.25881922765838294</v>
      </c>
      <c r="AG101" s="602">
        <f t="shared" si="87"/>
        <v>31.84725241018646</v>
      </c>
      <c r="AH101" s="603">
        <f t="shared" si="88"/>
        <v>17.739367598259033</v>
      </c>
      <c r="AI101" s="585">
        <f t="shared" si="89"/>
        <v>-74.999989171341724</v>
      </c>
      <c r="AJ101" s="586">
        <f t="shared" si="90"/>
        <v>99.580999075068092</v>
      </c>
      <c r="AK101" s="635">
        <f t="shared" si="211"/>
        <v>2.2679489702914779E-7</v>
      </c>
      <c r="AL101" s="629">
        <f t="shared" si="91"/>
        <v>-0.96592577737332741</v>
      </c>
      <c r="AM101" s="634">
        <f t="shared" si="92"/>
        <v>-0.25881922765838294</v>
      </c>
      <c r="AN101" s="581">
        <f t="shared" si="93"/>
        <v>-74.999989171341326</v>
      </c>
      <c r="AO101" s="582">
        <f t="shared" si="461"/>
        <v>0</v>
      </c>
      <c r="AP101" s="585">
        <f t="shared" si="95"/>
        <v>-89.999986547216452</v>
      </c>
      <c r="AQ101" s="586">
        <f t="shared" si="471"/>
        <v>0.36858477564322217</v>
      </c>
      <c r="AS101" s="52">
        <f t="shared" si="543"/>
        <v>-260.41901437771548</v>
      </c>
      <c r="AT101" s="73">
        <f t="shared" si="472"/>
        <v>-1.5809332533043285</v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>Taper</v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>
        <f t="shared" si="643"/>
        <v>5.226</v>
      </c>
      <c r="IH101" s="731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>5.1260000000000003</v>
      </c>
      <c r="II101" s="734" cm="1">
        <f t="array" ref="II101">IFERROR(ROUND(VALUE(IF($IH101&lt;1,$IH101+LARGE((IF($M$9:$M$150="",0,$M$9:$M$150)-MOD(IF($M$9:$M$150="",0,$M$9:$M$150),1)),1),$IH101)),4),"")</f>
        <v>5.1260000000000003</v>
      </c>
      <c r="IJ101" s="533">
        <f t="shared" si="542"/>
        <v>1613</v>
      </c>
      <c r="IK101" s="533" t="str">
        <f t="shared" si="517"/>
        <v>CPS-32193r1</v>
      </c>
      <c r="IL101" s="727">
        <f t="shared" si="647"/>
        <v>12.976998126353323</v>
      </c>
      <c r="IM101" s="759">
        <v>1.16310769689879E-3</v>
      </c>
      <c r="IN101" s="5">
        <f t="shared" si="648"/>
        <v>0</v>
      </c>
      <c r="IO101" s="771">
        <v>0</v>
      </c>
      <c r="IP101" s="9">
        <f t="shared" si="649"/>
        <v>-6.1635185891720647</v>
      </c>
      <c r="IQ101" s="5">
        <f t="shared" si="650"/>
        <v>-1.7053051432003119</v>
      </c>
      <c r="IR101" s="5">
        <f t="shared" si="518"/>
        <v>0.314</v>
      </c>
      <c r="IS101" s="5">
        <f t="shared" si="651"/>
        <v>0.28598115078015202</v>
      </c>
      <c r="IT101" s="727">
        <f t="shared" si="652"/>
        <v>65.037728928384553</v>
      </c>
      <c r="IU101" s="9">
        <f t="shared" si="653"/>
        <v>-6.1849955143474453</v>
      </c>
      <c r="IV101" s="5">
        <f t="shared" si="654"/>
        <v>-1.7617797910666311</v>
      </c>
      <c r="IW101" s="5">
        <f t="shared" si="519"/>
        <v>0.25700000000000001</v>
      </c>
      <c r="IX101" s="5">
        <f t="shared" si="655"/>
        <v>0.25700000000000001</v>
      </c>
      <c r="IY101" s="762">
        <f t="shared" si="656"/>
        <v>74.999989171341326</v>
      </c>
    </row>
    <row r="102" spans="1:259" ht="15" customHeight="1" x14ac:dyDescent="0.25">
      <c r="A102" s="79"/>
      <c r="B102" s="707">
        <v>-6.3525129158045566</v>
      </c>
      <c r="C102" s="708">
        <v>-1.0574603701546079</v>
      </c>
      <c r="D102" s="709">
        <v>-2.5115240257826561</v>
      </c>
      <c r="E102" s="710">
        <v>-0.95281468146745363</v>
      </c>
      <c r="F102" s="708">
        <v>-0.15860892211472005</v>
      </c>
      <c r="G102" s="711">
        <v>0.25881922765838261</v>
      </c>
      <c r="H102" s="710">
        <v>0.25700000000000001</v>
      </c>
      <c r="I102" s="708">
        <v>0.41499999999999992</v>
      </c>
      <c r="J102" s="570">
        <v>5.2290000000000001</v>
      </c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>CPS-32193r1</v>
      </c>
      <c r="L102" s="320"/>
      <c r="M102" s="168">
        <f t="shared" si="464"/>
        <v>5.2290000000000001</v>
      </c>
      <c r="N102" s="632">
        <f t="shared" si="465"/>
        <v>-6.3525129158045566</v>
      </c>
      <c r="O102" s="629">
        <f t="shared" si="466"/>
        <v>-1.0574603701546079</v>
      </c>
      <c r="P102" s="633">
        <f t="shared" si="467"/>
        <v>-2.5115240257826561</v>
      </c>
      <c r="Q102" s="585">
        <f t="shared" si="520"/>
        <v>189.45098564105422</v>
      </c>
      <c r="R102" s="629">
        <f t="shared" si="79"/>
        <v>6.4399256812413004</v>
      </c>
      <c r="S102" s="634">
        <f t="shared" si="80"/>
        <v>-2.5115240257826561</v>
      </c>
      <c r="T102" s="635">
        <f t="shared" si="81"/>
        <v>-1.0574603701546057</v>
      </c>
      <c r="U102" s="629">
        <f t="shared" si="82"/>
        <v>6.3525129158045566</v>
      </c>
      <c r="V102" s="636">
        <f t="shared" si="114"/>
        <v>-2.5115240257826561</v>
      </c>
      <c r="W102" s="585">
        <f t="shared" si="645"/>
        <v>99.450985641054217</v>
      </c>
      <c r="X102" s="629">
        <f t="shared" si="83"/>
        <v>6.4399256812413004</v>
      </c>
      <c r="Y102" s="630">
        <f t="shared" si="644"/>
        <v>-2.5115240257826561</v>
      </c>
      <c r="Z102" s="632">
        <f t="shared" si="468"/>
        <v>0.95281468146745363</v>
      </c>
      <c r="AA102" s="629">
        <f t="shared" si="469"/>
        <v>0.15860892211472005</v>
      </c>
      <c r="AB102" s="629">
        <f t="shared" si="470"/>
        <v>-0.25881922765838261</v>
      </c>
      <c r="AC102" s="636">
        <f t="shared" si="84"/>
        <v>1</v>
      </c>
      <c r="AD102" s="637">
        <f t="shared" si="115"/>
        <v>0.95281468146745363</v>
      </c>
      <c r="AE102" s="629">
        <f t="shared" si="85"/>
        <v>0.15860892211472005</v>
      </c>
      <c r="AF102" s="633">
        <f t="shared" si="86"/>
        <v>-0.25881922765838261</v>
      </c>
      <c r="AG102" s="602">
        <f t="shared" si="87"/>
        <v>31.500691289693485</v>
      </c>
      <c r="AH102" s="603">
        <f t="shared" si="88"/>
        <v>17.671106212636559</v>
      </c>
      <c r="AI102" s="585">
        <f t="shared" si="89"/>
        <v>-74.999989171341753</v>
      </c>
      <c r="AJ102" s="586">
        <f t="shared" si="90"/>
        <v>99.450999093837765</v>
      </c>
      <c r="AK102" s="635">
        <f t="shared" si="211"/>
        <v>2.2679489702914779E-7</v>
      </c>
      <c r="AL102" s="629">
        <f t="shared" si="91"/>
        <v>-0.96592577737332741</v>
      </c>
      <c r="AM102" s="634">
        <f t="shared" si="92"/>
        <v>-0.25881922765838261</v>
      </c>
      <c r="AN102" s="581">
        <f t="shared" si="93"/>
        <v>-74.999989171341355</v>
      </c>
      <c r="AO102" s="582">
        <f t="shared" si="461"/>
        <v>0</v>
      </c>
      <c r="AP102" s="585">
        <f t="shared" si="95"/>
        <v>-89.999986547216452</v>
      </c>
      <c r="AQ102" s="586">
        <f t="shared" si="471"/>
        <v>0.3539943995167168</v>
      </c>
      <c r="AS102" s="52">
        <f t="shared" si="543"/>
        <v>-260.54901435894578</v>
      </c>
      <c r="AT102" s="73">
        <f t="shared" si="472"/>
        <v>-2.3305872102556102</v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>Taper</v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>
        <f t="shared" si="643"/>
        <v>5.2290000000000001</v>
      </c>
      <c r="IH102" s="731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>5.1289999999999996</v>
      </c>
      <c r="II102" s="734" cm="1">
        <f t="array" ref="II102">IFERROR(ROUND(VALUE(IF($IH102&lt;1,$IH102+LARGE((IF($M$9:$M$150="",0,$M$9:$M$150)-MOD(IF($M$9:$M$150="",0,$M$9:$M$150),1)),1),$IH102)),4),"")</f>
        <v>5.1289999999999996</v>
      </c>
      <c r="IJ102" s="533">
        <f t="shared" si="542"/>
        <v>1613</v>
      </c>
      <c r="IK102" s="533" t="str">
        <f t="shared" si="517"/>
        <v>CPS-32193r1</v>
      </c>
      <c r="IL102" s="727">
        <f t="shared" si="647"/>
        <v>12.747998159416824</v>
      </c>
      <c r="IM102" s="759">
        <v>2.3372978104331299E-4</v>
      </c>
      <c r="IN102" s="5">
        <f t="shared" si="648"/>
        <v>0</v>
      </c>
      <c r="IO102" s="771">
        <v>0</v>
      </c>
      <c r="IP102" s="9">
        <f t="shared" si="649"/>
        <v>-6.4224193700168195</v>
      </c>
      <c r="IQ102" s="5">
        <f t="shared" si="650"/>
        <v>-2.4456073759518464</v>
      </c>
      <c r="IR102" s="5">
        <f t="shared" si="518"/>
        <v>0.314</v>
      </c>
      <c r="IS102" s="5">
        <f t="shared" si="651"/>
        <v>0.27633918625234982</v>
      </c>
      <c r="IT102" s="727">
        <f t="shared" si="652"/>
        <v>73.952294952969226</v>
      </c>
      <c r="IU102" s="9">
        <f t="shared" si="653"/>
        <v>-6.4399256812413004</v>
      </c>
      <c r="IV102" s="5">
        <f t="shared" si="654"/>
        <v>-2.5115240257826561</v>
      </c>
      <c r="IW102" s="5">
        <f t="shared" si="519"/>
        <v>0.25700000000000001</v>
      </c>
      <c r="IX102" s="5">
        <f t="shared" si="655"/>
        <v>0.25700000000000001</v>
      </c>
      <c r="IY102" s="762">
        <f t="shared" si="656"/>
        <v>74.999989171341355</v>
      </c>
    </row>
    <row r="103" spans="1:259" ht="15" customHeight="1" x14ac:dyDescent="0.25">
      <c r="A103" s="79"/>
      <c r="B103" s="707">
        <v>-2.5605948495007498</v>
      </c>
      <c r="C103" s="708">
        <v>1.7929483448113501</v>
      </c>
      <c r="D103" s="709">
        <v>-7.8900237963117681E-2</v>
      </c>
      <c r="E103" s="710">
        <v>-0.53555433916237172</v>
      </c>
      <c r="F103" s="708">
        <v>-0.80417853371932979</v>
      </c>
      <c r="G103" s="711">
        <v>0.25783412440827969</v>
      </c>
      <c r="H103" s="710">
        <v>0.314</v>
      </c>
      <c r="I103" s="708">
        <v>0.52</v>
      </c>
      <c r="J103" s="570">
        <v>6.1120000000000001</v>
      </c>
      <c r="K103" s="865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>1613</v>
      </c>
      <c r="L103" s="320"/>
      <c r="M103" s="168">
        <f t="shared" si="464"/>
        <v>6.1120000000000001</v>
      </c>
      <c r="N103" s="632">
        <f t="shared" si="465"/>
        <v>-2.5605948495007498</v>
      </c>
      <c r="O103" s="629">
        <f t="shared" si="466"/>
        <v>1.7929483448113501</v>
      </c>
      <c r="P103" s="633">
        <f t="shared" si="467"/>
        <v>-7.8900237963117681E-2</v>
      </c>
      <c r="Q103" s="585">
        <f t="shared" si="520"/>
        <v>144.99999205898362</v>
      </c>
      <c r="R103" s="629">
        <f t="shared" si="79"/>
        <v>3.1259094277428332</v>
      </c>
      <c r="S103" s="634">
        <f t="shared" si="80"/>
        <v>-7.8900237963117681E-2</v>
      </c>
      <c r="T103" s="635">
        <f t="shared" si="81"/>
        <v>1.7929483448113508</v>
      </c>
      <c r="U103" s="629">
        <f t="shared" si="82"/>
        <v>2.5605948495007493</v>
      </c>
      <c r="V103" s="636">
        <f t="shared" si="114"/>
        <v>-7.8900237963117681E-2</v>
      </c>
      <c r="W103" s="585">
        <f t="shared" si="645"/>
        <v>54.999992058983622</v>
      </c>
      <c r="X103" s="629">
        <f t="shared" si="83"/>
        <v>3.1259094277428332</v>
      </c>
      <c r="Y103" s="630">
        <f t="shared" si="644"/>
        <v>-7.8900237963117681E-2</v>
      </c>
      <c r="Z103" s="632">
        <f t="shared" si="468"/>
        <v>0.53555433916237172</v>
      </c>
      <c r="AA103" s="629">
        <f t="shared" si="469"/>
        <v>0.80417853371932979</v>
      </c>
      <c r="AB103" s="629">
        <f t="shared" si="470"/>
        <v>-0.25783412440827969</v>
      </c>
      <c r="AC103" s="636">
        <f t="shared" si="84"/>
        <v>1</v>
      </c>
      <c r="AD103" s="637">
        <f t="shared" si="115"/>
        <v>0.53555433916237172</v>
      </c>
      <c r="AE103" s="629">
        <f t="shared" si="85"/>
        <v>0.80417853371932979</v>
      </c>
      <c r="AF103" s="633">
        <f t="shared" si="86"/>
        <v>-0.25783412440827969</v>
      </c>
      <c r="AG103" s="602">
        <f t="shared" si="87"/>
        <v>72.223213678952149</v>
      </c>
      <c r="AH103" s="603">
        <f t="shared" si="88"/>
        <v>57.618486858147925</v>
      </c>
      <c r="AI103" s="585">
        <f t="shared" si="89"/>
        <v>-75.058414528502141</v>
      </c>
      <c r="AJ103" s="586">
        <f t="shared" si="90"/>
        <v>146.33779464853342</v>
      </c>
      <c r="AK103" s="635">
        <f t="shared" si="211"/>
        <v>0.96592583607220739</v>
      </c>
      <c r="AL103" s="629">
        <f t="shared" si="91"/>
        <v>2.2557559682354955E-2</v>
      </c>
      <c r="AM103" s="634">
        <f t="shared" si="92"/>
        <v>-0.25783412440827969</v>
      </c>
      <c r="AN103" s="581">
        <f t="shared" si="93"/>
        <v>4.9999992780895415</v>
      </c>
      <c r="AO103" s="582">
        <f t="shared" si="461"/>
        <v>14.999997834268255</v>
      </c>
      <c r="AP103" s="585">
        <f t="shared" si="95"/>
        <v>1.3378025895498125</v>
      </c>
      <c r="AQ103" s="586">
        <f t="shared" si="471"/>
        <v>0.72926090038681479</v>
      </c>
      <c r="AS103" s="52">
        <f t="shared" si="543"/>
        <v>-305.00000794101641</v>
      </c>
      <c r="AT103" s="73">
        <f t="shared" si="472"/>
        <v>0.1329053231070326</v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>
        <f t="shared" si="643"/>
        <v>6.1120000000000001</v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>
        <f t="shared" si="542"/>
        <v>1613</v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>
        <v>-3.197446853754133</v>
      </c>
      <c r="C104" s="708">
        <v>2.2506238802543836</v>
      </c>
      <c r="D104" s="709">
        <v>-8.7500263900795919E-2</v>
      </c>
      <c r="E104" s="710">
        <v>-0.60806059526976775</v>
      </c>
      <c r="F104" s="708">
        <v>-0.75255102230610826</v>
      </c>
      <c r="G104" s="711">
        <v>0.25284238431522388</v>
      </c>
      <c r="H104" s="710">
        <v>0.314</v>
      </c>
      <c r="I104" s="708">
        <v>0.52</v>
      </c>
      <c r="J104" s="570">
        <v>6.1150000000000002</v>
      </c>
      <c r="K104" s="865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>1613</v>
      </c>
      <c r="L104" s="320"/>
      <c r="M104" s="168">
        <f t="shared" si="464"/>
        <v>6.1150000000000002</v>
      </c>
      <c r="N104" s="632">
        <f t="shared" si="465"/>
        <v>-3.197446853754133</v>
      </c>
      <c r="O104" s="629">
        <f t="shared" si="466"/>
        <v>2.2506238802543836</v>
      </c>
      <c r="P104" s="633">
        <f t="shared" si="467"/>
        <v>-8.7500263900795919E-2</v>
      </c>
      <c r="Q104" s="585">
        <f t="shared" si="520"/>
        <v>144.85899207934153</v>
      </c>
      <c r="R104" s="629">
        <f t="shared" si="79"/>
        <v>3.9101117928971676</v>
      </c>
      <c r="S104" s="634">
        <f t="shared" si="80"/>
        <v>-8.7500263900795919E-2</v>
      </c>
      <c r="T104" s="635">
        <f t="shared" si="81"/>
        <v>2.2506238802543836</v>
      </c>
      <c r="U104" s="629">
        <f t="shared" si="82"/>
        <v>3.197446853754133</v>
      </c>
      <c r="V104" s="636">
        <f t="shared" si="114"/>
        <v>-8.7500263900795919E-2</v>
      </c>
      <c r="W104" s="585">
        <f t="shared" si="645"/>
        <v>54.858992079341533</v>
      </c>
      <c r="X104" s="629">
        <f t="shared" si="83"/>
        <v>3.9101117928971676</v>
      </c>
      <c r="Y104" s="630">
        <f t="shared" si="644"/>
        <v>-8.7500263900795919E-2</v>
      </c>
      <c r="Z104" s="632">
        <f t="shared" si="468"/>
        <v>0.60806059526976775</v>
      </c>
      <c r="AA104" s="629">
        <f t="shared" si="469"/>
        <v>0.75255102230610826</v>
      </c>
      <c r="AB104" s="629">
        <f t="shared" si="470"/>
        <v>-0.25284238431522388</v>
      </c>
      <c r="AC104" s="636">
        <f t="shared" si="84"/>
        <v>1</v>
      </c>
      <c r="AD104" s="637">
        <f t="shared" si="115"/>
        <v>0.60806059526976775</v>
      </c>
      <c r="AE104" s="629">
        <f t="shared" si="85"/>
        <v>0.75255102230610826</v>
      </c>
      <c r="AF104" s="633">
        <f t="shared" si="86"/>
        <v>-0.25284238431522388</v>
      </c>
      <c r="AG104" s="602">
        <f t="shared" si="87"/>
        <v>71.428661200135252</v>
      </c>
      <c r="AH104" s="603">
        <f t="shared" si="88"/>
        <v>52.55059690109632</v>
      </c>
      <c r="AI104" s="585">
        <f t="shared" si="89"/>
        <v>-75.354226180348832</v>
      </c>
      <c r="AJ104" s="586">
        <f t="shared" si="90"/>
        <v>141.06181784296433</v>
      </c>
      <c r="AK104" s="635">
        <f t="shared" si="211"/>
        <v>0.96538354779904623</v>
      </c>
      <c r="AL104" s="629">
        <f t="shared" si="91"/>
        <v>-6.407288297493352E-2</v>
      </c>
      <c r="AM104" s="634">
        <f t="shared" si="92"/>
        <v>-0.25284238431522388</v>
      </c>
      <c r="AN104" s="581">
        <f t="shared" si="93"/>
        <v>-14.220001257477135</v>
      </c>
      <c r="AO104" s="582">
        <f t="shared" si="461"/>
        <v>15.119580675771811</v>
      </c>
      <c r="AP104" s="585">
        <f t="shared" si="95"/>
        <v>-3.7971742363771961</v>
      </c>
      <c r="AQ104" s="586">
        <f t="shared" si="471"/>
        <v>0.58301349692822124</v>
      </c>
      <c r="AS104" s="52">
        <f t="shared" si="543"/>
        <v>-305.14100792065847</v>
      </c>
      <c r="AT104" s="73">
        <f t="shared" si="472"/>
        <v>0.12440321382188359</v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>
        <f t="shared" si="643"/>
        <v>6.1150000000000002</v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>
        <f t="shared" si="542"/>
        <v>1613</v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>
        <v>-3.7891944276703802</v>
      </c>
      <c r="C105" s="708">
        <v>2.7216099953025967</v>
      </c>
      <c r="D105" s="709">
        <v>-0.29900090178671979</v>
      </c>
      <c r="E105" s="710">
        <v>-0.68161749710200215</v>
      </c>
      <c r="F105" s="708">
        <v>-0.69635967111295527</v>
      </c>
      <c r="G105" s="711">
        <v>0.22467931834474442</v>
      </c>
      <c r="H105" s="710">
        <v>0.314</v>
      </c>
      <c r="I105" s="708">
        <v>0.52</v>
      </c>
      <c r="J105" s="570">
        <v>6.1180000000000003</v>
      </c>
      <c r="K105" s="865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>1613</v>
      </c>
      <c r="L105" s="320"/>
      <c r="M105" s="168">
        <f t="shared" ref="M105:M136" si="660">IF(J105="","",VALUE(J105))</f>
        <v>6.1180000000000003</v>
      </c>
      <c r="N105" s="632">
        <f t="shared" ref="N105:N136" si="661">IF(M105="","",B105)</f>
        <v>-3.7891944276703802</v>
      </c>
      <c r="O105" s="629">
        <f t="shared" ref="O105:O136" si="662">IF(M105="","",C105)</f>
        <v>2.7216099953025967</v>
      </c>
      <c r="P105" s="633">
        <f t="shared" ref="P105:P136" si="663">IF(M105="","",D105)</f>
        <v>-0.29900090178671979</v>
      </c>
      <c r="Q105" s="585">
        <f t="shared" si="520"/>
        <v>144.31199215831853</v>
      </c>
      <c r="R105" s="629">
        <f t="shared" si="79"/>
        <v>4.6653140705872378</v>
      </c>
      <c r="S105" s="634">
        <f t="shared" si="80"/>
        <v>-0.29900090178671979</v>
      </c>
      <c r="T105" s="635">
        <f t="shared" si="81"/>
        <v>2.7216099953025972</v>
      </c>
      <c r="U105" s="629">
        <f t="shared" si="82"/>
        <v>3.7891944276703802</v>
      </c>
      <c r="V105" s="636">
        <f t="shared" si="114"/>
        <v>-0.29900090178671979</v>
      </c>
      <c r="W105" s="585">
        <f t="shared" si="645"/>
        <v>54.311992158318532</v>
      </c>
      <c r="X105" s="629">
        <f t="shared" si="83"/>
        <v>4.6653140705872378</v>
      </c>
      <c r="Y105" s="630">
        <f t="shared" si="644"/>
        <v>-0.29900090178671979</v>
      </c>
      <c r="Z105" s="632">
        <f t="shared" ref="Z105:Z136" si="664">IF(M105="","",-E105)</f>
        <v>0.68161749710200215</v>
      </c>
      <c r="AA105" s="629">
        <f t="shared" ref="AA105:AA136" si="665">IF(M105="","",-F105)</f>
        <v>0.69635967111295527</v>
      </c>
      <c r="AB105" s="629">
        <f t="shared" ref="AB105:AB136" si="666">IF(M105="","",-G105)</f>
        <v>-0.22467931834474442</v>
      </c>
      <c r="AC105" s="636">
        <f t="shared" si="84"/>
        <v>1</v>
      </c>
      <c r="AD105" s="637">
        <f t="shared" si="115"/>
        <v>0.68161749710200215</v>
      </c>
      <c r="AE105" s="629">
        <f t="shared" si="85"/>
        <v>0.69635967111295527</v>
      </c>
      <c r="AF105" s="633">
        <f t="shared" si="86"/>
        <v>-0.22467931834474442</v>
      </c>
      <c r="AG105" s="602">
        <f t="shared" si="87"/>
        <v>72.117788439934458</v>
      </c>
      <c r="AH105" s="603">
        <f t="shared" si="88"/>
        <v>47.029830361355565</v>
      </c>
      <c r="AI105" s="585">
        <f t="shared" si="89"/>
        <v>-77.015978348955429</v>
      </c>
      <c r="AJ105" s="586">
        <f t="shared" si="90"/>
        <v>135.61295074236514</v>
      </c>
      <c r="AK105" s="635">
        <f t="shared" si="211"/>
        <v>0.96322329226505765</v>
      </c>
      <c r="AL105" s="629">
        <f t="shared" si="91"/>
        <v>-0.1473773834284095</v>
      </c>
      <c r="AM105" s="634">
        <f t="shared" si="92"/>
        <v>-0.22467931834474442</v>
      </c>
      <c r="AN105" s="581">
        <f t="shared" si="93"/>
        <v>-33.262690767999601</v>
      </c>
      <c r="AO105" s="582">
        <f t="shared" si="461"/>
        <v>15.587056658252148</v>
      </c>
      <c r="AP105" s="585">
        <f t="shared" si="95"/>
        <v>-8.6990414159533955</v>
      </c>
      <c r="AQ105" s="586">
        <f t="shared" ref="AQ105:AQ136" si="667">IF(M105="","",DEGREES(ATAN(($AS$5*SIN(RADIANS(90)))/(($X105*2*PI())-($AS$5*COS(RADIANS(90)))))))</f>
        <v>0.48864263498303245</v>
      </c>
      <c r="AS105" s="52">
        <f t="shared" si="543"/>
        <v>-305.6880078416815</v>
      </c>
      <c r="AT105" s="73">
        <f t="shared" ref="AT105:AT136" si="668">IF(M105="","",Y105+(((AS105-$AS$9)*$AS$6)*-1))</f>
        <v>-8.6717563007774306E-2</v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>
        <f t="shared" si="643"/>
        <v>6.1180000000000003</v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>
        <f t="shared" si="542"/>
        <v>1613</v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>
        <v>-4.2982056437024854</v>
      </c>
      <c r="C106" s="708">
        <v>3.1684482445571529</v>
      </c>
      <c r="D106" s="709">
        <v>-0.69900210819035824</v>
      </c>
      <c r="E106" s="710">
        <v>-0.74551288469714572</v>
      </c>
      <c r="F106" s="708">
        <v>-0.63769282096955027</v>
      </c>
      <c r="G106" s="711">
        <v>0.19379990927355373</v>
      </c>
      <c r="H106" s="710">
        <v>0.314</v>
      </c>
      <c r="I106" s="708">
        <v>0.52</v>
      </c>
      <c r="J106" s="570">
        <v>6.1210000000000004</v>
      </c>
      <c r="K106" s="865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>1613</v>
      </c>
      <c r="L106" s="320"/>
      <c r="M106" s="168">
        <f t="shared" si="660"/>
        <v>6.1210000000000004</v>
      </c>
      <c r="N106" s="632">
        <f t="shared" si="661"/>
        <v>-4.2982056437024854</v>
      </c>
      <c r="O106" s="629">
        <f t="shared" si="662"/>
        <v>3.1684482445571529</v>
      </c>
      <c r="P106" s="633">
        <f t="shared" si="663"/>
        <v>-0.69900210819035824</v>
      </c>
      <c r="Q106" s="585">
        <f t="shared" si="520"/>
        <v>143.60399226054108</v>
      </c>
      <c r="R106" s="629">
        <f t="shared" ref="R106:R129" si="716">IF(M106="","",SQRT(N106^2+O106^2))</f>
        <v>5.3398161048853732</v>
      </c>
      <c r="S106" s="634">
        <f t="shared" ref="S106:S129" si="717">IF(M106="","",P106)</f>
        <v>-0.69900210819035824</v>
      </c>
      <c r="T106" s="635">
        <f t="shared" ref="T106:T129" si="718">IF(M106="","",X106*COS(RADIANS(W106)))</f>
        <v>3.1684482445571529</v>
      </c>
      <c r="U106" s="629">
        <f t="shared" ref="U106:U129" si="719">IF(M106="","",X106*SIN(RADIANS(W106)))</f>
        <v>4.2982056437024854</v>
      </c>
      <c r="V106" s="636">
        <f t="shared" ref="V106:V129" si="720">IF(M106="","",Y106)</f>
        <v>-0.69900210819035824</v>
      </c>
      <c r="W106" s="585">
        <f t="shared" si="645"/>
        <v>53.603992260541077</v>
      </c>
      <c r="X106" s="629">
        <f t="shared" ref="X106:X129" si="721">IF(M106="","",R106)</f>
        <v>5.3398161048853732</v>
      </c>
      <c r="Y106" s="630">
        <f t="shared" si="644"/>
        <v>-0.69900210819035824</v>
      </c>
      <c r="Z106" s="632">
        <f t="shared" si="664"/>
        <v>0.74551288469714572</v>
      </c>
      <c r="AA106" s="629">
        <f t="shared" si="665"/>
        <v>0.63769282096955027</v>
      </c>
      <c r="AB106" s="629">
        <f t="shared" si="666"/>
        <v>-0.19379990927355373</v>
      </c>
      <c r="AC106" s="636">
        <f t="shared" ref="AC106:AC129" si="722">IF(M106="","",SQRT(Z106^2+AA106^2+AB106^2))</f>
        <v>1</v>
      </c>
      <c r="AD106" s="637">
        <f t="shared" ref="AD106:AD129" si="723">IF(M106="","",Z106*(1/SQRT(Z106^2+AA106^2+AB106^2)))</f>
        <v>0.74551288469714572</v>
      </c>
      <c r="AE106" s="629">
        <f t="shared" ref="AE106:AE129" si="724">IF(M106="","",AA106*(1/SQRT(Z106^2+AA106^2+AB106^2)))</f>
        <v>0.63769282096955027</v>
      </c>
      <c r="AF106" s="633">
        <f t="shared" ref="AF106:AF129" si="725">IF(M106="","",AB106*(1/SQRT(Z106^2+AA106^2+AB106^2)))</f>
        <v>-0.19379990927355373</v>
      </c>
      <c r="AG106" s="602">
        <f t="shared" ref="AG106:AG129" si="726">IF(M106="","",DEGREES(ATAN2(-AF106,AE106)))</f>
        <v>73.095556928010183</v>
      </c>
      <c r="AH106" s="603">
        <f t="shared" ref="AH106:AH129" si="727">IF(M106="","",DEGREES(ACOS(AD106)))</f>
        <v>41.796829230163468</v>
      </c>
      <c r="AI106" s="585">
        <f t="shared" ref="AI106:AI129" si="728">IF(M106="","",DEGREES(-ACOS(-AF106)))</f>
        <v>-78.825373840329931</v>
      </c>
      <c r="AJ106" s="586">
        <f t="shared" ref="AJ106:AJ129" si="729">IF(M106="","",DEGREES(ATAN2(-AE106,AD106)))</f>
        <v>130.54284081176601</v>
      </c>
      <c r="AK106" s="635">
        <f t="shared" ref="AK106:AK129" si="730">IF(M106="","",(COS(RADIANS((90-$Q$8)-W106))*AD106)+(-SIN(RADIANS((90-$Q$8)-W106))*AE106))</f>
        <v>0.9556609764490821</v>
      </c>
      <c r="AL106" s="629">
        <f t="shared" ref="AL106:AL129" si="731">IF(M106="","",(SIN(RADIANS((90-$Q$8)-W106))*AD106)+(COS(RADIANS((90-$Q$8)-W106))*AE106))</f>
        <v>-0.22170632209738528</v>
      </c>
      <c r="AM106" s="634">
        <f t="shared" ref="AM106:AM129" si="732">IF(M106="","",AF106)</f>
        <v>-0.19379990927355373</v>
      </c>
      <c r="AN106" s="581">
        <f t="shared" ref="AN106:AN129" si="733">IF(M106="","",DEGREES(ATAN2(-AM106,AL106)))</f>
        <v>-48.842353999262812</v>
      </c>
      <c r="AO106" s="582">
        <f t="shared" si="461"/>
        <v>17.125709831188498</v>
      </c>
      <c r="AP106" s="585">
        <f t="shared" ref="AP106:AP129" si="734">IF(M106="","",DEGREES(ATAN2(AK106,AL106)))</f>
        <v>-13.06115144877508</v>
      </c>
      <c r="AQ106" s="586">
        <f t="shared" si="667"/>
        <v>0.42692190080504272</v>
      </c>
      <c r="AS106" s="52">
        <f t="shared" si="543"/>
        <v>-306.39600773945892</v>
      </c>
      <c r="AT106" s="73">
        <f t="shared" si="668"/>
        <v>-0.486227102815734</v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>
        <f t="shared" si="643"/>
        <v>6.1210000000000004</v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>
        <f t="shared" si="542"/>
        <v>1613</v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>
        <v>-4.6974799457185608</v>
      </c>
      <c r="C107" s="708">
        <v>3.549327402869892</v>
      </c>
      <c r="D107" s="709">
        <v>-1.2602038007746632</v>
      </c>
      <c r="E107" s="710">
        <v>-0.80610190375733959</v>
      </c>
      <c r="F107" s="708">
        <v>-0.56548767381499843</v>
      </c>
      <c r="G107" s="711">
        <v>0.17442308196478659</v>
      </c>
      <c r="H107" s="710">
        <v>0.314</v>
      </c>
      <c r="I107" s="708">
        <v>0.52</v>
      </c>
      <c r="J107" s="570">
        <v>6.1239999999999997</v>
      </c>
      <c r="K107" s="865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>1613</v>
      </c>
      <c r="L107" s="320"/>
      <c r="M107" s="168">
        <f t="shared" si="660"/>
        <v>6.1239999999999997</v>
      </c>
      <c r="N107" s="632">
        <f t="shared" si="661"/>
        <v>-4.6974799457185608</v>
      </c>
      <c r="O107" s="629">
        <f t="shared" si="662"/>
        <v>3.549327402869892</v>
      </c>
      <c r="P107" s="633">
        <f t="shared" si="663"/>
        <v>-1.2602038007746632</v>
      </c>
      <c r="Q107" s="585">
        <f t="shared" si="520"/>
        <v>142.92599235843215</v>
      </c>
      <c r="R107" s="629">
        <f t="shared" si="716"/>
        <v>5.887617757055156</v>
      </c>
      <c r="S107" s="634">
        <f t="shared" si="717"/>
        <v>-1.2602038007746632</v>
      </c>
      <c r="T107" s="635">
        <f t="shared" si="718"/>
        <v>3.5493274028698925</v>
      </c>
      <c r="U107" s="629">
        <f t="shared" si="719"/>
        <v>4.6974799457185608</v>
      </c>
      <c r="V107" s="636">
        <f t="shared" si="720"/>
        <v>-1.2602038007746632</v>
      </c>
      <c r="W107" s="585">
        <f t="shared" si="645"/>
        <v>52.925992358432154</v>
      </c>
      <c r="X107" s="629">
        <f t="shared" si="721"/>
        <v>5.887617757055156</v>
      </c>
      <c r="Y107" s="630">
        <f t="shared" si="644"/>
        <v>-1.2602038007746632</v>
      </c>
      <c r="Z107" s="632">
        <f t="shared" si="664"/>
        <v>0.80610190375733959</v>
      </c>
      <c r="AA107" s="629">
        <f t="shared" si="665"/>
        <v>0.56548767381499843</v>
      </c>
      <c r="AB107" s="629">
        <f t="shared" si="666"/>
        <v>-0.17442308196478659</v>
      </c>
      <c r="AC107" s="636">
        <f t="shared" si="722"/>
        <v>1</v>
      </c>
      <c r="AD107" s="637">
        <f t="shared" si="723"/>
        <v>0.80610190375733959</v>
      </c>
      <c r="AE107" s="629">
        <f t="shared" si="724"/>
        <v>0.56548767381499843</v>
      </c>
      <c r="AF107" s="633">
        <f t="shared" si="725"/>
        <v>-0.17442308196478659</v>
      </c>
      <c r="AG107" s="602">
        <f t="shared" si="726"/>
        <v>72.85776871038361</v>
      </c>
      <c r="AH107" s="603">
        <f t="shared" si="727"/>
        <v>36.283193336279275</v>
      </c>
      <c r="AI107" s="585">
        <f t="shared" si="728"/>
        <v>-79.954913199346379</v>
      </c>
      <c r="AJ107" s="586">
        <f t="shared" si="729"/>
        <v>125.05000229636222</v>
      </c>
      <c r="AK107" s="635">
        <f t="shared" si="730"/>
        <v>0.93713396682331862</v>
      </c>
      <c r="AL107" s="629">
        <f t="shared" si="731"/>
        <v>-0.30225240562135558</v>
      </c>
      <c r="AM107" s="634">
        <f t="shared" si="732"/>
        <v>-0.17442308196478659</v>
      </c>
      <c r="AN107" s="581">
        <f t="shared" si="733"/>
        <v>-60.011720023877224</v>
      </c>
      <c r="AO107" s="582">
        <f t="shared" si="461"/>
        <v>20.424317032637692</v>
      </c>
      <c r="AP107" s="585">
        <f t="shared" si="734"/>
        <v>-17.875990062069931</v>
      </c>
      <c r="AQ107" s="586">
        <f t="shared" si="667"/>
        <v>0.38720107539756704</v>
      </c>
      <c r="AS107" s="52">
        <f t="shared" ref="AS107:AS138" si="737">IF(G107="","",IF(AND(W107&lt;(AS106+180),W107&gt;(AS106-180)),W107,IF(W107&gt;(AS106+180),W107-360,IF(W107&lt;(AS106-180),W107+360,"Error"))))</f>
        <v>-307.07400764156785</v>
      </c>
      <c r="AT107" s="73">
        <f t="shared" si="668"/>
        <v>-1.0469579621346856</v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>
        <f t="shared" si="643"/>
        <v>6.1239999999999997</v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>
        <f t="shared" si="542"/>
        <v>1613</v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>
        <v>-4.969368280440392</v>
      </c>
      <c r="C108" s="708">
        <v>3.8255483029472828</v>
      </c>
      <c r="D108" s="709">
        <v>-1.9442058637248854</v>
      </c>
      <c r="E108" s="710">
        <v>-0.87181902728092098</v>
      </c>
      <c r="F108" s="708">
        <v>-0.4597114615440091</v>
      </c>
      <c r="G108" s="711">
        <v>0.16910634463561683</v>
      </c>
      <c r="H108" s="710">
        <v>0.314</v>
      </c>
      <c r="I108" s="708">
        <v>0.52</v>
      </c>
      <c r="J108" s="570">
        <v>6.1269999999999998</v>
      </c>
      <c r="K108" s="865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>1613</v>
      </c>
      <c r="L108" s="320"/>
      <c r="M108" s="168">
        <f t="shared" si="660"/>
        <v>6.1269999999999998</v>
      </c>
      <c r="N108" s="632">
        <f t="shared" si="661"/>
        <v>-4.969368280440392</v>
      </c>
      <c r="O108" s="629">
        <f t="shared" si="662"/>
        <v>3.8255483029472828</v>
      </c>
      <c r="P108" s="633">
        <f t="shared" si="663"/>
        <v>-1.9442058637248854</v>
      </c>
      <c r="Q108" s="585">
        <f t="shared" si="520"/>
        <v>142.40999243293331</v>
      </c>
      <c r="R108" s="629">
        <f t="shared" si="716"/>
        <v>6.2713189142978472</v>
      </c>
      <c r="S108" s="634">
        <f t="shared" si="717"/>
        <v>-1.9442058637248854</v>
      </c>
      <c r="T108" s="635">
        <f t="shared" si="718"/>
        <v>3.8255483029472837</v>
      </c>
      <c r="U108" s="629">
        <f t="shared" si="719"/>
        <v>4.9693682804403911</v>
      </c>
      <c r="V108" s="636">
        <f t="shared" si="720"/>
        <v>-1.9442058637248854</v>
      </c>
      <c r="W108" s="585">
        <f t="shared" si="645"/>
        <v>52.409992432933308</v>
      </c>
      <c r="X108" s="629">
        <f t="shared" si="721"/>
        <v>6.2713189142978472</v>
      </c>
      <c r="Y108" s="630">
        <f t="shared" si="644"/>
        <v>-1.9442058637248854</v>
      </c>
      <c r="Z108" s="632">
        <f t="shared" si="664"/>
        <v>0.87181902728092098</v>
      </c>
      <c r="AA108" s="629">
        <f t="shared" si="665"/>
        <v>0.4597114615440091</v>
      </c>
      <c r="AB108" s="629">
        <f t="shared" si="666"/>
        <v>-0.16910634463561683</v>
      </c>
      <c r="AC108" s="636">
        <f t="shared" si="722"/>
        <v>1</v>
      </c>
      <c r="AD108" s="637">
        <f t="shared" si="723"/>
        <v>0.87181902728092098</v>
      </c>
      <c r="AE108" s="629">
        <f t="shared" si="724"/>
        <v>0.4597114615440091</v>
      </c>
      <c r="AF108" s="633">
        <f t="shared" si="725"/>
        <v>-0.16910634463561683</v>
      </c>
      <c r="AG108" s="602">
        <f t="shared" si="726"/>
        <v>69.803791642914817</v>
      </c>
      <c r="AH108" s="603">
        <f t="shared" si="727"/>
        <v>29.329284795652267</v>
      </c>
      <c r="AI108" s="585">
        <f t="shared" si="728"/>
        <v>-80.264135879316143</v>
      </c>
      <c r="AJ108" s="586">
        <f t="shared" si="729"/>
        <v>117.80274770684223</v>
      </c>
      <c r="AK108" s="635">
        <f t="shared" si="730"/>
        <v>0.89608923294129139</v>
      </c>
      <c r="AL108" s="629">
        <f t="shared" si="731"/>
        <v>-0.41039874611244642</v>
      </c>
      <c r="AM108" s="634">
        <f t="shared" si="732"/>
        <v>-0.16910634463561683</v>
      </c>
      <c r="AN108" s="581">
        <f t="shared" si="733"/>
        <v>-67.605705962280609</v>
      </c>
      <c r="AO108" s="582">
        <f t="shared" si="461"/>
        <v>26.351317120776876</v>
      </c>
      <c r="AP108" s="585">
        <f t="shared" si="734"/>
        <v>-24.607244726091089</v>
      </c>
      <c r="AQ108" s="586">
        <f t="shared" si="667"/>
        <v>0.36351141999528003</v>
      </c>
      <c r="AS108" s="52">
        <f t="shared" si="737"/>
        <v>-307.59000756706666</v>
      </c>
      <c r="AT108" s="73">
        <f t="shared" si="668"/>
        <v>-1.7306016918033114</v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>
        <f t="shared" si="643"/>
        <v>6.1269999999999998</v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>
        <f t="shared" si="542"/>
        <v>1613</v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>
        <v>-5.1038297122790688</v>
      </c>
      <c r="C109" s="708">
        <v>3.9676476044163067</v>
      </c>
      <c r="D109" s="709">
        <v>-2.7043081561933993</v>
      </c>
      <c r="E109" s="710">
        <v>-0.91184781424840688</v>
      </c>
      <c r="F109" s="708">
        <v>-0.39544176543113241</v>
      </c>
      <c r="G109" s="711">
        <v>0.11026955066160421</v>
      </c>
      <c r="H109" s="710">
        <v>0.314</v>
      </c>
      <c r="I109" s="708">
        <v>0.52</v>
      </c>
      <c r="J109" s="570">
        <v>6.13</v>
      </c>
      <c r="K109" s="865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>1613</v>
      </c>
      <c r="L109" s="320"/>
      <c r="M109" s="168">
        <f t="shared" si="660"/>
        <v>6.13</v>
      </c>
      <c r="N109" s="632">
        <f t="shared" si="661"/>
        <v>-5.1038297122790688</v>
      </c>
      <c r="O109" s="629">
        <f t="shared" si="662"/>
        <v>3.9676476044163067</v>
      </c>
      <c r="P109" s="633">
        <f t="shared" si="663"/>
        <v>-2.7043081561933993</v>
      </c>
      <c r="Q109" s="585">
        <f t="shared" si="520"/>
        <v>142.13899247206086</v>
      </c>
      <c r="R109" s="629">
        <f t="shared" si="716"/>
        <v>6.4646194972924045</v>
      </c>
      <c r="S109" s="634">
        <f t="shared" si="717"/>
        <v>-2.7043081561933993</v>
      </c>
      <c r="T109" s="635">
        <f t="shared" si="718"/>
        <v>3.967647604416308</v>
      </c>
      <c r="U109" s="629">
        <f t="shared" si="719"/>
        <v>5.1038297122790679</v>
      </c>
      <c r="V109" s="636">
        <f t="shared" si="720"/>
        <v>-2.7043081561933993</v>
      </c>
      <c r="W109" s="585">
        <f t="shared" si="645"/>
        <v>52.138992472060863</v>
      </c>
      <c r="X109" s="629">
        <f t="shared" si="721"/>
        <v>6.4646194972924045</v>
      </c>
      <c r="Y109" s="630">
        <f t="shared" si="644"/>
        <v>-2.7043081561933993</v>
      </c>
      <c r="Z109" s="632">
        <f t="shared" si="664"/>
        <v>0.91184781424840688</v>
      </c>
      <c r="AA109" s="629">
        <f t="shared" si="665"/>
        <v>0.39544176543113241</v>
      </c>
      <c r="AB109" s="629">
        <f t="shared" si="666"/>
        <v>-0.11026955066160421</v>
      </c>
      <c r="AC109" s="636">
        <f t="shared" si="722"/>
        <v>1</v>
      </c>
      <c r="AD109" s="637">
        <f t="shared" si="723"/>
        <v>0.91184781424840688</v>
      </c>
      <c r="AE109" s="629">
        <f t="shared" si="724"/>
        <v>0.39544176543113241</v>
      </c>
      <c r="AF109" s="633">
        <f t="shared" si="725"/>
        <v>-0.11026955066160421</v>
      </c>
      <c r="AG109" s="602">
        <f t="shared" si="726"/>
        <v>74.418789087918398</v>
      </c>
      <c r="AH109" s="603">
        <f t="shared" si="727"/>
        <v>24.238032112217219</v>
      </c>
      <c r="AI109" s="585">
        <f t="shared" si="728"/>
        <v>-83.669145788508558</v>
      </c>
      <c r="AJ109" s="586">
        <f t="shared" si="729"/>
        <v>113.44496915291931</v>
      </c>
      <c r="AK109" s="635">
        <f t="shared" si="730"/>
        <v>0.87184686276416579</v>
      </c>
      <c r="AL109" s="629">
        <f t="shared" si="731"/>
        <v>-0.47720401725590045</v>
      </c>
      <c r="AM109" s="634">
        <f t="shared" si="732"/>
        <v>-0.11026955066160421</v>
      </c>
      <c r="AN109" s="581">
        <f t="shared" si="733"/>
        <v>-76.988792744853285</v>
      </c>
      <c r="AO109" s="582">
        <f t="shared" si="461"/>
        <v>29.3260286812712</v>
      </c>
      <c r="AP109" s="585">
        <f t="shared" si="734"/>
        <v>-28.694023319141547</v>
      </c>
      <c r="AQ109" s="586">
        <f t="shared" si="667"/>
        <v>0.35264223154940527</v>
      </c>
      <c r="AS109" s="52">
        <f t="shared" si="737"/>
        <v>-307.86100752793914</v>
      </c>
      <c r="AT109" s="73">
        <f t="shared" si="668"/>
        <v>-2.4905157898545527</v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>
        <f t="shared" si="643"/>
        <v>6.13</v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>
        <f t="shared" si="542"/>
        <v>1613</v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>
        <v>-5.1715015213941209</v>
      </c>
      <c r="C110" s="708">
        <v>4.0405662543395682</v>
      </c>
      <c r="D110" s="709">
        <v>-3.4487104013105703</v>
      </c>
      <c r="E110" s="710">
        <v>-0.95630987118972666</v>
      </c>
      <c r="F110" s="708">
        <v>-0.29235497304658897</v>
      </c>
      <c r="G110" s="711">
        <v>1.3008419260979977E-7</v>
      </c>
      <c r="H110" s="710">
        <v>0.26600000000000001</v>
      </c>
      <c r="I110" s="708">
        <v>0.52</v>
      </c>
      <c r="J110" s="570">
        <v>6.133</v>
      </c>
      <c r="K110" s="865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>1313</v>
      </c>
      <c r="L110" s="320"/>
      <c r="M110" s="168">
        <f t="shared" si="660"/>
        <v>6.133</v>
      </c>
      <c r="N110" s="632">
        <f t="shared" si="661"/>
        <v>-5.1715015213941209</v>
      </c>
      <c r="O110" s="629">
        <f t="shared" si="662"/>
        <v>4.0405662543395682</v>
      </c>
      <c r="P110" s="633">
        <f t="shared" si="663"/>
        <v>-3.4487104013105703</v>
      </c>
      <c r="Q110" s="585">
        <f t="shared" si="520"/>
        <v>141.99899249227437</v>
      </c>
      <c r="R110" s="629">
        <f t="shared" si="716"/>
        <v>6.5628197934644978</v>
      </c>
      <c r="S110" s="634">
        <f t="shared" si="717"/>
        <v>-3.4487104013105703</v>
      </c>
      <c r="T110" s="635">
        <f t="shared" si="718"/>
        <v>4.0405662543395691</v>
      </c>
      <c r="U110" s="629">
        <f t="shared" si="719"/>
        <v>5.1715015213941209</v>
      </c>
      <c r="V110" s="636">
        <f t="shared" si="720"/>
        <v>-3.4487104013105703</v>
      </c>
      <c r="W110" s="585">
        <f t="shared" si="645"/>
        <v>51.998992492274368</v>
      </c>
      <c r="X110" s="629">
        <f t="shared" si="721"/>
        <v>6.5628197934644978</v>
      </c>
      <c r="Y110" s="630">
        <f t="shared" si="644"/>
        <v>-3.4487104013105703</v>
      </c>
      <c r="Z110" s="632">
        <f t="shared" si="664"/>
        <v>0.95630987118972666</v>
      </c>
      <c r="AA110" s="629">
        <f t="shared" si="665"/>
        <v>0.29235497304658897</v>
      </c>
      <c r="AB110" s="629">
        <f t="shared" si="666"/>
        <v>-1.3008419260979977E-7</v>
      </c>
      <c r="AC110" s="636">
        <f t="shared" si="722"/>
        <v>1</v>
      </c>
      <c r="AD110" s="637">
        <f t="shared" si="723"/>
        <v>0.95630987118972666</v>
      </c>
      <c r="AE110" s="629">
        <f t="shared" si="724"/>
        <v>0.29235497304658897</v>
      </c>
      <c r="AF110" s="633">
        <f t="shared" si="725"/>
        <v>-1.3008419260979977E-7</v>
      </c>
      <c r="AG110" s="602">
        <f t="shared" si="726"/>
        <v>89.999974506076839</v>
      </c>
      <c r="AH110" s="603">
        <f t="shared" si="727"/>
        <v>16.998997545650671</v>
      </c>
      <c r="AI110" s="585">
        <f t="shared" si="728"/>
        <v>-89.999992546724783</v>
      </c>
      <c r="AJ110" s="586">
        <f t="shared" si="729"/>
        <v>106.9989975456491</v>
      </c>
      <c r="AK110" s="635">
        <f t="shared" si="730"/>
        <v>0.81915209487729213</v>
      </c>
      <c r="AL110" s="629">
        <f t="shared" si="731"/>
        <v>-0.57357636410344459</v>
      </c>
      <c r="AM110" s="634">
        <f t="shared" si="732"/>
        <v>-1.3008419260979977E-7</v>
      </c>
      <c r="AN110" s="581">
        <f t="shared" si="733"/>
        <v>-89.999987005609569</v>
      </c>
      <c r="AO110" s="582">
        <f t="shared" si="461"/>
        <v>34.999994946625939</v>
      </c>
      <c r="AP110" s="585">
        <f t="shared" si="734"/>
        <v>-34.999994946625264</v>
      </c>
      <c r="AQ110" s="586">
        <f t="shared" si="667"/>
        <v>0.34736573186354336</v>
      </c>
      <c r="AS110" s="52">
        <f t="shared" si="737"/>
        <v>-308.0010075077256</v>
      </c>
      <c r="AT110" s="73">
        <f t="shared" si="668"/>
        <v>-3.2348208127635387</v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>
        <f t="shared" si="643"/>
        <v>6.133</v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>
        <f t="shared" si="542"/>
        <v>1313</v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>
        <v>-5.1715015213941209</v>
      </c>
      <c r="C111" s="708">
        <v>4.0405662543395682</v>
      </c>
      <c r="D111" s="709">
        <v>-4.2446128017522105</v>
      </c>
      <c r="E111" s="710">
        <v>-0.95630987118972666</v>
      </c>
      <c r="F111" s="708">
        <v>-0.29235497304658897</v>
      </c>
      <c r="G111" s="711">
        <v>1.3008419260979977E-7</v>
      </c>
      <c r="H111" s="710">
        <v>0.26600000000000001</v>
      </c>
      <c r="I111" s="708">
        <v>0.52</v>
      </c>
      <c r="J111" s="570">
        <v>6.1360000000000001</v>
      </c>
      <c r="K111" s="865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>1313</v>
      </c>
      <c r="L111" s="320"/>
      <c r="M111" s="168">
        <f t="shared" si="660"/>
        <v>6.1360000000000001</v>
      </c>
      <c r="N111" s="632">
        <f t="shared" si="661"/>
        <v>-5.1715015213941209</v>
      </c>
      <c r="O111" s="629">
        <f t="shared" si="662"/>
        <v>4.0405662543395682</v>
      </c>
      <c r="P111" s="633">
        <f t="shared" si="663"/>
        <v>-4.2446128017522105</v>
      </c>
      <c r="Q111" s="585">
        <f t="shared" si="520"/>
        <v>141.99899249227437</v>
      </c>
      <c r="R111" s="629">
        <f t="shared" si="716"/>
        <v>6.5628197934644978</v>
      </c>
      <c r="S111" s="634">
        <f t="shared" si="717"/>
        <v>-4.2446128017522105</v>
      </c>
      <c r="T111" s="635">
        <f t="shared" si="718"/>
        <v>4.0405662543395691</v>
      </c>
      <c r="U111" s="629">
        <f t="shared" si="719"/>
        <v>5.1715015213941209</v>
      </c>
      <c r="V111" s="636">
        <f t="shared" si="720"/>
        <v>-4.2446128017522105</v>
      </c>
      <c r="W111" s="585">
        <f t="shared" si="645"/>
        <v>51.998992492274368</v>
      </c>
      <c r="X111" s="629">
        <f t="shared" si="721"/>
        <v>6.5628197934644978</v>
      </c>
      <c r="Y111" s="630">
        <f t="shared" si="644"/>
        <v>-4.2446128017522105</v>
      </c>
      <c r="Z111" s="632">
        <f t="shared" si="664"/>
        <v>0.95630987118972666</v>
      </c>
      <c r="AA111" s="629">
        <f t="shared" si="665"/>
        <v>0.29235497304658897</v>
      </c>
      <c r="AB111" s="629">
        <f t="shared" si="666"/>
        <v>-1.3008419260979977E-7</v>
      </c>
      <c r="AC111" s="636">
        <f t="shared" si="722"/>
        <v>1</v>
      </c>
      <c r="AD111" s="637">
        <f t="shared" si="723"/>
        <v>0.95630987118972666</v>
      </c>
      <c r="AE111" s="629">
        <f t="shared" si="724"/>
        <v>0.29235497304658897</v>
      </c>
      <c r="AF111" s="633">
        <f t="shared" si="725"/>
        <v>-1.3008419260979977E-7</v>
      </c>
      <c r="AG111" s="602">
        <f t="shared" si="726"/>
        <v>89.999974506076839</v>
      </c>
      <c r="AH111" s="603">
        <f t="shared" si="727"/>
        <v>16.998997545650671</v>
      </c>
      <c r="AI111" s="585">
        <f t="shared" si="728"/>
        <v>-89.999992546724783</v>
      </c>
      <c r="AJ111" s="586">
        <f t="shared" si="729"/>
        <v>106.9989975456491</v>
      </c>
      <c r="AK111" s="635">
        <f t="shared" si="730"/>
        <v>0.81915209487729213</v>
      </c>
      <c r="AL111" s="629">
        <f t="shared" si="731"/>
        <v>-0.57357636410344459</v>
      </c>
      <c r="AM111" s="634">
        <f t="shared" si="732"/>
        <v>-1.3008419260979977E-7</v>
      </c>
      <c r="AN111" s="581">
        <f t="shared" si="733"/>
        <v>-89.999987005609569</v>
      </c>
      <c r="AO111" s="582">
        <f t="shared" si="461"/>
        <v>34.999994946625939</v>
      </c>
      <c r="AP111" s="585">
        <f t="shared" si="734"/>
        <v>-34.999994946625264</v>
      </c>
      <c r="AQ111" s="586">
        <f t="shared" si="667"/>
        <v>0.34736573186354336</v>
      </c>
      <c r="AS111" s="52">
        <f t="shared" si="737"/>
        <v>-308.0010075077256</v>
      </c>
      <c r="AT111" s="73">
        <f t="shared" si="668"/>
        <v>-4.0307232132051789</v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>
        <f t="shared" si="643"/>
        <v>6.1360000000000001</v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>
        <f t="shared" si="542"/>
        <v>1313</v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>
        <v>-2.4333600973767817</v>
      </c>
      <c r="C112" s="708">
        <v>3.0674965377872137</v>
      </c>
      <c r="D112" s="709">
        <v>-0.12221348435766306</v>
      </c>
      <c r="E112" s="710">
        <v>-7.4016184499791485E-2</v>
      </c>
      <c r="F112" s="708">
        <v>9.3304522389928479E-2</v>
      </c>
      <c r="G112" s="711">
        <v>0.99288260662259575</v>
      </c>
      <c r="H112" s="710">
        <v>0.25700000000000001</v>
      </c>
      <c r="I112" s="708">
        <v>0.41499999999999992</v>
      </c>
      <c r="J112" s="570">
        <v>6.2149999999999999</v>
      </c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>CPS-32193r1</v>
      </c>
      <c r="L112" s="320"/>
      <c r="M112" s="168">
        <f t="shared" si="660"/>
        <v>6.2149999999999999</v>
      </c>
      <c r="N112" s="632">
        <f t="shared" si="661"/>
        <v>-2.4333600973767817</v>
      </c>
      <c r="O112" s="629">
        <f t="shared" si="662"/>
        <v>3.0674965377872137</v>
      </c>
      <c r="P112" s="633">
        <f t="shared" si="663"/>
        <v>-0.12221348435766306</v>
      </c>
      <c r="Q112" s="585">
        <f t="shared" si="520"/>
        <v>128.42399445226161</v>
      </c>
      <c r="R112" s="629">
        <f t="shared" si="716"/>
        <v>3.9154535334801359</v>
      </c>
      <c r="S112" s="634">
        <f t="shared" si="717"/>
        <v>-0.12221348435766306</v>
      </c>
      <c r="T112" s="635">
        <f t="shared" si="718"/>
        <v>3.0674965377872132</v>
      </c>
      <c r="U112" s="629">
        <f t="shared" si="719"/>
        <v>2.4333600973767822</v>
      </c>
      <c r="V112" s="636">
        <f t="shared" si="720"/>
        <v>-0.12221348435766306</v>
      </c>
      <c r="W112" s="585">
        <f t="shared" si="645"/>
        <v>38.42399445226161</v>
      </c>
      <c r="X112" s="629">
        <f t="shared" si="721"/>
        <v>3.9154535334801359</v>
      </c>
      <c r="Y112" s="630">
        <f t="shared" si="644"/>
        <v>-0.12221348435766306</v>
      </c>
      <c r="Z112" s="632">
        <f t="shared" si="664"/>
        <v>7.4016184499791485E-2</v>
      </c>
      <c r="AA112" s="629">
        <f t="shared" si="665"/>
        <v>-9.3304522389928479E-2</v>
      </c>
      <c r="AB112" s="629">
        <f t="shared" si="666"/>
        <v>-0.99288260662259575</v>
      </c>
      <c r="AC112" s="636">
        <f t="shared" si="722"/>
        <v>1</v>
      </c>
      <c r="AD112" s="637">
        <f t="shared" si="723"/>
        <v>7.4016184499791485E-2</v>
      </c>
      <c r="AE112" s="629">
        <f t="shared" si="724"/>
        <v>-9.3304522389928479E-2</v>
      </c>
      <c r="AF112" s="633">
        <f t="shared" si="725"/>
        <v>-0.99288260662259575</v>
      </c>
      <c r="AG112" s="602">
        <f t="shared" si="726"/>
        <v>-5.3685113097111028</v>
      </c>
      <c r="AH112" s="603">
        <f t="shared" si="727"/>
        <v>85.755303291672462</v>
      </c>
      <c r="AI112" s="585">
        <f t="shared" si="728"/>
        <v>-6.839999012438593</v>
      </c>
      <c r="AJ112" s="586">
        <f t="shared" si="729"/>
        <v>38.424103559752083</v>
      </c>
      <c r="AK112" s="635">
        <f t="shared" si="730"/>
        <v>2.2679489664750863E-7</v>
      </c>
      <c r="AL112" s="629">
        <f t="shared" si="731"/>
        <v>-0.11909714298113284</v>
      </c>
      <c r="AM112" s="634">
        <f t="shared" si="732"/>
        <v>-0.99288260662259575</v>
      </c>
      <c r="AN112" s="581">
        <f t="shared" si="733"/>
        <v>-6.8399990124263281</v>
      </c>
      <c r="AO112" s="582">
        <f t="shared" si="461"/>
        <v>0</v>
      </c>
      <c r="AP112" s="585">
        <f t="shared" si="734"/>
        <v>-89.999890892509526</v>
      </c>
      <c r="AQ112" s="586">
        <f t="shared" si="667"/>
        <v>0.58221816318147646</v>
      </c>
      <c r="AS112" s="52">
        <f t="shared" si="737"/>
        <v>-321.57600554773842</v>
      </c>
      <c r="AT112" s="73">
        <f t="shared" si="668"/>
        <v>0.10110318616159973</v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>Nose</v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>
        <f t="shared" si="643"/>
        <v>6.2149999999999999</v>
      </c>
      <c r="IH112" s="731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>0.115</v>
      </c>
      <c r="II112" s="734" cm="1">
        <f t="array" ref="II112">IFERROR(ROUND(VALUE(IF($IH112&lt;1,$IH112+LARGE((IF($M$9:$M$150="",0,$M$9:$M$150)-MOD(IF($M$9:$M$150="",0,$M$9:$M$150),1)),1),$IH112)),4),"")</f>
        <v>6.1150000000000002</v>
      </c>
      <c r="IJ112" s="533">
        <f t="shared" si="542"/>
        <v>1613</v>
      </c>
      <c r="IK112" s="533" t="str">
        <f t="shared" si="713"/>
        <v>CPS-32193r1</v>
      </c>
      <c r="IL112" s="727">
        <f t="shared" si="647"/>
        <v>16.434997627079923</v>
      </c>
      <c r="IM112" s="759">
        <v>6.0849436943234803E-2</v>
      </c>
      <c r="IN112" s="5">
        <f t="shared" si="648"/>
        <v>1.74</v>
      </c>
      <c r="IO112" s="771">
        <v>870</v>
      </c>
      <c r="IP112" s="9">
        <f t="shared" si="649"/>
        <v>-3.9101117928971676</v>
      </c>
      <c r="IQ112" s="5">
        <f t="shared" si="650"/>
        <v>-8.7500263900795919E-2</v>
      </c>
      <c r="IR112" s="5">
        <f t="shared" si="714"/>
        <v>0.314</v>
      </c>
      <c r="IS112" s="5">
        <f t="shared" si="651"/>
        <v>0.3031304340089005</v>
      </c>
      <c r="IT112" s="727">
        <f t="shared" si="652"/>
        <v>14.220001257477135</v>
      </c>
      <c r="IU112" s="9">
        <f t="shared" si="653"/>
        <v>-3.9154535334801359</v>
      </c>
      <c r="IV112" s="5">
        <f t="shared" si="654"/>
        <v>-0.12221348435766306</v>
      </c>
      <c r="IW112" s="5">
        <f t="shared" si="715"/>
        <v>0.25700000000000001</v>
      </c>
      <c r="IX112" s="5">
        <f t="shared" si="655"/>
        <v>0.25700000000000001</v>
      </c>
      <c r="IY112" s="762">
        <f t="shared" si="656"/>
        <v>6.8399990124263281</v>
      </c>
    </row>
    <row r="113" spans="1:259" ht="15" customHeight="1" x14ac:dyDescent="0.25">
      <c r="A113" s="79"/>
      <c r="B113" s="707">
        <v>-3.0697761429005164</v>
      </c>
      <c r="C113" s="708">
        <v>3.5338648216768127</v>
      </c>
      <c r="D113" s="709">
        <v>-0.30150099343503772</v>
      </c>
      <c r="E113" s="710">
        <v>-0.82008270712014675</v>
      </c>
      <c r="F113" s="708">
        <v>-0.48483316579495572</v>
      </c>
      <c r="G113" s="711">
        <v>0.30397558261763835</v>
      </c>
      <c r="H113" s="710">
        <v>0.26600000000000001</v>
      </c>
      <c r="I113" s="708">
        <v>0.52</v>
      </c>
      <c r="J113" s="570">
        <v>6.218</v>
      </c>
      <c r="K113" s="865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>1313</v>
      </c>
      <c r="L113" s="320"/>
      <c r="M113" s="168">
        <f t="shared" si="660"/>
        <v>6.218</v>
      </c>
      <c r="N113" s="632">
        <f t="shared" si="661"/>
        <v>-3.0697761429005164</v>
      </c>
      <c r="O113" s="629">
        <f t="shared" si="662"/>
        <v>3.5338648216768127</v>
      </c>
      <c r="P113" s="633">
        <f t="shared" si="663"/>
        <v>-0.30150099343503772</v>
      </c>
      <c r="Q113" s="585">
        <f t="shared" si="520"/>
        <v>130.9799940832209</v>
      </c>
      <c r="R113" s="629">
        <f t="shared" si="716"/>
        <v>4.6809962770126257</v>
      </c>
      <c r="S113" s="634">
        <f t="shared" si="717"/>
        <v>-0.30150099343503772</v>
      </c>
      <c r="T113" s="635">
        <f t="shared" si="718"/>
        <v>3.5338648216768132</v>
      </c>
      <c r="U113" s="629">
        <f t="shared" si="719"/>
        <v>3.0697761429005159</v>
      </c>
      <c r="V113" s="636">
        <f t="shared" si="720"/>
        <v>-0.30150099343503772</v>
      </c>
      <c r="W113" s="585">
        <f t="shared" si="645"/>
        <v>40.979994083220902</v>
      </c>
      <c r="X113" s="629">
        <f t="shared" si="721"/>
        <v>4.6809962770126257</v>
      </c>
      <c r="Y113" s="630">
        <f t="shared" si="644"/>
        <v>-0.30150099343503772</v>
      </c>
      <c r="Z113" s="632">
        <f t="shared" si="664"/>
        <v>0.82008270712014675</v>
      </c>
      <c r="AA113" s="629">
        <f t="shared" si="665"/>
        <v>0.48483316579495572</v>
      </c>
      <c r="AB113" s="629">
        <f t="shared" si="666"/>
        <v>-0.30397558261763835</v>
      </c>
      <c r="AC113" s="636">
        <f t="shared" si="722"/>
        <v>1</v>
      </c>
      <c r="AD113" s="637">
        <f t="shared" si="723"/>
        <v>0.82008270712014675</v>
      </c>
      <c r="AE113" s="629">
        <f t="shared" si="724"/>
        <v>0.48483316579495572</v>
      </c>
      <c r="AF113" s="633">
        <f t="shared" si="725"/>
        <v>-0.30397558261763835</v>
      </c>
      <c r="AG113" s="602">
        <f t="shared" si="726"/>
        <v>57.913544450625594</v>
      </c>
      <c r="AH113" s="603">
        <f t="shared" si="727"/>
        <v>34.906926090907099</v>
      </c>
      <c r="AI113" s="585">
        <f t="shared" si="728"/>
        <v>-72.303456876146114</v>
      </c>
      <c r="AJ113" s="586">
        <f t="shared" si="729"/>
        <v>120.59159337097989</v>
      </c>
      <c r="AK113" s="635">
        <f t="shared" si="730"/>
        <v>0.93706349153540036</v>
      </c>
      <c r="AL113" s="629">
        <f t="shared" si="731"/>
        <v>-0.17178724633613557</v>
      </c>
      <c r="AM113" s="634">
        <f t="shared" si="732"/>
        <v>-0.30397558261763835</v>
      </c>
      <c r="AN113" s="581">
        <f t="shared" si="733"/>
        <v>-29.472311953278655</v>
      </c>
      <c r="AO113" s="582">
        <f t="shared" si="461"/>
        <v>20.43588491650295</v>
      </c>
      <c r="AP113" s="585">
        <f t="shared" si="734"/>
        <v>-10.388400712241005</v>
      </c>
      <c r="AQ113" s="586">
        <f t="shared" si="667"/>
        <v>0.48700567043242171</v>
      </c>
      <c r="AS113" s="52">
        <f t="shared" si="737"/>
        <v>-319.0200059167791</v>
      </c>
      <c r="AT113" s="73">
        <f t="shared" si="668"/>
        <v>-7.9959322659496679E-2</v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>Nose</v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>
        <f t="shared" si="643"/>
        <v>6.218</v>
      </c>
      <c r="IH113" s="731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>0.11799999999999999</v>
      </c>
      <c r="II113" s="734" cm="1">
        <f t="array" ref="II113">IFERROR(ROUND(VALUE(IF($IH113&lt;1,$IH113+LARGE((IF($M$9:$M$150="",0,$M$9:$M$150)-MOD(IF($M$9:$M$150="",0,$M$9:$M$150),1)),1),$IH113)),4),"")</f>
        <v>6.1180000000000003</v>
      </c>
      <c r="IJ113" s="533">
        <f t="shared" si="542"/>
        <v>1613</v>
      </c>
      <c r="IK113" s="533">
        <f t="shared" si="713"/>
        <v>1313</v>
      </c>
      <c r="IL113" s="727">
        <f t="shared" si="647"/>
        <v>13.33199807509763</v>
      </c>
      <c r="IM113" s="759">
        <v>3.3060698439494399E-2</v>
      </c>
      <c r="IN113" s="5">
        <f t="shared" si="648"/>
        <v>1.4</v>
      </c>
      <c r="IO113" s="771">
        <v>700</v>
      </c>
      <c r="IP113" s="9">
        <f t="shared" si="649"/>
        <v>-4.6653140705872378</v>
      </c>
      <c r="IQ113" s="5">
        <f t="shared" si="650"/>
        <v>-0.29900090178671979</v>
      </c>
      <c r="IR113" s="5">
        <f t="shared" si="714"/>
        <v>0.314</v>
      </c>
      <c r="IS113" s="5">
        <f t="shared" si="651"/>
        <v>0.3024521137712281</v>
      </c>
      <c r="IT113" s="727">
        <f t="shared" si="652"/>
        <v>33.262690767999601</v>
      </c>
      <c r="IU113" s="9">
        <f t="shared" si="653"/>
        <v>-4.6809962770126257</v>
      </c>
      <c r="IV113" s="5">
        <f t="shared" si="654"/>
        <v>-0.30150099343503772</v>
      </c>
      <c r="IW113" s="5">
        <f t="shared" si="715"/>
        <v>0.26600000000000001</v>
      </c>
      <c r="IX113" s="5">
        <f t="shared" si="655"/>
        <v>0.24925888874841651</v>
      </c>
      <c r="IY113" s="762">
        <f t="shared" si="656"/>
        <v>29.472311953278655</v>
      </c>
    </row>
    <row r="114" spans="1:259" ht="15" customHeight="1" x14ac:dyDescent="0.25">
      <c r="A114" s="79"/>
      <c r="B114" s="707">
        <v>-3.5244439121627908</v>
      </c>
      <c r="C114" s="708">
        <v>4.044134640466015</v>
      </c>
      <c r="D114" s="709">
        <v>-0.70476206869322444</v>
      </c>
      <c r="E114" s="710">
        <v>-0.87021688226213856</v>
      </c>
      <c r="F114" s="708">
        <v>-0.41414770532042322</v>
      </c>
      <c r="G114" s="711">
        <v>0.26684125618762794</v>
      </c>
      <c r="H114" s="710">
        <v>0.26600000000000001</v>
      </c>
      <c r="I114" s="708">
        <v>0.52</v>
      </c>
      <c r="J114" s="570">
        <v>6.2210000000000001</v>
      </c>
      <c r="K114" s="865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>1313</v>
      </c>
      <c r="L114" s="320"/>
      <c r="M114" s="168">
        <f t="shared" si="660"/>
        <v>6.2210000000000001</v>
      </c>
      <c r="N114" s="632">
        <f t="shared" si="661"/>
        <v>-3.5244439121627908</v>
      </c>
      <c r="O114" s="629">
        <f t="shared" si="662"/>
        <v>4.044134640466015</v>
      </c>
      <c r="P114" s="633">
        <f t="shared" si="663"/>
        <v>-0.70476206869322444</v>
      </c>
      <c r="Q114" s="585">
        <f t="shared" si="520"/>
        <v>131.07199406993774</v>
      </c>
      <c r="R114" s="629">
        <f t="shared" si="716"/>
        <v>5.3643946424735143</v>
      </c>
      <c r="S114" s="634">
        <f t="shared" si="717"/>
        <v>-0.70476206869322444</v>
      </c>
      <c r="T114" s="635">
        <f t="shared" si="718"/>
        <v>4.044134640466015</v>
      </c>
      <c r="U114" s="629">
        <f t="shared" si="719"/>
        <v>3.5244439121627904</v>
      </c>
      <c r="V114" s="636">
        <f t="shared" si="720"/>
        <v>-0.70476206869322444</v>
      </c>
      <c r="W114" s="585">
        <f t="shared" si="645"/>
        <v>41.071994069937745</v>
      </c>
      <c r="X114" s="629">
        <f t="shared" si="721"/>
        <v>5.3643946424735143</v>
      </c>
      <c r="Y114" s="630">
        <f t="shared" si="644"/>
        <v>-0.70476206869322444</v>
      </c>
      <c r="Z114" s="632">
        <f t="shared" si="664"/>
        <v>0.87021688226213856</v>
      </c>
      <c r="AA114" s="629">
        <f t="shared" si="665"/>
        <v>0.41414770532042322</v>
      </c>
      <c r="AB114" s="629">
        <f t="shared" si="666"/>
        <v>-0.26684125618762794</v>
      </c>
      <c r="AC114" s="636">
        <f t="shared" si="722"/>
        <v>1</v>
      </c>
      <c r="AD114" s="637">
        <f t="shared" si="723"/>
        <v>0.87021688226213856</v>
      </c>
      <c r="AE114" s="629">
        <f t="shared" si="724"/>
        <v>0.41414770532042322</v>
      </c>
      <c r="AF114" s="633">
        <f t="shared" si="725"/>
        <v>-0.26684125618762794</v>
      </c>
      <c r="AG114" s="602">
        <f t="shared" si="726"/>
        <v>57.205740855545933</v>
      </c>
      <c r="AH114" s="603">
        <f t="shared" si="727"/>
        <v>29.516147597701771</v>
      </c>
      <c r="AI114" s="585">
        <f t="shared" si="728"/>
        <v>-74.52361070491267</v>
      </c>
      <c r="AJ114" s="586">
        <f t="shared" si="729"/>
        <v>115.45039369120205</v>
      </c>
      <c r="AK114" s="635">
        <f t="shared" si="730"/>
        <v>0.92814099798064742</v>
      </c>
      <c r="AL114" s="629">
        <f t="shared" si="731"/>
        <v>-0.25951884683717447</v>
      </c>
      <c r="AM114" s="634">
        <f t="shared" si="732"/>
        <v>-0.26684125618762794</v>
      </c>
      <c r="AN114" s="581">
        <f t="shared" si="733"/>
        <v>-44.20298653329138</v>
      </c>
      <c r="AO114" s="582">
        <f t="shared" si="461"/>
        <v>21.853139667345722</v>
      </c>
      <c r="AP114" s="585">
        <f t="shared" si="734"/>
        <v>-15.621600378735689</v>
      </c>
      <c r="AQ114" s="586">
        <f t="shared" si="667"/>
        <v>0.42496590558700037</v>
      </c>
      <c r="AS114" s="52">
        <f t="shared" si="737"/>
        <v>-318.92800593006223</v>
      </c>
      <c r="AT114" s="73">
        <f t="shared" si="668"/>
        <v>-0.48328428679734792</v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>Taper</v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>
        <f t="shared" si="643"/>
        <v>6.2210000000000001</v>
      </c>
      <c r="IH114" s="731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>0.121</v>
      </c>
      <c r="II114" s="734" cm="1">
        <f t="array" ref="II114">IFERROR(ROUND(VALUE(IF($IH114&lt;1,$IH114+LARGE((IF($M$9:$M$150="",0,$M$9:$M$150)-MOD(IF($M$9:$M$150="",0,$M$9:$M$150),1)),1),$IH114)),4),"")</f>
        <v>6.1210000000000004</v>
      </c>
      <c r="IJ114" s="533">
        <f t="shared" si="542"/>
        <v>1613</v>
      </c>
      <c r="IK114" s="533">
        <f t="shared" si="713"/>
        <v>1313</v>
      </c>
      <c r="IL114" s="727">
        <f t="shared" si="647"/>
        <v>12.531998190603332</v>
      </c>
      <c r="IM114" s="759">
        <v>2.3098431307064599E-2</v>
      </c>
      <c r="IN114" s="5">
        <f t="shared" si="648"/>
        <v>1.48</v>
      </c>
      <c r="IO114" s="771">
        <v>740</v>
      </c>
      <c r="IP114" s="9">
        <f t="shared" si="649"/>
        <v>-5.3398161048853732</v>
      </c>
      <c r="IQ114" s="5">
        <f t="shared" si="650"/>
        <v>-0.69900210819035824</v>
      </c>
      <c r="IR114" s="5">
        <f t="shared" si="714"/>
        <v>0.314</v>
      </c>
      <c r="IS114" s="5">
        <f t="shared" si="651"/>
        <v>0.30007754660501179</v>
      </c>
      <c r="IT114" s="727">
        <f t="shared" si="652"/>
        <v>48.842353999262812</v>
      </c>
      <c r="IU114" s="9">
        <f t="shared" si="653"/>
        <v>-5.3643946424735143</v>
      </c>
      <c r="IV114" s="5">
        <f t="shared" si="654"/>
        <v>-0.70476206869322444</v>
      </c>
      <c r="IW114" s="5">
        <f t="shared" si="715"/>
        <v>0.26600000000000001</v>
      </c>
      <c r="IX114" s="5">
        <f t="shared" si="655"/>
        <v>0.24688550546285223</v>
      </c>
      <c r="IY114" s="762">
        <f t="shared" si="656"/>
        <v>44.20298653329138</v>
      </c>
    </row>
    <row r="115" spans="1:259" ht="15" customHeight="1" x14ac:dyDescent="0.25">
      <c r="A115" s="79"/>
      <c r="B115" s="707">
        <v>-3.876152637548258</v>
      </c>
      <c r="C115" s="708">
        <v>4.4752273924124317</v>
      </c>
      <c r="D115" s="709">
        <v>-1.2706702450303862</v>
      </c>
      <c r="E115" s="710">
        <v>-0.91445748084484868</v>
      </c>
      <c r="F115" s="708">
        <v>-0.32719831798890842</v>
      </c>
      <c r="G115" s="711">
        <v>0.2381360460579679</v>
      </c>
      <c r="H115" s="710">
        <v>0.26600000000000001</v>
      </c>
      <c r="I115" s="708">
        <v>0.52</v>
      </c>
      <c r="J115" s="570">
        <v>6.2240000000000002</v>
      </c>
      <c r="K115" s="865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>1313</v>
      </c>
      <c r="L115" s="320"/>
      <c r="M115" s="168">
        <f t="shared" si="660"/>
        <v>6.2240000000000002</v>
      </c>
      <c r="N115" s="632">
        <f t="shared" si="661"/>
        <v>-3.876152637548258</v>
      </c>
      <c r="O115" s="629">
        <f t="shared" si="662"/>
        <v>4.4752273924124317</v>
      </c>
      <c r="P115" s="633">
        <f t="shared" si="663"/>
        <v>-1.2706702450303862</v>
      </c>
      <c r="Q115" s="585">
        <f t="shared" si="520"/>
        <v>130.8969940952046</v>
      </c>
      <c r="R115" s="629">
        <f t="shared" si="716"/>
        <v>5.9204914900176062</v>
      </c>
      <c r="S115" s="634">
        <f t="shared" si="717"/>
        <v>-1.2706702450303862</v>
      </c>
      <c r="T115" s="635">
        <f t="shared" si="718"/>
        <v>4.4752273924124335</v>
      </c>
      <c r="U115" s="629">
        <f t="shared" si="719"/>
        <v>3.8761526375482567</v>
      </c>
      <c r="V115" s="636">
        <f t="shared" si="720"/>
        <v>-1.2706702450303862</v>
      </c>
      <c r="W115" s="585">
        <f t="shared" si="645"/>
        <v>40.896994095204604</v>
      </c>
      <c r="X115" s="629">
        <f t="shared" si="721"/>
        <v>5.9204914900176062</v>
      </c>
      <c r="Y115" s="630">
        <f t="shared" si="644"/>
        <v>-1.2706702450303862</v>
      </c>
      <c r="Z115" s="632">
        <f t="shared" si="664"/>
        <v>0.91445748084484868</v>
      </c>
      <c r="AA115" s="629">
        <f t="shared" si="665"/>
        <v>0.32719831798890842</v>
      </c>
      <c r="AB115" s="629">
        <f t="shared" si="666"/>
        <v>-0.2381360460579679</v>
      </c>
      <c r="AC115" s="636">
        <f t="shared" si="722"/>
        <v>1</v>
      </c>
      <c r="AD115" s="637">
        <f t="shared" si="723"/>
        <v>0.91445748084484868</v>
      </c>
      <c r="AE115" s="629">
        <f t="shared" si="724"/>
        <v>0.32719831798890842</v>
      </c>
      <c r="AF115" s="633">
        <f t="shared" si="725"/>
        <v>-0.2381360460579679</v>
      </c>
      <c r="AG115" s="602">
        <f t="shared" si="726"/>
        <v>53.952745177119169</v>
      </c>
      <c r="AH115" s="603">
        <f t="shared" si="727"/>
        <v>23.871200744087439</v>
      </c>
      <c r="AI115" s="585">
        <f t="shared" si="728"/>
        <v>-76.223445634366115</v>
      </c>
      <c r="AJ115" s="586">
        <f t="shared" si="729"/>
        <v>109.68751107798639</v>
      </c>
      <c r="AK115" s="635">
        <f t="shared" si="730"/>
        <v>0.90544438747794798</v>
      </c>
      <c r="AL115" s="629">
        <f t="shared" si="731"/>
        <v>-0.35137114957344051</v>
      </c>
      <c r="AM115" s="634">
        <f t="shared" si="732"/>
        <v>-0.2381360460579679</v>
      </c>
      <c r="AN115" s="581">
        <f t="shared" si="733"/>
        <v>-55.873186061442617</v>
      </c>
      <c r="AO115" s="582">
        <f t="shared" si="461"/>
        <v>25.116798763504097</v>
      </c>
      <c r="AP115" s="585">
        <f t="shared" si="734"/>
        <v>-21.209483017218215</v>
      </c>
      <c r="AQ115" s="586">
        <f t="shared" si="667"/>
        <v>0.38505119300063489</v>
      </c>
      <c r="AS115" s="52">
        <f t="shared" si="737"/>
        <v>-319.1030059047954</v>
      </c>
      <c r="AT115" s="73">
        <f t="shared" si="668"/>
        <v>-1.0490709353742782</v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>Taper</v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>
        <f t="shared" si="643"/>
        <v>6.2240000000000002</v>
      </c>
      <c r="IH115" s="731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>0.124</v>
      </c>
      <c r="II115" s="734" cm="1">
        <f t="array" ref="II115">IFERROR(ROUND(VALUE(IF($IH115&lt;1,$IH115+LARGE((IF($M$9:$M$150="",0,$M$9:$M$150)-MOD(IF($M$9:$M$150="",0,$M$9:$M$150),1)),1),$IH115)),4),"")</f>
        <v>6.1239999999999997</v>
      </c>
      <c r="IJ115" s="533">
        <f t="shared" si="542"/>
        <v>1613</v>
      </c>
      <c r="IK115" s="533">
        <f t="shared" si="713"/>
        <v>1313</v>
      </c>
      <c r="IL115" s="727">
        <f t="shared" si="647"/>
        <v>12.02899826322755</v>
      </c>
      <c r="IM115" s="759">
        <v>1.38352388141445E-2</v>
      </c>
      <c r="IN115" s="5">
        <f t="shared" si="648"/>
        <v>1.54</v>
      </c>
      <c r="IO115" s="771">
        <v>770</v>
      </c>
      <c r="IP115" s="9">
        <f t="shared" si="649"/>
        <v>-5.887617757055156</v>
      </c>
      <c r="IQ115" s="5">
        <f t="shared" si="650"/>
        <v>-1.2602038007746632</v>
      </c>
      <c r="IR115" s="5">
        <f t="shared" si="714"/>
        <v>0.314</v>
      </c>
      <c r="IS115" s="5">
        <f t="shared" si="651"/>
        <v>0.29426006558252205</v>
      </c>
      <c r="IT115" s="727">
        <f t="shared" si="652"/>
        <v>60.011720023877224</v>
      </c>
      <c r="IU115" s="9">
        <f t="shared" si="653"/>
        <v>-5.9204914900176062</v>
      </c>
      <c r="IV115" s="5">
        <f t="shared" si="654"/>
        <v>-1.2706702450303862</v>
      </c>
      <c r="IW115" s="5">
        <f t="shared" si="715"/>
        <v>0.26600000000000001</v>
      </c>
      <c r="IX115" s="5">
        <f t="shared" si="655"/>
        <v>0.24084820706913418</v>
      </c>
      <c r="IY115" s="762">
        <f t="shared" si="656"/>
        <v>55.873186061442617</v>
      </c>
    </row>
    <row r="116" spans="1:259" ht="15" customHeight="1" x14ac:dyDescent="0.25">
      <c r="A116" s="79"/>
      <c r="B116" s="707">
        <v>-4.0040479285690216</v>
      </c>
      <c r="C116" s="708">
        <v>4.8519485627968475</v>
      </c>
      <c r="D116" s="709">
        <v>-2.0049503472105883</v>
      </c>
      <c r="E116" s="710">
        <v>-0.61480762361240004</v>
      </c>
      <c r="F116" s="708">
        <v>0.74499945861885819</v>
      </c>
      <c r="G116" s="711">
        <v>0.25881922765838306</v>
      </c>
      <c r="H116" s="710">
        <v>0.25700000000000001</v>
      </c>
      <c r="I116" s="708">
        <v>0.41499999999999992</v>
      </c>
      <c r="J116" s="570">
        <v>6.2270000000000003</v>
      </c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>CPS-32193r1</v>
      </c>
      <c r="L116" s="320"/>
      <c r="M116" s="168">
        <f t="shared" si="660"/>
        <v>6.2270000000000003</v>
      </c>
      <c r="N116" s="632">
        <f t="shared" si="661"/>
        <v>-4.0040479285690216</v>
      </c>
      <c r="O116" s="629">
        <f t="shared" si="662"/>
        <v>4.8519485627968475</v>
      </c>
      <c r="P116" s="633">
        <f t="shared" si="663"/>
        <v>-2.0049503472105883</v>
      </c>
      <c r="Q116" s="585">
        <f t="shared" si="520"/>
        <v>129.53099429243059</v>
      </c>
      <c r="R116" s="629">
        <f t="shared" si="716"/>
        <v>6.2907713891306107</v>
      </c>
      <c r="S116" s="634">
        <f t="shared" si="717"/>
        <v>-2.0049503472105883</v>
      </c>
      <c r="T116" s="635">
        <f t="shared" si="718"/>
        <v>4.8519485627968484</v>
      </c>
      <c r="U116" s="629">
        <f t="shared" si="719"/>
        <v>4.0040479285690207</v>
      </c>
      <c r="V116" s="636">
        <f t="shared" si="720"/>
        <v>-2.0049503472105883</v>
      </c>
      <c r="W116" s="585">
        <f t="shared" si="645"/>
        <v>39.530994292430591</v>
      </c>
      <c r="X116" s="629">
        <f t="shared" si="721"/>
        <v>6.2907713891306107</v>
      </c>
      <c r="Y116" s="630">
        <f t="shared" si="644"/>
        <v>-2.0049503472105883</v>
      </c>
      <c r="Z116" s="632">
        <f t="shared" si="664"/>
        <v>0.61480762361240004</v>
      </c>
      <c r="AA116" s="629">
        <f t="shared" si="665"/>
        <v>-0.74499945861885819</v>
      </c>
      <c r="AB116" s="629">
        <f t="shared" si="666"/>
        <v>-0.25881922765838306</v>
      </c>
      <c r="AC116" s="636">
        <f t="shared" si="722"/>
        <v>1</v>
      </c>
      <c r="AD116" s="637">
        <f t="shared" si="723"/>
        <v>0.61480762361240004</v>
      </c>
      <c r="AE116" s="629">
        <f t="shared" si="724"/>
        <v>-0.74499945861885819</v>
      </c>
      <c r="AF116" s="633">
        <f t="shared" si="725"/>
        <v>-0.25881922765838306</v>
      </c>
      <c r="AG116" s="602">
        <f t="shared" si="726"/>
        <v>-70.842332767562027</v>
      </c>
      <c r="AH116" s="603">
        <f t="shared" si="727"/>
        <v>52.062056791080728</v>
      </c>
      <c r="AI116" s="585">
        <f t="shared" si="728"/>
        <v>-74.999989171341724</v>
      </c>
      <c r="AJ116" s="586">
        <f t="shared" si="729"/>
        <v>39.53100774521414</v>
      </c>
      <c r="AK116" s="635">
        <f t="shared" si="730"/>
        <v>2.2679489702914779E-7</v>
      </c>
      <c r="AL116" s="629">
        <f t="shared" si="731"/>
        <v>-0.96592577737332741</v>
      </c>
      <c r="AM116" s="634">
        <f t="shared" si="732"/>
        <v>-0.25881922765838306</v>
      </c>
      <c r="AN116" s="581">
        <f t="shared" si="733"/>
        <v>-74.999989171341326</v>
      </c>
      <c r="AO116" s="582">
        <f t="shared" si="461"/>
        <v>0</v>
      </c>
      <c r="AP116" s="585">
        <f t="shared" si="734"/>
        <v>-89.999986547216452</v>
      </c>
      <c r="AQ116" s="586">
        <f t="shared" si="667"/>
        <v>0.36238739124943486</v>
      </c>
      <c r="AS116" s="52">
        <f t="shared" si="737"/>
        <v>-320.46900570756941</v>
      </c>
      <c r="AT116" s="73">
        <f t="shared" si="668"/>
        <v>-1.7824024265803318</v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>Taper</v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>
        <f t="shared" si="643"/>
        <v>6.2270000000000003</v>
      </c>
      <c r="IH116" s="731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>0.127</v>
      </c>
      <c r="II116" s="734" cm="1">
        <f t="array" ref="II116">IFERROR(ROUND(VALUE(IF($IH116&lt;1,$IH116+LARGE((IF($M$9:$M$150="",0,$M$9:$M$150)-MOD(IF($M$9:$M$150="",0,$M$9:$M$150),1)),1),$IH116)),4),"")</f>
        <v>6.1269999999999998</v>
      </c>
      <c r="IJ116" s="533">
        <f t="shared" si="542"/>
        <v>1613</v>
      </c>
      <c r="IK116" s="533" t="str">
        <f t="shared" si="713"/>
        <v>CPS-32193r1</v>
      </c>
      <c r="IL116" s="727">
        <f t="shared" si="647"/>
        <v>12.878998140502716</v>
      </c>
      <c r="IM116" s="759">
        <v>1.3598242026826901E-4</v>
      </c>
      <c r="IN116" s="5">
        <f t="shared" si="648"/>
        <v>0</v>
      </c>
      <c r="IO116" s="771">
        <v>0</v>
      </c>
      <c r="IP116" s="9">
        <f t="shared" si="649"/>
        <v>-6.2713189142978472</v>
      </c>
      <c r="IQ116" s="5">
        <f t="shared" si="650"/>
        <v>-1.9442058637248854</v>
      </c>
      <c r="IR116" s="5">
        <f t="shared" si="714"/>
        <v>0.314</v>
      </c>
      <c r="IS116" s="5">
        <f t="shared" si="651"/>
        <v>0.28137201914356552</v>
      </c>
      <c r="IT116" s="727">
        <f t="shared" si="652"/>
        <v>67.605705962280609</v>
      </c>
      <c r="IU116" s="9">
        <f t="shared" si="653"/>
        <v>-6.2907713891306107</v>
      </c>
      <c r="IV116" s="5">
        <f t="shared" si="654"/>
        <v>-2.0049503472105883</v>
      </c>
      <c r="IW116" s="5">
        <f t="shared" si="715"/>
        <v>0.25700000000000001</v>
      </c>
      <c r="IX116" s="5">
        <f t="shared" si="655"/>
        <v>0.25700000000000001</v>
      </c>
      <c r="IY116" s="762">
        <f t="shared" si="656"/>
        <v>74.999989171341326</v>
      </c>
    </row>
    <row r="117" spans="1:259" ht="15" customHeight="1" x14ac:dyDescent="0.25">
      <c r="A117" s="79"/>
      <c r="B117" s="707">
        <v>-4.1128844388249357</v>
      </c>
      <c r="C117" s="708">
        <v>5.0023005275079768</v>
      </c>
      <c r="D117" s="709">
        <v>-2.7726104760542829</v>
      </c>
      <c r="E117" s="710">
        <v>-0.6134543316127693</v>
      </c>
      <c r="F117" s="708">
        <v>0.74611419395414869</v>
      </c>
      <c r="G117" s="711">
        <v>0.25881922765838272</v>
      </c>
      <c r="H117" s="710">
        <v>0.25700000000000001</v>
      </c>
      <c r="I117" s="708">
        <v>0.41499999999999992</v>
      </c>
      <c r="J117" s="570">
        <v>6.23</v>
      </c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>CPS-32193r1</v>
      </c>
      <c r="L117" s="320"/>
      <c r="M117" s="168">
        <f t="shared" si="660"/>
        <v>6.23</v>
      </c>
      <c r="N117" s="632">
        <f t="shared" si="661"/>
        <v>-4.1128844388249357</v>
      </c>
      <c r="O117" s="629">
        <f t="shared" si="662"/>
        <v>5.0023005275079768</v>
      </c>
      <c r="P117" s="633">
        <f t="shared" si="663"/>
        <v>-2.7726104760542829</v>
      </c>
      <c r="Q117" s="585">
        <f t="shared" si="520"/>
        <v>129.42699430744631</v>
      </c>
      <c r="R117" s="629">
        <f t="shared" si="716"/>
        <v>6.4760195316749076</v>
      </c>
      <c r="S117" s="634">
        <f t="shared" si="717"/>
        <v>-2.7726104760542829</v>
      </c>
      <c r="T117" s="635">
        <f t="shared" si="718"/>
        <v>5.0023005275079786</v>
      </c>
      <c r="U117" s="629">
        <f t="shared" si="719"/>
        <v>4.112884438824933</v>
      </c>
      <c r="V117" s="636">
        <f t="shared" si="720"/>
        <v>-2.7726104760542829</v>
      </c>
      <c r="W117" s="585">
        <f t="shared" si="645"/>
        <v>39.426994307446307</v>
      </c>
      <c r="X117" s="629">
        <f t="shared" si="721"/>
        <v>6.4760195316749076</v>
      </c>
      <c r="Y117" s="630">
        <f t="shared" si="644"/>
        <v>-2.7726104760542829</v>
      </c>
      <c r="Z117" s="632">
        <f t="shared" si="664"/>
        <v>0.6134543316127693</v>
      </c>
      <c r="AA117" s="629">
        <f t="shared" si="665"/>
        <v>-0.74611419395414869</v>
      </c>
      <c r="AB117" s="629">
        <f t="shared" si="666"/>
        <v>-0.25881922765838272</v>
      </c>
      <c r="AC117" s="636">
        <f t="shared" si="722"/>
        <v>1</v>
      </c>
      <c r="AD117" s="637">
        <f t="shared" si="723"/>
        <v>0.6134543316127693</v>
      </c>
      <c r="AE117" s="629">
        <f t="shared" si="724"/>
        <v>-0.74611419395414869</v>
      </c>
      <c r="AF117" s="633">
        <f t="shared" si="725"/>
        <v>-0.25881922765838272</v>
      </c>
      <c r="AG117" s="602">
        <f t="shared" si="726"/>
        <v>-70.868873504129198</v>
      </c>
      <c r="AH117" s="603">
        <f t="shared" si="727"/>
        <v>52.160305070407297</v>
      </c>
      <c r="AI117" s="585">
        <f t="shared" si="728"/>
        <v>-74.999989171341738</v>
      </c>
      <c r="AJ117" s="586">
        <f t="shared" si="729"/>
        <v>39.427007760229877</v>
      </c>
      <c r="AK117" s="635">
        <f t="shared" si="730"/>
        <v>2.267948972511924E-7</v>
      </c>
      <c r="AL117" s="629">
        <f t="shared" si="731"/>
        <v>-0.96592577737332752</v>
      </c>
      <c r="AM117" s="634">
        <f t="shared" si="732"/>
        <v>-0.25881922765838272</v>
      </c>
      <c r="AN117" s="581">
        <f t="shared" si="733"/>
        <v>-74.999989171341355</v>
      </c>
      <c r="AO117" s="582">
        <f t="shared" si="461"/>
        <v>0</v>
      </c>
      <c r="AP117" s="585">
        <f t="shared" si="734"/>
        <v>-89.999986547216437</v>
      </c>
      <c r="AQ117" s="586">
        <f t="shared" si="667"/>
        <v>0.35202147488113139</v>
      </c>
      <c r="AS117" s="52">
        <f t="shared" si="737"/>
        <v>-320.57300569255369</v>
      </c>
      <c r="AT117" s="73">
        <f t="shared" si="668"/>
        <v>-2.5499903332122318</v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>Taper</v>
      </c>
      <c r="IF117" s="533" t="str">
        <f>IFERROR(IF((((($IW117*COS(RADIANS(180-$IY117)))*COS(RADIANS($IY117)))-(($IX117*SIN(RADIANS(180-$IY117)))*SIN(RADIANS($IY117))))+$IU117)&lt;(((Settings!$C$19+$IF$8)/2)*-1),"Gage",""),"")</f>
        <v>Gage</v>
      </c>
      <c r="IG117" s="847">
        <f t="shared" si="643"/>
        <v>6.23</v>
      </c>
      <c r="IH117" s="731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>0.13</v>
      </c>
      <c r="II117" s="734" cm="1">
        <f t="array" ref="II117">IFERROR(ROUND(VALUE(IF($IH117&lt;1,$IH117+LARGE((IF($M$9:$M$150="",0,$M$9:$M$150)-MOD(IF($M$9:$M$150="",0,$M$9:$M$150),1)),1),$IH117)),4),"")</f>
        <v>6.13</v>
      </c>
      <c r="IJ117" s="533">
        <f t="shared" si="542"/>
        <v>1613</v>
      </c>
      <c r="IK117" s="533" t="str">
        <f t="shared" si="713"/>
        <v>CPS-32193r1</v>
      </c>
      <c r="IL117" s="727">
        <f t="shared" si="647"/>
        <v>12.711998164614556</v>
      </c>
      <c r="IM117" s="759">
        <v>1.4430071723094801E-4</v>
      </c>
      <c r="IN117" s="5">
        <f t="shared" si="648"/>
        <v>0</v>
      </c>
      <c r="IO117" s="771">
        <v>0</v>
      </c>
      <c r="IP117" s="9">
        <f t="shared" si="649"/>
        <v>-6.4646194972924045</v>
      </c>
      <c r="IQ117" s="5">
        <f t="shared" si="650"/>
        <v>-2.7043081561933993</v>
      </c>
      <c r="IR117" s="5">
        <f t="shared" si="714"/>
        <v>0.314</v>
      </c>
      <c r="IS117" s="5">
        <f t="shared" si="651"/>
        <v>0.2737599149079481</v>
      </c>
      <c r="IT117" s="727">
        <f t="shared" si="652"/>
        <v>76.988792744853285</v>
      </c>
      <c r="IU117" s="9">
        <f t="shared" si="653"/>
        <v>-6.4760195316749076</v>
      </c>
      <c r="IV117" s="5">
        <f t="shared" si="654"/>
        <v>-2.7726104760542829</v>
      </c>
      <c r="IW117" s="5">
        <f t="shared" si="715"/>
        <v>0.25700000000000001</v>
      </c>
      <c r="IX117" s="5">
        <f t="shared" si="655"/>
        <v>0.25700000000000001</v>
      </c>
      <c r="IY117" s="762">
        <f t="shared" si="656"/>
        <v>74.999989171341355</v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8.8521302156295598E-2</v>
      </c>
      <c r="G154" s="170">
        <f t="shared" si="929"/>
        <v>-0.33036604714967338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0.96592583607220739</v>
      </c>
      <c r="F157" s="170">
        <f t="shared" si="929"/>
        <v>6.6987279208207171E-2</v>
      </c>
      <c r="G157" s="170">
        <f t="shared" si="929"/>
        <v>-0.24999996726497564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0.96592583607220739</v>
      </c>
      <c r="F158" s="170">
        <f t="shared" si="929"/>
        <v>0</v>
      </c>
      <c r="G158" s="170">
        <f t="shared" si="929"/>
        <v>-0.25881900859134593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0.96431480591824292</v>
      </c>
      <c r="F159" s="170">
        <f t="shared" si="929"/>
        <v>-9.8395993397721843E-2</v>
      </c>
      <c r="G159" s="170">
        <f t="shared" si="929"/>
        <v>-0.24579500314314162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0.95942529373310426</v>
      </c>
      <c r="F160" s="170">
        <f t="shared" si="929"/>
        <v>-0.18693640657292859</v>
      </c>
      <c r="G160" s="170">
        <f t="shared" si="929"/>
        <v>-0.21108738863974655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0.94224637993595017</v>
      </c>
      <c r="F161" s="170">
        <f t="shared" si="929"/>
        <v>-0.27613674747529099</v>
      </c>
      <c r="G161" s="170">
        <f t="shared" si="929"/>
        <v>-0.18952639972142279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0.91034637569506105</v>
      </c>
      <c r="F162" s="170">
        <f t="shared" si="929"/>
        <v>-0.37453382305705762</v>
      </c>
      <c r="G162" s="170">
        <f t="shared" si="929"/>
        <v>-0.17605082119982163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0.86662999417029352</v>
      </c>
      <c r="F163" s="170">
        <f t="shared" si="929"/>
        <v>-0.47536747761982995</v>
      </c>
      <c r="G163" s="170">
        <f t="shared" si="929"/>
        <v>-0.15158566695356673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0.83738139116106591</v>
      </c>
      <c r="F164" s="170">
        <f t="shared" si="929"/>
        <v>-0.53947994726336967</v>
      </c>
      <c r="G164" s="170">
        <f t="shared" si="929"/>
        <v>-8.8055620137898749E-2</v>
      </c>
      <c r="H164" s="139"/>
      <c r="I164" s="86"/>
      <c r="J164" s="79">
        <f t="shared" si="930"/>
        <v>1.131</v>
      </c>
    </row>
    <row r="165" spans="5:16" x14ac:dyDescent="0.25">
      <c r="E165" s="170">
        <f t="shared" si="929"/>
        <v>0.78800006712416137</v>
      </c>
      <c r="F165" s="170">
        <f t="shared" si="929"/>
        <v>-0.61567515315489263</v>
      </c>
      <c r="G165" s="170">
        <f t="shared" si="929"/>
        <v>-1.3008419229319738E-7</v>
      </c>
      <c r="H165" s="139"/>
      <c r="I165" s="86"/>
      <c r="J165" s="79">
        <f t="shared" si="930"/>
        <v>1.1339999999999999</v>
      </c>
    </row>
    <row r="166" spans="5:16" x14ac:dyDescent="0.25">
      <c r="E166" s="170">
        <f t="shared" si="929"/>
        <v>0.78800006712416126</v>
      </c>
      <c r="F166" s="170">
        <f t="shared" si="929"/>
        <v>-0.61567515315489263</v>
      </c>
      <c r="G166" s="170">
        <f t="shared" si="929"/>
        <v>-1.3008419229319743E-7</v>
      </c>
      <c r="H166" s="139"/>
      <c r="I166" s="86"/>
      <c r="J166" s="79">
        <f t="shared" si="930"/>
        <v>1.137</v>
      </c>
    </row>
    <row r="167" spans="5:16" x14ac:dyDescent="0.25">
      <c r="E167" s="170">
        <f t="shared" si="929"/>
        <v>0.12594800942305751</v>
      </c>
      <c r="F167" s="170">
        <f t="shared" si="929"/>
        <v>0.22610700592999025</v>
      </c>
      <c r="G167" s="170">
        <f t="shared" si="929"/>
        <v>-0.96592583607218263</v>
      </c>
      <c r="H167" s="139"/>
      <c r="I167" s="86"/>
      <c r="J167" s="79">
        <f t="shared" si="930"/>
        <v>1.2070000000000001</v>
      </c>
    </row>
    <row r="168" spans="5:16" x14ac:dyDescent="0.25">
      <c r="E168" s="170">
        <f t="shared" si="929"/>
        <v>9.6222098114389393E-2</v>
      </c>
      <c r="F168" s="170">
        <f t="shared" si="929"/>
        <v>0.24026774032882581</v>
      </c>
      <c r="G168" s="170">
        <f t="shared" si="929"/>
        <v>-0.96592583607218252</v>
      </c>
      <c r="H168" s="139"/>
      <c r="I168" s="86"/>
      <c r="J168" s="79">
        <f t="shared" si="930"/>
        <v>1.21</v>
      </c>
    </row>
    <row r="169" spans="5:16" x14ac:dyDescent="0.25">
      <c r="E169" s="170">
        <f t="shared" si="929"/>
        <v>2.1573021234708103E-7</v>
      </c>
      <c r="F169" s="170">
        <f t="shared" si="929"/>
        <v>-6.9974285698164554E-8</v>
      </c>
      <c r="G169" s="170">
        <f t="shared" si="929"/>
        <v>-0.99999999999997435</v>
      </c>
      <c r="H169" s="139"/>
      <c r="I169" s="86"/>
      <c r="J169" s="79">
        <f t="shared" si="930"/>
        <v>1.2130000000000001</v>
      </c>
    </row>
    <row r="170" spans="5:16" x14ac:dyDescent="0.25">
      <c r="E170" s="170">
        <f t="shared" si="929"/>
        <v>0.88220231173363728</v>
      </c>
      <c r="F170" s="170">
        <f t="shared" si="929"/>
        <v>-0.3382553700292944</v>
      </c>
      <c r="G170" s="170">
        <f t="shared" si="929"/>
        <v>-0.32757042879077397</v>
      </c>
      <c r="H170" s="139"/>
      <c r="I170" s="86"/>
      <c r="J170" s="79">
        <f t="shared" si="930"/>
        <v>1.216</v>
      </c>
    </row>
    <row r="171" spans="5:16" x14ac:dyDescent="0.25">
      <c r="E171" s="170">
        <f t="shared" si="929"/>
        <v>0.86024157468398688</v>
      </c>
      <c r="F171" s="170">
        <f t="shared" si="929"/>
        <v>-0.42027396948792284</v>
      </c>
      <c r="G171" s="170">
        <f t="shared" si="929"/>
        <v>-0.28871131560103308</v>
      </c>
      <c r="H171" s="139"/>
      <c r="I171" s="86"/>
      <c r="J171" s="79">
        <f t="shared" si="930"/>
        <v>1.2190000000000001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0.82333017858911173</v>
      </c>
      <c r="F172" s="170">
        <f t="shared" si="929"/>
        <v>-0.50466945070254254</v>
      </c>
      <c r="G172" s="170">
        <f t="shared" si="929"/>
        <v>-0.25968473684838622</v>
      </c>
      <c r="H172" s="139"/>
      <c r="I172" s="86"/>
      <c r="J172" s="79">
        <f t="shared" si="930"/>
        <v>1.222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-0.25598709938313635</v>
      </c>
      <c r="F173" s="170">
        <f t="shared" si="929"/>
        <v>-0.93138778838018188</v>
      </c>
      <c r="G173" s="170">
        <f t="shared" si="929"/>
        <v>-0.25881922765838306</v>
      </c>
      <c r="H173" s="139"/>
      <c r="I173" s="86"/>
      <c r="J173" s="79">
        <f t="shared" si="930"/>
        <v>1.2250000000000001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-0.25834336539278974</v>
      </c>
      <c r="F174" s="170">
        <f t="shared" si="933"/>
        <v>-0.93073697302290825</v>
      </c>
      <c r="G174" s="170">
        <f t="shared" si="933"/>
        <v>-0.25881922765838289</v>
      </c>
      <c r="H174" s="139"/>
      <c r="I174" s="86"/>
      <c r="J174" s="79">
        <f t="shared" si="930"/>
        <v>1.228</v>
      </c>
    </row>
    <row r="175" spans="5:16" x14ac:dyDescent="0.25">
      <c r="E175" s="170">
        <f t="shared" si="933"/>
        <v>0.44894985330743192</v>
      </c>
      <c r="F175" s="170">
        <f t="shared" si="933"/>
        <v>-0.85643252101642475</v>
      </c>
      <c r="G175" s="170">
        <f t="shared" si="933"/>
        <v>-0.2548869674202402</v>
      </c>
      <c r="H175" s="139"/>
      <c r="I175" s="86"/>
      <c r="J175" s="79">
        <f t="shared" si="930"/>
        <v>2.1110000000000002</v>
      </c>
    </row>
    <row r="176" spans="5:16" x14ac:dyDescent="0.25">
      <c r="E176" s="170">
        <f t="shared" si="933"/>
        <v>0.37748351790667445</v>
      </c>
      <c r="F176" s="170">
        <f t="shared" si="933"/>
        <v>-0.88956406759715623</v>
      </c>
      <c r="G176" s="170">
        <f t="shared" si="933"/>
        <v>-0.25725855349978854</v>
      </c>
      <c r="H176" s="139"/>
      <c r="I176" s="86"/>
      <c r="J176" s="79">
        <f t="shared" si="930"/>
        <v>2.1139999999999999</v>
      </c>
    </row>
    <row r="177" spans="5:10" x14ac:dyDescent="0.25">
      <c r="E177" s="170">
        <f t="shared" si="933"/>
        <v>0.28981233474436507</v>
      </c>
      <c r="F177" s="170">
        <f t="shared" si="933"/>
        <v>-0.92744352614353054</v>
      </c>
      <c r="G177" s="170">
        <f t="shared" si="933"/>
        <v>-0.23634152501089312</v>
      </c>
      <c r="H177" s="139"/>
      <c r="I177" s="86"/>
      <c r="J177" s="79">
        <f t="shared" si="930"/>
        <v>2.117</v>
      </c>
    </row>
    <row r="178" spans="5:10" x14ac:dyDescent="0.25">
      <c r="E178" s="170">
        <f t="shared" si="933"/>
        <v>0.21134086198365395</v>
      </c>
      <c r="F178" s="170">
        <f t="shared" si="933"/>
        <v>-0.9576073172722438</v>
      </c>
      <c r="G178" s="170">
        <f t="shared" si="933"/>
        <v>-0.19576329064117823</v>
      </c>
      <c r="H178" s="139"/>
      <c r="I178" s="86"/>
      <c r="J178" s="79">
        <f t="shared" si="930"/>
        <v>2.12</v>
      </c>
    </row>
    <row r="179" spans="5:10" x14ac:dyDescent="0.25">
      <c r="E179" s="170">
        <f t="shared" si="933"/>
        <v>0.11691597700394948</v>
      </c>
      <c r="F179" s="170">
        <f t="shared" si="933"/>
        <v>-0.9761305462396771</v>
      </c>
      <c r="G179" s="170">
        <f t="shared" si="933"/>
        <v>-0.18302953591986681</v>
      </c>
      <c r="H179" s="139"/>
      <c r="I179" s="86"/>
      <c r="J179" s="79">
        <f t="shared" si="930"/>
        <v>2.1230000000000002</v>
      </c>
    </row>
    <row r="180" spans="5:10" x14ac:dyDescent="0.25">
      <c r="E180" s="170">
        <f t="shared" si="933"/>
        <v>3.6812412193107389E-3</v>
      </c>
      <c r="F180" s="170">
        <f t="shared" si="933"/>
        <v>-0.98469272149570175</v>
      </c>
      <c r="G180" s="170">
        <f t="shared" si="933"/>
        <v>-0.17426041632130279</v>
      </c>
      <c r="H180" s="139"/>
      <c r="I180" s="86"/>
      <c r="J180" s="79">
        <f t="shared" si="930"/>
        <v>2.1259999999999999</v>
      </c>
    </row>
    <row r="181" spans="5:10" x14ac:dyDescent="0.25">
      <c r="E181" s="170">
        <f t="shared" si="933"/>
        <v>-9.0021604620391937E-2</v>
      </c>
      <c r="F181" s="170">
        <f t="shared" si="933"/>
        <v>-0.98725097280769125</v>
      </c>
      <c r="G181" s="170">
        <f t="shared" si="933"/>
        <v>-0.13126929340800639</v>
      </c>
      <c r="H181" s="139"/>
      <c r="I181" s="86"/>
      <c r="J181" s="79">
        <f t="shared" si="930"/>
        <v>2.129</v>
      </c>
    </row>
    <row r="182" spans="5:10" x14ac:dyDescent="0.25">
      <c r="E182" s="170">
        <f t="shared" si="933"/>
        <v>-0.15493700249159376</v>
      </c>
      <c r="F182" s="170">
        <f t="shared" si="933"/>
        <v>-0.9858133966991528</v>
      </c>
      <c r="G182" s="170">
        <f t="shared" si="933"/>
        <v>-6.454821567943482E-2</v>
      </c>
      <c r="H182" s="139"/>
      <c r="I182" s="86"/>
      <c r="J182" s="79">
        <f t="shared" si="930"/>
        <v>2.1320000000000001</v>
      </c>
    </row>
    <row r="183" spans="5:10" x14ac:dyDescent="0.25">
      <c r="E183" s="170">
        <f t="shared" si="933"/>
        <v>-0.22496869129713573</v>
      </c>
      <c r="F183" s="170">
        <f t="shared" si="933"/>
        <v>-0.97436599280559721</v>
      </c>
      <c r="G183" s="170">
        <f t="shared" si="933"/>
        <v>-1.3008419221481359E-7</v>
      </c>
      <c r="H183" s="139"/>
      <c r="I183" s="86"/>
      <c r="J183" s="79">
        <f t="shared" si="930"/>
        <v>2.1349999999999998</v>
      </c>
    </row>
    <row r="184" spans="5:10" x14ac:dyDescent="0.25">
      <c r="E184" s="170">
        <f t="shared" si="933"/>
        <v>-0.22496869129713573</v>
      </c>
      <c r="F184" s="170">
        <f t="shared" si="933"/>
        <v>-0.97436599280559721</v>
      </c>
      <c r="G184" s="170">
        <f t="shared" si="933"/>
        <v>-1.3008419221481359E-7</v>
      </c>
      <c r="H184" s="139"/>
      <c r="I184" s="86"/>
      <c r="J184" s="79">
        <f t="shared" si="930"/>
        <v>2.1379999999999999</v>
      </c>
    </row>
    <row r="185" spans="5:10" x14ac:dyDescent="0.25">
      <c r="E185" s="170">
        <f t="shared" si="933"/>
        <v>-5.9100163756714376E-2</v>
      </c>
      <c r="F185" s="170">
        <f t="shared" si="933"/>
        <v>-8.1158691875962505E-3</v>
      </c>
      <c r="G185" s="170">
        <f t="shared" si="933"/>
        <v>-0.99821906579230368</v>
      </c>
      <c r="H185" s="139"/>
      <c r="I185" s="86"/>
      <c r="J185" s="79">
        <f t="shared" si="930"/>
        <v>2.214</v>
      </c>
    </row>
    <row r="186" spans="5:10" x14ac:dyDescent="0.25">
      <c r="E186" s="170">
        <f t="shared" si="933"/>
        <v>3.7871655854797612E-2</v>
      </c>
      <c r="F186" s="170">
        <f t="shared" si="933"/>
        <v>-0.94766006033686923</v>
      </c>
      <c r="G186" s="170">
        <f t="shared" si="933"/>
        <v>-0.31702704573133395</v>
      </c>
      <c r="H186" s="139"/>
      <c r="I186" s="86"/>
      <c r="J186" s="79">
        <f t="shared" si="930"/>
        <v>2.2170000000000001</v>
      </c>
    </row>
    <row r="187" spans="5:10" x14ac:dyDescent="0.25">
      <c r="E187" s="170">
        <f t="shared" si="933"/>
        <v>-4.3371447884702416E-2</v>
      </c>
      <c r="F187" s="170">
        <f t="shared" si="933"/>
        <v>-0.96147838200589997</v>
      </c>
      <c r="G187" s="170">
        <f t="shared" si="933"/>
        <v>-0.27143735638946487</v>
      </c>
      <c r="H187" s="139"/>
      <c r="I187" s="86"/>
      <c r="J187" s="79">
        <f t="shared" si="930"/>
        <v>2.2200000000000002</v>
      </c>
    </row>
    <row r="188" spans="5:10" x14ac:dyDescent="0.25">
      <c r="E188" s="170">
        <f t="shared" si="933"/>
        <v>-0.14200646666552227</v>
      </c>
      <c r="F188" s="170">
        <f t="shared" si="933"/>
        <v>-0.95775677465460085</v>
      </c>
      <c r="G188" s="170">
        <f t="shared" si="933"/>
        <v>-0.25007223762023295</v>
      </c>
      <c r="H188" s="139"/>
      <c r="I188" s="86"/>
      <c r="J188" s="79">
        <f t="shared" si="930"/>
        <v>2.2229999999999999</v>
      </c>
    </row>
    <row r="189" spans="5:10" x14ac:dyDescent="0.25">
      <c r="E189" s="170">
        <f t="shared" si="933"/>
        <v>-0.95245242996346213</v>
      </c>
      <c r="F189" s="170">
        <f t="shared" si="933"/>
        <v>-0.16076994759909025</v>
      </c>
      <c r="G189" s="170">
        <f t="shared" si="933"/>
        <v>-0.25881922765838339</v>
      </c>
      <c r="H189" s="139"/>
      <c r="I189" s="86"/>
      <c r="J189" s="79">
        <f t="shared" si="930"/>
        <v>2.226</v>
      </c>
    </row>
    <row r="190" spans="5:10" x14ac:dyDescent="0.25">
      <c r="E190" s="170">
        <f t="shared" si="933"/>
        <v>-0.95281475341074362</v>
      </c>
      <c r="F190" s="170">
        <f t="shared" si="933"/>
        <v>-0.15860848992768956</v>
      </c>
      <c r="G190" s="170">
        <f t="shared" si="933"/>
        <v>-0.25881922765838344</v>
      </c>
      <c r="H190" s="139"/>
      <c r="I190" s="86"/>
      <c r="J190" s="79">
        <f t="shared" si="930"/>
        <v>2.2290000000000001</v>
      </c>
    </row>
    <row r="191" spans="5:10" x14ac:dyDescent="0.25">
      <c r="E191" s="170">
        <f t="shared" si="933"/>
        <v>-0.49916002344389943</v>
      </c>
      <c r="F191" s="170">
        <f t="shared" si="933"/>
        <v>-0.82966215254342957</v>
      </c>
      <c r="G191" s="170">
        <f t="shared" si="933"/>
        <v>-0.24999996726497567</v>
      </c>
      <c r="H191" s="139"/>
      <c r="I191" s="86"/>
      <c r="J191" s="79">
        <f t="shared" si="930"/>
        <v>3.1030000000000002</v>
      </c>
    </row>
    <row r="192" spans="5:10" x14ac:dyDescent="0.25">
      <c r="E192" s="170">
        <f t="shared" si="933"/>
        <v>-0.49916002344389948</v>
      </c>
      <c r="F192" s="170">
        <f t="shared" si="933"/>
        <v>-0.82966215254342957</v>
      </c>
      <c r="G192" s="170">
        <f t="shared" si="933"/>
        <v>-0.2499999672649757</v>
      </c>
      <c r="H192" s="139"/>
      <c r="I192" s="86"/>
      <c r="J192" s="79">
        <f t="shared" si="930"/>
        <v>3.1059999999999999</v>
      </c>
    </row>
    <row r="193" spans="5:10" x14ac:dyDescent="0.25">
      <c r="E193" s="170">
        <f t="shared" si="933"/>
        <v>-0.49916002344389937</v>
      </c>
      <c r="F193" s="170">
        <f t="shared" si="933"/>
        <v>-0.82966215254342968</v>
      </c>
      <c r="G193" s="170">
        <f t="shared" si="933"/>
        <v>-0.24999996726497559</v>
      </c>
      <c r="H193" s="139"/>
      <c r="I193" s="86"/>
      <c r="J193" s="79">
        <f t="shared" si="930"/>
        <v>3.109</v>
      </c>
    </row>
    <row r="194" spans="5:10" x14ac:dyDescent="0.25">
      <c r="E194" s="170">
        <f t="shared" ref="E194:G213" si="934">E49*-1</f>
        <v>-0.53555470392949145</v>
      </c>
      <c r="F194" s="170">
        <f t="shared" si="934"/>
        <v>-0.80417829079726511</v>
      </c>
      <c r="G194" s="170">
        <f t="shared" si="934"/>
        <v>-0.25783412440827969</v>
      </c>
      <c r="H194" s="139"/>
      <c r="I194" s="86"/>
      <c r="J194" s="79">
        <f t="shared" si="930"/>
        <v>3.1120000000000001</v>
      </c>
    </row>
    <row r="195" spans="5:10" x14ac:dyDescent="0.25">
      <c r="E195" s="170">
        <f t="shared" si="934"/>
        <v>-0.6080609366191676</v>
      </c>
      <c r="F195" s="170">
        <f t="shared" si="934"/>
        <v>-0.75255074649595122</v>
      </c>
      <c r="G195" s="170">
        <f t="shared" si="934"/>
        <v>-0.25284238431522388</v>
      </c>
      <c r="H195" s="139"/>
      <c r="I195" s="86"/>
      <c r="J195" s="79">
        <f t="shared" si="930"/>
        <v>3.1150000000000002</v>
      </c>
    </row>
    <row r="196" spans="5:10" x14ac:dyDescent="0.25">
      <c r="E196" s="170">
        <f t="shared" si="934"/>
        <v>-0.68161781296357116</v>
      </c>
      <c r="F196" s="170">
        <f t="shared" si="934"/>
        <v>-0.69635936193814407</v>
      </c>
      <c r="G196" s="170">
        <f t="shared" si="934"/>
        <v>-0.22467931834474433</v>
      </c>
      <c r="H196" s="139"/>
      <c r="I196" s="86"/>
      <c r="J196" s="79">
        <f t="shared" si="930"/>
        <v>3.1179999999999999</v>
      </c>
    </row>
    <row r="197" spans="5:10" x14ac:dyDescent="0.25">
      <c r="E197" s="170">
        <f t="shared" si="934"/>
        <v>-0.74551317394802397</v>
      </c>
      <c r="F197" s="170">
        <f t="shared" si="934"/>
        <v>-0.63769248281244928</v>
      </c>
      <c r="G197" s="170">
        <f t="shared" si="934"/>
        <v>-0.19379990927355348</v>
      </c>
      <c r="H197" s="139"/>
      <c r="I197" s="86"/>
      <c r="J197" s="79">
        <f t="shared" si="930"/>
        <v>3.121</v>
      </c>
    </row>
    <row r="198" spans="5:10" x14ac:dyDescent="0.25">
      <c r="E198" s="170">
        <f t="shared" si="934"/>
        <v>-0.80610216025669357</v>
      </c>
      <c r="F198" s="170">
        <f t="shared" si="934"/>
        <v>-0.56548730817534476</v>
      </c>
      <c r="G198" s="170">
        <f t="shared" si="934"/>
        <v>-0.17442308196478681</v>
      </c>
      <c r="H198" s="139"/>
      <c r="I198" s="86"/>
      <c r="J198" s="79">
        <f t="shared" si="930"/>
        <v>3.1240000000000001</v>
      </c>
    </row>
    <row r="199" spans="5:10" x14ac:dyDescent="0.25">
      <c r="E199" s="170">
        <f t="shared" si="934"/>
        <v>-0.87181923580125786</v>
      </c>
      <c r="F199" s="170">
        <f t="shared" si="934"/>
        <v>-0.45971106609574985</v>
      </c>
      <c r="G199" s="170">
        <f t="shared" si="934"/>
        <v>-0.16910634463561683</v>
      </c>
      <c r="H199" s="139"/>
      <c r="I199" s="86"/>
      <c r="J199" s="79">
        <f t="shared" si="930"/>
        <v>3.1269999999999998</v>
      </c>
    </row>
    <row r="200" spans="5:10" x14ac:dyDescent="0.25">
      <c r="E200" s="170">
        <f t="shared" si="934"/>
        <v>-0.91184799361666169</v>
      </c>
      <c r="F200" s="170">
        <f t="shared" si="934"/>
        <v>-0.39544135182623064</v>
      </c>
      <c r="G200" s="170">
        <f t="shared" si="934"/>
        <v>-0.11026955066160408</v>
      </c>
      <c r="H200" s="139"/>
      <c r="I200" s="86"/>
      <c r="J200" s="79">
        <f t="shared" si="930"/>
        <v>3.13</v>
      </c>
    </row>
    <row r="201" spans="5:10" x14ac:dyDescent="0.25">
      <c r="E201" s="170">
        <f t="shared" si="934"/>
        <v>-0.95631000379885989</v>
      </c>
      <c r="F201" s="170">
        <f t="shared" si="934"/>
        <v>-0.29235453927416238</v>
      </c>
      <c r="G201" s="170">
        <f t="shared" si="934"/>
        <v>-1.3008419218807098E-7</v>
      </c>
      <c r="H201" s="139"/>
      <c r="I201" s="86"/>
      <c r="J201" s="79">
        <f t="shared" si="930"/>
        <v>3.133</v>
      </c>
    </row>
    <row r="202" spans="5:10" x14ac:dyDescent="0.25">
      <c r="E202" s="170">
        <f t="shared" si="934"/>
        <v>-0.95631000379885989</v>
      </c>
      <c r="F202" s="170">
        <f t="shared" si="934"/>
        <v>-0.29235453927416238</v>
      </c>
      <c r="G202" s="170">
        <f t="shared" si="934"/>
        <v>-1.3008419218807098E-7</v>
      </c>
      <c r="H202" s="139"/>
      <c r="I202" s="86"/>
      <c r="J202" s="79">
        <f t="shared" si="930"/>
        <v>3.1360000000000001</v>
      </c>
    </row>
    <row r="203" spans="5:10" x14ac:dyDescent="0.25">
      <c r="E203" s="170">
        <f t="shared" si="934"/>
        <v>0.13444953035012006</v>
      </c>
      <c r="F203" s="170">
        <f t="shared" si="934"/>
        <v>-0.2211574167801916</v>
      </c>
      <c r="G203" s="170">
        <f t="shared" si="934"/>
        <v>-0.96592583607218252</v>
      </c>
      <c r="H203" s="139"/>
      <c r="I203" s="86"/>
      <c r="J203" s="79">
        <f t="shared" si="930"/>
        <v>3.2090000000000001</v>
      </c>
    </row>
    <row r="204" spans="5:10" x14ac:dyDescent="0.25">
      <c r="E204" s="170">
        <f t="shared" si="934"/>
        <v>5.1240933271835445E-2</v>
      </c>
      <c r="F204" s="170">
        <f t="shared" si="934"/>
        <v>-7.0501688373120985E-2</v>
      </c>
      <c r="G204" s="170">
        <f t="shared" si="934"/>
        <v>-0.99619469918985748</v>
      </c>
      <c r="H204" s="139"/>
      <c r="I204" s="86"/>
      <c r="J204" s="79">
        <f t="shared" si="930"/>
        <v>3.2120000000000002</v>
      </c>
    </row>
    <row r="205" spans="5:10" x14ac:dyDescent="0.25">
      <c r="E205" s="170">
        <f t="shared" si="934"/>
        <v>-7.4016142177804958E-2</v>
      </c>
      <c r="F205" s="170">
        <f t="shared" si="934"/>
        <v>9.3304555962904656E-2</v>
      </c>
      <c r="G205" s="170">
        <f t="shared" si="934"/>
        <v>-0.99288260662259575</v>
      </c>
      <c r="H205" s="139"/>
      <c r="I205" s="86"/>
      <c r="J205" s="79">
        <f t="shared" si="930"/>
        <v>3.2149999999999999</v>
      </c>
    </row>
    <row r="206" spans="5:10" x14ac:dyDescent="0.25">
      <c r="E206" s="170">
        <f t="shared" si="934"/>
        <v>-0.82008292703543773</v>
      </c>
      <c r="F206" s="170">
        <f t="shared" si="934"/>
        <v>-0.48483279381376054</v>
      </c>
      <c r="G206" s="170">
        <f t="shared" si="934"/>
        <v>-0.3039755826176383</v>
      </c>
      <c r="H206" s="139"/>
      <c r="I206" s="86"/>
      <c r="J206" s="79">
        <f t="shared" si="930"/>
        <v>3.218</v>
      </c>
    </row>
    <row r="207" spans="5:10" x14ac:dyDescent="0.25">
      <c r="E207" s="170">
        <f t="shared" si="934"/>
        <v>-0.87021707011522098</v>
      </c>
      <c r="F207" s="170">
        <f t="shared" si="934"/>
        <v>-0.41414731059888521</v>
      </c>
      <c r="G207" s="170">
        <f t="shared" si="934"/>
        <v>-0.26684125618762794</v>
      </c>
      <c r="H207" s="139"/>
      <c r="I207" s="86"/>
      <c r="J207" s="79">
        <f t="shared" si="930"/>
        <v>3.2210000000000001</v>
      </c>
    </row>
    <row r="208" spans="5:10" x14ac:dyDescent="0.25">
      <c r="E208" s="170">
        <f t="shared" si="934"/>
        <v>-0.91445762925857199</v>
      </c>
      <c r="F208" s="170">
        <f t="shared" si="934"/>
        <v>-0.32719790320029535</v>
      </c>
      <c r="G208" s="170">
        <f t="shared" si="934"/>
        <v>-0.23813604605796782</v>
      </c>
      <c r="H208" s="139"/>
      <c r="I208" s="86"/>
      <c r="J208" s="79">
        <f t="shared" si="930"/>
        <v>3.2240000000000002</v>
      </c>
    </row>
    <row r="209" spans="5:10" x14ac:dyDescent="0.25">
      <c r="E209" s="170">
        <f t="shared" si="934"/>
        <v>-0.61480728568818632</v>
      </c>
      <c r="F209" s="170">
        <f t="shared" si="934"/>
        <v>0.74499973748924442</v>
      </c>
      <c r="G209" s="170">
        <f t="shared" si="934"/>
        <v>-0.25881922765838283</v>
      </c>
      <c r="H209" s="139"/>
      <c r="I209" s="86"/>
      <c r="J209" s="79">
        <f t="shared" si="930"/>
        <v>3.2269999999999999</v>
      </c>
    </row>
    <row r="210" spans="5:10" x14ac:dyDescent="0.25">
      <c r="E210" s="170">
        <f t="shared" si="934"/>
        <v>-0.61345399318292326</v>
      </c>
      <c r="F210" s="170">
        <f t="shared" si="934"/>
        <v>0.74611447221069516</v>
      </c>
      <c r="G210" s="170">
        <f t="shared" si="934"/>
        <v>-0.25881922765838322</v>
      </c>
      <c r="H210" s="139"/>
      <c r="I210" s="86"/>
      <c r="J210" s="79">
        <f t="shared" si="930"/>
        <v>3.23</v>
      </c>
    </row>
    <row r="211" spans="5:10" x14ac:dyDescent="0.25">
      <c r="E211" s="170">
        <f t="shared" si="934"/>
        <v>-0.96288342756627354</v>
      </c>
      <c r="F211" s="170">
        <f t="shared" si="934"/>
        <v>0.10176208176789696</v>
      </c>
      <c r="G211" s="170">
        <f t="shared" si="934"/>
        <v>-0.24999996726497575</v>
      </c>
      <c r="H211" s="139"/>
      <c r="I211" s="86"/>
      <c r="J211" s="79">
        <f t="shared" si="930"/>
        <v>4.1100000000000003</v>
      </c>
    </row>
    <row r="212" spans="5:10" x14ac:dyDescent="0.25">
      <c r="E212" s="170">
        <f t="shared" si="934"/>
        <v>-0.95125118034416623</v>
      </c>
      <c r="F212" s="170">
        <f t="shared" si="934"/>
        <v>0.1677316687021963</v>
      </c>
      <c r="G212" s="170">
        <f t="shared" si="934"/>
        <v>-0.25881900859134593</v>
      </c>
      <c r="H212" s="139"/>
      <c r="I212" s="86"/>
      <c r="J212" s="79">
        <f t="shared" si="930"/>
        <v>4.1130000000000004</v>
      </c>
    </row>
    <row r="213" spans="5:10" x14ac:dyDescent="0.25">
      <c r="E213" s="170">
        <f t="shared" si="934"/>
        <v>-0.93257829902329592</v>
      </c>
      <c r="F213" s="170">
        <f t="shared" si="934"/>
        <v>0.26435304541593491</v>
      </c>
      <c r="G213" s="170">
        <f t="shared" si="934"/>
        <v>-0.24579500314314168</v>
      </c>
      <c r="H213" s="139"/>
      <c r="I213" s="86"/>
      <c r="J213" s="79">
        <f t="shared" si="930"/>
        <v>4.1159999999999997</v>
      </c>
    </row>
    <row r="214" spans="5:10" x14ac:dyDescent="0.25">
      <c r="E214" s="170">
        <f t="shared" ref="E214:G233" si="935">E69*-1</f>
        <v>-0.91238815112728089</v>
      </c>
      <c r="F214" s="170">
        <f t="shared" si="935"/>
        <v>0.35069926723589645</v>
      </c>
      <c r="G214" s="170">
        <f t="shared" si="935"/>
        <v>-0.21108738863974649</v>
      </c>
      <c r="H214" s="139"/>
      <c r="I214" s="86"/>
      <c r="J214" s="79">
        <f t="shared" si="930"/>
        <v>4.1189999999999998</v>
      </c>
    </row>
    <row r="215" spans="5:10" x14ac:dyDescent="0.25">
      <c r="E215" s="170">
        <f t="shared" si="935"/>
        <v>-0.87998071063244832</v>
      </c>
      <c r="F215" s="170">
        <f t="shared" si="935"/>
        <v>0.4355613535696744</v>
      </c>
      <c r="G215" s="170">
        <f t="shared" si="935"/>
        <v>-0.18952639972142288</v>
      </c>
      <c r="H215" s="139"/>
      <c r="I215" s="86"/>
      <c r="J215" s="79">
        <f t="shared" si="930"/>
        <v>4.1219999999999999</v>
      </c>
    </row>
    <row r="216" spans="5:10" x14ac:dyDescent="0.25">
      <c r="E216" s="170">
        <f t="shared" si="935"/>
        <v>-0.83147882713342014</v>
      </c>
      <c r="F216" s="170">
        <f t="shared" si="935"/>
        <v>0.52692415809459781</v>
      </c>
      <c r="G216" s="170">
        <f t="shared" si="935"/>
        <v>-0.1760508211998216</v>
      </c>
      <c r="H216" s="139"/>
      <c r="I216" s="86"/>
      <c r="J216" s="79">
        <f t="shared" si="930"/>
        <v>4.125</v>
      </c>
    </row>
    <row r="217" spans="5:10" x14ac:dyDescent="0.25">
      <c r="E217" s="170">
        <f t="shared" si="935"/>
        <v>-0.7709169760239809</v>
      </c>
      <c r="F217" s="170">
        <f t="shared" si="935"/>
        <v>0.6186346269424976</v>
      </c>
      <c r="G217" s="170">
        <f t="shared" si="935"/>
        <v>-0.15158566695356698</v>
      </c>
      <c r="H217" s="139"/>
      <c r="I217" s="86"/>
      <c r="J217" s="79">
        <f t="shared" si="930"/>
        <v>4.1280000000000001</v>
      </c>
    </row>
    <row r="218" spans="5:10" x14ac:dyDescent="0.25">
      <c r="E218" s="170">
        <f t="shared" si="935"/>
        <v>-0.73097968662426782</v>
      </c>
      <c r="F218" s="170">
        <f t="shared" si="935"/>
        <v>0.67669410039161526</v>
      </c>
      <c r="G218" s="170">
        <f t="shared" si="935"/>
        <v>-8.8055620137898888E-2</v>
      </c>
      <c r="H218" s="139"/>
      <c r="I218" s="86"/>
      <c r="J218" s="79">
        <f t="shared" si="930"/>
        <v>4.1310000000000002</v>
      </c>
    </row>
    <row r="219" spans="5:10" x14ac:dyDescent="0.25">
      <c r="E219" s="170">
        <f t="shared" si="935"/>
        <v>-0.66911738873674265</v>
      </c>
      <c r="F219" s="170">
        <f t="shared" si="935"/>
        <v>0.74315672646495368</v>
      </c>
      <c r="G219" s="170">
        <f t="shared" si="935"/>
        <v>-1.3008419218723615E-7</v>
      </c>
      <c r="H219" s="139"/>
      <c r="I219" s="86"/>
      <c r="J219" s="79">
        <f t="shared" ref="J219:J282" si="936">J74</f>
        <v>4.1340000000000003</v>
      </c>
    </row>
    <row r="220" spans="5:10" x14ac:dyDescent="0.25">
      <c r="E220" s="170">
        <f t="shared" si="935"/>
        <v>-0.66911738873674265</v>
      </c>
      <c r="F220" s="170">
        <f t="shared" si="935"/>
        <v>0.74315672646495368</v>
      </c>
      <c r="G220" s="170">
        <f t="shared" si="935"/>
        <v>-1.3008419218723607E-7</v>
      </c>
      <c r="H220" s="139"/>
      <c r="I220" s="86"/>
      <c r="J220" s="79">
        <f t="shared" si="936"/>
        <v>4.1369999999999996</v>
      </c>
    </row>
    <row r="221" spans="5:10" x14ac:dyDescent="0.25">
      <c r="E221" s="170">
        <f t="shared" si="935"/>
        <v>-2.0030183292465707E-7</v>
      </c>
      <c r="F221" s="170">
        <f t="shared" si="935"/>
        <v>1.0637246311724786E-7</v>
      </c>
      <c r="G221" s="170">
        <f t="shared" si="935"/>
        <v>-0.99999999999997435</v>
      </c>
      <c r="H221" s="139"/>
      <c r="I221" s="86"/>
      <c r="J221" s="79">
        <f t="shared" si="936"/>
        <v>4.2130000000000001</v>
      </c>
    </row>
    <row r="222" spans="5:10" x14ac:dyDescent="0.25">
      <c r="E222" s="170">
        <f t="shared" si="935"/>
        <v>-0.8100620393986333</v>
      </c>
      <c r="F222" s="170">
        <f t="shared" si="935"/>
        <v>0.48630968169177519</v>
      </c>
      <c r="G222" s="170">
        <f t="shared" si="935"/>
        <v>-0.32757042879077403</v>
      </c>
      <c r="H222" s="139"/>
      <c r="I222" s="86"/>
      <c r="J222" s="79">
        <f t="shared" si="936"/>
        <v>4.2160000000000002</v>
      </c>
    </row>
    <row r="223" spans="5:10" x14ac:dyDescent="0.25">
      <c r="E223" s="170">
        <f t="shared" si="935"/>
        <v>-0.77419252199095234</v>
      </c>
      <c r="F223" s="170">
        <f t="shared" si="935"/>
        <v>0.56326877699479283</v>
      </c>
      <c r="G223" s="170">
        <f t="shared" si="935"/>
        <v>-0.28871131560103303</v>
      </c>
      <c r="H223" s="139"/>
      <c r="I223" s="86"/>
      <c r="J223" s="79">
        <f t="shared" si="936"/>
        <v>4.2190000000000003</v>
      </c>
    </row>
    <row r="224" spans="5:10" x14ac:dyDescent="0.25">
      <c r="E224" s="170">
        <f t="shared" si="935"/>
        <v>-0.72318673856683979</v>
      </c>
      <c r="F224" s="170">
        <f t="shared" si="935"/>
        <v>0.63997248269675</v>
      </c>
      <c r="G224" s="170">
        <f t="shared" si="935"/>
        <v>-0.25968473684838628</v>
      </c>
      <c r="H224" s="139"/>
      <c r="I224" s="86"/>
      <c r="J224" s="79">
        <f t="shared" si="936"/>
        <v>4.2220000000000004</v>
      </c>
    </row>
    <row r="225" spans="5:10" x14ac:dyDescent="0.25">
      <c r="E225" s="170">
        <f t="shared" si="935"/>
        <v>0.41383224619023656</v>
      </c>
      <c r="F225" s="170">
        <f t="shared" si="935"/>
        <v>0.872786044461907</v>
      </c>
      <c r="G225" s="170">
        <f t="shared" si="935"/>
        <v>-0.25881922765838278</v>
      </c>
      <c r="H225" s="139"/>
      <c r="I225" s="86"/>
      <c r="J225" s="79">
        <f t="shared" si="936"/>
        <v>4.2249999999999996</v>
      </c>
    </row>
    <row r="226" spans="5:10" x14ac:dyDescent="0.25">
      <c r="E226" s="170">
        <f t="shared" si="935"/>
        <v>0.4160397018740658</v>
      </c>
      <c r="F226" s="170">
        <f t="shared" si="935"/>
        <v>0.8717359542079568</v>
      </c>
      <c r="G226" s="170">
        <f t="shared" si="935"/>
        <v>-0.25881922765838244</v>
      </c>
      <c r="H226" s="139"/>
      <c r="I226" s="86"/>
      <c r="J226" s="79">
        <f t="shared" si="936"/>
        <v>4.2279999999999998</v>
      </c>
    </row>
    <row r="227" spans="5:10" x14ac:dyDescent="0.25">
      <c r="E227" s="170">
        <f t="shared" si="935"/>
        <v>-0.4735944187439165</v>
      </c>
      <c r="F227" s="170">
        <f t="shared" si="935"/>
        <v>0.83146955959349167</v>
      </c>
      <c r="G227" s="170">
        <f t="shared" si="935"/>
        <v>-0.29045946017304536</v>
      </c>
      <c r="H227" s="139"/>
      <c r="I227" s="86"/>
      <c r="J227" s="79">
        <f t="shared" si="936"/>
        <v>5.1020000000000003</v>
      </c>
    </row>
    <row r="228" spans="5:10" x14ac:dyDescent="0.25">
      <c r="E228" s="170">
        <f t="shared" si="935"/>
        <v>-0.46892874510133492</v>
      </c>
      <c r="F228" s="170">
        <f t="shared" si="935"/>
        <v>0.84711619532694482</v>
      </c>
      <c r="G228" s="170">
        <f t="shared" si="935"/>
        <v>-0.24999996726497561</v>
      </c>
      <c r="H228" s="139"/>
      <c r="I228" s="86"/>
      <c r="J228" s="79">
        <f t="shared" si="936"/>
        <v>5.1050000000000004</v>
      </c>
    </row>
    <row r="229" spans="5:10" x14ac:dyDescent="0.25">
      <c r="E229" s="170">
        <f t="shared" si="935"/>
        <v>-0.46892874510133498</v>
      </c>
      <c r="F229" s="170">
        <f t="shared" si="935"/>
        <v>0.84711619532694482</v>
      </c>
      <c r="G229" s="170">
        <f t="shared" si="935"/>
        <v>-0.24999996726497561</v>
      </c>
      <c r="H229" s="139"/>
      <c r="I229" s="86"/>
      <c r="J229" s="79">
        <f t="shared" si="936"/>
        <v>5.1079999999999997</v>
      </c>
    </row>
    <row r="230" spans="5:10" x14ac:dyDescent="0.25">
      <c r="E230" s="170">
        <f t="shared" si="935"/>
        <v>-0.44895024177643561</v>
      </c>
      <c r="F230" s="170">
        <f t="shared" si="935"/>
        <v>0.85643231737726577</v>
      </c>
      <c r="G230" s="170">
        <f t="shared" si="935"/>
        <v>-0.2548869674202402</v>
      </c>
      <c r="H230" s="139"/>
      <c r="I230" s="86"/>
      <c r="J230" s="79">
        <f t="shared" si="936"/>
        <v>5.1109999999999998</v>
      </c>
    </row>
    <row r="231" spans="5:10" x14ac:dyDescent="0.25">
      <c r="E231" s="170">
        <f t="shared" si="935"/>
        <v>-0.37748392140381692</v>
      </c>
      <c r="F231" s="170">
        <f t="shared" si="935"/>
        <v>0.88956389637439393</v>
      </c>
      <c r="G231" s="170">
        <f t="shared" si="935"/>
        <v>-0.25725855349978854</v>
      </c>
      <c r="H231" s="139"/>
      <c r="I231" s="86"/>
      <c r="J231" s="79">
        <f t="shared" si="936"/>
        <v>5.1139999999999999</v>
      </c>
    </row>
    <row r="232" spans="5:10" x14ac:dyDescent="0.25">
      <c r="E232" s="170">
        <f t="shared" si="935"/>
        <v>-0.28981275542325247</v>
      </c>
      <c r="F232" s="170">
        <f t="shared" si="935"/>
        <v>0.92744339468751802</v>
      </c>
      <c r="G232" s="170">
        <f t="shared" si="935"/>
        <v>-0.23634152501089314</v>
      </c>
      <c r="H232" s="139"/>
      <c r="I232" s="86"/>
      <c r="J232" s="79">
        <f t="shared" si="936"/>
        <v>5.117</v>
      </c>
    </row>
    <row r="233" spans="5:10" x14ac:dyDescent="0.25">
      <c r="E233" s="170">
        <f t="shared" si="935"/>
        <v>-0.21134129634453699</v>
      </c>
      <c r="F233" s="170">
        <f t="shared" si="935"/>
        <v>0.95760722141008747</v>
      </c>
      <c r="G233" s="170">
        <f t="shared" si="935"/>
        <v>-0.19576329064117823</v>
      </c>
      <c r="H233" s="139"/>
      <c r="I233" s="86"/>
      <c r="J233" s="79">
        <f t="shared" si="936"/>
        <v>5.12</v>
      </c>
    </row>
    <row r="234" spans="5:10" x14ac:dyDescent="0.25">
      <c r="E234" s="170">
        <f t="shared" ref="E234:G253" si="937">E89*-1</f>
        <v>-0.11691641976678985</v>
      </c>
      <c r="F234" s="170">
        <f t="shared" si="937"/>
        <v>0.97613049320768275</v>
      </c>
      <c r="G234" s="170">
        <f t="shared" si="937"/>
        <v>-0.18302953591986681</v>
      </c>
      <c r="H234" s="139"/>
      <c r="I234" s="86"/>
      <c r="J234" s="79">
        <f t="shared" si="936"/>
        <v>5.1230000000000002</v>
      </c>
    </row>
    <row r="235" spans="5:10" x14ac:dyDescent="0.25">
      <c r="E235" s="170">
        <f t="shared" si="937"/>
        <v>-3.6816878658778311E-3</v>
      </c>
      <c r="F235" s="170">
        <f t="shared" si="937"/>
        <v>0.98469271982582696</v>
      </c>
      <c r="G235" s="170">
        <f t="shared" si="937"/>
        <v>-0.1742604163213026</v>
      </c>
      <c r="H235" s="139"/>
      <c r="I235" s="86"/>
      <c r="J235" s="79">
        <f t="shared" si="936"/>
        <v>5.1260000000000003</v>
      </c>
    </row>
    <row r="236" spans="5:10" x14ac:dyDescent="0.25">
      <c r="E236" s="170">
        <f t="shared" si="937"/>
        <v>9.002115681341831E-2</v>
      </c>
      <c r="F236" s="170">
        <f t="shared" si="937"/>
        <v>0.98725101364047063</v>
      </c>
      <c r="G236" s="170">
        <f t="shared" si="937"/>
        <v>-0.13126929340800639</v>
      </c>
      <c r="H236" s="139"/>
      <c r="I236" s="86"/>
      <c r="J236" s="79">
        <f t="shared" si="936"/>
        <v>5.1289999999999996</v>
      </c>
    </row>
    <row r="237" spans="5:10" x14ac:dyDescent="0.25">
      <c r="E237" s="170">
        <f t="shared" si="937"/>
        <v>0.15493655533668327</v>
      </c>
      <c r="F237" s="170">
        <f t="shared" si="937"/>
        <v>0.9858134669768942</v>
      </c>
      <c r="G237" s="170">
        <f t="shared" si="937"/>
        <v>-6.4548215679434764E-2</v>
      </c>
      <c r="H237" s="139"/>
      <c r="I237" s="86"/>
      <c r="J237" s="79">
        <f t="shared" si="936"/>
        <v>5.1319999999999997</v>
      </c>
    </row>
    <row r="238" spans="5:10" x14ac:dyDescent="0.25">
      <c r="E238" s="170">
        <f t="shared" si="937"/>
        <v>0.22496824933464363</v>
      </c>
      <c r="F238" s="170">
        <f t="shared" si="937"/>
        <v>0.97436609484899916</v>
      </c>
      <c r="G238" s="170">
        <f t="shared" si="937"/>
        <v>-1.3008419223739197E-7</v>
      </c>
      <c r="H238" s="139"/>
      <c r="I238" s="86"/>
      <c r="J238" s="79">
        <f t="shared" si="936"/>
        <v>5.1349999999999998</v>
      </c>
    </row>
    <row r="239" spans="5:10" x14ac:dyDescent="0.25">
      <c r="E239" s="170">
        <f t="shared" si="937"/>
        <v>0.22496824933464363</v>
      </c>
      <c r="F239" s="170">
        <f t="shared" si="937"/>
        <v>0.97436609484899916</v>
      </c>
      <c r="G239" s="170">
        <f t="shared" si="937"/>
        <v>-1.3008419223739474E-7</v>
      </c>
      <c r="H239" s="139"/>
      <c r="I239" s="86"/>
      <c r="J239" s="79">
        <f t="shared" si="936"/>
        <v>5.1379999999999999</v>
      </c>
    </row>
    <row r="240" spans="5:10" x14ac:dyDescent="0.25">
      <c r="E240" s="170">
        <f t="shared" si="937"/>
        <v>-0.25877454453601995</v>
      </c>
      <c r="F240" s="170">
        <f t="shared" si="937"/>
        <v>4.7973230483917047E-3</v>
      </c>
      <c r="G240" s="170">
        <f t="shared" si="937"/>
        <v>-0.96592583607218252</v>
      </c>
      <c r="H240" s="139"/>
      <c r="I240" s="86"/>
      <c r="J240" s="79">
        <f t="shared" si="936"/>
        <v>5.2080000000000002</v>
      </c>
    </row>
    <row r="241" spans="5:10" x14ac:dyDescent="0.25">
      <c r="E241" s="170">
        <f t="shared" si="937"/>
        <v>-0.17305978479960427</v>
      </c>
      <c r="F241" s="170">
        <f t="shared" si="937"/>
        <v>-1.4282572369754014E-2</v>
      </c>
      <c r="G241" s="170">
        <f t="shared" si="937"/>
        <v>-0.98480775738801807</v>
      </c>
      <c r="H241" s="139"/>
      <c r="I241" s="86"/>
      <c r="J241" s="79">
        <f t="shared" si="936"/>
        <v>5.2110000000000003</v>
      </c>
    </row>
    <row r="242" spans="5:10" x14ac:dyDescent="0.25">
      <c r="E242" s="170">
        <f t="shared" si="937"/>
        <v>5.9100160075432832E-2</v>
      </c>
      <c r="F242" s="170">
        <f t="shared" si="937"/>
        <v>8.115895994826457E-3</v>
      </c>
      <c r="G242" s="170">
        <f t="shared" si="937"/>
        <v>-0.99821906579230368</v>
      </c>
      <c r="H242" s="139"/>
      <c r="I242" s="86"/>
      <c r="J242" s="79">
        <f t="shared" si="936"/>
        <v>5.2140000000000004</v>
      </c>
    </row>
    <row r="243" spans="5:10" x14ac:dyDescent="0.25">
      <c r="E243" s="170">
        <f t="shared" si="937"/>
        <v>-3.7872085703724356E-2</v>
      </c>
      <c r="F243" s="170">
        <f t="shared" si="937"/>
        <v>0.94766004315857522</v>
      </c>
      <c r="G243" s="170">
        <f t="shared" si="937"/>
        <v>-0.31702704573133389</v>
      </c>
      <c r="H243" s="139"/>
      <c r="I243" s="86"/>
      <c r="J243" s="79">
        <f t="shared" si="936"/>
        <v>5.2169999999999996</v>
      </c>
    </row>
    <row r="244" spans="5:10" x14ac:dyDescent="0.25">
      <c r="E244" s="170">
        <f t="shared" si="937"/>
        <v>4.3371011767917633E-2</v>
      </c>
      <c r="F244" s="170">
        <f t="shared" si="937"/>
        <v>0.96147840167864707</v>
      </c>
      <c r="G244" s="170">
        <f t="shared" si="937"/>
        <v>-0.27143735638946476</v>
      </c>
      <c r="H244" s="139"/>
      <c r="I244" s="86"/>
      <c r="J244" s="79">
        <f t="shared" si="936"/>
        <v>5.22</v>
      </c>
    </row>
    <row r="245" spans="5:10" x14ac:dyDescent="0.25">
      <c r="E245" s="170">
        <f t="shared" si="937"/>
        <v>0.14200603223681052</v>
      </c>
      <c r="F245" s="170">
        <f t="shared" si="937"/>
        <v>0.95775683906718601</v>
      </c>
      <c r="G245" s="170">
        <f t="shared" si="937"/>
        <v>-0.25007223762023306</v>
      </c>
      <c r="H245" s="139"/>
      <c r="I245" s="86"/>
      <c r="J245" s="79">
        <f t="shared" si="936"/>
        <v>5.2229999999999999</v>
      </c>
    </row>
    <row r="246" spans="5:10" x14ac:dyDescent="0.25">
      <c r="E246" s="170">
        <f t="shared" si="937"/>
        <v>0.95245235703975706</v>
      </c>
      <c r="F246" s="170">
        <f t="shared" si="937"/>
        <v>0.16077037962177437</v>
      </c>
      <c r="G246" s="170">
        <f t="shared" si="937"/>
        <v>-0.25881922765838294</v>
      </c>
      <c r="H246" s="139"/>
      <c r="I246" s="86"/>
      <c r="J246" s="79">
        <f t="shared" si="936"/>
        <v>5.226</v>
      </c>
    </row>
    <row r="247" spans="5:10" x14ac:dyDescent="0.25">
      <c r="E247" s="170">
        <f t="shared" si="937"/>
        <v>0.95281468146745363</v>
      </c>
      <c r="F247" s="170">
        <f t="shared" si="937"/>
        <v>0.15860892211472005</v>
      </c>
      <c r="G247" s="170">
        <f t="shared" si="937"/>
        <v>-0.25881922765838261</v>
      </c>
      <c r="H247" s="139"/>
      <c r="I247" s="86"/>
      <c r="J247" s="79">
        <f t="shared" si="936"/>
        <v>5.2290000000000001</v>
      </c>
    </row>
    <row r="248" spans="5:10" x14ac:dyDescent="0.25">
      <c r="E248" s="170">
        <f t="shared" si="937"/>
        <v>0.53555433916237172</v>
      </c>
      <c r="F248" s="170">
        <f t="shared" si="937"/>
        <v>0.80417853371932979</v>
      </c>
      <c r="G248" s="170">
        <f t="shared" si="937"/>
        <v>-0.25783412440827969</v>
      </c>
      <c r="H248" s="139"/>
      <c r="I248" s="86"/>
      <c r="J248" s="79">
        <f t="shared" si="936"/>
        <v>6.1120000000000001</v>
      </c>
    </row>
    <row r="249" spans="5:10" x14ac:dyDescent="0.25">
      <c r="E249" s="170">
        <f t="shared" si="937"/>
        <v>0.60806059526976775</v>
      </c>
      <c r="F249" s="170">
        <f t="shared" si="937"/>
        <v>0.75255102230610826</v>
      </c>
      <c r="G249" s="170">
        <f t="shared" si="937"/>
        <v>-0.25284238431522388</v>
      </c>
      <c r="H249" s="139"/>
      <c r="I249" s="86"/>
      <c r="J249" s="79">
        <f t="shared" si="936"/>
        <v>6.1150000000000002</v>
      </c>
    </row>
    <row r="250" spans="5:10" x14ac:dyDescent="0.25">
      <c r="E250" s="170">
        <f t="shared" si="937"/>
        <v>0.68161749710200215</v>
      </c>
      <c r="F250" s="170">
        <f t="shared" si="937"/>
        <v>0.69635967111295527</v>
      </c>
      <c r="G250" s="170">
        <f t="shared" si="937"/>
        <v>-0.22467931834474442</v>
      </c>
      <c r="H250" s="139"/>
      <c r="I250" s="86"/>
      <c r="J250" s="79">
        <f t="shared" si="936"/>
        <v>6.1180000000000003</v>
      </c>
    </row>
    <row r="251" spans="5:10" x14ac:dyDescent="0.25">
      <c r="E251" s="170">
        <f t="shared" si="937"/>
        <v>0.74551288469714572</v>
      </c>
      <c r="F251" s="170">
        <f t="shared" si="937"/>
        <v>0.63769282096955027</v>
      </c>
      <c r="G251" s="170">
        <f t="shared" si="937"/>
        <v>-0.19379990927355373</v>
      </c>
      <c r="H251" s="139"/>
      <c r="I251" s="86"/>
      <c r="J251" s="79">
        <f t="shared" si="936"/>
        <v>6.1210000000000004</v>
      </c>
    </row>
    <row r="252" spans="5:10" x14ac:dyDescent="0.25">
      <c r="E252" s="170">
        <f t="shared" si="937"/>
        <v>0.80610190375733959</v>
      </c>
      <c r="F252" s="170">
        <f t="shared" si="937"/>
        <v>0.56548767381499843</v>
      </c>
      <c r="G252" s="170">
        <f t="shared" si="937"/>
        <v>-0.17442308196478659</v>
      </c>
      <c r="H252" s="139"/>
      <c r="I252" s="86"/>
      <c r="J252" s="79">
        <f t="shared" si="936"/>
        <v>6.1239999999999997</v>
      </c>
    </row>
    <row r="253" spans="5:10" x14ac:dyDescent="0.25">
      <c r="E253" s="170">
        <f t="shared" si="937"/>
        <v>0.87181902728092098</v>
      </c>
      <c r="F253" s="170">
        <f t="shared" si="937"/>
        <v>0.4597114615440091</v>
      </c>
      <c r="G253" s="170">
        <f t="shared" si="937"/>
        <v>-0.16910634463561683</v>
      </c>
      <c r="H253" s="139"/>
      <c r="I253" s="86"/>
      <c r="J253" s="79">
        <f t="shared" si="936"/>
        <v>6.1269999999999998</v>
      </c>
    </row>
    <row r="254" spans="5:10" x14ac:dyDescent="0.25">
      <c r="E254" s="170">
        <f t="shared" ref="E254:G273" si="938">E109*-1</f>
        <v>0.91184781424840688</v>
      </c>
      <c r="F254" s="170">
        <f t="shared" si="938"/>
        <v>0.39544176543113241</v>
      </c>
      <c r="G254" s="170">
        <f t="shared" si="938"/>
        <v>-0.11026955066160421</v>
      </c>
      <c r="H254" s="139"/>
      <c r="I254" s="86"/>
      <c r="J254" s="79">
        <f t="shared" si="936"/>
        <v>6.13</v>
      </c>
    </row>
    <row r="255" spans="5:10" x14ac:dyDescent="0.25">
      <c r="E255" s="170">
        <f t="shared" si="938"/>
        <v>0.95630987118972666</v>
      </c>
      <c r="F255" s="170">
        <f t="shared" si="938"/>
        <v>0.29235497304658897</v>
      </c>
      <c r="G255" s="170">
        <f t="shared" si="938"/>
        <v>-1.3008419260979977E-7</v>
      </c>
      <c r="H255" s="139"/>
      <c r="I255" s="86"/>
      <c r="J255" s="79">
        <f t="shared" si="936"/>
        <v>6.133</v>
      </c>
    </row>
    <row r="256" spans="5:10" x14ac:dyDescent="0.25">
      <c r="E256" s="170">
        <f t="shared" si="938"/>
        <v>0.95630987118972666</v>
      </c>
      <c r="F256" s="170">
        <f t="shared" si="938"/>
        <v>0.29235497304658897</v>
      </c>
      <c r="G256" s="170">
        <f t="shared" si="938"/>
        <v>-1.3008419260979977E-7</v>
      </c>
      <c r="H256" s="139"/>
      <c r="I256" s="86"/>
      <c r="J256" s="79">
        <f t="shared" si="936"/>
        <v>6.1360000000000001</v>
      </c>
    </row>
    <row r="257" spans="5:10" x14ac:dyDescent="0.25">
      <c r="E257" s="170">
        <f t="shared" si="938"/>
        <v>7.4016184499791485E-2</v>
      </c>
      <c r="F257" s="170">
        <f t="shared" si="938"/>
        <v>-9.3304522389928479E-2</v>
      </c>
      <c r="G257" s="170">
        <f t="shared" si="938"/>
        <v>-0.99288260662259575</v>
      </c>
      <c r="H257" s="139"/>
      <c r="I257" s="86"/>
      <c r="J257" s="79">
        <f t="shared" si="936"/>
        <v>6.2149999999999999</v>
      </c>
    </row>
    <row r="258" spans="5:10" x14ac:dyDescent="0.25">
      <c r="E258" s="170">
        <f t="shared" si="938"/>
        <v>0.82008270712014675</v>
      </c>
      <c r="F258" s="170">
        <f t="shared" si="938"/>
        <v>0.48483316579495572</v>
      </c>
      <c r="G258" s="170">
        <f t="shared" si="938"/>
        <v>-0.30397558261763835</v>
      </c>
      <c r="H258" s="139"/>
      <c r="I258" s="86"/>
      <c r="J258" s="79">
        <f t="shared" si="936"/>
        <v>6.218</v>
      </c>
    </row>
    <row r="259" spans="5:10" x14ac:dyDescent="0.25">
      <c r="E259" s="170">
        <f t="shared" si="938"/>
        <v>0.87021688226213856</v>
      </c>
      <c r="F259" s="170">
        <f t="shared" si="938"/>
        <v>0.41414770532042322</v>
      </c>
      <c r="G259" s="170">
        <f t="shared" si="938"/>
        <v>-0.26684125618762794</v>
      </c>
      <c r="H259" s="139"/>
      <c r="I259" s="86"/>
      <c r="J259" s="79">
        <f t="shared" si="936"/>
        <v>6.2210000000000001</v>
      </c>
    </row>
    <row r="260" spans="5:10" x14ac:dyDescent="0.25">
      <c r="E260" s="170">
        <f t="shared" si="938"/>
        <v>0.91445748084484868</v>
      </c>
      <c r="F260" s="170">
        <f t="shared" si="938"/>
        <v>0.32719831798890842</v>
      </c>
      <c r="G260" s="170">
        <f t="shared" si="938"/>
        <v>-0.2381360460579679</v>
      </c>
      <c r="H260" s="139"/>
      <c r="I260" s="86"/>
      <c r="J260" s="79">
        <f t="shared" si="936"/>
        <v>6.2240000000000002</v>
      </c>
    </row>
    <row r="261" spans="5:10" x14ac:dyDescent="0.25">
      <c r="E261" s="170">
        <f t="shared" si="938"/>
        <v>0.61480762361240004</v>
      </c>
      <c r="F261" s="170">
        <f t="shared" si="938"/>
        <v>-0.74499945861885819</v>
      </c>
      <c r="G261" s="170">
        <f t="shared" si="938"/>
        <v>-0.25881922765838306</v>
      </c>
      <c r="H261" s="139"/>
      <c r="I261" s="86"/>
      <c r="J261" s="79">
        <f t="shared" si="936"/>
        <v>6.2270000000000003</v>
      </c>
    </row>
    <row r="262" spans="5:10" x14ac:dyDescent="0.25">
      <c r="E262" s="170">
        <f t="shared" si="938"/>
        <v>0.6134543316127693</v>
      </c>
      <c r="F262" s="170">
        <f t="shared" si="938"/>
        <v>-0.74611419395414869</v>
      </c>
      <c r="G262" s="170">
        <f t="shared" si="938"/>
        <v>-0.25881922765838272</v>
      </c>
      <c r="H262" s="139"/>
      <c r="I262" s="86"/>
      <c r="J262" s="79">
        <f t="shared" si="936"/>
        <v>6.23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87EC9D9C-CA85-4927-831B-CB0B0202B2CA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BC2B062E-5765-48E9-83A5-D176043F7DFB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13.5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1.131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1.1339999999999999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1.137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1.2070000000000001</v>
      </c>
      <c r="N177" s="869" t="str">
        <f>Assy.Model!K22</f>
        <v>CPS-32193r1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1.21</v>
      </c>
      <c r="N178" s="869" t="str">
        <f>Assy.Model!K23</f>
        <v>CPS-32193r1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1.2130000000000001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1.216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1.2190000000000001</v>
      </c>
      <c r="N181" s="869">
        <f>Assy.Model!K26</f>
        <v>1313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1.222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1.2250000000000001</v>
      </c>
      <c r="N183" s="869" t="str">
        <f>Assy.Model!K28</f>
        <v>CPS-32193r1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1.228</v>
      </c>
      <c r="N184" s="869" t="str">
        <f>Assy.Model!K29</f>
        <v>CPS-32193r1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2.1110000000000002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2.1139999999999999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2.117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2.12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2.1230000000000002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2.1259999999999999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2.129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2.1320000000000001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2.1349999999999998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2.1379999999999999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2.214</v>
      </c>
      <c r="N195" s="869" t="str">
        <f>Assy.Model!K40</f>
        <v>CPS-32193r1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2.2170000000000001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2.2200000000000002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2.2229999999999999</v>
      </c>
      <c r="N198" s="869">
        <f>Assy.Model!K43</f>
        <v>1313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2.226</v>
      </c>
      <c r="N199" s="869" t="str">
        <f>Assy.Model!K44</f>
        <v>CPS-32193r1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2.2290000000000001</v>
      </c>
      <c r="N200" s="869" t="str">
        <f>Assy.Model!K45</f>
        <v>CPS-32193r1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3.1030000000000002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3.1059999999999999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3.109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3.1120000000000001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3.1150000000000002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3.1179999999999999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3.121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3.1240000000000001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3.1269999999999998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3.13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3.133</v>
      </c>
      <c r="N211" s="869">
        <f>Assy.Model!K56</f>
        <v>1313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3.1360000000000001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3.2090000000000001</v>
      </c>
      <c r="N213" s="869" t="str">
        <f>Assy.Model!K58</f>
        <v>CPS-32193r1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3.2120000000000002</v>
      </c>
      <c r="N214" s="869" t="str">
        <f>Assy.Model!K59</f>
        <v>CPS-32193r1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3.2149999999999999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3.218</v>
      </c>
      <c r="N216" s="869">
        <f>Assy.Model!K61</f>
        <v>1313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3.2210000000000001</v>
      </c>
      <c r="N217" s="869">
        <f>Assy.Model!K62</f>
        <v>1313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3.2240000000000002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>
        <f>Assy.Model!$M64</f>
        <v>3.2269999999999999</v>
      </c>
      <c r="N219" s="869" t="str">
        <f>Assy.Model!K64</f>
        <v>CPS-32193r1</v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>
        <f>Assy.Model!$M65</f>
        <v>3.23</v>
      </c>
      <c r="N220" s="869" t="str">
        <f>Assy.Model!K65</f>
        <v>CPS-32193r1</v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>
        <f>Assy.Model!$M66</f>
        <v>4.1100000000000003</v>
      </c>
      <c r="N221" s="869">
        <f>Assy.Model!K66</f>
        <v>1613</v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>
        <f>Assy.Model!$M67</f>
        <v>4.1130000000000004</v>
      </c>
      <c r="N222" s="869">
        <f>Assy.Model!K67</f>
        <v>1613</v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>
        <f>Assy.Model!$M68</f>
        <v>4.1159999999999997</v>
      </c>
      <c r="N223" s="869">
        <f>Assy.Model!K68</f>
        <v>1613</v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>
        <f>Assy.Model!$M69</f>
        <v>4.1189999999999998</v>
      </c>
      <c r="N224" s="869">
        <f>Assy.Model!K69</f>
        <v>1613</v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>
        <f>Assy.Model!$M70</f>
        <v>4.1219999999999999</v>
      </c>
      <c r="N225" s="869">
        <f>Assy.Model!K70</f>
        <v>1613</v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>
        <f>Assy.Model!$M71</f>
        <v>4.125</v>
      </c>
      <c r="N226" s="869">
        <f>Assy.Model!K71</f>
        <v>1613</v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>
        <f>Assy.Model!$M72</f>
        <v>4.1280000000000001</v>
      </c>
      <c r="N227" s="869">
        <f>Assy.Model!K72</f>
        <v>1613</v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>
        <f>Assy.Model!$M73</f>
        <v>4.1310000000000002</v>
      </c>
      <c r="N228" s="869">
        <f>Assy.Model!K73</f>
        <v>1613</v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>
        <f>Assy.Model!$M74</f>
        <v>4.1340000000000003</v>
      </c>
      <c r="N229" s="869">
        <f>Assy.Model!K74</f>
        <v>1313</v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>
        <f>Assy.Model!$M75</f>
        <v>4.1369999999999996</v>
      </c>
      <c r="N230" s="869">
        <f>Assy.Model!K75</f>
        <v>1313</v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>
        <f>Assy.Model!$M76</f>
        <v>4.2130000000000001</v>
      </c>
      <c r="N231" s="869" t="str">
        <f>Assy.Model!K76</f>
        <v>CPS-32193r1</v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>
        <f>Assy.Model!$M77</f>
        <v>4.2160000000000002</v>
      </c>
      <c r="N232" s="869">
        <f>Assy.Model!K77</f>
        <v>1313</v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>
        <f>Assy.Model!$M78</f>
        <v>4.2190000000000003</v>
      </c>
      <c r="N233" s="869">
        <f>Assy.Model!K78</f>
        <v>1313</v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>
        <f>Assy.Model!$M79</f>
        <v>4.2220000000000004</v>
      </c>
      <c r="N234" s="869">
        <f>Assy.Model!K79</f>
        <v>1313</v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>
        <f>Assy.Model!$M80</f>
        <v>4.2249999999999996</v>
      </c>
      <c r="N235" s="869" t="str">
        <f>Assy.Model!K80</f>
        <v>CPS-32193r1</v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>
        <f>Assy.Model!$M81</f>
        <v>4.2279999999999998</v>
      </c>
      <c r="N236" s="869" t="str">
        <f>Assy.Model!K81</f>
        <v>CPS-32193r1</v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>
        <f>Assy.Model!$M82</f>
        <v>5.1020000000000003</v>
      </c>
      <c r="N237" s="869">
        <f>Assy.Model!K82</f>
        <v>1613</v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>
        <f>Assy.Model!$M83</f>
        <v>5.1050000000000004</v>
      </c>
      <c r="N238" s="869">
        <f>Assy.Model!K83</f>
        <v>1613</v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>
        <f>Assy.Model!$M84</f>
        <v>5.1079999999999997</v>
      </c>
      <c r="N239" s="869">
        <f>Assy.Model!K84</f>
        <v>1613</v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>
        <f>Assy.Model!$M85</f>
        <v>5.1109999999999998</v>
      </c>
      <c r="N240" s="869">
        <f>Assy.Model!K85</f>
        <v>1613</v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>
        <f>Assy.Model!$M86</f>
        <v>5.1139999999999999</v>
      </c>
      <c r="N241" s="869">
        <f>Assy.Model!K86</f>
        <v>1613</v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>
        <f>Assy.Model!$M87</f>
        <v>5.117</v>
      </c>
      <c r="N242" s="869">
        <f>Assy.Model!K87</f>
        <v>1613</v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>
        <f>Assy.Model!$M88</f>
        <v>5.12</v>
      </c>
      <c r="N243" s="869">
        <f>Assy.Model!K88</f>
        <v>1613</v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>
        <f>Assy.Model!$M89</f>
        <v>5.1230000000000002</v>
      </c>
      <c r="N244" s="869">
        <f>Assy.Model!K89</f>
        <v>1613</v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>
        <f>Assy.Model!$M90</f>
        <v>5.1260000000000003</v>
      </c>
      <c r="N245" s="869">
        <f>Assy.Model!K90</f>
        <v>1613</v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>
        <f>Assy.Model!$M91</f>
        <v>5.1289999999999996</v>
      </c>
      <c r="N246" s="869">
        <f>Assy.Model!K91</f>
        <v>1613</v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>
        <f>Assy.Model!$M92</f>
        <v>5.1319999999999997</v>
      </c>
      <c r="N247" s="869">
        <f>Assy.Model!K92</f>
        <v>1613</v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>
        <f>Assy.Model!$M93</f>
        <v>5.1349999999999998</v>
      </c>
      <c r="N248" s="869">
        <f>Assy.Model!K93</f>
        <v>1313</v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>
        <f>Assy.Model!$M94</f>
        <v>5.1379999999999999</v>
      </c>
      <c r="N249" s="869">
        <f>Assy.Model!K94</f>
        <v>1313</v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>
        <f>Assy.Model!$M95</f>
        <v>5.2080000000000002</v>
      </c>
      <c r="N250" s="869" t="str">
        <f>Assy.Model!K95</f>
        <v>CPS-32193r1</v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>
        <f>Assy.Model!$M96</f>
        <v>5.2110000000000003</v>
      </c>
      <c r="N251" s="869" t="str">
        <f>Assy.Model!K96</f>
        <v>CPS-32193r1</v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>
        <f>Assy.Model!$M97</f>
        <v>5.2140000000000004</v>
      </c>
      <c r="N252" s="869" t="str">
        <f>Assy.Model!K97</f>
        <v>CPS-32193r1</v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>
        <f>Assy.Model!$M98</f>
        <v>5.2169999999999996</v>
      </c>
      <c r="N253" s="869">
        <f>Assy.Model!K98</f>
        <v>1313</v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>
        <f>Assy.Model!$M99</f>
        <v>5.22</v>
      </c>
      <c r="N254" s="869">
        <f>Assy.Model!K99</f>
        <v>1313</v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>
        <f>Assy.Model!$M100</f>
        <v>5.2229999999999999</v>
      </c>
      <c r="N255" s="869">
        <f>Assy.Model!K100</f>
        <v>1313</v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>
        <f>Assy.Model!$M101</f>
        <v>5.226</v>
      </c>
      <c r="N256" s="869" t="str">
        <f>Assy.Model!K101</f>
        <v>CPS-32193r1</v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>
        <f>Assy.Model!$M102</f>
        <v>5.2290000000000001</v>
      </c>
      <c r="N257" s="869" t="str">
        <f>Assy.Model!K102</f>
        <v>CPS-32193r1</v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>
        <f>Assy.Model!$M103</f>
        <v>6.1120000000000001</v>
      </c>
      <c r="N258" s="869">
        <f>Assy.Model!K103</f>
        <v>1613</v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>
        <f>Assy.Model!$M104</f>
        <v>6.1150000000000002</v>
      </c>
      <c r="N259" s="869">
        <f>Assy.Model!K104</f>
        <v>1613</v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>
        <f>Assy.Model!$M105</f>
        <v>6.1180000000000003</v>
      </c>
      <c r="N260" s="869">
        <f>Assy.Model!K105</f>
        <v>1613</v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>
        <f>Assy.Model!$M106</f>
        <v>6.1210000000000004</v>
      </c>
      <c r="N261" s="869">
        <f>Assy.Model!K106</f>
        <v>1613</v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>
        <f>Assy.Model!$M107</f>
        <v>6.1239999999999997</v>
      </c>
      <c r="N262" s="869">
        <f>Assy.Model!K107</f>
        <v>1613</v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>
        <f>Assy.Model!$M108</f>
        <v>6.1269999999999998</v>
      </c>
      <c r="N263" s="869">
        <f>Assy.Model!K108</f>
        <v>1613</v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>
        <f>Assy.Model!$M109</f>
        <v>6.13</v>
      </c>
      <c r="N264" s="869">
        <f>Assy.Model!K109</f>
        <v>1613</v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>
        <f>Assy.Model!$M110</f>
        <v>6.133</v>
      </c>
      <c r="N265" s="869">
        <f>Assy.Model!K110</f>
        <v>1313</v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>
        <f>Assy.Model!$M111</f>
        <v>6.1360000000000001</v>
      </c>
      <c r="N266" s="869">
        <f>Assy.Model!K111</f>
        <v>1313</v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>
        <f>Assy.Model!$M112</f>
        <v>6.2149999999999999</v>
      </c>
      <c r="N267" s="869" t="str">
        <f>Assy.Model!K112</f>
        <v>CPS-32193r1</v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>
        <f>Assy.Model!$M113</f>
        <v>6.218</v>
      </c>
      <c r="N268" s="869">
        <f>Assy.Model!K113</f>
        <v>1313</v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>
        <f>Assy.Model!$M114</f>
        <v>6.2210000000000001</v>
      </c>
      <c r="N269" s="869">
        <f>Assy.Model!K114</f>
        <v>1313</v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>
        <f>Assy.Model!$M115</f>
        <v>6.2240000000000002</v>
      </c>
      <c r="N270" s="869">
        <f>Assy.Model!K115</f>
        <v>1313</v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>
        <f>Assy.Model!$M116</f>
        <v>6.2270000000000003</v>
      </c>
      <c r="N271" s="869" t="str">
        <f>Assy.Model!K116</f>
        <v>CPS-32193r1</v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>
        <f>Assy.Model!$M117</f>
        <v>6.23</v>
      </c>
      <c r="N272" s="869" t="str">
        <f>Assy.Model!K117</f>
        <v>CPS-32193r1</v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2023-03-28T19:24:37Z</dcterms:modified>
</cp:coreProperties>
</file>