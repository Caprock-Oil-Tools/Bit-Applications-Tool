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72\"/>
    </mc:Choice>
  </mc:AlternateContent>
  <xr:revisionPtr revIDLastSave="0" documentId="13_ncr:1_{1D8928E9-25D6-42D2-99B6-F77ABAE4EDE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1" l="1"/>
  <c r="L13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T11" i="1"/>
  <c r="IR11" i="1"/>
  <c r="IX11" i="1"/>
  <c r="IL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P11" i="1" l="1"/>
  <c r="IY11" i="1"/>
  <c r="IQ11" i="1"/>
  <c r="IN11" i="1"/>
  <c r="IK11" i="1"/>
  <c r="JA23" i="1" s="1" a="1"/>
  <c r="JA23" i="1" s="1"/>
  <c r="JA9" i="1" a="1"/>
  <c r="JA9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0" i="1" l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37" i="1" l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6" i="1" l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1" i="1" l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L22" i="1" s="1"/>
  <c r="JH29" i="1" a="1"/>
  <c r="JH29" i="1" s="1"/>
  <c r="L15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<sst xmlns="http://schemas.openxmlformats.org/spreadsheetml/2006/main" count="734" uniqueCount="391">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</sst>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F36" sqref="F36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7.875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33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1.113's θ about Z Axis</v>
      </c>
      <c r="U5" s="1021"/>
      <c r="V5" s="1072"/>
      <c r="W5" s="1021" t="str">
        <f>CONCATENATE("Relative to ",M8,"'s θ about Z Axis")</f>
        <v>Relative to 1.113's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1.113's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89.091000131243348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-0.10080030401371677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0.34330103539592277</v>
      </c>
      <c r="D9" s="704">
        <v>-0.49520149352770448</v>
      </c>
      <c r="E9" s="705">
        <v>-0.92387953251128674</v>
      </c>
      <c r="F9" s="703">
        <v>-9.9045746569065896E-2</v>
      </c>
      <c r="G9" s="706">
        <v>0.36964381435823135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0.34330103539592277</v>
      </c>
      <c r="P9" s="625">
        <f t="shared" ref="P9:P40" si="4">IF(M9="","",D9)</f>
        <v>-0.49520149352770448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0.34330103539592277</v>
      </c>
      <c r="S9" s="626">
        <f>IF(M9="","",P9)</f>
        <v>-0.49520149352770448</v>
      </c>
      <c r="T9" s="627">
        <f>IF(M9="","",X9*COS(RADIANS(W9)))</f>
        <v>0.34325783195031834</v>
      </c>
      <c r="U9" s="624">
        <f>IF(M9="","",X9*SIN(RADIANS(W9)))</f>
        <v>5.4462563912880792E-3</v>
      </c>
      <c r="V9" s="628">
        <f>IF(M9="","",Y9)</f>
        <v>-0.49520149352770448</v>
      </c>
      <c r="W9" s="583">
        <f t="shared" ref="W9:W14" si="5">IF(M9="","",IF(Q9-$Q$8&lt;0,360+Q9-$Q$8,Q9-$Q$8))</f>
        <v>0.90899986875665206</v>
      </c>
      <c r="X9" s="629">
        <f>IF(M9="","",R9)</f>
        <v>0.34330103539592277</v>
      </c>
      <c r="Y9" s="630">
        <f>IF(M9="","",S9)</f>
        <v>-0.49520149352770448</v>
      </c>
      <c r="Z9" s="623">
        <f t="shared" ref="Z9:Z40" si="6">IF(M9="","",-E9)</f>
        <v>0.92387953251128674</v>
      </c>
      <c r="AA9" s="624">
        <f t="shared" ref="AA9:AA40" si="7">IF(M9="","",-F9)</f>
        <v>9.9045746569065896E-2</v>
      </c>
      <c r="AB9" s="624">
        <f t="shared" ref="AB9:AB40" si="8">IF(M9="","",-G9)</f>
        <v>-0.36964381435823135</v>
      </c>
      <c r="AC9" s="628">
        <f>IF(M9="","",SQRT(Z9^2+AA9^2+AB9^2))</f>
        <v>1</v>
      </c>
      <c r="AD9" s="631">
        <f>IF(M9="","",Z9*(1/SQRT(Z9^2+AA9^2+AB9^2)))</f>
        <v>0.92387953251128674</v>
      </c>
      <c r="AE9" s="624">
        <f>IF(M9="","",AA9*(1/SQRT(Z9^2+AA9^2+AB9^2)))</f>
        <v>9.9045746569065896E-2</v>
      </c>
      <c r="AF9" s="625">
        <f>IF(M9="","",AB9*(1/SQRT(Z9^2+AA9^2+AB9^2)))</f>
        <v>-0.36964381435823135</v>
      </c>
      <c r="AG9" s="599">
        <f>IF(M9="","",DEGREES(ATAN2(-AF9,AE9)))</f>
        <v>14.999997834268264</v>
      </c>
      <c r="AH9" s="600">
        <f>IF(M9="","",DEGREES(ACOS(AD9)))</f>
        <v>22.5</v>
      </c>
      <c r="AI9" s="583">
        <f>IF(M9="","",DEGREES(-ACOS(-AF9)))</f>
        <v>-68.306347925759709</v>
      </c>
      <c r="AJ9" s="601">
        <f>IF(M9="","",DEGREES(ATAN2(-AE9,AD9)))</f>
        <v>96.11909976262514</v>
      </c>
      <c r="AK9" s="627">
        <f>IF(M9="","",(COS(RADIANS((90-$Q$8)-W9))*AD9)+(-SIN(RADIANS((90-$Q$8)-W9))*AE9))</f>
        <v>0.92387953251128674</v>
      </c>
      <c r="AL9" s="624">
        <f>IF(M9="","",(SIN(RADIANS((90-$Q$8)-W9))*AD9)+(COS(RADIANS((90-$Q$8)-W9))*AE9))</f>
        <v>9.9045746569065896E-2</v>
      </c>
      <c r="AM9" s="626">
        <f>IF(M9="","",AF9)</f>
        <v>-0.36964381435823135</v>
      </c>
      <c r="AN9" s="581">
        <f>IF(M9="","",DEGREES(ATAN2(-AM9,AL9)))</f>
        <v>14.999997834268264</v>
      </c>
      <c r="AO9" s="582">
        <f>IF(ROUND(IF(M9="",0,DEGREES(ACOS(AK9))),4)=90,0,IF(M9="","",DEGREES(ACOS(AK9))))</f>
        <v>22.5</v>
      </c>
      <c r="AP9" s="781">
        <f>IF(M9="","",DEGREES(ATAN2(AK9,AL9)))</f>
        <v>6.11909976262515</v>
      </c>
      <c r="AQ9" s="584">
        <f t="shared" ref="AQ9:AQ40" si="9">IF(M9="","",DEGREES(ATAN(($AS$5*SIN(RADIANS(90)))/(($X9*2*PI())-($AS$5*COS(RADIANS(90)))))))</f>
        <v>6.6111083349681117</v>
      </c>
      <c r="AS9" s="51">
        <f>IF(M9="","",W9)</f>
        <v>0.90899986875665206</v>
      </c>
      <c r="AT9" s="71">
        <f t="shared" ref="AT9:AT40" si="10">IF(M9="","",Y9+(((AS9-$AS$9)*$AS$6)*-1))</f>
        <v>-0.49520149352770448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-4.2685124901004113E-18</v>
      </c>
      <c r="C10" s="708">
        <v>1.0693032250185266</v>
      </c>
      <c r="D10" s="709">
        <v>-0.30070090691393536</v>
      </c>
      <c r="E10" s="710">
        <v>-0.93969262078590843</v>
      </c>
      <c r="F10" s="708">
        <v>-8.8521314413819621E-2</v>
      </c>
      <c r="G10" s="711">
        <v>0.33036609289538282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-4.2685124901004113E-18</v>
      </c>
      <c r="O10" s="629">
        <f t="shared" si="3"/>
        <v>1.0693032250185266</v>
      </c>
      <c r="P10" s="633">
        <f t="shared" si="4"/>
        <v>-0.30070090691393536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1.0693032250185266</v>
      </c>
      <c r="S10" s="634">
        <f t="shared" ref="S10:S105" si="80">IF(M10="","",P10)</f>
        <v>-0.30070090691393536</v>
      </c>
      <c r="T10" s="635">
        <f t="shared" ref="T10:T105" si="81">IF(M10="","",X10*COS(RADIANS(W10)))</f>
        <v>1.0691686562903446</v>
      </c>
      <c r="U10" s="629">
        <f t="shared" ref="U10:U105" si="82">IF(M10="","",X10*SIN(RADIANS(W10)))</f>
        <v>1.6963827437239565E-2</v>
      </c>
      <c r="V10" s="636">
        <f>IF(M10="","",Y10)</f>
        <v>-0.30070090691393536</v>
      </c>
      <c r="W10" s="585">
        <f t="shared" si="5"/>
        <v>0.90899986875665206</v>
      </c>
      <c r="X10" s="629">
        <f t="shared" ref="X10:X105" si="83">IF(M10="","",R10)</f>
        <v>1.0693032250185266</v>
      </c>
      <c r="Y10" s="630">
        <f>IF(M10="","",S10)</f>
        <v>-0.30070090691393536</v>
      </c>
      <c r="Z10" s="632">
        <f t="shared" si="6"/>
        <v>0.93969262078590843</v>
      </c>
      <c r="AA10" s="629">
        <f t="shared" si="7"/>
        <v>8.8521314413819621E-2</v>
      </c>
      <c r="AB10" s="629">
        <f t="shared" si="8"/>
        <v>-0.33036609289538282</v>
      </c>
      <c r="AC10" s="636">
        <f t="shared" ref="AC10:AC105" si="84">IF(M10="","",SQRT(Z10^2+AA10^2+AB10^2))</f>
        <v>1</v>
      </c>
      <c r="AD10" s="637">
        <f>IF(M10="","",Z10*(1/SQRT(Z10^2+AA10^2+AB10^2)))</f>
        <v>0.93969262078590843</v>
      </c>
      <c r="AE10" s="629">
        <f t="shared" ref="AE10:AE105" si="85">IF(M10="","",AA10*(1/SQRT(Z10^2+AA10^2+AB10^2)))</f>
        <v>8.8521314413819621E-2</v>
      </c>
      <c r="AF10" s="633">
        <f t="shared" ref="AF10:AF105" si="86">IF(M10="","",AB10*(1/SQRT(Z10^2+AA10^2+AB10^2)))</f>
        <v>-0.33036609289538282</v>
      </c>
      <c r="AG10" s="602">
        <f t="shared" ref="AG10:AG105" si="87">IF(M10="","",DEGREES(ATAN2(-AF10,AE10)))</f>
        <v>14.999997834268264</v>
      </c>
      <c r="AH10" s="603">
        <f t="shared" ref="AH10:AH105" si="88">IF(M10="","",DEGREES(ACOS(AD10)))</f>
        <v>19.999999999999989</v>
      </c>
      <c r="AI10" s="585">
        <f t="shared" ref="AI10:AI105" si="89">IF(M10="","",DEGREES(-ACOS(-AF10)))</f>
        <v>-70.709002660911167</v>
      </c>
      <c r="AJ10" s="586">
        <f t="shared" ref="AJ10:AJ105" si="90">IF(M10="","",DEGREES(ATAN2(-AE10,AD10)))</f>
        <v>95.381519601179576</v>
      </c>
      <c r="AK10" s="635">
        <f>IF(M10="","",(COS(RADIANS((90-$Q$8)-W10))*AD10)+(-SIN(RADIANS((90-$Q$8)-W10))*AE10))</f>
        <v>0.93969262078590843</v>
      </c>
      <c r="AL10" s="629">
        <f t="shared" ref="AL10:AL105" si="91">IF(M10="","",(SIN(RADIANS((90-$Q$8)-W10))*AD10)+(COS(RADIANS((90-$Q$8)-W10))*AE10))</f>
        <v>8.8521314413819621E-2</v>
      </c>
      <c r="AM10" s="634">
        <f t="shared" ref="AM10:AM105" si="92">IF(M10="","",AF10)</f>
        <v>-0.33036609289538282</v>
      </c>
      <c r="AN10" s="581">
        <f t="shared" ref="AN10:AN105" si="93">IF(M10="","",DEGREES(ATAN2(-AM10,AL10)))</f>
        <v>14.999997834268264</v>
      </c>
      <c r="AO10" s="582">
        <f t="shared" ref="AO10:AO54" si="94">IF(ROUND(IF(M10="",0,DEGREES(ACOS(AK10))),4)=90,0,IF(M10="","",DEGREES(ACOS(AK10))))</f>
        <v>19.999999999999989</v>
      </c>
      <c r="AP10" s="585">
        <f t="shared" ref="AP10:AP105" si="95">IF(M10="","",DEGREES(ATAN2(AK10,AL10)))</f>
        <v>5.3815196011795816</v>
      </c>
      <c r="AQ10" s="586">
        <f t="shared" si="9"/>
        <v>2.1309908135242606</v>
      </c>
      <c r="AS10" s="52">
        <f>IF($M10="","",IF(AND($W10&lt;($AS$9+180),$W10&gt;($AS$9-180)),$W10,IF($W10&gt;($AS$9+180),$W10-360,IF($W10&lt;($AS$9-180),$W10+360,"Error"))))</f>
        <v>0.90899986875665206</v>
      </c>
      <c r="AT10" s="72">
        <f t="shared" si="10"/>
        <v>-0.30070090691393536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-8.5370249802008226E-18</v>
      </c>
      <c r="C11" s="708">
        <v>1.7943054116251218</v>
      </c>
      <c r="D11" s="709">
        <v>-0.10650032120496877</v>
      </c>
      <c r="E11" s="710">
        <v>-0.93969262078590843</v>
      </c>
      <c r="F11" s="708">
        <v>-8.8521314413819635E-2</v>
      </c>
      <c r="G11" s="711">
        <v>0.33036609289538282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-8.5370249802008226E-18</v>
      </c>
      <c r="O11" s="629">
        <f t="shared" si="3"/>
        <v>1.7943054116251218</v>
      </c>
      <c r="P11" s="633">
        <f t="shared" si="4"/>
        <v>-0.10650032120496877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1.7943054116251218</v>
      </c>
      <c r="S11" s="634">
        <f t="shared" si="80"/>
        <v>-0.10650032120496877</v>
      </c>
      <c r="T11" s="635">
        <f t="shared" si="81"/>
        <v>1.7940796034618591</v>
      </c>
      <c r="U11" s="629">
        <f t="shared" si="82"/>
        <v>2.8465534060262747E-2</v>
      </c>
      <c r="V11" s="636">
        <f t="shared" ref="V11:V105" si="114">IF(M11="","",Y11)</f>
        <v>-0.10650032120496877</v>
      </c>
      <c r="W11" s="585">
        <f t="shared" si="5"/>
        <v>0.90899986875665206</v>
      </c>
      <c r="X11" s="629">
        <f>IF(M11="","",R11)</f>
        <v>1.7943054116251218</v>
      </c>
      <c r="Y11" s="630">
        <f>IF(M11="","",S11)</f>
        <v>-0.10650032120496877</v>
      </c>
      <c r="Z11" s="632">
        <f t="shared" si="6"/>
        <v>0.93969262078590843</v>
      </c>
      <c r="AA11" s="629">
        <f t="shared" si="7"/>
        <v>8.8521314413819635E-2</v>
      </c>
      <c r="AB11" s="629">
        <f t="shared" si="8"/>
        <v>-0.33036609289538282</v>
      </c>
      <c r="AC11" s="636">
        <f t="shared" si="84"/>
        <v>1</v>
      </c>
      <c r="AD11" s="637">
        <f t="shared" ref="AD11:AD105" si="115">IF(M11="","",Z11*(1/SQRT(Z11^2+AA11^2+AB11^2)))</f>
        <v>0.93969262078590843</v>
      </c>
      <c r="AE11" s="629">
        <f t="shared" si="85"/>
        <v>8.8521314413819635E-2</v>
      </c>
      <c r="AF11" s="633">
        <f t="shared" si="86"/>
        <v>-0.33036609289538282</v>
      </c>
      <c r="AG11" s="602">
        <f>IF(M11="","",DEGREES(ATAN2(-AF11,AE11)))</f>
        <v>14.999997834268267</v>
      </c>
      <c r="AH11" s="603">
        <f t="shared" si="88"/>
        <v>19.999999999999989</v>
      </c>
      <c r="AI11" s="585">
        <f t="shared" si="89"/>
        <v>-70.709002660911167</v>
      </c>
      <c r="AJ11" s="586">
        <f t="shared" si="90"/>
        <v>95.381519601179576</v>
      </c>
      <c r="AK11" s="635">
        <f>IF(M11="","",(COS(RADIANS((90-$Q$8)-W11))*AD11)+(-SIN(RADIANS((90-$Q$8)-W11))*AE11))</f>
        <v>0.93969262078590843</v>
      </c>
      <c r="AL11" s="629">
        <f t="shared" si="91"/>
        <v>8.8521314413819635E-2</v>
      </c>
      <c r="AM11" s="634">
        <f t="shared" si="92"/>
        <v>-0.33036609289538282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19.999999999999989</v>
      </c>
      <c r="AP11" s="585">
        <f t="shared" si="95"/>
        <v>5.3815196011795825</v>
      </c>
      <c r="AQ11" s="586">
        <f t="shared" si="9"/>
        <v>1.2703261421812773</v>
      </c>
      <c r="AS11" s="52">
        <f t="shared" ref="AS11:AS42" si="116">IF(G11="","",IF(AND(W11&lt;(AS10+180),W11&gt;(AS10-180)),W11,IF(W11&gt;(AS10+180),W11-360,IF(W11&lt;(AS10-180),W11+360,"Error"))))</f>
        <v>0.90899986875665206</v>
      </c>
      <c r="AT11" s="72">
        <f t="shared" si="10"/>
        <v>-0.10650032120496877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4.152512701484596E-2</v>
      </c>
      <c r="C12" s="708">
        <v>2.6171784885812941</v>
      </c>
      <c r="D12" s="709">
        <v>-0.10080030401371677</v>
      </c>
      <c r="E12" s="710">
        <v>-0.93445349807446942</v>
      </c>
      <c r="F12" s="708">
        <v>0.16119057106506998</v>
      </c>
      <c r="G12" s="711">
        <v>0.31751261350709248</v>
      </c>
      <c r="H12" s="710">
        <v>0.314</v>
      </c>
      <c r="I12" s="708">
        <v>0.52</v>
      </c>
      <c r="J12" s="570">
        <v>1.113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1.113</v>
      </c>
      <c r="N12" s="632">
        <f t="shared" si="2"/>
        <v>4.152512701484596E-2</v>
      </c>
      <c r="O12" s="629">
        <f t="shared" si="3"/>
        <v>2.6171784885812941</v>
      </c>
      <c r="P12" s="633">
        <f t="shared" si="4"/>
        <v>-0.10080030401371677</v>
      </c>
      <c r="Q12" s="585">
        <f>IF(M12="","",IF(DEGREES(ATAN2(N12,O12))&lt;0,DEGREES(ATAN2(N12,O12))+360,IF(DEGREES(ATAN2(N12,O12))&gt;360,DEGREES(ATAN2(N12,O12))-360,DEGREES(ATAN2(N12,O12)))))</f>
        <v>89.091000131243348</v>
      </c>
      <c r="R12" s="629">
        <f t="shared" si="79"/>
        <v>2.6175078944038099</v>
      </c>
      <c r="S12" s="634">
        <f t="shared" si="80"/>
        <v>-0.10080030401371677</v>
      </c>
      <c r="T12" s="635">
        <f>IF(M12="","",X12*COS(RADIANS(W12)))</f>
        <v>2.6175078944038099</v>
      </c>
      <c r="U12" s="629">
        <f t="shared" si="82"/>
        <v>0</v>
      </c>
      <c r="V12" s="636">
        <f t="shared" si="114"/>
        <v>-0.10080030401371677</v>
      </c>
      <c r="W12" s="585">
        <f>IF(M12="","",IF(Q12-$Q$8&lt;0,360+Q12-$Q$8,Q12-$Q$8))</f>
        <v>0</v>
      </c>
      <c r="X12" s="629">
        <f t="shared" si="83"/>
        <v>2.6175078944038099</v>
      </c>
      <c r="Y12" s="630">
        <f>IF(M12="","",S12)</f>
        <v>-0.10080030401371677</v>
      </c>
      <c r="Z12" s="632">
        <f t="shared" si="6"/>
        <v>0.93445349807446942</v>
      </c>
      <c r="AA12" s="629">
        <f t="shared" si="7"/>
        <v>-0.16119057106506998</v>
      </c>
      <c r="AB12" s="629">
        <f t="shared" si="8"/>
        <v>-0.31751261350709248</v>
      </c>
      <c r="AC12" s="636">
        <f t="shared" si="84"/>
        <v>1</v>
      </c>
      <c r="AD12" s="637">
        <f t="shared" si="115"/>
        <v>0.93445349807446942</v>
      </c>
      <c r="AE12" s="629">
        <f t="shared" si="85"/>
        <v>-0.16119057106506998</v>
      </c>
      <c r="AF12" s="633">
        <f t="shared" si="86"/>
        <v>-0.31751261350709248</v>
      </c>
      <c r="AG12" s="602">
        <f t="shared" si="87"/>
        <v>-26.915386685195543</v>
      </c>
      <c r="AH12" s="603">
        <f t="shared" si="88"/>
        <v>20.859967605495854</v>
      </c>
      <c r="AI12" s="585">
        <f t="shared" si="89"/>
        <v>-71.487435195305608</v>
      </c>
      <c r="AJ12" s="586">
        <f t="shared" si="90"/>
        <v>80.212954562098901</v>
      </c>
      <c r="AK12" s="635">
        <f t="shared" ref="AK12:AK105" si="211">IF(M12="","",(COS(RADIANS((90-$Q$8)-W12))*AD12)+(-SIN(RADIANS((90-$Q$8)-W12))*AE12))</f>
        <v>0.93689308747459654</v>
      </c>
      <c r="AL12" s="629">
        <f>IF(M12="","",(SIN(RADIANS((90-$Q$8)-W12))*AD12)+(COS(RADIANS((90-$Q$8)-W12))*AE12))</f>
        <v>-0.14634576490699608</v>
      </c>
      <c r="AM12" s="634">
        <f t="shared" si="92"/>
        <v>-0.31751261350709248</v>
      </c>
      <c r="AN12" s="581">
        <f>IF(M12="","",DEGREES(ATAN2(-AM12,AL12)))</f>
        <v>-24.74560140342658</v>
      </c>
      <c r="AO12" s="582">
        <f t="shared" si="94"/>
        <v>20.463829342927887</v>
      </c>
      <c r="AP12" s="585">
        <f t="shared" si="95"/>
        <v>-8.8780455691444402</v>
      </c>
      <c r="AQ12" s="586">
        <f t="shared" si="9"/>
        <v>0.87088603198982351</v>
      </c>
      <c r="AS12" s="52">
        <f t="shared" si="116"/>
        <v>0</v>
      </c>
      <c r="AT12" s="72">
        <f>IF(M12="","",Y12+(((AS12-$AS$9)*$AS$6)*-1))</f>
        <v>-0.10016905410485799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0.1091638821707745</v>
      </c>
      <c r="C13" s="708">
        <v>3.283095543207676</v>
      </c>
      <c r="D13" s="709">
        <v>-0.52470158249997279</v>
      </c>
      <c r="E13" s="710">
        <v>-0.90910722297786584</v>
      </c>
      <c r="F13" s="708">
        <v>0.3405413341713755</v>
      </c>
      <c r="G13" s="711">
        <v>0.23990760065127731</v>
      </c>
      <c r="H13" s="710">
        <v>0.314</v>
      </c>
      <c r="I13" s="708">
        <v>0.52</v>
      </c>
      <c r="J13" s="570">
        <v>1.119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1.119</v>
      </c>
      <c r="N13" s="632">
        <f t="shared" si="2"/>
        <v>0.1091638821707745</v>
      </c>
      <c r="O13" s="629">
        <f t="shared" si="3"/>
        <v>3.283095543207676</v>
      </c>
      <c r="P13" s="633">
        <f t="shared" si="4"/>
        <v>-0.52470158249997279</v>
      </c>
      <c r="Q13" s="585">
        <f t="shared" si="113"/>
        <v>88.095600274961299</v>
      </c>
      <c r="R13" s="629">
        <f t="shared" si="79"/>
        <v>3.2849099072882808</v>
      </c>
      <c r="S13" s="634">
        <f t="shared" si="80"/>
        <v>-0.52470158249997279</v>
      </c>
      <c r="T13" s="635">
        <f>IF(M13="","",X13*COS(RADIANS(W13)))</f>
        <v>3.2844141918704546</v>
      </c>
      <c r="U13" s="629">
        <f t="shared" si="82"/>
        <v>-5.7065885086021985E-2</v>
      </c>
      <c r="V13" s="636">
        <f t="shared" si="114"/>
        <v>-0.52470158249997279</v>
      </c>
      <c r="W13" s="585">
        <f t="shared" si="5"/>
        <v>359.00460014371794</v>
      </c>
      <c r="X13" s="629">
        <f t="shared" si="83"/>
        <v>3.2849099072882808</v>
      </c>
      <c r="Y13" s="630">
        <f>IF(M13="","",S13)</f>
        <v>-0.52470158249997279</v>
      </c>
      <c r="Z13" s="632">
        <f t="shared" si="6"/>
        <v>0.90910722297786584</v>
      </c>
      <c r="AA13" s="629">
        <f t="shared" si="7"/>
        <v>-0.3405413341713755</v>
      </c>
      <c r="AB13" s="629">
        <f t="shared" si="8"/>
        <v>-0.23990760065127731</v>
      </c>
      <c r="AC13" s="636">
        <f t="shared" si="84"/>
        <v>1</v>
      </c>
      <c r="AD13" s="637">
        <f>IF(M13="","",Z13*(1/SQRT(Z13^2+AA13^2+AB13^2)))</f>
        <v>0.90910722297786584</v>
      </c>
      <c r="AE13" s="629">
        <f t="shared" si="85"/>
        <v>-0.3405413341713755</v>
      </c>
      <c r="AF13" s="633">
        <f t="shared" si="86"/>
        <v>-0.23990760065127731</v>
      </c>
      <c r="AG13" s="602">
        <f>IF(M13="","",DEGREES(ATAN2(-AF13,AE13)))</f>
        <v>-54.83572825888568</v>
      </c>
      <c r="AH13" s="603">
        <f t="shared" si="88"/>
        <v>24.617733541405556</v>
      </c>
      <c r="AI13" s="585">
        <f t="shared" si="89"/>
        <v>-76.118913055465384</v>
      </c>
      <c r="AJ13" s="586">
        <f t="shared" si="90"/>
        <v>69.464615675125273</v>
      </c>
      <c r="AK13" s="635">
        <f t="shared" si="211"/>
        <v>0.91992193741132811</v>
      </c>
      <c r="AL13" s="629">
        <f t="shared" si="91"/>
        <v>-0.31014185821835771</v>
      </c>
      <c r="AM13" s="634">
        <f t="shared" si="92"/>
        <v>-0.23990760065127731</v>
      </c>
      <c r="AN13" s="581">
        <f t="shared" si="93"/>
        <v>-52.276560583361707</v>
      </c>
      <c r="AO13" s="582">
        <f t="shared" si="94"/>
        <v>23.085327614744831</v>
      </c>
      <c r="AP13" s="585">
        <f t="shared" si="95"/>
        <v>-18.630984599835983</v>
      </c>
      <c r="AQ13" s="586">
        <f t="shared" si="9"/>
        <v>0.69396580617805226</v>
      </c>
      <c r="AS13" s="52">
        <f t="shared" si="116"/>
        <v>-0.99539985628206296</v>
      </c>
      <c r="AT13" s="72">
        <f t="shared" si="10"/>
        <v>-0.52337908269091815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1.119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0.15588234920333277</v>
      </c>
      <c r="C14" s="708">
        <v>3.6207569275582903</v>
      </c>
      <c r="D14" s="709">
        <v>-1.2188036759118865</v>
      </c>
      <c r="E14" s="710">
        <v>-0.83441140427885951</v>
      </c>
      <c r="F14" s="708">
        <v>0.52775737541122458</v>
      </c>
      <c r="G14" s="711">
        <v>0.15883878968450205</v>
      </c>
      <c r="H14" s="710">
        <v>0.314</v>
      </c>
      <c r="I14" s="708">
        <v>0.52</v>
      </c>
      <c r="J14" s="570">
        <v>1.125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</v>
      </c>
      <c r="N14" s="632">
        <f t="shared" si="2"/>
        <v>0.15588234920333277</v>
      </c>
      <c r="O14" s="629">
        <f t="shared" si="3"/>
        <v>3.6207569275582903</v>
      </c>
      <c r="P14" s="633">
        <f t="shared" si="4"/>
        <v>-1.2188036759118865</v>
      </c>
      <c r="Q14" s="585">
        <f t="shared" si="113"/>
        <v>87.534800355930798</v>
      </c>
      <c r="R14" s="629">
        <f t="shared" si="79"/>
        <v>3.6241109303185657</v>
      </c>
      <c r="S14" s="634">
        <f t="shared" si="80"/>
        <v>-1.2188036759118865</v>
      </c>
      <c r="T14" s="635">
        <f t="shared" si="81"/>
        <v>3.6227742417935129</v>
      </c>
      <c r="U14" s="629">
        <f t="shared" si="82"/>
        <v>-9.8421685882409279E-2</v>
      </c>
      <c r="V14" s="636">
        <f t="shared" si="114"/>
        <v>-1.2188036759118865</v>
      </c>
      <c r="W14" s="585">
        <f t="shared" si="5"/>
        <v>358.44380022468744</v>
      </c>
      <c r="X14" s="629">
        <f t="shared" si="83"/>
        <v>3.6241109303185657</v>
      </c>
      <c r="Y14" s="630">
        <f t="shared" ref="Y14:Y75" si="223">IF(M14="","",S14)</f>
        <v>-1.2188036759118865</v>
      </c>
      <c r="Z14" s="632">
        <f t="shared" si="6"/>
        <v>0.83441140427885951</v>
      </c>
      <c r="AA14" s="629">
        <f t="shared" si="7"/>
        <v>-0.52775737541122458</v>
      </c>
      <c r="AB14" s="629">
        <f t="shared" si="8"/>
        <v>-0.15883878968450205</v>
      </c>
      <c r="AC14" s="636">
        <f t="shared" si="84"/>
        <v>1</v>
      </c>
      <c r="AD14" s="637">
        <f>IF(M14="","",Z14*(1/SQRT(Z14^2+AA14^2+AB14^2)))</f>
        <v>0.83441140427885951</v>
      </c>
      <c r="AE14" s="629">
        <f t="shared" si="85"/>
        <v>-0.52775737541122458</v>
      </c>
      <c r="AF14" s="633">
        <f t="shared" si="86"/>
        <v>-0.15883878968450205</v>
      </c>
      <c r="AG14" s="602">
        <f t="shared" si="87"/>
        <v>-73.249816002901511</v>
      </c>
      <c r="AH14" s="603">
        <f t="shared" si="88"/>
        <v>33.445400759043665</v>
      </c>
      <c r="AI14" s="585">
        <f t="shared" si="89"/>
        <v>-80.860498143001109</v>
      </c>
      <c r="AJ14" s="586">
        <f t="shared" si="90"/>
        <v>57.687031331075545</v>
      </c>
      <c r="AK14" s="635">
        <f>IF(M14="","",(COS(RADIANS((90-$Q$8)-W14))*AD14)+(-SIN(RADIANS((90-$Q$8)-W14))*AE14))</f>
        <v>0.85633938685536015</v>
      </c>
      <c r="AL14" s="629">
        <f t="shared" si="91"/>
        <v>-0.49137876776652478</v>
      </c>
      <c r="AM14" s="634">
        <f t="shared" si="92"/>
        <v>-0.15883878968450205</v>
      </c>
      <c r="AN14" s="581">
        <f t="shared" si="93"/>
        <v>-72.086509962011718</v>
      </c>
      <c r="AO14" s="582">
        <f t="shared" si="94"/>
        <v>31.091979036813406</v>
      </c>
      <c r="AP14" s="585">
        <f>IF(M14="","",DEGREES(ATAN2(AK14,AL14)))</f>
        <v>-29.847769024855236</v>
      </c>
      <c r="AQ14" s="586">
        <f t="shared" si="9"/>
        <v>0.6290191128022844</v>
      </c>
      <c r="AS14" s="52">
        <f t="shared" si="116"/>
        <v>-1.5561997753125638</v>
      </c>
      <c r="AT14" s="72">
        <f t="shared" si="10"/>
        <v>-1.2170917317146162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0.16481987833048795</v>
      </c>
      <c r="C15" s="708">
        <v>3.6792100806704591</v>
      </c>
      <c r="D15" s="709">
        <v>-2.0039999999999996</v>
      </c>
      <c r="E15" s="710">
        <v>-0.84278135614737548</v>
      </c>
      <c r="F15" s="708">
        <v>0.5382560596318241</v>
      </c>
      <c r="G15" s="711">
        <v>1.1339744831728188E-7</v>
      </c>
      <c r="H15" s="710">
        <v>0.314</v>
      </c>
      <c r="I15" s="708">
        <v>0.52</v>
      </c>
      <c r="J15" s="570">
        <v>1.131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 t="str">
        <f>IF($L14=$JH$22,$JH$29,IF($L14=$JI$22,$JI$29,""))</f>
        <v/>
      </c>
      <c r="M15" s="168">
        <f t="shared" si="1"/>
        <v>1.131</v>
      </c>
      <c r="N15" s="632">
        <f t="shared" si="2"/>
        <v>0.16481987833048795</v>
      </c>
      <c r="O15" s="629">
        <f t="shared" si="3"/>
        <v>3.6792100806704591</v>
      </c>
      <c r="P15" s="633">
        <f t="shared" si="4"/>
        <v>-2.0039999999999996</v>
      </c>
      <c r="Q15" s="585">
        <f t="shared" si="113"/>
        <v>87.435000000000002</v>
      </c>
      <c r="R15" s="629">
        <f t="shared" si="79"/>
        <v>3.6829000000000005</v>
      </c>
      <c r="S15" s="634">
        <f t="shared" si="80"/>
        <v>-2.0039999999999996</v>
      </c>
      <c r="T15" s="635">
        <f t="shared" si="81"/>
        <v>3.6813618270592494</v>
      </c>
      <c r="U15" s="629">
        <f t="shared" si="82"/>
        <v>-0.10643076750163936</v>
      </c>
      <c r="V15" s="636">
        <f t="shared" si="114"/>
        <v>-2.0039999999999996</v>
      </c>
      <c r="W15" s="585">
        <f t="shared" ref="W15:W78" si="224">IF(M15="","",IF(Q15-$Q$8&lt;0,360+Q15-$Q$8,Q15-$Q$8))</f>
        <v>358.34399986875667</v>
      </c>
      <c r="X15" s="629">
        <f>IF(M15="","",R15)</f>
        <v>3.6829000000000005</v>
      </c>
      <c r="Y15" s="630">
        <f>IF(M15="","",S15)</f>
        <v>-2.0039999999999996</v>
      </c>
      <c r="Z15" s="632">
        <f t="shared" si="6"/>
        <v>0.84278135614737548</v>
      </c>
      <c r="AA15" s="629">
        <f t="shared" si="7"/>
        <v>-0.5382560596318241</v>
      </c>
      <c r="AB15" s="629">
        <f t="shared" si="8"/>
        <v>-1.1339744831728188E-7</v>
      </c>
      <c r="AC15" s="636">
        <f t="shared" si="84"/>
        <v>1</v>
      </c>
      <c r="AD15" s="637">
        <f t="shared" si="115"/>
        <v>0.84278135614737548</v>
      </c>
      <c r="AE15" s="629">
        <f t="shared" si="85"/>
        <v>-0.5382560596318241</v>
      </c>
      <c r="AF15" s="633">
        <f t="shared" si="86"/>
        <v>-1.1339744831728188E-7</v>
      </c>
      <c r="AG15" s="602">
        <f t="shared" si="87"/>
        <v>-89.999987929174083</v>
      </c>
      <c r="AH15" s="603">
        <f t="shared" si="88"/>
        <v>32.564999999999934</v>
      </c>
      <c r="AI15" s="585">
        <f t="shared" si="89"/>
        <v>-89.999993502804799</v>
      </c>
      <c r="AJ15" s="586">
        <f t="shared" si="90"/>
        <v>57.435000000000642</v>
      </c>
      <c r="AK15" s="635">
        <f t="shared" si="211"/>
        <v>0.86602540378443837</v>
      </c>
      <c r="AL15" s="629">
        <f t="shared" si="91"/>
        <v>-0.4999999999999874</v>
      </c>
      <c r="AM15" s="634">
        <f t="shared" si="92"/>
        <v>-1.1339744831728188E-7</v>
      </c>
      <c r="AN15" s="581">
        <f>IF(M15="","",DEGREES(ATAN2(-AM15,AL15)))</f>
        <v>-89.999987005609611</v>
      </c>
      <c r="AO15" s="582">
        <f t="shared" si="94"/>
        <v>30.000000000000028</v>
      </c>
      <c r="AP15" s="585">
        <f t="shared" si="95"/>
        <v>-29.999999999999385</v>
      </c>
      <c r="AQ15" s="586">
        <f t="shared" si="9"/>
        <v>0.61897904982222918</v>
      </c>
      <c r="AS15" s="52">
        <f t="shared" si="116"/>
        <v>-1.6560001312433315</v>
      </c>
      <c r="AT15" s="72">
        <f t="shared" si="10"/>
        <v>-2.0022187499999995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1.0849378566821402</v>
      </c>
      <c r="C16" s="708">
        <v>3.1374168375496905</v>
      </c>
      <c r="D16" s="709">
        <v>-0.54980165820180116</v>
      </c>
      <c r="E16" s="710">
        <v>0.18133238550493233</v>
      </c>
      <c r="F16" s="708">
        <v>0.52437660725502144</v>
      </c>
      <c r="G16" s="711">
        <v>0.831954169249006</v>
      </c>
      <c r="H16" s="710">
        <v>0.26250000000000001</v>
      </c>
      <c r="I16" s="708">
        <v>0.40699999999999997</v>
      </c>
      <c r="J16" s="570">
        <v>1.2190000000000001</v>
      </c>
      <c r="K16" s="865" t="str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Inactive</v>
      </c>
      <c r="L16" s="320"/>
      <c r="M16" s="168">
        <f t="shared" si="1"/>
        <v>1.2190000000000001</v>
      </c>
      <c r="N16" s="632">
        <f t="shared" si="2"/>
        <v>1.0849378566821402</v>
      </c>
      <c r="O16" s="629">
        <f t="shared" si="3"/>
        <v>3.1374168375496905</v>
      </c>
      <c r="P16" s="633">
        <f t="shared" si="4"/>
        <v>-0.54980165820180116</v>
      </c>
      <c r="Q16" s="585">
        <f>IF(M16="","",IF(DEGREES(ATAN2(N16,O16))&lt;0,DEGREES(ATAN2(N16,O16))+360,IF(DEGREES(ATAN2(N16,O16))&gt;360,DEGREES(ATAN2(N16,O16))-360,DEGREES(ATAN2(N16,O16)))))</f>
        <v>70.924302754189924</v>
      </c>
      <c r="R16" s="629">
        <f t="shared" si="79"/>
        <v>3.3197100122453973</v>
      </c>
      <c r="S16" s="634">
        <f t="shared" si="80"/>
        <v>-0.54980165820180116</v>
      </c>
      <c r="T16" s="635">
        <f t="shared" si="81"/>
        <v>3.1542338637837291</v>
      </c>
      <c r="U16" s="629">
        <f t="shared" si="82"/>
        <v>-1.0350281628836497</v>
      </c>
      <c r="V16" s="636">
        <f t="shared" si="114"/>
        <v>-0.54980165820180116</v>
      </c>
      <c r="W16" s="585">
        <f>IF(M16="","",IF(Q16-$Q$8&lt;0,360+Q16-$Q$8,Q16-$Q$8))</f>
        <v>341.83330262294658</v>
      </c>
      <c r="X16" s="629">
        <f t="shared" si="83"/>
        <v>3.3197100122453973</v>
      </c>
      <c r="Y16" s="630">
        <f t="shared" si="223"/>
        <v>-0.54980165820180116</v>
      </c>
      <c r="Z16" s="632">
        <f t="shared" si="6"/>
        <v>-0.18133238550493233</v>
      </c>
      <c r="AA16" s="629">
        <f t="shared" si="7"/>
        <v>-0.52437660725502144</v>
      </c>
      <c r="AB16" s="629">
        <f t="shared" si="8"/>
        <v>-0.831954169249006</v>
      </c>
      <c r="AC16" s="636">
        <f t="shared" si="84"/>
        <v>1</v>
      </c>
      <c r="AD16" s="637">
        <f t="shared" si="115"/>
        <v>-0.18133238550493233</v>
      </c>
      <c r="AE16" s="629">
        <f t="shared" si="85"/>
        <v>-0.52437660725502144</v>
      </c>
      <c r="AF16" s="633">
        <f t="shared" si="86"/>
        <v>-0.831954169249006</v>
      </c>
      <c r="AG16" s="602">
        <f t="shared" si="87"/>
        <v>-32.223028614494332</v>
      </c>
      <c r="AH16" s="603">
        <f t="shared" si="88"/>
        <v>100.4473771118442</v>
      </c>
      <c r="AI16" s="585">
        <f t="shared" si="89"/>
        <v>-33.699995134324922</v>
      </c>
      <c r="AJ16" s="586">
        <f t="shared" si="90"/>
        <v>-19.075673825926224</v>
      </c>
      <c r="AK16" s="635">
        <f t="shared" si="211"/>
        <v>2.2679489700139221E-7</v>
      </c>
      <c r="AL16" s="629">
        <f t="shared" si="91"/>
        <v>-0.55484435679670108</v>
      </c>
      <c r="AM16" s="634">
        <f t="shared" si="92"/>
        <v>-0.831954169249006</v>
      </c>
      <c r="AN16" s="581">
        <f t="shared" si="93"/>
        <v>-33.699995134322712</v>
      </c>
      <c r="AO16" s="582">
        <f t="shared" si="94"/>
        <v>0</v>
      </c>
      <c r="AP16" s="585">
        <f t="shared" si="95"/>
        <v>-89.999976580116112</v>
      </c>
      <c r="AQ16" s="586">
        <f t="shared" si="9"/>
        <v>0.68669174971123814</v>
      </c>
      <c r="AS16" s="52">
        <f t="shared" si="116"/>
        <v>-18.166697377053424</v>
      </c>
      <c r="AT16" s="72">
        <f t="shared" si="10"/>
        <v>-0.53655464622554416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1.2190000000000001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1.119</v>
      </c>
      <c r="II16" s="734" cm="1">
        <f t="array" ref="II16">IFERROR(ROUND(VALUE(IF($IH16&lt;1,$IH16+LARGE((IF($M$9:$M$150="",0,$M$9:$M$150)-MOD(IF($M$9:$M$150="",0,$M$9:$M$150),1)),1),$IH16)),4),"")</f>
        <v>1.119</v>
      </c>
      <c r="IJ16" s="533">
        <f t="shared" si="112"/>
        <v>1613</v>
      </c>
      <c r="IK16" s="533" t="str">
        <f t="shared" si="66"/>
        <v>Inactive</v>
      </c>
      <c r="IL16" s="727">
        <f>IF(ISNUMBER($II16),IFERROR(IF(INDEX($W$9:$W$150,MATCH($II16,$M$9:$M$150,0))&lt;$W16,((INDEX($W$9:$W$150,MATCH($II16,$M$9:$M$150,0))+360)-$W16),INDEX($W$9:$W$150,MATCH($II16,$M$9:$M$150,0))-$W16),""),"")</f>
        <v>17.171297520771361</v>
      </c>
      <c r="IM16" s="759">
        <v>1.23757591943346E-3</v>
      </c>
      <c r="IN16" s="5">
        <f>IF(ISNUMBER($II16),(($IO16*12)/60)/$AS$3,"")</f>
        <v>0</v>
      </c>
      <c r="IO16" s="771">
        <v>0</v>
      </c>
      <c r="IP16" s="9">
        <f>IF(ISNUMBER($II16),(INDEX($X$9:$X$150,MATCH($II16,$M$9:$M$150,0))*-1),"")</f>
        <v>-3.2849099072882808</v>
      </c>
      <c r="IQ16" s="5">
        <f>IF(ISNUMBER($II16),INDEX($Y$9:$Y$150,MATCH($II16,$M$9:$M$150,0)),"")</f>
        <v>-0.52470158249997279</v>
      </c>
      <c r="IR16" s="5">
        <f t="shared" si="71"/>
        <v>0.314</v>
      </c>
      <c r="IS16" s="5">
        <f>IF(ISNUMBER($II16),$IR16*COS(RADIANS(INDEX($AO$9:$AO$150,MATCH($II16,$M$9:$M$150,0)))),"")</f>
        <v>0.28885548834715707</v>
      </c>
      <c r="IT16" s="727">
        <f>IF(ISNUMBER($II16),(-1*INDEX($AN$9:$AN$150,MATCH($II16,$M$9:$M$150,0))),"")</f>
        <v>52.276560583361707</v>
      </c>
      <c r="IU16" s="9">
        <f>IF(ISNUMBER($II16),-$X16,"")</f>
        <v>-3.3197100122453973</v>
      </c>
      <c r="IV16" s="5">
        <f>IF(ISNUMBER($II16),$Y16,"")</f>
        <v>-0.54980165820180116</v>
      </c>
      <c r="IW16" s="5">
        <f t="shared" si="76"/>
        <v>0.26250000000000001</v>
      </c>
      <c r="IX16" s="5">
        <f>IF(ISNUMBER($II16),$IW16*COS(RADIANS($AO16)),"")</f>
        <v>0.26250000000000001</v>
      </c>
      <c r="IY16" s="762">
        <f>IF(ISNUMBER($II16),(-1*$AN16),"")</f>
        <v>33.699995134322712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1.1591052233758006</v>
      </c>
      <c r="C17" s="708">
        <v>3.459284356335349</v>
      </c>
      <c r="D17" s="709">
        <v>-1.2569037908218332</v>
      </c>
      <c r="E17" s="710">
        <v>0.26120321841031219</v>
      </c>
      <c r="F17" s="708">
        <v>0.77954703030149419</v>
      </c>
      <c r="G17" s="711">
        <v>0.56927963799895065</v>
      </c>
      <c r="H17" s="710">
        <v>0.26250000000000001</v>
      </c>
      <c r="I17" s="708">
        <v>0.40699999999999997</v>
      </c>
      <c r="J17" s="570">
        <v>1.2250000000000001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Inactive</v>
      </c>
      <c r="M17" s="168">
        <f t="shared" si="1"/>
        <v>1.2250000000000001</v>
      </c>
      <c r="N17" s="632">
        <f t="shared" si="2"/>
        <v>1.1591052233758006</v>
      </c>
      <c r="O17" s="629">
        <f t="shared" si="3"/>
        <v>3.459284356335349</v>
      </c>
      <c r="P17" s="633">
        <f t="shared" si="4"/>
        <v>-1.2569037908218332</v>
      </c>
      <c r="Q17" s="585">
        <f>IF(M17="","",IF(DEGREES(ATAN2(N17,O17))&lt;0,DEGREES(ATAN2(N17,O17))+360,IF(DEGREES(ATAN2(N17,O17))&gt;360,DEGREES(ATAN2(N17,O17))-360,DEGREES(ATAN2(N17,O17)))))</f>
        <v>71.475502674606503</v>
      </c>
      <c r="R17" s="629">
        <f>IF(M17="","",SQRT(N17^2+O17^2))</f>
        <v>3.6483110033059867</v>
      </c>
      <c r="S17" s="634">
        <f>IF(M17="","",P17)</f>
        <v>-1.2569037908218332</v>
      </c>
      <c r="T17" s="635">
        <f>IF(M17="","",X17*COS(RADIANS(W17)))</f>
        <v>3.4772374953940726</v>
      </c>
      <c r="U17" s="629">
        <f>IF(M17="","",X17*SIN(RADIANS(W17)))</f>
        <v>-1.1040799687835541</v>
      </c>
      <c r="V17" s="636">
        <f>IF(M17="","",Y17)</f>
        <v>-1.2569037908218332</v>
      </c>
      <c r="W17" s="585">
        <f t="shared" si="224"/>
        <v>342.38450254336317</v>
      </c>
      <c r="X17" s="629">
        <f>IF(M17="","",R17)</f>
        <v>3.6483110033059867</v>
      </c>
      <c r="Y17" s="630">
        <f t="shared" si="223"/>
        <v>-1.2569037908218332</v>
      </c>
      <c r="Z17" s="632">
        <f t="shared" si="6"/>
        <v>-0.26120321841031219</v>
      </c>
      <c r="AA17" s="629">
        <f t="shared" si="7"/>
        <v>-0.77954703030149419</v>
      </c>
      <c r="AB17" s="629">
        <f t="shared" si="8"/>
        <v>-0.56927963799895065</v>
      </c>
      <c r="AC17" s="636">
        <f>IF(M17="","",SQRT(Z17^2+AA17^2+AB17^2))</f>
        <v>1</v>
      </c>
      <c r="AD17" s="637">
        <f>IF(M17="","",Z17*(1/SQRT(Z17^2+AA17^2+AB17^2)))</f>
        <v>-0.26120321841031219</v>
      </c>
      <c r="AE17" s="629">
        <f>IF(M17="","",AA17*(1/SQRT(Z17^2+AA17^2+AB17^2)))</f>
        <v>-0.77954703030149419</v>
      </c>
      <c r="AF17" s="633">
        <f>IF(M17="","",AB17*(1/SQRT(Z17^2+AA17^2+AB17^2)))</f>
        <v>-0.56927963799895065</v>
      </c>
      <c r="AG17" s="602">
        <f>IF(M17="","",DEGREES(ATAN2(-AF17,AE17)))</f>
        <v>-53.860473499017125</v>
      </c>
      <c r="AH17" s="603">
        <f>IF(M17="","",DEGREES(ACOS(AD17)))</f>
        <v>105.14146884372869</v>
      </c>
      <c r="AI17" s="585">
        <f>IF(M17="","",DEGREES(-ACOS(-AF17)))</f>
        <v>-55.299992015670057</v>
      </c>
      <c r="AJ17" s="586">
        <f>IF(M17="","",DEGREES(ATAN2(-AE17,AD17)))</f>
        <v>-18.524481519900789</v>
      </c>
      <c r="AK17" s="635">
        <f>IF(M17="","",(COS(RADIANS((90-$Q$8)-W17))*AD17)+(-SIN(RADIANS((90-$Q$8)-W17))*AE17))</f>
        <v>2.2679489691812549E-7</v>
      </c>
      <c r="AL17" s="629">
        <f>IF(M17="","",(SIN(RADIANS((90-$Q$8)-W17))*AD17)+(COS(RADIANS((90-$Q$8)-W17))*AE17))</f>
        <v>-0.8221439616999765</v>
      </c>
      <c r="AM17" s="634">
        <f>IF(M17="","",AF17)</f>
        <v>-0.56927963799895065</v>
      </c>
      <c r="AN17" s="581">
        <f>IF(M17="","",DEGREES(ATAN2(-AM17,AL17)))</f>
        <v>-55.299992015669041</v>
      </c>
      <c r="AO17" s="582">
        <f t="shared" si="94"/>
        <v>0</v>
      </c>
      <c r="AP17" s="585">
        <f>IF(M17="","",DEGREES(ATAN2(AK17,AL17)))</f>
        <v>-89.999984194507277</v>
      </c>
      <c r="AQ17" s="586">
        <f t="shared" si="9"/>
        <v>0.62484701851805236</v>
      </c>
      <c r="AS17" s="52">
        <f t="shared" si="116"/>
        <v>-17.615497456636831</v>
      </c>
      <c r="AT17" s="72">
        <f t="shared" si="10"/>
        <v>-1.2440395565680877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>Gage</v>
      </c>
      <c r="IG17" s="847">
        <f t="shared" si="210"/>
        <v>1.2250000000000001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1.125</v>
      </c>
      <c r="II17" s="734" cm="1">
        <f t="array" ref="II17">IFERROR(ROUND(VALUE(IF($IH17&lt;1,$IH17+LARGE((IF($M$9:$M$150="",0,$M$9:$M$150)-MOD(IF($M$9:$M$150="",0,$M$9:$M$150),1)),1),$IH17)),4),"")</f>
        <v>1.125</v>
      </c>
      <c r="IJ17" s="533">
        <f t="shared" si="112"/>
        <v>1613</v>
      </c>
      <c r="IK17" s="533" t="str">
        <f t="shared" si="66"/>
        <v>Inactive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16.059297681324267</v>
      </c>
      <c r="IM17" s="759">
        <v>3.2423293120309601E-4</v>
      </c>
      <c r="IN17" s="5">
        <f t="shared" ref="IN17:IN80" si="226">IF(ISNUMBER($II17),(($IO17*12)/60)/$AS$3,"")</f>
        <v>0</v>
      </c>
      <c r="IO17" s="771">
        <v>0</v>
      </c>
      <c r="IP17" s="9">
        <f t="shared" ref="IP17:IP80" si="227">IF(ISNUMBER($II17),(INDEX($X$9:$X$150,MATCH($II17,$M$9:$M$150,0))*-1),"")</f>
        <v>-3.6241109303185657</v>
      </c>
      <c r="IQ17" s="5">
        <f t="shared" ref="IQ17:IQ80" si="228">IF(ISNUMBER($II17),INDEX($Y$9:$Y$150,MATCH($II17,$M$9:$M$150,0)),"")</f>
        <v>-1.2188036759118865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0.26889056747258311</v>
      </c>
      <c r="IT17" s="727">
        <f t="shared" ref="IT17:IT80" si="230">IF(ISNUMBER($II17),(-1*INDEX($AN$9:$AN$150,MATCH($II17,$M$9:$M$150,0))),"")</f>
        <v>72.086509962011718</v>
      </c>
      <c r="IU17" s="9">
        <f t="shared" ref="IU17:IU80" si="231">IF(ISNUMBER($II17),-$X17,"")</f>
        <v>-3.6483110033059867</v>
      </c>
      <c r="IV17" s="5">
        <f t="shared" ref="IV17:IV80" si="232">IF(ISNUMBER($II17),$Y17,"")</f>
        <v>-1.2569037908218332</v>
      </c>
      <c r="IW17" s="5">
        <f t="shared" si="76"/>
        <v>0.26250000000000001</v>
      </c>
      <c r="IX17" s="5">
        <f t="shared" ref="IX17:IX80" si="233">IF(ISNUMBER($II17),$IW17*COS(RADIANS($AO17)),"")</f>
        <v>0.26250000000000001</v>
      </c>
      <c r="IY17" s="762">
        <f t="shared" ref="IY17:IY80" si="234">IF(ISNUMBER($II17),(-1*$AN17),"")</f>
        <v>55.299992015669041</v>
      </c>
    </row>
    <row r="18" spans="1:269" ht="15" customHeight="1" x14ac:dyDescent="0.25">
      <c r="A18" s="79"/>
      <c r="B18" s="707">
        <v>2.0514241924574272</v>
      </c>
      <c r="C18" s="708">
        <v>1.3976799493540379</v>
      </c>
      <c r="D18" s="709">
        <v>-6.8100205390219437E-2</v>
      </c>
      <c r="E18" s="710">
        <v>-0.43297775441602615</v>
      </c>
      <c r="F18" s="708">
        <v>0.83948030463217593</v>
      </c>
      <c r="G18" s="711">
        <v>0.3283337970960718</v>
      </c>
      <c r="H18" s="710">
        <v>0.314</v>
      </c>
      <c r="I18" s="708">
        <v>0.52</v>
      </c>
      <c r="J18" s="570">
        <v>2.1120000000000001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2.1120000000000001</v>
      </c>
      <c r="N18" s="632">
        <f t="shared" si="2"/>
        <v>2.0514241924574272</v>
      </c>
      <c r="O18" s="629">
        <f t="shared" si="3"/>
        <v>1.3976799493540379</v>
      </c>
      <c r="P18" s="633">
        <f t="shared" si="4"/>
        <v>-6.8100205390219437E-2</v>
      </c>
      <c r="Q18" s="585">
        <f t="shared" si="113"/>
        <v>34.267456069214703</v>
      </c>
      <c r="R18" s="629">
        <f>IF(M18="","",SQRT(N18^2+O18^2))</f>
        <v>2.4823074866393795</v>
      </c>
      <c r="S18" s="634">
        <f>IF(M18="","",P18)</f>
        <v>-6.8100205390219437E-2</v>
      </c>
      <c r="T18" s="635">
        <f>IF(M18="","",X18*COS(RADIANS(W18)))</f>
        <v>1.4300486182015832</v>
      </c>
      <c r="U18" s="629">
        <f>IF(M18="","",X18*SIN(RADIANS(W18)))</f>
        <v>-2.0289927076768057</v>
      </c>
      <c r="V18" s="636">
        <f>IF(M18="","",Y18)</f>
        <v>-6.8100205390219437E-2</v>
      </c>
      <c r="W18" s="585">
        <f t="shared" si="224"/>
        <v>305.17645593797135</v>
      </c>
      <c r="X18" s="629">
        <f>IF(M18="","",R18)</f>
        <v>2.4823074866393795</v>
      </c>
      <c r="Y18" s="630">
        <f t="shared" si="223"/>
        <v>-6.8100205390219437E-2</v>
      </c>
      <c r="Z18" s="632">
        <f t="shared" si="6"/>
        <v>0.43297775441602615</v>
      </c>
      <c r="AA18" s="629">
        <f t="shared" si="7"/>
        <v>-0.83948030463217593</v>
      </c>
      <c r="AB18" s="629">
        <f t="shared" si="8"/>
        <v>-0.3283337970960718</v>
      </c>
      <c r="AC18" s="636">
        <f>IF(M18="","",SQRT(Z18^2+AA18^2+AB18^2))</f>
        <v>1</v>
      </c>
      <c r="AD18" s="637">
        <f>IF(M18="","",Z18*(1/SQRT(Z18^2+AA18^2+AB18^2)))</f>
        <v>0.43297775441602615</v>
      </c>
      <c r="AE18" s="629">
        <f>IF(M18="","",AA18*(1/SQRT(Z18^2+AA18^2+AB18^2)))</f>
        <v>-0.83948030463217593</v>
      </c>
      <c r="AF18" s="633">
        <f>IF(M18="","",AB18*(1/SQRT(Z18^2+AA18^2+AB18^2)))</f>
        <v>-0.3283337970960718</v>
      </c>
      <c r="AG18" s="602">
        <f>IF(M18="","",DEGREES(ATAN2(-AF18,AE18)))</f>
        <v>-68.638759486865439</v>
      </c>
      <c r="AH18" s="603">
        <f>IF(M18="","",DEGREES(ACOS(AD18)))</f>
        <v>64.343315106047584</v>
      </c>
      <c r="AI18" s="585">
        <f>IF(M18="","",DEGREES(-ACOS(-AF18)))</f>
        <v>-70.832325076548585</v>
      </c>
      <c r="AJ18" s="586">
        <f>IF(M18="","",DEGREES(ATAN2(-AE18,AD18)))</f>
        <v>27.283271952106087</v>
      </c>
      <c r="AK18" s="635">
        <f>IF(M18="","",(COS(RADIANS((90-$Q$8)-W18))*AD18)+(-SIN(RADIANS((90-$Q$8)-W18))*AE18))</f>
        <v>0.93755287948970112</v>
      </c>
      <c r="AL18" s="629">
        <f>IF(M18="","",(SIN(RADIANS((90-$Q$8)-W18))*AD18)+(COS(RADIANS((90-$Q$8)-W18))*AE18))</f>
        <v>-0.11485432445078214</v>
      </c>
      <c r="AM18" s="634">
        <f>IF(M18="","",AF18)</f>
        <v>-0.3283337970960718</v>
      </c>
      <c r="AN18" s="581">
        <f>IF(M18="","",DEGREES(ATAN2(-AM18,AL18)))</f>
        <v>-19.280328642369327</v>
      </c>
      <c r="AO18" s="582">
        <f t="shared" si="94"/>
        <v>20.355426414713911</v>
      </c>
      <c r="AP18" s="585">
        <f>IF(M18="","",DEGREES(ATAN2(AK18,AL18)))</f>
        <v>-6.9841841171085974</v>
      </c>
      <c r="AQ18" s="586">
        <f t="shared" si="9"/>
        <v>0.91831146362173421</v>
      </c>
      <c r="AS18" s="52">
        <f t="shared" si="116"/>
        <v>-54.823544062028645</v>
      </c>
      <c r="AT18" s="72">
        <f t="shared" si="10"/>
        <v>-2.9397049882729648E-2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2.1120000000000001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2.6694446819093658</v>
      </c>
      <c r="C19" s="708">
        <v>1.7497753518752186</v>
      </c>
      <c r="D19" s="709">
        <v>-0.42990129658231035</v>
      </c>
      <c r="E19" s="710">
        <v>-0.27374623964708017</v>
      </c>
      <c r="F19" s="708">
        <v>0.92899772778258294</v>
      </c>
      <c r="G19" s="711">
        <v>0.24905063351431461</v>
      </c>
      <c r="H19" s="710">
        <v>0.314</v>
      </c>
      <c r="I19" s="708">
        <v>0.52</v>
      </c>
      <c r="J19" s="570">
        <v>2.1179999999999999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2.1179999999999999</v>
      </c>
      <c r="N19" s="632">
        <f t="shared" si="2"/>
        <v>2.6694446819093658</v>
      </c>
      <c r="O19" s="629">
        <f t="shared" si="3"/>
        <v>1.7497753518752186</v>
      </c>
      <c r="P19" s="633">
        <f t="shared" si="4"/>
        <v>-0.42990129658231035</v>
      </c>
      <c r="Q19" s="585">
        <f t="shared" si="113"/>
        <v>33.24415621696091</v>
      </c>
      <c r="R19" s="629">
        <f>IF(M19="","",SQRT(N19^2+O19^2))</f>
        <v>3.1918096264978337</v>
      </c>
      <c r="S19" s="634">
        <f>IF(M19="","",P19)</f>
        <v>-0.42990129658231035</v>
      </c>
      <c r="T19" s="635">
        <f>IF(M19="","",X19*COS(RADIANS(W19)))</f>
        <v>1.7919042193839461</v>
      </c>
      <c r="U19" s="629">
        <f>IF(M19="","",X19*SIN(RADIANS(W19)))</f>
        <v>-2.6413496475018698</v>
      </c>
      <c r="V19" s="636">
        <f>IF(M19="","",Y19)</f>
        <v>-0.42990129658231035</v>
      </c>
      <c r="W19" s="585">
        <f t="shared" si="224"/>
        <v>304.15315608571757</v>
      </c>
      <c r="X19" s="629">
        <f>IF(M19="","",R19)</f>
        <v>3.1918096264978337</v>
      </c>
      <c r="Y19" s="630">
        <f t="shared" si="223"/>
        <v>-0.42990129658231035</v>
      </c>
      <c r="Z19" s="632">
        <f t="shared" si="6"/>
        <v>0.27374623964708017</v>
      </c>
      <c r="AA19" s="629">
        <f t="shared" si="7"/>
        <v>-0.92899772778258294</v>
      </c>
      <c r="AB19" s="629">
        <f t="shared" si="8"/>
        <v>-0.24905063351431461</v>
      </c>
      <c r="AC19" s="636">
        <f>IF(M19="","",SQRT(Z19^2+AA19^2+AB19^2))</f>
        <v>1</v>
      </c>
      <c r="AD19" s="637">
        <f>IF(M19="","",Z19*(1/SQRT(Z19^2+AA19^2+AB19^2)))</f>
        <v>0.27374623964708017</v>
      </c>
      <c r="AE19" s="629">
        <f>IF(M19="","",AA19*(1/SQRT(Z19^2+AA19^2+AB19^2)))</f>
        <v>-0.92899772778258294</v>
      </c>
      <c r="AF19" s="633">
        <f>IF(M19="","",AB19*(1/SQRT(Z19^2+AA19^2+AB19^2)))</f>
        <v>-0.24905063351431461</v>
      </c>
      <c r="AG19" s="602">
        <f>IF(M19="","",DEGREES(ATAN2(-AF19,AE19)))</f>
        <v>-74.992724311082483</v>
      </c>
      <c r="AH19" s="603">
        <f>IF(M19="","",DEGREES(ACOS(AD19)))</f>
        <v>74.11268783563419</v>
      </c>
      <c r="AI19" s="585">
        <f>IF(M19="","",DEGREES(-ACOS(-AF19)))</f>
        <v>-75.578659310854576</v>
      </c>
      <c r="AJ19" s="586">
        <f>IF(M19="","",DEGREES(ATAN2(-AE19,AD19)))</f>
        <v>16.418577463000251</v>
      </c>
      <c r="AK19" s="635">
        <f>IF(M19="","",(COS(RADIANS((90-$Q$8)-W19))*AD19)+(-SIN(RADIANS((90-$Q$8)-W19))*AE19))</f>
        <v>0.92702974581372544</v>
      </c>
      <c r="AL19" s="629">
        <f>IF(M19="","",(SIN(RADIANS((90-$Q$8)-W19))*AD19)+(COS(RADIANS((90-$Q$8)-W19))*AE19))</f>
        <v>-0.28033842462755348</v>
      </c>
      <c r="AM19" s="634">
        <f>IF(M19="","",AF19)</f>
        <v>-0.24905063351431461</v>
      </c>
      <c r="AN19" s="581">
        <f>IF(M19="","",DEGREES(ATAN2(-AM19,AL19)))</f>
        <v>-48.382343210508346</v>
      </c>
      <c r="AO19" s="582">
        <f t="shared" si="94"/>
        <v>22.023558823507898</v>
      </c>
      <c r="AP19" s="585">
        <f>IF(M19="","",DEGREES(ATAN2(AK19,AL19)))</f>
        <v>-16.825578753960652</v>
      </c>
      <c r="AQ19" s="586">
        <f t="shared" si="9"/>
        <v>0.71420567676525104</v>
      </c>
      <c r="AS19" s="52">
        <f t="shared" si="116"/>
        <v>-55.846843914282431</v>
      </c>
      <c r="AT19" s="72">
        <f t="shared" si="10"/>
        <v>-0.39048751617742211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2.1179999999999999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3.0324074310156828</v>
      </c>
      <c r="C20" s="708">
        <v>1.9376545736027173</v>
      </c>
      <c r="D20" s="709">
        <v>-1.0918032928787318</v>
      </c>
      <c r="E20" s="710">
        <v>-7.1747655566852503E-2</v>
      </c>
      <c r="F20" s="708">
        <v>0.98075539454460281</v>
      </c>
      <c r="G20" s="711">
        <v>0.18157954177803451</v>
      </c>
      <c r="H20" s="710">
        <v>0.314</v>
      </c>
      <c r="I20" s="708">
        <v>0.52</v>
      </c>
      <c r="J20" s="570">
        <v>2.1240000000000001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2.1240000000000001</v>
      </c>
      <c r="N20" s="632">
        <f t="shared" si="2"/>
        <v>3.0324074310156828</v>
      </c>
      <c r="O20" s="629">
        <f t="shared" si="3"/>
        <v>1.9376545736027173</v>
      </c>
      <c r="P20" s="633">
        <f t="shared" si="4"/>
        <v>-1.0918032928787318</v>
      </c>
      <c r="Q20" s="585">
        <f t="shared" si="113"/>
        <v>32.577856313162712</v>
      </c>
      <c r="R20" s="629">
        <f>IF(M20="","",SQRT(N20^2+O20^2))</f>
        <v>3.5986108534103352</v>
      </c>
      <c r="S20" s="634">
        <f>IF(M20="","",P20)</f>
        <v>-1.0918032928787318</v>
      </c>
      <c r="T20" s="635">
        <f>IF(M20="","",X20*COS(RADIANS(W20)))</f>
        <v>1.9855179742453584</v>
      </c>
      <c r="U20" s="629">
        <f>IF(M20="","",X20*SIN(RADIANS(W20)))</f>
        <v>-3.0012861323491413</v>
      </c>
      <c r="V20" s="636">
        <f>IF(M20="","",Y20)</f>
        <v>-1.0918032928787318</v>
      </c>
      <c r="W20" s="585">
        <f t="shared" si="224"/>
        <v>303.48685618191939</v>
      </c>
      <c r="X20" s="629">
        <f>IF(M20="","",R20)</f>
        <v>3.5986108534103352</v>
      </c>
      <c r="Y20" s="630">
        <f t="shared" si="223"/>
        <v>-1.0918032928787318</v>
      </c>
      <c r="Z20" s="632">
        <f t="shared" si="6"/>
        <v>7.1747655566852503E-2</v>
      </c>
      <c r="AA20" s="629">
        <f t="shared" si="7"/>
        <v>-0.98075539454460281</v>
      </c>
      <c r="AB20" s="629">
        <f t="shared" si="8"/>
        <v>-0.18157954177803451</v>
      </c>
      <c r="AC20" s="636">
        <f>IF(M20="","",SQRT(Z20^2+AA20^2+AB20^2))</f>
        <v>1</v>
      </c>
      <c r="AD20" s="637">
        <f>IF(M20="","",Z20*(1/SQRT(Z20^2+AA20^2+AB20^2)))</f>
        <v>7.1747655566852503E-2</v>
      </c>
      <c r="AE20" s="629">
        <f>IF(M20="","",AA20*(1/SQRT(Z20^2+AA20^2+AB20^2)))</f>
        <v>-0.98075539454460281</v>
      </c>
      <c r="AF20" s="633">
        <f>IF(M20="","",AB20*(1/SQRT(Z20^2+AA20^2+AB20^2)))</f>
        <v>-0.18157954177803451</v>
      </c>
      <c r="AG20" s="602">
        <f>IF(M20="","",DEGREES(ATAN2(-AF20,AE20)))</f>
        <v>-79.510885554950562</v>
      </c>
      <c r="AH20" s="603">
        <f>IF(M20="","",DEGREES(ACOS(AD20)))</f>
        <v>85.885627039726572</v>
      </c>
      <c r="AI20" s="585">
        <f>IF(M20="","",DEGREES(-ACOS(-AF20)))</f>
        <v>-79.538222822318261</v>
      </c>
      <c r="AJ20" s="586">
        <f>IF(M20="","",DEGREES(ATAN2(-AE20,AD20)))</f>
        <v>4.1840483091350311</v>
      </c>
      <c r="AK20" s="635">
        <f>IF(M20="","",(COS(RADIANS((90-$Q$8)-W20))*AD20)+(-SIN(RADIANS((90-$Q$8)-W20))*AE20))</f>
        <v>0.86507606579076368</v>
      </c>
      <c r="AL20" s="629">
        <f>IF(M20="","",(SIN(RADIANS((90-$Q$8)-W20))*AD20)+(COS(RADIANS((90-$Q$8)-W20))*AE20))</f>
        <v>-0.46762406952984531</v>
      </c>
      <c r="AM20" s="634">
        <f>IF(M20="","",AF20)</f>
        <v>-0.18157954177803451</v>
      </c>
      <c r="AN20" s="581">
        <f>IF(M20="","",DEGREES(ATAN2(-AM20,AL20)))</f>
        <v>-68.778689948139785</v>
      </c>
      <c r="AO20" s="582">
        <f t="shared" si="94"/>
        <v>30.108607894271863</v>
      </c>
      <c r="AP20" s="585">
        <f>IF(M20="","",DEGREES(ATAN2(AK20,AL20)))</f>
        <v>-28.39380800402769</v>
      </c>
      <c r="AQ20" s="586">
        <f t="shared" si="9"/>
        <v>0.63347603628615468</v>
      </c>
      <c r="AS20" s="52">
        <f t="shared" si="116"/>
        <v>-56.513143818080607</v>
      </c>
      <c r="AT20" s="72">
        <f t="shared" si="10"/>
        <v>-1.0519268042073171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2.1240000000000001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3.108370775579655</v>
      </c>
      <c r="C21" s="708">
        <v>1.9752932773444885</v>
      </c>
      <c r="D21" s="709">
        <v>-1.8859999999999997</v>
      </c>
      <c r="E21" s="710">
        <v>-4.2485207395031144E-2</v>
      </c>
      <c r="F21" s="708">
        <v>0.99909709595844021</v>
      </c>
      <c r="G21" s="711">
        <v>1.1339744825155341E-7</v>
      </c>
      <c r="H21" s="710">
        <v>0.314</v>
      </c>
      <c r="I21" s="708">
        <v>0.52</v>
      </c>
      <c r="J21" s="570">
        <v>2.13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2.13</v>
      </c>
      <c r="N21" s="632">
        <f t="shared" si="2"/>
        <v>3.108370775579655</v>
      </c>
      <c r="O21" s="629">
        <f t="shared" si="3"/>
        <v>1.9752932773444885</v>
      </c>
      <c r="P21" s="633">
        <f t="shared" si="4"/>
        <v>-1.8859999999999997</v>
      </c>
      <c r="Q21" s="585">
        <f t="shared" si="113"/>
        <v>32.43495596345479</v>
      </c>
      <c r="R21" s="629">
        <f>IF(M21="","",SQRT(N21^2+O21^2))</f>
        <v>3.6828999999999996</v>
      </c>
      <c r="S21" s="634">
        <f>IF(M21="","",P21)</f>
        <v>-1.8859999999999997</v>
      </c>
      <c r="T21" s="635">
        <f>IF(M21="","",X21*COS(RADIANS(W21)))</f>
        <v>2.0243570522553567</v>
      </c>
      <c r="U21" s="629">
        <f>IF(M21="","",X21*SIN(RADIANS(W21)))</f>
        <v>-3.0766428026314658</v>
      </c>
      <c r="V21" s="636">
        <f>IF(M21="","",Y21)</f>
        <v>-1.8859999999999997</v>
      </c>
      <c r="W21" s="585">
        <f t="shared" si="224"/>
        <v>303.34395583221146</v>
      </c>
      <c r="X21" s="629">
        <f>IF(M21="","",R21)</f>
        <v>3.6828999999999996</v>
      </c>
      <c r="Y21" s="630">
        <f t="shared" si="223"/>
        <v>-1.8859999999999997</v>
      </c>
      <c r="Z21" s="632">
        <f t="shared" si="6"/>
        <v>4.2485207395031144E-2</v>
      </c>
      <c r="AA21" s="629">
        <f t="shared" si="7"/>
        <v>-0.99909709595844021</v>
      </c>
      <c r="AB21" s="629">
        <f t="shared" si="8"/>
        <v>-1.1339744825155341E-7</v>
      </c>
      <c r="AC21" s="636">
        <f>IF(M21="","",SQRT(Z21^2+AA21^2+AB21^2))</f>
        <v>1</v>
      </c>
      <c r="AD21" s="637">
        <f>IF(M21="","",Z21*(1/SQRT(Z21^2+AA21^2+AB21^2)))</f>
        <v>4.2485207395031144E-2</v>
      </c>
      <c r="AE21" s="629">
        <f>IF(M21="","",AA21*(1/SQRT(Z21^2+AA21^2+AB21^2)))</f>
        <v>-0.99909709595844021</v>
      </c>
      <c r="AF21" s="633">
        <f>IF(M21="","",AB21*(1/SQRT(Z21^2+AA21^2+AB21^2)))</f>
        <v>-1.1339744825155341E-7</v>
      </c>
      <c r="AG21" s="602">
        <f>IF(M21="","",DEGREES(ATAN2(-AF21,AE21)))</f>
        <v>-89.999993496933172</v>
      </c>
      <c r="AH21" s="603">
        <f>IF(M21="","",DEGREES(ACOS(AD21)))</f>
        <v>87.565044036544577</v>
      </c>
      <c r="AI21" s="585">
        <f>IF(M21="","",DEGREES(-ACOS(-AF21)))</f>
        <v>-89.999993502804799</v>
      </c>
      <c r="AJ21" s="586">
        <f>IF(M21="","",DEGREES(ATAN2(-AE21,AD21)))</f>
        <v>2.4349559634554283</v>
      </c>
      <c r="AK21" s="635">
        <f>IF(M21="","",(COS(RADIANS((90-$Q$8)-W21))*AD21)+(-SIN(RADIANS((90-$Q$8)-W21))*AE21))</f>
        <v>0.86602540378443882</v>
      </c>
      <c r="AL21" s="629">
        <f>IF(M21="","",(SIN(RADIANS((90-$Q$8)-W21))*AD21)+(COS(RADIANS((90-$Q$8)-W21))*AE21))</f>
        <v>-0.49999999999998707</v>
      </c>
      <c r="AM21" s="634">
        <f>IF(M21="","",AF21)</f>
        <v>-1.1339744825155341E-7</v>
      </c>
      <c r="AN21" s="581">
        <f>IF(M21="","",DEGREES(ATAN2(-AM21,AL21)))</f>
        <v>-89.999987005609626</v>
      </c>
      <c r="AO21" s="582">
        <f>IF(ROUND(IF(M21="",0,DEGREES(ACOS(AK21))),4)=90,0,IF(M21="","",DEGREES(ACOS(AK21))))</f>
        <v>29.999999999999979</v>
      </c>
      <c r="AP21" s="585">
        <f>IF(M21="","",DEGREES(ATAN2(AK21,AL21)))</f>
        <v>-29.999999999999357</v>
      </c>
      <c r="AQ21" s="586">
        <f t="shared" si="9"/>
        <v>0.61897904982222929</v>
      </c>
      <c r="AS21" s="52">
        <f t="shared" si="116"/>
        <v>-56.656044167788536</v>
      </c>
      <c r="AT21" s="72">
        <f t="shared" si="10"/>
        <v>-1.8460242749746212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2.13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0.50749224001177151</v>
      </c>
      <c r="C22" s="708">
        <v>-0.29300119061511926</v>
      </c>
      <c r="D22" s="709">
        <v>-0.43020129748711333</v>
      </c>
      <c r="E22" s="710">
        <v>0.37616414743222165</v>
      </c>
      <c r="F22" s="708">
        <v>0.84962579097699664</v>
      </c>
      <c r="G22" s="711">
        <v>0.36964381435823146</v>
      </c>
      <c r="H22" s="710">
        <v>0.314</v>
      </c>
      <c r="I22" s="708">
        <v>0.52</v>
      </c>
      <c r="J22" s="570">
        <v>3.1019999999999999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>
        <f>IF($L21=$JH$22,$JH$30,IF($L21=$JI$22,$JI$30,""))</f>
        <v>0</v>
      </c>
      <c r="M22" s="168">
        <f t="shared" si="1"/>
        <v>3.1019999999999999</v>
      </c>
      <c r="N22" s="632">
        <f t="shared" si="2"/>
        <v>0.50749224001177151</v>
      </c>
      <c r="O22" s="629">
        <f t="shared" si="3"/>
        <v>-0.29300119061511926</v>
      </c>
      <c r="P22" s="633">
        <f t="shared" si="4"/>
        <v>-0.43020129748711333</v>
      </c>
      <c r="Q22" s="585">
        <f t="shared" si="113"/>
        <v>329.99996534829228</v>
      </c>
      <c r="R22" s="629">
        <f t="shared" si="79"/>
        <v>0.58600176738133047</v>
      </c>
      <c r="S22" s="634">
        <f t="shared" si="80"/>
        <v>-0.43020129748711333</v>
      </c>
      <c r="T22" s="635">
        <f t="shared" si="81"/>
        <v>-0.28491327001362177</v>
      </c>
      <c r="U22" s="629">
        <f t="shared" si="82"/>
        <v>-0.51207665436357086</v>
      </c>
      <c r="V22" s="636">
        <f t="shared" si="114"/>
        <v>-0.43020129748711333</v>
      </c>
      <c r="W22" s="585">
        <f t="shared" si="224"/>
        <v>240.90896521704894</v>
      </c>
      <c r="X22" s="629">
        <f t="shared" si="83"/>
        <v>0.58600176738133047</v>
      </c>
      <c r="Y22" s="630">
        <f t="shared" si="223"/>
        <v>-0.43020129748711333</v>
      </c>
      <c r="Z22" s="632">
        <f t="shared" si="6"/>
        <v>-0.37616414743222165</v>
      </c>
      <c r="AA22" s="629">
        <f t="shared" si="7"/>
        <v>-0.84962579097699664</v>
      </c>
      <c r="AB22" s="629">
        <f t="shared" si="8"/>
        <v>-0.36964381435823146</v>
      </c>
      <c r="AC22" s="636">
        <f t="shared" si="84"/>
        <v>1</v>
      </c>
      <c r="AD22" s="637">
        <f t="shared" si="115"/>
        <v>-0.37616414743222165</v>
      </c>
      <c r="AE22" s="629">
        <f t="shared" si="85"/>
        <v>-0.84962579097699664</v>
      </c>
      <c r="AF22" s="633">
        <f t="shared" si="86"/>
        <v>-0.36964381435823146</v>
      </c>
      <c r="AG22" s="602">
        <f t="shared" si="87"/>
        <v>-66.4877505478252</v>
      </c>
      <c r="AH22" s="603">
        <f t="shared" si="88"/>
        <v>112.09628254236554</v>
      </c>
      <c r="AI22" s="585">
        <f t="shared" si="89"/>
        <v>-68.306347925759709</v>
      </c>
      <c r="AJ22" s="586">
        <f t="shared" si="90"/>
        <v>-23.880934889082571</v>
      </c>
      <c r="AK22" s="635">
        <f t="shared" si="211"/>
        <v>0.92387953251128674</v>
      </c>
      <c r="AL22" s="629">
        <f t="shared" si="91"/>
        <v>9.9045746569065951E-2</v>
      </c>
      <c r="AM22" s="634">
        <f t="shared" si="92"/>
        <v>-0.36964381435823146</v>
      </c>
      <c r="AN22" s="581">
        <f t="shared" si="93"/>
        <v>14.999997834268267</v>
      </c>
      <c r="AO22" s="582">
        <f t="shared" si="94"/>
        <v>22.5</v>
      </c>
      <c r="AP22" s="585">
        <f t="shared" si="95"/>
        <v>6.1190997626251535</v>
      </c>
      <c r="AQ22" s="586">
        <f t="shared" si="9"/>
        <v>3.8843448334595458</v>
      </c>
      <c r="AS22" s="52">
        <f t="shared" si="116"/>
        <v>-119.09103478295106</v>
      </c>
      <c r="AT22" s="72">
        <f t="shared" si="10"/>
        <v>-0.34686794009009408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3.1019999999999999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Taper</v>
      </c>
      <c r="JG22" s="862"/>
      <c r="JH22" s="863" t="str" cm="1">
        <f t="array" ref="JH22">IFERROR(TRANSPOSE(_xlfn._xlws.SORT(_xlfn.UNIQUE(_xlfn._xlws.FILTER($IE$9:$IE$150,$IE$9:$IE$150&lt;&gt;"")),,1)),"")</f>
        <v>Taper</v>
      </c>
      <c r="JI22" s="862"/>
    </row>
    <row r="23" spans="1:269" ht="15" customHeight="1" thickTop="1" x14ac:dyDescent="0.25">
      <c r="A23" s="79"/>
      <c r="B23" s="707">
        <v>1.1353623321765058</v>
      </c>
      <c r="C23" s="708">
        <v>-0.65550266364577014</v>
      </c>
      <c r="D23" s="709">
        <v>-0.23600071177814691</v>
      </c>
      <c r="E23" s="710">
        <v>0.39318512227613106</v>
      </c>
      <c r="F23" s="708">
        <v>0.85805810076342925</v>
      </c>
      <c r="G23" s="711">
        <v>0.33036609289538277</v>
      </c>
      <c r="H23" s="710">
        <v>0.314</v>
      </c>
      <c r="I23" s="708">
        <v>0.52</v>
      </c>
      <c r="J23" s="570">
        <v>3.105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3.105</v>
      </c>
      <c r="N23" s="632">
        <f t="shared" si="2"/>
        <v>1.1353623321765058</v>
      </c>
      <c r="O23" s="629">
        <f t="shared" si="3"/>
        <v>-0.65550266364577014</v>
      </c>
      <c r="P23" s="633">
        <f t="shared" si="4"/>
        <v>-0.23600071177814691</v>
      </c>
      <c r="Q23" s="585">
        <f t="shared" si="113"/>
        <v>329.99996534829228</v>
      </c>
      <c r="R23" s="629">
        <f t="shared" si="79"/>
        <v>1.3110039539879252</v>
      </c>
      <c r="S23" s="634">
        <f t="shared" si="80"/>
        <v>-0.23600071177814691</v>
      </c>
      <c r="T23" s="635">
        <f t="shared" si="81"/>
        <v>-0.63740835663457007</v>
      </c>
      <c r="U23" s="629">
        <f t="shared" si="82"/>
        <v>-1.1456185902229374</v>
      </c>
      <c r="V23" s="636">
        <f t="shared" si="114"/>
        <v>-0.23600071177814691</v>
      </c>
      <c r="W23" s="585">
        <f t="shared" si="224"/>
        <v>240.90896521704894</v>
      </c>
      <c r="X23" s="629">
        <f t="shared" si="83"/>
        <v>1.3110039539879252</v>
      </c>
      <c r="Y23" s="630">
        <f t="shared" si="223"/>
        <v>-0.23600071177814691</v>
      </c>
      <c r="Z23" s="632">
        <f t="shared" si="6"/>
        <v>-0.39318512227613106</v>
      </c>
      <c r="AA23" s="629">
        <f t="shared" si="7"/>
        <v>-0.85805810076342925</v>
      </c>
      <c r="AB23" s="629">
        <f t="shared" si="8"/>
        <v>-0.33036609289538277</v>
      </c>
      <c r="AC23" s="636">
        <f t="shared" si="84"/>
        <v>1</v>
      </c>
      <c r="AD23" s="637">
        <f t="shared" si="115"/>
        <v>-0.39318512227613106</v>
      </c>
      <c r="AE23" s="629">
        <f t="shared" si="85"/>
        <v>-0.85805810076342925</v>
      </c>
      <c r="AF23" s="633">
        <f t="shared" si="86"/>
        <v>-0.33036609289538277</v>
      </c>
      <c r="AG23" s="602">
        <f t="shared" si="87"/>
        <v>-68.942496303380651</v>
      </c>
      <c r="AH23" s="603">
        <f t="shared" si="88"/>
        <v>113.15283276145279</v>
      </c>
      <c r="AI23" s="585">
        <f t="shared" si="89"/>
        <v>-70.709002660911167</v>
      </c>
      <c r="AJ23" s="586">
        <f t="shared" si="90"/>
        <v>-24.618515050528149</v>
      </c>
      <c r="AK23" s="635">
        <f t="shared" si="211"/>
        <v>0.93969262078590854</v>
      </c>
      <c r="AL23" s="629">
        <f t="shared" si="91"/>
        <v>8.8521314413819496E-2</v>
      </c>
      <c r="AM23" s="634">
        <f t="shared" si="92"/>
        <v>-0.33036609289538277</v>
      </c>
      <c r="AN23" s="581">
        <f t="shared" si="93"/>
        <v>14.99999783426825</v>
      </c>
      <c r="AO23" s="582">
        <f t="shared" si="94"/>
        <v>19.999999999999979</v>
      </c>
      <c r="AP23" s="585">
        <f t="shared" si="95"/>
        <v>5.3815196011795736</v>
      </c>
      <c r="AQ23" s="586">
        <f t="shared" si="9"/>
        <v>1.7383830542137844</v>
      </c>
      <c r="AS23" s="52">
        <f t="shared" si="116"/>
        <v>-119.09103478295106</v>
      </c>
      <c r="AT23" s="72">
        <f t="shared" si="10"/>
        <v>-0.15266735438112766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3.105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0</v>
      </c>
      <c r="JI23" s="801"/>
    </row>
    <row r="24" spans="1:269" ht="15" customHeight="1" x14ac:dyDescent="0.25">
      <c r="A24" s="79"/>
      <c r="B24" s="707">
        <v>1.7856236683838023</v>
      </c>
      <c r="C24" s="708">
        <v>-1.0423740507331458</v>
      </c>
      <c r="D24" s="709">
        <v>-5.0900153514863045E-2</v>
      </c>
      <c r="E24" s="710">
        <v>0.48891897236261322</v>
      </c>
      <c r="F24" s="708">
        <v>0.80190279613603899</v>
      </c>
      <c r="G24" s="711">
        <v>0.34338046539238176</v>
      </c>
      <c r="H24" s="710">
        <v>0.314</v>
      </c>
      <c r="I24" s="708">
        <v>0.52</v>
      </c>
      <c r="J24" s="570">
        <v>3.109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3.109</v>
      </c>
      <c r="N24" s="632">
        <f t="shared" si="2"/>
        <v>1.7856236683838023</v>
      </c>
      <c r="O24" s="629">
        <f t="shared" si="3"/>
        <v>-1.0423740507331458</v>
      </c>
      <c r="P24" s="633">
        <f t="shared" si="4"/>
        <v>-5.0900153514863045E-2</v>
      </c>
      <c r="Q24" s="585">
        <f t="shared" si="113"/>
        <v>329.72536538793963</v>
      </c>
      <c r="R24" s="629">
        <f t="shared" si="79"/>
        <v>2.0676062359004082</v>
      </c>
      <c r="S24" s="634">
        <f t="shared" si="80"/>
        <v>-5.0900153514863045E-2</v>
      </c>
      <c r="T24" s="635">
        <f t="shared" si="81"/>
        <v>-1.0139150673347899</v>
      </c>
      <c r="U24" s="629">
        <f t="shared" si="82"/>
        <v>-1.8019355657086473</v>
      </c>
      <c r="V24" s="636">
        <f t="shared" si="114"/>
        <v>-5.0900153514863045E-2</v>
      </c>
      <c r="W24" s="585">
        <f t="shared" si="224"/>
        <v>240.6343652566963</v>
      </c>
      <c r="X24" s="629">
        <f t="shared" si="83"/>
        <v>2.0676062359004082</v>
      </c>
      <c r="Y24" s="630">
        <f t="shared" si="223"/>
        <v>-5.0900153514863045E-2</v>
      </c>
      <c r="Z24" s="632">
        <f t="shared" si="6"/>
        <v>-0.48891897236261322</v>
      </c>
      <c r="AA24" s="629">
        <f t="shared" si="7"/>
        <v>-0.80190279613603899</v>
      </c>
      <c r="AB24" s="629">
        <f t="shared" si="8"/>
        <v>-0.34338046539238176</v>
      </c>
      <c r="AC24" s="636">
        <f t="shared" si="84"/>
        <v>1</v>
      </c>
      <c r="AD24" s="637">
        <f t="shared" si="115"/>
        <v>-0.48891897236261322</v>
      </c>
      <c r="AE24" s="629">
        <f t="shared" si="85"/>
        <v>-0.80190279613603899</v>
      </c>
      <c r="AF24" s="633">
        <f t="shared" si="86"/>
        <v>-0.34338046539238176</v>
      </c>
      <c r="AG24" s="602">
        <f t="shared" si="87"/>
        <v>-66.819047484421887</v>
      </c>
      <c r="AH24" s="603">
        <f t="shared" si="88"/>
        <v>119.26955350228623</v>
      </c>
      <c r="AI24" s="585">
        <f t="shared" si="89"/>
        <v>-69.917035333964165</v>
      </c>
      <c r="AJ24" s="586">
        <f t="shared" si="90"/>
        <v>-31.370601518579715</v>
      </c>
      <c r="AK24" s="635">
        <f>IF(M24="","",(COS(RADIANS((90-$Q$8)-W24))*AD24)+(-SIN(RADIANS((90-$Q$8)-W24))*AE24))</f>
        <v>0.93902457272289142</v>
      </c>
      <c r="AL24" s="629">
        <f t="shared" si="91"/>
        <v>-1.7964069959305051E-2</v>
      </c>
      <c r="AM24" s="634">
        <f t="shared" si="92"/>
        <v>-0.34338046539238176</v>
      </c>
      <c r="AN24" s="581">
        <f t="shared" si="93"/>
        <v>-2.9947187935059327</v>
      </c>
      <c r="AO24" s="582">
        <f t="shared" si="94"/>
        <v>20.111613897795028</v>
      </c>
      <c r="AP24" s="585">
        <f t="shared" si="95"/>
        <v>-1.0959669065193576</v>
      </c>
      <c r="AQ24" s="586">
        <f t="shared" si="9"/>
        <v>1.1024561836804889</v>
      </c>
      <c r="AS24" s="52">
        <f t="shared" si="116"/>
        <v>-119.3656347433037</v>
      </c>
      <c r="AT24" s="72">
        <f t="shared" si="10"/>
        <v>3.2623898299067755E-2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2.4496317629901978</v>
      </c>
      <c r="C25" s="708">
        <v>-1.4869489294279801</v>
      </c>
      <c r="D25" s="709">
        <v>-0.20000060320181942</v>
      </c>
      <c r="E25" s="710">
        <v>0.65730612255253318</v>
      </c>
      <c r="F25" s="708">
        <v>0.69531034440062855</v>
      </c>
      <c r="G25" s="711">
        <v>0.29067539666169506</v>
      </c>
      <c r="H25" s="710">
        <v>0.314</v>
      </c>
      <c r="I25" s="708">
        <v>0.52</v>
      </c>
      <c r="J25" s="570">
        <v>3.1150000000000002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3.1150000000000002</v>
      </c>
      <c r="N25" s="632">
        <f t="shared" si="2"/>
        <v>2.4496317629901978</v>
      </c>
      <c r="O25" s="629">
        <f t="shared" si="3"/>
        <v>-1.4869489294279801</v>
      </c>
      <c r="P25" s="633">
        <f t="shared" si="4"/>
        <v>-0.20000060320181942</v>
      </c>
      <c r="Q25" s="585">
        <f t="shared" si="113"/>
        <v>328.74186552993939</v>
      </c>
      <c r="R25" s="629">
        <f>IF(M25="","",SQRT(N25^2+O25^2))</f>
        <v>2.8656086426756673</v>
      </c>
      <c r="S25" s="634">
        <f>IF(M25="","",P25)</f>
        <v>-0.20000060320181942</v>
      </c>
      <c r="T25" s="635">
        <f>IF(M25="","",X25*COS(RADIANS(W25)))</f>
        <v>-1.447899924093009</v>
      </c>
      <c r="U25" s="629">
        <f>IF(M25="","",X25*SIN(RADIANS(W25)))</f>
        <v>-2.4729129994378973</v>
      </c>
      <c r="V25" s="636">
        <f>IF(M25="","",Y25)</f>
        <v>-0.20000060320181942</v>
      </c>
      <c r="W25" s="585">
        <f t="shared" si="224"/>
        <v>239.65086539869606</v>
      </c>
      <c r="X25" s="629">
        <f>IF(M25="","",R25)</f>
        <v>2.8656086426756673</v>
      </c>
      <c r="Y25" s="630">
        <f t="shared" si="223"/>
        <v>-0.20000060320181942</v>
      </c>
      <c r="Z25" s="632">
        <f t="shared" si="6"/>
        <v>-0.65730612255253318</v>
      </c>
      <c r="AA25" s="629">
        <f t="shared" si="7"/>
        <v>-0.69531034440062855</v>
      </c>
      <c r="AB25" s="629">
        <f t="shared" si="8"/>
        <v>-0.29067539666169506</v>
      </c>
      <c r="AC25" s="636">
        <f>IF(M25="","",SQRT(Z25^2+AA25^2+AB25^2))</f>
        <v>1</v>
      </c>
      <c r="AD25" s="637">
        <f>IF(M25="","",Z25*(1/SQRT(Z25^2+AA25^2+AB25^2)))</f>
        <v>-0.65730612255253318</v>
      </c>
      <c r="AE25" s="629">
        <f>IF(M25="","",AA25*(1/SQRT(Z25^2+AA25^2+AB25^2)))</f>
        <v>-0.69531034440062855</v>
      </c>
      <c r="AF25" s="633">
        <f>IF(M25="","",AB25*(1/SQRT(Z25^2+AA25^2+AB25^2)))</f>
        <v>-0.29067539666169506</v>
      </c>
      <c r="AG25" s="602">
        <f>IF(M25="","",DEGREES(ATAN2(-AF25,AE25)))</f>
        <v>-67.312570167236743</v>
      </c>
      <c r="AH25" s="603">
        <f>IF(M25="","",DEGREES(ACOS(AD25)))</f>
        <v>131.09474455419632</v>
      </c>
      <c r="AI25" s="585">
        <f>IF(M25="","",DEGREES(-ACOS(-AF25)))</f>
        <v>-73.101604643644592</v>
      </c>
      <c r="AJ25" s="586">
        <f>IF(M25="","",DEGREES(ATAN2(-AE25,AD25)))</f>
        <v>-43.390594193318968</v>
      </c>
      <c r="AK25" s="635">
        <f>IF(M25="","",(COS(RADIANS((90-$Q$8)-W25))*AD25)+(-SIN(RADIANS((90-$Q$8)-W25))*AE25))</f>
        <v>0.93545046594793413</v>
      </c>
      <c r="AL25" s="629">
        <f>IF(M25="","",(SIN(RADIANS((90-$Q$8)-W25))*AD25)+(COS(RADIANS((90-$Q$8)-W25))*AE25))</f>
        <v>-0.20109758708984959</v>
      </c>
      <c r="AM25" s="634">
        <f>IF(M25="","",AF25)</f>
        <v>-0.29067539666169506</v>
      </c>
      <c r="AN25" s="581">
        <f>IF(M25="","",DEGREES(ATAN2(-AM25,AL25)))</f>
        <v>-34.676597773377487</v>
      </c>
      <c r="AO25" s="582">
        <f>IF(ROUND(IF(M25="",0,DEGREES(ACOS(AK25))),4)=90,0,IF(M25="","",DEGREES(ACOS(AK25))))</f>
        <v>20.698956887612386</v>
      </c>
      <c r="AP25" s="585">
        <f>IF(M25="","",DEGREES(ATAN2(AK25,AL25)))</f>
        <v>-12.132459723258323</v>
      </c>
      <c r="AQ25" s="586">
        <f t="shared" si="9"/>
        <v>0.7954959764688686</v>
      </c>
      <c r="AS25" s="52">
        <f t="shared" si="116"/>
        <v>-120.34913460130394</v>
      </c>
      <c r="AT25" s="72">
        <f t="shared" si="10"/>
        <v>-0.11579356537538844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3.1150000000000002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2.9142628522369391</v>
      </c>
      <c r="C26" s="708">
        <v>-1.8324709445059477</v>
      </c>
      <c r="D26" s="709">
        <v>-0.73440221495708047</v>
      </c>
      <c r="E26" s="710">
        <v>0.79223347670897271</v>
      </c>
      <c r="F26" s="708">
        <v>0.57093319346683202</v>
      </c>
      <c r="G26" s="711">
        <v>0.21540985812951682</v>
      </c>
      <c r="H26" s="710">
        <v>0.314</v>
      </c>
      <c r="I26" s="708">
        <v>0.52</v>
      </c>
      <c r="J26" s="570">
        <v>3.121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3.121</v>
      </c>
      <c r="N26" s="632">
        <f t="shared" si="2"/>
        <v>2.9142628522369391</v>
      </c>
      <c r="O26" s="629">
        <f t="shared" si="3"/>
        <v>-1.8324709445059477</v>
      </c>
      <c r="P26" s="633">
        <f t="shared" si="4"/>
        <v>-0.73440221495708047</v>
      </c>
      <c r="Q26" s="585">
        <f t="shared" si="113"/>
        <v>327.83856566035979</v>
      </c>
      <c r="R26" s="629">
        <f>IF(M26="","",SQRT(N26^2+O26^2))</f>
        <v>3.4425103826113146</v>
      </c>
      <c r="S26" s="634">
        <f>IF(M26="","",P26)</f>
        <v>-0.73440221495708047</v>
      </c>
      <c r="T26" s="635">
        <f>IF(M26="","",X26*COS(RADIANS(W26)))</f>
        <v>-1.7860073743472809</v>
      </c>
      <c r="U26" s="629">
        <f>IF(M26="","",X26*SIN(RADIANS(W26)))</f>
        <v>-2.9429671070475512</v>
      </c>
      <c r="V26" s="636">
        <f>IF(M26="","",Y26)</f>
        <v>-0.73440221495708047</v>
      </c>
      <c r="W26" s="585">
        <f t="shared" si="224"/>
        <v>238.74756552911646</v>
      </c>
      <c r="X26" s="629">
        <f>IF(M26="","",R26)</f>
        <v>3.4425103826113146</v>
      </c>
      <c r="Y26" s="630">
        <f t="shared" si="223"/>
        <v>-0.73440221495708047</v>
      </c>
      <c r="Z26" s="632">
        <f t="shared" si="6"/>
        <v>-0.79223347670897271</v>
      </c>
      <c r="AA26" s="629">
        <f t="shared" si="7"/>
        <v>-0.57093319346683202</v>
      </c>
      <c r="AB26" s="629">
        <f t="shared" si="8"/>
        <v>-0.21540985812951682</v>
      </c>
      <c r="AC26" s="636">
        <f>IF(M26="","",SQRT(Z26^2+AA26^2+AB26^2))</f>
        <v>1</v>
      </c>
      <c r="AD26" s="637">
        <f>IF(M26="","",Z26*(1/SQRT(Z26^2+AA26^2+AB26^2)))</f>
        <v>-0.79223347670897271</v>
      </c>
      <c r="AE26" s="629">
        <f>IF(M26="","",AA26*(1/SQRT(Z26^2+AA26^2+AB26^2)))</f>
        <v>-0.57093319346683202</v>
      </c>
      <c r="AF26" s="633">
        <f>IF(M26="","",AB26*(1/SQRT(Z26^2+AA26^2+AB26^2)))</f>
        <v>-0.21540985812951682</v>
      </c>
      <c r="AG26" s="602">
        <f>IF(M26="","",DEGREES(ATAN2(-AF26,AE26)))</f>
        <v>-69.328793084281671</v>
      </c>
      <c r="AH26" s="603">
        <f>IF(M26="","",DEGREES(ACOS(AD26)))</f>
        <v>142.39472597726467</v>
      </c>
      <c r="AI26" s="585">
        <f>IF(M26="","",DEGREES(-ACOS(-AF26)))</f>
        <v>-77.560426116354165</v>
      </c>
      <c r="AJ26" s="586">
        <f>IF(M26="","",DEGREES(ATAN2(-AE26,AD26)))</f>
        <v>-54.221110403599262</v>
      </c>
      <c r="AK26" s="635">
        <f>IF(M26="","",(COS(RADIANS((90-$Q$8)-W26))*AD26)+(-SIN(RADIANS((90-$Q$8)-W26))*AE26))</f>
        <v>0.9050355345043819</v>
      </c>
      <c r="AL26" s="629">
        <f>IF(M26="","",(SIN(RADIANS((90-$Q$8)-W26))*AD26)+(COS(RADIANS((90-$Q$8)-W26))*AE26))</f>
        <v>-0.36675506036725514</v>
      </c>
      <c r="AM26" s="634">
        <f>IF(M26="","",AF26)</f>
        <v>-0.21540985812951682</v>
      </c>
      <c r="AN26" s="581">
        <f>IF(M26="","",DEGREES(ATAN2(-AM26,AL26)))</f>
        <v>-59.572586642075514</v>
      </c>
      <c r="AO26" s="582">
        <f t="shared" si="94"/>
        <v>25.171930615503065</v>
      </c>
      <c r="AP26" s="585">
        <f>IF(M26="","",DEGREES(ATAN2(AK26,AL26)))</f>
        <v>-22.059676063959063</v>
      </c>
      <c r="AQ26" s="586">
        <f t="shared" si="9"/>
        <v>0.66219847479766081</v>
      </c>
      <c r="AS26" s="52">
        <f t="shared" si="116"/>
        <v>-121.25243447088354</v>
      </c>
      <c r="AT26" s="72">
        <f t="shared" si="10"/>
        <v>-0.64956788555455258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3.121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3.0826292342779262</v>
      </c>
      <c r="C27" s="708">
        <v>-1.9645423802038608</v>
      </c>
      <c r="D27" s="709">
        <v>-1.4729044422797974</v>
      </c>
      <c r="E27" s="710">
        <v>0.88861347719157824</v>
      </c>
      <c r="F27" s="708">
        <v>0.44885890550369739</v>
      </c>
      <c r="G27" s="711">
        <v>9.4296188170654938E-2</v>
      </c>
      <c r="H27" s="710">
        <v>0.314</v>
      </c>
      <c r="I27" s="708">
        <v>0.52</v>
      </c>
      <c r="J27" s="570">
        <v>3.1269999999999998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3.1269999999999998</v>
      </c>
      <c r="N27" s="632">
        <f t="shared" si="2"/>
        <v>3.0826292342779262</v>
      </c>
      <c r="O27" s="629">
        <f t="shared" si="3"/>
        <v>-1.9645423802038608</v>
      </c>
      <c r="P27" s="633">
        <f t="shared" si="4"/>
        <v>-1.4729044422797974</v>
      </c>
      <c r="Q27" s="585">
        <f t="shared" si="113"/>
        <v>327.49086571056142</v>
      </c>
      <c r="R27" s="629">
        <f t="shared" si="79"/>
        <v>3.6554110247196503</v>
      </c>
      <c r="S27" s="634">
        <f t="shared" si="80"/>
        <v>-1.4729044422797974</v>
      </c>
      <c r="T27" s="635">
        <f t="shared" si="81"/>
        <v>-1.9153911617999941</v>
      </c>
      <c r="U27" s="629">
        <f t="shared" si="82"/>
        <v>-3.1134075314581664</v>
      </c>
      <c r="V27" s="636">
        <f t="shared" si="114"/>
        <v>-1.4729044422797974</v>
      </c>
      <c r="W27" s="585">
        <f t="shared" si="224"/>
        <v>238.39986557931809</v>
      </c>
      <c r="X27" s="629">
        <f t="shared" si="83"/>
        <v>3.6554110247196503</v>
      </c>
      <c r="Y27" s="630">
        <f t="shared" si="223"/>
        <v>-1.4729044422797974</v>
      </c>
      <c r="Z27" s="632">
        <f t="shared" si="6"/>
        <v>-0.88861347719157824</v>
      </c>
      <c r="AA27" s="629">
        <f t="shared" si="7"/>
        <v>-0.44885890550369739</v>
      </c>
      <c r="AB27" s="629">
        <f t="shared" si="8"/>
        <v>-9.4296188170654938E-2</v>
      </c>
      <c r="AC27" s="636">
        <f t="shared" si="84"/>
        <v>1</v>
      </c>
      <c r="AD27" s="637">
        <f t="shared" si="115"/>
        <v>-0.88861347719157824</v>
      </c>
      <c r="AE27" s="629">
        <f t="shared" si="85"/>
        <v>-0.44885890550369739</v>
      </c>
      <c r="AF27" s="633">
        <f t="shared" si="86"/>
        <v>-9.4296188170654938E-2</v>
      </c>
      <c r="AG27" s="602">
        <f t="shared" si="87"/>
        <v>-78.135841976990164</v>
      </c>
      <c r="AH27" s="603">
        <f t="shared" si="88"/>
        <v>152.69953086077942</v>
      </c>
      <c r="AI27" s="585">
        <f t="shared" si="89"/>
        <v>-84.589187481479101</v>
      </c>
      <c r="AJ27" s="586">
        <f t="shared" si="90"/>
        <v>-63.200619588861358</v>
      </c>
      <c r="AK27" s="635">
        <f t="shared" si="211"/>
        <v>0.85609645497386166</v>
      </c>
      <c r="AL27" s="629">
        <f t="shared" si="91"/>
        <v>-0.50814081579584947</v>
      </c>
      <c r="AM27" s="634">
        <f t="shared" si="92"/>
        <v>-9.4296188170654938E-2</v>
      </c>
      <c r="AN27" s="581">
        <f t="shared" si="93"/>
        <v>-79.487153063546629</v>
      </c>
      <c r="AO27" s="582">
        <f t="shared" si="94"/>
        <v>31.118921687651234</v>
      </c>
      <c r="AP27" s="585">
        <f t="shared" si="95"/>
        <v>-30.691485299422773</v>
      </c>
      <c r="AQ27" s="586">
        <f t="shared" si="9"/>
        <v>0.6236334541730405</v>
      </c>
      <c r="AS27" s="52">
        <f t="shared" si="116"/>
        <v>-121.60013442068191</v>
      </c>
      <c r="AT27" s="72">
        <f t="shared" si="10"/>
        <v>-1.3878286545787983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3.1269999999999998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3.1013094869057443</v>
      </c>
      <c r="C28" s="708">
        <v>-1.9865468952422967</v>
      </c>
      <c r="D28" s="709">
        <v>-2.2449999999999966</v>
      </c>
      <c r="E28" s="710">
        <v>0.88814955723140332</v>
      </c>
      <c r="F28" s="708">
        <v>0.45955452776536726</v>
      </c>
      <c r="G28" s="711">
        <v>1.1339744855140686E-7</v>
      </c>
      <c r="H28" s="710">
        <v>0.314</v>
      </c>
      <c r="I28" s="708">
        <v>0.52</v>
      </c>
      <c r="J28" s="570">
        <v>3.133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3.133</v>
      </c>
      <c r="N28" s="632">
        <f t="shared" si="2"/>
        <v>3.1013094869057443</v>
      </c>
      <c r="O28" s="629">
        <f t="shared" si="3"/>
        <v>-1.9865468952422967</v>
      </c>
      <c r="P28" s="633">
        <f t="shared" si="4"/>
        <v>-2.2449999999999966</v>
      </c>
      <c r="Q28" s="585">
        <f t="shared" si="113"/>
        <v>327.35836609757644</v>
      </c>
      <c r="R28" s="629">
        <f t="shared" si="79"/>
        <v>3.6830000136530519</v>
      </c>
      <c r="S28" s="634">
        <f t="shared" si="80"/>
        <v>-2.2449999999999966</v>
      </c>
      <c r="T28" s="635">
        <f t="shared" si="81"/>
        <v>-1.937096557099349</v>
      </c>
      <c r="U28" s="629">
        <f t="shared" si="82"/>
        <v>-3.1324345211100946</v>
      </c>
      <c r="V28" s="636">
        <f t="shared" si="114"/>
        <v>-2.2449999999999966</v>
      </c>
      <c r="W28" s="585">
        <f t="shared" si="224"/>
        <v>238.2673659663331</v>
      </c>
      <c r="X28" s="629">
        <f t="shared" si="83"/>
        <v>3.6830000136530519</v>
      </c>
      <c r="Y28" s="630">
        <f t="shared" si="223"/>
        <v>-2.2449999999999966</v>
      </c>
      <c r="Z28" s="632">
        <f t="shared" si="6"/>
        <v>-0.88814955723140332</v>
      </c>
      <c r="AA28" s="629">
        <f t="shared" si="7"/>
        <v>-0.45955452776536726</v>
      </c>
      <c r="AB28" s="629">
        <f t="shared" si="8"/>
        <v>-1.1339744855140686E-7</v>
      </c>
      <c r="AC28" s="636">
        <f t="shared" si="84"/>
        <v>1</v>
      </c>
      <c r="AD28" s="637">
        <f t="shared" si="115"/>
        <v>-0.88814955723140332</v>
      </c>
      <c r="AE28" s="629">
        <f t="shared" si="85"/>
        <v>-0.45955452776536726</v>
      </c>
      <c r="AF28" s="633">
        <f t="shared" si="86"/>
        <v>-1.1339744855140686E-7</v>
      </c>
      <c r="AG28" s="602">
        <f t="shared" si="87"/>
        <v>-89.999985861971069</v>
      </c>
      <c r="AH28" s="603">
        <f t="shared" si="88"/>
        <v>152.64163427030658</v>
      </c>
      <c r="AI28" s="585">
        <f t="shared" si="89"/>
        <v>-89.999993502804784</v>
      </c>
      <c r="AJ28" s="586">
        <f t="shared" si="90"/>
        <v>-62.641634270307286</v>
      </c>
      <c r="AK28" s="635">
        <f t="shared" si="211"/>
        <v>0.86602540057404198</v>
      </c>
      <c r="AL28" s="629">
        <f t="shared" si="91"/>
        <v>-0.50000000556055746</v>
      </c>
      <c r="AM28" s="634">
        <f t="shared" si="92"/>
        <v>-1.1339744855140686E-7</v>
      </c>
      <c r="AN28" s="581">
        <f t="shared" si="93"/>
        <v>-89.999987005609739</v>
      </c>
      <c r="AO28" s="582">
        <f t="shared" si="94"/>
        <v>30.000000367884358</v>
      </c>
      <c r="AP28" s="585">
        <f t="shared" si="95"/>
        <v>-30.000000367883732</v>
      </c>
      <c r="AQ28" s="586">
        <f t="shared" si="9"/>
        <v>0.61896224245342568</v>
      </c>
      <c r="AS28" s="52">
        <f t="shared" si="116"/>
        <v>-121.7326340336669</v>
      </c>
      <c r="AT28" s="72">
        <f t="shared" si="10"/>
        <v>-2.1598321986788691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3.133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2.2932655885647715</v>
      </c>
      <c r="C29" s="708">
        <v>-2.6100691783270458</v>
      </c>
      <c r="D29" s="709">
        <v>-0.76390230392934899</v>
      </c>
      <c r="E29" s="710">
        <v>0.43215820352206463</v>
      </c>
      <c r="F29" s="708">
        <v>-0.49185843315317473</v>
      </c>
      <c r="G29" s="711">
        <v>0.75585353664892374</v>
      </c>
      <c r="H29" s="710">
        <v>0.26250000000000001</v>
      </c>
      <c r="I29" s="708">
        <v>0.40699999999999997</v>
      </c>
      <c r="J29" s="570">
        <v>3.2210000000000001</v>
      </c>
      <c r="K29" s="865" t="str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Inactive</v>
      </c>
      <c r="L29" s="320"/>
      <c r="M29" s="168">
        <f t="shared" si="1"/>
        <v>3.2210000000000001</v>
      </c>
      <c r="N29" s="632">
        <f t="shared" si="2"/>
        <v>2.2932655885647715</v>
      </c>
      <c r="O29" s="629">
        <f t="shared" si="3"/>
        <v>-2.6100691783270458</v>
      </c>
      <c r="P29" s="633">
        <f t="shared" si="4"/>
        <v>-0.76390230392934899</v>
      </c>
      <c r="Q29" s="585">
        <f t="shared" si="113"/>
        <v>311.30326804776138</v>
      </c>
      <c r="R29" s="629">
        <f>IF(M29="","",SQRT(N29^2+O29^2))</f>
        <v>3.474410478822004</v>
      </c>
      <c r="S29" s="634">
        <f>IF(M29="","",P29)</f>
        <v>-0.76390230392934899</v>
      </c>
      <c r="T29" s="635">
        <f>IF(M29="","",X29*COS(RADIANS(W29)))</f>
        <v>-2.5733594831876831</v>
      </c>
      <c r="U29" s="629">
        <f>IF(M29="","",X29*SIN(RADIANS(W29)))</f>
        <v>-2.3343841041345716</v>
      </c>
      <c r="V29" s="636">
        <f>IF(M29="","",Y29)</f>
        <v>-0.76390230392934899</v>
      </c>
      <c r="W29" s="585">
        <f t="shared" si="224"/>
        <v>222.21226791651804</v>
      </c>
      <c r="X29" s="629">
        <f>IF(M29="","",R29)</f>
        <v>3.474410478822004</v>
      </c>
      <c r="Y29" s="630">
        <f t="shared" si="223"/>
        <v>-0.76390230392934899</v>
      </c>
      <c r="Z29" s="632">
        <f t="shared" si="6"/>
        <v>-0.43215820352206463</v>
      </c>
      <c r="AA29" s="629">
        <f t="shared" si="7"/>
        <v>0.49185843315317473</v>
      </c>
      <c r="AB29" s="629">
        <f t="shared" si="8"/>
        <v>-0.75585353664892374</v>
      </c>
      <c r="AC29" s="636">
        <f>IF(M29="","",SQRT(Z29^2+AA29^2+AB29^2))</f>
        <v>1</v>
      </c>
      <c r="AD29" s="637">
        <f>IF(M29="","",Z29*(1/SQRT(Z29^2+AA29^2+AB29^2)))</f>
        <v>-0.43215820352206463</v>
      </c>
      <c r="AE29" s="629">
        <f>IF(M29="","",AA29*(1/SQRT(Z29^2+AA29^2+AB29^2)))</f>
        <v>0.49185843315317473</v>
      </c>
      <c r="AF29" s="633">
        <f>IF(M29="","",AB29*(1/SQRT(Z29^2+AA29^2+AB29^2)))</f>
        <v>-0.75585353664892374</v>
      </c>
      <c r="AG29" s="602">
        <f>IF(M29="","",DEGREES(ATAN2(-AF29,AE29)))</f>
        <v>33.053359971844465</v>
      </c>
      <c r="AH29" s="603">
        <f>IF(M29="","",DEGREES(ACOS(AD29)))</f>
        <v>115.60460332650688</v>
      </c>
      <c r="AI29" s="585">
        <f>IF(M29="","",DEGREES(-ACOS(-AF29)))</f>
        <v>-40.899994094773177</v>
      </c>
      <c r="AJ29" s="586">
        <f>IF(M29="","",DEGREES(ATAN2(-AE29,AD29)))</f>
        <v>-138.6967121056189</v>
      </c>
      <c r="AK29" s="635">
        <f>IF(M29="","",(COS(RADIANS((90-$Q$8)-W29))*AD29)+(-SIN(RADIANS((90-$Q$8)-W29))*AE29))</f>
        <v>2.2679489669608088E-7</v>
      </c>
      <c r="AL29" s="629">
        <f>IF(M29="","",(SIN(RADIANS((90-$Q$8)-W29))*AD29)+(COS(RADIANS((90-$Q$8)-W29))*AE29))</f>
        <v>-0.65474073581476722</v>
      </c>
      <c r="AM29" s="634">
        <f>IF(M29="","",AF29)</f>
        <v>-0.75585353664892374</v>
      </c>
      <c r="AN29" s="581">
        <f>IF(M29="","",DEGREES(ATAN2(-AM29,AL29)))</f>
        <v>-40.899994094771486</v>
      </c>
      <c r="AO29" s="582">
        <f t="shared" si="94"/>
        <v>0</v>
      </c>
      <c r="AP29" s="585">
        <f>IF(M29="","",DEGREES(ATAN2(AK29,AL29)))</f>
        <v>-89.999980153380292</v>
      </c>
      <c r="AQ29" s="586">
        <f t="shared" si="9"/>
        <v>0.65611907228460797</v>
      </c>
      <c r="AS29" s="52">
        <f t="shared" si="116"/>
        <v>-137.78773208348196</v>
      </c>
      <c r="AT29" s="72">
        <f t="shared" si="10"/>
        <v>-0.66758512896251665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3.2210000000000001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3.121</v>
      </c>
      <c r="II29" s="734" cm="1">
        <f t="array" ref="II29">IFERROR(ROUND(VALUE(IF($IH29&lt;1,$IH29+LARGE((IF($M$9:$M$150="",0,$M$9:$M$150)-MOD(IF($M$9:$M$150="",0,$M$9:$M$150),1)),1),$IH29)),4),"")</f>
        <v>3.121</v>
      </c>
      <c r="IJ29" s="533">
        <f t="shared" si="112"/>
        <v>1613</v>
      </c>
      <c r="IK29" s="533" t="str">
        <f t="shared" si="66"/>
        <v>Inactive</v>
      </c>
      <c r="IL29" s="727">
        <f t="shared" si="225"/>
        <v>16.535297612598413</v>
      </c>
      <c r="IM29" s="759">
        <v>3.1542746123032998E-4</v>
      </c>
      <c r="IN29" s="5">
        <f t="shared" si="226"/>
        <v>0</v>
      </c>
      <c r="IO29" s="771">
        <v>0</v>
      </c>
      <c r="IP29" s="9">
        <f t="shared" si="227"/>
        <v>-3.4425103826113146</v>
      </c>
      <c r="IQ29" s="5">
        <f t="shared" si="228"/>
        <v>-0.73440221495708047</v>
      </c>
      <c r="IR29" s="5">
        <f t="shared" si="71"/>
        <v>0.314</v>
      </c>
      <c r="IS29" s="5">
        <f t="shared" si="229"/>
        <v>0.28418115783437592</v>
      </c>
      <c r="IT29" s="727">
        <f t="shared" si="230"/>
        <v>59.572586642075514</v>
      </c>
      <c r="IU29" s="9">
        <f t="shared" si="231"/>
        <v>-3.474410478822004</v>
      </c>
      <c r="IV29" s="5">
        <f t="shared" si="232"/>
        <v>-0.76390230392934899</v>
      </c>
      <c r="IW29" s="5">
        <f t="shared" si="76"/>
        <v>0.26250000000000001</v>
      </c>
      <c r="IX29" s="5">
        <f t="shared" si="233"/>
        <v>0.26250000000000001</v>
      </c>
      <c r="IY29" s="762">
        <f t="shared" si="234"/>
        <v>40.899994094771486</v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2.4212339795754274</v>
      </c>
      <c r="C30" s="708">
        <v>-2.7585400919023622</v>
      </c>
      <c r="D30" s="709">
        <v>-1.5153045701585834</v>
      </c>
      <c r="E30" s="710">
        <v>0.58512825352491671</v>
      </c>
      <c r="F30" s="708">
        <v>-0.6666430949832578</v>
      </c>
      <c r="G30" s="711">
        <v>0.46174875293607887</v>
      </c>
      <c r="H30" s="710">
        <v>0.26250000000000001</v>
      </c>
      <c r="I30" s="708">
        <v>0.40699999999999997</v>
      </c>
      <c r="J30" s="570">
        <v>3.2269999999999999</v>
      </c>
      <c r="K30" s="865" t="str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Inactive</v>
      </c>
      <c r="L30" s="320"/>
      <c r="M30" s="168">
        <f t="shared" si="1"/>
        <v>3.2269999999999999</v>
      </c>
      <c r="N30" s="632">
        <f t="shared" si="2"/>
        <v>2.4212339795754274</v>
      </c>
      <c r="O30" s="629">
        <f t="shared" si="3"/>
        <v>-2.7585400919023622</v>
      </c>
      <c r="P30" s="633">
        <f t="shared" si="4"/>
        <v>-1.5153045701585834</v>
      </c>
      <c r="Q30" s="585">
        <f t="shared" si="113"/>
        <v>311.27416805196287</v>
      </c>
      <c r="R30" s="629">
        <f>IF(M30="","",SQRT(N30^2+O30^2))</f>
        <v>3.6704110699597878</v>
      </c>
      <c r="S30" s="634">
        <f>IF(M30="","",P30)</f>
        <v>-1.5153045701585834</v>
      </c>
      <c r="T30" s="635">
        <f>IF(M30="","",X30*COS(RADIANS(W30)))</f>
        <v>-2.7197815735730217</v>
      </c>
      <c r="U30" s="629">
        <f>IF(M30="","",X30*SIN(RADIANS(W30)))</f>
        <v>-2.4646917889537456</v>
      </c>
      <c r="V30" s="636">
        <f>IF(M30="","",Y30)</f>
        <v>-1.5153045701585834</v>
      </c>
      <c r="W30" s="585">
        <f t="shared" si="224"/>
        <v>222.18316792071954</v>
      </c>
      <c r="X30" s="629">
        <f>IF(M30="","",R30)</f>
        <v>3.6704110699597878</v>
      </c>
      <c r="Y30" s="630">
        <f t="shared" si="223"/>
        <v>-1.5153045701585834</v>
      </c>
      <c r="Z30" s="632">
        <f t="shared" si="6"/>
        <v>-0.58512825352491671</v>
      </c>
      <c r="AA30" s="629">
        <f t="shared" si="7"/>
        <v>0.6666430949832578</v>
      </c>
      <c r="AB30" s="629">
        <f t="shared" si="8"/>
        <v>-0.46174875293607887</v>
      </c>
      <c r="AC30" s="636">
        <f>IF(M30="","",SQRT(Z30^2+AA30^2+AB30^2))</f>
        <v>1</v>
      </c>
      <c r="AD30" s="637">
        <f>IF(M30="","",Z30*(1/SQRT(Z30^2+AA30^2+AB30^2)))</f>
        <v>-0.58512825352491671</v>
      </c>
      <c r="AE30" s="629">
        <f>IF(M30="","",AA30*(1/SQRT(Z30^2+AA30^2+AB30^2)))</f>
        <v>0.6666430949832578</v>
      </c>
      <c r="AF30" s="633">
        <f>IF(M30="","",AB30*(1/SQRT(Z30^2+AA30^2+AB30^2)))</f>
        <v>-0.46174875293607887</v>
      </c>
      <c r="AG30" s="602">
        <f>IF(M30="","",DEGREES(ATAN2(-AF30,AE30)))</f>
        <v>55.291682513096326</v>
      </c>
      <c r="AH30" s="603">
        <f>IF(M30="","",DEGREES(ACOS(AD30)))</f>
        <v>125.81205105131838</v>
      </c>
      <c r="AI30" s="585">
        <f>IF(M30="","",DEGREES(-ACOS(-AF30)))</f>
        <v>-62.499990976118561</v>
      </c>
      <c r="AJ30" s="586">
        <f>IF(M30="","",DEGREES(ATAN2(-AE30,AD30)))</f>
        <v>-138.72581729839476</v>
      </c>
      <c r="AK30" s="635">
        <f>IF(M30="","",(COS(RADIANS((90-$Q$8)-W30))*AD30)+(-SIN(RADIANS((90-$Q$8)-W30))*AE30))</f>
        <v>2.2679489702914779E-7</v>
      </c>
      <c r="AL30" s="629">
        <f>IF(M30="","",(SIN(RADIANS((90-$Q$8)-W30))*AD30)+(COS(RADIANS((90-$Q$8)-W30))*AE30))</f>
        <v>-0.88701076045441773</v>
      </c>
      <c r="AM30" s="634">
        <f>IF(M30="","",AF30)</f>
        <v>-0.46174875293607887</v>
      </c>
      <c r="AN30" s="581">
        <f>IF(M30="","",DEGREES(ATAN2(-AM30,AL30)))</f>
        <v>-62.499990976117793</v>
      </c>
      <c r="AO30" s="582">
        <f>IF(ROUND(IF(M30="",0,DEGREES(ACOS(AK30))),4)=90,0,IF(M30="","",DEGREES(ACOS(AK30))))</f>
        <v>0</v>
      </c>
      <c r="AP30" s="585">
        <f>IF(M30="","",DEGREES(ATAN2(AK30,AL30)))</f>
        <v>-89.999985350357647</v>
      </c>
      <c r="AQ30" s="586">
        <f t="shared" si="9"/>
        <v>0.62108502143405364</v>
      </c>
      <c r="AS30" s="52">
        <f t="shared" si="116"/>
        <v>-137.81683207928046</v>
      </c>
      <c r="AT30" s="72">
        <f t="shared" si="10"/>
        <v>-1.4189671868613354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>Gage</v>
      </c>
      <c r="IG30" s="847">
        <f t="shared" si="210"/>
        <v>3.2269999999999999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3.1269999999999998</v>
      </c>
      <c r="II30" s="734" cm="1">
        <f t="array" ref="II30">IFERROR(ROUND(VALUE(IF($IH30&lt;1,$IH30+LARGE((IF($M$9:$M$150="",0,$M$9:$M$150)-MOD(IF($M$9:$M$150="",0,$M$9:$M$150),1)),1),$IH30)),4),"")</f>
        <v>3.1269999999999998</v>
      </c>
      <c r="IJ30" s="533">
        <f t="shared" si="112"/>
        <v>1613</v>
      </c>
      <c r="IK30" s="533" t="str">
        <f t="shared" si="66"/>
        <v>Inactive</v>
      </c>
      <c r="IL30" s="727">
        <f t="shared" si="225"/>
        <v>16.216697658598548</v>
      </c>
      <c r="IM30" s="759">
        <v>1.55086760381255E-4</v>
      </c>
      <c r="IN30" s="5">
        <f t="shared" si="226"/>
        <v>0</v>
      </c>
      <c r="IO30" s="771">
        <v>0</v>
      </c>
      <c r="IP30" s="9">
        <f t="shared" si="227"/>
        <v>-3.6554110247196503</v>
      </c>
      <c r="IQ30" s="5">
        <f t="shared" si="228"/>
        <v>-1.4729044422797974</v>
      </c>
      <c r="IR30" s="5">
        <f t="shared" si="71"/>
        <v>0.314</v>
      </c>
      <c r="IS30" s="5">
        <f t="shared" si="229"/>
        <v>0.26881428686179254</v>
      </c>
      <c r="IT30" s="727">
        <f t="shared" si="230"/>
        <v>79.487153063546629</v>
      </c>
      <c r="IU30" s="9">
        <f t="shared" si="231"/>
        <v>-3.6704110699597878</v>
      </c>
      <c r="IV30" s="5">
        <f t="shared" si="232"/>
        <v>-1.5153045701585834</v>
      </c>
      <c r="IW30" s="5">
        <f t="shared" si="76"/>
        <v>0.26250000000000001</v>
      </c>
      <c r="IX30" s="5">
        <f t="shared" si="233"/>
        <v>0.26250000000000001</v>
      </c>
      <c r="IY30" s="762">
        <f t="shared" si="234"/>
        <v>62.499990976117793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-5.4606636246277611E-3</v>
      </c>
      <c r="C31" s="708">
        <v>-1.9321922836904142</v>
      </c>
      <c r="D31" s="709">
        <v>-7.2100000000000081E-2</v>
      </c>
      <c r="E31" s="710">
        <v>0.9394105903578176</v>
      </c>
      <c r="F31" s="708">
        <v>2.9148664589531515E-2</v>
      </c>
      <c r="G31" s="711">
        <v>0.34155248216961265</v>
      </c>
      <c r="H31" s="710">
        <v>0.314</v>
      </c>
      <c r="I31" s="708">
        <v>0.52</v>
      </c>
      <c r="J31" s="570">
        <v>4.1079999999999997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4.1079999999999997</v>
      </c>
      <c r="N31" s="632">
        <f t="shared" si="2"/>
        <v>-5.4606636246277611E-3</v>
      </c>
      <c r="O31" s="629">
        <f t="shared" si="3"/>
        <v>-1.9321922836904142</v>
      </c>
      <c r="P31" s="633">
        <f t="shared" si="4"/>
        <v>-7.2100000000000081E-2</v>
      </c>
      <c r="Q31" s="585">
        <f t="shared" si="113"/>
        <v>269.83807401121919</v>
      </c>
      <c r="R31" s="629">
        <f>IF(M31="","",SQRT(N31^2+O31^2))</f>
        <v>1.9321999999999999</v>
      </c>
      <c r="S31" s="634">
        <f>IF(M31="","",P31)</f>
        <v>-7.2100000000000081E-2</v>
      </c>
      <c r="T31" s="635">
        <f>IF(M31="","",X31*COS(RADIANS(W31)))</f>
        <v>-1.9320357528777488</v>
      </c>
      <c r="U31" s="629">
        <f>IF(M31="","",X31*SIN(RADIANS(W31)))</f>
        <v>-2.5193046701627513E-2</v>
      </c>
      <c r="V31" s="636">
        <f>IF(M31="","",Y31)</f>
        <v>-7.2100000000000081E-2</v>
      </c>
      <c r="W31" s="585">
        <f t="shared" si="224"/>
        <v>180.74707387997586</v>
      </c>
      <c r="X31" s="629">
        <f>IF(M31="","",R31)</f>
        <v>1.9321999999999999</v>
      </c>
      <c r="Y31" s="630">
        <f t="shared" si="223"/>
        <v>-7.2100000000000081E-2</v>
      </c>
      <c r="Z31" s="632">
        <f t="shared" si="6"/>
        <v>-0.9394105903578176</v>
      </c>
      <c r="AA31" s="629">
        <f t="shared" si="7"/>
        <v>-2.9148664589531515E-2</v>
      </c>
      <c r="AB31" s="629">
        <f t="shared" si="8"/>
        <v>-0.34155248216961265</v>
      </c>
      <c r="AC31" s="636">
        <f>IF(M31="","",SQRT(Z31^2+AA31^2+AB31^2))</f>
        <v>1</v>
      </c>
      <c r="AD31" s="637">
        <f>IF(M31="","",Z31*(1/SQRT(Z31^2+AA31^2+AB31^2)))</f>
        <v>-0.9394105903578176</v>
      </c>
      <c r="AE31" s="629">
        <f>IF(M31="","",AA31*(1/SQRT(Z31^2+AA31^2+AB31^2)))</f>
        <v>-2.9148664589531515E-2</v>
      </c>
      <c r="AF31" s="633">
        <f>IF(M31="","",AB31*(1/SQRT(Z31^2+AA31^2+AB31^2)))</f>
        <v>-0.34155248216961265</v>
      </c>
      <c r="AG31" s="602">
        <f>IF(M31="","",DEGREES(ATAN2(-AF31,AE31)))</f>
        <v>-4.877899077114237</v>
      </c>
      <c r="AH31" s="603">
        <f>IF(M31="","",DEGREES(ACOS(AD31)))</f>
        <v>159.95280719036776</v>
      </c>
      <c r="AI31" s="585">
        <f>IF(M31="","",DEGREES(-ACOS(-AF31)))</f>
        <v>-70.028512073660522</v>
      </c>
      <c r="AJ31" s="586">
        <f>IF(M31="","",DEGREES(ATAN2(-AE31,AD31)))</f>
        <v>-88.222758175624833</v>
      </c>
      <c r="AK31" s="635">
        <f>IF(M31="","",(COS(RADIANS((90-$Q$8)-W31))*AD31)+(-SIN(RADIANS((90-$Q$8)-W31))*AE31))</f>
        <v>0.93932446064279129</v>
      </c>
      <c r="AL31" s="629">
        <f>IF(M31="","",(SIN(RADIANS((90-$Q$8)-W31))*AD31)+(COS(RADIANS((90-$Q$8)-W31))*AE31))</f>
        <v>3.1803452043851863E-2</v>
      </c>
      <c r="AM31" s="634">
        <f>IF(M31="","",AF31)</f>
        <v>-0.34155248216961265</v>
      </c>
      <c r="AN31" s="581">
        <f>IF(M31="","",DEGREES(ATAN2(-AM31,AL31)))</f>
        <v>5.3197226026237656</v>
      </c>
      <c r="AO31" s="582">
        <f t="shared" si="94"/>
        <v>20.061583875587225</v>
      </c>
      <c r="AP31" s="585">
        <f>IF(M31="","",DEGREES(ATAN2(AK31,AL31)))</f>
        <v>1.9391678131559831</v>
      </c>
      <c r="AQ31" s="586">
        <f t="shared" si="9"/>
        <v>1.1796938594631223</v>
      </c>
      <c r="AS31" s="52">
        <f t="shared" si="116"/>
        <v>-179.25292612002414</v>
      </c>
      <c r="AT31" s="72">
        <f t="shared" si="10"/>
        <v>5.3012448603319939E-2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4.1079999999999997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-5.1879526878858086E-2</v>
      </c>
      <c r="C32" s="708">
        <v>-2.7435178025770943</v>
      </c>
      <c r="D32" s="709">
        <v>-0.14460043611491527</v>
      </c>
      <c r="E32" s="710">
        <v>0.93273539140177797</v>
      </c>
      <c r="F32" s="708">
        <v>-0.19179575474098118</v>
      </c>
      <c r="G32" s="711">
        <v>0.3053179950312615</v>
      </c>
      <c r="H32" s="710">
        <v>0.314</v>
      </c>
      <c r="I32" s="708">
        <v>0.52</v>
      </c>
      <c r="J32" s="570">
        <v>4.1139999999999999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4.1139999999999999</v>
      </c>
      <c r="N32" s="632">
        <f t="shared" si="2"/>
        <v>-5.1879526878858086E-2</v>
      </c>
      <c r="O32" s="629">
        <f t="shared" si="3"/>
        <v>-2.7435178025770943</v>
      </c>
      <c r="P32" s="633">
        <f t="shared" si="4"/>
        <v>-0.14460043611491527</v>
      </c>
      <c r="Q32" s="585">
        <f t="shared" si="113"/>
        <v>268.91667416762834</v>
      </c>
      <c r="R32" s="629">
        <f t="shared" si="79"/>
        <v>2.7440082759289597</v>
      </c>
      <c r="S32" s="634">
        <f t="shared" si="80"/>
        <v>-0.14460043611491527</v>
      </c>
      <c r="T32" s="635">
        <f t="shared" si="81"/>
        <v>-2.7439955750443499</v>
      </c>
      <c r="U32" s="629">
        <f t="shared" si="82"/>
        <v>8.3488025279080461E-3</v>
      </c>
      <c r="V32" s="636">
        <f t="shared" si="114"/>
        <v>-0.14460043611491527</v>
      </c>
      <c r="W32" s="585">
        <f t="shared" si="224"/>
        <v>179.82567403638501</v>
      </c>
      <c r="X32" s="629">
        <f t="shared" si="83"/>
        <v>2.7440082759289597</v>
      </c>
      <c r="Y32" s="630">
        <f t="shared" si="223"/>
        <v>-0.14460043611491527</v>
      </c>
      <c r="Z32" s="632">
        <f t="shared" si="6"/>
        <v>-0.93273539140177797</v>
      </c>
      <c r="AA32" s="629">
        <f t="shared" si="7"/>
        <v>0.19179575474098118</v>
      </c>
      <c r="AB32" s="629">
        <f t="shared" si="8"/>
        <v>-0.3053179950312615</v>
      </c>
      <c r="AC32" s="636">
        <f t="shared" si="84"/>
        <v>1</v>
      </c>
      <c r="AD32" s="637">
        <f t="shared" si="115"/>
        <v>-0.93273539140177797</v>
      </c>
      <c r="AE32" s="629">
        <f t="shared" si="85"/>
        <v>0.19179575474098118</v>
      </c>
      <c r="AF32" s="633">
        <f t="shared" si="86"/>
        <v>-0.3053179950312615</v>
      </c>
      <c r="AG32" s="602">
        <f t="shared" si="87"/>
        <v>32.136364194176629</v>
      </c>
      <c r="AH32" s="603">
        <f t="shared" si="88"/>
        <v>158.8653083040883</v>
      </c>
      <c r="AI32" s="585">
        <f t="shared" si="89"/>
        <v>-72.222703733657269</v>
      </c>
      <c r="AJ32" s="586">
        <f t="shared" si="90"/>
        <v>-101.61960786377669</v>
      </c>
      <c r="AK32" s="635">
        <f t="shared" si="211"/>
        <v>0.93619485296491689</v>
      </c>
      <c r="AL32" s="629">
        <f t="shared" si="91"/>
        <v>-0.17412673313448526</v>
      </c>
      <c r="AM32" s="634">
        <f t="shared" si="92"/>
        <v>-0.3053179950312615</v>
      </c>
      <c r="AN32" s="581">
        <f t="shared" si="93"/>
        <v>-29.696661613446075</v>
      </c>
      <c r="AO32" s="582">
        <f t="shared" si="94"/>
        <v>20.577952932134458</v>
      </c>
      <c r="AP32" s="585">
        <f t="shared" si="95"/>
        <v>-10.536282031405053</v>
      </c>
      <c r="AQ32" s="586">
        <f t="shared" si="9"/>
        <v>0.83074344065065731</v>
      </c>
      <c r="AS32" s="52">
        <f t="shared" si="116"/>
        <v>-180.17432596361499</v>
      </c>
      <c r="AT32" s="72">
        <f t="shared" si="10"/>
        <v>-1.8848126509101615E-2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4.1139999999999999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-0.11984035123529206</v>
      </c>
      <c r="C33" s="708">
        <v>-3.3658774062729808</v>
      </c>
      <c r="D33" s="709">
        <v>-0.62650188952969921</v>
      </c>
      <c r="E33" s="710">
        <v>0.899955648977807</v>
      </c>
      <c r="F33" s="708">
        <v>-0.37109137306573531</v>
      </c>
      <c r="G33" s="711">
        <v>0.22884716015087814</v>
      </c>
      <c r="H33" s="710">
        <v>0.314</v>
      </c>
      <c r="I33" s="708">
        <v>0.52</v>
      </c>
      <c r="J33" s="570">
        <v>4.12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4.12</v>
      </c>
      <c r="N33" s="632">
        <f t="shared" si="2"/>
        <v>-0.11984035123529206</v>
      </c>
      <c r="O33" s="629">
        <f t="shared" si="3"/>
        <v>-3.3658774062729808</v>
      </c>
      <c r="P33" s="633">
        <f t="shared" si="4"/>
        <v>-0.62650188952969921</v>
      </c>
      <c r="Q33" s="585">
        <f t="shared" si="113"/>
        <v>267.96087430562875</v>
      </c>
      <c r="R33" s="629">
        <f t="shared" si="79"/>
        <v>3.3680101579186377</v>
      </c>
      <c r="S33" s="634">
        <f t="shared" si="80"/>
        <v>-0.62650188952969921</v>
      </c>
      <c r="T33" s="635">
        <f t="shared" si="81"/>
        <v>-3.3673550125867262</v>
      </c>
      <c r="U33" s="629">
        <f t="shared" si="82"/>
        <v>6.6427728022097857E-2</v>
      </c>
      <c r="V33" s="636">
        <f t="shared" si="114"/>
        <v>-0.62650188952969921</v>
      </c>
      <c r="W33" s="585">
        <f t="shared" si="224"/>
        <v>178.86987417438542</v>
      </c>
      <c r="X33" s="629">
        <f t="shared" si="83"/>
        <v>3.3680101579186377</v>
      </c>
      <c r="Y33" s="630">
        <f t="shared" si="223"/>
        <v>-0.62650188952969921</v>
      </c>
      <c r="Z33" s="632">
        <f t="shared" si="6"/>
        <v>-0.899955648977807</v>
      </c>
      <c r="AA33" s="629">
        <f t="shared" si="7"/>
        <v>0.37109137306573531</v>
      </c>
      <c r="AB33" s="629">
        <f t="shared" si="8"/>
        <v>-0.22884716015087814</v>
      </c>
      <c r="AC33" s="636">
        <f t="shared" si="84"/>
        <v>1</v>
      </c>
      <c r="AD33" s="637">
        <f t="shared" si="115"/>
        <v>-0.899955648977807</v>
      </c>
      <c r="AE33" s="629">
        <f t="shared" si="85"/>
        <v>0.37109137306573531</v>
      </c>
      <c r="AF33" s="633">
        <f t="shared" si="86"/>
        <v>-0.22884716015087814</v>
      </c>
      <c r="AG33" s="602">
        <f t="shared" si="87"/>
        <v>58.338412186727659</v>
      </c>
      <c r="AH33" s="603">
        <f t="shared" si="88"/>
        <v>154.15223810530819</v>
      </c>
      <c r="AI33" s="585">
        <f t="shared" si="89"/>
        <v>-76.770791246633195</v>
      </c>
      <c r="AJ33" s="586">
        <f t="shared" si="90"/>
        <v>-112.40851195827504</v>
      </c>
      <c r="AK33" s="635">
        <f t="shared" si="211"/>
        <v>0.91258991568189129</v>
      </c>
      <c r="AL33" s="629">
        <f t="shared" si="91"/>
        <v>-0.33883421180069306</v>
      </c>
      <c r="AM33" s="634">
        <f t="shared" si="92"/>
        <v>-0.22884716015087814</v>
      </c>
      <c r="AN33" s="581">
        <f t="shared" si="93"/>
        <v>-55.965078573769176</v>
      </c>
      <c r="AO33" s="582">
        <f t="shared" si="94"/>
        <v>24.1342512080675</v>
      </c>
      <c r="AP33" s="585">
        <f t="shared" si="95"/>
        <v>-20.369386263903795</v>
      </c>
      <c r="AQ33" s="586">
        <f t="shared" si="9"/>
        <v>0.67684492563929477</v>
      </c>
      <c r="AS33" s="52">
        <f t="shared" si="116"/>
        <v>-181.13012582561458</v>
      </c>
      <c r="AT33" s="72">
        <f t="shared" si="10"/>
        <v>-0.50008583001971918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-0.15944170259922111</v>
      </c>
      <c r="C34" s="708">
        <v>-3.6430235795437023</v>
      </c>
      <c r="D34" s="709">
        <v>-1.342004047484207</v>
      </c>
      <c r="E34" s="710">
        <v>0.83339208871760961</v>
      </c>
      <c r="F34" s="708">
        <v>-0.5378903981309997</v>
      </c>
      <c r="G34" s="711">
        <v>0.1270100234681289</v>
      </c>
      <c r="H34" s="710">
        <v>0.314</v>
      </c>
      <c r="I34" s="708">
        <v>0.52</v>
      </c>
      <c r="J34" s="570">
        <v>4.1260000000000003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4.1260000000000003</v>
      </c>
      <c r="N34" s="632">
        <f t="shared" si="2"/>
        <v>-0.15944170259922111</v>
      </c>
      <c r="O34" s="629">
        <f t="shared" si="3"/>
        <v>-3.6430235795437023</v>
      </c>
      <c r="P34" s="633">
        <f t="shared" si="4"/>
        <v>-1.342004047484207</v>
      </c>
      <c r="Q34" s="585">
        <f t="shared" si="113"/>
        <v>267.49397437304083</v>
      </c>
      <c r="R34" s="629">
        <f>IF(M34="","",SQRT(N34^2+O34^2))</f>
        <v>3.646510997877169</v>
      </c>
      <c r="S34" s="634">
        <f>IF(M34="","",P34)</f>
        <v>-1.342004047484207</v>
      </c>
      <c r="T34" s="635">
        <f>IF(M34="","",X34*COS(RADIANS(W34)))</f>
        <v>-3.6450945585022838</v>
      </c>
      <c r="U34" s="629">
        <f>IF(M34="","",X34*SIN(RADIANS(W34)))</f>
        <v>0.10162734482503195</v>
      </c>
      <c r="V34" s="636">
        <f>IF(M34="","",Y34)</f>
        <v>-1.342004047484207</v>
      </c>
      <c r="W34" s="585">
        <f t="shared" si="224"/>
        <v>178.40297424179749</v>
      </c>
      <c r="X34" s="629">
        <f>IF(M34="","",R34)</f>
        <v>3.646510997877169</v>
      </c>
      <c r="Y34" s="630">
        <f t="shared" si="223"/>
        <v>-1.342004047484207</v>
      </c>
      <c r="Z34" s="632">
        <f t="shared" si="6"/>
        <v>-0.83339208871760961</v>
      </c>
      <c r="AA34" s="629">
        <f t="shared" si="7"/>
        <v>0.5378903981309997</v>
      </c>
      <c r="AB34" s="629">
        <f t="shared" si="8"/>
        <v>-0.1270100234681289</v>
      </c>
      <c r="AC34" s="636">
        <f>IF(M34="","",SQRT(Z34^2+AA34^2+AB34^2))</f>
        <v>1</v>
      </c>
      <c r="AD34" s="637">
        <f>IF(M34="","",Z34*(1/SQRT(Z34^2+AA34^2+AB34^2)))</f>
        <v>-0.83339208871760961</v>
      </c>
      <c r="AE34" s="629">
        <f>IF(M34="","",AA34*(1/SQRT(Z34^2+AA34^2+AB34^2)))</f>
        <v>0.5378903981309997</v>
      </c>
      <c r="AF34" s="633">
        <f>IF(M34="","",AB34*(1/SQRT(Z34^2+AA34^2+AB34^2)))</f>
        <v>-0.1270100234681289</v>
      </c>
      <c r="AG34" s="602">
        <f>IF(M34="","",DEGREES(ATAN2(-AF34,AE34)))</f>
        <v>76.714313858402207</v>
      </c>
      <c r="AH34" s="603">
        <f>IF(M34="","",DEGREES(ACOS(AD34)))</f>
        <v>146.44878083715611</v>
      </c>
      <c r="AI34" s="585">
        <f>IF(M34="","",DEGREES(-ACOS(-AF34)))</f>
        <v>-82.703153043913971</v>
      </c>
      <c r="AJ34" s="586">
        <f>IF(M34="","",DEGREES(ATAN2(-AE34,AD34)))</f>
        <v>-122.83912721450218</v>
      </c>
      <c r="AK34" s="635">
        <f>IF(M34="","",(COS(RADIANS((90-$Q$8)-W34))*AD34)+(-SIN(RADIANS((90-$Q$8)-W34))*AE34))</f>
        <v>0.85611402047343133</v>
      </c>
      <c r="AL34" s="629">
        <f>IF(M34="","",(SIN(RADIANS((90-$Q$8)-W34))*AD34)+(COS(RADIANS((90-$Q$8)-W34))*AE34))</f>
        <v>-0.5009363611153046</v>
      </c>
      <c r="AM34" s="634">
        <f>IF(M34="","",AF34)</f>
        <v>-0.1270100234681289</v>
      </c>
      <c r="AN34" s="581">
        <f>IF(M34="","",DEGREES(ATAN2(-AM34,AL34)))</f>
        <v>-75.772738649478057</v>
      </c>
      <c r="AO34" s="582">
        <f t="shared" si="94"/>
        <v>31.116974268900702</v>
      </c>
      <c r="AP34" s="585">
        <f>IF(M34="","",DEGREES(ATAN2(AK34,AL34)))</f>
        <v>-30.333101587543013</v>
      </c>
      <c r="AQ34" s="586">
        <f t="shared" si="9"/>
        <v>0.62515543354384473</v>
      </c>
      <c r="AS34" s="52">
        <f t="shared" si="116"/>
        <v>-181.59702575820251</v>
      </c>
      <c r="AT34" s="72">
        <f t="shared" si="10"/>
        <v>-1.2152637519099299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4.1260000000000003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-0.16707353002586495</v>
      </c>
      <c r="C35" s="708">
        <v>-3.6792085338513631</v>
      </c>
      <c r="D35" s="709">
        <v>-2.1219999999999999</v>
      </c>
      <c r="E35" s="710">
        <v>0.8424521561560816</v>
      </c>
      <c r="F35" s="708">
        <v>-0.53877116161498118</v>
      </c>
      <c r="G35" s="711">
        <v>1.1339744832902593E-7</v>
      </c>
      <c r="H35" s="710">
        <v>0.314</v>
      </c>
      <c r="I35" s="708">
        <v>0.52</v>
      </c>
      <c r="J35" s="570">
        <v>4.1319999999999997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4.1319999999999997</v>
      </c>
      <c r="N35" s="632">
        <f t="shared" si="2"/>
        <v>-0.16707353002586495</v>
      </c>
      <c r="O35" s="629">
        <f t="shared" si="3"/>
        <v>-3.6792085338513631</v>
      </c>
      <c r="P35" s="633">
        <f t="shared" si="4"/>
        <v>-2.1219999999999999</v>
      </c>
      <c r="Q35" s="585">
        <f t="shared" si="113"/>
        <v>267.39997438661271</v>
      </c>
      <c r="R35" s="629">
        <f>IF(M35="","",SQRT(N35^2+O35^2))</f>
        <v>3.6829999999999998</v>
      </c>
      <c r="S35" s="634">
        <f>IF(M35="","",P35)</f>
        <v>-2.1219999999999999</v>
      </c>
      <c r="T35" s="635">
        <f>IF(M35="","",X35*COS(RADIANS(W35)))</f>
        <v>-3.6813960332106137</v>
      </c>
      <c r="U35" s="629">
        <f>IF(M35="","",X35*SIN(RADIANS(W35)))</f>
        <v>0.10868416012076572</v>
      </c>
      <c r="V35" s="636">
        <f>IF(M35="","",Y35)</f>
        <v>-2.1219999999999999</v>
      </c>
      <c r="W35" s="585">
        <f t="shared" si="224"/>
        <v>178.30897425536938</v>
      </c>
      <c r="X35" s="629">
        <f>IF(M35="","",R35)</f>
        <v>3.6829999999999998</v>
      </c>
      <c r="Y35" s="630">
        <f t="shared" si="223"/>
        <v>-2.1219999999999999</v>
      </c>
      <c r="Z35" s="632">
        <f t="shared" si="6"/>
        <v>-0.8424521561560816</v>
      </c>
      <c r="AA35" s="629">
        <f t="shared" si="7"/>
        <v>0.53877116161498118</v>
      </c>
      <c r="AB35" s="629">
        <f t="shared" si="8"/>
        <v>-1.1339744832902593E-7</v>
      </c>
      <c r="AC35" s="636">
        <f>IF(M35="","",SQRT(Z35^2+AA35^2+AB35^2))</f>
        <v>1</v>
      </c>
      <c r="AD35" s="637">
        <f>IF(M35="","",Z35*(1/SQRT(Z35^2+AA35^2+AB35^2)))</f>
        <v>-0.8424521561560816</v>
      </c>
      <c r="AE35" s="629">
        <f>IF(M35="","",AA35*(1/SQRT(Z35^2+AA35^2+AB35^2)))</f>
        <v>0.53877116161498118</v>
      </c>
      <c r="AF35" s="633">
        <f>IF(M35="","",AB35*(1/SQRT(Z35^2+AA35^2+AB35^2)))</f>
        <v>-1.1339744832902593E-7</v>
      </c>
      <c r="AG35" s="602">
        <f>IF(M35="","",DEGREES(ATAN2(-AF35,AE35)))</f>
        <v>89.999987940714618</v>
      </c>
      <c r="AH35" s="603">
        <f>IF(M35="","",DEGREES(ACOS(AD35)))</f>
        <v>147.39997438661277</v>
      </c>
      <c r="AI35" s="585">
        <f>IF(M35="","",DEGREES(-ACOS(-AF35)))</f>
        <v>-89.999993502804799</v>
      </c>
      <c r="AJ35" s="586">
        <f>IF(M35="","",DEGREES(ATAN2(-AE35,AD35)))</f>
        <v>-122.60002561338663</v>
      </c>
      <c r="AK35" s="635">
        <f>IF(M35="","",(COS(RADIANS((90-$Q$8)-W35))*AD35)+(-SIN(RADIANS((90-$Q$8)-W35))*AE35))</f>
        <v>0.8660254037844386</v>
      </c>
      <c r="AL35" s="629">
        <f>IF(M35="","",(SIN(RADIANS((90-$Q$8)-W35))*AD35)+(COS(RADIANS((90-$Q$8)-W35))*AE35))</f>
        <v>-0.49999999999998712</v>
      </c>
      <c r="AM35" s="634">
        <f>IF(M35="","",AF35)</f>
        <v>-1.1339744832902593E-7</v>
      </c>
      <c r="AN35" s="581">
        <f>IF(M35="","",DEGREES(ATAN2(-AM35,AL35)))</f>
        <v>-89.999987005609611</v>
      </c>
      <c r="AO35" s="582">
        <f t="shared" si="94"/>
        <v>30.000000000000004</v>
      </c>
      <c r="AP35" s="585">
        <f>IF(M35="","",DEGREES(ATAN2(AK35,AL35)))</f>
        <v>-29.999999999999368</v>
      </c>
      <c r="AQ35" s="586">
        <f t="shared" si="9"/>
        <v>0.61896224474776895</v>
      </c>
      <c r="AS35" s="52">
        <f t="shared" si="116"/>
        <v>-181.69102574463062</v>
      </c>
      <c r="AT35" s="72">
        <f t="shared" si="10"/>
        <v>-1.9951944266573698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4.1319999999999997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-0.75015331916270245</v>
      </c>
      <c r="C36" s="708">
        <v>-0.34980197285665732</v>
      </c>
      <c r="D36" s="709">
        <v>-0.36550110235132471</v>
      </c>
      <c r="E36" s="710">
        <v>0.47735858257760022</v>
      </c>
      <c r="F36" s="708">
        <v>-0.81424015395001481</v>
      </c>
      <c r="G36" s="711">
        <v>0.33036609289538282</v>
      </c>
      <c r="H36" s="710">
        <v>0.314</v>
      </c>
      <c r="I36" s="708">
        <v>0.52</v>
      </c>
      <c r="J36" s="570">
        <v>5.1029999999999998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5.1029999999999998</v>
      </c>
      <c r="N36" s="632">
        <f t="shared" si="2"/>
        <v>-0.75015331916270245</v>
      </c>
      <c r="O36" s="629">
        <f t="shared" si="3"/>
        <v>-0.34980197285665732</v>
      </c>
      <c r="P36" s="633">
        <f t="shared" si="4"/>
        <v>-0.36550110235132471</v>
      </c>
      <c r="Q36" s="585">
        <f t="shared" si="113"/>
        <v>204.99998339605673</v>
      </c>
      <c r="R36" s="629">
        <f>IF(M36="","",SQRT(N36^2+O36^2))</f>
        <v>0.82770249635072923</v>
      </c>
      <c r="S36" s="634">
        <f>IF(M36="","",P36)</f>
        <v>-0.36550110235132471</v>
      </c>
      <c r="T36" s="635">
        <f>IF(M36="","",X36*COS(RADIANS(W36)))</f>
        <v>-0.36165866491042548</v>
      </c>
      <c r="U36" s="629">
        <f>IF(M36="","",X36*SIN(RADIANS(W36)))</f>
        <v>0.74450952482855282</v>
      </c>
      <c r="V36" s="636">
        <f>IF(M36="","",Y36)</f>
        <v>-0.36550110235132471</v>
      </c>
      <c r="W36" s="585">
        <f t="shared" si="224"/>
        <v>115.90898326481339</v>
      </c>
      <c r="X36" s="629">
        <f>IF(M36="","",R36)</f>
        <v>0.82770249635072923</v>
      </c>
      <c r="Y36" s="630">
        <f t="shared" si="223"/>
        <v>-0.36550110235132471</v>
      </c>
      <c r="Z36" s="632">
        <f t="shared" si="6"/>
        <v>-0.47735858257760022</v>
      </c>
      <c r="AA36" s="629">
        <f t="shared" si="7"/>
        <v>0.81424015395001481</v>
      </c>
      <c r="AB36" s="629">
        <f t="shared" si="8"/>
        <v>-0.33036609289538282</v>
      </c>
      <c r="AC36" s="636">
        <f>IF(M36="","",SQRT(Z36^2+AA36^2+AB36^2))</f>
        <v>1</v>
      </c>
      <c r="AD36" s="637">
        <f>IF(M36="","",Z36*(1/SQRT(Z36^2+AA36^2+AB36^2)))</f>
        <v>-0.47735858257760022</v>
      </c>
      <c r="AE36" s="629">
        <f>IF(M36="","",AA36*(1/SQRT(Z36^2+AA36^2+AB36^2)))</f>
        <v>0.81424015395001481</v>
      </c>
      <c r="AF36" s="633">
        <f>IF(M36="","",AB36*(1/SQRT(Z36^2+AA36^2+AB36^2)))</f>
        <v>-0.33036609289538282</v>
      </c>
      <c r="AG36" s="602">
        <f>IF(M36="","",DEGREES(ATAN2(-AF36,AE36)))</f>
        <v>67.915861536619275</v>
      </c>
      <c r="AH36" s="603">
        <f>IF(M36="","",DEGREES(ACOS(AD36)))</f>
        <v>118.51302851550456</v>
      </c>
      <c r="AI36" s="585">
        <f>IF(M36="","",DEGREES(-ACOS(-AF36)))</f>
        <v>-70.709002660911167</v>
      </c>
      <c r="AJ36" s="586">
        <f>IF(M36="","",DEGREES(ATAN2(-AE36,AD36)))</f>
        <v>-149.61849700276372</v>
      </c>
      <c r="AK36" s="635">
        <f>IF(M36="","",(COS(RADIANS((90-$Q$8)-W36))*AD36)+(-SIN(RADIANS((90-$Q$8)-W36))*AE36))</f>
        <v>0.93969262078590843</v>
      </c>
      <c r="AL36" s="629">
        <f>IF(M36="","",(SIN(RADIANS((90-$Q$8)-W36))*AD36)+(COS(RADIANS((90-$Q$8)-W36))*AE36))</f>
        <v>8.8521314413819219E-2</v>
      </c>
      <c r="AM36" s="634">
        <f>IF(M36="","",AF36)</f>
        <v>-0.33036609289538282</v>
      </c>
      <c r="AN36" s="581">
        <f>IF(M36="","",DEGREES(ATAN2(-AM36,AL36)))</f>
        <v>14.999997834268202</v>
      </c>
      <c r="AO36" s="582">
        <f t="shared" si="94"/>
        <v>19.999999999999989</v>
      </c>
      <c r="AP36" s="585">
        <f>IF(M36="","",DEGREES(ATAN2(AK36,AL36)))</f>
        <v>5.3815196011795567</v>
      </c>
      <c r="AQ36" s="586">
        <f t="shared" si="9"/>
        <v>2.7521640170678849</v>
      </c>
      <c r="AS36" s="52">
        <f t="shared" si="116"/>
        <v>-244.0910167351866</v>
      </c>
      <c r="AT36" s="72">
        <f t="shared" si="10"/>
        <v>-0.19536220193191967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5.1029999999999998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-1.4071379042310155</v>
      </c>
      <c r="C37" s="708">
        <v>-0.65615868437507041</v>
      </c>
      <c r="D37" s="709">
        <v>-0.17120051634075734</v>
      </c>
      <c r="E37" s="710">
        <v>0.47735858257760039</v>
      </c>
      <c r="F37" s="708">
        <v>-0.81424015395001481</v>
      </c>
      <c r="G37" s="711">
        <v>0.33036609289538271</v>
      </c>
      <c r="H37" s="710">
        <v>0.314</v>
      </c>
      <c r="I37" s="708">
        <v>0.52</v>
      </c>
      <c r="J37" s="570">
        <v>5.1059999999999999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5.1059999999999999</v>
      </c>
      <c r="N37" s="632">
        <f t="shared" si="2"/>
        <v>-1.4071379042310155</v>
      </c>
      <c r="O37" s="629">
        <f t="shared" si="3"/>
        <v>-0.65615868437507041</v>
      </c>
      <c r="P37" s="633">
        <f t="shared" si="4"/>
        <v>-0.17120051634075734</v>
      </c>
      <c r="Q37" s="585">
        <f t="shared" si="113"/>
        <v>204.99998339605673</v>
      </c>
      <c r="R37" s="629">
        <f t="shared" si="79"/>
        <v>1.5526046826557229</v>
      </c>
      <c r="S37" s="634">
        <f t="shared" si="80"/>
        <v>-0.17120051634075734</v>
      </c>
      <c r="T37" s="635">
        <f t="shared" si="81"/>
        <v>-0.67839947219998364</v>
      </c>
      <c r="U37" s="629">
        <f t="shared" si="82"/>
        <v>1.3965512725006777</v>
      </c>
      <c r="V37" s="636">
        <f t="shared" si="114"/>
        <v>-0.17120051634075734</v>
      </c>
      <c r="W37" s="585">
        <f t="shared" si="224"/>
        <v>115.90898326481339</v>
      </c>
      <c r="X37" s="629">
        <f t="shared" si="83"/>
        <v>1.5526046826557229</v>
      </c>
      <c r="Y37" s="630">
        <f t="shared" si="223"/>
        <v>-0.17120051634075734</v>
      </c>
      <c r="Z37" s="632">
        <f t="shared" si="6"/>
        <v>-0.47735858257760039</v>
      </c>
      <c r="AA37" s="629">
        <f t="shared" si="7"/>
        <v>0.81424015395001481</v>
      </c>
      <c r="AB37" s="629">
        <f t="shared" si="8"/>
        <v>-0.33036609289538271</v>
      </c>
      <c r="AC37" s="636">
        <f t="shared" si="84"/>
        <v>1</v>
      </c>
      <c r="AD37" s="637">
        <f t="shared" si="115"/>
        <v>-0.47735858257760039</v>
      </c>
      <c r="AE37" s="629">
        <f t="shared" si="85"/>
        <v>0.81424015395001481</v>
      </c>
      <c r="AF37" s="633">
        <f t="shared" si="86"/>
        <v>-0.33036609289538271</v>
      </c>
      <c r="AG37" s="602">
        <f t="shared" si="87"/>
        <v>67.915861536619275</v>
      </c>
      <c r="AH37" s="603">
        <f t="shared" si="88"/>
        <v>118.51302851550456</v>
      </c>
      <c r="AI37" s="585">
        <f t="shared" si="89"/>
        <v>-70.709002660911167</v>
      </c>
      <c r="AJ37" s="586">
        <f t="shared" si="90"/>
        <v>-149.61849700276369</v>
      </c>
      <c r="AK37" s="635">
        <f t="shared" si="211"/>
        <v>0.93969262078590854</v>
      </c>
      <c r="AL37" s="629">
        <f t="shared" si="91"/>
        <v>8.8521314413819385E-2</v>
      </c>
      <c r="AM37" s="634">
        <f t="shared" si="92"/>
        <v>-0.33036609289538271</v>
      </c>
      <c r="AN37" s="581">
        <f t="shared" si="93"/>
        <v>14.999997834268234</v>
      </c>
      <c r="AO37" s="582">
        <f t="shared" si="94"/>
        <v>19.999999999999979</v>
      </c>
      <c r="AP37" s="585">
        <f t="shared" si="95"/>
        <v>5.3815196011795665</v>
      </c>
      <c r="AQ37" s="586">
        <f t="shared" si="9"/>
        <v>1.4680026317350767</v>
      </c>
      <c r="AS37" s="52">
        <f t="shared" si="116"/>
        <v>-244.0910167351866</v>
      </c>
      <c r="AT37" s="72">
        <f t="shared" si="10"/>
        <v>-1.061615921352288E-3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5.1059999999999999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-2.1346946113555871</v>
      </c>
      <c r="C38" s="708">
        <v>-0.96991245379764113</v>
      </c>
      <c r="D38" s="709">
        <v>-4.8800147181243883E-2</v>
      </c>
      <c r="E38" s="710">
        <v>0.31248857641402228</v>
      </c>
      <c r="F38" s="708">
        <v>-0.88844668013887196</v>
      </c>
      <c r="G38" s="711">
        <v>0.33617463640339512</v>
      </c>
      <c r="H38" s="710">
        <v>0.314</v>
      </c>
      <c r="I38" s="708">
        <v>0.52</v>
      </c>
      <c r="J38" s="570">
        <v>5.1109999999999998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5.1109999999999998</v>
      </c>
      <c r="N38" s="632">
        <f t="shared" si="2"/>
        <v>-2.1346946113555871</v>
      </c>
      <c r="O38" s="629">
        <f t="shared" si="3"/>
        <v>-0.96991245379764113</v>
      </c>
      <c r="P38" s="633">
        <f t="shared" si="4"/>
        <v>-4.8800147181243883E-2</v>
      </c>
      <c r="Q38" s="585">
        <f t="shared" si="113"/>
        <v>204.43498347763261</v>
      </c>
      <c r="R38" s="629">
        <f t="shared" si="79"/>
        <v>2.3447070716365279</v>
      </c>
      <c r="S38" s="634">
        <f t="shared" si="80"/>
        <v>-4.8800147181243883E-2</v>
      </c>
      <c r="T38" s="635">
        <f t="shared" si="81"/>
        <v>-1.0036559891098638</v>
      </c>
      <c r="U38" s="629">
        <f t="shared" si="82"/>
        <v>2.1190389112298629</v>
      </c>
      <c r="V38" s="636">
        <f t="shared" si="114"/>
        <v>-4.8800147181243883E-2</v>
      </c>
      <c r="W38" s="585">
        <f t="shared" si="224"/>
        <v>115.34398334638927</v>
      </c>
      <c r="X38" s="629">
        <f t="shared" si="83"/>
        <v>2.3447070716365279</v>
      </c>
      <c r="Y38" s="630">
        <f t="shared" si="223"/>
        <v>-4.8800147181243883E-2</v>
      </c>
      <c r="Z38" s="632">
        <f t="shared" si="6"/>
        <v>-0.31248857641402228</v>
      </c>
      <c r="AA38" s="629">
        <f t="shared" si="7"/>
        <v>0.88844668013887196</v>
      </c>
      <c r="AB38" s="629">
        <f t="shared" si="8"/>
        <v>-0.33617463640339512</v>
      </c>
      <c r="AC38" s="636">
        <f t="shared" si="84"/>
        <v>1</v>
      </c>
      <c r="AD38" s="637">
        <f t="shared" si="115"/>
        <v>-0.31248857641402228</v>
      </c>
      <c r="AE38" s="629">
        <f t="shared" si="85"/>
        <v>0.88844668013887196</v>
      </c>
      <c r="AF38" s="633">
        <f t="shared" si="86"/>
        <v>-0.33617463640339512</v>
      </c>
      <c r="AG38" s="602">
        <f t="shared" si="87"/>
        <v>69.274123963617328</v>
      </c>
      <c r="AH38" s="603">
        <f t="shared" si="88"/>
        <v>108.20926783414106</v>
      </c>
      <c r="AI38" s="585">
        <f t="shared" si="89"/>
        <v>-70.356017189361722</v>
      </c>
      <c r="AJ38" s="586">
        <f t="shared" si="90"/>
        <v>-160.62197105196626</v>
      </c>
      <c r="AK38" s="635">
        <f t="shared" si="211"/>
        <v>0.93813377760974836</v>
      </c>
      <c r="AL38" s="629">
        <f t="shared" si="91"/>
        <v>-8.3015836722329428E-2</v>
      </c>
      <c r="AM38" s="634">
        <f t="shared" si="92"/>
        <v>-0.33617463640339512</v>
      </c>
      <c r="AN38" s="581">
        <f t="shared" si="93"/>
        <v>-13.871253264477611</v>
      </c>
      <c r="AO38" s="582">
        <f t="shared" si="94"/>
        <v>20.25952598375418</v>
      </c>
      <c r="AP38" s="585">
        <f t="shared" si="95"/>
        <v>-5.0569545295988725</v>
      </c>
      <c r="AQ38" s="586">
        <f t="shared" si="9"/>
        <v>0.97219301654426749</v>
      </c>
      <c r="AS38" s="52">
        <f t="shared" si="116"/>
        <v>-244.65601665361072</v>
      </c>
      <c r="AT38" s="72">
        <f t="shared" si="10"/>
        <v>0.12173111429262236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5.1109999999999998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-2.8361756747094446</v>
      </c>
      <c r="C39" s="708">
        <v>-1.2274922857184551</v>
      </c>
      <c r="D39" s="709">
        <v>-0.34390103720552839</v>
      </c>
      <c r="E39" s="710">
        <v>0.14098427932771804</v>
      </c>
      <c r="F39" s="708">
        <v>-0.95658060500354547</v>
      </c>
      <c r="G39" s="711">
        <v>0.25510189947057466</v>
      </c>
      <c r="H39" s="710">
        <v>0.314</v>
      </c>
      <c r="I39" s="708">
        <v>0.52</v>
      </c>
      <c r="J39" s="570">
        <v>5.117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5.117</v>
      </c>
      <c r="N39" s="632">
        <f t="shared" si="2"/>
        <v>-2.8361756747094446</v>
      </c>
      <c r="O39" s="629">
        <f t="shared" si="3"/>
        <v>-1.2274922857184551</v>
      </c>
      <c r="P39" s="633">
        <f t="shared" si="4"/>
        <v>-0.34390103720552839</v>
      </c>
      <c r="Q39" s="585">
        <f t="shared" si="113"/>
        <v>203.40288362664938</v>
      </c>
      <c r="R39" s="629">
        <f t="shared" si="79"/>
        <v>3.0904093206745107</v>
      </c>
      <c r="S39" s="634">
        <f t="shared" si="80"/>
        <v>-0.34390103720552839</v>
      </c>
      <c r="T39" s="635">
        <f t="shared" si="81"/>
        <v>-1.2723319640528152</v>
      </c>
      <c r="U39" s="629">
        <f t="shared" si="82"/>
        <v>2.8163453521472466</v>
      </c>
      <c r="V39" s="636">
        <f t="shared" si="114"/>
        <v>-0.34390103720552839</v>
      </c>
      <c r="W39" s="585">
        <f t="shared" si="224"/>
        <v>114.31188349540604</v>
      </c>
      <c r="X39" s="629">
        <f t="shared" si="83"/>
        <v>3.0904093206745107</v>
      </c>
      <c r="Y39" s="630">
        <f t="shared" si="223"/>
        <v>-0.34390103720552839</v>
      </c>
      <c r="Z39" s="632">
        <f t="shared" si="6"/>
        <v>-0.14098427932771804</v>
      </c>
      <c r="AA39" s="629">
        <f t="shared" si="7"/>
        <v>0.95658060500354547</v>
      </c>
      <c r="AB39" s="629">
        <f t="shared" si="8"/>
        <v>-0.25510189947057466</v>
      </c>
      <c r="AC39" s="636">
        <f t="shared" si="84"/>
        <v>1</v>
      </c>
      <c r="AD39" s="637">
        <f t="shared" si="115"/>
        <v>-0.14098427932771804</v>
      </c>
      <c r="AE39" s="629">
        <f t="shared" si="85"/>
        <v>0.95658060500354547</v>
      </c>
      <c r="AF39" s="633">
        <f t="shared" si="86"/>
        <v>-0.25510189947057466</v>
      </c>
      <c r="AG39" s="602">
        <f t="shared" si="87"/>
        <v>75.067814589134926</v>
      </c>
      <c r="AH39" s="603">
        <f t="shared" si="88"/>
        <v>98.104806242079604</v>
      </c>
      <c r="AI39" s="585">
        <f t="shared" si="89"/>
        <v>-75.220376744988314</v>
      </c>
      <c r="AJ39" s="586">
        <f t="shared" si="90"/>
        <v>-171.61590113378142</v>
      </c>
      <c r="AK39" s="635">
        <f t="shared" si="211"/>
        <v>0.93388527493255602</v>
      </c>
      <c r="AL39" s="629">
        <f t="shared" si="91"/>
        <v>-0.25056199662089484</v>
      </c>
      <c r="AM39" s="634">
        <f t="shared" si="92"/>
        <v>-0.25510189947057466</v>
      </c>
      <c r="AN39" s="581">
        <f t="shared" si="93"/>
        <v>-44.485606376092036</v>
      </c>
      <c r="AO39" s="582">
        <f t="shared" si="94"/>
        <v>20.951206777456711</v>
      </c>
      <c r="AP39" s="585">
        <f t="shared" si="95"/>
        <v>-15.018784760430808</v>
      </c>
      <c r="AQ39" s="586">
        <f t="shared" si="9"/>
        <v>0.7376371357213829</v>
      </c>
      <c r="AS39" s="52">
        <f t="shared" si="116"/>
        <v>-245.68811650459395</v>
      </c>
      <c r="AT39" s="72">
        <f t="shared" si="10"/>
        <v>-0.1726530397240349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5.117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-3.283494502956783</v>
      </c>
      <c r="C40" s="708">
        <v>-1.3699200860258787</v>
      </c>
      <c r="D40" s="709">
        <v>-0.96790291919520399</v>
      </c>
      <c r="E40" s="710">
        <v>-7.1704537349371905E-2</v>
      </c>
      <c r="F40" s="708">
        <v>-0.97660041801267872</v>
      </c>
      <c r="G40" s="711">
        <v>0.20275621534486624</v>
      </c>
      <c r="H40" s="710">
        <v>0.314</v>
      </c>
      <c r="I40" s="708">
        <v>0.52</v>
      </c>
      <c r="J40" s="570">
        <v>5.1230000000000002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5.1230000000000002</v>
      </c>
      <c r="N40" s="632">
        <f t="shared" si="2"/>
        <v>-3.283494502956783</v>
      </c>
      <c r="O40" s="629">
        <f t="shared" si="3"/>
        <v>-1.3699200860258787</v>
      </c>
      <c r="P40" s="633">
        <f t="shared" si="4"/>
        <v>-0.96790291919520399</v>
      </c>
      <c r="Q40" s="585">
        <f t="shared" si="113"/>
        <v>202.64658373584558</v>
      </c>
      <c r="R40" s="629">
        <f t="shared" si="79"/>
        <v>3.5578107303571622</v>
      </c>
      <c r="S40" s="634">
        <f t="shared" si="80"/>
        <v>-0.96790291919520399</v>
      </c>
      <c r="T40" s="635">
        <f t="shared" si="81"/>
        <v>-1.4218382739043767</v>
      </c>
      <c r="U40" s="629">
        <f t="shared" si="82"/>
        <v>3.2613483585635539</v>
      </c>
      <c r="V40" s="636">
        <f t="shared" si="114"/>
        <v>-0.96790291919520399</v>
      </c>
      <c r="W40" s="585">
        <f t="shared" si="224"/>
        <v>113.55558360460223</v>
      </c>
      <c r="X40" s="629">
        <f t="shared" si="83"/>
        <v>3.5578107303571622</v>
      </c>
      <c r="Y40" s="630">
        <f t="shared" si="223"/>
        <v>-0.96790291919520399</v>
      </c>
      <c r="Z40" s="632">
        <f t="shared" si="6"/>
        <v>7.1704537349371905E-2</v>
      </c>
      <c r="AA40" s="629">
        <f t="shared" si="7"/>
        <v>0.97660041801267872</v>
      </c>
      <c r="AB40" s="629">
        <f t="shared" si="8"/>
        <v>-0.20275621534486624</v>
      </c>
      <c r="AC40" s="636">
        <f t="shared" si="84"/>
        <v>1</v>
      </c>
      <c r="AD40" s="637">
        <f t="shared" si="115"/>
        <v>7.1704537349371905E-2</v>
      </c>
      <c r="AE40" s="629">
        <f t="shared" si="85"/>
        <v>0.97660041801267872</v>
      </c>
      <c r="AF40" s="633">
        <f t="shared" si="86"/>
        <v>-0.20275621534486624</v>
      </c>
      <c r="AG40" s="602">
        <f t="shared" si="87"/>
        <v>78.271200418182644</v>
      </c>
      <c r="AH40" s="603">
        <f t="shared" si="88"/>
        <v>85.888103911121235</v>
      </c>
      <c r="AI40" s="585">
        <f t="shared" si="89"/>
        <v>-78.301818531618338</v>
      </c>
      <c r="AJ40" s="586">
        <f t="shared" si="90"/>
        <v>175.80073026229107</v>
      </c>
      <c r="AK40" s="635">
        <f t="shared" si="211"/>
        <v>0.87369251872591336</v>
      </c>
      <c r="AL40" s="629">
        <f t="shared" si="91"/>
        <v>-0.44221182691261873</v>
      </c>
      <c r="AM40" s="634">
        <f t="shared" si="92"/>
        <v>-0.20275621534486624</v>
      </c>
      <c r="AN40" s="581">
        <f t="shared" si="93"/>
        <v>-65.368320139697417</v>
      </c>
      <c r="AO40" s="582">
        <f t="shared" si="94"/>
        <v>29.109388682415556</v>
      </c>
      <c r="AP40" s="585">
        <f t="shared" si="95"/>
        <v>-26.845853473554502</v>
      </c>
      <c r="AQ40" s="586">
        <f t="shared" si="9"/>
        <v>0.64073998583246172</v>
      </c>
      <c r="AS40" s="52">
        <f t="shared" si="116"/>
        <v>-246.44441639539775</v>
      </c>
      <c r="AT40" s="72">
        <f t="shared" si="10"/>
        <v>-0.79612971345620787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5.1230000000000002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-3.4061215488960932</v>
      </c>
      <c r="C41" s="708">
        <v>-1.4010085631949847</v>
      </c>
      <c r="D41" s="709">
        <v>-1.7620000000000002</v>
      </c>
      <c r="E41" s="710">
        <v>-0.13297631490676357</v>
      </c>
      <c r="F41" s="708">
        <v>-0.99111921567175987</v>
      </c>
      <c r="G41" s="711">
        <v>1.1339744837938798E-7</v>
      </c>
      <c r="H41" s="710">
        <v>0.314</v>
      </c>
      <c r="I41" s="708">
        <v>0.52</v>
      </c>
      <c r="J41" s="570">
        <v>5.1289999999999996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5.1289999999999996</v>
      </c>
      <c r="N41" s="632">
        <f t="shared" ref="N41:N72" si="240">IF(M41="","",B41)</f>
        <v>-3.4061215488960932</v>
      </c>
      <c r="O41" s="629">
        <f t="shared" ref="O41:O72" si="241">IF(M41="","",C41)</f>
        <v>-1.4010085631949847</v>
      </c>
      <c r="P41" s="633">
        <f t="shared" ref="P41:P72" si="242">IF(M41="","",D41)</f>
        <v>-1.7620000000000002</v>
      </c>
      <c r="Q41" s="585">
        <f t="shared" si="113"/>
        <v>202.35838377745651</v>
      </c>
      <c r="R41" s="629">
        <f t="shared" si="79"/>
        <v>3.6829999999999994</v>
      </c>
      <c r="S41" s="634">
        <f t="shared" si="80"/>
        <v>-1.7620000000000002</v>
      </c>
      <c r="T41" s="635">
        <f t="shared" si="81"/>
        <v>-1.4548682401301372</v>
      </c>
      <c r="U41" s="629">
        <f t="shared" si="82"/>
        <v>3.3834667729801384</v>
      </c>
      <c r="V41" s="636">
        <f t="shared" si="114"/>
        <v>-1.7620000000000002</v>
      </c>
      <c r="W41" s="585">
        <f t="shared" si="224"/>
        <v>113.26738364621316</v>
      </c>
      <c r="X41" s="629">
        <f t="shared" si="83"/>
        <v>3.6829999999999994</v>
      </c>
      <c r="Y41" s="630">
        <f t="shared" si="223"/>
        <v>-1.7620000000000002</v>
      </c>
      <c r="Z41" s="632">
        <f t="shared" ref="Z41:Z72" si="243">IF(M41="","",-E41)</f>
        <v>0.13297631490676357</v>
      </c>
      <c r="AA41" s="629">
        <f t="shared" ref="AA41:AA72" si="244">IF(M41="","",-F41)</f>
        <v>0.99111921567175987</v>
      </c>
      <c r="AB41" s="629">
        <f t="shared" ref="AB41:AB72" si="245">IF(M41="","",-G41)</f>
        <v>-1.1339744837938798E-7</v>
      </c>
      <c r="AC41" s="636">
        <f t="shared" si="84"/>
        <v>1</v>
      </c>
      <c r="AD41" s="637">
        <f t="shared" si="115"/>
        <v>0.13297631490676357</v>
      </c>
      <c r="AE41" s="629">
        <f t="shared" si="85"/>
        <v>0.99111921567175987</v>
      </c>
      <c r="AF41" s="633">
        <f t="shared" si="86"/>
        <v>-1.1339744837938798E-7</v>
      </c>
      <c r="AG41" s="602">
        <f t="shared" si="87"/>
        <v>89.999993444587602</v>
      </c>
      <c r="AH41" s="603">
        <f t="shared" si="88"/>
        <v>82.358383777457206</v>
      </c>
      <c r="AI41" s="585">
        <f t="shared" si="89"/>
        <v>-89.999993502804799</v>
      </c>
      <c r="AJ41" s="586">
        <f t="shared" si="90"/>
        <v>172.35838377745716</v>
      </c>
      <c r="AK41" s="635">
        <f t="shared" si="211"/>
        <v>0.86602540378443882</v>
      </c>
      <c r="AL41" s="629">
        <f t="shared" si="91"/>
        <v>-0.49999999999998712</v>
      </c>
      <c r="AM41" s="634">
        <f t="shared" si="92"/>
        <v>-1.1339744837938798E-7</v>
      </c>
      <c r="AN41" s="581">
        <f t="shared" si="93"/>
        <v>-89.999987005609611</v>
      </c>
      <c r="AO41" s="582">
        <f t="shared" si="94"/>
        <v>29.999999999999979</v>
      </c>
      <c r="AP41" s="585">
        <f t="shared" si="95"/>
        <v>-29.999999999999357</v>
      </c>
      <c r="AQ41" s="586">
        <f t="shared" ref="AQ41:AQ72" si="246">IF(M41="","",DEGREES(ATAN(($AS$5*SIN(RADIANS(90)))/(($X41*2*PI())-($AS$5*COS(RADIANS(90)))))))</f>
        <v>0.61896224474776906</v>
      </c>
      <c r="AS41" s="52">
        <f t="shared" si="116"/>
        <v>-246.73261635378685</v>
      </c>
      <c r="AT41" s="72">
        <f t="shared" ref="AT41:AT72" si="247">IF(M41="","",Y41+(((AS41-$AS$9)*$AS$6)*-1))</f>
        <v>-1.5900266554010116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5.1289999999999996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-3.1116589325076487</v>
      </c>
      <c r="C42" s="708">
        <v>-0.28528524839595548</v>
      </c>
      <c r="D42" s="709">
        <v>-0.36530110174812269</v>
      </c>
      <c r="E42" s="710">
        <v>-0.44277806000645076</v>
      </c>
      <c r="F42" s="708">
        <v>-4.0595309524997292E-2</v>
      </c>
      <c r="G42" s="711">
        <v>0.89571178981941146</v>
      </c>
      <c r="H42" s="710">
        <v>0.26250000000000001</v>
      </c>
      <c r="I42" s="708">
        <v>0.40699999999999997</v>
      </c>
      <c r="J42" s="570">
        <v>5.2169999999999996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Inactive</v>
      </c>
      <c r="L42" s="320"/>
      <c r="M42" s="168">
        <f t="shared" si="239"/>
        <v>5.2169999999999996</v>
      </c>
      <c r="N42" s="632">
        <f t="shared" si="240"/>
        <v>-3.1116589325076487</v>
      </c>
      <c r="O42" s="629">
        <f t="shared" si="241"/>
        <v>-0.28528524839595548</v>
      </c>
      <c r="P42" s="633">
        <f t="shared" si="242"/>
        <v>-0.36530110174812269</v>
      </c>
      <c r="Q42" s="585">
        <f t="shared" si="113"/>
        <v>185.23838624927834</v>
      </c>
      <c r="R42" s="629">
        <f t="shared" ref="R42:R47" si="385">IF(M42="","",SQRT(N42^2+O42^2))</f>
        <v>3.1247094241236226</v>
      </c>
      <c r="S42" s="634">
        <f t="shared" ref="S42:S47" si="386">IF(M42="","",P42)</f>
        <v>-0.36530110174812269</v>
      </c>
      <c r="T42" s="635">
        <f t="shared" ref="T42:T47" si="387">IF(M42="","",X42*COS(RADIANS(W42)))</f>
        <v>-0.33461387049998492</v>
      </c>
      <c r="U42" s="629">
        <f t="shared" ref="U42:U47" si="388">IF(M42="","",X42*SIN(RADIANS(W42)))</f>
        <v>3.1067414670158828</v>
      </c>
      <c r="V42" s="636">
        <f t="shared" ref="V42:V47" si="389">IF(M42="","",Y42)</f>
        <v>-0.36530110174812269</v>
      </c>
      <c r="W42" s="585">
        <f t="shared" si="224"/>
        <v>96.147386118034987</v>
      </c>
      <c r="X42" s="629">
        <f t="shared" ref="X42:X47" si="390">IF(M42="","",R42)</f>
        <v>3.1247094241236226</v>
      </c>
      <c r="Y42" s="630">
        <f t="shared" si="223"/>
        <v>-0.36530110174812269</v>
      </c>
      <c r="Z42" s="632">
        <f t="shared" si="243"/>
        <v>0.44277806000645076</v>
      </c>
      <c r="AA42" s="629">
        <f t="shared" si="244"/>
        <v>4.0595309524997292E-2</v>
      </c>
      <c r="AB42" s="629">
        <f t="shared" si="245"/>
        <v>-0.89571178981941146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0.44277806000645076</v>
      </c>
      <c r="AE42" s="629">
        <f t="shared" ref="AE42:AE47" si="393">IF(M42="","",AA42*(1/SQRT(Z42^2+AA42^2+AB42^2)))</f>
        <v>4.0595309524997292E-2</v>
      </c>
      <c r="AF42" s="633">
        <f t="shared" ref="AF42:AF47" si="394">IF(M42="","",AB42*(1/SQRT(Z42^2+AA42^2+AB42^2)))</f>
        <v>-0.89571178981941146</v>
      </c>
      <c r="AG42" s="602">
        <f t="shared" ref="AG42:AG47" si="395">IF(M42="","",DEGREES(ATAN2(-AF42,AE42)))</f>
        <v>2.5949745695810211</v>
      </c>
      <c r="AH42" s="603">
        <f t="shared" ref="AH42:AH47" si="396">IF(M42="","",DEGREES(ACOS(AD42)))</f>
        <v>63.71873291282742</v>
      </c>
      <c r="AI42" s="585">
        <f t="shared" ref="AI42:AI47" si="397">IF(M42="","",DEGREES(-ACOS(-AF42)))</f>
        <v>-26.399996188315118</v>
      </c>
      <c r="AJ42" s="586">
        <f t="shared" ref="AJ42:AJ47" si="398">IF(M42="","",DEGREES(ATAN2(-AE42,AD42)))</f>
        <v>95.23841547411871</v>
      </c>
      <c r="AK42" s="635">
        <f t="shared" ref="AK42:AK47" si="399">IF(M42="","",(COS(RADIANS((90-$Q$8)-W42))*AD42)+(-SIN(RADIANS((90-$Q$8)-W42))*AE42))</f>
        <v>2.2679489670301978E-7</v>
      </c>
      <c r="AL42" s="629">
        <f t="shared" ref="AL42:AL47" si="400">IF(M42="","",(SIN(RADIANS((90-$Q$8)-W42))*AD42)+(COS(RADIANS((90-$Q$8)-W42))*AE42))</f>
        <v>-0.44463511959634389</v>
      </c>
      <c r="AM42" s="634">
        <f t="shared" ref="AM42:AM47" si="401">IF(M42="","",AF42)</f>
        <v>-0.89571178981941146</v>
      </c>
      <c r="AN42" s="581">
        <f t="shared" ref="AN42:AN47" si="402">IF(M42="","",DEGREES(ATAN2(-AM42,AL42)))</f>
        <v>-26.399996188312148</v>
      </c>
      <c r="AO42" s="582">
        <f t="shared" si="94"/>
        <v>0</v>
      </c>
      <c r="AP42" s="585">
        <f t="shared" ref="AP42:AP47" si="403">IF(M42="","",DEGREES(ATAN2(AK42,AL42)))</f>
        <v>-89.999970775159625</v>
      </c>
      <c r="AQ42" s="586">
        <f t="shared" si="246"/>
        <v>0.72954093319497437</v>
      </c>
      <c r="AS42" s="52">
        <f t="shared" si="116"/>
        <v>-263.852613881965</v>
      </c>
      <c r="AT42" s="72">
        <f t="shared" si="247"/>
        <v>-0.18143886997678821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5.2169999999999996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5.117</v>
      </c>
      <c r="II42" s="734" cm="1">
        <f t="array" ref="II42">IFERROR(ROUND(VALUE(IF($IH42&lt;1,$IH42+LARGE((IF($M$9:$M$150="",0,$M$9:$M$150)-MOD(IF($M$9:$M$150="",0,$M$9:$M$150),1)),1),$IH42)),4),"")</f>
        <v>5.117</v>
      </c>
      <c r="IJ42" s="533">
        <f t="shared" si="112"/>
        <v>1613</v>
      </c>
      <c r="IK42" s="533" t="str">
        <f t="shared" si="382"/>
        <v>Inactive</v>
      </c>
      <c r="IL42" s="727">
        <f t="shared" si="225"/>
        <v>18.164497377371049</v>
      </c>
      <c r="IM42" s="759">
        <v>7.30289052967153E-3</v>
      </c>
      <c r="IN42" s="5">
        <f t="shared" si="226"/>
        <v>0.46</v>
      </c>
      <c r="IO42" s="771">
        <v>230</v>
      </c>
      <c r="IP42" s="9">
        <f t="shared" si="227"/>
        <v>-3.0904093206745107</v>
      </c>
      <c r="IQ42" s="5">
        <f t="shared" si="228"/>
        <v>-0.34390103720552839</v>
      </c>
      <c r="IR42" s="5">
        <f t="shared" si="383"/>
        <v>0.314</v>
      </c>
      <c r="IS42" s="5">
        <f t="shared" si="229"/>
        <v>0.29323997632882259</v>
      </c>
      <c r="IT42" s="727">
        <f t="shared" si="230"/>
        <v>44.485606376092036</v>
      </c>
      <c r="IU42" s="9">
        <f t="shared" si="231"/>
        <v>-3.1247094241236226</v>
      </c>
      <c r="IV42" s="5">
        <f t="shared" si="232"/>
        <v>-0.36530110174812269</v>
      </c>
      <c r="IW42" s="5">
        <f t="shared" si="384"/>
        <v>0.26250000000000001</v>
      </c>
      <c r="IX42" s="5">
        <f t="shared" si="233"/>
        <v>0.26250000000000001</v>
      </c>
      <c r="IY42" s="762">
        <f t="shared" si="234"/>
        <v>26.399996188312148</v>
      </c>
    </row>
    <row r="43" spans="1:267" ht="15" customHeight="1" x14ac:dyDescent="0.25">
      <c r="A43" s="79"/>
      <c r="B43" s="707">
        <v>-3.5627119959777906</v>
      </c>
      <c r="C43" s="708">
        <v>-0.40280756694566755</v>
      </c>
      <c r="D43" s="709">
        <v>-1.002103022342715</v>
      </c>
      <c r="E43" s="710">
        <v>-0.73959929074160169</v>
      </c>
      <c r="F43" s="708">
        <v>-8.3620849596482E-2</v>
      </c>
      <c r="G43" s="711">
        <v>0.66783264568848566</v>
      </c>
      <c r="H43" s="710">
        <v>0.26250000000000001</v>
      </c>
      <c r="I43" s="708">
        <v>0.40699999999999997</v>
      </c>
      <c r="J43" s="570">
        <v>5.2229999999999999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Inactive</v>
      </c>
      <c r="L43" s="320"/>
      <c r="M43" s="168">
        <f t="shared" si="239"/>
        <v>5.2229999999999999</v>
      </c>
      <c r="N43" s="632">
        <f t="shared" si="240"/>
        <v>-3.5627119959777906</v>
      </c>
      <c r="O43" s="629">
        <f t="shared" si="241"/>
        <v>-0.40280756694566755</v>
      </c>
      <c r="P43" s="633">
        <f t="shared" si="242"/>
        <v>-1.002103022342715</v>
      </c>
      <c r="Q43" s="585">
        <f t="shared" si="113"/>
        <v>186.45058607425833</v>
      </c>
      <c r="R43" s="629">
        <f t="shared" si="385"/>
        <v>3.5854108135990139</v>
      </c>
      <c r="S43" s="634">
        <f t="shared" si="386"/>
        <v>-1.002103022342715</v>
      </c>
      <c r="T43" s="635">
        <f t="shared" si="387"/>
        <v>-0.45927707418512914</v>
      </c>
      <c r="U43" s="629">
        <f t="shared" si="388"/>
        <v>3.5558733486164398</v>
      </c>
      <c r="V43" s="636">
        <f t="shared" si="389"/>
        <v>-1.002103022342715</v>
      </c>
      <c r="W43" s="585">
        <f t="shared" si="224"/>
        <v>97.359585943014977</v>
      </c>
      <c r="X43" s="629">
        <f t="shared" si="390"/>
        <v>3.5854108135990139</v>
      </c>
      <c r="Y43" s="630">
        <f t="shared" si="223"/>
        <v>-1.002103022342715</v>
      </c>
      <c r="Z43" s="632">
        <f t="shared" si="243"/>
        <v>0.73959929074160169</v>
      </c>
      <c r="AA43" s="629">
        <f t="shared" si="244"/>
        <v>8.3620849596482E-2</v>
      </c>
      <c r="AB43" s="629">
        <f t="shared" si="245"/>
        <v>-0.66783264568848566</v>
      </c>
      <c r="AC43" s="636">
        <f t="shared" si="391"/>
        <v>1</v>
      </c>
      <c r="AD43" s="637">
        <f t="shared" si="392"/>
        <v>0.73959929074160169</v>
      </c>
      <c r="AE43" s="629">
        <f t="shared" si="393"/>
        <v>8.3620849596482E-2</v>
      </c>
      <c r="AF43" s="633">
        <f t="shared" si="394"/>
        <v>-0.66783264568848566</v>
      </c>
      <c r="AG43" s="602">
        <f t="shared" si="395"/>
        <v>7.1369917805657197</v>
      </c>
      <c r="AH43" s="603">
        <f t="shared" si="396"/>
        <v>42.302707529502335</v>
      </c>
      <c r="AI43" s="585">
        <f t="shared" si="397"/>
        <v>-48.09999305522156</v>
      </c>
      <c r="AJ43" s="586">
        <f t="shared" si="398"/>
        <v>96.450603532528163</v>
      </c>
      <c r="AK43" s="635">
        <f t="shared" si="399"/>
        <v>2.2679489689036991E-7</v>
      </c>
      <c r="AL43" s="629">
        <f t="shared" si="400"/>
        <v>-0.74431146528363135</v>
      </c>
      <c r="AM43" s="634">
        <f t="shared" si="401"/>
        <v>-0.66783264568848566</v>
      </c>
      <c r="AN43" s="581">
        <f t="shared" si="402"/>
        <v>-48.099993055220253</v>
      </c>
      <c r="AO43" s="582">
        <f t="shared" si="94"/>
        <v>0</v>
      </c>
      <c r="AP43" s="585">
        <f t="shared" si="403"/>
        <v>-89.999982541730162</v>
      </c>
      <c r="AQ43" s="586">
        <f t="shared" si="246"/>
        <v>0.63580804902887189</v>
      </c>
      <c r="AS43" s="52">
        <f t="shared" ref="AS43:AS74" si="406">IF(G43="","",IF(AND(W43&lt;(AS42+180),W43&gt;(AS42-180)),W43,IF(W43&gt;(AS42+180),W43-360,IF(W43&lt;(AS42-180),W43+360,"Error"))))</f>
        <v>-262.64041405698504</v>
      </c>
      <c r="AT43" s="72">
        <f t="shared" si="247"/>
        <v>-0.81908259600539435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5.2229999999999999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5.1230000000000002</v>
      </c>
      <c r="II43" s="734" cm="1">
        <f t="array" ref="II43">IFERROR(ROUND(VALUE(IF($IH43&lt;1,$IH43+LARGE((IF($M$9:$M$150="",0,$M$9:$M$150)-MOD(IF($M$9:$M$150="",0,$M$9:$M$150),1)),1),$IH43)),4),"")</f>
        <v>5.1230000000000002</v>
      </c>
      <c r="IJ43" s="533">
        <f t="shared" si="112"/>
        <v>1613</v>
      </c>
      <c r="IK43" s="533" t="str">
        <f t="shared" si="382"/>
        <v>Inactive</v>
      </c>
      <c r="IL43" s="727">
        <f t="shared" si="225"/>
        <v>16.195997661587256</v>
      </c>
      <c r="IM43" s="759">
        <v>1.88602685971382E-4</v>
      </c>
      <c r="IN43" s="5">
        <f t="shared" si="226"/>
        <v>0</v>
      </c>
      <c r="IO43" s="771">
        <v>0</v>
      </c>
      <c r="IP43" s="9">
        <f t="shared" si="227"/>
        <v>-3.5578107303571622</v>
      </c>
      <c r="IQ43" s="5">
        <f t="shared" si="228"/>
        <v>-0.96790291919520399</v>
      </c>
      <c r="IR43" s="5">
        <f t="shared" si="383"/>
        <v>0.314</v>
      </c>
      <c r="IS43" s="5">
        <f t="shared" si="229"/>
        <v>0.27433945087993683</v>
      </c>
      <c r="IT43" s="727">
        <f t="shared" si="230"/>
        <v>65.368320139697417</v>
      </c>
      <c r="IU43" s="9">
        <f t="shared" si="231"/>
        <v>-3.5854108135990139</v>
      </c>
      <c r="IV43" s="5">
        <f t="shared" si="232"/>
        <v>-1.002103022342715</v>
      </c>
      <c r="IW43" s="5">
        <f t="shared" si="384"/>
        <v>0.26250000000000001</v>
      </c>
      <c r="IX43" s="5">
        <f t="shared" si="233"/>
        <v>0.26250000000000001</v>
      </c>
      <c r="IY43" s="762">
        <f t="shared" si="234"/>
        <v>48.099993055220253</v>
      </c>
    </row>
    <row r="44" spans="1:267" ht="15" customHeight="1" x14ac:dyDescent="0.25">
      <c r="A44" s="79"/>
      <c r="B44" s="707">
        <v>-1.9025002711616701</v>
      </c>
      <c r="C44" s="708">
        <v>1.1166727688559981</v>
      </c>
      <c r="D44" s="709">
        <v>-4.3100129989992082E-2</v>
      </c>
      <c r="E44" s="710">
        <v>-0.51877380923098837</v>
      </c>
      <c r="F44" s="708">
        <v>-0.78387115941247232</v>
      </c>
      <c r="G44" s="711">
        <v>0.34120337087625102</v>
      </c>
      <c r="H44" s="710">
        <v>0.314</v>
      </c>
      <c r="I44" s="708">
        <v>0.52</v>
      </c>
      <c r="J44" s="570">
        <v>6.11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6.11</v>
      </c>
      <c r="N44" s="632">
        <f t="shared" si="240"/>
        <v>-1.9025002711616701</v>
      </c>
      <c r="O44" s="629">
        <f t="shared" si="241"/>
        <v>1.1166727688559981</v>
      </c>
      <c r="P44" s="633">
        <f t="shared" si="242"/>
        <v>-4.3100129989992082E-2</v>
      </c>
      <c r="Q44" s="585">
        <f t="shared" si="113"/>
        <v>149.58919139638525</v>
      </c>
      <c r="R44" s="629">
        <f t="shared" si="385"/>
        <v>2.206006653316066</v>
      </c>
      <c r="S44" s="634">
        <f t="shared" si="386"/>
        <v>-4.3100129989992082E-2</v>
      </c>
      <c r="T44" s="635">
        <f t="shared" si="387"/>
        <v>1.0863502609134765</v>
      </c>
      <c r="U44" s="629">
        <f t="shared" si="388"/>
        <v>1.919976162635352</v>
      </c>
      <c r="V44" s="636">
        <f t="shared" si="389"/>
        <v>-4.3100129989992082E-2</v>
      </c>
      <c r="W44" s="585">
        <f t="shared" si="224"/>
        <v>60.498191265141898</v>
      </c>
      <c r="X44" s="629">
        <f t="shared" si="390"/>
        <v>2.206006653316066</v>
      </c>
      <c r="Y44" s="630">
        <f t="shared" si="223"/>
        <v>-4.3100129989992082E-2</v>
      </c>
      <c r="Z44" s="632">
        <f t="shared" si="243"/>
        <v>0.51877380923098837</v>
      </c>
      <c r="AA44" s="629">
        <f t="shared" si="244"/>
        <v>0.78387115941247232</v>
      </c>
      <c r="AB44" s="629">
        <f t="shared" si="245"/>
        <v>-0.34120337087625102</v>
      </c>
      <c r="AC44" s="636">
        <f t="shared" si="391"/>
        <v>1</v>
      </c>
      <c r="AD44" s="637">
        <f t="shared" si="392"/>
        <v>0.51877380923098837</v>
      </c>
      <c r="AE44" s="629">
        <f t="shared" si="393"/>
        <v>0.78387115941247232</v>
      </c>
      <c r="AF44" s="633">
        <f t="shared" si="394"/>
        <v>-0.34120337087625102</v>
      </c>
      <c r="AG44" s="602">
        <f t="shared" si="395"/>
        <v>66.477475153404129</v>
      </c>
      <c r="AH44" s="603">
        <f t="shared" si="396"/>
        <v>58.749963067516987</v>
      </c>
      <c r="AI44" s="585">
        <f t="shared" si="397"/>
        <v>-70.049793112055227</v>
      </c>
      <c r="AJ44" s="586">
        <f t="shared" si="398"/>
        <v>146.50300868507631</v>
      </c>
      <c r="AK44" s="635">
        <f t="shared" si="399"/>
        <v>0.93862621682914504</v>
      </c>
      <c r="AL44" s="629">
        <f t="shared" si="400"/>
        <v>-5.0607161387398347E-2</v>
      </c>
      <c r="AM44" s="634">
        <f t="shared" si="401"/>
        <v>-0.34120337087625102</v>
      </c>
      <c r="AN44" s="581">
        <f t="shared" si="402"/>
        <v>-8.4365835601275023</v>
      </c>
      <c r="AO44" s="582">
        <f t="shared" si="94"/>
        <v>20.177887336603366</v>
      </c>
      <c r="AP44" s="585">
        <f t="shared" si="403"/>
        <v>-3.0861827113089233</v>
      </c>
      <c r="AQ44" s="586">
        <f t="shared" si="246"/>
        <v>1.0333057996704962</v>
      </c>
      <c r="AS44" s="52">
        <f t="shared" si="406"/>
        <v>-299.50180873485812</v>
      </c>
      <c r="AT44" s="72">
        <f t="shared" si="247"/>
        <v>0.16551848709585154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6.11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-2.5441244897440849</v>
      </c>
      <c r="C45" s="708">
        <v>1.5548063432583483</v>
      </c>
      <c r="D45" s="709">
        <v>-0.26680080467122702</v>
      </c>
      <c r="E45" s="710">
        <v>-0.68066800422967999</v>
      </c>
      <c r="F45" s="708">
        <v>-0.67941841133133596</v>
      </c>
      <c r="G45" s="711">
        <v>0.27401038367548819</v>
      </c>
      <c r="H45" s="710">
        <v>0.314</v>
      </c>
      <c r="I45" s="708">
        <v>0.52</v>
      </c>
      <c r="J45" s="570">
        <v>6.1159999999999997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6.1159999999999997</v>
      </c>
      <c r="N45" s="632">
        <f t="shared" si="240"/>
        <v>-2.5441244897440849</v>
      </c>
      <c r="O45" s="629">
        <f t="shared" si="241"/>
        <v>1.5548063432583483</v>
      </c>
      <c r="P45" s="633">
        <f t="shared" si="242"/>
        <v>-0.26680080467122702</v>
      </c>
      <c r="Q45" s="585">
        <f t="shared" si="113"/>
        <v>148.5693915436261</v>
      </c>
      <c r="R45" s="629">
        <f t="shared" si="385"/>
        <v>2.9816089925327223</v>
      </c>
      <c r="S45" s="634">
        <f t="shared" si="386"/>
        <v>-0.26680080467122702</v>
      </c>
      <c r="T45" s="635">
        <f t="shared" si="387"/>
        <v>1.5142497302038027</v>
      </c>
      <c r="U45" s="629">
        <f t="shared" si="388"/>
        <v>2.5684703500195805</v>
      </c>
      <c r="V45" s="636">
        <f t="shared" si="389"/>
        <v>-0.26680080467122702</v>
      </c>
      <c r="W45" s="585">
        <f t="shared" si="224"/>
        <v>59.478391412382749</v>
      </c>
      <c r="X45" s="629">
        <f t="shared" si="390"/>
        <v>2.9816089925327223</v>
      </c>
      <c r="Y45" s="630">
        <f t="shared" si="223"/>
        <v>-0.26680080467122702</v>
      </c>
      <c r="Z45" s="632">
        <f t="shared" si="243"/>
        <v>0.68066800422967999</v>
      </c>
      <c r="AA45" s="629">
        <f t="shared" si="244"/>
        <v>0.67941841133133596</v>
      </c>
      <c r="AB45" s="629">
        <f t="shared" si="245"/>
        <v>-0.27401038367548819</v>
      </c>
      <c r="AC45" s="636">
        <f t="shared" si="391"/>
        <v>1</v>
      </c>
      <c r="AD45" s="637">
        <f t="shared" si="392"/>
        <v>0.68066800422967999</v>
      </c>
      <c r="AE45" s="629">
        <f t="shared" si="393"/>
        <v>0.67941841133133596</v>
      </c>
      <c r="AF45" s="633">
        <f t="shared" si="394"/>
        <v>-0.27401038367548819</v>
      </c>
      <c r="AG45" s="602">
        <f t="shared" si="395"/>
        <v>68.035711541870285</v>
      </c>
      <c r="AH45" s="603">
        <f t="shared" si="396"/>
        <v>47.10413467159907</v>
      </c>
      <c r="AI45" s="585">
        <f t="shared" si="397"/>
        <v>-74.096951820854954</v>
      </c>
      <c r="AJ45" s="586">
        <f t="shared" si="398"/>
        <v>134.9473589485049</v>
      </c>
      <c r="AK45" s="635">
        <f t="shared" si="399"/>
        <v>0.93467384779823504</v>
      </c>
      <c r="AL45" s="629">
        <f t="shared" si="400"/>
        <v>-0.2265018937670365</v>
      </c>
      <c r="AM45" s="634">
        <f t="shared" si="401"/>
        <v>-0.27401038367548819</v>
      </c>
      <c r="AN45" s="581">
        <f t="shared" si="402"/>
        <v>-39.577745569390608</v>
      </c>
      <c r="AO45" s="582">
        <f t="shared" si="94"/>
        <v>20.82448346239411</v>
      </c>
      <c r="AP45" s="585">
        <f t="shared" si="403"/>
        <v>-13.622032595121198</v>
      </c>
      <c r="AQ45" s="586">
        <f t="shared" si="246"/>
        <v>0.76455072626106391</v>
      </c>
      <c r="AS45" s="52">
        <f t="shared" si="406"/>
        <v>-300.52160858761727</v>
      </c>
      <c r="AT45" s="72">
        <f t="shared" si="247"/>
        <v>-5.7473993243189553E-2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6.1159999999999997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-2.9640290129481226</v>
      </c>
      <c r="C46" s="708">
        <v>1.8712921248949113</v>
      </c>
      <c r="D46" s="709">
        <v>-0.8491025608933237</v>
      </c>
      <c r="E46" s="710">
        <v>-0.81711143968779609</v>
      </c>
      <c r="F46" s="708">
        <v>-0.53649041232123562</v>
      </c>
      <c r="G46" s="711">
        <v>0.21096666233964026</v>
      </c>
      <c r="H46" s="710">
        <v>0.314</v>
      </c>
      <c r="I46" s="708">
        <v>0.52</v>
      </c>
      <c r="J46" s="570">
        <v>6.1219999999999999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6.1219999999999999</v>
      </c>
      <c r="N46" s="632">
        <f t="shared" si="240"/>
        <v>-2.9640290129481226</v>
      </c>
      <c r="O46" s="629">
        <f t="shared" si="241"/>
        <v>1.8712921248949113</v>
      </c>
      <c r="P46" s="633">
        <f t="shared" si="242"/>
        <v>-0.8491025608933237</v>
      </c>
      <c r="Q46" s="585">
        <f t="shared" si="113"/>
        <v>147.73439166418518</v>
      </c>
      <c r="R46" s="629">
        <f t="shared" si="385"/>
        <v>3.5053105720166844</v>
      </c>
      <c r="S46" s="634">
        <f t="shared" si="386"/>
        <v>-0.8491025608933237</v>
      </c>
      <c r="T46" s="635">
        <f t="shared" si="387"/>
        <v>1.8240341601627359</v>
      </c>
      <c r="U46" s="629">
        <f t="shared" si="388"/>
        <v>2.9933428785976655</v>
      </c>
      <c r="V46" s="636">
        <f t="shared" si="389"/>
        <v>-0.8491025608933237</v>
      </c>
      <c r="W46" s="585">
        <f t="shared" si="224"/>
        <v>58.643391532941834</v>
      </c>
      <c r="X46" s="629">
        <f t="shared" si="390"/>
        <v>3.5053105720166844</v>
      </c>
      <c r="Y46" s="630">
        <f t="shared" si="223"/>
        <v>-0.8491025608933237</v>
      </c>
      <c r="Z46" s="632">
        <f t="shared" si="243"/>
        <v>0.81711143968779609</v>
      </c>
      <c r="AA46" s="629">
        <f t="shared" si="244"/>
        <v>0.53649041232123562</v>
      </c>
      <c r="AB46" s="629">
        <f t="shared" si="245"/>
        <v>-0.21096666233964026</v>
      </c>
      <c r="AC46" s="636">
        <f t="shared" si="391"/>
        <v>1</v>
      </c>
      <c r="AD46" s="637">
        <f t="shared" si="392"/>
        <v>0.81711143968779609</v>
      </c>
      <c r="AE46" s="629">
        <f t="shared" si="393"/>
        <v>0.53649041232123562</v>
      </c>
      <c r="AF46" s="633">
        <f t="shared" si="394"/>
        <v>-0.21096666233964026</v>
      </c>
      <c r="AG46" s="602">
        <f t="shared" si="395"/>
        <v>68.533524462609066</v>
      </c>
      <c r="AH46" s="603">
        <f t="shared" si="396"/>
        <v>35.203325560285499</v>
      </c>
      <c r="AI46" s="585">
        <f t="shared" si="397"/>
        <v>-77.820992866179495</v>
      </c>
      <c r="AJ46" s="586">
        <f t="shared" si="398"/>
        <v>123.28767975061075</v>
      </c>
      <c r="AK46" s="635">
        <f t="shared" si="399"/>
        <v>0.88985762757774634</v>
      </c>
      <c r="AL46" s="629">
        <f t="shared" si="400"/>
        <v>-0.40453240911325905</v>
      </c>
      <c r="AM46" s="634">
        <f t="shared" si="401"/>
        <v>-0.21096666233964026</v>
      </c>
      <c r="AN46" s="581">
        <f t="shared" si="402"/>
        <v>-62.457623766577619</v>
      </c>
      <c r="AO46" s="582">
        <f t="shared" si="94"/>
        <v>27.144638118807848</v>
      </c>
      <c r="AP46" s="585">
        <f t="shared" si="403"/>
        <v>-24.446711913574429</v>
      </c>
      <c r="AQ46" s="586">
        <f t="shared" si="246"/>
        <v>0.65033573553417001</v>
      </c>
      <c r="AS46" s="52">
        <f t="shared" si="406"/>
        <v>-301.35660846705815</v>
      </c>
      <c r="AT46" s="72">
        <f t="shared" si="247"/>
        <v>-0.63919588843789676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6.1219999999999999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-3.1013103637309221</v>
      </c>
      <c r="C47" s="708">
        <v>1.9865455010684185</v>
      </c>
      <c r="D47" s="709">
        <v>-1.6359999999999997</v>
      </c>
      <c r="E47" s="710">
        <v>-0.88814934878206853</v>
      </c>
      <c r="F47" s="708">
        <v>-0.45955493062089403</v>
      </c>
      <c r="G47" s="711">
        <v>1.133974479894842E-7</v>
      </c>
      <c r="H47" s="710">
        <v>0.314</v>
      </c>
      <c r="I47" s="708">
        <v>0.52</v>
      </c>
      <c r="J47" s="570">
        <v>6.1280000000000001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6.1280000000000001</v>
      </c>
      <c r="N47" s="632">
        <f t="shared" si="240"/>
        <v>-3.1013103637309221</v>
      </c>
      <c r="O47" s="629">
        <f t="shared" si="241"/>
        <v>1.9865455010684185</v>
      </c>
      <c r="P47" s="633">
        <f t="shared" si="242"/>
        <v>-1.6359999999999997</v>
      </c>
      <c r="Q47" s="585">
        <f t="shared" si="113"/>
        <v>147.35839171847286</v>
      </c>
      <c r="R47" s="629">
        <f t="shared" si="385"/>
        <v>3.6829999999999998</v>
      </c>
      <c r="S47" s="634">
        <f t="shared" si="386"/>
        <v>-1.6359999999999997</v>
      </c>
      <c r="T47" s="635">
        <f t="shared" si="387"/>
        <v>1.9370951491906412</v>
      </c>
      <c r="U47" s="629">
        <f t="shared" si="388"/>
        <v>3.1324353757072285</v>
      </c>
      <c r="V47" s="636">
        <f t="shared" si="389"/>
        <v>-1.6359999999999997</v>
      </c>
      <c r="W47" s="585">
        <f t="shared" si="224"/>
        <v>58.267391587229511</v>
      </c>
      <c r="X47" s="629">
        <f t="shared" si="390"/>
        <v>3.6829999999999998</v>
      </c>
      <c r="Y47" s="630">
        <f t="shared" si="223"/>
        <v>-1.6359999999999997</v>
      </c>
      <c r="Z47" s="632">
        <f t="shared" si="243"/>
        <v>0.88814934878206853</v>
      </c>
      <c r="AA47" s="629">
        <f t="shared" si="244"/>
        <v>0.45955493062089403</v>
      </c>
      <c r="AB47" s="629">
        <f t="shared" si="245"/>
        <v>-1.133974479894842E-7</v>
      </c>
      <c r="AC47" s="636">
        <f t="shared" si="391"/>
        <v>1</v>
      </c>
      <c r="AD47" s="637">
        <f t="shared" si="392"/>
        <v>0.88814934878206853</v>
      </c>
      <c r="AE47" s="629">
        <f t="shared" si="393"/>
        <v>0.45955493062089403</v>
      </c>
      <c r="AF47" s="633">
        <f t="shared" si="394"/>
        <v>-1.133974479894842E-7</v>
      </c>
      <c r="AG47" s="602">
        <f t="shared" si="395"/>
        <v>89.999985861983546</v>
      </c>
      <c r="AH47" s="603">
        <f t="shared" si="396"/>
        <v>27.358391718474213</v>
      </c>
      <c r="AI47" s="585">
        <f t="shared" si="397"/>
        <v>-89.999993502804813</v>
      </c>
      <c r="AJ47" s="586">
        <f t="shared" si="398"/>
        <v>117.35839171847351</v>
      </c>
      <c r="AK47" s="635">
        <f t="shared" si="399"/>
        <v>0.86602540378443882</v>
      </c>
      <c r="AL47" s="629">
        <f t="shared" si="400"/>
        <v>-0.4999999999999869</v>
      </c>
      <c r="AM47" s="634">
        <f t="shared" si="401"/>
        <v>-1.133974479894842E-7</v>
      </c>
      <c r="AN47" s="581">
        <f t="shared" si="402"/>
        <v>-89.99998700560964</v>
      </c>
      <c r="AO47" s="582">
        <f t="shared" si="94"/>
        <v>29.999999999999979</v>
      </c>
      <c r="AP47" s="585">
        <f t="shared" si="403"/>
        <v>-29.99999999999935</v>
      </c>
      <c r="AQ47" s="586">
        <f t="shared" si="246"/>
        <v>0.61896224474776895</v>
      </c>
      <c r="AS47" s="52">
        <f t="shared" si="406"/>
        <v>-301.7326084127705</v>
      </c>
      <c r="AT47" s="72">
        <f t="shared" si="247"/>
        <v>-1.4258322164711614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6.1280000000000001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0.92387953251128674</v>
      </c>
      <c r="F154" s="170">
        <f t="shared" si="929"/>
        <v>9.9045746569065896E-2</v>
      </c>
      <c r="G154" s="170">
        <f t="shared" si="929"/>
        <v>-0.36964381435823135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0.93969262078590843</v>
      </c>
      <c r="F155" s="170">
        <f t="shared" si="929"/>
        <v>8.8521314413819621E-2</v>
      </c>
      <c r="G155" s="170">
        <f t="shared" si="929"/>
        <v>-0.33036609289538282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0.93969262078590843</v>
      </c>
      <c r="F156" s="170">
        <f t="shared" si="929"/>
        <v>8.8521314413819635E-2</v>
      </c>
      <c r="G156" s="170">
        <f t="shared" si="929"/>
        <v>-0.33036609289538282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0.93445349807446942</v>
      </c>
      <c r="F157" s="170">
        <f t="shared" si="929"/>
        <v>-0.16119057106506998</v>
      </c>
      <c r="G157" s="170">
        <f t="shared" si="929"/>
        <v>-0.31751261350709248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0.90910722297786584</v>
      </c>
      <c r="F158" s="170">
        <f t="shared" si="929"/>
        <v>-0.3405413341713755</v>
      </c>
      <c r="G158" s="170">
        <f t="shared" si="929"/>
        <v>-0.23990760065127731</v>
      </c>
      <c r="H158" s="139"/>
      <c r="I158" s="86"/>
      <c r="J158" s="79">
        <f t="shared" si="930"/>
        <v>1.119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0.83441140427885951</v>
      </c>
      <c r="F159" s="170">
        <f t="shared" si="929"/>
        <v>-0.52775737541122458</v>
      </c>
      <c r="G159" s="170">
        <f t="shared" si="929"/>
        <v>-0.15883878968450205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0.84278135614737548</v>
      </c>
      <c r="F160" s="170">
        <f t="shared" si="929"/>
        <v>-0.5382560596318241</v>
      </c>
      <c r="G160" s="170">
        <f t="shared" si="929"/>
        <v>-1.1339744831728188E-7</v>
      </c>
      <c r="H160" s="139"/>
      <c r="I160" s="86"/>
      <c r="J160" s="79">
        <f t="shared" si="930"/>
        <v>1.131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-0.18133238550493233</v>
      </c>
      <c r="F161" s="170">
        <f t="shared" si="929"/>
        <v>-0.52437660725502144</v>
      </c>
      <c r="G161" s="170">
        <f t="shared" si="929"/>
        <v>-0.831954169249006</v>
      </c>
      <c r="H161" s="139"/>
      <c r="I161" s="86"/>
      <c r="J161" s="79">
        <f t="shared" si="930"/>
        <v>1.2190000000000001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-0.26120321841031219</v>
      </c>
      <c r="F162" s="170">
        <f t="shared" si="929"/>
        <v>-0.77954703030149419</v>
      </c>
      <c r="G162" s="170">
        <f t="shared" si="929"/>
        <v>-0.56927963799895065</v>
      </c>
      <c r="H162" s="139"/>
      <c r="I162" s="86"/>
      <c r="J162" s="79">
        <f t="shared" si="930"/>
        <v>1.2250000000000001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0.43297775441602615</v>
      </c>
      <c r="F163" s="170">
        <f t="shared" si="929"/>
        <v>-0.83948030463217593</v>
      </c>
      <c r="G163" s="170">
        <f t="shared" si="929"/>
        <v>-0.3283337970960718</v>
      </c>
      <c r="H163" s="139"/>
      <c r="I163" s="86"/>
      <c r="J163" s="79">
        <f t="shared" si="930"/>
        <v>2.1120000000000001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0.27374623964708017</v>
      </c>
      <c r="F164" s="170">
        <f t="shared" si="929"/>
        <v>-0.92899772778258294</v>
      </c>
      <c r="G164" s="170">
        <f t="shared" si="929"/>
        <v>-0.24905063351431461</v>
      </c>
      <c r="H164" s="139"/>
      <c r="I164" s="86"/>
      <c r="J164" s="79">
        <f t="shared" si="930"/>
        <v>2.1179999999999999</v>
      </c>
    </row>
    <row r="165" spans="5:16" x14ac:dyDescent="0.25">
      <c r="E165" s="170">
        <f t="shared" si="929"/>
        <v>7.1747655566852503E-2</v>
      </c>
      <c r="F165" s="170">
        <f t="shared" si="929"/>
        <v>-0.98075539454460281</v>
      </c>
      <c r="G165" s="170">
        <f t="shared" si="929"/>
        <v>-0.18157954177803451</v>
      </c>
      <c r="H165" s="139"/>
      <c r="I165" s="86"/>
      <c r="J165" s="79">
        <f t="shared" si="930"/>
        <v>2.1240000000000001</v>
      </c>
    </row>
    <row r="166" spans="5:16" x14ac:dyDescent="0.25">
      <c r="E166" s="170">
        <f t="shared" si="929"/>
        <v>4.2485207395031144E-2</v>
      </c>
      <c r="F166" s="170">
        <f t="shared" si="929"/>
        <v>-0.99909709595844021</v>
      </c>
      <c r="G166" s="170">
        <f t="shared" si="929"/>
        <v>-1.1339744825155341E-7</v>
      </c>
      <c r="H166" s="139"/>
      <c r="I166" s="86"/>
      <c r="J166" s="79">
        <f t="shared" si="930"/>
        <v>2.13</v>
      </c>
    </row>
    <row r="167" spans="5:16" x14ac:dyDescent="0.25">
      <c r="E167" s="170">
        <f t="shared" si="929"/>
        <v>-0.37616414743222165</v>
      </c>
      <c r="F167" s="170">
        <f t="shared" si="929"/>
        <v>-0.84962579097699664</v>
      </c>
      <c r="G167" s="170">
        <f t="shared" si="929"/>
        <v>-0.36964381435823146</v>
      </c>
      <c r="H167" s="139"/>
      <c r="I167" s="86"/>
      <c r="J167" s="79">
        <f t="shared" si="930"/>
        <v>3.1019999999999999</v>
      </c>
    </row>
    <row r="168" spans="5:16" x14ac:dyDescent="0.25">
      <c r="E168" s="170">
        <f t="shared" si="929"/>
        <v>-0.39318512227613106</v>
      </c>
      <c r="F168" s="170">
        <f t="shared" si="929"/>
        <v>-0.85805810076342925</v>
      </c>
      <c r="G168" s="170">
        <f t="shared" si="929"/>
        <v>-0.33036609289538277</v>
      </c>
      <c r="H168" s="139"/>
      <c r="I168" s="86"/>
      <c r="J168" s="79">
        <f t="shared" si="930"/>
        <v>3.105</v>
      </c>
    </row>
    <row r="169" spans="5:16" x14ac:dyDescent="0.25">
      <c r="E169" s="170">
        <f t="shared" si="929"/>
        <v>-0.48891897236261322</v>
      </c>
      <c r="F169" s="170">
        <f t="shared" si="929"/>
        <v>-0.80190279613603899</v>
      </c>
      <c r="G169" s="170">
        <f t="shared" si="929"/>
        <v>-0.34338046539238176</v>
      </c>
      <c r="H169" s="139"/>
      <c r="I169" s="86"/>
      <c r="J169" s="79">
        <f t="shared" si="930"/>
        <v>3.109</v>
      </c>
    </row>
    <row r="170" spans="5:16" x14ac:dyDescent="0.25">
      <c r="E170" s="170">
        <f t="shared" si="929"/>
        <v>-0.65730612255253318</v>
      </c>
      <c r="F170" s="170">
        <f t="shared" si="929"/>
        <v>-0.69531034440062855</v>
      </c>
      <c r="G170" s="170">
        <f t="shared" si="929"/>
        <v>-0.29067539666169506</v>
      </c>
      <c r="H170" s="139"/>
      <c r="I170" s="86"/>
      <c r="J170" s="79">
        <f t="shared" si="930"/>
        <v>3.1150000000000002</v>
      </c>
    </row>
    <row r="171" spans="5:16" x14ac:dyDescent="0.25">
      <c r="E171" s="170">
        <f t="shared" si="929"/>
        <v>-0.79223347670897271</v>
      </c>
      <c r="F171" s="170">
        <f t="shared" si="929"/>
        <v>-0.57093319346683202</v>
      </c>
      <c r="G171" s="170">
        <f t="shared" si="929"/>
        <v>-0.21540985812951682</v>
      </c>
      <c r="H171" s="139"/>
      <c r="I171" s="86"/>
      <c r="J171" s="79">
        <f t="shared" si="930"/>
        <v>3.121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-0.88861347719157824</v>
      </c>
      <c r="F172" s="170">
        <f t="shared" si="929"/>
        <v>-0.44885890550369739</v>
      </c>
      <c r="G172" s="170">
        <f t="shared" si="929"/>
        <v>-9.4296188170654938E-2</v>
      </c>
      <c r="H172" s="139"/>
      <c r="I172" s="86"/>
      <c r="J172" s="79">
        <f t="shared" si="930"/>
        <v>3.1269999999999998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-0.88814955723140332</v>
      </c>
      <c r="F173" s="170">
        <f t="shared" si="929"/>
        <v>-0.45955452776536726</v>
      </c>
      <c r="G173" s="170">
        <f t="shared" si="929"/>
        <v>-1.1339744855140686E-7</v>
      </c>
      <c r="H173" s="139"/>
      <c r="I173" s="86"/>
      <c r="J173" s="79">
        <f t="shared" si="930"/>
        <v>3.133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-0.43215820352206463</v>
      </c>
      <c r="F174" s="170">
        <f t="shared" si="933"/>
        <v>0.49185843315317473</v>
      </c>
      <c r="G174" s="170">
        <f t="shared" si="933"/>
        <v>-0.75585353664892374</v>
      </c>
      <c r="H174" s="139"/>
      <c r="I174" s="86"/>
      <c r="J174" s="79">
        <f t="shared" si="930"/>
        <v>3.2210000000000001</v>
      </c>
    </row>
    <row r="175" spans="5:16" x14ac:dyDescent="0.25">
      <c r="E175" s="170">
        <f t="shared" si="933"/>
        <v>-0.58512825352491671</v>
      </c>
      <c r="F175" s="170">
        <f t="shared" si="933"/>
        <v>0.6666430949832578</v>
      </c>
      <c r="G175" s="170">
        <f t="shared" si="933"/>
        <v>-0.46174875293607887</v>
      </c>
      <c r="H175" s="139"/>
      <c r="I175" s="86"/>
      <c r="J175" s="79">
        <f t="shared" si="930"/>
        <v>3.2269999999999999</v>
      </c>
    </row>
    <row r="176" spans="5:16" x14ac:dyDescent="0.25">
      <c r="E176" s="170">
        <f t="shared" si="933"/>
        <v>-0.9394105903578176</v>
      </c>
      <c r="F176" s="170">
        <f t="shared" si="933"/>
        <v>-2.9148664589531515E-2</v>
      </c>
      <c r="G176" s="170">
        <f t="shared" si="933"/>
        <v>-0.34155248216961265</v>
      </c>
      <c r="H176" s="139"/>
      <c r="I176" s="86"/>
      <c r="J176" s="79">
        <f t="shared" si="930"/>
        <v>4.1079999999999997</v>
      </c>
    </row>
    <row r="177" spans="5:10" x14ac:dyDescent="0.25">
      <c r="E177" s="170">
        <f t="shared" si="933"/>
        <v>-0.93273539140177797</v>
      </c>
      <c r="F177" s="170">
        <f t="shared" si="933"/>
        <v>0.19179575474098118</v>
      </c>
      <c r="G177" s="170">
        <f t="shared" si="933"/>
        <v>-0.3053179950312615</v>
      </c>
      <c r="H177" s="139"/>
      <c r="I177" s="86"/>
      <c r="J177" s="79">
        <f t="shared" si="930"/>
        <v>4.1139999999999999</v>
      </c>
    </row>
    <row r="178" spans="5:10" x14ac:dyDescent="0.25">
      <c r="E178" s="170">
        <f t="shared" si="933"/>
        <v>-0.899955648977807</v>
      </c>
      <c r="F178" s="170">
        <f t="shared" si="933"/>
        <v>0.37109137306573531</v>
      </c>
      <c r="G178" s="170">
        <f t="shared" si="933"/>
        <v>-0.22884716015087814</v>
      </c>
      <c r="H178" s="139"/>
      <c r="I178" s="86"/>
      <c r="J178" s="79">
        <f t="shared" si="930"/>
        <v>4.12</v>
      </c>
    </row>
    <row r="179" spans="5:10" x14ac:dyDescent="0.25">
      <c r="E179" s="170">
        <f t="shared" si="933"/>
        <v>-0.83339208871760961</v>
      </c>
      <c r="F179" s="170">
        <f t="shared" si="933"/>
        <v>0.5378903981309997</v>
      </c>
      <c r="G179" s="170">
        <f t="shared" si="933"/>
        <v>-0.1270100234681289</v>
      </c>
      <c r="H179" s="139"/>
      <c r="I179" s="86"/>
      <c r="J179" s="79">
        <f t="shared" si="930"/>
        <v>4.1260000000000003</v>
      </c>
    </row>
    <row r="180" spans="5:10" x14ac:dyDescent="0.25">
      <c r="E180" s="170">
        <f t="shared" si="933"/>
        <v>-0.8424521561560816</v>
      </c>
      <c r="F180" s="170">
        <f t="shared" si="933"/>
        <v>0.53877116161498118</v>
      </c>
      <c r="G180" s="170">
        <f t="shared" si="933"/>
        <v>-1.1339744832902593E-7</v>
      </c>
      <c r="H180" s="139"/>
      <c r="I180" s="86"/>
      <c r="J180" s="79">
        <f t="shared" si="930"/>
        <v>4.1319999999999997</v>
      </c>
    </row>
    <row r="181" spans="5:10" x14ac:dyDescent="0.25">
      <c r="E181" s="170">
        <f t="shared" si="933"/>
        <v>-0.47735858257760022</v>
      </c>
      <c r="F181" s="170">
        <f t="shared" si="933"/>
        <v>0.81424015395001481</v>
      </c>
      <c r="G181" s="170">
        <f t="shared" si="933"/>
        <v>-0.33036609289538282</v>
      </c>
      <c r="H181" s="139"/>
      <c r="I181" s="86"/>
      <c r="J181" s="79">
        <f t="shared" si="930"/>
        <v>5.1029999999999998</v>
      </c>
    </row>
    <row r="182" spans="5:10" x14ac:dyDescent="0.25">
      <c r="E182" s="170">
        <f t="shared" si="933"/>
        <v>-0.47735858257760039</v>
      </c>
      <c r="F182" s="170">
        <f t="shared" si="933"/>
        <v>0.81424015395001481</v>
      </c>
      <c r="G182" s="170">
        <f t="shared" si="933"/>
        <v>-0.33036609289538271</v>
      </c>
      <c r="H182" s="139"/>
      <c r="I182" s="86"/>
      <c r="J182" s="79">
        <f t="shared" si="930"/>
        <v>5.1059999999999999</v>
      </c>
    </row>
    <row r="183" spans="5:10" x14ac:dyDescent="0.25">
      <c r="E183" s="170">
        <f t="shared" si="933"/>
        <v>-0.31248857641402228</v>
      </c>
      <c r="F183" s="170">
        <f t="shared" si="933"/>
        <v>0.88844668013887196</v>
      </c>
      <c r="G183" s="170">
        <f t="shared" si="933"/>
        <v>-0.33617463640339512</v>
      </c>
      <c r="H183" s="139"/>
      <c r="I183" s="86"/>
      <c r="J183" s="79">
        <f t="shared" si="930"/>
        <v>5.1109999999999998</v>
      </c>
    </row>
    <row r="184" spans="5:10" x14ac:dyDescent="0.25">
      <c r="E184" s="170">
        <f t="shared" si="933"/>
        <v>-0.14098427932771804</v>
      </c>
      <c r="F184" s="170">
        <f t="shared" si="933"/>
        <v>0.95658060500354547</v>
      </c>
      <c r="G184" s="170">
        <f t="shared" si="933"/>
        <v>-0.25510189947057466</v>
      </c>
      <c r="H184" s="139"/>
      <c r="I184" s="86"/>
      <c r="J184" s="79">
        <f t="shared" si="930"/>
        <v>5.117</v>
      </c>
    </row>
    <row r="185" spans="5:10" x14ac:dyDescent="0.25">
      <c r="E185" s="170">
        <f t="shared" si="933"/>
        <v>7.1704537349371905E-2</v>
      </c>
      <c r="F185" s="170">
        <f t="shared" si="933"/>
        <v>0.97660041801267872</v>
      </c>
      <c r="G185" s="170">
        <f t="shared" si="933"/>
        <v>-0.20275621534486624</v>
      </c>
      <c r="H185" s="139"/>
      <c r="I185" s="86"/>
      <c r="J185" s="79">
        <f t="shared" si="930"/>
        <v>5.1230000000000002</v>
      </c>
    </row>
    <row r="186" spans="5:10" x14ac:dyDescent="0.25">
      <c r="E186" s="170">
        <f t="shared" si="933"/>
        <v>0.13297631490676357</v>
      </c>
      <c r="F186" s="170">
        <f t="shared" si="933"/>
        <v>0.99111921567175987</v>
      </c>
      <c r="G186" s="170">
        <f t="shared" si="933"/>
        <v>-1.1339744837938798E-7</v>
      </c>
      <c r="H186" s="139"/>
      <c r="I186" s="86"/>
      <c r="J186" s="79">
        <f t="shared" si="930"/>
        <v>5.1289999999999996</v>
      </c>
    </row>
    <row r="187" spans="5:10" x14ac:dyDescent="0.25">
      <c r="E187" s="170">
        <f t="shared" si="933"/>
        <v>0.44277806000645076</v>
      </c>
      <c r="F187" s="170">
        <f t="shared" si="933"/>
        <v>4.0595309524997292E-2</v>
      </c>
      <c r="G187" s="170">
        <f t="shared" si="933"/>
        <v>-0.89571178981941146</v>
      </c>
      <c r="H187" s="139"/>
      <c r="I187" s="86"/>
      <c r="J187" s="79">
        <f t="shared" si="930"/>
        <v>5.2169999999999996</v>
      </c>
    </row>
    <row r="188" spans="5:10" x14ac:dyDescent="0.25">
      <c r="E188" s="170">
        <f t="shared" si="933"/>
        <v>0.73959929074160169</v>
      </c>
      <c r="F188" s="170">
        <f t="shared" si="933"/>
        <v>8.3620849596482E-2</v>
      </c>
      <c r="G188" s="170">
        <f t="shared" si="933"/>
        <v>-0.66783264568848566</v>
      </c>
      <c r="H188" s="139"/>
      <c r="I188" s="86"/>
      <c r="J188" s="79">
        <f t="shared" si="930"/>
        <v>5.2229999999999999</v>
      </c>
    </row>
    <row r="189" spans="5:10" x14ac:dyDescent="0.25">
      <c r="E189" s="170">
        <f t="shared" si="933"/>
        <v>0.51877380923098837</v>
      </c>
      <c r="F189" s="170">
        <f t="shared" si="933"/>
        <v>0.78387115941247232</v>
      </c>
      <c r="G189" s="170">
        <f t="shared" si="933"/>
        <v>-0.34120337087625102</v>
      </c>
      <c r="H189" s="139"/>
      <c r="I189" s="86"/>
      <c r="J189" s="79">
        <f t="shared" si="930"/>
        <v>6.11</v>
      </c>
    </row>
    <row r="190" spans="5:10" x14ac:dyDescent="0.25">
      <c r="E190" s="170">
        <f t="shared" si="933"/>
        <v>0.68066800422967999</v>
      </c>
      <c r="F190" s="170">
        <f t="shared" si="933"/>
        <v>0.67941841133133596</v>
      </c>
      <c r="G190" s="170">
        <f t="shared" si="933"/>
        <v>-0.27401038367548819</v>
      </c>
      <c r="H190" s="139"/>
      <c r="I190" s="86"/>
      <c r="J190" s="79">
        <f t="shared" si="930"/>
        <v>6.1159999999999997</v>
      </c>
    </row>
    <row r="191" spans="5:10" x14ac:dyDescent="0.25">
      <c r="E191" s="170">
        <f t="shared" si="933"/>
        <v>0.81711143968779609</v>
      </c>
      <c r="F191" s="170">
        <f t="shared" si="933"/>
        <v>0.53649041232123562</v>
      </c>
      <c r="G191" s="170">
        <f t="shared" si="933"/>
        <v>-0.21096666233964026</v>
      </c>
      <c r="H191" s="139"/>
      <c r="I191" s="86"/>
      <c r="J191" s="79">
        <f t="shared" si="930"/>
        <v>6.1219999999999999</v>
      </c>
    </row>
    <row r="192" spans="5:10" x14ac:dyDescent="0.25">
      <c r="E192" s="170">
        <f t="shared" si="933"/>
        <v>0.88814934878206853</v>
      </c>
      <c r="F192" s="170">
        <f t="shared" si="933"/>
        <v>0.45955493062089403</v>
      </c>
      <c r="G192" s="170">
        <f t="shared" si="933"/>
        <v>-1.133974479894842E-7</v>
      </c>
      <c r="H192" s="139"/>
      <c r="I192" s="86"/>
      <c r="J192" s="79">
        <f t="shared" si="930"/>
        <v>6.1280000000000001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A0E33CA-DE45-45B3-94E3-139D4E0C0F69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9B7B47C4-0895-4F0F-A6CE-5D7DB0658D57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7.875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1.119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1.2190000000000001</v>
      </c>
      <c r="N171" s="869" t="str">
        <f>Assy.Model!K16</f>
        <v>Inactive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1.2250000000000001</v>
      </c>
      <c r="N172" s="869" t="str">
        <f>Assy.Model!K17</f>
        <v>Inactive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2.1120000000000001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2.1179999999999999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2.1240000000000001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2.13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3.1019999999999999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3.105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3.1150000000000002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3.121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3.1269999999999998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3.133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3.2210000000000001</v>
      </c>
      <c r="N184" s="869" t="str">
        <f>Assy.Model!K29</f>
        <v>Inactive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3.2269999999999999</v>
      </c>
      <c r="N185" s="869" t="str">
        <f>Assy.Model!K30</f>
        <v>Inactive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4.1079999999999997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4.1139999999999999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4.12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4.1260000000000003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4.1319999999999997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5.1029999999999998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5.1059999999999999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5.1109999999999998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5.117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5.1230000000000002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5.1289999999999996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5.2169999999999996</v>
      </c>
      <c r="N197" s="869" t="str">
        <f>Assy.Model!K42</f>
        <v>Inactive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5.2229999999999999</v>
      </c>
      <c r="N198" s="869" t="str">
        <f>Assy.Model!K43</f>
        <v>Inactive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6.11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6.1159999999999997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6.1219999999999999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6.1280000000000001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2023-03-28T18:28:33Z</dcterms:modified>
</cp:coreProperties>
</file>