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53\"/>
    </mc:Choice>
  </mc:AlternateContent>
  <xr:revisionPtr revIDLastSave="0" documentId="13_ncr:1_{92B1590B-7E08-4B6F-B18B-32C04BF3DB4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K10" i="1" l="1"/>
  <c r="IW10" i="1"/>
  <c r="IR10" i="1"/>
  <c r="IN10" i="1"/>
  <c r="IV10" i="1"/>
  <c r="IR11" i="1"/>
  <c r="IV11" i="1"/>
  <c r="IW11" i="1"/>
  <c r="IN11" i="1"/>
  <c r="IK11" i="1"/>
  <c r="IU11" i="1"/>
  <c r="IE11" i="1" s="1"/>
  <c r="JA9" i="1" a="1"/>
  <c r="JA9" i="1" s="1"/>
  <c r="IF85" i="1"/>
  <c r="IF129" i="1"/>
  <c r="IF73" i="1"/>
  <c r="IF49" i="1"/>
  <c r="IF138" i="1"/>
  <c r="IF150" i="1"/>
  <c r="IF48" i="1"/>
  <c r="IF148" i="1"/>
  <c r="IF127" i="1"/>
  <c r="IF128" i="1"/>
  <c r="IF86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A23" i="1" l="1" a="1"/>
  <c r="JA23" i="1" s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14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13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61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IQ12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24" i="1" l="1"/>
  <c r="IQ15" i="1"/>
  <c r="IV20" i="1"/>
  <c r="IQ11" i="1"/>
  <c r="IV19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12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13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14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11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9" i="1" l="1"/>
  <c r="IU24" i="1"/>
  <c r="IE24" i="1" s="1"/>
  <c r="IP15" i="1"/>
  <c r="IU19" i="1"/>
  <c r="IE19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IL12" i="1" s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3" i="1" l="1"/>
  <c r="IL16" i="1"/>
  <c r="IL15" i="1"/>
  <c r="IL9" i="1"/>
  <c r="IL14" i="1"/>
  <c r="IL13" i="1"/>
  <c r="IL11" i="1"/>
  <c r="IL10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U24" i="1"/>
  <c r="T24" i="1"/>
  <c r="AK23" i="1"/>
  <c r="U23" i="1"/>
  <c r="T23" i="1"/>
  <c r="AL23" i="1"/>
  <c r="AN23" i="1" s="1"/>
  <c r="IT14" i="1" s="1"/>
  <c r="AL22" i="1"/>
  <c r="AN22" i="1" s="1"/>
  <c r="IT13" i="1" s="1"/>
  <c r="U22" i="1"/>
  <c r="AK22" i="1"/>
  <c r="T22" i="1"/>
  <c r="AK21" i="1"/>
  <c r="AO21" i="1" s="1"/>
  <c r="IS12" i="1" s="1"/>
  <c r="T21" i="1"/>
  <c r="AL21" i="1"/>
  <c r="AN21" i="1" s="1"/>
  <c r="IT12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IT9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IF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24" i="1" l="1"/>
  <c r="IT15" i="1"/>
  <c r="IT20" i="1"/>
  <c r="IY20" i="1"/>
  <c r="IT11" i="1"/>
  <c r="IY19" i="1"/>
  <c r="IT1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AP24" i="1"/>
  <c r="AO23" i="1"/>
  <c r="IS14" i="1" s="1"/>
  <c r="AP23" i="1"/>
  <c r="AP21" i="1"/>
  <c r="AO22" i="1"/>
  <c r="IS13" i="1" s="1"/>
  <c r="AP22" i="1"/>
  <c r="AO19" i="1"/>
  <c r="AP19" i="1"/>
  <c r="AP20" i="1"/>
  <c r="AO20" i="1"/>
  <c r="IS34" i="1" s="1"/>
  <c r="AO17" i="1"/>
  <c r="IX17" i="1" s="1"/>
  <c r="IF17" i="1" s="1"/>
  <c r="AP17" i="1"/>
  <c r="AO18" i="1"/>
  <c r="IS9" i="1" s="1"/>
  <c r="AP18" i="1"/>
  <c r="AP15" i="1"/>
  <c r="AO15" i="1"/>
  <c r="IX15" i="1" s="1"/>
  <c r="IF15" i="1" s="1"/>
  <c r="AO16" i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2" i="1" l="1"/>
  <c r="IT18" i="1"/>
  <c r="IX24" i="1"/>
  <c r="IF24" i="1" s="1"/>
  <c r="IS15" i="1"/>
  <c r="IS20" i="1"/>
  <c r="IX14" i="1"/>
  <c r="IF14" i="1" s="1"/>
  <c r="IX20" i="1"/>
  <c r="IF20" i="1" s="1"/>
  <c r="IS11" i="1"/>
  <c r="IT19" i="1"/>
  <c r="IX19" i="1"/>
  <c r="IF19" i="1" s="1"/>
  <c r="IS10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<sst xmlns="http://schemas.openxmlformats.org/spreadsheetml/2006/main" count="734" uniqueCount="391">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</sst>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E19" sqref="E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22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89.830000024544958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-7.2600218962260391E-2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-5.000000000000001E-2</v>
      </c>
      <c r="C9" s="703">
        <v>0.2890008716266288</v>
      </c>
      <c r="D9" s="704">
        <v>-0.26950081281445148</v>
      </c>
      <c r="E9" s="705">
        <v>-0.93969263802333458</v>
      </c>
      <c r="F9" s="703">
        <v>0</v>
      </c>
      <c r="G9" s="706">
        <v>0.3420200959662259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-5.000000000000001E-2</v>
      </c>
      <c r="O9" s="624">
        <f t="shared" ref="O9:O40" si="3">IF(M9="","",C9)</f>
        <v>0.2890008716266288</v>
      </c>
      <c r="P9" s="625">
        <f t="shared" ref="P9:P40" si="4">IF(M9="","",D9)</f>
        <v>-0.26950081281445148</v>
      </c>
      <c r="Q9" s="583">
        <f>IF(M9="","",IF(DEGREES(ATAN2(N9,O9))&lt;0,DEGREES(ATAN2(N9,O9))+360,IF(DEGREES(ATAN2(N9,O9))&gt;360,DEGREES(ATAN2(N9,O9))-360,DEGREES(ATAN2(N9,O9)))))</f>
        <v>99.815569854736736</v>
      </c>
      <c r="R9" s="624">
        <f>IF(M9="","",SQRT(N9^2+O9^2))</f>
        <v>0.29329422735701971</v>
      </c>
      <c r="S9" s="626">
        <f>IF(M9="","",P9)</f>
        <v>-0.26950081281445148</v>
      </c>
      <c r="T9" s="627">
        <f>IF(M9="","",X9*COS(RADIANS(W9)))</f>
        <v>0.28885124677918617</v>
      </c>
      <c r="U9" s="624">
        <f>IF(M9="","",X9*SIN(RADIANS(W9)))</f>
        <v>5.0857261379874577E-2</v>
      </c>
      <c r="V9" s="628">
        <f>IF(M9="","",Y9)</f>
        <v>-0.26950081281445148</v>
      </c>
      <c r="W9" s="583">
        <f t="shared" ref="W9:W14" si="5">IF(M9="","",IF(Q9-$Q$8&lt;0,360+Q9-$Q$8,Q9-$Q$8))</f>
        <v>9.9855698301917784</v>
      </c>
      <c r="X9" s="629">
        <f>IF(M9="","",R9)</f>
        <v>0.29329422735701971</v>
      </c>
      <c r="Y9" s="630">
        <f>IF(M9="","",S9)</f>
        <v>-0.26950081281445148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0.92593704928018272</v>
      </c>
      <c r="AL9" s="624">
        <f>IF(M9="","",(SIN(RADIANS((90-$Q$8)-W9))*AD9)+(COS(RADIANS((90-$Q$8)-W9))*AE9))</f>
        <v>-0.16019623817543976</v>
      </c>
      <c r="AM9" s="626">
        <f>IF(M9="","",AF9)</f>
        <v>-0.3420200959662259</v>
      </c>
      <c r="AN9" s="581">
        <f>IF(M9="","",DEGREES(ATAN2(-AM9,AL9)))</f>
        <v>-25.097570852605383</v>
      </c>
      <c r="AO9" s="582">
        <f>IF(ROUND(IF(M9="",0,DEGREES(ACOS(AK9))),4)=90,0,IF(M9="","",DEGREES(ACOS(AK9))))</f>
        <v>22.189919154116033</v>
      </c>
      <c r="AP9" s="781">
        <f>IF(M9="","",DEGREES(ATAN2(AK9,AL9)))</f>
        <v>-9.8155698547367347</v>
      </c>
      <c r="AQ9" s="584">
        <f t="shared" ref="AQ9:AQ40" si="9">IF(M9="","",DEGREES(ATAN(($AS$5*SIN(RADIANS(90)))/(($X9*2*PI())-($AS$5*COS(RADIANS(90)))))))</f>
        <v>7.725667455392581</v>
      </c>
      <c r="AS9" s="51">
        <f>IF(M9="","",W9)</f>
        <v>9.9855698301917784</v>
      </c>
      <c r="AT9" s="71">
        <f t="shared" ref="AT9:AT40" si="10">IF(M9="","",Y9+(((AS9-$AS$9)*$AS$6)*-1))</f>
        <v>-0.26950081281445148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-2.9000000000000001E-2</v>
      </c>
      <c r="C10" s="708">
        <v>1.014803060646031</v>
      </c>
      <c r="D10" s="709">
        <v>-0.22760068644367035</v>
      </c>
      <c r="E10" s="710">
        <v>-0.96592583607220739</v>
      </c>
      <c r="F10" s="708">
        <v>0</v>
      </c>
      <c r="G10" s="711">
        <v>0.25881900859134593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-2.9000000000000001E-2</v>
      </c>
      <c r="O10" s="629">
        <f t="shared" si="3"/>
        <v>1.014803060646031</v>
      </c>
      <c r="P10" s="633">
        <f t="shared" si="4"/>
        <v>-0.22760068644367035</v>
      </c>
      <c r="Q10" s="585">
        <f>IF(M10="","",IF(DEGREES(ATAN2(N10,O10))&lt;0,DEGREES(ATAN2(N10,O10))+360,IF(DEGREES(ATAN2(N10,O10))&gt;360,DEGREES(ATAN2(N10,O10))-360,DEGREES(ATAN2(N10,O10)))))</f>
        <v>91.636894473743141</v>
      </c>
      <c r="R10" s="629">
        <f t="shared" ref="R10:R105" si="79">IF(M10="","",SQRT(N10^2+O10^2))</f>
        <v>1.0152173421965132</v>
      </c>
      <c r="S10" s="634">
        <f t="shared" ref="S10:S105" si="80">IF(M10="","",P10)</f>
        <v>-0.22760068644367035</v>
      </c>
      <c r="T10" s="635">
        <f t="shared" ref="T10:T105" si="81">IF(M10="","",X10*COS(RADIANS(W10)))</f>
        <v>1.0147125491764766</v>
      </c>
      <c r="U10" s="629">
        <f t="shared" ref="U10:U105" si="82">IF(M10="","",X10*SIN(RADIANS(W10)))</f>
        <v>3.2010848791128865E-2</v>
      </c>
      <c r="V10" s="636">
        <f>IF(M10="","",Y10)</f>
        <v>-0.22760068644367035</v>
      </c>
      <c r="W10" s="585">
        <f t="shared" si="5"/>
        <v>1.8068944491981824</v>
      </c>
      <c r="X10" s="629">
        <f t="shared" ref="X10:X105" si="83">IF(M10="","",R10)</f>
        <v>1.0152173421965132</v>
      </c>
      <c r="Y10" s="630">
        <f>IF(M10="","",S10)</f>
        <v>-0.22760068644367035</v>
      </c>
      <c r="Z10" s="632">
        <f t="shared" si="6"/>
        <v>0.96592583607220739</v>
      </c>
      <c r="AA10" s="629">
        <f t="shared" si="7"/>
        <v>0</v>
      </c>
      <c r="AB10" s="629">
        <f t="shared" si="8"/>
        <v>-0.25881900859134593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-0.25881900859134593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-75.000002165731729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0.96553166899449283</v>
      </c>
      <c r="AL10" s="629">
        <f t="shared" ref="AL10:AL105" si="91">IF(M10="","",(SIN(RADIANS((90-$Q$8)-W10))*AD10)+(COS(RADIANS((90-$Q$8)-W10))*AE10))</f>
        <v>-2.7591972754807129E-2</v>
      </c>
      <c r="AM10" s="634">
        <f t="shared" ref="AM10:AM105" si="92">IF(M10="","",AF10)</f>
        <v>-0.25881900859134593</v>
      </c>
      <c r="AN10" s="581">
        <f t="shared" ref="AN10:AN105" si="93">IF(M10="","",DEGREES(ATAN2(-AM10,AL10)))</f>
        <v>-6.0851599181633969</v>
      </c>
      <c r="AO10" s="582">
        <f t="shared" ref="AO10:AO54" si="94">IF(ROUND(IF(M10="",0,DEGREES(ACOS(AK10))),4)=90,0,IF(M10="","",DEGREES(ACOS(AK10))))</f>
        <v>15.087009604321707</v>
      </c>
      <c r="AP10" s="585">
        <f t="shared" ref="AP10:AP105" si="95">IF(M10="","",DEGREES(ATAN2(AK10,AL10)))</f>
        <v>-1.6368944737431406</v>
      </c>
      <c r="AQ10" s="586">
        <f t="shared" si="9"/>
        <v>2.2444065543481608</v>
      </c>
      <c r="AS10" s="52">
        <f>IF($M10="","",IF(AND($W10&lt;($AS$9+180),$W10&gt;($AS$9-180)),$W10,IF($W10&gt;($AS$9+180),$W10-360,IF($W10&lt;($AS$9-180),$W10+360,"Error"))))</f>
        <v>1.8068944491981824</v>
      </c>
      <c r="AT10" s="72">
        <f t="shared" si="10"/>
        <v>-0.2219210507624248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-8.0000000000000002E-3</v>
      </c>
      <c r="C11" s="708">
        <v>1.7832053781474204</v>
      </c>
      <c r="D11" s="709">
        <v>-0.1264003812235498</v>
      </c>
      <c r="E11" s="710">
        <v>-0.96592583607220739</v>
      </c>
      <c r="F11" s="708">
        <v>0</v>
      </c>
      <c r="G11" s="711">
        <v>0.25881900859134593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-8.0000000000000002E-3</v>
      </c>
      <c r="O11" s="629">
        <f t="shared" si="3"/>
        <v>1.7832053781474204</v>
      </c>
      <c r="P11" s="633">
        <f t="shared" si="4"/>
        <v>-0.1264003812235498</v>
      </c>
      <c r="Q11" s="585">
        <f t="shared" ref="Q11:Q73" si="113">IF(M11="","",IF(DEGREES(ATAN2(N11,O11))&lt;0,DEGREES(ATAN2(N11,O11))+360,IF(DEGREES(ATAN2(N11,O11))&gt;360,DEGREES(ATAN2(N11,O11))-360,DEGREES(ATAN2(N11,O11)))))</f>
        <v>90.257044514665864</v>
      </c>
      <c r="R11" s="629">
        <f t="shared" si="79"/>
        <v>1.7832233232699388</v>
      </c>
      <c r="S11" s="634">
        <f t="shared" si="80"/>
        <v>-0.1264003812235498</v>
      </c>
      <c r="T11" s="635">
        <f t="shared" si="81"/>
        <v>1.7831737925420355</v>
      </c>
      <c r="U11" s="629">
        <f t="shared" si="82"/>
        <v>1.3290833124321839E-2</v>
      </c>
      <c r="V11" s="636">
        <f t="shared" ref="V11:V105" si="114">IF(M11="","",Y11)</f>
        <v>-0.1264003812235498</v>
      </c>
      <c r="W11" s="585">
        <f t="shared" si="5"/>
        <v>0.42704449012090606</v>
      </c>
      <c r="X11" s="629">
        <f>IF(M11="","",R11)</f>
        <v>1.7832233232699388</v>
      </c>
      <c r="Y11" s="630">
        <f>IF(M11="","",S11)</f>
        <v>-0.1264003812235498</v>
      </c>
      <c r="Z11" s="632">
        <f t="shared" si="6"/>
        <v>0.96592583607220739</v>
      </c>
      <c r="AA11" s="629">
        <f t="shared" si="7"/>
        <v>0</v>
      </c>
      <c r="AB11" s="629">
        <f t="shared" si="8"/>
        <v>-0.25881900859134593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0</v>
      </c>
      <c r="AF11" s="633">
        <f t="shared" si="86"/>
        <v>-0.25881900859134593</v>
      </c>
      <c r="AG11" s="602">
        <f>IF(M11="","",DEGREES(ATAN2(-AF11,AE11)))</f>
        <v>0</v>
      </c>
      <c r="AH11" s="603">
        <f t="shared" si="88"/>
        <v>14.999997834268255</v>
      </c>
      <c r="AI11" s="585">
        <f t="shared" si="89"/>
        <v>-75.000002165731729</v>
      </c>
      <c r="AJ11" s="586">
        <f t="shared" si="90"/>
        <v>90</v>
      </c>
      <c r="AK11" s="635">
        <f>IF(M11="","",(COS(RADIANS((90-$Q$8)-W11))*AD11)+(-SIN(RADIANS((90-$Q$8)-W11))*AE11))</f>
        <v>0.96591611566464786</v>
      </c>
      <c r="AL11" s="629">
        <f t="shared" si="91"/>
        <v>-4.3333925637577238E-3</v>
      </c>
      <c r="AM11" s="634">
        <f t="shared" si="92"/>
        <v>-0.25881900859134593</v>
      </c>
      <c r="AN11" s="581">
        <f>IF(M11="","",DEGREES(ATAN2(-AM11,AL11)))</f>
        <v>-0.95921049174051654</v>
      </c>
      <c r="AO11" s="582">
        <f>IF(ROUND(IF(M11="",0,DEGREES(ACOS(AK11))),4)=90,0,IF(M11="","",DEGREES(ACOS(AK11))))</f>
        <v>15.002149528247914</v>
      </c>
      <c r="AP11" s="585">
        <f t="shared" si="95"/>
        <v>-0.2570445146658642</v>
      </c>
      <c r="AQ11" s="586">
        <f t="shared" si="9"/>
        <v>1.2782181488862221</v>
      </c>
      <c r="AS11" s="52">
        <f t="shared" ref="AS11:AS42" si="116">IF(G11="","",IF(AND(W11&lt;(AS10+180),W11&gt;(AS10-180)),W11,IF(W11&gt;(AS10+180),W11-360,IF(W11&lt;(AS10-180),W11+360,"Error"))))</f>
        <v>0.42704449012090606</v>
      </c>
      <c r="AT11" s="72">
        <f t="shared" si="10"/>
        <v>-0.11976251640405614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7.584705435499401E-3</v>
      </c>
      <c r="C12" s="708">
        <v>2.5562964576803977</v>
      </c>
      <c r="D12" s="709">
        <v>-7.2600218962260391E-2</v>
      </c>
      <c r="E12" s="710">
        <v>-0.96539555295230595</v>
      </c>
      <c r="F12" s="708">
        <v>5.3228765254559184E-2</v>
      </c>
      <c r="G12" s="711">
        <v>0.25530006833016439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7.584705435499401E-3</v>
      </c>
      <c r="O12" s="629">
        <f t="shared" si="3"/>
        <v>2.5562964576803977</v>
      </c>
      <c r="P12" s="633">
        <f t="shared" si="4"/>
        <v>-7.2600218962260391E-2</v>
      </c>
      <c r="Q12" s="585">
        <f>IF(M12="","",IF(DEGREES(ATAN2(N12,O12))&lt;0,DEGREES(ATAN2(N12,O12))+360,IF(DEGREES(ATAN2(N12,O12))&gt;360,DEGREES(ATAN2(N12,O12))-360,DEGREES(ATAN2(N12,O12)))))</f>
        <v>89.830000024544958</v>
      </c>
      <c r="R12" s="629">
        <f t="shared" si="79"/>
        <v>2.5563077098240528</v>
      </c>
      <c r="S12" s="634">
        <f t="shared" si="80"/>
        <v>-7.2600218962260391E-2</v>
      </c>
      <c r="T12" s="635">
        <f>IF(M12="","",X12*COS(RADIANS(W12)))</f>
        <v>2.5563077098240528</v>
      </c>
      <c r="U12" s="629">
        <f t="shared" si="82"/>
        <v>0</v>
      </c>
      <c r="V12" s="636">
        <f t="shared" si="114"/>
        <v>-7.2600218962260391E-2</v>
      </c>
      <c r="W12" s="585">
        <f>IF(M12="","",IF(Q12-$Q$8&lt;0,360+Q12-$Q$8,Q12-$Q$8))</f>
        <v>0</v>
      </c>
      <c r="X12" s="629">
        <f t="shared" si="83"/>
        <v>2.5563077098240528</v>
      </c>
      <c r="Y12" s="630">
        <f>IF(M12="","",S12)</f>
        <v>-7.2600218962260391E-2</v>
      </c>
      <c r="Z12" s="632">
        <f t="shared" si="6"/>
        <v>0.96539555295230595</v>
      </c>
      <c r="AA12" s="629">
        <f t="shared" si="7"/>
        <v>-5.3228765254559184E-2</v>
      </c>
      <c r="AB12" s="629">
        <f t="shared" si="8"/>
        <v>-0.25530006833016439</v>
      </c>
      <c r="AC12" s="636">
        <f t="shared" si="84"/>
        <v>1</v>
      </c>
      <c r="AD12" s="637">
        <f t="shared" si="115"/>
        <v>0.96539555295230595</v>
      </c>
      <c r="AE12" s="629">
        <f t="shared" si="85"/>
        <v>-5.3228765254559184E-2</v>
      </c>
      <c r="AF12" s="633">
        <f t="shared" si="86"/>
        <v>-0.25530006833016439</v>
      </c>
      <c r="AG12" s="602">
        <f t="shared" si="87"/>
        <v>-11.777161317055825</v>
      </c>
      <c r="AH12" s="603">
        <f t="shared" si="88"/>
        <v>15.116943358367676</v>
      </c>
      <c r="AI12" s="585">
        <f t="shared" si="89"/>
        <v>-75.208633669279507</v>
      </c>
      <c r="AJ12" s="586">
        <f t="shared" si="90"/>
        <v>86.844092864543683</v>
      </c>
      <c r="AK12" s="635">
        <f t="shared" ref="AK12:AK105" si="211">IF(M12="","",(COS(RADIANS((90-$Q$8)-W12))*AD12)+(-SIN(RADIANS((90-$Q$8)-W12))*AE12))</f>
        <v>0.96554923622533118</v>
      </c>
      <c r="AL12" s="629">
        <f>IF(M12="","",(SIN(RADIANS((90-$Q$8)-W12))*AD12)+(COS(RADIANS((90-$Q$8)-W12))*AE12))</f>
        <v>-5.0364149305761059E-2</v>
      </c>
      <c r="AM12" s="634">
        <f t="shared" si="92"/>
        <v>-0.25530006833016439</v>
      </c>
      <c r="AN12" s="581">
        <f>IF(M12="","",DEGREES(ATAN2(-AM12,AL12)))</f>
        <v>-11.159691059591781</v>
      </c>
      <c r="AO12" s="582">
        <f t="shared" si="94"/>
        <v>15.083142105711367</v>
      </c>
      <c r="AP12" s="585">
        <f t="shared" si="95"/>
        <v>-2.9859071600012848</v>
      </c>
      <c r="AQ12" s="586">
        <f t="shared" si="9"/>
        <v>0.89173245818820635</v>
      </c>
      <c r="AS12" s="52">
        <f t="shared" si="116"/>
        <v>0</v>
      </c>
      <c r="AT12" s="72">
        <f>IF(M12="","",Y12+(((AS12-$AS$9)*$AS$6)*-1))</f>
        <v>-6.5665795469071656E-2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4.1261967049909858E-2</v>
      </c>
      <c r="C13" s="708">
        <v>3.2833506434080548</v>
      </c>
      <c r="D13" s="709">
        <v>-0.3403010263478955</v>
      </c>
      <c r="E13" s="710">
        <v>-0.93515599053522747</v>
      </c>
      <c r="F13" s="708">
        <v>0.21187070445034747</v>
      </c>
      <c r="G13" s="711">
        <v>0.28389096139502418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70</v>
      </c>
      <c r="M13" s="168">
        <f t="shared" si="1"/>
        <v>1.113</v>
      </c>
      <c r="N13" s="632">
        <f t="shared" si="2"/>
        <v>4.1261967049909858E-2</v>
      </c>
      <c r="O13" s="629">
        <f t="shared" si="3"/>
        <v>3.2833506434080548</v>
      </c>
      <c r="P13" s="633">
        <f t="shared" si="4"/>
        <v>-0.3403010263478955</v>
      </c>
      <c r="Q13" s="585">
        <f t="shared" si="113"/>
        <v>89.280000103955132</v>
      </c>
      <c r="R13" s="629">
        <f t="shared" si="79"/>
        <v>3.2836099033674682</v>
      </c>
      <c r="S13" s="634">
        <f t="shared" si="80"/>
        <v>-0.3403010263478955</v>
      </c>
      <c r="T13" s="635">
        <f>IF(M13="","",X13*COS(RADIANS(W13)))</f>
        <v>3.2834586175504445</v>
      </c>
      <c r="U13" s="629">
        <f t="shared" si="82"/>
        <v>-3.151990365841123E-2</v>
      </c>
      <c r="V13" s="636">
        <f t="shared" si="114"/>
        <v>-0.3403010263478955</v>
      </c>
      <c r="W13" s="585">
        <f t="shared" si="5"/>
        <v>359.45000007941013</v>
      </c>
      <c r="X13" s="629">
        <f t="shared" si="83"/>
        <v>3.2836099033674682</v>
      </c>
      <c r="Y13" s="630">
        <f>IF(M13="","",S13)</f>
        <v>-0.3403010263478955</v>
      </c>
      <c r="Z13" s="632">
        <f t="shared" si="6"/>
        <v>0.93515599053522747</v>
      </c>
      <c r="AA13" s="629">
        <f t="shared" si="7"/>
        <v>-0.21187070445034747</v>
      </c>
      <c r="AB13" s="629">
        <f t="shared" si="8"/>
        <v>-0.28389096139502418</v>
      </c>
      <c r="AC13" s="636">
        <f t="shared" si="84"/>
        <v>1</v>
      </c>
      <c r="AD13" s="637">
        <f>IF(M13="","",Z13*(1/SQRT(Z13^2+AA13^2+AB13^2)))</f>
        <v>0.93515599053522747</v>
      </c>
      <c r="AE13" s="629">
        <f t="shared" si="85"/>
        <v>-0.21187070445034747</v>
      </c>
      <c r="AF13" s="633">
        <f t="shared" si="86"/>
        <v>-0.28389096139502418</v>
      </c>
      <c r="AG13" s="602">
        <f>IF(M13="","",DEGREES(ATAN2(-AF13,AE13)))</f>
        <v>-36.734353421343201</v>
      </c>
      <c r="AH13" s="603">
        <f t="shared" si="88"/>
        <v>20.746639070683273</v>
      </c>
      <c r="AI13" s="585">
        <f t="shared" si="89"/>
        <v>-73.507432577242838</v>
      </c>
      <c r="AJ13" s="586">
        <f t="shared" si="90"/>
        <v>77.234467708293622</v>
      </c>
      <c r="AK13" s="635">
        <f t="shared" si="211"/>
        <v>0.93774452990861745</v>
      </c>
      <c r="AL13" s="629">
        <f t="shared" si="91"/>
        <v>-0.200102770257373</v>
      </c>
      <c r="AM13" s="634">
        <f t="shared" si="92"/>
        <v>-0.28389096139502418</v>
      </c>
      <c r="AN13" s="581">
        <f t="shared" si="93"/>
        <v>-35.17839540952599</v>
      </c>
      <c r="AO13" s="582">
        <f t="shared" si="94"/>
        <v>20.323834767591507</v>
      </c>
      <c r="AP13" s="585">
        <f t="shared" si="95"/>
        <v>-12.045532395661498</v>
      </c>
      <c r="AQ13" s="586">
        <f t="shared" si="9"/>
        <v>0.69424052516552237</v>
      </c>
      <c r="AS13" s="52">
        <f t="shared" si="116"/>
        <v>-0.54999992058986891</v>
      </c>
      <c r="AT13" s="72">
        <f t="shared" si="10"/>
        <v>-0.33298465846540826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8.1662961416301749E-2</v>
      </c>
      <c r="C14" s="708">
        <v>3.8034348884192775</v>
      </c>
      <c r="D14" s="709">
        <v>-0.91430275753711709</v>
      </c>
      <c r="E14" s="710">
        <v>-0.8869961978075287</v>
      </c>
      <c r="F14" s="708">
        <v>0.38746968526493747</v>
      </c>
      <c r="G14" s="711">
        <v>0.25120706215327215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8.1662961416301749E-2</v>
      </c>
      <c r="O14" s="629">
        <f t="shared" si="3"/>
        <v>3.8034348884192775</v>
      </c>
      <c r="P14" s="633">
        <f t="shared" si="4"/>
        <v>-0.91430275753711709</v>
      </c>
      <c r="Q14" s="585">
        <f t="shared" si="113"/>
        <v>88.770000177589992</v>
      </c>
      <c r="R14" s="629">
        <f t="shared" si="79"/>
        <v>3.8043114738034061</v>
      </c>
      <c r="S14" s="634">
        <f t="shared" si="80"/>
        <v>-0.91430275753711709</v>
      </c>
      <c r="T14" s="635">
        <f t="shared" si="81"/>
        <v>3.803660445268076</v>
      </c>
      <c r="U14" s="629">
        <f t="shared" si="82"/>
        <v>-7.0377601659235928E-2</v>
      </c>
      <c r="V14" s="636">
        <f t="shared" si="114"/>
        <v>-0.91430275753711709</v>
      </c>
      <c r="W14" s="585">
        <f t="shared" si="5"/>
        <v>358.94000015304499</v>
      </c>
      <c r="X14" s="629">
        <f t="shared" si="83"/>
        <v>3.8043114738034061</v>
      </c>
      <c r="Y14" s="630">
        <f t="shared" ref="Y14:Y75" si="223">IF(M14="","",S14)</f>
        <v>-0.91430275753711709</v>
      </c>
      <c r="Z14" s="632">
        <f t="shared" si="6"/>
        <v>0.8869961978075287</v>
      </c>
      <c r="AA14" s="629">
        <f t="shared" si="7"/>
        <v>-0.38746968526493747</v>
      </c>
      <c r="AB14" s="629">
        <f t="shared" si="8"/>
        <v>-0.25120706215327215</v>
      </c>
      <c r="AC14" s="636">
        <f t="shared" si="84"/>
        <v>1</v>
      </c>
      <c r="AD14" s="637">
        <f>IF(M14="","",Z14*(1/SQRT(Z14^2+AA14^2+AB14^2)))</f>
        <v>0.8869961978075287</v>
      </c>
      <c r="AE14" s="629">
        <f t="shared" si="85"/>
        <v>-0.38746968526493747</v>
      </c>
      <c r="AF14" s="633">
        <f t="shared" si="86"/>
        <v>-0.25120706215327215</v>
      </c>
      <c r="AG14" s="602">
        <f t="shared" si="87"/>
        <v>-57.043569076001916</v>
      </c>
      <c r="AH14" s="603">
        <f t="shared" si="88"/>
        <v>27.501815965271827</v>
      </c>
      <c r="AI14" s="585">
        <f t="shared" si="89"/>
        <v>-75.451048602513382</v>
      </c>
      <c r="AJ14" s="586">
        <f t="shared" si="90"/>
        <v>66.402680967752559</v>
      </c>
      <c r="AK14" s="635">
        <f>IF(M14="","",(COS(RADIANS((90-$Q$8)-W14))*AD14)+(-SIN(RADIANS((90-$Q$8)-W14))*AE14))</f>
        <v>0.89510920176830722</v>
      </c>
      <c r="AL14" s="629">
        <f t="shared" si="91"/>
        <v>-0.36834023515498016</v>
      </c>
      <c r="AM14" s="634">
        <f t="shared" si="92"/>
        <v>-0.25120706215327215</v>
      </c>
      <c r="AN14" s="581">
        <f t="shared" si="93"/>
        <v>-55.7061160170677</v>
      </c>
      <c r="AO14" s="582">
        <f t="shared" si="94"/>
        <v>26.477540133127981</v>
      </c>
      <c r="AP14" s="585">
        <f>IF(M14="","",DEGREES(ATAN2(AK14,AL14)))</f>
        <v>-22.367319209837422</v>
      </c>
      <c r="AQ14" s="586">
        <f t="shared" si="9"/>
        <v>0.59922630638610375</v>
      </c>
      <c r="AS14" s="52">
        <f t="shared" si="116"/>
        <v>-1.0599998469550087</v>
      </c>
      <c r="AT14" s="72">
        <f t="shared" si="10"/>
        <v>-0.90663222303909852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0.10051564439988084</v>
      </c>
      <c r="C15" s="708">
        <v>3.9985488802835083</v>
      </c>
      <c r="D15" s="709">
        <v>-1.6643050195439391</v>
      </c>
      <c r="E15" s="710">
        <v>-0.8490842090462104</v>
      </c>
      <c r="F15" s="708">
        <v>0.51141844209700038</v>
      </c>
      <c r="G15" s="711">
        <v>0.13231471207484197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60</v>
      </c>
      <c r="M15" s="168">
        <f t="shared" si="1"/>
        <v>1.119</v>
      </c>
      <c r="N15" s="632">
        <f t="shared" si="2"/>
        <v>0.10051564439988084</v>
      </c>
      <c r="O15" s="629">
        <f t="shared" si="3"/>
        <v>3.9985488802835083</v>
      </c>
      <c r="P15" s="633">
        <f t="shared" si="4"/>
        <v>-1.6643050195439391</v>
      </c>
      <c r="Q15" s="585">
        <f t="shared" si="113"/>
        <v>88.56000020791025</v>
      </c>
      <c r="R15" s="629">
        <f t="shared" si="79"/>
        <v>3.9998120634331835</v>
      </c>
      <c r="S15" s="634">
        <f t="shared" si="80"/>
        <v>-1.6643050195439391</v>
      </c>
      <c r="T15" s="635">
        <f t="shared" si="81"/>
        <v>3.9988295152419928</v>
      </c>
      <c r="U15" s="629">
        <f t="shared" si="82"/>
        <v>-8.8651287723916783E-2</v>
      </c>
      <c r="V15" s="636">
        <f t="shared" si="114"/>
        <v>-1.6643050195439391</v>
      </c>
      <c r="W15" s="585">
        <f t="shared" ref="W15:W78" si="224">IF(M15="","",IF(Q15-$Q$8&lt;0,360+Q15-$Q$8,Q15-$Q$8))</f>
        <v>358.73000018336529</v>
      </c>
      <c r="X15" s="629">
        <f>IF(M15="","",R15)</f>
        <v>3.9998120634331835</v>
      </c>
      <c r="Y15" s="630">
        <f>IF(M15="","",S15)</f>
        <v>-1.6643050195439391</v>
      </c>
      <c r="Z15" s="632">
        <f t="shared" si="6"/>
        <v>0.8490842090462104</v>
      </c>
      <c r="AA15" s="629">
        <f t="shared" si="7"/>
        <v>-0.51141844209700038</v>
      </c>
      <c r="AB15" s="629">
        <f t="shared" si="8"/>
        <v>-0.13231471207484197</v>
      </c>
      <c r="AC15" s="636">
        <f t="shared" si="84"/>
        <v>1</v>
      </c>
      <c r="AD15" s="637">
        <f t="shared" si="115"/>
        <v>0.8490842090462104</v>
      </c>
      <c r="AE15" s="629">
        <f t="shared" si="85"/>
        <v>-0.51141844209700038</v>
      </c>
      <c r="AF15" s="633">
        <f t="shared" si="86"/>
        <v>-0.13231471207484197</v>
      </c>
      <c r="AG15" s="602">
        <f t="shared" si="87"/>
        <v>-75.494444077577526</v>
      </c>
      <c r="AH15" s="603">
        <f t="shared" si="88"/>
        <v>31.88779780907004</v>
      </c>
      <c r="AI15" s="585">
        <f t="shared" si="89"/>
        <v>-82.396628778512621</v>
      </c>
      <c r="AJ15" s="586">
        <f t="shared" si="90"/>
        <v>58.938700626940737</v>
      </c>
      <c r="AK15" s="635">
        <f t="shared" si="211"/>
        <v>0.86166805163721416</v>
      </c>
      <c r="AL15" s="629">
        <f t="shared" si="91"/>
        <v>-0.48991936658625662</v>
      </c>
      <c r="AM15" s="634">
        <f t="shared" si="92"/>
        <v>-0.13231471207484197</v>
      </c>
      <c r="AN15" s="581">
        <f>IF(M15="","",DEGREES(ATAN2(-AM15,AL15)))</f>
        <v>-74.886448182205598</v>
      </c>
      <c r="AO15" s="582">
        <f t="shared" si="94"/>
        <v>30.495609304648937</v>
      </c>
      <c r="AP15" s="585">
        <f t="shared" si="95"/>
        <v>-29.621299580969506</v>
      </c>
      <c r="AQ15" s="586">
        <f t="shared" si="9"/>
        <v>0.56993963788753277</v>
      </c>
      <c r="AS15" s="52">
        <f t="shared" si="116"/>
        <v>-1.2699998166347086</v>
      </c>
      <c r="AT15" s="72">
        <f t="shared" si="10"/>
        <v>-1.6564886517336428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0.10895114836384794</v>
      </c>
      <c r="C16" s="708">
        <v>4.0790575300455671</v>
      </c>
      <c r="D16" s="709">
        <v>-2.3534070978758077</v>
      </c>
      <c r="E16" s="710">
        <v>-0.84777912763325047</v>
      </c>
      <c r="F16" s="708">
        <v>0.51760246862294401</v>
      </c>
      <c r="G16" s="711">
        <v>0.11557783189192909</v>
      </c>
      <c r="H16" s="710">
        <v>0.26600000000000001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1.1220000000000001</v>
      </c>
      <c r="N16" s="632">
        <f t="shared" si="2"/>
        <v>0.10895114836384794</v>
      </c>
      <c r="O16" s="629">
        <f t="shared" si="3"/>
        <v>4.0790575300455671</v>
      </c>
      <c r="P16" s="633">
        <f t="shared" si="4"/>
        <v>-2.3534070978758077</v>
      </c>
      <c r="Q16" s="585">
        <f>IF(M16="","",IF(DEGREES(ATAN2(N16,O16))&lt;0,DEGREES(ATAN2(N16,O16))+360,IF(DEGREES(ATAN2(N16,O16))&gt;360,DEGREES(ATAN2(N16,O16))-360,DEGREES(ATAN2(N16,O16)))))</f>
        <v>88.470000220904637</v>
      </c>
      <c r="R16" s="629">
        <f t="shared" si="79"/>
        <v>4.0805123068251179</v>
      </c>
      <c r="S16" s="634">
        <f t="shared" si="80"/>
        <v>-2.3534070978758077</v>
      </c>
      <c r="T16" s="635">
        <f t="shared" si="81"/>
        <v>4.0793628392315053</v>
      </c>
      <c r="U16" s="629">
        <f t="shared" si="82"/>
        <v>-9.6847880969660016E-2</v>
      </c>
      <c r="V16" s="636">
        <f t="shared" si="114"/>
        <v>-2.3534070978758077</v>
      </c>
      <c r="W16" s="585">
        <f>IF(M16="","",IF(Q16-$Q$8&lt;0,360+Q16-$Q$8,Q16-$Q$8))</f>
        <v>358.64000019635967</v>
      </c>
      <c r="X16" s="629">
        <f t="shared" si="83"/>
        <v>4.0805123068251179</v>
      </c>
      <c r="Y16" s="630">
        <f t="shared" si="223"/>
        <v>-2.3534070978758077</v>
      </c>
      <c r="Z16" s="632">
        <f t="shared" si="6"/>
        <v>0.84777912763325047</v>
      </c>
      <c r="AA16" s="629">
        <f t="shared" si="7"/>
        <v>-0.51760246862294401</v>
      </c>
      <c r="AB16" s="629">
        <f t="shared" si="8"/>
        <v>-0.11557783189192909</v>
      </c>
      <c r="AC16" s="636">
        <f t="shared" si="84"/>
        <v>1</v>
      </c>
      <c r="AD16" s="637">
        <f t="shared" si="115"/>
        <v>0.84777912763325047</v>
      </c>
      <c r="AE16" s="629">
        <f t="shared" si="85"/>
        <v>-0.51760246862294401</v>
      </c>
      <c r="AF16" s="633">
        <f t="shared" si="86"/>
        <v>-0.11557783189192909</v>
      </c>
      <c r="AG16" s="602">
        <f t="shared" si="87"/>
        <v>-77.412654759351753</v>
      </c>
      <c r="AH16" s="603">
        <f t="shared" si="88"/>
        <v>32.029069537755746</v>
      </c>
      <c r="AI16" s="585">
        <f t="shared" si="89"/>
        <v>-83.363045380588574</v>
      </c>
      <c r="AJ16" s="586">
        <f t="shared" si="90"/>
        <v>58.594294720623019</v>
      </c>
      <c r="AK16" s="635">
        <f t="shared" si="211"/>
        <v>0.86129705131923051</v>
      </c>
      <c r="AL16" s="629">
        <f t="shared" si="91"/>
        <v>-0.49478192586629477</v>
      </c>
      <c r="AM16" s="634">
        <f t="shared" si="92"/>
        <v>-0.11557783189192909</v>
      </c>
      <c r="AN16" s="581">
        <f t="shared" si="93"/>
        <v>-76.851842812995514</v>
      </c>
      <c r="AO16" s="582">
        <f t="shared" si="94"/>
        <v>30.537470852332795</v>
      </c>
      <c r="AP16" s="585">
        <f t="shared" si="95"/>
        <v>-29.875705500281601</v>
      </c>
      <c r="AQ16" s="586">
        <f t="shared" si="9"/>
        <v>0.55866867006831977</v>
      </c>
      <c r="AS16" s="52">
        <f t="shared" si="116"/>
        <v>-1.3599998036403349</v>
      </c>
      <c r="AT16" s="72">
        <f t="shared" si="10"/>
        <v>-2.3455282300745353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0.84259825579644043</v>
      </c>
      <c r="C17" s="708">
        <v>2.9384897747717051</v>
      </c>
      <c r="D17" s="709">
        <v>-0.18910064090193299</v>
      </c>
      <c r="E17" s="710">
        <v>-0.83646410206045585</v>
      </c>
      <c r="F17" s="708">
        <v>0.4177539081224072</v>
      </c>
      <c r="G17" s="711">
        <v>0.35469631829587789</v>
      </c>
      <c r="H17" s="710">
        <v>0.26600000000000001</v>
      </c>
      <c r="I17" s="708">
        <v>0.52</v>
      </c>
      <c r="J17" s="570">
        <v>1.212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1.212</v>
      </c>
      <c r="N17" s="632">
        <f t="shared" si="2"/>
        <v>0.84259825579644043</v>
      </c>
      <c r="O17" s="629">
        <f t="shared" si="3"/>
        <v>2.9384897747717051</v>
      </c>
      <c r="P17" s="633">
        <f t="shared" si="4"/>
        <v>-0.18910064090193299</v>
      </c>
      <c r="Q17" s="585">
        <f>IF(M17="","",IF(DEGREES(ATAN2(N17,O17))&lt;0,DEGREES(ATAN2(N17,O17))+360,IF(DEGREES(ATAN2(N17,O17))&gt;360,DEGREES(ATAN2(N17,O17))-360,DEGREES(ATAN2(N17,O17)))))</f>
        <v>74.000002310113857</v>
      </c>
      <c r="R17" s="629">
        <f>IF(M17="","",SQRT(N17^2+O17^2))</f>
        <v>3.0569092196382068</v>
      </c>
      <c r="S17" s="634">
        <f>IF(M17="","",P17)</f>
        <v>-0.18910064090193299</v>
      </c>
      <c r="T17" s="635">
        <f>IF(M17="","",X17*COS(RADIANS(W17)))</f>
        <v>2.9409768756935444</v>
      </c>
      <c r="U17" s="629">
        <f>IF(M17="","",X17*SIN(RADIANS(W17)))</f>
        <v>-0.83387588629538312</v>
      </c>
      <c r="V17" s="636">
        <f>IF(M17="","",Y17)</f>
        <v>-0.18910064090193299</v>
      </c>
      <c r="W17" s="585">
        <f t="shared" si="224"/>
        <v>344.1700022855689</v>
      </c>
      <c r="X17" s="629">
        <f>IF(M17="","",R17)</f>
        <v>3.0569092196382068</v>
      </c>
      <c r="Y17" s="630">
        <f t="shared" si="223"/>
        <v>-0.18910064090193299</v>
      </c>
      <c r="Z17" s="632">
        <f t="shared" si="6"/>
        <v>0.83646410206045585</v>
      </c>
      <c r="AA17" s="629">
        <f t="shared" si="7"/>
        <v>-0.4177539081224072</v>
      </c>
      <c r="AB17" s="629">
        <f t="shared" si="8"/>
        <v>-0.35469631829587789</v>
      </c>
      <c r="AC17" s="636">
        <f>IF(M17="","",SQRT(Z17^2+AA17^2+AB17^2))</f>
        <v>1</v>
      </c>
      <c r="AD17" s="637">
        <f>IF(M17="","",Z17*(1/SQRT(Z17^2+AA17^2+AB17^2)))</f>
        <v>0.83646410206045585</v>
      </c>
      <c r="AE17" s="629">
        <f>IF(M17="","",AA17*(1/SQRT(Z17^2+AA17^2+AB17^2)))</f>
        <v>-0.4177539081224072</v>
      </c>
      <c r="AF17" s="633">
        <f>IF(M17="","",AB17*(1/SQRT(Z17^2+AA17^2+AB17^2)))</f>
        <v>-0.35469631829587789</v>
      </c>
      <c r="AG17" s="602">
        <f>IF(M17="","",DEGREES(ATAN2(-AF17,AE17)))</f>
        <v>-49.666889943615288</v>
      </c>
      <c r="AH17" s="603">
        <f>IF(M17="","",DEGREES(ACOS(AD17)))</f>
        <v>33.231400295818993</v>
      </c>
      <c r="AI17" s="585">
        <f>IF(M17="","",DEGREES(-ACOS(-AF17)))</f>
        <v>-69.225166416782983</v>
      </c>
      <c r="AJ17" s="586">
        <f>IF(M17="","",DEGREES(ATAN2(-AE17,AD17)))</f>
        <v>63.461156124884617</v>
      </c>
      <c r="AK17" s="635">
        <f>IF(M17="","",(COS(RADIANS((90-$Q$8)-W17))*AD17)+(-SIN(RADIANS((90-$Q$8)-W17))*AE17))</f>
        <v>0.91920947706026279</v>
      </c>
      <c r="AL17" s="629">
        <f>IF(M17="","",(SIN(RADIANS((90-$Q$8)-W17))*AD17)+(COS(RADIANS((90-$Q$8)-W17))*AE17))</f>
        <v>-0.17101011394051394</v>
      </c>
      <c r="AM17" s="634">
        <f>IF(M17="","",AF17)</f>
        <v>-0.35469631829587789</v>
      </c>
      <c r="AN17" s="581">
        <f>IF(M17="","",DEGREES(ATAN2(-AM17,AL17)))</f>
        <v>-25.740160182685909</v>
      </c>
      <c r="AO17" s="582">
        <f t="shared" si="94"/>
        <v>23.189214865836348</v>
      </c>
      <c r="AP17" s="585">
        <f>IF(M17="","",DEGREES(ATAN2(AK17,AL17)))</f>
        <v>-10.538846185229259</v>
      </c>
      <c r="AQ17" s="586">
        <f t="shared" si="9"/>
        <v>0.74571985633111304</v>
      </c>
      <c r="AS17" s="52">
        <f t="shared" si="116"/>
        <v>-15.829997714431101</v>
      </c>
      <c r="AT17" s="72">
        <f t="shared" si="10"/>
        <v>-0.17117316344038933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0.112</v>
      </c>
      <c r="II17" s="734" cm="1">
        <f t="array" ref="II17">IFERROR(ROUND(VALUE(IF($IH17&lt;1,$IH17+LARGE((IF($M$9:$M$150="",0,$M$9:$M$150)-MOD(IF($M$9:$M$150="",0,$M$9:$M$150),1)),1),$IH17)),4),"")</f>
        <v>6.1120000000000001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75.469989103481737</v>
      </c>
      <c r="IM17" s="759">
        <v>2.90969448474411E-2</v>
      </c>
      <c r="IN17" s="5">
        <f t="shared" ref="IN17:IN80" si="226">IF(ISNUMBER($II17),(($IO17*12)/60)/$AS$3,"")</f>
        <v>0.14000000000000001</v>
      </c>
      <c r="IO17" s="771">
        <v>70</v>
      </c>
      <c r="IP17" s="9">
        <f t="shared" ref="IP17:IP80" si="227">IF(ISNUMBER($II17),(INDEX($X$9:$X$150,MATCH($II17,$M$9:$M$150,0))*-1),"")</f>
        <v>-3.0569092196382068</v>
      </c>
      <c r="IQ17" s="5">
        <f t="shared" ref="IQ17:IQ80" si="228">IF(ISNUMBER($II17),INDEX($Y$9:$Y$150,MATCH($II17,$M$9:$M$150,0)),"")</f>
        <v>-0.21250064090193296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0.29821150230507848</v>
      </c>
      <c r="IT17" s="727">
        <f t="shared" ref="IT17:IT80" si="230">IF(ISNUMBER($II17),(-1*INDEX($AN$9:$AN$150,MATCH($II17,$M$9:$M$150,0))),"")</f>
        <v>27.751622369294662</v>
      </c>
      <c r="IU17" s="9">
        <f t="shared" ref="IU17:IU80" si="231">IF(ISNUMBER($II17),-$X17,"")</f>
        <v>-3.0569092196382068</v>
      </c>
      <c r="IV17" s="5">
        <f t="shared" ref="IV17:IV80" si="232">IF(ISNUMBER($II17),$Y17,"")</f>
        <v>-0.18910064090193299</v>
      </c>
      <c r="IW17" s="5">
        <f t="shared" si="76"/>
        <v>0.26600000000000001</v>
      </c>
      <c r="IX17" s="5">
        <f t="shared" ref="IX17:IX80" si="233">IF(ISNUMBER($II17),$IW17*COS(RADIANS($AO17)),"")</f>
        <v>0.24450972089802991</v>
      </c>
      <c r="IY17" s="762">
        <f t="shared" ref="IY17:IY80" si="234">IF(ISNUMBER($II17),(-1*$AN17),"")</f>
        <v>25.740160182685909</v>
      </c>
    </row>
    <row r="18" spans="1:269" ht="15" customHeight="1" x14ac:dyDescent="0.25">
      <c r="A18" s="79"/>
      <c r="B18" s="707">
        <v>0.94792747791507814</v>
      </c>
      <c r="C18" s="708">
        <v>3.5377140443600181</v>
      </c>
      <c r="D18" s="709">
        <v>-0.6722020991423312</v>
      </c>
      <c r="E18" s="710">
        <v>-0.7486484919724179</v>
      </c>
      <c r="F18" s="708">
        <v>0.57352382119364498</v>
      </c>
      <c r="G18" s="711">
        <v>0.33255956156884842</v>
      </c>
      <c r="H18" s="710">
        <v>0.26600000000000001</v>
      </c>
      <c r="I18" s="708">
        <v>0.52</v>
      </c>
      <c r="J18" s="570">
        <v>1.2150000000000001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1.2150000000000001</v>
      </c>
      <c r="N18" s="632">
        <f t="shared" si="2"/>
        <v>0.94792747791507814</v>
      </c>
      <c r="O18" s="629">
        <f t="shared" si="3"/>
        <v>3.5377140443600181</v>
      </c>
      <c r="P18" s="633">
        <f t="shared" si="4"/>
        <v>-0.6722020991423312</v>
      </c>
      <c r="Q18" s="585">
        <f t="shared" si="113"/>
        <v>75.000002165731729</v>
      </c>
      <c r="R18" s="629">
        <f>IF(M18="","",SQRT(N18^2+O18^2))</f>
        <v>3.6625110461333161</v>
      </c>
      <c r="S18" s="634">
        <f>IF(M18="","",P18)</f>
        <v>-0.6722020991423312</v>
      </c>
      <c r="T18" s="635">
        <f>IF(M18="","",X18*COS(RADIANS(W18)))</f>
        <v>3.5405110252555834</v>
      </c>
      <c r="U18" s="629">
        <f>IF(M18="","",X18*SIN(RADIANS(W18)))</f>
        <v>-0.93742671345135831</v>
      </c>
      <c r="V18" s="636">
        <f>IF(M18="","",Y18)</f>
        <v>-0.6722020991423312</v>
      </c>
      <c r="W18" s="585">
        <f t="shared" si="224"/>
        <v>345.17000214118679</v>
      </c>
      <c r="X18" s="629">
        <f>IF(M18="","",R18)</f>
        <v>3.6625110461333161</v>
      </c>
      <c r="Y18" s="630">
        <f t="shared" si="223"/>
        <v>-0.6722020991423312</v>
      </c>
      <c r="Z18" s="632">
        <f t="shared" si="6"/>
        <v>0.7486484919724179</v>
      </c>
      <c r="AA18" s="629">
        <f t="shared" si="7"/>
        <v>-0.57352382119364498</v>
      </c>
      <c r="AB18" s="629">
        <f t="shared" si="8"/>
        <v>-0.33255956156884842</v>
      </c>
      <c r="AC18" s="636">
        <f>IF(M18="","",SQRT(Z18^2+AA18^2+AB18^2))</f>
        <v>1</v>
      </c>
      <c r="AD18" s="637">
        <f>IF(M18="","",Z18*(1/SQRT(Z18^2+AA18^2+AB18^2)))</f>
        <v>0.7486484919724179</v>
      </c>
      <c r="AE18" s="629">
        <f>IF(M18="","",AA18*(1/SQRT(Z18^2+AA18^2+AB18^2)))</f>
        <v>-0.57352382119364498</v>
      </c>
      <c r="AF18" s="633">
        <f>IF(M18="","",AB18*(1/SQRT(Z18^2+AA18^2+AB18^2)))</f>
        <v>-0.33255956156884842</v>
      </c>
      <c r="AG18" s="602">
        <f>IF(M18="","",DEGREES(ATAN2(-AF18,AE18)))</f>
        <v>-59.892565632078458</v>
      </c>
      <c r="AH18" s="603">
        <f>IF(M18="","",DEGREES(ACOS(AD18)))</f>
        <v>41.526558666693212</v>
      </c>
      <c r="AI18" s="585">
        <f>IF(M18="","",DEGREES(-ACOS(-AF18)))</f>
        <v>-70.575795706297342</v>
      </c>
      <c r="AJ18" s="586">
        <f>IF(M18="","",DEGREES(ATAN2(-AE18,AD18)))</f>
        <v>52.545035937286954</v>
      </c>
      <c r="AK18" s="635">
        <f>IF(M18="","",(COS(RADIANS((90-$Q$8)-W18))*AD18)+(-SIN(RADIANS((90-$Q$8)-W18))*AE18))</f>
        <v>0.87157778733751445</v>
      </c>
      <c r="AL18" s="629">
        <f>IF(M18="","",(SIN(RADIANS((90-$Q$8)-W18))*AD18)+(COS(RADIANS((90-$Q$8)-W18))*AE18))</f>
        <v>-0.36021701601809142</v>
      </c>
      <c r="AM18" s="634">
        <f>IF(M18="","",AF18)</f>
        <v>-0.33255956156884842</v>
      </c>
      <c r="AN18" s="581">
        <f>IF(M18="","",DEGREES(ATAN2(-AM18,AL18)))</f>
        <v>-47.286183431557347</v>
      </c>
      <c r="AO18" s="582">
        <f t="shared" si="94"/>
        <v>29.357490564155597</v>
      </c>
      <c r="AP18" s="585">
        <f>IF(M18="","",DEGREES(ATAN2(AK18,AL18)))</f>
        <v>-22.454966228444786</v>
      </c>
      <c r="AQ18" s="586">
        <f t="shared" si="9"/>
        <v>0.62242459442220177</v>
      </c>
      <c r="AS18" s="52">
        <f t="shared" si="116"/>
        <v>-14.829997858813215</v>
      </c>
      <c r="AT18" s="72">
        <f t="shared" si="10"/>
        <v>-0.65496906602496663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1.2150000000000001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0.115</v>
      </c>
      <c r="II18" s="734" cm="1">
        <f t="array" ref="II18">IFERROR(ROUND(VALUE(IF($IH18&lt;1,$IH18+LARGE((IF($M$9:$M$150="",0,$M$9:$M$150)-MOD(IF($M$9:$M$150="",0,$M$9:$M$150),1)),1),$IH18)),4),"")</f>
        <v>6.1150000000000002</v>
      </c>
      <c r="IJ18" s="533">
        <f t="shared" si="112"/>
        <v>1613</v>
      </c>
      <c r="IK18" s="533">
        <f t="shared" si="66"/>
        <v>1313</v>
      </c>
      <c r="IL18" s="727">
        <f t="shared" si="225"/>
        <v>73.909989328717813</v>
      </c>
      <c r="IM18" s="759">
        <v>2.6983247643095402E-2</v>
      </c>
      <c r="IN18" s="5">
        <f t="shared" si="226"/>
        <v>0.14000000000000001</v>
      </c>
      <c r="IO18" s="771">
        <v>70</v>
      </c>
      <c r="IP18" s="9">
        <f t="shared" si="227"/>
        <v>-3.6625110461333148</v>
      </c>
      <c r="IQ18" s="5">
        <f t="shared" si="228"/>
        <v>-0.69600209914233058</v>
      </c>
      <c r="IR18" s="5">
        <f t="shared" si="71"/>
        <v>0.314</v>
      </c>
      <c r="IS18" s="5">
        <f t="shared" si="229"/>
        <v>0.28585560818381472</v>
      </c>
      <c r="IT18" s="727">
        <f t="shared" si="230"/>
        <v>49.117536857410748</v>
      </c>
      <c r="IU18" s="9">
        <f t="shared" si="231"/>
        <v>-3.6625110461333161</v>
      </c>
      <c r="IV18" s="5">
        <f t="shared" si="232"/>
        <v>-0.6722020991423312</v>
      </c>
      <c r="IW18" s="5">
        <f t="shared" si="76"/>
        <v>0.26600000000000001</v>
      </c>
      <c r="IX18" s="5">
        <f t="shared" si="233"/>
        <v>0.23183969143177888</v>
      </c>
      <c r="IY18" s="762">
        <f t="shared" si="234"/>
        <v>47.286183431557347</v>
      </c>
    </row>
    <row r="19" spans="1:269" ht="15" customHeight="1" thickBot="1" x14ac:dyDescent="0.3">
      <c r="A19" s="79"/>
      <c r="B19" s="707">
        <v>0.96171487602988537</v>
      </c>
      <c r="C19" s="708">
        <v>3.8572282679938628</v>
      </c>
      <c r="D19" s="709">
        <v>-1.3814042377943807</v>
      </c>
      <c r="E19" s="710">
        <v>-0.66207365358173509</v>
      </c>
      <c r="F19" s="708">
        <v>0.7139617819942129</v>
      </c>
      <c r="G19" s="711">
        <v>0.22785313490180648</v>
      </c>
      <c r="H19" s="710">
        <v>0.26600000000000001</v>
      </c>
      <c r="I19" s="708">
        <v>0.52</v>
      </c>
      <c r="J19" s="570">
        <v>1.218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1.218</v>
      </c>
      <c r="N19" s="632">
        <f t="shared" si="2"/>
        <v>0.96171487602988537</v>
      </c>
      <c r="O19" s="629">
        <f t="shared" si="3"/>
        <v>3.8572282679938628</v>
      </c>
      <c r="P19" s="633">
        <f t="shared" si="4"/>
        <v>-1.3814042377943807</v>
      </c>
      <c r="Q19" s="585">
        <f t="shared" si="113"/>
        <v>76.000002021349616</v>
      </c>
      <c r="R19" s="629">
        <f>IF(M19="","",SQRT(N19^2+O19^2))</f>
        <v>3.9753119895409608</v>
      </c>
      <c r="S19" s="634">
        <f>IF(M19="","",P19)</f>
        <v>-1.3814042377943807</v>
      </c>
      <c r="T19" s="635">
        <f>IF(M19="","",X19*COS(RADIANS(W19)))</f>
        <v>3.8600647504459462</v>
      </c>
      <c r="U19" s="629">
        <f>IF(M19="","",X19*SIN(RADIANS(W19)))</f>
        <v>-0.95026603462019266</v>
      </c>
      <c r="V19" s="636">
        <f>IF(M19="","",Y19)</f>
        <v>-1.3814042377943807</v>
      </c>
      <c r="W19" s="585">
        <f t="shared" si="224"/>
        <v>346.17000199680461</v>
      </c>
      <c r="X19" s="629">
        <f>IF(M19="","",R19)</f>
        <v>3.9753119895409608</v>
      </c>
      <c r="Y19" s="630">
        <f t="shared" si="223"/>
        <v>-1.3814042377943807</v>
      </c>
      <c r="Z19" s="632">
        <f t="shared" si="6"/>
        <v>0.66207365358173509</v>
      </c>
      <c r="AA19" s="629">
        <f t="shared" si="7"/>
        <v>-0.7139617819942129</v>
      </c>
      <c r="AB19" s="629">
        <f t="shared" si="8"/>
        <v>-0.22785313490180648</v>
      </c>
      <c r="AC19" s="636">
        <f>IF(M19="","",SQRT(Z19^2+AA19^2+AB19^2))</f>
        <v>1</v>
      </c>
      <c r="AD19" s="637">
        <f>IF(M19="","",Z19*(1/SQRT(Z19^2+AA19^2+AB19^2)))</f>
        <v>0.66207365358173509</v>
      </c>
      <c r="AE19" s="629">
        <f>IF(M19="","",AA19*(1/SQRT(Z19^2+AA19^2+AB19^2)))</f>
        <v>-0.7139617819942129</v>
      </c>
      <c r="AF19" s="633">
        <f>IF(M19="","",AB19*(1/SQRT(Z19^2+AA19^2+AB19^2)))</f>
        <v>-0.22785313490180648</v>
      </c>
      <c r="AG19" s="602">
        <f>IF(M19="","",DEGREES(ATAN2(-AF19,AE19)))</f>
        <v>-72.300082641077751</v>
      </c>
      <c r="AH19" s="603">
        <f>IF(M19="","",DEGREES(ACOS(AD19)))</f>
        <v>48.541786198735579</v>
      </c>
      <c r="AI19" s="585">
        <f>IF(M19="","",DEGREES(-ACOS(-AF19)))</f>
        <v>-76.829290300280292</v>
      </c>
      <c r="AJ19" s="586">
        <f>IF(M19="","",DEGREES(ATAN2(-AE19,AD19)))</f>
        <v>42.84048958702946</v>
      </c>
      <c r="AK19" s="635">
        <f>IF(M19="","",(COS(RADIANS((90-$Q$8)-W19))*AD19)+(-SIN(RADIANS((90-$Q$8)-W19))*AE19))</f>
        <v>0.81513020544690973</v>
      </c>
      <c r="AL19" s="629">
        <f>IF(M19="","",(SIN(RADIANS((90-$Q$8)-W19))*AD19)+(COS(RADIANS((90-$Q$8)-W19))*AE19))</f>
        <v>-0.5325839812494344</v>
      </c>
      <c r="AM19" s="634">
        <f>IF(M19="","",AF19)</f>
        <v>-0.22785313490180648</v>
      </c>
      <c r="AN19" s="581">
        <f>IF(M19="","",DEGREES(ATAN2(-AM19,AL19)))</f>
        <v>-66.837514415816003</v>
      </c>
      <c r="AO19" s="582">
        <f t="shared" si="94"/>
        <v>35.399761657892114</v>
      </c>
      <c r="AP19" s="585">
        <f>IF(M19="","",DEGREES(ATAN2(AK19,AL19)))</f>
        <v>-33.159512434320099</v>
      </c>
      <c r="AQ19" s="586">
        <f t="shared" si="9"/>
        <v>0.57345197443939</v>
      </c>
      <c r="AS19" s="52">
        <f t="shared" si="116"/>
        <v>-13.829998003195385</v>
      </c>
      <c r="AT19" s="72">
        <f t="shared" si="10"/>
        <v>-1.3648656490211952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1.218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0.11799999999999999</v>
      </c>
      <c r="II19" s="734" cm="1">
        <f t="array" ref="II19">IFERROR(ROUND(VALUE(IF($IH19&lt;1,$IH19+LARGE((IF($M$9:$M$150="",0,$M$9:$M$150)-MOD(IF($M$9:$M$150="",0,$M$9:$M$150),1)),1),$IH19)),4),"")</f>
        <v>6.1180000000000003</v>
      </c>
      <c r="IJ19" s="533">
        <f t="shared" si="112"/>
        <v>1613</v>
      </c>
      <c r="IK19" s="533">
        <f t="shared" si="66"/>
        <v>1313</v>
      </c>
      <c r="IL19" s="727">
        <f t="shared" si="225"/>
        <v>72.589989519302264</v>
      </c>
      <c r="IM19" s="759">
        <v>2.7594331895707501E-2</v>
      </c>
      <c r="IN19" s="5">
        <f t="shared" si="226"/>
        <v>0.14000000000000001</v>
      </c>
      <c r="IO19" s="771">
        <v>70</v>
      </c>
      <c r="IP19" s="9">
        <f t="shared" si="227"/>
        <v>-3.9753119895409603</v>
      </c>
      <c r="IQ19" s="5">
        <f t="shared" si="228"/>
        <v>-1.4051042377943812</v>
      </c>
      <c r="IR19" s="5">
        <f t="shared" si="71"/>
        <v>0.314</v>
      </c>
      <c r="IS19" s="5">
        <f t="shared" si="229"/>
        <v>0.27059685151018492</v>
      </c>
      <c r="IT19" s="727">
        <f t="shared" si="230"/>
        <v>68.250493662083144</v>
      </c>
      <c r="IU19" s="9">
        <f t="shared" si="231"/>
        <v>-3.9753119895409608</v>
      </c>
      <c r="IV19" s="5">
        <f t="shared" si="232"/>
        <v>-1.3814042377943807</v>
      </c>
      <c r="IW19" s="5">
        <f t="shared" si="76"/>
        <v>0.26600000000000001</v>
      </c>
      <c r="IX19" s="5">
        <f t="shared" si="233"/>
        <v>0.216824634648878</v>
      </c>
      <c r="IY19" s="762">
        <f t="shared" si="234"/>
        <v>66.837514415816003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2.5570982501549153</v>
      </c>
      <c r="C20" s="708">
        <v>1.1739693284144619</v>
      </c>
      <c r="D20" s="709">
        <v>-0.12280037036591702</v>
      </c>
      <c r="E20" s="710">
        <v>-0.31447408784682168</v>
      </c>
      <c r="F20" s="708">
        <v>0.91246862507773041</v>
      </c>
      <c r="G20" s="711">
        <v>0.26173852662851482</v>
      </c>
      <c r="H20" s="710">
        <v>0.314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2.1110000000000002</v>
      </c>
      <c r="N20" s="632">
        <f t="shared" si="2"/>
        <v>2.5570982501549153</v>
      </c>
      <c r="O20" s="629">
        <f t="shared" si="3"/>
        <v>1.1739693284144619</v>
      </c>
      <c r="P20" s="633">
        <f t="shared" si="4"/>
        <v>-0.12280037036591702</v>
      </c>
      <c r="Q20" s="585">
        <f t="shared" si="113"/>
        <v>24.659957456365866</v>
      </c>
      <c r="R20" s="629">
        <f>IF(M20="","",SQRT(N20^2+O20^2))</f>
        <v>2.8137084861447947</v>
      </c>
      <c r="S20" s="634">
        <f>IF(M20="","",P20)</f>
        <v>-0.12280037036591702</v>
      </c>
      <c r="T20" s="635">
        <f>IF(M20="","",X20*COS(RADIANS(W20)))</f>
        <v>1.181551211945556</v>
      </c>
      <c r="U20" s="629">
        <f>IF(M20="","",X20*SIN(RADIANS(W20)))</f>
        <v>-2.5536037630284811</v>
      </c>
      <c r="V20" s="636">
        <f>IF(M20="","",Y20)</f>
        <v>-0.12280037036591702</v>
      </c>
      <c r="W20" s="585">
        <f t="shared" si="224"/>
        <v>294.8299574318209</v>
      </c>
      <c r="X20" s="629">
        <f>IF(M20="","",R20)</f>
        <v>2.8137084861447947</v>
      </c>
      <c r="Y20" s="630">
        <f t="shared" si="223"/>
        <v>-0.12280037036591702</v>
      </c>
      <c r="Z20" s="632">
        <f t="shared" si="6"/>
        <v>0.31447408784682168</v>
      </c>
      <c r="AA20" s="629">
        <f t="shared" si="7"/>
        <v>-0.91246862507773041</v>
      </c>
      <c r="AB20" s="629">
        <f t="shared" si="8"/>
        <v>-0.26173852662851482</v>
      </c>
      <c r="AC20" s="636">
        <f>IF(M20="","",SQRT(Z20^2+AA20^2+AB20^2))</f>
        <v>1</v>
      </c>
      <c r="AD20" s="637">
        <f>IF(M20="","",Z20*(1/SQRT(Z20^2+AA20^2+AB20^2)))</f>
        <v>0.31447408784682168</v>
      </c>
      <c r="AE20" s="629">
        <f>IF(M20="","",AA20*(1/SQRT(Z20^2+AA20^2+AB20^2)))</f>
        <v>-0.91246862507773041</v>
      </c>
      <c r="AF20" s="633">
        <f>IF(M20="","",AB20*(1/SQRT(Z20^2+AA20^2+AB20^2)))</f>
        <v>-0.26173852662851482</v>
      </c>
      <c r="AG20" s="602">
        <f>IF(M20="","",DEGREES(ATAN2(-AF20,AE20)))</f>
        <v>-73.994641363390301</v>
      </c>
      <c r="AH20" s="603">
        <f>IF(M20="","",DEGREES(ACOS(AD20)))</f>
        <v>71.670932115232262</v>
      </c>
      <c r="AI20" s="585">
        <f>IF(M20="","",DEGREES(-ACOS(-AF20)))</f>
        <v>-74.826754798084295</v>
      </c>
      <c r="AJ20" s="586">
        <f>IF(M20="","",DEGREES(ATAN2(-AE20,AD20)))</f>
        <v>19.016050326248479</v>
      </c>
      <c r="AK20" s="635">
        <f>IF(M20="","",(COS(RADIANS((90-$Q$8)-W20))*AD20)+(-SIN(RADIANS((90-$Q$8)-W20))*AE20))</f>
        <v>0.96046014415785497</v>
      </c>
      <c r="AL20" s="629">
        <f>IF(M20="","",(SIN(RADIANS((90-$Q$8)-W20))*AD20)+(COS(RADIANS((90-$Q$8)-W20))*AE20))</f>
        <v>-9.4917096260929645E-2</v>
      </c>
      <c r="AM20" s="634">
        <f>IF(M20="","",AF20)</f>
        <v>-0.26173852662851482</v>
      </c>
      <c r="AN20" s="581">
        <f>IF(M20="","",DEGREES(ATAN2(-AM20,AL20)))</f>
        <v>-19.932715953072965</v>
      </c>
      <c r="AO20" s="582">
        <f t="shared" si="94"/>
        <v>16.165779617275362</v>
      </c>
      <c r="AP20" s="585">
        <f>IF(M20="","",DEGREES(ATAN2(AK20,AL20)))</f>
        <v>-5.6439071301173929</v>
      </c>
      <c r="AQ20" s="586">
        <f t="shared" si="9"/>
        <v>0.81016733019679943</v>
      </c>
      <c r="AS20" s="52">
        <f t="shared" si="116"/>
        <v>-65.170042568179099</v>
      </c>
      <c r="AT20" s="72">
        <f t="shared" si="10"/>
        <v>-7.0608972867048356E-2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3.184681254326593</v>
      </c>
      <c r="C21" s="708">
        <v>1.4239069372310214</v>
      </c>
      <c r="D21" s="709">
        <v>-0.50400152006858456</v>
      </c>
      <c r="E21" s="710">
        <v>-0.14335248709728274</v>
      </c>
      <c r="F21" s="708">
        <v>0.94871343899166949</v>
      </c>
      <c r="G21" s="711">
        <v>0.28176741316132231</v>
      </c>
      <c r="H21" s="710">
        <v>0.314</v>
      </c>
      <c r="I21" s="708">
        <v>0.52</v>
      </c>
      <c r="J21" s="570">
        <v>2.1139999999999999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2.1139999999999999</v>
      </c>
      <c r="N21" s="632">
        <f t="shared" si="2"/>
        <v>3.184681254326593</v>
      </c>
      <c r="O21" s="629">
        <f t="shared" si="3"/>
        <v>1.4239069372310214</v>
      </c>
      <c r="P21" s="633">
        <f t="shared" si="4"/>
        <v>-0.50400152006858456</v>
      </c>
      <c r="Q21" s="585">
        <f t="shared" si="113"/>
        <v>24.089957538663676</v>
      </c>
      <c r="R21" s="629">
        <f>IF(M21="","",SQRT(N21^2+O21^2))</f>
        <v>3.4885105213477328</v>
      </c>
      <c r="S21" s="634">
        <f>IF(M21="","",P21)</f>
        <v>-0.50400152006858456</v>
      </c>
      <c r="T21" s="635">
        <f>IF(M21="","",X21*COS(RADIANS(W21)))</f>
        <v>1.4333497938643789</v>
      </c>
      <c r="U21" s="629">
        <f>IF(M21="","",X21*SIN(RADIANS(W21)))</f>
        <v>-3.180442426138661</v>
      </c>
      <c r="V21" s="636">
        <f>IF(M21="","",Y21)</f>
        <v>-0.50400152006858456</v>
      </c>
      <c r="W21" s="585">
        <f t="shared" si="224"/>
        <v>294.2599575141187</v>
      </c>
      <c r="X21" s="629">
        <f>IF(M21="","",R21)</f>
        <v>3.4885105213477328</v>
      </c>
      <c r="Y21" s="630">
        <f t="shared" si="223"/>
        <v>-0.50400152006858456</v>
      </c>
      <c r="Z21" s="632">
        <f t="shared" si="6"/>
        <v>0.14335248709728274</v>
      </c>
      <c r="AA21" s="629">
        <f t="shared" si="7"/>
        <v>-0.94871343899166949</v>
      </c>
      <c r="AB21" s="629">
        <f t="shared" si="8"/>
        <v>-0.28176741316132231</v>
      </c>
      <c r="AC21" s="636">
        <f>IF(M21="","",SQRT(Z21^2+AA21^2+AB21^2))</f>
        <v>1</v>
      </c>
      <c r="AD21" s="637">
        <f>IF(M21="","",Z21*(1/SQRT(Z21^2+AA21^2+AB21^2)))</f>
        <v>0.14335248709728274</v>
      </c>
      <c r="AE21" s="629">
        <f>IF(M21="","",AA21*(1/SQRT(Z21^2+AA21^2+AB21^2)))</f>
        <v>-0.94871343899166949</v>
      </c>
      <c r="AF21" s="633">
        <f>IF(M21="","",AB21*(1/SQRT(Z21^2+AA21^2+AB21^2)))</f>
        <v>-0.28176741316132231</v>
      </c>
      <c r="AG21" s="602">
        <f>IF(M21="","",DEGREES(ATAN2(-AF21,AE21)))</f>
        <v>-73.45860702724012</v>
      </c>
      <c r="AH21" s="603">
        <f>IF(M21="","",DEGREES(ACOS(AD21)))</f>
        <v>81.758113014031892</v>
      </c>
      <c r="AI21" s="585">
        <f>IF(M21="","",DEGREES(-ACOS(-AF21)))</f>
        <v>-73.634282192594753</v>
      </c>
      <c r="AJ21" s="586">
        <f>IF(M21="","",DEGREES(ATAN2(-AE21,AD21)))</f>
        <v>8.5925055190943613</v>
      </c>
      <c r="AK21" s="635">
        <f>IF(M21="","",(COS(RADIANS((90-$Q$8)-W21))*AD21)+(-SIN(RADIANS((90-$Q$8)-W21))*AE21))</f>
        <v>0.92459818767739199</v>
      </c>
      <c r="AL21" s="629">
        <f>IF(M21="","",(SIN(RADIANS((90-$Q$8)-W21))*AD21)+(COS(RADIANS((90-$Q$8)-W21))*AE21))</f>
        <v>-0.25636949160159261</v>
      </c>
      <c r="AM21" s="634">
        <f>IF(M21="","",AF21)</f>
        <v>-0.28176741316132231</v>
      </c>
      <c r="AN21" s="581">
        <f>IF(M21="","",DEGREES(ATAN2(-AM21,AL21)))</f>
        <v>-42.297872198523073</v>
      </c>
      <c r="AO21" s="582">
        <f>IF(ROUND(IF(M21="",0,DEGREES(ACOS(AK21))),4)=90,0,IF(M21="","",DEGREES(ACOS(AK21))))</f>
        <v>22.392157080965763</v>
      </c>
      <c r="AP21" s="585">
        <f>IF(M21="","",DEGREES(ATAN2(AK21,AL21)))</f>
        <v>-15.497452019569293</v>
      </c>
      <c r="AQ21" s="586">
        <f t="shared" si="9"/>
        <v>0.65346736666433702</v>
      </c>
      <c r="AS21" s="52">
        <f t="shared" si="116"/>
        <v>-65.740042485881304</v>
      </c>
      <c r="AT21" s="72">
        <f t="shared" si="10"/>
        <v>-0.45141428929353383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3.5813490247055366</v>
      </c>
      <c r="C22" s="708">
        <v>1.5691180266242244</v>
      </c>
      <c r="D22" s="709">
        <v>-1.1543034813793001</v>
      </c>
      <c r="E22" s="710">
        <v>3.331492804402314E-2</v>
      </c>
      <c r="F22" s="708">
        <v>0.97415094011825154</v>
      </c>
      <c r="G22" s="711">
        <v>0.22342797818569754</v>
      </c>
      <c r="H22" s="710">
        <v>0.314</v>
      </c>
      <c r="I22" s="708">
        <v>0.52</v>
      </c>
      <c r="J22" s="570">
        <v>2.117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2.117</v>
      </c>
      <c r="N22" s="632">
        <f t="shared" si="2"/>
        <v>3.5813490247055366</v>
      </c>
      <c r="O22" s="629">
        <f t="shared" si="3"/>
        <v>1.5691180266242244</v>
      </c>
      <c r="P22" s="633">
        <f t="shared" si="4"/>
        <v>-1.1543034813793001</v>
      </c>
      <c r="Q22" s="585">
        <f t="shared" si="113"/>
        <v>23.659957600747987</v>
      </c>
      <c r="R22" s="629">
        <f t="shared" si="79"/>
        <v>3.9100117925955669</v>
      </c>
      <c r="S22" s="634">
        <f t="shared" si="80"/>
        <v>-1.1543034813793001</v>
      </c>
      <c r="T22" s="635">
        <f t="shared" si="81"/>
        <v>1.5797371791496941</v>
      </c>
      <c r="U22" s="629">
        <f t="shared" si="82"/>
        <v>-3.5766776012171642</v>
      </c>
      <c r="V22" s="636">
        <f t="shared" si="114"/>
        <v>-1.1543034813793001</v>
      </c>
      <c r="W22" s="585">
        <f t="shared" si="224"/>
        <v>293.82995757620301</v>
      </c>
      <c r="X22" s="629">
        <f t="shared" si="83"/>
        <v>3.9100117925955669</v>
      </c>
      <c r="Y22" s="630">
        <f t="shared" si="223"/>
        <v>-1.1543034813793001</v>
      </c>
      <c r="Z22" s="632">
        <f t="shared" si="6"/>
        <v>-3.331492804402314E-2</v>
      </c>
      <c r="AA22" s="629">
        <f t="shared" si="7"/>
        <v>-0.97415094011825154</v>
      </c>
      <c r="AB22" s="629">
        <f t="shared" si="8"/>
        <v>-0.22342797818569754</v>
      </c>
      <c r="AC22" s="636">
        <f t="shared" si="84"/>
        <v>1</v>
      </c>
      <c r="AD22" s="637">
        <f t="shared" si="115"/>
        <v>-3.331492804402314E-2</v>
      </c>
      <c r="AE22" s="629">
        <f t="shared" si="85"/>
        <v>-0.97415094011825154</v>
      </c>
      <c r="AF22" s="633">
        <f t="shared" si="86"/>
        <v>-0.22342797818569754</v>
      </c>
      <c r="AG22" s="602">
        <f t="shared" si="87"/>
        <v>-77.082250661116674</v>
      </c>
      <c r="AH22" s="603">
        <f t="shared" si="88"/>
        <v>91.909158040288474</v>
      </c>
      <c r="AI22" s="585">
        <f t="shared" si="89"/>
        <v>-77.089545167561965</v>
      </c>
      <c r="AJ22" s="586">
        <f t="shared" si="90"/>
        <v>-1.9586914679130905</v>
      </c>
      <c r="AK22" s="635">
        <f t="shared" si="211"/>
        <v>0.87889746820371573</v>
      </c>
      <c r="AL22" s="629">
        <f t="shared" si="91"/>
        <v>-0.42144890431575488</v>
      </c>
      <c r="AM22" s="634">
        <f t="shared" si="92"/>
        <v>-0.22342797818569754</v>
      </c>
      <c r="AN22" s="581">
        <f t="shared" si="93"/>
        <v>-62.070036252996758</v>
      </c>
      <c r="AO22" s="582">
        <f t="shared" si="94"/>
        <v>28.490349652929737</v>
      </c>
      <c r="AP22" s="585">
        <f t="shared" si="95"/>
        <v>-25.618649068661092</v>
      </c>
      <c r="AQ22" s="586">
        <f t="shared" si="9"/>
        <v>0.58302840673007261</v>
      </c>
      <c r="AS22" s="52">
        <f t="shared" si="116"/>
        <v>-66.170042423796986</v>
      </c>
      <c r="AT22" s="72">
        <f t="shared" si="10"/>
        <v>-1.1014176395362523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3.7429275562885103</v>
      </c>
      <c r="C23" s="708">
        <v>1.6251381462901424</v>
      </c>
      <c r="D23" s="709">
        <v>-1.8676056326985888</v>
      </c>
      <c r="E23" s="710">
        <v>0.11082094043338347</v>
      </c>
      <c r="F23" s="708">
        <v>0.98709699824111596</v>
      </c>
      <c r="G23" s="711">
        <v>0.1155778318919293</v>
      </c>
      <c r="H23" s="710">
        <v>0.26600000000000001</v>
      </c>
      <c r="I23" s="708">
        <v>0.52</v>
      </c>
      <c r="J23" s="570">
        <v>2.12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2.12</v>
      </c>
      <c r="N23" s="632">
        <f t="shared" si="2"/>
        <v>3.7429275562885103</v>
      </c>
      <c r="O23" s="629">
        <f t="shared" si="3"/>
        <v>1.6251381462901424</v>
      </c>
      <c r="P23" s="633">
        <f t="shared" si="4"/>
        <v>-1.8676056326985888</v>
      </c>
      <c r="Q23" s="585">
        <f t="shared" si="113"/>
        <v>23.469957628180584</v>
      </c>
      <c r="R23" s="629">
        <f t="shared" si="79"/>
        <v>4.080512306825117</v>
      </c>
      <c r="S23" s="634">
        <f t="shared" si="80"/>
        <v>-1.8676056326985888</v>
      </c>
      <c r="T23" s="635">
        <f t="shared" si="81"/>
        <v>1.6362364646122853</v>
      </c>
      <c r="U23" s="629">
        <f t="shared" si="82"/>
        <v>-3.7380892068039691</v>
      </c>
      <c r="V23" s="636">
        <f t="shared" si="114"/>
        <v>-1.8676056326985888</v>
      </c>
      <c r="W23" s="585">
        <f t="shared" si="224"/>
        <v>293.63995760363559</v>
      </c>
      <c r="X23" s="629">
        <f t="shared" si="83"/>
        <v>4.080512306825117</v>
      </c>
      <c r="Y23" s="630">
        <f t="shared" si="223"/>
        <v>-1.8676056326985888</v>
      </c>
      <c r="Z23" s="632">
        <f t="shared" si="6"/>
        <v>-0.11082094043338347</v>
      </c>
      <c r="AA23" s="629">
        <f t="shared" si="7"/>
        <v>-0.98709699824111596</v>
      </c>
      <c r="AB23" s="629">
        <f t="shared" si="8"/>
        <v>-0.1155778318919293</v>
      </c>
      <c r="AC23" s="636">
        <f t="shared" si="84"/>
        <v>1</v>
      </c>
      <c r="AD23" s="637">
        <f t="shared" si="115"/>
        <v>-0.11082094043338347</v>
      </c>
      <c r="AE23" s="629">
        <f t="shared" si="85"/>
        <v>-0.98709699824111596</v>
      </c>
      <c r="AF23" s="633">
        <f t="shared" si="86"/>
        <v>-0.1155778318919293</v>
      </c>
      <c r="AG23" s="602">
        <f t="shared" si="87"/>
        <v>-83.321724238245281</v>
      </c>
      <c r="AH23" s="603">
        <f t="shared" si="88"/>
        <v>96.362641339062989</v>
      </c>
      <c r="AI23" s="585">
        <f t="shared" si="89"/>
        <v>-83.363045380588559</v>
      </c>
      <c r="AJ23" s="586">
        <f t="shared" si="90"/>
        <v>-6.4057478721010286</v>
      </c>
      <c r="AK23" s="635">
        <f t="shared" si="211"/>
        <v>0.86129705131923062</v>
      </c>
      <c r="AL23" s="629">
        <f t="shared" si="91"/>
        <v>-0.49478192586629505</v>
      </c>
      <c r="AM23" s="634">
        <f t="shared" si="92"/>
        <v>-0.1155778318919293</v>
      </c>
      <c r="AN23" s="581">
        <f t="shared" si="93"/>
        <v>-76.8518428129955</v>
      </c>
      <c r="AO23" s="582">
        <f t="shared" si="94"/>
        <v>30.537470852332785</v>
      </c>
      <c r="AP23" s="585">
        <f t="shared" si="95"/>
        <v>-29.875705500281615</v>
      </c>
      <c r="AQ23" s="586">
        <f t="shared" si="9"/>
        <v>0.55866867006831999</v>
      </c>
      <c r="AS23" s="52">
        <f t="shared" si="116"/>
        <v>-66.360042396364406</v>
      </c>
      <c r="AT23" s="72">
        <f t="shared" si="10"/>
        <v>-1.814587846430147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12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70</v>
      </c>
      <c r="JI23" s="801">
        <v>60</v>
      </c>
    </row>
    <row r="24" spans="1:269" ht="15" customHeight="1" x14ac:dyDescent="0.25">
      <c r="A24" s="79"/>
      <c r="B24" s="707">
        <v>3.2431835777607811</v>
      </c>
      <c r="C24" s="708">
        <v>0.51366747846802052</v>
      </c>
      <c r="D24" s="709">
        <v>-0.3192010263478956</v>
      </c>
      <c r="E24" s="710">
        <v>8.9099550237948799E-2</v>
      </c>
      <c r="F24" s="708">
        <v>0.92981452626718786</v>
      </c>
      <c r="G24" s="711">
        <v>0.35708012670816658</v>
      </c>
      <c r="H24" s="710">
        <v>0.26600000000000001</v>
      </c>
      <c r="I24" s="708">
        <v>0.52</v>
      </c>
      <c r="J24" s="570">
        <v>2.2130000000000001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2.2130000000000001</v>
      </c>
      <c r="N24" s="632">
        <f t="shared" si="2"/>
        <v>3.2431835777607811</v>
      </c>
      <c r="O24" s="629">
        <f t="shared" si="3"/>
        <v>0.51366747846802052</v>
      </c>
      <c r="P24" s="633">
        <f t="shared" si="4"/>
        <v>-0.3192010263478956</v>
      </c>
      <c r="Q24" s="585">
        <f t="shared" si="113"/>
        <v>8.9999597173897978</v>
      </c>
      <c r="R24" s="629">
        <f t="shared" si="79"/>
        <v>3.2836099033674682</v>
      </c>
      <c r="S24" s="634">
        <f t="shared" si="80"/>
        <v>-0.3192010263478956</v>
      </c>
      <c r="T24" s="635">
        <f t="shared" si="81"/>
        <v>0.52328792132620572</v>
      </c>
      <c r="U24" s="629">
        <f t="shared" si="82"/>
        <v>-3.2416452225508903</v>
      </c>
      <c r="V24" s="636">
        <f t="shared" si="114"/>
        <v>-0.3192010263478956</v>
      </c>
      <c r="W24" s="585">
        <f t="shared" si="224"/>
        <v>279.16995969284483</v>
      </c>
      <c r="X24" s="629">
        <f t="shared" si="83"/>
        <v>3.2836099033674682</v>
      </c>
      <c r="Y24" s="630">
        <f t="shared" si="223"/>
        <v>-0.3192010263478956</v>
      </c>
      <c r="Z24" s="632">
        <f t="shared" si="6"/>
        <v>-8.9099550237948799E-2</v>
      </c>
      <c r="AA24" s="629">
        <f t="shared" si="7"/>
        <v>-0.92981452626718786</v>
      </c>
      <c r="AB24" s="629">
        <f t="shared" si="8"/>
        <v>-0.35708012670816658</v>
      </c>
      <c r="AC24" s="636">
        <f t="shared" si="84"/>
        <v>1</v>
      </c>
      <c r="AD24" s="637">
        <f t="shared" si="115"/>
        <v>-8.9099550237948799E-2</v>
      </c>
      <c r="AE24" s="629">
        <f t="shared" si="85"/>
        <v>-0.92981452626718786</v>
      </c>
      <c r="AF24" s="633">
        <f t="shared" si="86"/>
        <v>-0.35708012670816658</v>
      </c>
      <c r="AG24" s="602">
        <f t="shared" si="87"/>
        <v>-68.991527105306517</v>
      </c>
      <c r="AH24" s="603">
        <f t="shared" si="88"/>
        <v>95.111807003298736</v>
      </c>
      <c r="AI24" s="585">
        <f t="shared" si="89"/>
        <v>-69.079015486158553</v>
      </c>
      <c r="AJ24" s="586">
        <f t="shared" si="90"/>
        <v>-5.4736595537056623</v>
      </c>
      <c r="AK24" s="635">
        <f>IF(M24="","",(COS(RADIANS((90-$Q$8)-W24))*AD24)+(-SIN(RADIANS((90-$Q$8)-W24))*AE24))</f>
        <v>0.90442889016876415</v>
      </c>
      <c r="AL24" s="629">
        <f t="shared" si="91"/>
        <v>-0.23345698905403811</v>
      </c>
      <c r="AM24" s="634">
        <f t="shared" si="92"/>
        <v>-0.35708012670816658</v>
      </c>
      <c r="AN24" s="581">
        <f t="shared" si="93"/>
        <v>-33.176434589053692</v>
      </c>
      <c r="AO24" s="582">
        <f t="shared" si="94"/>
        <v>25.253526322414029</v>
      </c>
      <c r="AP24" s="585">
        <f t="shared" si="95"/>
        <v>-14.473619271095449</v>
      </c>
      <c r="AQ24" s="586">
        <f t="shared" si="9"/>
        <v>0.69424052516552237</v>
      </c>
      <c r="AS24" s="52">
        <f t="shared" si="116"/>
        <v>-80.830040307155173</v>
      </c>
      <c r="AT24" s="72">
        <f t="shared" si="10"/>
        <v>-0.25613463041918244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2.2130000000000001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1.113</v>
      </c>
      <c r="II24" s="734" cm="1">
        <f t="array" ref="II24">IFERROR(ROUND(VALUE(IF($IH24&lt;1,$IH24+LARGE((IF($M$9:$M$150="",0,$M$9:$M$150)-MOD(IF($M$9:$M$150="",0,$M$9:$M$150),1)),1),$IH24)),4),"")</f>
        <v>1.113</v>
      </c>
      <c r="IJ24" s="533">
        <f t="shared" si="112"/>
        <v>1613</v>
      </c>
      <c r="IK24" s="533">
        <f t="shared" si="66"/>
        <v>1313</v>
      </c>
      <c r="IL24" s="727">
        <f t="shared" si="225"/>
        <v>80.280040386565304</v>
      </c>
      <c r="IM24" s="759">
        <v>3.0738205748536598E-2</v>
      </c>
      <c r="IN24" s="5">
        <f t="shared" si="226"/>
        <v>0.14000000000000001</v>
      </c>
      <c r="IO24" s="771">
        <v>70</v>
      </c>
      <c r="IP24" s="9">
        <f t="shared" si="227"/>
        <v>-3.2836099033674682</v>
      </c>
      <c r="IQ24" s="5">
        <f t="shared" si="228"/>
        <v>-0.3403010263478955</v>
      </c>
      <c r="IR24" s="5">
        <f t="shared" si="71"/>
        <v>0.314</v>
      </c>
      <c r="IS24" s="5">
        <f t="shared" si="229"/>
        <v>0.29445178239130587</v>
      </c>
      <c r="IT24" s="727">
        <f t="shared" si="230"/>
        <v>35.17839540952599</v>
      </c>
      <c r="IU24" s="9">
        <f t="shared" si="231"/>
        <v>-3.2836099033674682</v>
      </c>
      <c r="IV24" s="5">
        <f t="shared" si="232"/>
        <v>-0.3192010263478956</v>
      </c>
      <c r="IW24" s="5">
        <f t="shared" si="76"/>
        <v>0.26600000000000001</v>
      </c>
      <c r="IX24" s="5">
        <f t="shared" si="233"/>
        <v>0.24057808478489132</v>
      </c>
      <c r="IY24" s="762">
        <f t="shared" si="234"/>
        <v>33.176434589053692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3.7465159003911257</v>
      </c>
      <c r="C25" s="708">
        <v>0.66060911122138499</v>
      </c>
      <c r="D25" s="709">
        <v>-0.89300275753711655</v>
      </c>
      <c r="E25" s="710">
        <v>0.26674289289762587</v>
      </c>
      <c r="F25" s="708">
        <v>0.91385573068461656</v>
      </c>
      <c r="G25" s="711">
        <v>0.30613058093482143</v>
      </c>
      <c r="H25" s="710">
        <v>0.26600000000000001</v>
      </c>
      <c r="I25" s="708">
        <v>0.52</v>
      </c>
      <c r="J25" s="570">
        <v>2.2160000000000002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2.2160000000000002</v>
      </c>
      <c r="N25" s="632">
        <f t="shared" si="2"/>
        <v>3.7465159003911257</v>
      </c>
      <c r="O25" s="629">
        <f t="shared" si="3"/>
        <v>0.66060911122138499</v>
      </c>
      <c r="P25" s="633">
        <f t="shared" si="4"/>
        <v>-0.89300275753711655</v>
      </c>
      <c r="Q25" s="585">
        <f t="shared" si="113"/>
        <v>9.9999595730076773</v>
      </c>
      <c r="R25" s="629">
        <f>IF(M25="","",SQRT(N25^2+O25^2))</f>
        <v>3.8043114738034052</v>
      </c>
      <c r="S25" s="634">
        <f>IF(M25="","",P25)</f>
        <v>-0.89300275753711655</v>
      </c>
      <c r="T25" s="635">
        <f>IF(M25="","",X25*COS(RADIANS(W25)))</f>
        <v>0.67172232194170867</v>
      </c>
      <c r="U25" s="629">
        <f>IF(M25="","",X25*SIN(RADIANS(W25)))</f>
        <v>-3.7445393457563609</v>
      </c>
      <c r="V25" s="636">
        <f>IF(M25="","",Y25)</f>
        <v>-0.89300275753711655</v>
      </c>
      <c r="W25" s="585">
        <f t="shared" si="224"/>
        <v>280.16995954846271</v>
      </c>
      <c r="X25" s="629">
        <f>IF(M25="","",R25)</f>
        <v>3.8043114738034052</v>
      </c>
      <c r="Y25" s="630">
        <f t="shared" si="223"/>
        <v>-0.89300275753711655</v>
      </c>
      <c r="Z25" s="632">
        <f t="shared" si="6"/>
        <v>-0.26674289289762587</v>
      </c>
      <c r="AA25" s="629">
        <f t="shared" si="7"/>
        <v>-0.91385573068461656</v>
      </c>
      <c r="AB25" s="629">
        <f t="shared" si="8"/>
        <v>-0.30613058093482143</v>
      </c>
      <c r="AC25" s="636">
        <f>IF(M25="","",SQRT(Z25^2+AA25^2+AB25^2))</f>
        <v>1</v>
      </c>
      <c r="AD25" s="637">
        <f>IF(M25="","",Z25*(1/SQRT(Z25^2+AA25^2+AB25^2)))</f>
        <v>-0.26674289289762587</v>
      </c>
      <c r="AE25" s="629">
        <f>IF(M25="","",AA25*(1/SQRT(Z25^2+AA25^2+AB25^2)))</f>
        <v>-0.91385573068461656</v>
      </c>
      <c r="AF25" s="633">
        <f>IF(M25="","",AB25*(1/SQRT(Z25^2+AA25^2+AB25^2)))</f>
        <v>-0.30613058093482143</v>
      </c>
      <c r="AG25" s="602">
        <f>IF(M25="","",DEGREES(ATAN2(-AF25,AE25)))</f>
        <v>-71.479775609175945</v>
      </c>
      <c r="AH25" s="603">
        <f>IF(M25="","",DEGREES(ACOS(AD25)))</f>
        <v>105.47054153650735</v>
      </c>
      <c r="AI25" s="585">
        <f>IF(M25="","",DEGREES(-ACOS(-AF25)))</f>
        <v>-72.173804707935588</v>
      </c>
      <c r="AJ25" s="586">
        <f>IF(M25="","",DEGREES(ATAN2(-AE25,AD25)))</f>
        <v>-16.271854933604956</v>
      </c>
      <c r="AK25" s="635">
        <f>IF(M25="","",(COS(RADIANS((90-$Q$8)-W25))*AD25)+(-SIN(RADIANS((90-$Q$8)-W25))*AE25))</f>
        <v>0.85365308877428925</v>
      </c>
      <c r="AL25" s="629">
        <f>IF(M25="","",(SIN(RADIANS((90-$Q$8)-W25))*AD25)+(COS(RADIANS((90-$Q$8)-W25))*AE25))</f>
        <v>-0.42137924894639062</v>
      </c>
      <c r="AM25" s="634">
        <f>IF(M25="","",AF25)</f>
        <v>-0.30613058093482143</v>
      </c>
      <c r="AN25" s="581">
        <f>IF(M25="","",DEGREES(ATAN2(-AM25,AL25)))</f>
        <v>-54.001723319631338</v>
      </c>
      <c r="AO25" s="582">
        <f>IF(ROUND(IF(M25="",0,DEGREES(ACOS(AK25))),4)=90,0,IF(M25="","",DEGREES(ACOS(AK25))))</f>
        <v>31.388749125324015</v>
      </c>
      <c r="AP25" s="585">
        <f>IF(M25="","",DEGREES(ATAN2(AK25,AL25)))</f>
        <v>-26.271814506612614</v>
      </c>
      <c r="AQ25" s="586">
        <f t="shared" si="9"/>
        <v>0.59922630638610386</v>
      </c>
      <c r="AS25" s="52">
        <f t="shared" si="116"/>
        <v>-79.830040451537286</v>
      </c>
      <c r="AT25" s="72">
        <f t="shared" si="10"/>
        <v>-0.83063080595258243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2.2160000000000002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1.1160000000000001</v>
      </c>
      <c r="II25" s="734" cm="1">
        <f t="array" ref="II25">IFERROR(ROUND(VALUE(IF($IH25&lt;1,$IH25+LARGE((IF($M$9:$M$150="",0,$M$9:$M$150)-MOD(IF($M$9:$M$150="",0,$M$9:$M$150),1)),1),$IH25)),4),"")</f>
        <v>1.1160000000000001</v>
      </c>
      <c r="IJ25" s="533">
        <f t="shared" si="112"/>
        <v>1613</v>
      </c>
      <c r="IK25" s="533">
        <f t="shared" si="66"/>
        <v>1313</v>
      </c>
      <c r="IL25" s="727">
        <f t="shared" si="225"/>
        <v>78.770040604582277</v>
      </c>
      <c r="IM25" s="759">
        <v>2.9315133253659999E-2</v>
      </c>
      <c r="IN25" s="5">
        <f t="shared" si="226"/>
        <v>0.14000000000000001</v>
      </c>
      <c r="IO25" s="771">
        <v>70</v>
      </c>
      <c r="IP25" s="9">
        <f t="shared" si="227"/>
        <v>-3.8043114738034061</v>
      </c>
      <c r="IQ25" s="5">
        <f t="shared" si="228"/>
        <v>-0.91430275753711709</v>
      </c>
      <c r="IR25" s="5">
        <f t="shared" si="71"/>
        <v>0.314</v>
      </c>
      <c r="IS25" s="5">
        <f t="shared" si="229"/>
        <v>0.28106428935524846</v>
      </c>
      <c r="IT25" s="727">
        <f t="shared" si="230"/>
        <v>55.7061160170677</v>
      </c>
      <c r="IU25" s="9">
        <f t="shared" si="231"/>
        <v>-3.8043114738034052</v>
      </c>
      <c r="IV25" s="5">
        <f t="shared" si="232"/>
        <v>-0.89300275753711655</v>
      </c>
      <c r="IW25" s="5">
        <f t="shared" si="76"/>
        <v>0.26600000000000001</v>
      </c>
      <c r="IX25" s="5">
        <f t="shared" si="233"/>
        <v>0.22707172161396094</v>
      </c>
      <c r="IY25" s="762">
        <f t="shared" si="234"/>
        <v>54.001723319631338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3.9263247905720293</v>
      </c>
      <c r="C26" s="708">
        <v>0.76319734127231353</v>
      </c>
      <c r="D26" s="709">
        <v>-1.6432050195439385</v>
      </c>
      <c r="E26" s="710">
        <v>0.38971472537096047</v>
      </c>
      <c r="F26" s="708">
        <v>0.90603769350981023</v>
      </c>
      <c r="G26" s="711">
        <v>0.1649791828336532</v>
      </c>
      <c r="H26" s="710">
        <v>0.26600000000000001</v>
      </c>
      <c r="I26" s="708">
        <v>0.52</v>
      </c>
      <c r="J26" s="570">
        <v>2.2189999999999999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2.2189999999999999</v>
      </c>
      <c r="N26" s="632">
        <f t="shared" si="2"/>
        <v>3.9263247905720293</v>
      </c>
      <c r="O26" s="629">
        <f t="shared" si="3"/>
        <v>0.76319734127231353</v>
      </c>
      <c r="P26" s="633">
        <f t="shared" si="4"/>
        <v>-1.6432050195439385</v>
      </c>
      <c r="Q26" s="585">
        <f t="shared" si="113"/>
        <v>10.999959428625569</v>
      </c>
      <c r="R26" s="629">
        <f>IF(M26="","",SQRT(N26^2+O26^2))</f>
        <v>3.9998120634331831</v>
      </c>
      <c r="S26" s="634">
        <f>IF(M26="","",P26)</f>
        <v>-1.6432050195439385</v>
      </c>
      <c r="T26" s="635">
        <f>IF(M26="","",X26*COS(RADIANS(W26)))</f>
        <v>0.77484360328531365</v>
      </c>
      <c r="U26" s="629">
        <f>IF(M26="","",X26*SIN(RADIANS(W26)))</f>
        <v>-3.9240430595539402</v>
      </c>
      <c r="V26" s="636">
        <f>IF(M26="","",Y26)</f>
        <v>-1.6432050195439385</v>
      </c>
      <c r="W26" s="585">
        <f t="shared" si="224"/>
        <v>281.1699594040806</v>
      </c>
      <c r="X26" s="629">
        <f>IF(M26="","",R26)</f>
        <v>3.9998120634331831</v>
      </c>
      <c r="Y26" s="630">
        <f t="shared" si="223"/>
        <v>-1.6432050195439385</v>
      </c>
      <c r="Z26" s="632">
        <f t="shared" si="6"/>
        <v>-0.38971472537096047</v>
      </c>
      <c r="AA26" s="629">
        <f t="shared" si="7"/>
        <v>-0.90603769350981023</v>
      </c>
      <c r="AB26" s="629">
        <f t="shared" si="8"/>
        <v>-0.1649791828336532</v>
      </c>
      <c r="AC26" s="636">
        <f>IF(M26="","",SQRT(Z26^2+AA26^2+AB26^2))</f>
        <v>1</v>
      </c>
      <c r="AD26" s="637">
        <f>IF(M26="","",Z26*(1/SQRT(Z26^2+AA26^2+AB26^2)))</f>
        <v>-0.38971472537096047</v>
      </c>
      <c r="AE26" s="629">
        <f>IF(M26="","",AA26*(1/SQRT(Z26^2+AA26^2+AB26^2)))</f>
        <v>-0.90603769350981023</v>
      </c>
      <c r="AF26" s="633">
        <f>IF(M26="","",AB26*(1/SQRT(Z26^2+AA26^2+AB26^2)))</f>
        <v>-0.1649791828336532</v>
      </c>
      <c r="AG26" s="602">
        <f>IF(M26="","",DEGREES(ATAN2(-AF26,AE26)))</f>
        <v>-79.680153308967547</v>
      </c>
      <c r="AH26" s="603">
        <f>IF(M26="","",DEGREES(ACOS(AD26)))</f>
        <v>112.9367499480944</v>
      </c>
      <c r="AI26" s="585">
        <f>IF(M26="","",DEGREES(-ACOS(-AF26)))</f>
        <v>-80.503974840463087</v>
      </c>
      <c r="AJ26" s="586">
        <f>IF(M26="","",DEGREES(ATAN2(-AE26,AD26)))</f>
        <v>-23.274029733776661</v>
      </c>
      <c r="AK26" s="635">
        <f>IF(M26="","",(COS(RADIANS((90-$Q$8)-W26))*AD26)+(-SIN(RADIANS((90-$Q$8)-W26))*AE26))</f>
        <v>0.81503054725134605</v>
      </c>
      <c r="AL26" s="629">
        <f>IF(M26="","",(SIN(RADIANS((90-$Q$8)-W26))*AD26)+(COS(RADIANS((90-$Q$8)-W26))*AE26))</f>
        <v>-0.55543413315955958</v>
      </c>
      <c r="AM26" s="634">
        <f>IF(M26="","",AF26)</f>
        <v>-0.1649791828336532</v>
      </c>
      <c r="AN26" s="581">
        <f>IF(M26="","",DEGREES(ATAN2(-AM26,AL26)))</f>
        <v>-73.457135346708526</v>
      </c>
      <c r="AO26" s="582">
        <f t="shared" si="94"/>
        <v>35.409617556439962</v>
      </c>
      <c r="AP26" s="585">
        <f>IF(M26="","",DEGREES(ATAN2(AK26,AL26)))</f>
        <v>-34.273989162402245</v>
      </c>
      <c r="AQ26" s="586">
        <f t="shared" si="9"/>
        <v>0.56993963788753288</v>
      </c>
      <c r="AS26" s="52">
        <f t="shared" si="116"/>
        <v>-78.830040595919399</v>
      </c>
      <c r="AT26" s="72">
        <f t="shared" si="10"/>
        <v>-1.5815275123035835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2.2189999999999999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1.119</v>
      </c>
      <c r="II26" s="734" cm="1">
        <f t="array" ref="II26">IFERROR(ROUND(VALUE(IF($IH26&lt;1,$IH26+LARGE((IF($M$9:$M$150="",0,$M$9:$M$150)-MOD(IF($M$9:$M$150="",0,$M$9:$M$150),1)),1),$IH26)),4),"")</f>
        <v>1.119</v>
      </c>
      <c r="IJ26" s="533">
        <f t="shared" si="112"/>
        <v>1613</v>
      </c>
      <c r="IK26" s="533">
        <f t="shared" si="66"/>
        <v>1313</v>
      </c>
      <c r="IL26" s="727">
        <f t="shared" si="225"/>
        <v>77.560040779284691</v>
      </c>
      <c r="IM26" s="759">
        <v>3.0867576222642398E-2</v>
      </c>
      <c r="IN26" s="5">
        <f t="shared" si="226"/>
        <v>0.16</v>
      </c>
      <c r="IO26" s="771">
        <v>80</v>
      </c>
      <c r="IP26" s="9">
        <f t="shared" si="227"/>
        <v>-3.9998120634331835</v>
      </c>
      <c r="IQ26" s="5">
        <f t="shared" si="228"/>
        <v>-1.6643050195439391</v>
      </c>
      <c r="IR26" s="5">
        <f t="shared" si="71"/>
        <v>0.314</v>
      </c>
      <c r="IS26" s="5">
        <f t="shared" si="229"/>
        <v>0.27056376821408529</v>
      </c>
      <c r="IT26" s="727">
        <f t="shared" si="230"/>
        <v>74.886448182205598</v>
      </c>
      <c r="IU26" s="9">
        <f t="shared" si="231"/>
        <v>-3.9998120634331831</v>
      </c>
      <c r="IV26" s="5">
        <f t="shared" si="232"/>
        <v>-1.6432050195439385</v>
      </c>
      <c r="IW26" s="5">
        <f t="shared" si="76"/>
        <v>0.26600000000000001</v>
      </c>
      <c r="IX26" s="5">
        <f t="shared" si="233"/>
        <v>0.21679812556885808</v>
      </c>
      <c r="IY26" s="762">
        <f t="shared" si="234"/>
        <v>73.457135346708526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0.67505326328078619</v>
      </c>
      <c r="C27" s="708">
        <v>-0.34817349372685091</v>
      </c>
      <c r="D27" s="709">
        <v>-0.2613007880831768</v>
      </c>
      <c r="E27" s="710">
        <v>0.48296342394969705</v>
      </c>
      <c r="F27" s="708">
        <v>0.8365160201207017</v>
      </c>
      <c r="G27" s="711">
        <v>0.25881900859134593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0.67505326328078619</v>
      </c>
      <c r="O27" s="629">
        <f t="shared" si="3"/>
        <v>-0.34817349372685091</v>
      </c>
      <c r="P27" s="633">
        <f t="shared" si="4"/>
        <v>-0.2613007880831768</v>
      </c>
      <c r="Q27" s="585">
        <f t="shared" si="113"/>
        <v>332.71658872810275</v>
      </c>
      <c r="R27" s="629">
        <f t="shared" si="79"/>
        <v>0.75955361232766183</v>
      </c>
      <c r="S27" s="634">
        <f t="shared" si="80"/>
        <v>-0.2613007880831768</v>
      </c>
      <c r="T27" s="635">
        <f t="shared" si="81"/>
        <v>-0.34616904104154522</v>
      </c>
      <c r="U27" s="629">
        <f t="shared" si="82"/>
        <v>-0.67608334177405749</v>
      </c>
      <c r="V27" s="636">
        <f t="shared" si="114"/>
        <v>-0.2613007880831768</v>
      </c>
      <c r="W27" s="585">
        <f t="shared" si="224"/>
        <v>242.88658870355778</v>
      </c>
      <c r="X27" s="629">
        <f t="shared" si="83"/>
        <v>0.75955361232766183</v>
      </c>
      <c r="Y27" s="630">
        <f t="shared" si="223"/>
        <v>-0.2613007880831768</v>
      </c>
      <c r="Z27" s="632">
        <f t="shared" si="6"/>
        <v>-0.48296342394969705</v>
      </c>
      <c r="AA27" s="629">
        <f t="shared" si="7"/>
        <v>-0.8365160201207017</v>
      </c>
      <c r="AB27" s="629">
        <f t="shared" si="8"/>
        <v>-0.25881900859134593</v>
      </c>
      <c r="AC27" s="636">
        <f t="shared" si="84"/>
        <v>1</v>
      </c>
      <c r="AD27" s="637">
        <f t="shared" si="115"/>
        <v>-0.48296342394969705</v>
      </c>
      <c r="AE27" s="629">
        <f t="shared" si="85"/>
        <v>-0.8365160201207017</v>
      </c>
      <c r="AF27" s="633">
        <f t="shared" si="86"/>
        <v>-0.25881900859134593</v>
      </c>
      <c r="AG27" s="602">
        <f t="shared" si="87"/>
        <v>-72.807873062981898</v>
      </c>
      <c r="AH27" s="603">
        <f t="shared" si="88"/>
        <v>118.87912744093235</v>
      </c>
      <c r="AI27" s="585">
        <f t="shared" si="89"/>
        <v>-75.000002165731729</v>
      </c>
      <c r="AJ27" s="586">
        <f t="shared" si="90"/>
        <v>-30.000034651707718</v>
      </c>
      <c r="AK27" s="635">
        <f t="shared" si="211"/>
        <v>0.96484029558119266</v>
      </c>
      <c r="AL27" s="629">
        <f t="shared" si="91"/>
        <v>-4.5781271439202298E-2</v>
      </c>
      <c r="AM27" s="634">
        <f t="shared" si="92"/>
        <v>-0.25881900859134593</v>
      </c>
      <c r="AN27" s="581">
        <f t="shared" si="93"/>
        <v>-10.031020373375895</v>
      </c>
      <c r="AO27" s="582">
        <f t="shared" si="94"/>
        <v>15.238456960587024</v>
      </c>
      <c r="AP27" s="585">
        <f t="shared" si="95"/>
        <v>-2.7166233798104829</v>
      </c>
      <c r="AQ27" s="586">
        <f t="shared" si="9"/>
        <v>2.9986622918701733</v>
      </c>
      <c r="AS27" s="52">
        <f t="shared" si="116"/>
        <v>-117.11341129644222</v>
      </c>
      <c r="AT27" s="72">
        <f t="shared" si="10"/>
        <v>-0.17303760674523652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1.3300109288836675</v>
      </c>
      <c r="C28" s="708">
        <v>-0.75056272618962638</v>
      </c>
      <c r="D28" s="709">
        <v>-0.16010048286305634</v>
      </c>
      <c r="E28" s="710">
        <v>0.48296342394969705</v>
      </c>
      <c r="F28" s="708">
        <v>0.83651602012070159</v>
      </c>
      <c r="G28" s="711">
        <v>0.25881900859134588</v>
      </c>
      <c r="H28" s="710">
        <v>0.314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3.1059999999999999</v>
      </c>
      <c r="N28" s="632">
        <f t="shared" si="2"/>
        <v>1.3300109288836675</v>
      </c>
      <c r="O28" s="629">
        <f t="shared" si="3"/>
        <v>-0.75056272618962638</v>
      </c>
      <c r="P28" s="633">
        <f t="shared" si="4"/>
        <v>-0.16010048286305634</v>
      </c>
      <c r="Q28" s="585">
        <f t="shared" si="113"/>
        <v>330.56273560718012</v>
      </c>
      <c r="R28" s="629">
        <f t="shared" si="79"/>
        <v>1.5271782727943717</v>
      </c>
      <c r="S28" s="634">
        <f t="shared" si="80"/>
        <v>-0.16010048286305634</v>
      </c>
      <c r="T28" s="635">
        <f t="shared" si="81"/>
        <v>-0.74661320691915845</v>
      </c>
      <c r="U28" s="629">
        <f t="shared" si="82"/>
        <v>-1.3322320354011497</v>
      </c>
      <c r="V28" s="636">
        <f t="shared" si="114"/>
        <v>-0.16010048286305634</v>
      </c>
      <c r="W28" s="585">
        <f t="shared" si="224"/>
        <v>240.73273558263514</v>
      </c>
      <c r="X28" s="629">
        <f t="shared" si="83"/>
        <v>1.5271782727943717</v>
      </c>
      <c r="Y28" s="630">
        <f t="shared" si="223"/>
        <v>-0.16010048286305634</v>
      </c>
      <c r="Z28" s="632">
        <f t="shared" si="6"/>
        <v>-0.48296342394969705</v>
      </c>
      <c r="AA28" s="629">
        <f t="shared" si="7"/>
        <v>-0.83651602012070159</v>
      </c>
      <c r="AB28" s="629">
        <f t="shared" si="8"/>
        <v>-0.25881900859134588</v>
      </c>
      <c r="AC28" s="636">
        <f t="shared" si="84"/>
        <v>1</v>
      </c>
      <c r="AD28" s="637">
        <f t="shared" si="115"/>
        <v>-0.48296342394969705</v>
      </c>
      <c r="AE28" s="629">
        <f t="shared" si="85"/>
        <v>-0.83651602012070159</v>
      </c>
      <c r="AF28" s="633">
        <f t="shared" si="86"/>
        <v>-0.25881900859134588</v>
      </c>
      <c r="AG28" s="602">
        <f t="shared" si="87"/>
        <v>-72.807873062981898</v>
      </c>
      <c r="AH28" s="603">
        <f t="shared" si="88"/>
        <v>118.87912744093235</v>
      </c>
      <c r="AI28" s="585">
        <f t="shared" si="89"/>
        <v>-75.000002165731729</v>
      </c>
      <c r="AJ28" s="586">
        <f t="shared" si="90"/>
        <v>-30.000034651707725</v>
      </c>
      <c r="AK28" s="635">
        <f t="shared" si="211"/>
        <v>0.9658792423607091</v>
      </c>
      <c r="AL28" s="629">
        <f t="shared" si="91"/>
        <v>-9.4873583517997573E-3</v>
      </c>
      <c r="AM28" s="634">
        <f t="shared" si="92"/>
        <v>-0.25881900859134588</v>
      </c>
      <c r="AN28" s="581">
        <f t="shared" si="93"/>
        <v>-2.0993138086153511</v>
      </c>
      <c r="AO28" s="582">
        <f t="shared" si="94"/>
        <v>15.010309004399314</v>
      </c>
      <c r="AP28" s="585">
        <f t="shared" si="95"/>
        <v>-0.56277025888781784</v>
      </c>
      <c r="AQ28" s="586">
        <f t="shared" si="9"/>
        <v>1.4924328466500978</v>
      </c>
      <c r="AS28" s="52">
        <f t="shared" si="116"/>
        <v>-119.26726441736486</v>
      </c>
      <c r="AT28" s="72">
        <f t="shared" si="10"/>
        <v>-7.0341570191142011E-2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1.9874836089962167</v>
      </c>
      <c r="C29" s="708">
        <v>-1.1497895091158687</v>
      </c>
      <c r="D29" s="709">
        <v>-6.4400194230985808E-2</v>
      </c>
      <c r="E29" s="710">
        <v>0.49648080182266646</v>
      </c>
      <c r="F29" s="708">
        <v>0.828573639512865</v>
      </c>
      <c r="G29" s="711">
        <v>0.25879052789066115</v>
      </c>
      <c r="H29" s="710">
        <v>0.314</v>
      </c>
      <c r="I29" s="708">
        <v>0.52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3.109</v>
      </c>
      <c r="N29" s="632">
        <f t="shared" si="2"/>
        <v>1.9874836089962167</v>
      </c>
      <c r="O29" s="629">
        <f t="shared" si="3"/>
        <v>-1.1497895091158687</v>
      </c>
      <c r="P29" s="633">
        <f t="shared" si="4"/>
        <v>-6.4400194230985808E-2</v>
      </c>
      <c r="Q29" s="585">
        <f t="shared" si="113"/>
        <v>329.94996535551138</v>
      </c>
      <c r="R29" s="629">
        <f>IF(M29="","",SQRT(N29^2+O29^2))</f>
        <v>2.2961069250584862</v>
      </c>
      <c r="S29" s="634">
        <f>IF(M29="","",P29)</f>
        <v>-6.4400194230985808E-2</v>
      </c>
      <c r="T29" s="635">
        <f>IF(M29="","",X29*COS(RADIANS(W29)))</f>
        <v>-1.1438874749942081</v>
      </c>
      <c r="U29" s="629">
        <f>IF(M29="","",X29*SIN(RADIANS(W29)))</f>
        <v>-1.990886349305985</v>
      </c>
      <c r="V29" s="636">
        <f>IF(M29="","",Y29)</f>
        <v>-6.4400194230985808E-2</v>
      </c>
      <c r="W29" s="585">
        <f t="shared" si="224"/>
        <v>240.11996533096641</v>
      </c>
      <c r="X29" s="629">
        <f>IF(M29="","",R29)</f>
        <v>2.2961069250584862</v>
      </c>
      <c r="Y29" s="630">
        <f t="shared" si="223"/>
        <v>-6.4400194230985808E-2</v>
      </c>
      <c r="Z29" s="632">
        <f t="shared" si="6"/>
        <v>-0.49648080182266646</v>
      </c>
      <c r="AA29" s="629">
        <f t="shared" si="7"/>
        <v>-0.828573639512865</v>
      </c>
      <c r="AB29" s="629">
        <f t="shared" si="8"/>
        <v>-0.25879052789066115</v>
      </c>
      <c r="AC29" s="636">
        <f>IF(M29="","",SQRT(Z29^2+AA29^2+AB29^2))</f>
        <v>1</v>
      </c>
      <c r="AD29" s="637">
        <f>IF(M29="","",Z29*(1/SQRT(Z29^2+AA29^2+AB29^2)))</f>
        <v>-0.49648080182266646</v>
      </c>
      <c r="AE29" s="629">
        <f>IF(M29="","",AA29*(1/SQRT(Z29^2+AA29^2+AB29^2)))</f>
        <v>-0.828573639512865</v>
      </c>
      <c r="AF29" s="633">
        <f>IF(M29="","",AB29*(1/SQRT(Z29^2+AA29^2+AB29^2)))</f>
        <v>-0.25879052789066115</v>
      </c>
      <c r="AG29" s="602">
        <f>IF(M29="","",DEGREES(ATAN2(-AF29,AE29)))</f>
        <v>-72.654715741512859</v>
      </c>
      <c r="AH29" s="603">
        <f>IF(M29="","",DEGREES(ACOS(AD29)))</f>
        <v>119.76744356935414</v>
      </c>
      <c r="AI29" s="585">
        <f>IF(M29="","",DEGREES(-ACOS(-AF29)))</f>
        <v>-75.001691547504109</v>
      </c>
      <c r="AJ29" s="586">
        <f>IF(M29="","",DEGREES(ATAN2(-AE29,AD29)))</f>
        <v>-30.930014627104281</v>
      </c>
      <c r="AK29" s="635">
        <f>IF(M29="","",(COS(RADIANS((90-$Q$8)-W29))*AD29)+(-SIN(RADIANS((90-$Q$8)-W29))*AE29))</f>
        <v>0.96581954463414577</v>
      </c>
      <c r="AL29" s="629">
        <f>IF(M29="","",(SIN(RADIANS((90-$Q$8)-W29))*AD29)+(COS(RADIANS((90-$Q$8)-W29))*AE29))</f>
        <v>-1.483475233242243E-2</v>
      </c>
      <c r="AM29" s="634">
        <f>IF(M29="","",AF29)</f>
        <v>-0.25879052789066115</v>
      </c>
      <c r="AN29" s="581">
        <f>IF(M29="","",DEGREES(ATAN2(-AM29,AL29)))</f>
        <v>-3.2807983577606974</v>
      </c>
      <c r="AO29" s="582">
        <f t="shared" si="94"/>
        <v>15.02350998320898</v>
      </c>
      <c r="AP29" s="585">
        <f>IF(M29="","",DEGREES(ATAN2(AK29,AL29)))</f>
        <v>-0.87997998261565735</v>
      </c>
      <c r="AQ29" s="586">
        <f t="shared" si="9"/>
        <v>0.99276669464675982</v>
      </c>
      <c r="AS29" s="52">
        <f t="shared" si="116"/>
        <v>-119.88003466903359</v>
      </c>
      <c r="AT29" s="72">
        <f t="shared" si="10"/>
        <v>2.5784253337920698E-2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60</v>
      </c>
    </row>
    <row r="30" spans="1:269" ht="15" customHeight="1" x14ac:dyDescent="0.25">
      <c r="A30" s="79"/>
      <c r="B30" s="707">
        <v>2.6331084635416411</v>
      </c>
      <c r="C30" s="708">
        <v>-1.5528791956666972</v>
      </c>
      <c r="D30" s="709">
        <v>-0.21250064090193296</v>
      </c>
      <c r="E30" s="710">
        <v>0.60802934866911729</v>
      </c>
      <c r="F30" s="708">
        <v>0.74398988921915066</v>
      </c>
      <c r="G30" s="711">
        <v>0.27709088021204376</v>
      </c>
      <c r="H30" s="710">
        <v>0.314</v>
      </c>
      <c r="I30" s="708">
        <v>0.52</v>
      </c>
      <c r="J30" s="570">
        <v>3.1120000000000001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3.1120000000000001</v>
      </c>
      <c r="N30" s="632">
        <f t="shared" si="2"/>
        <v>2.6331084635416411</v>
      </c>
      <c r="O30" s="629">
        <f t="shared" si="3"/>
        <v>-1.5528791956666972</v>
      </c>
      <c r="P30" s="633">
        <f t="shared" si="4"/>
        <v>-0.21250064090193296</v>
      </c>
      <c r="Q30" s="585">
        <f t="shared" si="113"/>
        <v>329.4699654248148</v>
      </c>
      <c r="R30" s="629">
        <f>IF(M30="","",SQRT(N30^2+O30^2))</f>
        <v>3.0569092196382068</v>
      </c>
      <c r="S30" s="634">
        <f>IF(M30="","",P30)</f>
        <v>-0.21250064090193296</v>
      </c>
      <c r="T30" s="635">
        <f>IF(M30="","",X30*COS(RADIANS(W30)))</f>
        <v>-1.5450597828398867</v>
      </c>
      <c r="U30" s="629">
        <f>IF(M30="","",X30*SIN(RADIANS(W30)))</f>
        <v>-2.6377043512417826</v>
      </c>
      <c r="V30" s="636">
        <f>IF(M30="","",Y30)</f>
        <v>-0.21250064090193296</v>
      </c>
      <c r="W30" s="585">
        <f t="shared" si="224"/>
        <v>239.63996540026983</v>
      </c>
      <c r="X30" s="629">
        <f>IF(M30="","",R30)</f>
        <v>3.0569092196382068</v>
      </c>
      <c r="Y30" s="630">
        <f t="shared" si="223"/>
        <v>-0.21250064090193296</v>
      </c>
      <c r="Z30" s="632">
        <f t="shared" si="6"/>
        <v>-0.60802934866911729</v>
      </c>
      <c r="AA30" s="629">
        <f t="shared" si="7"/>
        <v>-0.74398988921915066</v>
      </c>
      <c r="AB30" s="629">
        <f t="shared" si="8"/>
        <v>-0.27709088021204376</v>
      </c>
      <c r="AC30" s="636">
        <f>IF(M30="","",SQRT(Z30^2+AA30^2+AB30^2))</f>
        <v>1</v>
      </c>
      <c r="AD30" s="637">
        <f>IF(M30="","",Z30*(1/SQRT(Z30^2+AA30^2+AB30^2)))</f>
        <v>-0.60802934866911729</v>
      </c>
      <c r="AE30" s="629">
        <f>IF(M30="","",AA30*(1/SQRT(Z30^2+AA30^2+AB30^2)))</f>
        <v>-0.74398988921915066</v>
      </c>
      <c r="AF30" s="633">
        <f>IF(M30="","",AB30*(1/SQRT(Z30^2+AA30^2+AB30^2)))</f>
        <v>-0.27709088021204376</v>
      </c>
      <c r="AG30" s="602">
        <f>IF(M30="","",DEGREES(ATAN2(-AF30,AE30)))</f>
        <v>-69.572704887727468</v>
      </c>
      <c r="AH30" s="603">
        <f>IF(M30="","",DEGREES(ACOS(AD30)))</f>
        <v>127.44714803842277</v>
      </c>
      <c r="AI30" s="585">
        <f>IF(M30="","",DEGREES(-ACOS(-AF30)))</f>
        <v>-73.91334419338412</v>
      </c>
      <c r="AJ30" s="586">
        <f>IF(M30="","",DEGREES(ATAN2(-AE30,AD30)))</f>
        <v>-39.257578327428746</v>
      </c>
      <c r="AK30" s="635">
        <f>IF(M30="","",(COS(RADIANS((90-$Q$8)-W30))*AD30)+(-SIN(RADIANS((90-$Q$8)-W30))*AE30))</f>
        <v>0.94971816020725663</v>
      </c>
      <c r="AL30" s="629">
        <f>IF(M30="","",(SIN(RADIANS((90-$Q$8)-W30))*AD30)+(COS(RADIANS((90-$Q$8)-W30))*AE30))</f>
        <v>-0.14579458246402249</v>
      </c>
      <c r="AM30" s="634">
        <f>IF(M30="","",AF30)</f>
        <v>-0.27709088021204376</v>
      </c>
      <c r="AN30" s="581">
        <f>IF(M30="","",DEGREES(ATAN2(-AM30,AL30)))</f>
        <v>-27.751622369294491</v>
      </c>
      <c r="AO30" s="582">
        <f>IF(ROUND(IF(M30="",0,DEGREES(ACOS(AK30))),4)=90,0,IF(M30="","",DEGREES(ACOS(AK30))))</f>
        <v>18.246517258128122</v>
      </c>
      <c r="AP30" s="585">
        <f>IF(M30="","",DEGREES(ATAN2(AK30,AL30)))</f>
        <v>-8.7275437522435162</v>
      </c>
      <c r="AQ30" s="586">
        <f t="shared" si="9"/>
        <v>0.74571985633111304</v>
      </c>
      <c r="AS30" s="52">
        <f t="shared" si="116"/>
        <v>-120.36003459973017</v>
      </c>
      <c r="AT30" s="72">
        <f t="shared" si="10"/>
        <v>-0.12198286004782051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3.136416652369622</v>
      </c>
      <c r="C31" s="708">
        <v>-1.8912635315542567</v>
      </c>
      <c r="D31" s="709">
        <v>-0.69600209914233102</v>
      </c>
      <c r="E31" s="710">
        <v>0.73801500676404885</v>
      </c>
      <c r="F31" s="708">
        <v>0.61804691729329042</v>
      </c>
      <c r="G31" s="711">
        <v>0.27083548108643668</v>
      </c>
      <c r="H31" s="710">
        <v>0.314</v>
      </c>
      <c r="I31" s="708">
        <v>0.52</v>
      </c>
      <c r="J31" s="570">
        <v>3.1150000000000002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3.1150000000000002</v>
      </c>
      <c r="N31" s="632">
        <f t="shared" si="2"/>
        <v>3.136416652369622</v>
      </c>
      <c r="O31" s="629">
        <f t="shared" si="3"/>
        <v>-1.8912635315542567</v>
      </c>
      <c r="P31" s="633">
        <f t="shared" si="4"/>
        <v>-0.69600209914233102</v>
      </c>
      <c r="Q31" s="585">
        <f t="shared" si="113"/>
        <v>328.90996550566877</v>
      </c>
      <c r="R31" s="629">
        <f>IF(M31="","",SQRT(N31^2+O31^2))</f>
        <v>3.6625110461333144</v>
      </c>
      <c r="S31" s="634">
        <f>IF(M31="","",P31)</f>
        <v>-0.69600209914233102</v>
      </c>
      <c r="T31" s="635">
        <f>IF(M31="","",X31*COS(RADIANS(W31)))</f>
        <v>-1.8819492862039577</v>
      </c>
      <c r="U31" s="629">
        <f>IF(M31="","",X31*SIN(RADIANS(W31)))</f>
        <v>-3.1420143295670946</v>
      </c>
      <c r="V31" s="636">
        <f>IF(M31="","",Y31)</f>
        <v>-0.69600209914233102</v>
      </c>
      <c r="W31" s="585">
        <f t="shared" si="224"/>
        <v>239.07996548112379</v>
      </c>
      <c r="X31" s="629">
        <f>IF(M31="","",R31)</f>
        <v>3.6625110461333144</v>
      </c>
      <c r="Y31" s="630">
        <f t="shared" si="223"/>
        <v>-0.69600209914233102</v>
      </c>
      <c r="Z31" s="632">
        <f t="shared" si="6"/>
        <v>-0.73801500676404885</v>
      </c>
      <c r="AA31" s="629">
        <f t="shared" si="7"/>
        <v>-0.61804691729329042</v>
      </c>
      <c r="AB31" s="629">
        <f t="shared" si="8"/>
        <v>-0.27083548108643668</v>
      </c>
      <c r="AC31" s="636">
        <f>IF(M31="","",SQRT(Z31^2+AA31^2+AB31^2))</f>
        <v>1</v>
      </c>
      <c r="AD31" s="637">
        <f>IF(M31="","",Z31*(1/SQRT(Z31^2+AA31^2+AB31^2)))</f>
        <v>-0.73801500676404885</v>
      </c>
      <c r="AE31" s="629">
        <f>IF(M31="","",AA31*(1/SQRT(Z31^2+AA31^2+AB31^2)))</f>
        <v>-0.61804691729329042</v>
      </c>
      <c r="AF31" s="633">
        <f>IF(M31="","",AB31*(1/SQRT(Z31^2+AA31^2+AB31^2)))</f>
        <v>-0.27083548108643668</v>
      </c>
      <c r="AG31" s="602">
        <f>IF(M31="","",DEGREES(ATAN2(-AF31,AE31)))</f>
        <v>-66.336397874007531</v>
      </c>
      <c r="AH31" s="603">
        <f>IF(M31="","",DEGREES(ACOS(AD31)))</f>
        <v>137.56259799874957</v>
      </c>
      <c r="AI31" s="585">
        <f>IF(M31="","",DEGREES(-ACOS(-AF31)))</f>
        <v>-74.286011117096024</v>
      </c>
      <c r="AJ31" s="586">
        <f>IF(M31="","",DEGREES(ATAN2(-AE31,AD31)))</f>
        <v>-50.055680995130899</v>
      </c>
      <c r="AK31" s="635">
        <f>IF(M31="","",(COS(RADIANS((90-$Q$8)-W31))*AD31)+(-SIN(RADIANS((90-$Q$8)-W31))*AE31))</f>
        <v>0.91036817892934629</v>
      </c>
      <c r="AL31" s="629">
        <f>IF(M31="","",(SIN(RADIANS((90-$Q$8)-W31))*AD31)+(COS(RADIANS((90-$Q$8)-W31))*AE31))</f>
        <v>-0.31285447252283982</v>
      </c>
      <c r="AM31" s="634">
        <f>IF(M31="","",AF31)</f>
        <v>-0.27083548108643668</v>
      </c>
      <c r="AN31" s="581">
        <f>IF(M31="","",DEGREES(ATAN2(-AM31,AL31)))</f>
        <v>-49.117536857410705</v>
      </c>
      <c r="AO31" s="582">
        <f t="shared" si="94"/>
        <v>24.443719191700815</v>
      </c>
      <c r="AP31" s="585">
        <f>IF(M31="","",DEGREES(ATAN2(AK31,AL31)))</f>
        <v>-18.965646500799686</v>
      </c>
      <c r="AQ31" s="586">
        <f t="shared" si="9"/>
        <v>0.62242459442220199</v>
      </c>
      <c r="AS31" s="52">
        <f t="shared" si="116"/>
        <v>-120.92003451887621</v>
      </c>
      <c r="AT31" s="72">
        <f t="shared" si="10"/>
        <v>-0.60509542945547823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3.1150000000000002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3.392767932418598</v>
      </c>
      <c r="C32" s="708">
        <v>-2.0717700574484956</v>
      </c>
      <c r="D32" s="709">
        <v>-1.4051042377943812</v>
      </c>
      <c r="E32" s="710">
        <v>0.85125461434972904</v>
      </c>
      <c r="F32" s="708">
        <v>0.48992869262700767</v>
      </c>
      <c r="G32" s="711">
        <v>0.18797727971508987</v>
      </c>
      <c r="H32" s="710">
        <v>0.314</v>
      </c>
      <c r="I32" s="708">
        <v>0.52</v>
      </c>
      <c r="J32" s="570">
        <v>3.1179999999999999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3.1179999999999999</v>
      </c>
      <c r="N32" s="632">
        <f t="shared" si="2"/>
        <v>3.392767932418598</v>
      </c>
      <c r="O32" s="629">
        <f t="shared" si="3"/>
        <v>-2.0717700574484956</v>
      </c>
      <c r="P32" s="633">
        <f t="shared" si="4"/>
        <v>-1.4051042377943812</v>
      </c>
      <c r="Q32" s="585">
        <f t="shared" si="113"/>
        <v>328.58996555187105</v>
      </c>
      <c r="R32" s="629">
        <f t="shared" si="79"/>
        <v>3.9753119895409608</v>
      </c>
      <c r="S32" s="634">
        <f t="shared" si="80"/>
        <v>-1.4051042377943812</v>
      </c>
      <c r="T32" s="635">
        <f t="shared" si="81"/>
        <v>-2.0616944092259741</v>
      </c>
      <c r="U32" s="629">
        <f t="shared" si="82"/>
        <v>-3.3989000540107783</v>
      </c>
      <c r="V32" s="636">
        <f t="shared" si="114"/>
        <v>-1.4051042377943812</v>
      </c>
      <c r="W32" s="585">
        <f t="shared" si="224"/>
        <v>238.75996552732607</v>
      </c>
      <c r="X32" s="629">
        <f t="shared" si="83"/>
        <v>3.9753119895409608</v>
      </c>
      <c r="Y32" s="630">
        <f t="shared" si="223"/>
        <v>-1.4051042377943812</v>
      </c>
      <c r="Z32" s="632">
        <f t="shared" si="6"/>
        <v>-0.85125461434972904</v>
      </c>
      <c r="AA32" s="629">
        <f t="shared" si="7"/>
        <v>-0.48992869262700767</v>
      </c>
      <c r="AB32" s="629">
        <f t="shared" si="8"/>
        <v>-0.18797727971508987</v>
      </c>
      <c r="AC32" s="636">
        <f t="shared" si="84"/>
        <v>1</v>
      </c>
      <c r="AD32" s="637">
        <f t="shared" si="115"/>
        <v>-0.85125461434972904</v>
      </c>
      <c r="AE32" s="629">
        <f t="shared" si="85"/>
        <v>-0.48992869262700767</v>
      </c>
      <c r="AF32" s="633">
        <f t="shared" si="86"/>
        <v>-0.18797727971508987</v>
      </c>
      <c r="AG32" s="602">
        <f t="shared" si="87"/>
        <v>-69.009044115945485</v>
      </c>
      <c r="AH32" s="603">
        <f t="shared" si="88"/>
        <v>148.34839147868556</v>
      </c>
      <c r="AI32" s="585">
        <f t="shared" si="89"/>
        <v>-79.165235968467243</v>
      </c>
      <c r="AJ32" s="586">
        <f t="shared" si="90"/>
        <v>-60.077972308496975</v>
      </c>
      <c r="AK32" s="635">
        <f t="shared" si="211"/>
        <v>0.86177341245281835</v>
      </c>
      <c r="AL32" s="629">
        <f t="shared" si="91"/>
        <v>-0.47118056825418808</v>
      </c>
      <c r="AM32" s="634">
        <f t="shared" si="92"/>
        <v>-0.18797727971508987</v>
      </c>
      <c r="AN32" s="581">
        <f t="shared" si="93"/>
        <v>-68.250493662083187</v>
      </c>
      <c r="AO32" s="582">
        <f t="shared" si="94"/>
        <v>30.483711523930754</v>
      </c>
      <c r="AP32" s="585">
        <f t="shared" si="95"/>
        <v>-28.667937860367989</v>
      </c>
      <c r="AQ32" s="586">
        <f t="shared" si="9"/>
        <v>0.57345197443939</v>
      </c>
      <c r="AS32" s="52">
        <f t="shared" si="116"/>
        <v>-121.24003447267393</v>
      </c>
      <c r="AT32" s="72">
        <f t="shared" si="10"/>
        <v>-1.3139753459173911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3.1179999999999999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3.4780905797915707</v>
      </c>
      <c r="C33" s="708">
        <v>-2.1338853307796035</v>
      </c>
      <c r="D33" s="709">
        <v>-2.1111063670968035</v>
      </c>
      <c r="E33" s="710">
        <v>0.87214673821912547</v>
      </c>
      <c r="F33" s="708">
        <v>0.47539649955474139</v>
      </c>
      <c r="G33" s="711">
        <v>0.11557783189192899</v>
      </c>
      <c r="H33" s="710">
        <v>0.26600000000000001</v>
      </c>
      <c r="I33" s="708">
        <v>0.52</v>
      </c>
      <c r="J33" s="570">
        <v>3.121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3.121</v>
      </c>
      <c r="N33" s="632">
        <f t="shared" si="2"/>
        <v>3.4780905797915707</v>
      </c>
      <c r="O33" s="629">
        <f t="shared" si="3"/>
        <v>-2.1338853307796035</v>
      </c>
      <c r="P33" s="633">
        <f t="shared" si="4"/>
        <v>-2.1111063670968035</v>
      </c>
      <c r="Q33" s="585">
        <f t="shared" si="113"/>
        <v>328.46996556919692</v>
      </c>
      <c r="R33" s="629">
        <f t="shared" si="79"/>
        <v>4.080512306825117</v>
      </c>
      <c r="S33" s="634">
        <f t="shared" si="80"/>
        <v>-2.1111063670968035</v>
      </c>
      <c r="T33" s="635">
        <f t="shared" si="81"/>
        <v>-2.1235562521602684</v>
      </c>
      <c r="U33" s="629">
        <f t="shared" si="82"/>
        <v>-3.484406625246582</v>
      </c>
      <c r="V33" s="636">
        <f t="shared" si="114"/>
        <v>-2.1111063670968035</v>
      </c>
      <c r="W33" s="585">
        <f t="shared" si="224"/>
        <v>238.63996554465194</v>
      </c>
      <c r="X33" s="629">
        <f t="shared" si="83"/>
        <v>4.080512306825117</v>
      </c>
      <c r="Y33" s="630">
        <f t="shared" si="223"/>
        <v>-2.1111063670968035</v>
      </c>
      <c r="Z33" s="632">
        <f t="shared" si="6"/>
        <v>-0.87214673821912547</v>
      </c>
      <c r="AA33" s="629">
        <f t="shared" si="7"/>
        <v>-0.47539649955474139</v>
      </c>
      <c r="AB33" s="629">
        <f t="shared" si="8"/>
        <v>-0.11557783189192899</v>
      </c>
      <c r="AC33" s="636">
        <f t="shared" si="84"/>
        <v>1</v>
      </c>
      <c r="AD33" s="637">
        <f t="shared" si="115"/>
        <v>-0.87214673821912547</v>
      </c>
      <c r="AE33" s="629">
        <f t="shared" si="85"/>
        <v>-0.47539649955474139</v>
      </c>
      <c r="AF33" s="633">
        <f t="shared" si="86"/>
        <v>-0.11557783189192899</v>
      </c>
      <c r="AG33" s="602">
        <f t="shared" si="87"/>
        <v>-76.335424218143388</v>
      </c>
      <c r="AH33" s="603">
        <f t="shared" si="88"/>
        <v>150.70907079692043</v>
      </c>
      <c r="AI33" s="585">
        <f t="shared" si="89"/>
        <v>-83.363045380588574</v>
      </c>
      <c r="AJ33" s="586">
        <f t="shared" si="90"/>
        <v>-61.405739931084717</v>
      </c>
      <c r="AK33" s="635">
        <f t="shared" si="211"/>
        <v>0.8612970513192304</v>
      </c>
      <c r="AL33" s="629">
        <f t="shared" si="91"/>
        <v>-0.49478192586629499</v>
      </c>
      <c r="AM33" s="634">
        <f t="shared" si="92"/>
        <v>-0.11557783189192899</v>
      </c>
      <c r="AN33" s="581">
        <f t="shared" si="93"/>
        <v>-76.851842812995528</v>
      </c>
      <c r="AO33" s="582">
        <f t="shared" si="94"/>
        <v>30.53747085233281</v>
      </c>
      <c r="AP33" s="585">
        <f t="shared" si="95"/>
        <v>-29.875705500281615</v>
      </c>
      <c r="AQ33" s="586">
        <f t="shared" si="9"/>
        <v>0.55866867006831999</v>
      </c>
      <c r="AS33" s="52">
        <f t="shared" si="116"/>
        <v>-121.36003445534806</v>
      </c>
      <c r="AT33" s="72">
        <f t="shared" si="10"/>
        <v>-2.0198941418985119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1.9545650094428155</v>
      </c>
      <c r="C34" s="708">
        <v>-2.0240136039229184</v>
      </c>
      <c r="D34" s="709">
        <v>-9.7100370365917038E-2</v>
      </c>
      <c r="E34" s="710">
        <v>0.74838486663557324</v>
      </c>
      <c r="F34" s="708">
        <v>0.56784583533180899</v>
      </c>
      <c r="G34" s="711">
        <v>0.34274071641282361</v>
      </c>
      <c r="H34" s="710">
        <v>0.26600000000000001</v>
      </c>
      <c r="I34" s="708">
        <v>0.52</v>
      </c>
      <c r="J34" s="570">
        <v>3.2109999999999999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3.2109999999999999</v>
      </c>
      <c r="N34" s="632">
        <f t="shared" si="2"/>
        <v>1.9545650094428155</v>
      </c>
      <c r="O34" s="629">
        <f t="shared" si="3"/>
        <v>-2.0240136039229184</v>
      </c>
      <c r="P34" s="633">
        <f t="shared" si="4"/>
        <v>-9.7100370365917038E-2</v>
      </c>
      <c r="Q34" s="585">
        <f t="shared" si="113"/>
        <v>313.99996765840615</v>
      </c>
      <c r="R34" s="629">
        <f>IF(M34="","",SQRT(N34^2+O34^2))</f>
        <v>2.8137084861447952</v>
      </c>
      <c r="S34" s="634">
        <f>IF(M34="","",P34)</f>
        <v>-9.7100370365917038E-2</v>
      </c>
      <c r="T34" s="635">
        <f>IF(M34="","",X34*COS(RADIANS(W34)))</f>
        <v>-2.0182053930076482</v>
      </c>
      <c r="U34" s="629">
        <f>IF(M34="","",X34*SIN(RADIANS(W34)))</f>
        <v>-1.9605617655758973</v>
      </c>
      <c r="V34" s="636">
        <f>IF(M34="","",Y34)</f>
        <v>-9.7100370365917038E-2</v>
      </c>
      <c r="W34" s="585">
        <f t="shared" si="224"/>
        <v>224.16996763386118</v>
      </c>
      <c r="X34" s="629">
        <f>IF(M34="","",R34)</f>
        <v>2.8137084861447952</v>
      </c>
      <c r="Y34" s="630">
        <f t="shared" si="223"/>
        <v>-9.7100370365917038E-2</v>
      </c>
      <c r="Z34" s="632">
        <f t="shared" si="6"/>
        <v>-0.74838486663557324</v>
      </c>
      <c r="AA34" s="629">
        <f t="shared" si="7"/>
        <v>-0.56784583533180899</v>
      </c>
      <c r="AB34" s="629">
        <f t="shared" si="8"/>
        <v>-0.34274071641282361</v>
      </c>
      <c r="AC34" s="636">
        <f>IF(M34="","",SQRT(Z34^2+AA34^2+AB34^2))</f>
        <v>1</v>
      </c>
      <c r="AD34" s="637">
        <f>IF(M34="","",Z34*(1/SQRT(Z34^2+AA34^2+AB34^2)))</f>
        <v>-0.74838486663557324</v>
      </c>
      <c r="AE34" s="629">
        <f>IF(M34="","",AA34*(1/SQRT(Z34^2+AA34^2+AB34^2)))</f>
        <v>-0.56784583533180899</v>
      </c>
      <c r="AF34" s="633">
        <f>IF(M34="","",AB34*(1/SQRT(Z34^2+AA34^2+AB34^2)))</f>
        <v>-0.34274071641282361</v>
      </c>
      <c r="AG34" s="602">
        <f>IF(M34="","",DEGREES(ATAN2(-AF34,AE34)))</f>
        <v>-58.885634743393844</v>
      </c>
      <c r="AH34" s="603">
        <f>IF(M34="","",DEGREES(ACOS(AD34)))</f>
        <v>138.45066308562582</v>
      </c>
      <c r="AI34" s="585">
        <f>IF(M34="","",DEGREES(-ACOS(-AF34)))</f>
        <v>-69.956058435622182</v>
      </c>
      <c r="AJ34" s="586">
        <f>IF(M34="","",DEGREES(ATAN2(-AE34,AD34)))</f>
        <v>-52.810162831233662</v>
      </c>
      <c r="AK34" s="635">
        <f>IF(M34="","",(COS(RADIANS((90-$Q$8)-W34))*AD34)+(-SIN(RADIANS((90-$Q$8)-W34))*AE34))</f>
        <v>0.93280194606583522</v>
      </c>
      <c r="AL34" s="629">
        <f>IF(M34="","",(SIN(RADIANS((90-$Q$8)-W34))*AD34)+(COS(RADIANS((90-$Q$8)-W34))*AE34))</f>
        <v>-0.11139717558634682</v>
      </c>
      <c r="AM34" s="634">
        <f>IF(M34="","",AF34)</f>
        <v>-0.34274071641282361</v>
      </c>
      <c r="AN34" s="581">
        <f>IF(M34="","",DEGREES(ATAN2(-AM34,AL34)))</f>
        <v>-18.00513573858326</v>
      </c>
      <c r="AO34" s="582">
        <f t="shared" si="94"/>
        <v>21.124113165299509</v>
      </c>
      <c r="AP34" s="585">
        <f>IF(M34="","",DEGREES(ATAN2(AK34,AL34)))</f>
        <v>-6.8101304896398025</v>
      </c>
      <c r="AQ34" s="586">
        <f t="shared" si="9"/>
        <v>0.81016733019679932</v>
      </c>
      <c r="AS34" s="52">
        <f t="shared" si="116"/>
        <v>-135.83003236613882</v>
      </c>
      <c r="AT34" s="72">
        <f t="shared" si="10"/>
        <v>4.1604644926458711E-3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Nose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3.2109999999999999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2.1110000000000002</v>
      </c>
      <c r="II34" s="734" cm="1">
        <f t="array" ref="II34">IFERROR(ROUND(VALUE(IF($IH34&lt;1,$IH34+LARGE((IF($M$9:$M$150="",0,$M$9:$M$150)-MOD(IF($M$9:$M$150="",0,$M$9:$M$150),1)),1),$IH34)),4),"")</f>
        <v>2.1110000000000002</v>
      </c>
      <c r="IJ34" s="533">
        <f t="shared" si="112"/>
        <v>1613</v>
      </c>
      <c r="IK34" s="533">
        <f t="shared" si="66"/>
        <v>1313</v>
      </c>
      <c r="IL34" s="727">
        <f t="shared" si="225"/>
        <v>70.659989797959724</v>
      </c>
      <c r="IM34" s="759">
        <v>2.7249256951334198E-2</v>
      </c>
      <c r="IN34" s="5">
        <f t="shared" si="226"/>
        <v>0.14000000000000001</v>
      </c>
      <c r="IO34" s="771">
        <v>70</v>
      </c>
      <c r="IP34" s="9">
        <f t="shared" si="227"/>
        <v>-2.8137084861447947</v>
      </c>
      <c r="IQ34" s="5">
        <f t="shared" si="228"/>
        <v>-0.12280037036591702</v>
      </c>
      <c r="IR34" s="5">
        <f t="shared" si="71"/>
        <v>0.314</v>
      </c>
      <c r="IS34" s="5">
        <f t="shared" si="229"/>
        <v>0.30158448526556647</v>
      </c>
      <c r="IT34" s="727">
        <f t="shared" si="230"/>
        <v>19.932715953072965</v>
      </c>
      <c r="IU34" s="9">
        <f t="shared" si="231"/>
        <v>-2.8137084861447952</v>
      </c>
      <c r="IV34" s="5">
        <f t="shared" si="232"/>
        <v>-9.7100370365917038E-2</v>
      </c>
      <c r="IW34" s="5">
        <f t="shared" si="76"/>
        <v>0.26600000000000001</v>
      </c>
      <c r="IX34" s="5">
        <f t="shared" si="233"/>
        <v>0.24812531765351217</v>
      </c>
      <c r="IY34" s="762">
        <f t="shared" si="234"/>
        <v>18.00513573858326</v>
      </c>
      <c r="JG34" s="470"/>
    </row>
    <row r="35" spans="1:267" ht="15" customHeight="1" x14ac:dyDescent="0.25">
      <c r="A35" s="79"/>
      <c r="B35" s="707">
        <v>2.4667480472697383</v>
      </c>
      <c r="C35" s="708">
        <v>-2.466750844500667</v>
      </c>
      <c r="D35" s="709">
        <v>-0.47770152006858457</v>
      </c>
      <c r="E35" s="710">
        <v>0.83839055136586937</v>
      </c>
      <c r="F35" s="708">
        <v>0.41816868611492425</v>
      </c>
      <c r="G35" s="711">
        <v>0.34962298742123882</v>
      </c>
      <c r="H35" s="710">
        <v>0.26600000000000001</v>
      </c>
      <c r="I35" s="708">
        <v>0.52</v>
      </c>
      <c r="J35" s="570">
        <v>3.214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3.214</v>
      </c>
      <c r="N35" s="632">
        <f t="shared" si="2"/>
        <v>2.4667480472697383</v>
      </c>
      <c r="O35" s="629">
        <f t="shared" si="3"/>
        <v>-2.466750844500667</v>
      </c>
      <c r="P35" s="633">
        <f t="shared" si="4"/>
        <v>-0.47770152006858457</v>
      </c>
      <c r="Q35" s="585">
        <f t="shared" si="113"/>
        <v>314.99996751402398</v>
      </c>
      <c r="R35" s="629">
        <f>IF(M35="","",SQRT(N35^2+O35^2))</f>
        <v>3.4885105213477314</v>
      </c>
      <c r="S35" s="634">
        <f>IF(M35="","",P35)</f>
        <v>-0.47770152006858457</v>
      </c>
      <c r="T35" s="635">
        <f>IF(M35="","",X35*COS(RADIANS(W35)))</f>
        <v>-2.4594210095653097</v>
      </c>
      <c r="U35" s="629">
        <f>IF(M35="","",X35*SIN(RADIANS(W35)))</f>
        <v>-2.4740561746376279</v>
      </c>
      <c r="V35" s="636">
        <f>IF(M35="","",Y35)</f>
        <v>-0.47770152006858457</v>
      </c>
      <c r="W35" s="585">
        <f t="shared" si="224"/>
        <v>225.16996748947901</v>
      </c>
      <c r="X35" s="629">
        <f>IF(M35="","",R35)</f>
        <v>3.4885105213477314</v>
      </c>
      <c r="Y35" s="630">
        <f t="shared" si="223"/>
        <v>-0.47770152006858457</v>
      </c>
      <c r="Z35" s="632">
        <f t="shared" si="6"/>
        <v>-0.83839055136586937</v>
      </c>
      <c r="AA35" s="629">
        <f t="shared" si="7"/>
        <v>-0.41816868611492425</v>
      </c>
      <c r="AB35" s="629">
        <f t="shared" si="8"/>
        <v>-0.34962298742123882</v>
      </c>
      <c r="AC35" s="636">
        <f>IF(M35="","",SQRT(Z35^2+AA35^2+AB35^2))</f>
        <v>1</v>
      </c>
      <c r="AD35" s="637">
        <f>IF(M35="","",Z35*(1/SQRT(Z35^2+AA35^2+AB35^2)))</f>
        <v>-0.83839055136586937</v>
      </c>
      <c r="AE35" s="629">
        <f>IF(M35="","",AA35*(1/SQRT(Z35^2+AA35^2+AB35^2)))</f>
        <v>-0.41816868611492425</v>
      </c>
      <c r="AF35" s="633">
        <f>IF(M35="","",AB35*(1/SQRT(Z35^2+AA35^2+AB35^2)))</f>
        <v>-0.34962298742123882</v>
      </c>
      <c r="AG35" s="602">
        <f>IF(M35="","",DEGREES(ATAN2(-AF35,AE35)))</f>
        <v>-50.10163744179529</v>
      </c>
      <c r="AH35" s="603">
        <f>IF(M35="","",DEGREES(ACOS(AD35)))</f>
        <v>146.97055403300487</v>
      </c>
      <c r="AI35" s="585">
        <f>IF(M35="","",DEGREES(-ACOS(-AF35)))</f>
        <v>-69.53574291910688</v>
      </c>
      <c r="AJ35" s="586">
        <f>IF(M35="","",DEGREES(ATAN2(-AE35,AD35)))</f>
        <v>-63.491102178978529</v>
      </c>
      <c r="AK35" s="635">
        <f>IF(M35="","",(COS(RADIANS((90-$Q$8)-W35))*AD35)+(-SIN(RADIANS((90-$Q$8)-W35))*AE35))</f>
        <v>0.88852172626069414</v>
      </c>
      <c r="AL35" s="629">
        <f>IF(M35="","",(SIN(RADIANS((90-$Q$8)-W35))*AD35)+(COS(RADIANS((90-$Q$8)-W35))*AE35))</f>
        <v>-0.2971412267413675</v>
      </c>
      <c r="AM35" s="634">
        <f>IF(M35="","",AF35)</f>
        <v>-0.34962298742123882</v>
      </c>
      <c r="AN35" s="581">
        <f>IF(M35="","",DEGREES(ATAN2(-AM35,AL35)))</f>
        <v>-40.360891316077563</v>
      </c>
      <c r="AO35" s="582">
        <f t="shared" si="94"/>
        <v>27.311928519035504</v>
      </c>
      <c r="AP35" s="585">
        <f>IF(M35="","",DEGREES(ATAN2(AK35,AL35)))</f>
        <v>-18.491069693002508</v>
      </c>
      <c r="AQ35" s="586">
        <f t="shared" si="9"/>
        <v>0.65346736666433736</v>
      </c>
      <c r="AS35" s="52">
        <f t="shared" si="116"/>
        <v>-134.83003251052099</v>
      </c>
      <c r="AT35" s="72">
        <f t="shared" si="10"/>
        <v>-0.3771351295542007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3.214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2.1139999999999999</v>
      </c>
      <c r="II35" s="734" cm="1">
        <f t="array" ref="II35">IFERROR(ROUND(VALUE(IF($IH35&lt;1,$IH35+LARGE((IF($M$9:$M$150="",0,$M$9:$M$150)-MOD(IF($M$9:$M$150="",0,$M$9:$M$150),1)),1),$IH35)),4),"")</f>
        <v>2.1139999999999999</v>
      </c>
      <c r="IJ35" s="533">
        <f t="shared" si="112"/>
        <v>1613</v>
      </c>
      <c r="IK35" s="533">
        <f t="shared" si="66"/>
        <v>1313</v>
      </c>
      <c r="IL35" s="727">
        <f t="shared" si="225"/>
        <v>69.08999002463969</v>
      </c>
      <c r="IM35" s="759">
        <v>2.50737059816304E-2</v>
      </c>
      <c r="IN35" s="5">
        <f t="shared" si="226"/>
        <v>0.14000000000000001</v>
      </c>
      <c r="IO35" s="771">
        <v>70</v>
      </c>
      <c r="IP35" s="9">
        <f t="shared" si="227"/>
        <v>-3.4885105213477328</v>
      </c>
      <c r="IQ35" s="5">
        <f t="shared" si="228"/>
        <v>-0.50400152006858456</v>
      </c>
      <c r="IR35" s="5">
        <f t="shared" si="71"/>
        <v>0.314</v>
      </c>
      <c r="IS35" s="5">
        <f t="shared" si="229"/>
        <v>0.29032383093070108</v>
      </c>
      <c r="IT35" s="727">
        <f t="shared" si="230"/>
        <v>42.297872198523073</v>
      </c>
      <c r="IU35" s="9">
        <f t="shared" si="231"/>
        <v>-3.4885105213477314</v>
      </c>
      <c r="IV35" s="5">
        <f t="shared" si="232"/>
        <v>-0.47770152006858457</v>
      </c>
      <c r="IW35" s="5">
        <f t="shared" si="76"/>
        <v>0.26600000000000001</v>
      </c>
      <c r="IX35" s="5">
        <f t="shared" si="233"/>
        <v>0.23634677918534469</v>
      </c>
      <c r="IY35" s="762">
        <f t="shared" si="234"/>
        <v>40.360891316077563</v>
      </c>
    </row>
    <row r="36" spans="1:267" ht="15" customHeight="1" x14ac:dyDescent="0.25">
      <c r="A36" s="79"/>
      <c r="B36" s="707">
        <v>2.8126255553557766</v>
      </c>
      <c r="C36" s="708">
        <v>-2.7161240221308023</v>
      </c>
      <c r="D36" s="709">
        <v>-1.1280034813792996</v>
      </c>
      <c r="E36" s="710">
        <v>0.9246133873326613</v>
      </c>
      <c r="F36" s="708">
        <v>0.26765210399037748</v>
      </c>
      <c r="G36" s="711">
        <v>0.27102109732407614</v>
      </c>
      <c r="H36" s="710">
        <v>0.26600000000000001</v>
      </c>
      <c r="I36" s="708">
        <v>0.52</v>
      </c>
      <c r="J36" s="570">
        <v>3.2170000000000001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3.2170000000000001</v>
      </c>
      <c r="N36" s="632">
        <f t="shared" si="2"/>
        <v>2.8126255553557766</v>
      </c>
      <c r="O36" s="629">
        <f t="shared" si="3"/>
        <v>-2.7161240221308023</v>
      </c>
      <c r="P36" s="633">
        <f t="shared" si="4"/>
        <v>-1.1280034813792996</v>
      </c>
      <c r="Q36" s="585">
        <f t="shared" si="113"/>
        <v>315.99996736964192</v>
      </c>
      <c r="R36" s="629">
        <f>IF(M36="","",SQRT(N36^2+O36^2))</f>
        <v>3.9100117925955669</v>
      </c>
      <c r="S36" s="634">
        <f>IF(M36="","",P36)</f>
        <v>-1.1280034813792996</v>
      </c>
      <c r="T36" s="635">
        <f>IF(M36="","",X36*COS(RADIANS(W36)))</f>
        <v>-2.7077668519539442</v>
      </c>
      <c r="U36" s="629">
        <f>IF(M36="","",X36*SIN(RADIANS(W36)))</f>
        <v>-2.8206720641889271</v>
      </c>
      <c r="V36" s="636">
        <f>IF(M36="","",Y36)</f>
        <v>-1.1280034813792996</v>
      </c>
      <c r="W36" s="585">
        <f t="shared" si="224"/>
        <v>226.16996734509695</v>
      </c>
      <c r="X36" s="629">
        <f>IF(M36="","",R36)</f>
        <v>3.9100117925955669</v>
      </c>
      <c r="Y36" s="630">
        <f t="shared" si="223"/>
        <v>-1.1280034813792996</v>
      </c>
      <c r="Z36" s="632">
        <f t="shared" si="6"/>
        <v>-0.9246133873326613</v>
      </c>
      <c r="AA36" s="629">
        <f t="shared" si="7"/>
        <v>-0.26765210399037748</v>
      </c>
      <c r="AB36" s="629">
        <f t="shared" si="8"/>
        <v>-0.27102109732407614</v>
      </c>
      <c r="AC36" s="636">
        <f>IF(M36="","",SQRT(Z36^2+AA36^2+AB36^2))</f>
        <v>1</v>
      </c>
      <c r="AD36" s="637">
        <f>IF(M36="","",Z36*(1/SQRT(Z36^2+AA36^2+AB36^2)))</f>
        <v>-0.9246133873326613</v>
      </c>
      <c r="AE36" s="629">
        <f>IF(M36="","",AA36*(1/SQRT(Z36^2+AA36^2+AB36^2)))</f>
        <v>-0.26765210399037748</v>
      </c>
      <c r="AF36" s="633">
        <f>IF(M36="","",AB36*(1/SQRT(Z36^2+AA36^2+AB36^2)))</f>
        <v>-0.27102109732407614</v>
      </c>
      <c r="AG36" s="602">
        <f>IF(M36="","",DEGREES(ATAN2(-AF36,AE36)))</f>
        <v>-44.64166291918206</v>
      </c>
      <c r="AH36" s="603">
        <f>IF(M36="","",DEGREES(ACOS(AD36)))</f>
        <v>157.61012913089107</v>
      </c>
      <c r="AI36" s="585">
        <f>IF(M36="","",DEGREES(-ACOS(-AF36)))</f>
        <v>-74.274962880861864</v>
      </c>
      <c r="AJ36" s="586">
        <f>IF(M36="","",DEGREES(ATAN2(-AE36,AD36)))</f>
        <v>-73.855612031681176</v>
      </c>
      <c r="AK36" s="635">
        <f>IF(M36="","",(COS(RADIANS((90-$Q$8)-W36))*AD36)+(-SIN(RADIANS((90-$Q$8)-W36))*AE36))</f>
        <v>0.83482351289258128</v>
      </c>
      <c r="AL36" s="629">
        <f>IF(M36="","",(SIN(RADIANS((90-$Q$8)-W36))*AD36)+(COS(RADIANS((90-$Q$8)-W36))*AE36))</f>
        <v>-0.4791839595885321</v>
      </c>
      <c r="AM36" s="634">
        <f>IF(M36="","",AF36)</f>
        <v>-0.27102109732407614</v>
      </c>
      <c r="AN36" s="581">
        <f>IF(M36="","",DEGREES(ATAN2(-AM36,AL36)))</f>
        <v>-60.507984261838409</v>
      </c>
      <c r="AO36" s="582">
        <f t="shared" si="94"/>
        <v>33.402534378738288</v>
      </c>
      <c r="AP36" s="585">
        <f>IF(M36="","",DEGREES(ATAN2(AK36,AL36)))</f>
        <v>-29.855579401323102</v>
      </c>
      <c r="AQ36" s="586">
        <f t="shared" si="9"/>
        <v>0.58302840673007261</v>
      </c>
      <c r="AS36" s="52">
        <f t="shared" si="116"/>
        <v>-133.83003265490305</v>
      </c>
      <c r="AT36" s="72">
        <f t="shared" si="10"/>
        <v>-1.0281315352090949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3.2170000000000001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2.117</v>
      </c>
      <c r="II36" s="734" cm="1">
        <f t="array" ref="II36">IFERROR(ROUND(VALUE(IF($IH36&lt;1,$IH36+LARGE((IF($M$9:$M$150="",0,$M$9:$M$150)-MOD(IF($M$9:$M$150="",0,$M$9:$M$150),1)),1),$IH36)),4),"")</f>
        <v>2.117</v>
      </c>
      <c r="IJ36" s="533">
        <f t="shared" si="112"/>
        <v>1613</v>
      </c>
      <c r="IK36" s="533">
        <f t="shared" si="66"/>
        <v>1313</v>
      </c>
      <c r="IL36" s="727">
        <f t="shared" si="225"/>
        <v>67.659990231106065</v>
      </c>
      <c r="IM36" s="759">
        <v>2.4512416430612399E-2</v>
      </c>
      <c r="IN36" s="5">
        <f t="shared" si="226"/>
        <v>0.14000000000000001</v>
      </c>
      <c r="IO36" s="771">
        <v>70</v>
      </c>
      <c r="IP36" s="9">
        <f t="shared" si="227"/>
        <v>-3.9100117925955669</v>
      </c>
      <c r="IQ36" s="5">
        <f t="shared" si="228"/>
        <v>-1.1543034813793001</v>
      </c>
      <c r="IR36" s="5">
        <f t="shared" si="71"/>
        <v>0.314</v>
      </c>
      <c r="IS36" s="5">
        <f t="shared" si="229"/>
        <v>0.2759738050159668</v>
      </c>
      <c r="IT36" s="727">
        <f t="shared" si="230"/>
        <v>62.070036252996758</v>
      </c>
      <c r="IU36" s="9">
        <f t="shared" si="231"/>
        <v>-3.9100117925955669</v>
      </c>
      <c r="IV36" s="5">
        <f t="shared" si="232"/>
        <v>-1.1280034813792996</v>
      </c>
      <c r="IW36" s="5">
        <f t="shared" si="76"/>
        <v>0.26600000000000001</v>
      </c>
      <c r="IX36" s="5">
        <f t="shared" si="233"/>
        <v>0.22206305442942664</v>
      </c>
      <c r="IY36" s="762">
        <f t="shared" si="234"/>
        <v>60.507984261838409</v>
      </c>
    </row>
    <row r="37" spans="1:267" ht="15" customHeight="1" x14ac:dyDescent="0.25">
      <c r="A37" s="79"/>
      <c r="B37" s="707">
        <v>-7.5858649454807383E-3</v>
      </c>
      <c r="C37" s="708">
        <v>-2.5562964542397899</v>
      </c>
      <c r="D37" s="709">
        <v>-7.2600218962260391E-2</v>
      </c>
      <c r="E37" s="710">
        <v>0.96539552880818202</v>
      </c>
      <c r="F37" s="708">
        <v>-5.3229203148123128E-2</v>
      </c>
      <c r="G37" s="711">
        <v>0.25530006833016444</v>
      </c>
      <c r="H37" s="710">
        <v>0.314</v>
      </c>
      <c r="I37" s="708">
        <v>0.52</v>
      </c>
      <c r="J37" s="570">
        <v>4.1100000000000003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4.1100000000000003</v>
      </c>
      <c r="N37" s="632">
        <f t="shared" si="2"/>
        <v>-7.5858649454807383E-3</v>
      </c>
      <c r="O37" s="629">
        <f t="shared" si="3"/>
        <v>-2.5562964542397899</v>
      </c>
      <c r="P37" s="633">
        <f t="shared" si="4"/>
        <v>-7.2600218962260391E-2</v>
      </c>
      <c r="Q37" s="585">
        <f t="shared" si="113"/>
        <v>269.82997403576417</v>
      </c>
      <c r="R37" s="629">
        <f t="shared" si="79"/>
        <v>2.5563077098240528</v>
      </c>
      <c r="S37" s="634">
        <f t="shared" si="80"/>
        <v>-7.2600218962260391E-2</v>
      </c>
      <c r="T37" s="635">
        <f t="shared" si="81"/>
        <v>-2.5563077098237899</v>
      </c>
      <c r="U37" s="629">
        <f t="shared" si="82"/>
        <v>1.1595150871104496E-6</v>
      </c>
      <c r="V37" s="636">
        <f t="shared" si="114"/>
        <v>-7.2600218962260391E-2</v>
      </c>
      <c r="W37" s="585">
        <f t="shared" si="224"/>
        <v>179.99997401121919</v>
      </c>
      <c r="X37" s="629">
        <f t="shared" si="83"/>
        <v>2.5563077098240528</v>
      </c>
      <c r="Y37" s="630">
        <f t="shared" si="223"/>
        <v>-7.2600218962260391E-2</v>
      </c>
      <c r="Z37" s="632">
        <f t="shared" si="6"/>
        <v>-0.96539552880818202</v>
      </c>
      <c r="AA37" s="629">
        <f t="shared" si="7"/>
        <v>5.3229203148123128E-2</v>
      </c>
      <c r="AB37" s="629">
        <f t="shared" si="8"/>
        <v>-0.25530006833016444</v>
      </c>
      <c r="AC37" s="636">
        <f t="shared" si="84"/>
        <v>1</v>
      </c>
      <c r="AD37" s="637">
        <f t="shared" si="115"/>
        <v>-0.96539552880818202</v>
      </c>
      <c r="AE37" s="629">
        <f t="shared" si="85"/>
        <v>5.3229203148123128E-2</v>
      </c>
      <c r="AF37" s="633">
        <f t="shared" si="86"/>
        <v>-0.25530006833016444</v>
      </c>
      <c r="AG37" s="602">
        <f t="shared" si="87"/>
        <v>11.777255497361068</v>
      </c>
      <c r="AH37" s="603">
        <f t="shared" si="88"/>
        <v>164.88305133714928</v>
      </c>
      <c r="AI37" s="585">
        <f t="shared" si="89"/>
        <v>-75.208633669279507</v>
      </c>
      <c r="AJ37" s="586">
        <f t="shared" si="90"/>
        <v>-93.155933124237123</v>
      </c>
      <c r="AK37" s="635">
        <f t="shared" si="211"/>
        <v>0.96554923622533129</v>
      </c>
      <c r="AL37" s="629">
        <f t="shared" si="91"/>
        <v>-5.0364149305761122E-2</v>
      </c>
      <c r="AM37" s="634">
        <f t="shared" si="92"/>
        <v>-0.25530006833016444</v>
      </c>
      <c r="AN37" s="581">
        <f t="shared" si="93"/>
        <v>-11.159691059591792</v>
      </c>
      <c r="AO37" s="582">
        <f t="shared" si="94"/>
        <v>15.083142105711342</v>
      </c>
      <c r="AP37" s="585">
        <f t="shared" si="95"/>
        <v>-2.9859071600012883</v>
      </c>
      <c r="AQ37" s="586">
        <f t="shared" si="9"/>
        <v>0.89173245818820635</v>
      </c>
      <c r="AS37" s="52">
        <f t="shared" si="116"/>
        <v>-180.00002598878081</v>
      </c>
      <c r="AT37" s="72">
        <f t="shared" si="10"/>
        <v>5.9334222578692794E-2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4.1100000000000003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-4.1263456344245622E-2</v>
      </c>
      <c r="C38" s="708">
        <v>-3.2833506246917099</v>
      </c>
      <c r="D38" s="709">
        <v>-0.3403010263478955</v>
      </c>
      <c r="E38" s="710">
        <v>0.93515589443274216</v>
      </c>
      <c r="F38" s="708">
        <v>-0.21187112862753824</v>
      </c>
      <c r="G38" s="711">
        <v>0.28389096139502423</v>
      </c>
      <c r="H38" s="710">
        <v>0.314</v>
      </c>
      <c r="I38" s="708">
        <v>0.52</v>
      </c>
      <c r="J38" s="570">
        <v>4.1130000000000004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4.1130000000000004</v>
      </c>
      <c r="N38" s="632">
        <f t="shared" si="2"/>
        <v>-4.1263456344245622E-2</v>
      </c>
      <c r="O38" s="629">
        <f t="shared" si="3"/>
        <v>-3.2833506246917099</v>
      </c>
      <c r="P38" s="633">
        <f t="shared" si="4"/>
        <v>-0.3403010263478955</v>
      </c>
      <c r="Q38" s="585">
        <f t="shared" si="113"/>
        <v>269.27997411517435</v>
      </c>
      <c r="R38" s="629">
        <f t="shared" si="79"/>
        <v>3.2836099033674682</v>
      </c>
      <c r="S38" s="634">
        <f t="shared" si="80"/>
        <v>-0.3403010263478955</v>
      </c>
      <c r="T38" s="635">
        <f t="shared" si="81"/>
        <v>-3.2834586032530004</v>
      </c>
      <c r="U38" s="629">
        <f t="shared" si="82"/>
        <v>3.1521393001721708E-2</v>
      </c>
      <c r="V38" s="636">
        <f t="shared" si="114"/>
        <v>-0.3403010263478955</v>
      </c>
      <c r="W38" s="585">
        <f t="shared" si="224"/>
        <v>179.44997409062938</v>
      </c>
      <c r="X38" s="629">
        <f t="shared" si="83"/>
        <v>3.2836099033674682</v>
      </c>
      <c r="Y38" s="630">
        <f t="shared" si="223"/>
        <v>-0.3403010263478955</v>
      </c>
      <c r="Z38" s="632">
        <f t="shared" si="6"/>
        <v>-0.93515589443274216</v>
      </c>
      <c r="AA38" s="629">
        <f t="shared" si="7"/>
        <v>0.21187112862753824</v>
      </c>
      <c r="AB38" s="629">
        <f t="shared" si="8"/>
        <v>-0.28389096139502423</v>
      </c>
      <c r="AC38" s="636">
        <f t="shared" si="84"/>
        <v>1</v>
      </c>
      <c r="AD38" s="637">
        <f t="shared" si="115"/>
        <v>-0.93515589443274216</v>
      </c>
      <c r="AE38" s="629">
        <f t="shared" si="85"/>
        <v>0.21187112862753824</v>
      </c>
      <c r="AF38" s="633">
        <f t="shared" si="86"/>
        <v>-0.28389096139502423</v>
      </c>
      <c r="AG38" s="602">
        <f t="shared" si="87"/>
        <v>36.734408405220179</v>
      </c>
      <c r="AH38" s="603">
        <f t="shared" si="88"/>
        <v>159.25334538526698</v>
      </c>
      <c r="AI38" s="585">
        <f t="shared" si="89"/>
        <v>-73.507432577242838</v>
      </c>
      <c r="AJ38" s="586">
        <f t="shared" si="90"/>
        <v>-102.76555828048717</v>
      </c>
      <c r="AK38" s="635">
        <f t="shared" si="211"/>
        <v>0.93774452990861734</v>
      </c>
      <c r="AL38" s="629">
        <f t="shared" si="91"/>
        <v>-0.20010277025737366</v>
      </c>
      <c r="AM38" s="634">
        <f t="shared" si="92"/>
        <v>-0.28389096139502423</v>
      </c>
      <c r="AN38" s="581">
        <f t="shared" si="93"/>
        <v>-35.178395409526082</v>
      </c>
      <c r="AO38" s="582">
        <f t="shared" si="94"/>
        <v>20.323834767591531</v>
      </c>
      <c r="AP38" s="585">
        <f t="shared" si="95"/>
        <v>-12.045532395661535</v>
      </c>
      <c r="AQ38" s="586">
        <f t="shared" si="9"/>
        <v>0.69424052516552237</v>
      </c>
      <c r="AS38" s="52">
        <f t="shared" si="116"/>
        <v>-180.55002590937062</v>
      </c>
      <c r="AT38" s="72">
        <f t="shared" si="10"/>
        <v>-0.20798464041764383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4.1130000000000004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-8.1664686615538801E-2</v>
      </c>
      <c r="C39" s="708">
        <v>-3.8034348513774003</v>
      </c>
      <c r="D39" s="709">
        <v>-0.91430275753711721</v>
      </c>
      <c r="E39" s="710">
        <v>0.88699602205514305</v>
      </c>
      <c r="F39" s="708">
        <v>-0.38747008759731966</v>
      </c>
      <c r="G39" s="711">
        <v>0.25120706215327182</v>
      </c>
      <c r="H39" s="710">
        <v>0.314</v>
      </c>
      <c r="I39" s="708">
        <v>0.52</v>
      </c>
      <c r="J39" s="570">
        <v>4.1159999999999997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4.1159999999999997</v>
      </c>
      <c r="N39" s="632">
        <f t="shared" si="2"/>
        <v>-8.1664686615538801E-2</v>
      </c>
      <c r="O39" s="629">
        <f t="shared" si="3"/>
        <v>-3.8034348513774003</v>
      </c>
      <c r="P39" s="633">
        <f t="shared" si="4"/>
        <v>-0.91430275753711721</v>
      </c>
      <c r="Q39" s="585">
        <f t="shared" si="113"/>
        <v>268.76997418880921</v>
      </c>
      <c r="R39" s="629">
        <f t="shared" si="79"/>
        <v>3.8043114738034061</v>
      </c>
      <c r="S39" s="634">
        <f t="shared" si="80"/>
        <v>-0.91430275753711721</v>
      </c>
      <c r="T39" s="635">
        <f t="shared" si="81"/>
        <v>-3.8036604133451228</v>
      </c>
      <c r="U39" s="629">
        <f t="shared" si="82"/>
        <v>7.0379326960781627E-2</v>
      </c>
      <c r="V39" s="636">
        <f t="shared" si="114"/>
        <v>-0.91430275753711721</v>
      </c>
      <c r="W39" s="585">
        <f t="shared" si="224"/>
        <v>178.93997416426424</v>
      </c>
      <c r="X39" s="629">
        <f t="shared" si="83"/>
        <v>3.8043114738034061</v>
      </c>
      <c r="Y39" s="630">
        <f t="shared" si="223"/>
        <v>-0.91430275753711721</v>
      </c>
      <c r="Z39" s="632">
        <f t="shared" si="6"/>
        <v>-0.88699602205514305</v>
      </c>
      <c r="AA39" s="629">
        <f t="shared" si="7"/>
        <v>0.38747008759731966</v>
      </c>
      <c r="AB39" s="629">
        <f t="shared" si="8"/>
        <v>-0.25120706215327182</v>
      </c>
      <c r="AC39" s="636">
        <f t="shared" si="84"/>
        <v>1</v>
      </c>
      <c r="AD39" s="637">
        <f t="shared" si="115"/>
        <v>-0.88699602205514305</v>
      </c>
      <c r="AE39" s="629">
        <f t="shared" si="85"/>
        <v>0.38747008759731966</v>
      </c>
      <c r="AF39" s="633">
        <f t="shared" si="86"/>
        <v>-0.25120706215327182</v>
      </c>
      <c r="AG39" s="602">
        <f t="shared" si="87"/>
        <v>57.0435962325814</v>
      </c>
      <c r="AH39" s="603">
        <f t="shared" si="88"/>
        <v>152.49816222794215</v>
      </c>
      <c r="AI39" s="585">
        <f t="shared" si="89"/>
        <v>-75.45104860251341</v>
      </c>
      <c r="AJ39" s="586">
        <f t="shared" si="90"/>
        <v>-113.59734502102823</v>
      </c>
      <c r="AK39" s="635">
        <f t="shared" si="211"/>
        <v>0.89510920176830699</v>
      </c>
      <c r="AL39" s="629">
        <f t="shared" si="91"/>
        <v>-0.36834023515498077</v>
      </c>
      <c r="AM39" s="634">
        <f t="shared" si="92"/>
        <v>-0.25120706215327182</v>
      </c>
      <c r="AN39" s="581">
        <f t="shared" si="93"/>
        <v>-55.706116017067778</v>
      </c>
      <c r="AO39" s="582">
        <f t="shared" si="94"/>
        <v>26.477540133128006</v>
      </c>
      <c r="AP39" s="585">
        <f t="shared" si="95"/>
        <v>-22.367319209837458</v>
      </c>
      <c r="AQ39" s="586">
        <f t="shared" si="9"/>
        <v>0.59922630638610375</v>
      </c>
      <c r="AS39" s="52">
        <f t="shared" si="116"/>
        <v>-181.06002583573576</v>
      </c>
      <c r="AT39" s="72">
        <f t="shared" si="10"/>
        <v>-0.78163220499133423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4.1159999999999997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-0.10051745810083122</v>
      </c>
      <c r="C40" s="708">
        <v>-3.9985488346902271</v>
      </c>
      <c r="D40" s="709">
        <v>-1.6643050195439393</v>
      </c>
      <c r="E40" s="710">
        <v>0.84908397707193772</v>
      </c>
      <c r="F40" s="708">
        <v>-0.51141882723287868</v>
      </c>
      <c r="G40" s="711">
        <v>0.13231471207484197</v>
      </c>
      <c r="H40" s="710">
        <v>0.314</v>
      </c>
      <c r="I40" s="708">
        <v>0.52</v>
      </c>
      <c r="J40" s="570">
        <v>4.1189999999999998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4.1189999999999998</v>
      </c>
      <c r="N40" s="632">
        <f t="shared" si="2"/>
        <v>-0.10051745810083122</v>
      </c>
      <c r="O40" s="629">
        <f t="shared" si="3"/>
        <v>-3.9985488346902271</v>
      </c>
      <c r="P40" s="633">
        <f t="shared" si="4"/>
        <v>-1.6643050195439393</v>
      </c>
      <c r="Q40" s="585">
        <f t="shared" si="113"/>
        <v>268.55997421912946</v>
      </c>
      <c r="R40" s="629">
        <f t="shared" si="79"/>
        <v>3.999812063433184</v>
      </c>
      <c r="S40" s="634">
        <f t="shared" si="80"/>
        <v>-1.6643050195439393</v>
      </c>
      <c r="T40" s="635">
        <f t="shared" si="81"/>
        <v>-3.9988294750302629</v>
      </c>
      <c r="U40" s="629">
        <f t="shared" si="82"/>
        <v>8.8653101552163924E-2</v>
      </c>
      <c r="V40" s="636">
        <f t="shared" si="114"/>
        <v>-1.6643050195439393</v>
      </c>
      <c r="W40" s="585">
        <f t="shared" si="224"/>
        <v>178.72997419458449</v>
      </c>
      <c r="X40" s="629">
        <f t="shared" si="83"/>
        <v>3.999812063433184</v>
      </c>
      <c r="Y40" s="630">
        <f t="shared" si="223"/>
        <v>-1.6643050195439393</v>
      </c>
      <c r="Z40" s="632">
        <f t="shared" si="6"/>
        <v>-0.84908397707193772</v>
      </c>
      <c r="AA40" s="629">
        <f t="shared" si="7"/>
        <v>0.51141882723287868</v>
      </c>
      <c r="AB40" s="629">
        <f t="shared" si="8"/>
        <v>-0.13231471207484197</v>
      </c>
      <c r="AC40" s="636">
        <f t="shared" si="84"/>
        <v>1</v>
      </c>
      <c r="AD40" s="637">
        <f t="shared" si="115"/>
        <v>-0.84908397707193772</v>
      </c>
      <c r="AE40" s="629">
        <f t="shared" si="85"/>
        <v>0.51141882723287868</v>
      </c>
      <c r="AF40" s="633">
        <f t="shared" si="86"/>
        <v>-0.13231471207484197</v>
      </c>
      <c r="AG40" s="602">
        <f t="shared" si="87"/>
        <v>75.494454540501422</v>
      </c>
      <c r="AH40" s="603">
        <f t="shared" si="88"/>
        <v>148.11217703058369</v>
      </c>
      <c r="AI40" s="585">
        <f t="shared" si="89"/>
        <v>-82.396628778512621</v>
      </c>
      <c r="AJ40" s="586">
        <f t="shared" si="90"/>
        <v>-121.06132536184005</v>
      </c>
      <c r="AK40" s="635">
        <f t="shared" si="211"/>
        <v>0.86166805163721416</v>
      </c>
      <c r="AL40" s="629">
        <f t="shared" si="91"/>
        <v>-0.48991936658625684</v>
      </c>
      <c r="AM40" s="634">
        <f t="shared" si="92"/>
        <v>-0.13231471207484197</v>
      </c>
      <c r="AN40" s="581">
        <f t="shared" si="93"/>
        <v>-74.886448182205612</v>
      </c>
      <c r="AO40" s="582">
        <f t="shared" si="94"/>
        <v>30.495609304648937</v>
      </c>
      <c r="AP40" s="585">
        <f t="shared" si="95"/>
        <v>-29.62129958096952</v>
      </c>
      <c r="AQ40" s="586">
        <f t="shared" si="9"/>
        <v>0.56993963788753266</v>
      </c>
      <c r="AS40" s="52">
        <f t="shared" si="116"/>
        <v>-181.27002580541551</v>
      </c>
      <c r="AT40" s="72">
        <f t="shared" si="10"/>
        <v>-1.5314886336858786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4.1189999999999998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-0.10895299858269855</v>
      </c>
      <c r="C41" s="708">
        <v>-4.0790574806260178</v>
      </c>
      <c r="D41" s="709">
        <v>-2.3534070978758068</v>
      </c>
      <c r="E41" s="710">
        <v>0.84777889285396646</v>
      </c>
      <c r="F41" s="708">
        <v>-0.51760285316685017</v>
      </c>
      <c r="G41" s="711">
        <v>0.11557783189192916</v>
      </c>
      <c r="H41" s="710">
        <v>0.26600000000000001</v>
      </c>
      <c r="I41" s="708">
        <v>0.52</v>
      </c>
      <c r="J41" s="570">
        <v>4.1219999999999999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4.1219999999999999</v>
      </c>
      <c r="N41" s="632">
        <f t="shared" ref="N41:N72" si="240">IF(M41="","",B41)</f>
        <v>-0.10895299858269855</v>
      </c>
      <c r="O41" s="629">
        <f t="shared" ref="O41:O72" si="241">IF(M41="","",C41)</f>
        <v>-4.0790574806260178</v>
      </c>
      <c r="P41" s="633">
        <f t="shared" ref="P41:P72" si="242">IF(M41="","",D41)</f>
        <v>-2.3534070978758068</v>
      </c>
      <c r="Q41" s="585">
        <f t="shared" si="113"/>
        <v>268.46997423212383</v>
      </c>
      <c r="R41" s="629">
        <f t="shared" si="79"/>
        <v>4.080512306825117</v>
      </c>
      <c r="S41" s="634">
        <f t="shared" si="80"/>
        <v>-2.3534070978758068</v>
      </c>
      <c r="T41" s="635">
        <f t="shared" si="81"/>
        <v>-4.0793627953018747</v>
      </c>
      <c r="U41" s="629">
        <f t="shared" si="82"/>
        <v>9.684973132700013E-2</v>
      </c>
      <c r="V41" s="636">
        <f t="shared" si="114"/>
        <v>-2.3534070978758068</v>
      </c>
      <c r="W41" s="585">
        <f t="shared" si="224"/>
        <v>178.63997420757886</v>
      </c>
      <c r="X41" s="629">
        <f t="shared" si="83"/>
        <v>4.080512306825117</v>
      </c>
      <c r="Y41" s="630">
        <f t="shared" si="223"/>
        <v>-2.3534070978758068</v>
      </c>
      <c r="Z41" s="632">
        <f t="shared" ref="Z41:Z72" si="243">IF(M41="","",-E41)</f>
        <v>-0.84777889285396646</v>
      </c>
      <c r="AA41" s="629">
        <f t="shared" ref="AA41:AA72" si="244">IF(M41="","",-F41)</f>
        <v>0.51760285316685017</v>
      </c>
      <c r="AB41" s="629">
        <f t="shared" ref="AB41:AB72" si="245">IF(M41="","",-G41)</f>
        <v>-0.11557783189192916</v>
      </c>
      <c r="AC41" s="636">
        <f t="shared" si="84"/>
        <v>1</v>
      </c>
      <c r="AD41" s="637">
        <f t="shared" si="115"/>
        <v>-0.84777889285396646</v>
      </c>
      <c r="AE41" s="629">
        <f t="shared" si="85"/>
        <v>0.51760285316685017</v>
      </c>
      <c r="AF41" s="633">
        <f t="shared" si="86"/>
        <v>-0.11557783189192916</v>
      </c>
      <c r="AG41" s="602">
        <f t="shared" si="87"/>
        <v>77.41266381289411</v>
      </c>
      <c r="AH41" s="603">
        <f t="shared" si="88"/>
        <v>147.97090509810545</v>
      </c>
      <c r="AI41" s="585">
        <f t="shared" si="89"/>
        <v>-83.363045380588559</v>
      </c>
      <c r="AJ41" s="586">
        <f t="shared" si="90"/>
        <v>-121.40573126815778</v>
      </c>
      <c r="AK41" s="635">
        <f t="shared" si="211"/>
        <v>0.8612970513192304</v>
      </c>
      <c r="AL41" s="629">
        <f t="shared" si="91"/>
        <v>-0.4947819258662951</v>
      </c>
      <c r="AM41" s="634">
        <f t="shared" si="92"/>
        <v>-0.11557783189192916</v>
      </c>
      <c r="AN41" s="581">
        <f t="shared" si="93"/>
        <v>-76.851842812995514</v>
      </c>
      <c r="AO41" s="582">
        <f t="shared" si="94"/>
        <v>30.53747085233281</v>
      </c>
      <c r="AP41" s="585">
        <f t="shared" si="95"/>
        <v>-29.875705500281622</v>
      </c>
      <c r="AQ41" s="586">
        <f t="shared" ref="AQ41:AQ72" si="246">IF(M41="","",DEGREES(ATAN(($AS$5*SIN(RADIANS(90)))/(($X41*2*PI())-($AS$5*COS(RADIANS(90)))))))</f>
        <v>0.55866867006831999</v>
      </c>
      <c r="AS41" s="52">
        <f t="shared" si="116"/>
        <v>-181.36002579242114</v>
      </c>
      <c r="AT41" s="72">
        <f t="shared" ref="AT41:AT72" si="247">IF(M41="","",Y41+(((AS41-$AS$9)*$AS$6)*-1))</f>
        <v>-2.2205282120267702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4.1219999999999999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-0.8425995886653237</v>
      </c>
      <c r="C42" s="708">
        <v>-2.9384893925774338</v>
      </c>
      <c r="D42" s="709">
        <v>-0.18910064090193299</v>
      </c>
      <c r="E42" s="710">
        <v>0.83646391257146091</v>
      </c>
      <c r="F42" s="708">
        <v>-0.41775428753394361</v>
      </c>
      <c r="G42" s="711">
        <v>0.354696318295878</v>
      </c>
      <c r="H42" s="710">
        <v>0.26600000000000001</v>
      </c>
      <c r="I42" s="708">
        <v>0.52</v>
      </c>
      <c r="J42" s="570">
        <v>4.2119999999999997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4.2119999999999997</v>
      </c>
      <c r="N42" s="632">
        <f t="shared" si="240"/>
        <v>-0.8425995886653237</v>
      </c>
      <c r="O42" s="629">
        <f t="shared" si="241"/>
        <v>-2.9384893925774338</v>
      </c>
      <c r="P42" s="633">
        <f t="shared" si="242"/>
        <v>-0.18910064090193299</v>
      </c>
      <c r="Q42" s="585">
        <f t="shared" si="113"/>
        <v>253.99997632133307</v>
      </c>
      <c r="R42" s="629">
        <f t="shared" ref="R42:R47" si="385">IF(M42="","",SQRT(N42^2+O42^2))</f>
        <v>3.0569092196382064</v>
      </c>
      <c r="S42" s="634">
        <f t="shared" ref="S42:S47" si="386">IF(M42="","",P42)</f>
        <v>-0.18910064090193299</v>
      </c>
      <c r="T42" s="635">
        <f t="shared" ref="T42:T47" si="387">IF(M42="","",X42*COS(RADIANS(W42)))</f>
        <v>-2.94097649745565</v>
      </c>
      <c r="U42" s="629">
        <f t="shared" ref="U42:U47" si="388">IF(M42="","",X42*SIN(RADIANS(W42)))</f>
        <v>0.83387722029239109</v>
      </c>
      <c r="V42" s="636">
        <f t="shared" ref="V42:V47" si="389">IF(M42="","",Y42)</f>
        <v>-0.18910064090193299</v>
      </c>
      <c r="W42" s="585">
        <f t="shared" si="224"/>
        <v>164.16997629678809</v>
      </c>
      <c r="X42" s="629">
        <f t="shared" ref="X42:X47" si="390">IF(M42="","",R42)</f>
        <v>3.0569092196382064</v>
      </c>
      <c r="Y42" s="630">
        <f t="shared" si="223"/>
        <v>-0.18910064090193299</v>
      </c>
      <c r="Z42" s="632">
        <f t="shared" si="243"/>
        <v>-0.83646391257146091</v>
      </c>
      <c r="AA42" s="629">
        <f t="shared" si="244"/>
        <v>0.41775428753394361</v>
      </c>
      <c r="AB42" s="629">
        <f t="shared" si="245"/>
        <v>-0.354696318295878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-0.83646391257146091</v>
      </c>
      <c r="AE42" s="629">
        <f t="shared" ref="AE42:AE47" si="393">IF(M42="","",AA42*(1/SQRT(Z42^2+AA42^2+AB42^2)))</f>
        <v>0.41775428753394361</v>
      </c>
      <c r="AF42" s="633">
        <f t="shared" ref="AF42:AF47" si="394">IF(M42="","",AB42*(1/SQRT(Z42^2+AA42^2+AB42^2)))</f>
        <v>-0.354696318295878</v>
      </c>
      <c r="AG42" s="602">
        <f t="shared" ref="AG42:AG47" si="395">IF(M42="","",DEGREES(ATAN2(-AF42,AE42)))</f>
        <v>49.666915617646929</v>
      </c>
      <c r="AH42" s="603">
        <f t="shared" ref="AH42:AH47" si="396">IF(M42="","",DEGREES(ACOS(AD42)))</f>
        <v>146.76857989307425</v>
      </c>
      <c r="AI42" s="585">
        <f t="shared" ref="AI42:AI47" si="397">IF(M42="","",DEGREES(-ACOS(-AF42)))</f>
        <v>-69.225166416782983</v>
      </c>
      <c r="AJ42" s="586">
        <f t="shared" ref="AJ42:AJ47" si="398">IF(M42="","",DEGREES(ATAN2(-AE42,AD42)))</f>
        <v>-116.53886986389617</v>
      </c>
      <c r="AK42" s="635">
        <f t="shared" ref="AK42:AK47" si="399">IF(M42="","",(COS(RADIANS((90-$Q$8)-W42))*AD42)+(-SIN(RADIANS((90-$Q$8)-W42))*AE42))</f>
        <v>0.91920947706026279</v>
      </c>
      <c r="AL42" s="629">
        <f t="shared" ref="AL42:AL47" si="400">IF(M42="","",(SIN(RADIANS((90-$Q$8)-W42))*AD42)+(COS(RADIANS((90-$Q$8)-W42))*AE42))</f>
        <v>-0.17101011394051388</v>
      </c>
      <c r="AM42" s="634">
        <f t="shared" ref="AM42:AM47" si="401">IF(M42="","",AF42)</f>
        <v>-0.354696318295878</v>
      </c>
      <c r="AN42" s="581">
        <f t="shared" ref="AN42:AN47" si="402">IF(M42="","",DEGREES(ATAN2(-AM42,AL42)))</f>
        <v>-25.740160182685894</v>
      </c>
      <c r="AO42" s="582">
        <f t="shared" si="94"/>
        <v>23.189214865836348</v>
      </c>
      <c r="AP42" s="585">
        <f t="shared" ref="AP42:AP47" si="403">IF(M42="","",DEGREES(ATAN2(AK42,AL42)))</f>
        <v>-10.538846185229255</v>
      </c>
      <c r="AQ42" s="586">
        <f t="shared" si="246"/>
        <v>0.74571985633111315</v>
      </c>
      <c r="AS42" s="52">
        <f t="shared" si="116"/>
        <v>-195.83002370321191</v>
      </c>
      <c r="AT42" s="72">
        <f t="shared" si="247"/>
        <v>-4.6173145392624876E-2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4.2119999999999997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3.1120000000000001</v>
      </c>
      <c r="II42" s="734" cm="1">
        <f t="array" ref="II42">IFERROR(ROUND(VALUE(IF($IH42&lt;1,$IH42+LARGE((IF($M$9:$M$150="",0,$M$9:$M$150)-MOD(IF($M$9:$M$150="",0,$M$9:$M$150),1)),1),$IH42)),4),"")</f>
        <v>3.1120000000000001</v>
      </c>
      <c r="IJ42" s="533">
        <f t="shared" si="112"/>
        <v>1613</v>
      </c>
      <c r="IK42" s="533">
        <f t="shared" si="382"/>
        <v>1313</v>
      </c>
      <c r="IL42" s="727">
        <f t="shared" si="225"/>
        <v>75.469989103481737</v>
      </c>
      <c r="IM42" s="759">
        <v>2.9096944847441599E-2</v>
      </c>
      <c r="IN42" s="5">
        <f t="shared" si="226"/>
        <v>0.14000000000000001</v>
      </c>
      <c r="IO42" s="771">
        <v>70</v>
      </c>
      <c r="IP42" s="9">
        <f t="shared" si="227"/>
        <v>-3.0569092196382068</v>
      </c>
      <c r="IQ42" s="5">
        <f t="shared" si="228"/>
        <v>-0.21250064090193296</v>
      </c>
      <c r="IR42" s="5">
        <f t="shared" si="383"/>
        <v>0.314</v>
      </c>
      <c r="IS42" s="5">
        <f t="shared" si="229"/>
        <v>0.29821150230507859</v>
      </c>
      <c r="IT42" s="727">
        <f t="shared" si="230"/>
        <v>27.751622369294491</v>
      </c>
      <c r="IU42" s="9">
        <f t="shared" si="231"/>
        <v>-3.0569092196382064</v>
      </c>
      <c r="IV42" s="5">
        <f t="shared" si="232"/>
        <v>-0.18910064090193299</v>
      </c>
      <c r="IW42" s="5">
        <f t="shared" si="384"/>
        <v>0.26600000000000001</v>
      </c>
      <c r="IX42" s="5">
        <f t="shared" si="233"/>
        <v>0.24450972089802991</v>
      </c>
      <c r="IY42" s="762">
        <f t="shared" si="234"/>
        <v>25.740160182685894</v>
      </c>
    </row>
    <row r="43" spans="1:267" ht="15" customHeight="1" x14ac:dyDescent="0.25">
      <c r="A43" s="79"/>
      <c r="B43" s="707">
        <v>-0.94792908258596331</v>
      </c>
      <c r="C43" s="708">
        <v>-3.5377136143894243</v>
      </c>
      <c r="D43" s="709">
        <v>-0.67220209914233076</v>
      </c>
      <c r="E43" s="710">
        <v>0.74864823182778906</v>
      </c>
      <c r="F43" s="708">
        <v>-0.57352416077290092</v>
      </c>
      <c r="G43" s="711">
        <v>0.33255956156884836</v>
      </c>
      <c r="H43" s="710">
        <v>0.26600000000000001</v>
      </c>
      <c r="I43" s="708">
        <v>0.52</v>
      </c>
      <c r="J43" s="570">
        <v>4.2149999999999999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4.2149999999999999</v>
      </c>
      <c r="N43" s="632">
        <f t="shared" si="240"/>
        <v>-0.94792908258596331</v>
      </c>
      <c r="O43" s="629">
        <f t="shared" si="241"/>
        <v>-3.5377136143894243</v>
      </c>
      <c r="P43" s="633">
        <f t="shared" si="242"/>
        <v>-0.67220209914233076</v>
      </c>
      <c r="Q43" s="585">
        <f t="shared" si="113"/>
        <v>254.99997617695095</v>
      </c>
      <c r="R43" s="629">
        <f t="shared" si="385"/>
        <v>3.6625110461333152</v>
      </c>
      <c r="S43" s="634">
        <f t="shared" si="386"/>
        <v>-0.67220209914233076</v>
      </c>
      <c r="T43" s="635">
        <f t="shared" si="387"/>
        <v>-3.5405106000480293</v>
      </c>
      <c r="U43" s="629">
        <f t="shared" si="388"/>
        <v>0.93742831939092519</v>
      </c>
      <c r="V43" s="636">
        <f t="shared" si="389"/>
        <v>-0.67220209914233076</v>
      </c>
      <c r="W43" s="585">
        <f t="shared" si="224"/>
        <v>165.16997615240598</v>
      </c>
      <c r="X43" s="629">
        <f t="shared" si="390"/>
        <v>3.6625110461333152</v>
      </c>
      <c r="Y43" s="630">
        <f t="shared" si="223"/>
        <v>-0.67220209914233076</v>
      </c>
      <c r="Z43" s="632">
        <f t="shared" si="243"/>
        <v>-0.74864823182778906</v>
      </c>
      <c r="AA43" s="629">
        <f t="shared" si="244"/>
        <v>0.57352416077290092</v>
      </c>
      <c r="AB43" s="629">
        <f t="shared" si="245"/>
        <v>-0.33255956156884836</v>
      </c>
      <c r="AC43" s="636">
        <f t="shared" si="391"/>
        <v>1</v>
      </c>
      <c r="AD43" s="637">
        <f t="shared" si="392"/>
        <v>-0.74864823182778906</v>
      </c>
      <c r="AE43" s="629">
        <f t="shared" si="393"/>
        <v>0.57352416077290092</v>
      </c>
      <c r="AF43" s="633">
        <f t="shared" si="394"/>
        <v>-0.33255956156884836</v>
      </c>
      <c r="AG43" s="602">
        <f t="shared" si="395"/>
        <v>59.892580353475246</v>
      </c>
      <c r="AH43" s="603">
        <f t="shared" si="396"/>
        <v>138.47341885076582</v>
      </c>
      <c r="AI43" s="585">
        <f t="shared" si="397"/>
        <v>-70.575795706297356</v>
      </c>
      <c r="AJ43" s="586">
        <f t="shared" si="398"/>
        <v>-127.45499005149384</v>
      </c>
      <c r="AK43" s="635">
        <f t="shared" si="399"/>
        <v>0.87157778733751434</v>
      </c>
      <c r="AL43" s="629">
        <f t="shared" si="400"/>
        <v>-0.36021701601809147</v>
      </c>
      <c r="AM43" s="634">
        <f t="shared" si="401"/>
        <v>-0.33255956156884836</v>
      </c>
      <c r="AN43" s="581">
        <f t="shared" si="402"/>
        <v>-47.286183431557355</v>
      </c>
      <c r="AO43" s="582">
        <f t="shared" si="94"/>
        <v>29.357490564155611</v>
      </c>
      <c r="AP43" s="585">
        <f t="shared" si="403"/>
        <v>-22.454966228444793</v>
      </c>
      <c r="AQ43" s="586">
        <f t="shared" si="246"/>
        <v>0.62242459442220188</v>
      </c>
      <c r="AS43" s="52">
        <f t="shared" ref="AS43:AS74" si="406">IF(G43="","",IF(AND(W43&lt;(AS42+180),W43&gt;(AS42-180)),W43,IF(W43&gt;(AS42+180),W43-360,IF(W43&lt;(AS42-180),W43+360,"Error"))))</f>
        <v>-194.83002384759402</v>
      </c>
      <c r="AT43" s="72">
        <f t="shared" si="247"/>
        <v>-0.52996904797720168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4.2149999999999999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3.1150000000000002</v>
      </c>
      <c r="II43" s="734" cm="1">
        <f t="array" ref="II43">IFERROR(ROUND(VALUE(IF($IH43&lt;1,$IH43+LARGE((IF($M$9:$M$150="",0,$M$9:$M$150)-MOD(IF($M$9:$M$150="",0,$M$9:$M$150),1)),1),$IH43)),4),"")</f>
        <v>3.1150000000000002</v>
      </c>
      <c r="IJ43" s="533">
        <f t="shared" si="112"/>
        <v>1613</v>
      </c>
      <c r="IK43" s="533">
        <f t="shared" si="382"/>
        <v>1313</v>
      </c>
      <c r="IL43" s="727">
        <f t="shared" si="225"/>
        <v>73.909989328717813</v>
      </c>
      <c r="IM43" s="759">
        <v>2.6983247643095301E-2</v>
      </c>
      <c r="IN43" s="5">
        <f t="shared" si="226"/>
        <v>0.14000000000000001</v>
      </c>
      <c r="IO43" s="771">
        <v>70</v>
      </c>
      <c r="IP43" s="9">
        <f t="shared" si="227"/>
        <v>-3.6625110461333144</v>
      </c>
      <c r="IQ43" s="5">
        <f t="shared" si="228"/>
        <v>-0.69600209914233102</v>
      </c>
      <c r="IR43" s="5">
        <f t="shared" si="383"/>
        <v>0.314</v>
      </c>
      <c r="IS43" s="5">
        <f t="shared" si="229"/>
        <v>0.28585560818381472</v>
      </c>
      <c r="IT43" s="727">
        <f t="shared" si="230"/>
        <v>49.117536857410705</v>
      </c>
      <c r="IU43" s="9">
        <f t="shared" si="231"/>
        <v>-3.6625110461333152</v>
      </c>
      <c r="IV43" s="5">
        <f t="shared" si="232"/>
        <v>-0.67220209914233076</v>
      </c>
      <c r="IW43" s="5">
        <f t="shared" si="384"/>
        <v>0.26600000000000001</v>
      </c>
      <c r="IX43" s="5">
        <f t="shared" si="233"/>
        <v>0.23183969143177885</v>
      </c>
      <c r="IY43" s="762">
        <f t="shared" si="234"/>
        <v>47.286183431557355</v>
      </c>
    </row>
    <row r="44" spans="1:267" ht="15" customHeight="1" x14ac:dyDescent="0.25">
      <c r="A44" s="79"/>
      <c r="B44" s="707">
        <v>-0.96171662562915972</v>
      </c>
      <c r="C44" s="708">
        <v>-3.8572278317694151</v>
      </c>
      <c r="D44" s="709">
        <v>-1.3814042377943818</v>
      </c>
      <c r="E44" s="710">
        <v>0.66207332973588984</v>
      </c>
      <c r="F44" s="708">
        <v>-0.71396208230399105</v>
      </c>
      <c r="G44" s="711">
        <v>0.22785313490180642</v>
      </c>
      <c r="H44" s="710">
        <v>0.26600000000000001</v>
      </c>
      <c r="I44" s="708">
        <v>0.52</v>
      </c>
      <c r="J44" s="570">
        <v>4.218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4.218</v>
      </c>
      <c r="N44" s="632">
        <f t="shared" si="240"/>
        <v>-0.96171662562915972</v>
      </c>
      <c r="O44" s="629">
        <f t="shared" si="241"/>
        <v>-3.8572278317694151</v>
      </c>
      <c r="P44" s="633">
        <f t="shared" si="242"/>
        <v>-1.3814042377943818</v>
      </c>
      <c r="Q44" s="585">
        <f t="shared" si="113"/>
        <v>255.99997603256884</v>
      </c>
      <c r="R44" s="629">
        <f t="shared" si="385"/>
        <v>3.9753119895409621</v>
      </c>
      <c r="S44" s="634">
        <f t="shared" si="386"/>
        <v>-1.3814042377943818</v>
      </c>
      <c r="T44" s="635">
        <f t="shared" si="387"/>
        <v>-3.8600643194145774</v>
      </c>
      <c r="U44" s="629">
        <f t="shared" si="388"/>
        <v>0.95026778550606517</v>
      </c>
      <c r="V44" s="636">
        <f t="shared" si="389"/>
        <v>-1.3814042377943818</v>
      </c>
      <c r="W44" s="585">
        <f t="shared" si="224"/>
        <v>166.16997600802387</v>
      </c>
      <c r="X44" s="629">
        <f t="shared" si="390"/>
        <v>3.9753119895409621</v>
      </c>
      <c r="Y44" s="630">
        <f t="shared" si="223"/>
        <v>-1.3814042377943818</v>
      </c>
      <c r="Z44" s="632">
        <f t="shared" si="243"/>
        <v>-0.66207332973588984</v>
      </c>
      <c r="AA44" s="629">
        <f t="shared" si="244"/>
        <v>0.71396208230399105</v>
      </c>
      <c r="AB44" s="629">
        <f t="shared" si="245"/>
        <v>-0.22785313490180642</v>
      </c>
      <c r="AC44" s="636">
        <f t="shared" si="391"/>
        <v>1</v>
      </c>
      <c r="AD44" s="637">
        <f t="shared" si="392"/>
        <v>-0.66207332973588984</v>
      </c>
      <c r="AE44" s="629">
        <f t="shared" si="393"/>
        <v>0.71396208230399105</v>
      </c>
      <c r="AF44" s="633">
        <f t="shared" si="394"/>
        <v>-0.22785313490180642</v>
      </c>
      <c r="AG44" s="602">
        <f t="shared" si="395"/>
        <v>72.300089621386462</v>
      </c>
      <c r="AH44" s="603">
        <f t="shared" si="396"/>
        <v>131.45818904274213</v>
      </c>
      <c r="AI44" s="585">
        <f t="shared" si="397"/>
        <v>-76.829290300280292</v>
      </c>
      <c r="AJ44" s="586">
        <f t="shared" si="398"/>
        <v>-137.15953640175132</v>
      </c>
      <c r="AK44" s="635">
        <f t="shared" si="399"/>
        <v>0.81513020544690917</v>
      </c>
      <c r="AL44" s="629">
        <f t="shared" si="400"/>
        <v>-0.53258398124943518</v>
      </c>
      <c r="AM44" s="634">
        <f t="shared" si="401"/>
        <v>-0.22785313490180642</v>
      </c>
      <c r="AN44" s="581">
        <f t="shared" si="402"/>
        <v>-66.837514415816045</v>
      </c>
      <c r="AO44" s="582">
        <f t="shared" si="94"/>
        <v>35.399761657892171</v>
      </c>
      <c r="AP44" s="585">
        <f t="shared" si="403"/>
        <v>-33.159512434320149</v>
      </c>
      <c r="AQ44" s="586">
        <f t="shared" si="246"/>
        <v>0.57345197443938978</v>
      </c>
      <c r="AS44" s="52">
        <f t="shared" si="406"/>
        <v>-193.83002399197613</v>
      </c>
      <c r="AT44" s="72">
        <f t="shared" si="247"/>
        <v>-1.2398656309734319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4.218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3.1179999999999999</v>
      </c>
      <c r="II44" s="734" cm="1">
        <f t="array" ref="II44">IFERROR(ROUND(VALUE(IF($IH44&lt;1,$IH44+LARGE((IF($M$9:$M$150="",0,$M$9:$M$150)-MOD(IF($M$9:$M$150="",0,$M$9:$M$150),1)),1),$IH44)),4),"")</f>
        <v>3.1179999999999999</v>
      </c>
      <c r="IJ44" s="533">
        <f t="shared" si="112"/>
        <v>1613</v>
      </c>
      <c r="IK44" s="533">
        <f t="shared" si="382"/>
        <v>1313</v>
      </c>
      <c r="IL44" s="727">
        <f t="shared" si="225"/>
        <v>72.589989519302208</v>
      </c>
      <c r="IM44" s="759">
        <v>2.7594331895707699E-2</v>
      </c>
      <c r="IN44" s="5">
        <f t="shared" si="226"/>
        <v>0.14000000000000001</v>
      </c>
      <c r="IO44" s="771">
        <v>70</v>
      </c>
      <c r="IP44" s="9">
        <f t="shared" si="227"/>
        <v>-3.9753119895409608</v>
      </c>
      <c r="IQ44" s="5">
        <f t="shared" si="228"/>
        <v>-1.4051042377943812</v>
      </c>
      <c r="IR44" s="5">
        <f t="shared" si="383"/>
        <v>0.314</v>
      </c>
      <c r="IS44" s="5">
        <f t="shared" si="229"/>
        <v>0.27059685151018498</v>
      </c>
      <c r="IT44" s="727">
        <f t="shared" si="230"/>
        <v>68.250493662083187</v>
      </c>
      <c r="IU44" s="9">
        <f t="shared" si="231"/>
        <v>-3.9753119895409621</v>
      </c>
      <c r="IV44" s="5">
        <f t="shared" si="232"/>
        <v>-1.3814042377943818</v>
      </c>
      <c r="IW44" s="5">
        <f t="shared" si="384"/>
        <v>0.26600000000000001</v>
      </c>
      <c r="IX44" s="5">
        <f t="shared" si="233"/>
        <v>0.21682463464887786</v>
      </c>
      <c r="IY44" s="762">
        <f t="shared" si="234"/>
        <v>66.837514415816045</v>
      </c>
    </row>
    <row r="45" spans="1:267" ht="15" customHeight="1" x14ac:dyDescent="0.25">
      <c r="A45" s="79"/>
      <c r="B45" s="707">
        <v>-0.38704337430646674</v>
      </c>
      <c r="C45" s="708">
        <v>-0.32350380235220422</v>
      </c>
      <c r="D45" s="709">
        <v>-0.2913</v>
      </c>
      <c r="E45" s="710">
        <v>0.55403204959864349</v>
      </c>
      <c r="F45" s="708">
        <v>-0.79124029776631011</v>
      </c>
      <c r="G45" s="711">
        <v>0.25881900859134599</v>
      </c>
      <c r="H45" s="710">
        <v>0.314</v>
      </c>
      <c r="I45" s="708">
        <v>0.52</v>
      </c>
      <c r="J45" s="570">
        <v>5.1020000000000003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5.1020000000000003</v>
      </c>
      <c r="N45" s="632">
        <f t="shared" si="240"/>
        <v>-0.38704337430646674</v>
      </c>
      <c r="O45" s="629">
        <f t="shared" si="241"/>
        <v>-0.32350380235220422</v>
      </c>
      <c r="P45" s="633">
        <f t="shared" si="242"/>
        <v>-0.2913</v>
      </c>
      <c r="Q45" s="585">
        <f t="shared" si="113"/>
        <v>219.89000622007808</v>
      </c>
      <c r="R45" s="629">
        <f t="shared" si="385"/>
        <v>0.5044375915124385</v>
      </c>
      <c r="S45" s="634">
        <f t="shared" si="386"/>
        <v>-0.2913</v>
      </c>
      <c r="T45" s="635">
        <f t="shared" si="387"/>
        <v>-0.32465075733823789</v>
      </c>
      <c r="U45" s="629">
        <f t="shared" si="388"/>
        <v>0.38608181709396561</v>
      </c>
      <c r="V45" s="636">
        <f t="shared" si="389"/>
        <v>-0.2913</v>
      </c>
      <c r="W45" s="585">
        <f t="shared" si="224"/>
        <v>130.06000619553311</v>
      </c>
      <c r="X45" s="629">
        <f t="shared" si="390"/>
        <v>0.5044375915124385</v>
      </c>
      <c r="Y45" s="630">
        <f t="shared" si="223"/>
        <v>-0.2913</v>
      </c>
      <c r="Z45" s="632">
        <f t="shared" si="243"/>
        <v>-0.55403204959864349</v>
      </c>
      <c r="AA45" s="629">
        <f t="shared" si="244"/>
        <v>0.79124029776631011</v>
      </c>
      <c r="AB45" s="629">
        <f t="shared" si="245"/>
        <v>-0.25881900859134599</v>
      </c>
      <c r="AC45" s="636">
        <f t="shared" si="391"/>
        <v>1</v>
      </c>
      <c r="AD45" s="637">
        <f t="shared" si="392"/>
        <v>-0.55403204959864349</v>
      </c>
      <c r="AE45" s="629">
        <f t="shared" si="393"/>
        <v>0.79124029776631011</v>
      </c>
      <c r="AF45" s="633">
        <f t="shared" si="394"/>
        <v>-0.25881900859134599</v>
      </c>
      <c r="AG45" s="602">
        <f t="shared" si="395"/>
        <v>71.886797559179328</v>
      </c>
      <c r="AH45" s="603">
        <f t="shared" si="396"/>
        <v>123.64407061367363</v>
      </c>
      <c r="AI45" s="585">
        <f t="shared" si="397"/>
        <v>-75.000002165731729</v>
      </c>
      <c r="AJ45" s="586">
        <f t="shared" si="398"/>
        <v>-145.00001804776443</v>
      </c>
      <c r="AK45" s="635">
        <f t="shared" si="399"/>
        <v>0.96241001379236313</v>
      </c>
      <c r="AL45" s="629">
        <f t="shared" si="400"/>
        <v>-8.2338849542462567E-2</v>
      </c>
      <c r="AM45" s="634">
        <f t="shared" si="401"/>
        <v>-0.25881900859134599</v>
      </c>
      <c r="AN45" s="581">
        <f t="shared" si="402"/>
        <v>-17.647580608201533</v>
      </c>
      <c r="AO45" s="582">
        <f t="shared" si="94"/>
        <v>15.75954280317066</v>
      </c>
      <c r="AP45" s="585">
        <f t="shared" si="403"/>
        <v>-4.8900242678425041</v>
      </c>
      <c r="AQ45" s="586">
        <f t="shared" si="246"/>
        <v>4.5100055115543247</v>
      </c>
      <c r="AS45" s="52">
        <f t="shared" si="406"/>
        <v>-229.93999380446689</v>
      </c>
      <c r="AT45" s="72">
        <f t="shared" si="247"/>
        <v>-0.12468502525370925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5.1020000000000003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-1.0284450266285239</v>
      </c>
      <c r="C46" s="708">
        <v>-0.74698151252488787</v>
      </c>
      <c r="D46" s="709">
        <v>-0.19380058450256288</v>
      </c>
      <c r="E46" s="710">
        <v>0.55403204959864338</v>
      </c>
      <c r="F46" s="708">
        <v>-0.79124029776631022</v>
      </c>
      <c r="G46" s="711">
        <v>0.25881900859134599</v>
      </c>
      <c r="H46" s="710">
        <v>0.314</v>
      </c>
      <c r="I46" s="708">
        <v>0.52</v>
      </c>
      <c r="J46" s="570">
        <v>5.1050000000000004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5.1050000000000004</v>
      </c>
      <c r="N46" s="632">
        <f t="shared" si="240"/>
        <v>-1.0284450266285239</v>
      </c>
      <c r="O46" s="629">
        <f t="shared" si="241"/>
        <v>-0.74698151252488787</v>
      </c>
      <c r="P46" s="633">
        <f t="shared" si="242"/>
        <v>-0.19380058450256288</v>
      </c>
      <c r="Q46" s="585">
        <f t="shared" si="113"/>
        <v>215.99170235927113</v>
      </c>
      <c r="R46" s="629">
        <f t="shared" si="385"/>
        <v>1.2710942344495606</v>
      </c>
      <c r="S46" s="634">
        <f t="shared" si="386"/>
        <v>-0.19380058450256288</v>
      </c>
      <c r="T46" s="635">
        <f t="shared" si="387"/>
        <v>-0.75002967742708282</v>
      </c>
      <c r="U46" s="629">
        <f t="shared" si="388"/>
        <v>1.0262241645125789</v>
      </c>
      <c r="V46" s="636">
        <f t="shared" si="389"/>
        <v>-0.19380058450256288</v>
      </c>
      <c r="W46" s="585">
        <f t="shared" si="224"/>
        <v>126.16170233472617</v>
      </c>
      <c r="X46" s="629">
        <f t="shared" si="390"/>
        <v>1.2710942344495606</v>
      </c>
      <c r="Y46" s="630">
        <f t="shared" si="223"/>
        <v>-0.19380058450256288</v>
      </c>
      <c r="Z46" s="632">
        <f t="shared" si="243"/>
        <v>-0.55403204959864338</v>
      </c>
      <c r="AA46" s="629">
        <f t="shared" si="244"/>
        <v>0.79124029776631022</v>
      </c>
      <c r="AB46" s="629">
        <f t="shared" si="245"/>
        <v>-0.25881900859134599</v>
      </c>
      <c r="AC46" s="636">
        <f t="shared" si="391"/>
        <v>1</v>
      </c>
      <c r="AD46" s="637">
        <f t="shared" si="392"/>
        <v>-0.55403204959864338</v>
      </c>
      <c r="AE46" s="629">
        <f t="shared" si="393"/>
        <v>0.79124029776631022</v>
      </c>
      <c r="AF46" s="633">
        <f t="shared" si="394"/>
        <v>-0.25881900859134599</v>
      </c>
      <c r="AG46" s="602">
        <f t="shared" si="395"/>
        <v>71.886797559179328</v>
      </c>
      <c r="AH46" s="603">
        <f t="shared" si="396"/>
        <v>123.64407061367361</v>
      </c>
      <c r="AI46" s="585">
        <f t="shared" si="397"/>
        <v>-75.000002165731729</v>
      </c>
      <c r="AJ46" s="586">
        <f t="shared" si="398"/>
        <v>-145.00001804776443</v>
      </c>
      <c r="AK46" s="635">
        <f t="shared" si="399"/>
        <v>0.96578114685092276</v>
      </c>
      <c r="AL46" s="629">
        <f t="shared" si="400"/>
        <v>-1.6718169131489491E-2</v>
      </c>
      <c r="AM46" s="634">
        <f t="shared" si="401"/>
        <v>-0.25881900859134599</v>
      </c>
      <c r="AN46" s="581">
        <f t="shared" si="402"/>
        <v>-3.6958322543271107</v>
      </c>
      <c r="AO46" s="582">
        <f t="shared" si="94"/>
        <v>15.031994912752914</v>
      </c>
      <c r="AP46" s="585">
        <f t="shared" si="403"/>
        <v>-0.99172040703557929</v>
      </c>
      <c r="AQ46" s="586">
        <f t="shared" si="246"/>
        <v>1.7929295893586459</v>
      </c>
      <c r="AS46" s="52">
        <f t="shared" si="406"/>
        <v>-233.83829766527384</v>
      </c>
      <c r="AT46" s="72">
        <f t="shared" si="247"/>
        <v>-2.447845429737841E-2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5.1050000000000004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-1.6699285944201341</v>
      </c>
      <c r="C47" s="708">
        <v>-1.1705165804883948</v>
      </c>
      <c r="D47" s="709">
        <v>-9.2700279584043282E-2</v>
      </c>
      <c r="E47" s="710">
        <v>0.55403204959864349</v>
      </c>
      <c r="F47" s="708">
        <v>-0.79124029776631022</v>
      </c>
      <c r="G47" s="711">
        <v>0.25881900859134599</v>
      </c>
      <c r="H47" s="710">
        <v>0.314</v>
      </c>
      <c r="I47" s="708">
        <v>0.52</v>
      </c>
      <c r="J47" s="570">
        <v>5.1079999999999997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5.1079999999999997</v>
      </c>
      <c r="N47" s="632">
        <f t="shared" si="240"/>
        <v>-1.6699285944201341</v>
      </c>
      <c r="O47" s="629">
        <f t="shared" si="241"/>
        <v>-1.1705165804883948</v>
      </c>
      <c r="P47" s="633">
        <f t="shared" si="242"/>
        <v>-9.2700279584043282E-2</v>
      </c>
      <c r="Q47" s="585">
        <f t="shared" si="113"/>
        <v>215.02807767239278</v>
      </c>
      <c r="R47" s="629">
        <f t="shared" si="385"/>
        <v>2.0393063957287656</v>
      </c>
      <c r="S47" s="634">
        <f t="shared" si="386"/>
        <v>-9.2700279584043282E-2</v>
      </c>
      <c r="T47" s="635">
        <f t="shared" si="387"/>
        <v>-1.1754661981019761</v>
      </c>
      <c r="U47" s="629">
        <f t="shared" si="388"/>
        <v>1.6664482568564603</v>
      </c>
      <c r="V47" s="636">
        <f t="shared" si="389"/>
        <v>-9.2700279584043282E-2</v>
      </c>
      <c r="W47" s="585">
        <f t="shared" si="224"/>
        <v>125.19807764784782</v>
      </c>
      <c r="X47" s="629">
        <f t="shared" si="390"/>
        <v>2.0393063957287656</v>
      </c>
      <c r="Y47" s="630">
        <f t="shared" si="223"/>
        <v>-9.2700279584043282E-2</v>
      </c>
      <c r="Z47" s="632">
        <f t="shared" si="243"/>
        <v>-0.55403204959864349</v>
      </c>
      <c r="AA47" s="629">
        <f t="shared" si="244"/>
        <v>0.79124029776631022</v>
      </c>
      <c r="AB47" s="629">
        <f t="shared" si="245"/>
        <v>-0.25881900859134599</v>
      </c>
      <c r="AC47" s="636">
        <f t="shared" si="391"/>
        <v>1</v>
      </c>
      <c r="AD47" s="637">
        <f t="shared" si="392"/>
        <v>-0.55403204959864349</v>
      </c>
      <c r="AE47" s="629">
        <f t="shared" si="393"/>
        <v>0.79124029776631022</v>
      </c>
      <c r="AF47" s="633">
        <f t="shared" si="394"/>
        <v>-0.25881900859134599</v>
      </c>
      <c r="AG47" s="602">
        <f t="shared" si="395"/>
        <v>71.886797559179328</v>
      </c>
      <c r="AH47" s="603">
        <f t="shared" si="396"/>
        <v>123.64407061367363</v>
      </c>
      <c r="AI47" s="585">
        <f t="shared" si="397"/>
        <v>-75.000002165731729</v>
      </c>
      <c r="AJ47" s="586">
        <f t="shared" si="398"/>
        <v>-145.00001804776443</v>
      </c>
      <c r="AK47" s="635">
        <f t="shared" si="399"/>
        <v>0.9659257199410245</v>
      </c>
      <c r="AL47" s="629">
        <f t="shared" si="400"/>
        <v>-4.7365410028343824E-4</v>
      </c>
      <c r="AM47" s="634">
        <f t="shared" si="401"/>
        <v>-0.25881900859134599</v>
      </c>
      <c r="AN47" s="581">
        <f t="shared" si="402"/>
        <v>-0.10485454969686429</v>
      </c>
      <c r="AO47" s="582">
        <f t="shared" si="94"/>
        <v>15.000023542662383</v>
      </c>
      <c r="AP47" s="585">
        <f t="shared" si="403"/>
        <v>-2.809572015720983E-2</v>
      </c>
      <c r="AQ47" s="586">
        <f t="shared" si="246"/>
        <v>1.1177513216401935</v>
      </c>
      <c r="AS47" s="52">
        <f t="shared" si="406"/>
        <v>-234.80192235215219</v>
      </c>
      <c r="AT47" s="72">
        <f t="shared" si="247"/>
        <v>7.7291034431473365E-2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5.1079999999999997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-2.3143918619530486</v>
      </c>
      <c r="C48" s="708">
        <v>-1.6001705391391043</v>
      </c>
      <c r="D48" s="709">
        <v>-0.12280037036591702</v>
      </c>
      <c r="E48" s="710">
        <v>0.46814539531669236</v>
      </c>
      <c r="F48" s="708">
        <v>-0.84399812352997095</v>
      </c>
      <c r="G48" s="711">
        <v>0.26173852662851488</v>
      </c>
      <c r="H48" s="710">
        <v>0.314</v>
      </c>
      <c r="I48" s="708">
        <v>0.52</v>
      </c>
      <c r="J48" s="570">
        <v>5.1109999999999998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5.1109999999999998</v>
      </c>
      <c r="N48" s="632">
        <f t="shared" si="240"/>
        <v>-2.3143918619530486</v>
      </c>
      <c r="O48" s="629">
        <f t="shared" si="241"/>
        <v>-1.6001705391391043</v>
      </c>
      <c r="P48" s="633">
        <f t="shared" si="242"/>
        <v>-0.12280037036591702</v>
      </c>
      <c r="Q48" s="585">
        <f t="shared" si="113"/>
        <v>214.65998200132549</v>
      </c>
      <c r="R48" s="629">
        <f t="shared" si="79"/>
        <v>2.8137084861447943</v>
      </c>
      <c r="S48" s="634">
        <f t="shared" si="80"/>
        <v>-0.12280037036591702</v>
      </c>
      <c r="T48" s="635">
        <f t="shared" si="81"/>
        <v>-1.6070304234633039</v>
      </c>
      <c r="U48" s="629">
        <f t="shared" si="82"/>
        <v>2.309633880740968</v>
      </c>
      <c r="V48" s="636">
        <f t="shared" si="114"/>
        <v>-0.12280037036591702</v>
      </c>
      <c r="W48" s="585">
        <f t="shared" si="224"/>
        <v>124.82998197678053</v>
      </c>
      <c r="X48" s="629">
        <f t="shared" si="83"/>
        <v>2.8137084861447943</v>
      </c>
      <c r="Y48" s="630">
        <f t="shared" si="223"/>
        <v>-0.12280037036591702</v>
      </c>
      <c r="Z48" s="632">
        <f t="shared" si="243"/>
        <v>-0.46814539531669236</v>
      </c>
      <c r="AA48" s="629">
        <f t="shared" si="244"/>
        <v>0.84399812352997095</v>
      </c>
      <c r="AB48" s="629">
        <f t="shared" si="245"/>
        <v>-0.26173852662851488</v>
      </c>
      <c r="AC48" s="636">
        <f t="shared" si="84"/>
        <v>1</v>
      </c>
      <c r="AD48" s="637">
        <f t="shared" si="115"/>
        <v>-0.46814539531669236</v>
      </c>
      <c r="AE48" s="629">
        <f t="shared" si="85"/>
        <v>0.84399812352997095</v>
      </c>
      <c r="AF48" s="633">
        <f t="shared" si="86"/>
        <v>-0.26173852662851488</v>
      </c>
      <c r="AG48" s="602">
        <f t="shared" si="87"/>
        <v>72.770425811108268</v>
      </c>
      <c r="AH48" s="603">
        <f t="shared" si="88"/>
        <v>117.91397732852266</v>
      </c>
      <c r="AI48" s="585">
        <f t="shared" si="89"/>
        <v>-74.826754798084281</v>
      </c>
      <c r="AJ48" s="586">
        <f t="shared" si="90"/>
        <v>-150.9839251287919</v>
      </c>
      <c r="AK48" s="635">
        <f t="shared" si="211"/>
        <v>0.96046014415785497</v>
      </c>
      <c r="AL48" s="629">
        <f t="shared" si="91"/>
        <v>-9.4917096260929867E-2</v>
      </c>
      <c r="AM48" s="634">
        <f t="shared" si="92"/>
        <v>-0.26173852662851488</v>
      </c>
      <c r="AN48" s="581">
        <f t="shared" si="93"/>
        <v>-19.932715953073004</v>
      </c>
      <c r="AO48" s="582">
        <f t="shared" si="94"/>
        <v>16.165779617275362</v>
      </c>
      <c r="AP48" s="585">
        <f t="shared" si="95"/>
        <v>-5.6439071301174062</v>
      </c>
      <c r="AQ48" s="586">
        <f t="shared" si="246"/>
        <v>0.81016733019679943</v>
      </c>
      <c r="AS48" s="52">
        <f t="shared" si="406"/>
        <v>-235.17001802321948</v>
      </c>
      <c r="AT48" s="72">
        <f t="shared" si="247"/>
        <v>4.7446565643396346E-2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5.1109999999999998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-2.889039107688915</v>
      </c>
      <c r="C49" s="708">
        <v>-1.9552899252535068</v>
      </c>
      <c r="D49" s="709">
        <v>-0.50400152006858456</v>
      </c>
      <c r="E49" s="710">
        <v>0.30591739009737429</v>
      </c>
      <c r="F49" s="708">
        <v>-0.90940732090542764</v>
      </c>
      <c r="G49" s="711">
        <v>0.28176741316132253</v>
      </c>
      <c r="H49" s="710">
        <v>0.314</v>
      </c>
      <c r="I49" s="708">
        <v>0.52</v>
      </c>
      <c r="J49" s="570">
        <v>5.1139999999999999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5.1139999999999999</v>
      </c>
      <c r="N49" s="632">
        <f t="shared" si="240"/>
        <v>-2.889039107688915</v>
      </c>
      <c r="O49" s="629">
        <f t="shared" si="241"/>
        <v>-1.9552899252535068</v>
      </c>
      <c r="P49" s="633">
        <f t="shared" si="242"/>
        <v>-0.50400152006858456</v>
      </c>
      <c r="Q49" s="585">
        <f t="shared" si="113"/>
        <v>214.08998208362328</v>
      </c>
      <c r="R49" s="629">
        <f t="shared" si="79"/>
        <v>3.4885105213477323</v>
      </c>
      <c r="S49" s="634">
        <f t="shared" si="80"/>
        <v>-0.50400152006858456</v>
      </c>
      <c r="T49" s="635">
        <f t="shared" si="81"/>
        <v>-1.9638532563956088</v>
      </c>
      <c r="U49" s="629">
        <f t="shared" si="82"/>
        <v>2.8832249383109514</v>
      </c>
      <c r="V49" s="636">
        <f t="shared" si="114"/>
        <v>-0.50400152006858456</v>
      </c>
      <c r="W49" s="585">
        <f t="shared" si="224"/>
        <v>124.25998205907833</v>
      </c>
      <c r="X49" s="629">
        <f t="shared" si="83"/>
        <v>3.4885105213477323</v>
      </c>
      <c r="Y49" s="630">
        <f t="shared" si="223"/>
        <v>-0.50400152006858456</v>
      </c>
      <c r="Z49" s="632">
        <f t="shared" si="243"/>
        <v>-0.30591739009737429</v>
      </c>
      <c r="AA49" s="629">
        <f t="shared" si="244"/>
        <v>0.90940732090542764</v>
      </c>
      <c r="AB49" s="629">
        <f t="shared" si="245"/>
        <v>-0.28176741316132253</v>
      </c>
      <c r="AC49" s="636">
        <f t="shared" si="84"/>
        <v>1</v>
      </c>
      <c r="AD49" s="637">
        <f t="shared" si="115"/>
        <v>-0.30591739009737429</v>
      </c>
      <c r="AE49" s="629">
        <f t="shared" si="85"/>
        <v>0.90940732090542764</v>
      </c>
      <c r="AF49" s="633">
        <f t="shared" si="86"/>
        <v>-0.28176741316132253</v>
      </c>
      <c r="AG49" s="602">
        <f t="shared" si="87"/>
        <v>72.785120411961586</v>
      </c>
      <c r="AH49" s="603">
        <f t="shared" si="88"/>
        <v>107.81336479852052</v>
      </c>
      <c r="AI49" s="585">
        <f t="shared" si="89"/>
        <v>-73.634282192594739</v>
      </c>
      <c r="AJ49" s="586">
        <f t="shared" si="90"/>
        <v>-161.40746993594601</v>
      </c>
      <c r="AK49" s="635">
        <f t="shared" si="211"/>
        <v>0.92459818767739166</v>
      </c>
      <c r="AL49" s="629">
        <f t="shared" si="91"/>
        <v>-0.25636949160159278</v>
      </c>
      <c r="AM49" s="634">
        <f t="shared" si="92"/>
        <v>-0.28176741316132253</v>
      </c>
      <c r="AN49" s="581">
        <f t="shared" si="93"/>
        <v>-42.297872198523073</v>
      </c>
      <c r="AO49" s="582">
        <f t="shared" si="94"/>
        <v>22.392157080965816</v>
      </c>
      <c r="AP49" s="585">
        <f t="shared" si="95"/>
        <v>-15.497452019569305</v>
      </c>
      <c r="AQ49" s="586">
        <f t="shared" si="246"/>
        <v>0.65346736666433713</v>
      </c>
      <c r="AS49" s="52">
        <f t="shared" si="406"/>
        <v>-235.74001794092169</v>
      </c>
      <c r="AT49" s="72">
        <f t="shared" si="247"/>
        <v>-0.33335875078308908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5.1139999999999999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-3.2544648715082052</v>
      </c>
      <c r="C50" s="708">
        <v>-2.1671757239216842</v>
      </c>
      <c r="D50" s="709">
        <v>-1.1543034813792998</v>
      </c>
      <c r="E50" s="710">
        <v>0.13635114955041308</v>
      </c>
      <c r="F50" s="708">
        <v>-0.96513641656510518</v>
      </c>
      <c r="G50" s="711">
        <v>0.22342797818569754</v>
      </c>
      <c r="H50" s="710">
        <v>0.314</v>
      </c>
      <c r="I50" s="708">
        <v>0.52</v>
      </c>
      <c r="J50" s="570">
        <v>5.117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5.117</v>
      </c>
      <c r="N50" s="632">
        <f t="shared" si="240"/>
        <v>-3.2544648715082052</v>
      </c>
      <c r="O50" s="629">
        <f t="shared" si="241"/>
        <v>-2.1671757239216842</v>
      </c>
      <c r="P50" s="633">
        <f t="shared" si="242"/>
        <v>-1.1543034813792998</v>
      </c>
      <c r="Q50" s="585">
        <f t="shared" si="113"/>
        <v>213.6599821457076</v>
      </c>
      <c r="R50" s="629">
        <f t="shared" si="79"/>
        <v>3.9100117925955664</v>
      </c>
      <c r="S50" s="634">
        <f t="shared" si="80"/>
        <v>-1.1543034813792998</v>
      </c>
      <c r="T50" s="635">
        <f t="shared" si="81"/>
        <v>-2.1768223607225794</v>
      </c>
      <c r="U50" s="629">
        <f t="shared" si="82"/>
        <v>3.2480204168223099</v>
      </c>
      <c r="V50" s="636">
        <f t="shared" si="114"/>
        <v>-1.1543034813792998</v>
      </c>
      <c r="W50" s="585">
        <f t="shared" si="224"/>
        <v>123.82998212116264</v>
      </c>
      <c r="X50" s="629">
        <f t="shared" si="83"/>
        <v>3.9100117925955664</v>
      </c>
      <c r="Y50" s="630">
        <f t="shared" si="223"/>
        <v>-1.1543034813792998</v>
      </c>
      <c r="Z50" s="632">
        <f t="shared" si="243"/>
        <v>-0.13635114955041308</v>
      </c>
      <c r="AA50" s="629">
        <f t="shared" si="244"/>
        <v>0.96513641656510518</v>
      </c>
      <c r="AB50" s="629">
        <f t="shared" si="245"/>
        <v>-0.22342797818569754</v>
      </c>
      <c r="AC50" s="636">
        <f t="shared" si="84"/>
        <v>1</v>
      </c>
      <c r="AD50" s="637">
        <f t="shared" si="115"/>
        <v>-0.13635114955041308</v>
      </c>
      <c r="AE50" s="629">
        <f t="shared" si="85"/>
        <v>0.96513641656510518</v>
      </c>
      <c r="AF50" s="633">
        <f t="shared" si="86"/>
        <v>-0.22342797818569754</v>
      </c>
      <c r="AG50" s="602">
        <f t="shared" si="87"/>
        <v>76.965698714862569</v>
      </c>
      <c r="AH50" s="603">
        <f t="shared" si="88"/>
        <v>97.836757575949889</v>
      </c>
      <c r="AI50" s="585">
        <f t="shared" si="89"/>
        <v>-77.089545167561965</v>
      </c>
      <c r="AJ50" s="586">
        <f t="shared" si="90"/>
        <v>-171.95866692295346</v>
      </c>
      <c r="AK50" s="635">
        <f t="shared" si="211"/>
        <v>0.87889746820371573</v>
      </c>
      <c r="AL50" s="629">
        <f t="shared" si="91"/>
        <v>-0.42144890431575432</v>
      </c>
      <c r="AM50" s="634">
        <f t="shared" si="92"/>
        <v>-0.22342797818569754</v>
      </c>
      <c r="AN50" s="581">
        <f t="shared" si="93"/>
        <v>-62.070036252996736</v>
      </c>
      <c r="AO50" s="582">
        <f t="shared" si="94"/>
        <v>28.490349652929737</v>
      </c>
      <c r="AP50" s="585">
        <f t="shared" si="95"/>
        <v>-25.618649068661064</v>
      </c>
      <c r="AQ50" s="586">
        <f t="shared" si="246"/>
        <v>0.58302840673007261</v>
      </c>
      <c r="AS50" s="52">
        <f t="shared" si="406"/>
        <v>-236.17001787883737</v>
      </c>
      <c r="AT50" s="72">
        <f t="shared" si="247"/>
        <v>-0.98336210102580734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5.117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-3.4038608347851755</v>
      </c>
      <c r="C51" s="708">
        <v>-2.2504026536526323</v>
      </c>
      <c r="D51" s="709">
        <v>-1.8676056326985884</v>
      </c>
      <c r="E51" s="710">
        <v>6.2270698272644594E-2</v>
      </c>
      <c r="F51" s="708">
        <v>-0.99134460452044537</v>
      </c>
      <c r="G51" s="711">
        <v>0.11557783189192948</v>
      </c>
      <c r="H51" s="710">
        <v>0.26600000000000001</v>
      </c>
      <c r="I51" s="708">
        <v>0.52</v>
      </c>
      <c r="J51" s="570">
        <v>5.12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5.12</v>
      </c>
      <c r="N51" s="632">
        <f t="shared" si="240"/>
        <v>-3.4038608347851755</v>
      </c>
      <c r="O51" s="629">
        <f t="shared" si="241"/>
        <v>-2.2504026536526323</v>
      </c>
      <c r="P51" s="633">
        <f t="shared" si="242"/>
        <v>-1.8676056326985884</v>
      </c>
      <c r="Q51" s="585">
        <f t="shared" si="113"/>
        <v>213.46998217314021</v>
      </c>
      <c r="R51" s="629">
        <f t="shared" si="79"/>
        <v>4.0805123068251179</v>
      </c>
      <c r="S51" s="634">
        <f t="shared" si="80"/>
        <v>-1.8676056326985884</v>
      </c>
      <c r="T51" s="635">
        <f t="shared" si="81"/>
        <v>-2.2604921901439634</v>
      </c>
      <c r="U51" s="629">
        <f t="shared" si="82"/>
        <v>3.3971687836269471</v>
      </c>
      <c r="V51" s="636">
        <f t="shared" si="114"/>
        <v>-1.8676056326985884</v>
      </c>
      <c r="W51" s="585">
        <f t="shared" si="224"/>
        <v>123.63998214859525</v>
      </c>
      <c r="X51" s="629">
        <f t="shared" si="83"/>
        <v>4.0805123068251179</v>
      </c>
      <c r="Y51" s="630">
        <f t="shared" si="223"/>
        <v>-1.8676056326985884</v>
      </c>
      <c r="Z51" s="632">
        <f t="shared" si="243"/>
        <v>-6.2270698272644594E-2</v>
      </c>
      <c r="AA51" s="629">
        <f t="shared" si="244"/>
        <v>0.99134460452044537</v>
      </c>
      <c r="AB51" s="629">
        <f t="shared" si="245"/>
        <v>-0.11557783189192948</v>
      </c>
      <c r="AC51" s="636">
        <f t="shared" si="84"/>
        <v>1</v>
      </c>
      <c r="AD51" s="637">
        <f t="shared" si="115"/>
        <v>-6.2270698272644594E-2</v>
      </c>
      <c r="AE51" s="629">
        <f t="shared" si="85"/>
        <v>0.99134460452044537</v>
      </c>
      <c r="AF51" s="633">
        <f t="shared" si="86"/>
        <v>-0.11557783189192948</v>
      </c>
      <c r="AG51" s="602">
        <f t="shared" si="87"/>
        <v>83.350081772209052</v>
      </c>
      <c r="AH51" s="603">
        <f t="shared" si="88"/>
        <v>93.570158036219851</v>
      </c>
      <c r="AI51" s="585">
        <f t="shared" si="89"/>
        <v>-83.363045380588545</v>
      </c>
      <c r="AJ51" s="586">
        <f t="shared" si="90"/>
        <v>-176.4057233271414</v>
      </c>
      <c r="AK51" s="635">
        <f t="shared" si="211"/>
        <v>0.8612970513192304</v>
      </c>
      <c r="AL51" s="629">
        <f t="shared" si="91"/>
        <v>-0.49478192586629521</v>
      </c>
      <c r="AM51" s="634">
        <f t="shared" si="92"/>
        <v>-0.11557783189192948</v>
      </c>
      <c r="AN51" s="581">
        <f t="shared" si="93"/>
        <v>-76.851842812995486</v>
      </c>
      <c r="AO51" s="582">
        <f t="shared" si="94"/>
        <v>30.53747085233281</v>
      </c>
      <c r="AP51" s="585">
        <f t="shared" si="95"/>
        <v>-29.875705500281629</v>
      </c>
      <c r="AQ51" s="586">
        <f t="shared" si="246"/>
        <v>0.55866867006831977</v>
      </c>
      <c r="AS51" s="52">
        <f t="shared" si="406"/>
        <v>-236.36001785140473</v>
      </c>
      <c r="AT51" s="72">
        <f t="shared" si="247"/>
        <v>-1.6965323079197019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-3.1047144522926771</v>
      </c>
      <c r="C52" s="708">
        <v>-1.0690379634128528</v>
      </c>
      <c r="D52" s="709">
        <v>-0.3141010263478955</v>
      </c>
      <c r="E52" s="710">
        <v>7.3715069090491997E-2</v>
      </c>
      <c r="F52" s="708">
        <v>-0.93116049728232342</v>
      </c>
      <c r="G52" s="711">
        <v>0.35708012670816663</v>
      </c>
      <c r="H52" s="710">
        <v>0.26600000000000001</v>
      </c>
      <c r="I52" s="708">
        <v>0.52</v>
      </c>
      <c r="J52" s="570">
        <v>5.2130000000000001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5.2130000000000001</v>
      </c>
      <c r="N52" s="632">
        <f t="shared" si="240"/>
        <v>-3.1047144522926771</v>
      </c>
      <c r="O52" s="629">
        <f t="shared" si="241"/>
        <v>-1.0690379634128528</v>
      </c>
      <c r="P52" s="633">
        <f t="shared" si="242"/>
        <v>-0.3141010263478955</v>
      </c>
      <c r="Q52" s="585">
        <f t="shared" si="113"/>
        <v>198.99998426234941</v>
      </c>
      <c r="R52" s="629">
        <f t="shared" si="79"/>
        <v>3.2836099033674691</v>
      </c>
      <c r="S52" s="634">
        <f t="shared" si="80"/>
        <v>-0.3141010263478955</v>
      </c>
      <c r="T52" s="635">
        <f t="shared" si="81"/>
        <v>-1.0782451161835425</v>
      </c>
      <c r="U52" s="629">
        <f t="shared" si="82"/>
        <v>3.1015288918401613</v>
      </c>
      <c r="V52" s="636">
        <f t="shared" si="114"/>
        <v>-0.3141010263478955</v>
      </c>
      <c r="W52" s="585">
        <f t="shared" si="224"/>
        <v>109.16998423780446</v>
      </c>
      <c r="X52" s="629">
        <f t="shared" si="83"/>
        <v>3.2836099033674691</v>
      </c>
      <c r="Y52" s="630">
        <f t="shared" si="223"/>
        <v>-0.3141010263478955</v>
      </c>
      <c r="Z52" s="632">
        <f t="shared" si="243"/>
        <v>-7.3715069090491997E-2</v>
      </c>
      <c r="AA52" s="629">
        <f t="shared" si="244"/>
        <v>0.93116049728232342</v>
      </c>
      <c r="AB52" s="629">
        <f t="shared" si="245"/>
        <v>-0.35708012670816663</v>
      </c>
      <c r="AC52" s="636">
        <f t="shared" si="84"/>
        <v>1</v>
      </c>
      <c r="AD52" s="637">
        <f t="shared" si="115"/>
        <v>-7.3715069090491997E-2</v>
      </c>
      <c r="AE52" s="629">
        <f t="shared" si="85"/>
        <v>0.93116049728232342</v>
      </c>
      <c r="AF52" s="633">
        <f t="shared" si="86"/>
        <v>-0.35708012670816663</v>
      </c>
      <c r="AG52" s="602">
        <f t="shared" si="87"/>
        <v>69.019249961109935</v>
      </c>
      <c r="AH52" s="603">
        <f t="shared" si="88"/>
        <v>94.227396806345396</v>
      </c>
      <c r="AI52" s="585">
        <f t="shared" si="89"/>
        <v>-69.079015486158553</v>
      </c>
      <c r="AJ52" s="586">
        <f t="shared" si="90"/>
        <v>-175.47363500874604</v>
      </c>
      <c r="AK52" s="635">
        <f t="shared" si="211"/>
        <v>0.90442889016876415</v>
      </c>
      <c r="AL52" s="629">
        <f t="shared" si="91"/>
        <v>-0.23345698905403833</v>
      </c>
      <c r="AM52" s="634">
        <f t="shared" si="92"/>
        <v>-0.35708012670816663</v>
      </c>
      <c r="AN52" s="581">
        <f t="shared" si="93"/>
        <v>-33.176434589053713</v>
      </c>
      <c r="AO52" s="582">
        <f t="shared" si="94"/>
        <v>25.253526322414029</v>
      </c>
      <c r="AP52" s="585">
        <f t="shared" si="95"/>
        <v>-14.473619271095465</v>
      </c>
      <c r="AQ52" s="586">
        <f t="shared" si="246"/>
        <v>0.69424052516552204</v>
      </c>
      <c r="AS52" s="52">
        <f t="shared" si="406"/>
        <v>-250.83001576219556</v>
      </c>
      <c r="AT52" s="72">
        <f t="shared" si="247"/>
        <v>-0.13297909190873763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5.2130000000000001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4.1130000000000004</v>
      </c>
      <c r="II52" s="734" cm="1">
        <f t="array" ref="II52">IFERROR(ROUND(VALUE(IF($IH52&lt;1,$IH52+LARGE((IF($M$9:$M$150="",0,$M$9:$M$150)-MOD(IF($M$9:$M$150="",0,$M$9:$M$150),1)),1),$IH52)),4),"")</f>
        <v>4.1130000000000004</v>
      </c>
      <c r="IJ52" s="533">
        <f t="shared" si="112"/>
        <v>1613</v>
      </c>
      <c r="IK52" s="533">
        <f t="shared" si="382"/>
        <v>1313</v>
      </c>
      <c r="IL52" s="727">
        <f t="shared" si="225"/>
        <v>70.279989852824926</v>
      </c>
      <c r="IM52" s="759">
        <v>2.58059208373537E-2</v>
      </c>
      <c r="IN52" s="5">
        <f t="shared" si="226"/>
        <v>0.14000000000000001</v>
      </c>
      <c r="IO52" s="771">
        <v>70</v>
      </c>
      <c r="IP52" s="9">
        <f t="shared" si="227"/>
        <v>-3.2836099033674682</v>
      </c>
      <c r="IQ52" s="5">
        <f t="shared" si="228"/>
        <v>-0.3403010263478955</v>
      </c>
      <c r="IR52" s="5">
        <f t="shared" si="383"/>
        <v>0.314</v>
      </c>
      <c r="IS52" s="5">
        <f t="shared" si="229"/>
        <v>0.29445178239130587</v>
      </c>
      <c r="IT52" s="727">
        <f t="shared" si="230"/>
        <v>35.178395409526082</v>
      </c>
      <c r="IU52" s="9">
        <f t="shared" si="231"/>
        <v>-3.2836099033674691</v>
      </c>
      <c r="IV52" s="5">
        <f t="shared" si="232"/>
        <v>-0.3141010263478955</v>
      </c>
      <c r="IW52" s="5">
        <f t="shared" si="384"/>
        <v>0.26600000000000001</v>
      </c>
      <c r="IX52" s="5">
        <f t="shared" si="233"/>
        <v>0.24057808478489132</v>
      </c>
      <c r="IY52" s="762">
        <f t="shared" si="234"/>
        <v>33.176434589053713</v>
      </c>
    </row>
    <row r="53" spans="1:259" ht="15" customHeight="1" x14ac:dyDescent="0.25">
      <c r="A53" s="79"/>
      <c r="B53" s="707">
        <v>-3.574883779775071</v>
      </c>
      <c r="C53" s="708">
        <v>-1.3011501645902905</v>
      </c>
      <c r="D53" s="709">
        <v>-0.88790275753711734</v>
      </c>
      <c r="E53" s="710">
        <v>-0.10400068132040249</v>
      </c>
      <c r="F53" s="708">
        <v>-0.94629167052310093</v>
      </c>
      <c r="G53" s="711">
        <v>0.30613058093482137</v>
      </c>
      <c r="H53" s="710">
        <v>0.26600000000000001</v>
      </c>
      <c r="I53" s="708">
        <v>0.52</v>
      </c>
      <c r="J53" s="570">
        <v>5.2160000000000002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5.2160000000000002</v>
      </c>
      <c r="N53" s="632">
        <f t="shared" si="240"/>
        <v>-3.574883779775071</v>
      </c>
      <c r="O53" s="629">
        <f t="shared" si="241"/>
        <v>-1.3011501645902905</v>
      </c>
      <c r="P53" s="633">
        <f t="shared" si="242"/>
        <v>-0.88790275753711734</v>
      </c>
      <c r="Q53" s="585">
        <f t="shared" si="113"/>
        <v>199.9999841179673</v>
      </c>
      <c r="R53" s="629">
        <f t="shared" ref="R53:R58" si="410">IF(M53="","",SQRT(N53^2+O53^2))</f>
        <v>3.8043114738034056</v>
      </c>
      <c r="S53" s="634">
        <f t="shared" ref="S53:S58" si="411">IF(M53="","",P53)</f>
        <v>-0.88790275753711734</v>
      </c>
      <c r="T53" s="635">
        <f t="shared" ref="T53:T58" si="412">IF(M53="","",X53*COS(RADIANS(W53)))</f>
        <v>-1.3117513138975614</v>
      </c>
      <c r="U53" s="629">
        <f t="shared" ref="U53:U58" si="413">IF(M53="","",X53*SIN(RADIANS(W53)))</f>
        <v>3.5710074601154589</v>
      </c>
      <c r="V53" s="636">
        <f t="shared" ref="V53:V58" si="414">IF(M53="","",Y53)</f>
        <v>-0.88790275753711734</v>
      </c>
      <c r="W53" s="585">
        <f t="shared" si="224"/>
        <v>110.16998409342234</v>
      </c>
      <c r="X53" s="629">
        <f t="shared" ref="X53:X58" si="415">IF(M53="","",R53)</f>
        <v>3.8043114738034056</v>
      </c>
      <c r="Y53" s="630">
        <f t="shared" si="223"/>
        <v>-0.88790275753711734</v>
      </c>
      <c r="Z53" s="632">
        <f t="shared" si="243"/>
        <v>0.10400068132040249</v>
      </c>
      <c r="AA53" s="629">
        <f t="shared" si="244"/>
        <v>0.94629167052310093</v>
      </c>
      <c r="AB53" s="629">
        <f t="shared" si="245"/>
        <v>-0.30613058093482137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0.10400068132040249</v>
      </c>
      <c r="AE53" s="629">
        <f t="shared" ref="AE53:AE58" si="418">IF(M53="","",AA53*(1/SQRT(Z53^2+AA53^2+AB53^2)))</f>
        <v>0.94629167052310093</v>
      </c>
      <c r="AF53" s="633">
        <f t="shared" ref="AF53:AF58" si="419">IF(M53="","",AB53*(1/SQRT(Z53^2+AA53^2+AB53^2)))</f>
        <v>-0.30613058093482137</v>
      </c>
      <c r="AG53" s="602">
        <f t="shared" ref="AG53:AG58" si="420">IF(M53="","",DEGREES(ATAN2(-AF53,AE53)))</f>
        <v>72.073319327266731</v>
      </c>
      <c r="AH53" s="603">
        <f t="shared" ref="AH53:AH58" si="421">IF(M53="","",DEGREES(ACOS(AD53)))</f>
        <v>84.030405400160944</v>
      </c>
      <c r="AI53" s="585">
        <f t="shared" ref="AI53:AI58" si="422">IF(M53="","",DEGREES(-ACOS(-AF53)))</f>
        <v>-72.173804707935588</v>
      </c>
      <c r="AJ53" s="586">
        <f t="shared" ref="AJ53:AJ58" si="423">IF(M53="","",DEGREES(ATAN2(-AE53,AD53)))</f>
        <v>173.72816961135464</v>
      </c>
      <c r="AK53" s="635">
        <f t="shared" ref="AK53:AK58" si="424">IF(M53="","",(COS(RADIANS((90-$Q$8)-W53))*AD53)+(-SIN(RADIANS((90-$Q$8)-W53))*AE53))</f>
        <v>0.85365308877428914</v>
      </c>
      <c r="AL53" s="629">
        <f t="shared" ref="AL53:AL58" si="425">IF(M53="","",(SIN(RADIANS((90-$Q$8)-W53))*AD53)+(COS(RADIANS((90-$Q$8)-W53))*AE53))</f>
        <v>-0.42137924894639112</v>
      </c>
      <c r="AM53" s="634">
        <f t="shared" ref="AM53:AM58" si="426">IF(M53="","",AF53)</f>
        <v>-0.30613058093482137</v>
      </c>
      <c r="AN53" s="581">
        <f t="shared" ref="AN53:AN58" si="427">IF(M53="","",DEGREES(ATAN2(-AM53,AL53)))</f>
        <v>-54.001723319631367</v>
      </c>
      <c r="AO53" s="582">
        <f t="shared" si="94"/>
        <v>31.388749125324015</v>
      </c>
      <c r="AP53" s="585">
        <f t="shared" ref="AP53:AP58" si="428">IF(M53="","",DEGREES(ATAN2(AK53,AL53)))</f>
        <v>-26.271814506612646</v>
      </c>
      <c r="AQ53" s="586">
        <f t="shared" si="246"/>
        <v>0.59922630638610386</v>
      </c>
      <c r="AS53" s="52">
        <f t="shared" si="406"/>
        <v>-249.83001590657767</v>
      </c>
      <c r="AT53" s="72">
        <f t="shared" si="247"/>
        <v>-0.70747526744213851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5.2160000000000002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4.1159999999999997</v>
      </c>
      <c r="II53" s="734" cm="1">
        <f t="array" ref="II53">IFERROR(ROUND(VALUE(IF($IH53&lt;1,$IH53+LARGE((IF($M$9:$M$150="",0,$M$9:$M$150)-MOD(IF($M$9:$M$150="",0,$M$9:$M$150),1)),1),$IH53)),4),"")</f>
        <v>4.1159999999999997</v>
      </c>
      <c r="IJ53" s="533">
        <f t="shared" si="112"/>
        <v>1613</v>
      </c>
      <c r="IK53" s="533">
        <f t="shared" si="382"/>
        <v>1313</v>
      </c>
      <c r="IL53" s="727">
        <f t="shared" si="225"/>
        <v>68.769990070841899</v>
      </c>
      <c r="IM53" s="759">
        <v>2.4215281183878602E-2</v>
      </c>
      <c r="IN53" s="5">
        <f t="shared" si="226"/>
        <v>0.12</v>
      </c>
      <c r="IO53" s="771">
        <v>60</v>
      </c>
      <c r="IP53" s="9">
        <f t="shared" si="227"/>
        <v>-3.8043114738034061</v>
      </c>
      <c r="IQ53" s="5">
        <f t="shared" si="228"/>
        <v>-0.91430275753711721</v>
      </c>
      <c r="IR53" s="5">
        <f t="shared" si="383"/>
        <v>0.314</v>
      </c>
      <c r="IS53" s="5">
        <f t="shared" si="229"/>
        <v>0.28106428935524841</v>
      </c>
      <c r="IT53" s="727">
        <f t="shared" si="230"/>
        <v>55.706116017067778</v>
      </c>
      <c r="IU53" s="9">
        <f t="shared" si="231"/>
        <v>-3.8043114738034056</v>
      </c>
      <c r="IV53" s="5">
        <f t="shared" si="232"/>
        <v>-0.88790275753711734</v>
      </c>
      <c r="IW53" s="5">
        <f t="shared" si="384"/>
        <v>0.26600000000000001</v>
      </c>
      <c r="IX53" s="5">
        <f t="shared" si="233"/>
        <v>0.22707172161396094</v>
      </c>
      <c r="IY53" s="762">
        <f t="shared" si="234"/>
        <v>54.001723319631367</v>
      </c>
    </row>
    <row r="54" spans="1:259" ht="15" customHeight="1" x14ac:dyDescent="0.25">
      <c r="A54" s="79"/>
      <c r="B54" s="707">
        <v>-3.7341466530313285</v>
      </c>
      <c r="C54" s="708">
        <v>-1.433403403247163</v>
      </c>
      <c r="D54" s="709">
        <v>-1.6381050195439388</v>
      </c>
      <c r="E54" s="710">
        <v>-0.22646187740110063</v>
      </c>
      <c r="F54" s="708">
        <v>-0.95994629397456865</v>
      </c>
      <c r="G54" s="711">
        <v>0.1649791828336532</v>
      </c>
      <c r="H54" s="710">
        <v>0.26600000000000001</v>
      </c>
      <c r="I54" s="708">
        <v>0.52</v>
      </c>
      <c r="J54" s="570">
        <v>5.2190000000000003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5.2190000000000003</v>
      </c>
      <c r="N54" s="632">
        <f t="shared" si="240"/>
        <v>-3.7341466530313285</v>
      </c>
      <c r="O54" s="629">
        <f t="shared" si="241"/>
        <v>-1.433403403247163</v>
      </c>
      <c r="P54" s="633">
        <f t="shared" si="242"/>
        <v>-1.6381050195439388</v>
      </c>
      <c r="Q54" s="585">
        <f t="shared" si="113"/>
        <v>200.99998397358516</v>
      </c>
      <c r="R54" s="629">
        <f t="shared" si="410"/>
        <v>3.9998120634331835</v>
      </c>
      <c r="S54" s="634">
        <f t="shared" si="411"/>
        <v>-1.6381050195439388</v>
      </c>
      <c r="T54" s="635">
        <f t="shared" si="412"/>
        <v>-1.444476512108982</v>
      </c>
      <c r="U54" s="629">
        <f t="shared" si="413"/>
        <v>3.7298772297156231</v>
      </c>
      <c r="V54" s="636">
        <f t="shared" si="414"/>
        <v>-1.6381050195439388</v>
      </c>
      <c r="W54" s="585">
        <f t="shared" si="224"/>
        <v>111.1699839490402</v>
      </c>
      <c r="X54" s="629">
        <f t="shared" si="415"/>
        <v>3.9998120634331835</v>
      </c>
      <c r="Y54" s="630">
        <f t="shared" si="223"/>
        <v>-1.6381050195439388</v>
      </c>
      <c r="Z54" s="632">
        <f t="shared" si="243"/>
        <v>0.22646187740110063</v>
      </c>
      <c r="AA54" s="629">
        <f t="shared" si="244"/>
        <v>0.95994629397456865</v>
      </c>
      <c r="AB54" s="629">
        <f t="shared" si="245"/>
        <v>-0.1649791828336532</v>
      </c>
      <c r="AC54" s="636">
        <f t="shared" si="416"/>
        <v>1</v>
      </c>
      <c r="AD54" s="637">
        <f t="shared" si="417"/>
        <v>0.22646187740110063</v>
      </c>
      <c r="AE54" s="629">
        <f t="shared" si="418"/>
        <v>0.95994629397456865</v>
      </c>
      <c r="AF54" s="633">
        <f t="shared" si="419"/>
        <v>-0.1649791828336532</v>
      </c>
      <c r="AG54" s="602">
        <f t="shared" si="420"/>
        <v>80.2482467702675</v>
      </c>
      <c r="AH54" s="603">
        <f t="shared" si="421"/>
        <v>76.911143289354655</v>
      </c>
      <c r="AI54" s="585">
        <f t="shared" si="422"/>
        <v>-80.503974840463087</v>
      </c>
      <c r="AJ54" s="586">
        <f t="shared" si="423"/>
        <v>166.72599481118294</v>
      </c>
      <c r="AK54" s="635">
        <f t="shared" si="424"/>
        <v>0.81503054725134616</v>
      </c>
      <c r="AL54" s="629">
        <f t="shared" si="425"/>
        <v>-0.55543413315955947</v>
      </c>
      <c r="AM54" s="634">
        <f t="shared" si="426"/>
        <v>-0.1649791828336532</v>
      </c>
      <c r="AN54" s="581">
        <f t="shared" si="427"/>
        <v>-73.457135346708526</v>
      </c>
      <c r="AO54" s="582">
        <f t="shared" si="94"/>
        <v>35.409617556439954</v>
      </c>
      <c r="AP54" s="585">
        <f t="shared" si="428"/>
        <v>-34.273989162402231</v>
      </c>
      <c r="AQ54" s="586">
        <f t="shared" si="246"/>
        <v>0.56993963788753277</v>
      </c>
      <c r="AS54" s="52">
        <f t="shared" si="406"/>
        <v>-248.83001605095978</v>
      </c>
      <c r="AT54" s="72">
        <f t="shared" si="247"/>
        <v>-1.4583719737931391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5.2190000000000003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4.1189999999999998</v>
      </c>
      <c r="II54" s="734" cm="1">
        <f t="array" ref="II54">IFERROR(ROUND(VALUE(IF($IH54&lt;1,$IH54+LARGE((IF($M$9:$M$150="",0,$M$9:$M$150)-MOD(IF($M$9:$M$150="",0,$M$9:$M$150),1)),1),$IH54)),4),"")</f>
        <v>4.1189999999999998</v>
      </c>
      <c r="IJ54" s="533">
        <f t="shared" si="112"/>
        <v>1613</v>
      </c>
      <c r="IK54" s="533">
        <f t="shared" si="382"/>
        <v>1313</v>
      </c>
      <c r="IL54" s="727">
        <f t="shared" si="225"/>
        <v>67.559990245544284</v>
      </c>
      <c r="IM54" s="759">
        <v>2.6128645621689799E-2</v>
      </c>
      <c r="IN54" s="5">
        <f t="shared" si="226"/>
        <v>0.16</v>
      </c>
      <c r="IO54" s="771">
        <v>80</v>
      </c>
      <c r="IP54" s="9">
        <f t="shared" si="227"/>
        <v>-3.999812063433184</v>
      </c>
      <c r="IQ54" s="5">
        <f t="shared" si="228"/>
        <v>-1.6643050195439393</v>
      </c>
      <c r="IR54" s="5">
        <f t="shared" si="383"/>
        <v>0.314</v>
      </c>
      <c r="IS54" s="5">
        <f t="shared" si="229"/>
        <v>0.27056376821408529</v>
      </c>
      <c r="IT54" s="727">
        <f t="shared" si="230"/>
        <v>74.886448182205612</v>
      </c>
      <c r="IU54" s="9">
        <f t="shared" si="231"/>
        <v>-3.9998120634331835</v>
      </c>
      <c r="IV54" s="5">
        <f t="shared" si="232"/>
        <v>-1.6381050195439388</v>
      </c>
      <c r="IW54" s="5">
        <f t="shared" si="384"/>
        <v>0.26600000000000001</v>
      </c>
      <c r="IX54" s="5">
        <f t="shared" si="233"/>
        <v>0.21679812556885808</v>
      </c>
      <c r="IY54" s="762">
        <f t="shared" si="234"/>
        <v>73.457135346708526</v>
      </c>
    </row>
    <row r="55" spans="1:259" ht="15" customHeight="1" x14ac:dyDescent="0.25">
      <c r="A55" s="79"/>
      <c r="B55" s="707">
        <v>-1.987484130528798</v>
      </c>
      <c r="C55" s="708">
        <v>1.1497886076134707</v>
      </c>
      <c r="D55" s="709">
        <v>-6.4400194230985808E-2</v>
      </c>
      <c r="E55" s="710">
        <v>-0.49648042599006942</v>
      </c>
      <c r="F55" s="708">
        <v>-0.82857386471140404</v>
      </c>
      <c r="G55" s="711">
        <v>0.25879052789066115</v>
      </c>
      <c r="H55" s="710">
        <v>0.314</v>
      </c>
      <c r="I55" s="708">
        <v>0.52</v>
      </c>
      <c r="J55" s="570">
        <v>6.109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6.109</v>
      </c>
      <c r="N55" s="632">
        <f t="shared" si="240"/>
        <v>-1.987484130528798</v>
      </c>
      <c r="O55" s="629">
        <f t="shared" si="241"/>
        <v>1.1497886076134707</v>
      </c>
      <c r="P55" s="633">
        <f t="shared" si="242"/>
        <v>-6.4400194230985808E-2</v>
      </c>
      <c r="Q55" s="585">
        <f t="shared" si="113"/>
        <v>149.94999134429216</v>
      </c>
      <c r="R55" s="629">
        <f t="shared" si="410"/>
        <v>2.2961069250584858</v>
      </c>
      <c r="S55" s="634">
        <f t="shared" si="411"/>
        <v>-6.4400194230985808E-2</v>
      </c>
      <c r="T55" s="635">
        <f t="shared" si="412"/>
        <v>1.1438865719483617</v>
      </c>
      <c r="U55" s="629">
        <f t="shared" si="413"/>
        <v>1.9908868681614633</v>
      </c>
      <c r="V55" s="636">
        <f t="shared" si="414"/>
        <v>-6.4400194230985808E-2</v>
      </c>
      <c r="W55" s="585">
        <f t="shared" si="224"/>
        <v>60.1199913197472</v>
      </c>
      <c r="X55" s="629">
        <f t="shared" si="415"/>
        <v>2.2961069250584858</v>
      </c>
      <c r="Y55" s="630">
        <f t="shared" si="223"/>
        <v>-6.4400194230985808E-2</v>
      </c>
      <c r="Z55" s="632">
        <f t="shared" si="243"/>
        <v>0.49648042599006942</v>
      </c>
      <c r="AA55" s="629">
        <f t="shared" si="244"/>
        <v>0.82857386471140404</v>
      </c>
      <c r="AB55" s="629">
        <f t="shared" si="245"/>
        <v>-0.25879052789066115</v>
      </c>
      <c r="AC55" s="636">
        <f t="shared" si="416"/>
        <v>1</v>
      </c>
      <c r="AD55" s="637">
        <f t="shared" si="417"/>
        <v>0.49648042599006942</v>
      </c>
      <c r="AE55" s="629">
        <f t="shared" si="418"/>
        <v>0.82857386471140404</v>
      </c>
      <c r="AF55" s="633">
        <f t="shared" si="419"/>
        <v>-0.25879052789066115</v>
      </c>
      <c r="AG55" s="602">
        <f t="shared" si="420"/>
        <v>72.654720172997884</v>
      </c>
      <c r="AH55" s="603">
        <f t="shared" si="421"/>
        <v>60.232581237599312</v>
      </c>
      <c r="AI55" s="585">
        <f t="shared" si="422"/>
        <v>-75.001691547504109</v>
      </c>
      <c r="AJ55" s="586">
        <f t="shared" si="423"/>
        <v>149.07001136167651</v>
      </c>
      <c r="AK55" s="635">
        <f t="shared" si="424"/>
        <v>0.96581954463414577</v>
      </c>
      <c r="AL55" s="629">
        <f t="shared" si="425"/>
        <v>-1.4834752332422152E-2</v>
      </c>
      <c r="AM55" s="634">
        <f t="shared" si="426"/>
        <v>-0.25879052789066115</v>
      </c>
      <c r="AN55" s="581">
        <f t="shared" si="427"/>
        <v>-3.2807983577606366</v>
      </c>
      <c r="AO55" s="582">
        <f>IF(ROUND(IF(M55="",0,DEGREES(ACOS(AK55))),4)=90,0,IF(M55="","",DEGREES(ACOS(AK55))))</f>
        <v>15.02350998320898</v>
      </c>
      <c r="AP55" s="585">
        <f t="shared" si="428"/>
        <v>-0.87997998261564103</v>
      </c>
      <c r="AQ55" s="586">
        <f t="shared" si="246"/>
        <v>0.99276669464676004</v>
      </c>
      <c r="AS55" s="52">
        <f t="shared" si="406"/>
        <v>-299.88000868025279</v>
      </c>
      <c r="AT55" s="72">
        <f t="shared" si="247"/>
        <v>0.15078423529015625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6.109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-2.6331091679115239</v>
      </c>
      <c r="C56" s="708">
        <v>1.5528780013154133</v>
      </c>
      <c r="D56" s="709">
        <v>-0.21250064090193296</v>
      </c>
      <c r="E56" s="710">
        <v>-0.60802901120283481</v>
      </c>
      <c r="F56" s="708">
        <v>-0.7439901650149805</v>
      </c>
      <c r="G56" s="711">
        <v>0.2770908802120437</v>
      </c>
      <c r="H56" s="710">
        <v>0.314</v>
      </c>
      <c r="I56" s="708">
        <v>0.52</v>
      </c>
      <c r="J56" s="570">
        <v>6.1120000000000001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6.1120000000000001</v>
      </c>
      <c r="N56" s="632">
        <f t="shared" si="240"/>
        <v>-2.6331091679115239</v>
      </c>
      <c r="O56" s="629">
        <f t="shared" si="241"/>
        <v>1.5528780013154133</v>
      </c>
      <c r="P56" s="633">
        <f t="shared" si="242"/>
        <v>-0.21250064090193296</v>
      </c>
      <c r="Q56" s="585">
        <f t="shared" si="113"/>
        <v>149.46999141359561</v>
      </c>
      <c r="R56" s="629">
        <f t="shared" si="410"/>
        <v>3.0569092196382068</v>
      </c>
      <c r="S56" s="634">
        <f t="shared" si="411"/>
        <v>-0.21250064090193296</v>
      </c>
      <c r="T56" s="635">
        <f t="shared" si="412"/>
        <v>1.5450585864039554</v>
      </c>
      <c r="U56" s="629">
        <f t="shared" si="413"/>
        <v>2.6377050520648595</v>
      </c>
      <c r="V56" s="636">
        <f t="shared" si="414"/>
        <v>-0.21250064090193296</v>
      </c>
      <c r="W56" s="585">
        <f t="shared" si="224"/>
        <v>59.63999138905065</v>
      </c>
      <c r="X56" s="629">
        <f t="shared" si="415"/>
        <v>3.0569092196382068</v>
      </c>
      <c r="Y56" s="630">
        <f t="shared" si="223"/>
        <v>-0.21250064090193296</v>
      </c>
      <c r="Z56" s="632">
        <f t="shared" si="243"/>
        <v>0.60802901120283481</v>
      </c>
      <c r="AA56" s="629">
        <f t="shared" si="244"/>
        <v>0.7439901650149805</v>
      </c>
      <c r="AB56" s="629">
        <f t="shared" si="245"/>
        <v>-0.2770908802120437</v>
      </c>
      <c r="AC56" s="636">
        <f t="shared" si="416"/>
        <v>1</v>
      </c>
      <c r="AD56" s="637">
        <f t="shared" si="417"/>
        <v>0.60802901120283481</v>
      </c>
      <c r="AE56" s="629">
        <f t="shared" si="418"/>
        <v>0.7439901650149805</v>
      </c>
      <c r="AF56" s="633">
        <f t="shared" si="419"/>
        <v>-0.2770908802120437</v>
      </c>
      <c r="AG56" s="602">
        <f t="shared" si="420"/>
        <v>69.572711834529102</v>
      </c>
      <c r="AH56" s="603">
        <f t="shared" si="421"/>
        <v>52.552876316075583</v>
      </c>
      <c r="AI56" s="585">
        <f t="shared" si="422"/>
        <v>-73.913344193384134</v>
      </c>
      <c r="AJ56" s="586">
        <f t="shared" si="423"/>
        <v>140.74244766135203</v>
      </c>
      <c r="AK56" s="635">
        <f t="shared" si="424"/>
        <v>0.9497181602072563</v>
      </c>
      <c r="AL56" s="629">
        <f t="shared" si="425"/>
        <v>-0.14579458246402355</v>
      </c>
      <c r="AM56" s="634">
        <f t="shared" si="426"/>
        <v>-0.2770908802120437</v>
      </c>
      <c r="AN56" s="581">
        <f t="shared" si="427"/>
        <v>-27.751622369294662</v>
      </c>
      <c r="AO56" s="582">
        <f t="shared" ref="AO56:AO119" si="461">IF(ROUND(IF(M56="",0,DEGREES(ACOS(AK56))),4)=90,0,IF(M56="","",DEGREES(ACOS(AK56))))</f>
        <v>18.246517258128186</v>
      </c>
      <c r="AP56" s="585">
        <f t="shared" si="428"/>
        <v>-8.7275437522435819</v>
      </c>
      <c r="AQ56" s="586">
        <f t="shared" si="246"/>
        <v>0.74571985633111304</v>
      </c>
      <c r="AS56" s="52">
        <f t="shared" si="406"/>
        <v>-300.36000861094936</v>
      </c>
      <c r="AT56" s="72">
        <f t="shared" si="247"/>
        <v>3.0171219044150543E-3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6.1120000000000001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-3.1364175102271341</v>
      </c>
      <c r="C57" s="708">
        <v>1.8912621089074813</v>
      </c>
      <c r="D57" s="709">
        <v>-0.69600209914233058</v>
      </c>
      <c r="E57" s="710">
        <v>-0.73801472642419974</v>
      </c>
      <c r="F57" s="708">
        <v>-0.61804725204930111</v>
      </c>
      <c r="G57" s="711">
        <v>0.27083548108643635</v>
      </c>
      <c r="H57" s="710">
        <v>0.314</v>
      </c>
      <c r="I57" s="708">
        <v>0.52</v>
      </c>
      <c r="J57" s="570">
        <v>6.1150000000000002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6.1150000000000002</v>
      </c>
      <c r="N57" s="632">
        <f t="shared" si="240"/>
        <v>-3.1364175102271341</v>
      </c>
      <c r="O57" s="629">
        <f t="shared" si="241"/>
        <v>1.8912621089074813</v>
      </c>
      <c r="P57" s="633">
        <f t="shared" si="242"/>
        <v>-0.69600209914233058</v>
      </c>
      <c r="Q57" s="585">
        <f t="shared" si="113"/>
        <v>148.90999149444957</v>
      </c>
      <c r="R57" s="629">
        <f t="shared" si="410"/>
        <v>3.6625110461333148</v>
      </c>
      <c r="S57" s="634">
        <f t="shared" si="411"/>
        <v>-0.69600209914233058</v>
      </c>
      <c r="T57" s="635">
        <f t="shared" si="412"/>
        <v>1.8819478610181326</v>
      </c>
      <c r="U57" s="629">
        <f t="shared" si="413"/>
        <v>3.1420151831997605</v>
      </c>
      <c r="V57" s="636">
        <f t="shared" si="414"/>
        <v>-0.69600209914233058</v>
      </c>
      <c r="W57" s="585">
        <f t="shared" si="224"/>
        <v>59.079991469904613</v>
      </c>
      <c r="X57" s="629">
        <f t="shared" si="415"/>
        <v>3.6625110461333148</v>
      </c>
      <c r="Y57" s="630">
        <f t="shared" si="223"/>
        <v>-0.69600209914233058</v>
      </c>
      <c r="Z57" s="632">
        <f t="shared" si="243"/>
        <v>0.73801472642419974</v>
      </c>
      <c r="AA57" s="629">
        <f t="shared" si="244"/>
        <v>0.61804725204930111</v>
      </c>
      <c r="AB57" s="629">
        <f t="shared" si="245"/>
        <v>-0.27083548108643635</v>
      </c>
      <c r="AC57" s="636">
        <f t="shared" si="416"/>
        <v>1</v>
      </c>
      <c r="AD57" s="637">
        <f t="shared" si="417"/>
        <v>0.73801472642419974</v>
      </c>
      <c r="AE57" s="629">
        <f t="shared" si="418"/>
        <v>0.61804725204930111</v>
      </c>
      <c r="AF57" s="633">
        <f t="shared" si="419"/>
        <v>-0.27083548108643635</v>
      </c>
      <c r="AG57" s="602">
        <f t="shared" si="420"/>
        <v>66.336409282452223</v>
      </c>
      <c r="AH57" s="603">
        <f t="shared" si="421"/>
        <v>42.43742580483709</v>
      </c>
      <c r="AI57" s="585">
        <f t="shared" si="422"/>
        <v>-74.286011117096038</v>
      </c>
      <c r="AJ57" s="586">
        <f t="shared" si="423"/>
        <v>129.94434499364988</v>
      </c>
      <c r="AK57" s="635">
        <f t="shared" si="424"/>
        <v>0.91036817892934629</v>
      </c>
      <c r="AL57" s="629">
        <f t="shared" si="425"/>
        <v>-0.31285447252283993</v>
      </c>
      <c r="AM57" s="634">
        <f t="shared" si="426"/>
        <v>-0.27083548108643635</v>
      </c>
      <c r="AN57" s="581">
        <f t="shared" si="427"/>
        <v>-49.117536857410748</v>
      </c>
      <c r="AO57" s="582">
        <f t="shared" si="461"/>
        <v>24.443719191700815</v>
      </c>
      <c r="AP57" s="585">
        <f t="shared" si="428"/>
        <v>-18.965646500799693</v>
      </c>
      <c r="AQ57" s="586">
        <f t="shared" si="246"/>
        <v>0.62242459442220199</v>
      </c>
      <c r="AS57" s="52">
        <f t="shared" si="406"/>
        <v>-300.9200085300954</v>
      </c>
      <c r="AT57" s="72">
        <f t="shared" si="247"/>
        <v>-0.48009544750324229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6.1150000000000002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-3.3927688721520011</v>
      </c>
      <c r="C58" s="708">
        <v>2.0717685185233767</v>
      </c>
      <c r="D58" s="709">
        <v>-1.4051042377943812</v>
      </c>
      <c r="E58" s="710">
        <v>-0.85125439212298681</v>
      </c>
      <c r="F58" s="708">
        <v>-0.48992907874736225</v>
      </c>
      <c r="G58" s="711">
        <v>0.18797727971509026</v>
      </c>
      <c r="H58" s="710">
        <v>0.314</v>
      </c>
      <c r="I58" s="708">
        <v>0.52</v>
      </c>
      <c r="J58" s="570">
        <v>6.1180000000000003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6.1180000000000003</v>
      </c>
      <c r="N58" s="632">
        <f t="shared" si="240"/>
        <v>-3.3927688721520011</v>
      </c>
      <c r="O58" s="629">
        <f t="shared" si="241"/>
        <v>2.0717685185233767</v>
      </c>
      <c r="P58" s="633">
        <f t="shared" si="242"/>
        <v>-1.4051042377943812</v>
      </c>
      <c r="Q58" s="585">
        <f t="shared" si="113"/>
        <v>148.58999154065185</v>
      </c>
      <c r="R58" s="629">
        <f t="shared" si="410"/>
        <v>3.9753119895409603</v>
      </c>
      <c r="S58" s="634">
        <f t="shared" si="411"/>
        <v>-1.4051042377943812</v>
      </c>
      <c r="T58" s="635">
        <f t="shared" si="412"/>
        <v>2.0616928675193877</v>
      </c>
      <c r="U58" s="629">
        <f t="shared" si="413"/>
        <v>3.3989009891739701</v>
      </c>
      <c r="V58" s="636">
        <f t="shared" si="414"/>
        <v>-1.4051042377943812</v>
      </c>
      <c r="W58" s="585">
        <f t="shared" si="224"/>
        <v>58.759991516106894</v>
      </c>
      <c r="X58" s="629">
        <f t="shared" si="415"/>
        <v>3.9753119895409603</v>
      </c>
      <c r="Y58" s="630">
        <f t="shared" si="223"/>
        <v>-1.4051042377943812</v>
      </c>
      <c r="Z58" s="632">
        <f t="shared" si="243"/>
        <v>0.85125439212298681</v>
      </c>
      <c r="AA58" s="629">
        <f t="shared" si="244"/>
        <v>0.48992907874736225</v>
      </c>
      <c r="AB58" s="629">
        <f t="shared" si="245"/>
        <v>-0.18797727971509026</v>
      </c>
      <c r="AC58" s="636">
        <f t="shared" si="416"/>
        <v>1</v>
      </c>
      <c r="AD58" s="637">
        <f t="shared" si="417"/>
        <v>0.85125439212298681</v>
      </c>
      <c r="AE58" s="629">
        <f t="shared" si="418"/>
        <v>0.48992907874736225</v>
      </c>
      <c r="AF58" s="633">
        <f t="shared" si="419"/>
        <v>-0.18797727971509026</v>
      </c>
      <c r="AG58" s="602">
        <f t="shared" si="420"/>
        <v>69.009059218163429</v>
      </c>
      <c r="AH58" s="603">
        <f t="shared" si="421"/>
        <v>31.65163278540259</v>
      </c>
      <c r="AI58" s="585">
        <f t="shared" si="422"/>
        <v>-79.165235968467215</v>
      </c>
      <c r="AJ58" s="586">
        <f t="shared" si="423"/>
        <v>119.92205368028385</v>
      </c>
      <c r="AK58" s="635">
        <f t="shared" si="424"/>
        <v>0.86177341245281824</v>
      </c>
      <c r="AL58" s="629">
        <f t="shared" si="425"/>
        <v>-0.4711805682541883</v>
      </c>
      <c r="AM58" s="634">
        <f t="shared" si="426"/>
        <v>-0.18797727971509026</v>
      </c>
      <c r="AN58" s="581">
        <f t="shared" si="427"/>
        <v>-68.250493662083144</v>
      </c>
      <c r="AO58" s="582">
        <f t="shared" si="461"/>
        <v>30.483711523930769</v>
      </c>
      <c r="AP58" s="585">
        <f t="shared" si="428"/>
        <v>-28.667937860367999</v>
      </c>
      <c r="AQ58" s="586">
        <f t="shared" si="246"/>
        <v>0.57345197443939011</v>
      </c>
      <c r="AS58" s="52">
        <f t="shared" si="406"/>
        <v>-301.24000848389312</v>
      </c>
      <c r="AT58" s="72">
        <f t="shared" si="247"/>
        <v>-1.1889753639651555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6.1180000000000003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-3.4780915476998193</v>
      </c>
      <c r="C59" s="708">
        <v>2.1338837531529964</v>
      </c>
      <c r="D59" s="709">
        <v>-2.1111063670968035</v>
      </c>
      <c r="E59" s="710">
        <v>-0.87214652258403569</v>
      </c>
      <c r="F59" s="708">
        <v>-0.47539689515155137</v>
      </c>
      <c r="G59" s="711">
        <v>0.11557783189192936</v>
      </c>
      <c r="H59" s="710">
        <v>0.26600000000000001</v>
      </c>
      <c r="I59" s="708">
        <v>0.52</v>
      </c>
      <c r="J59" s="570">
        <v>6.1210000000000004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6.1210000000000004</v>
      </c>
      <c r="N59" s="632">
        <f t="shared" si="240"/>
        <v>-3.4780915476998193</v>
      </c>
      <c r="O59" s="629">
        <f t="shared" si="241"/>
        <v>2.1338837531529964</v>
      </c>
      <c r="P59" s="633">
        <f t="shared" si="242"/>
        <v>-2.1111063670968035</v>
      </c>
      <c r="Q59" s="585">
        <f t="shared" si="113"/>
        <v>148.46999155797769</v>
      </c>
      <c r="R59" s="629">
        <f t="shared" si="79"/>
        <v>4.0805123068251179</v>
      </c>
      <c r="S59" s="634">
        <f t="shared" si="80"/>
        <v>-2.1111063670968035</v>
      </c>
      <c r="T59" s="635">
        <f t="shared" si="81"/>
        <v>2.1235546716687677</v>
      </c>
      <c r="U59" s="629">
        <f t="shared" si="82"/>
        <v>3.4844075884696668</v>
      </c>
      <c r="V59" s="636">
        <f t="shared" si="114"/>
        <v>-2.1111063670968035</v>
      </c>
      <c r="W59" s="585">
        <f t="shared" si="224"/>
        <v>58.639991533432735</v>
      </c>
      <c r="X59" s="629">
        <f t="shared" si="83"/>
        <v>4.0805123068251179</v>
      </c>
      <c r="Y59" s="630">
        <f t="shared" si="223"/>
        <v>-2.1111063670968035</v>
      </c>
      <c r="Z59" s="632">
        <f t="shared" si="243"/>
        <v>0.87214652258403569</v>
      </c>
      <c r="AA59" s="629">
        <f t="shared" si="244"/>
        <v>0.47539689515155137</v>
      </c>
      <c r="AB59" s="629">
        <f t="shared" si="245"/>
        <v>-0.11557783189192936</v>
      </c>
      <c r="AC59" s="636">
        <f t="shared" si="84"/>
        <v>1</v>
      </c>
      <c r="AD59" s="637">
        <f t="shared" si="115"/>
        <v>0.87214652258403569</v>
      </c>
      <c r="AE59" s="629">
        <f t="shared" si="85"/>
        <v>0.47539689515155137</v>
      </c>
      <c r="AF59" s="633">
        <f t="shared" si="86"/>
        <v>-0.11557783189192936</v>
      </c>
      <c r="AG59" s="602">
        <f t="shared" si="87"/>
        <v>76.335435162693557</v>
      </c>
      <c r="AH59" s="603">
        <f t="shared" si="88"/>
        <v>29.290954456257964</v>
      </c>
      <c r="AI59" s="585">
        <f t="shared" si="89"/>
        <v>-83.363045380588545</v>
      </c>
      <c r="AJ59" s="586">
        <f t="shared" si="90"/>
        <v>118.59428605769608</v>
      </c>
      <c r="AK59" s="635">
        <f t="shared" si="211"/>
        <v>0.86129705131923051</v>
      </c>
      <c r="AL59" s="629">
        <f t="shared" si="91"/>
        <v>-0.49478192586629482</v>
      </c>
      <c r="AM59" s="634">
        <f t="shared" si="92"/>
        <v>-0.11557783189192936</v>
      </c>
      <c r="AN59" s="581">
        <f t="shared" si="93"/>
        <v>-76.851842812995486</v>
      </c>
      <c r="AO59" s="582">
        <f t="shared" si="461"/>
        <v>30.537470852332795</v>
      </c>
      <c r="AP59" s="585">
        <f t="shared" si="95"/>
        <v>-29.875705500281601</v>
      </c>
      <c r="AQ59" s="586">
        <f t="shared" si="246"/>
        <v>0.55866867006831977</v>
      </c>
      <c r="AS59" s="52">
        <f t="shared" si="406"/>
        <v>-301.36000846656725</v>
      </c>
      <c r="AT59" s="72">
        <f t="shared" si="247"/>
        <v>-1.8948941599462765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6.1210000000000004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-1.9545659275145264</v>
      </c>
      <c r="C60" s="708">
        <v>2.0240127173519706</v>
      </c>
      <c r="D60" s="709">
        <v>-0.10220037036591702</v>
      </c>
      <c r="E60" s="710">
        <v>-0.7483846090664209</v>
      </c>
      <c r="F60" s="708">
        <v>-0.56784617479148769</v>
      </c>
      <c r="G60" s="711">
        <v>0.34274071641282361</v>
      </c>
      <c r="H60" s="710">
        <v>0.26600000000000001</v>
      </c>
      <c r="I60" s="708">
        <v>0.52</v>
      </c>
      <c r="J60" s="570">
        <v>6.2110000000000003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6.2110000000000003</v>
      </c>
      <c r="N60" s="632">
        <f t="shared" si="240"/>
        <v>-1.9545659275145264</v>
      </c>
      <c r="O60" s="629">
        <f t="shared" si="241"/>
        <v>2.0240127173519706</v>
      </c>
      <c r="P60" s="633">
        <f t="shared" si="242"/>
        <v>-0.10220037036591702</v>
      </c>
      <c r="Q60" s="585">
        <f t="shared" si="113"/>
        <v>133.9999936471869</v>
      </c>
      <c r="R60" s="629">
        <f t="shared" si="79"/>
        <v>2.8137084861447939</v>
      </c>
      <c r="S60" s="634">
        <f t="shared" si="80"/>
        <v>-0.10220037036591702</v>
      </c>
      <c r="T60" s="635">
        <f t="shared" si="81"/>
        <v>2.0182045037166341</v>
      </c>
      <c r="U60" s="629">
        <f t="shared" si="82"/>
        <v>1.9605626810130607</v>
      </c>
      <c r="V60" s="636">
        <f t="shared" si="114"/>
        <v>-0.10220037036591702</v>
      </c>
      <c r="W60" s="585">
        <f t="shared" si="224"/>
        <v>44.16999362264194</v>
      </c>
      <c r="X60" s="629">
        <f t="shared" si="83"/>
        <v>2.8137084861447939</v>
      </c>
      <c r="Y60" s="630">
        <f t="shared" si="223"/>
        <v>-0.10220037036591702</v>
      </c>
      <c r="Z60" s="632">
        <f t="shared" si="243"/>
        <v>0.7483846090664209</v>
      </c>
      <c r="AA60" s="629">
        <f t="shared" si="244"/>
        <v>0.56784617479148769</v>
      </c>
      <c r="AB60" s="629">
        <f t="shared" si="245"/>
        <v>-0.34274071641282361</v>
      </c>
      <c r="AC60" s="636">
        <f t="shared" si="84"/>
        <v>1</v>
      </c>
      <c r="AD60" s="637">
        <f t="shared" si="115"/>
        <v>0.7483846090664209</v>
      </c>
      <c r="AE60" s="629">
        <f t="shared" si="85"/>
        <v>0.56784617479148769</v>
      </c>
      <c r="AF60" s="633">
        <f t="shared" si="86"/>
        <v>-0.34274071641282361</v>
      </c>
      <c r="AG60" s="602">
        <f t="shared" si="87"/>
        <v>58.885649896530552</v>
      </c>
      <c r="AH60" s="603">
        <f t="shared" si="88"/>
        <v>41.549359164347152</v>
      </c>
      <c r="AI60" s="585">
        <f t="shared" si="89"/>
        <v>-69.956058435622182</v>
      </c>
      <c r="AJ60" s="586">
        <f t="shared" si="90"/>
        <v>127.18986315754714</v>
      </c>
      <c r="AK60" s="635">
        <f t="shared" si="211"/>
        <v>0.93280194606583522</v>
      </c>
      <c r="AL60" s="629">
        <f t="shared" si="91"/>
        <v>-0.11139717558634599</v>
      </c>
      <c r="AM60" s="634">
        <f t="shared" si="92"/>
        <v>-0.34274071641282361</v>
      </c>
      <c r="AN60" s="581">
        <f t="shared" si="93"/>
        <v>-18.005135738583135</v>
      </c>
      <c r="AO60" s="582">
        <f t="shared" si="461"/>
        <v>21.124113165299509</v>
      </c>
      <c r="AP60" s="585">
        <f t="shared" si="95"/>
        <v>-6.810130489639751</v>
      </c>
      <c r="AQ60" s="586">
        <f t="shared" si="246"/>
        <v>0.81016733019679954</v>
      </c>
      <c r="AS60" s="52">
        <f t="shared" si="406"/>
        <v>-315.83000637735807</v>
      </c>
      <c r="AT60" s="72">
        <f t="shared" si="247"/>
        <v>0.1240604464448815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6.2110000000000003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5.1109999999999998</v>
      </c>
      <c r="II60" s="734" cm="1">
        <f t="array" ref="II60">IFERROR(ROUND(VALUE(IF($IH60&lt;1,$IH60+LARGE((IF($M$9:$M$150="",0,$M$9:$M$150)-MOD(IF($M$9:$M$150="",0,$M$9:$M$150),1)),1),$IH60)),4),"")</f>
        <v>5.1109999999999998</v>
      </c>
      <c r="IJ60" s="533">
        <f t="shared" si="112"/>
        <v>1613</v>
      </c>
      <c r="IK60" s="533">
        <f t="shared" si="382"/>
        <v>1313</v>
      </c>
      <c r="IL60" s="727">
        <f t="shared" si="225"/>
        <v>80.659988354138591</v>
      </c>
      <c r="IM60" s="759">
        <v>3.2252484953570901E-2</v>
      </c>
      <c r="IN60" s="5">
        <f t="shared" si="226"/>
        <v>0.14000000000000001</v>
      </c>
      <c r="IO60" s="771">
        <v>70</v>
      </c>
      <c r="IP60" s="9">
        <f t="shared" si="227"/>
        <v>-2.8137084861447943</v>
      </c>
      <c r="IQ60" s="5">
        <f t="shared" si="228"/>
        <v>-0.12280037036591702</v>
      </c>
      <c r="IR60" s="5">
        <f t="shared" si="383"/>
        <v>0.314</v>
      </c>
      <c r="IS60" s="5">
        <f t="shared" si="229"/>
        <v>0.30158448526556647</v>
      </c>
      <c r="IT60" s="727">
        <f t="shared" si="230"/>
        <v>19.932715953073004</v>
      </c>
      <c r="IU60" s="9">
        <f t="shared" si="231"/>
        <v>-2.8137084861447939</v>
      </c>
      <c r="IV60" s="5">
        <f t="shared" si="232"/>
        <v>-0.10220037036591702</v>
      </c>
      <c r="IW60" s="5">
        <f t="shared" si="384"/>
        <v>0.26600000000000001</v>
      </c>
      <c r="IX60" s="5">
        <f t="shared" si="233"/>
        <v>0.24812531765351217</v>
      </c>
      <c r="IY60" s="762">
        <f t="shared" si="234"/>
        <v>18.005135738583135</v>
      </c>
    </row>
    <row r="61" spans="1:259" ht="15" customHeight="1" x14ac:dyDescent="0.25">
      <c r="A61" s="79"/>
      <c r="B61" s="707">
        <v>-2.466749166162491</v>
      </c>
      <c r="C61" s="708">
        <v>2.4667497256086763</v>
      </c>
      <c r="D61" s="709">
        <v>-0.48280152006858468</v>
      </c>
      <c r="E61" s="710">
        <v>-0.83839036168873515</v>
      </c>
      <c r="F61" s="708">
        <v>-0.41816906640027812</v>
      </c>
      <c r="G61" s="711">
        <v>0.34962298742123893</v>
      </c>
      <c r="H61" s="710">
        <v>0.26600000000000001</v>
      </c>
      <c r="I61" s="708">
        <v>0.52</v>
      </c>
      <c r="J61" s="570">
        <v>6.2140000000000004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6.2140000000000004</v>
      </c>
      <c r="N61" s="632">
        <f t="shared" si="240"/>
        <v>-2.466749166162491</v>
      </c>
      <c r="O61" s="629">
        <f t="shared" si="241"/>
        <v>2.4667497256086763</v>
      </c>
      <c r="P61" s="633">
        <f t="shared" si="242"/>
        <v>-0.48280152006858468</v>
      </c>
      <c r="Q61" s="585">
        <f t="shared" si="113"/>
        <v>134.99999350280481</v>
      </c>
      <c r="R61" s="629">
        <f t="shared" si="79"/>
        <v>3.4885105213477319</v>
      </c>
      <c r="S61" s="634">
        <f t="shared" si="80"/>
        <v>-0.48280152006858468</v>
      </c>
      <c r="T61" s="635">
        <f t="shared" si="81"/>
        <v>2.4594198873584254</v>
      </c>
      <c r="U61" s="629">
        <f t="shared" si="82"/>
        <v>2.4740572902056441</v>
      </c>
      <c r="V61" s="636">
        <f t="shared" si="114"/>
        <v>-0.48280152006858468</v>
      </c>
      <c r="W61" s="585">
        <f t="shared" si="224"/>
        <v>45.169993478259855</v>
      </c>
      <c r="X61" s="629">
        <f t="shared" si="83"/>
        <v>3.4885105213477319</v>
      </c>
      <c r="Y61" s="630">
        <f t="shared" si="223"/>
        <v>-0.48280152006858468</v>
      </c>
      <c r="Z61" s="632">
        <f t="shared" si="243"/>
        <v>0.83839036168873515</v>
      </c>
      <c r="AA61" s="629">
        <f t="shared" si="244"/>
        <v>0.41816906640027812</v>
      </c>
      <c r="AB61" s="629">
        <f t="shared" si="245"/>
        <v>-0.34962298742123893</v>
      </c>
      <c r="AC61" s="636">
        <f t="shared" si="84"/>
        <v>1</v>
      </c>
      <c r="AD61" s="637">
        <f t="shared" si="115"/>
        <v>0.83839036168873515</v>
      </c>
      <c r="AE61" s="629">
        <f t="shared" si="85"/>
        <v>0.41816906640027812</v>
      </c>
      <c r="AF61" s="633">
        <f t="shared" si="86"/>
        <v>-0.34962298742123893</v>
      </c>
      <c r="AG61" s="602">
        <f t="shared" si="87"/>
        <v>50.101663082352033</v>
      </c>
      <c r="AH61" s="603">
        <f t="shared" si="88"/>
        <v>33.029465905162247</v>
      </c>
      <c r="AI61" s="585">
        <f t="shared" si="89"/>
        <v>-69.53574291910688</v>
      </c>
      <c r="AJ61" s="586">
        <f t="shared" si="90"/>
        <v>116.50892380980227</v>
      </c>
      <c r="AK61" s="635">
        <f t="shared" si="211"/>
        <v>0.8885217262606937</v>
      </c>
      <c r="AL61" s="629">
        <f t="shared" si="91"/>
        <v>-0.29714122674136811</v>
      </c>
      <c r="AM61" s="634">
        <f t="shared" si="92"/>
        <v>-0.34962298742123893</v>
      </c>
      <c r="AN61" s="581">
        <f t="shared" si="93"/>
        <v>-40.360891316077613</v>
      </c>
      <c r="AO61" s="582">
        <f t="shared" si="461"/>
        <v>27.311928519035568</v>
      </c>
      <c r="AP61" s="585">
        <f t="shared" si="95"/>
        <v>-18.491069693002554</v>
      </c>
      <c r="AQ61" s="586">
        <f t="shared" si="246"/>
        <v>0.65346736666433725</v>
      </c>
      <c r="AS61" s="52">
        <f t="shared" si="406"/>
        <v>-314.83000652174013</v>
      </c>
      <c r="AT61" s="72">
        <f t="shared" si="247"/>
        <v>-0.25723514760196531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6.2140000000000004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5.1139999999999999</v>
      </c>
      <c r="II61" s="734" cm="1">
        <f t="array" ref="II61">IFERROR(ROUND(VALUE(IF($IH61&lt;1,$IH61+LARGE((IF($M$9:$M$150="",0,$M$9:$M$150)-MOD(IF($M$9:$M$150="",0,$M$9:$M$150),1)),1),$IH61)),4),"")</f>
        <v>5.1139999999999999</v>
      </c>
      <c r="IJ61" s="533">
        <f t="shared" si="112"/>
        <v>1613</v>
      </c>
      <c r="IK61" s="533">
        <f t="shared" si="382"/>
        <v>1313</v>
      </c>
      <c r="IL61" s="727">
        <f t="shared" si="225"/>
        <v>79.089988580818471</v>
      </c>
      <c r="IM61" s="759">
        <v>3.0005549418604501E-2</v>
      </c>
      <c r="IN61" s="5">
        <f t="shared" si="226"/>
        <v>0.14000000000000001</v>
      </c>
      <c r="IO61" s="771">
        <v>70</v>
      </c>
      <c r="IP61" s="9">
        <f t="shared" si="227"/>
        <v>-3.4885105213477323</v>
      </c>
      <c r="IQ61" s="5">
        <f t="shared" si="228"/>
        <v>-0.50400152006858456</v>
      </c>
      <c r="IR61" s="5">
        <f t="shared" si="383"/>
        <v>0.314</v>
      </c>
      <c r="IS61" s="5">
        <f t="shared" si="229"/>
        <v>0.29032383093070097</v>
      </c>
      <c r="IT61" s="727">
        <f t="shared" si="230"/>
        <v>42.297872198523073</v>
      </c>
      <c r="IU61" s="9">
        <f t="shared" si="231"/>
        <v>-3.4885105213477319</v>
      </c>
      <c r="IV61" s="5">
        <f t="shared" si="232"/>
        <v>-0.48280152006858468</v>
      </c>
      <c r="IW61" s="5">
        <f t="shared" si="384"/>
        <v>0.26600000000000001</v>
      </c>
      <c r="IX61" s="5">
        <f t="shared" si="233"/>
        <v>0.23634677918534452</v>
      </c>
      <c r="IY61" s="762">
        <f t="shared" si="234"/>
        <v>40.360891316077613</v>
      </c>
    </row>
    <row r="62" spans="1:259" ht="15" customHeight="1" x14ac:dyDescent="0.25">
      <c r="A62" s="79"/>
      <c r="B62" s="707">
        <v>-2.8126267873616211</v>
      </c>
      <c r="C62" s="708">
        <v>2.7161227463522781</v>
      </c>
      <c r="D62" s="709">
        <v>-1.1330034813793</v>
      </c>
      <c r="E62" s="710">
        <v>-0.92461326592830362</v>
      </c>
      <c r="F62" s="708">
        <v>-0.2676525233855454</v>
      </c>
      <c r="G62" s="711">
        <v>0.27102109732407598</v>
      </c>
      <c r="H62" s="710">
        <v>0.26600000000000001</v>
      </c>
      <c r="I62" s="708">
        <v>0.52</v>
      </c>
      <c r="J62" s="570">
        <v>6.2169999999999996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6.2169999999999996</v>
      </c>
      <c r="N62" s="632">
        <f t="shared" si="240"/>
        <v>-2.8126267873616211</v>
      </c>
      <c r="O62" s="629">
        <f t="shared" si="241"/>
        <v>2.7161227463522781</v>
      </c>
      <c r="P62" s="633">
        <f t="shared" si="242"/>
        <v>-1.1330034813793</v>
      </c>
      <c r="Q62" s="585">
        <f t="shared" si="113"/>
        <v>135.9999933584227</v>
      </c>
      <c r="R62" s="629">
        <f t="shared" si="79"/>
        <v>3.9100117925955669</v>
      </c>
      <c r="S62" s="634">
        <f t="shared" si="80"/>
        <v>-1.1330034813793</v>
      </c>
      <c r="T62" s="635">
        <f t="shared" si="81"/>
        <v>2.7077655725256067</v>
      </c>
      <c r="U62" s="629">
        <f t="shared" si="82"/>
        <v>2.8206732924040447</v>
      </c>
      <c r="V62" s="636">
        <f t="shared" si="114"/>
        <v>-1.1330034813793</v>
      </c>
      <c r="W62" s="585">
        <f t="shared" si="224"/>
        <v>46.169993333877741</v>
      </c>
      <c r="X62" s="629">
        <f t="shared" si="83"/>
        <v>3.9100117925955669</v>
      </c>
      <c r="Y62" s="630">
        <f t="shared" si="223"/>
        <v>-1.1330034813793</v>
      </c>
      <c r="Z62" s="632">
        <f t="shared" si="243"/>
        <v>0.92461326592830362</v>
      </c>
      <c r="AA62" s="629">
        <f t="shared" si="244"/>
        <v>0.2676525233855454</v>
      </c>
      <c r="AB62" s="629">
        <f t="shared" si="245"/>
        <v>-0.27102109732407598</v>
      </c>
      <c r="AC62" s="636">
        <f t="shared" si="84"/>
        <v>1</v>
      </c>
      <c r="AD62" s="637">
        <f t="shared" si="115"/>
        <v>0.92461326592830362</v>
      </c>
      <c r="AE62" s="629">
        <f t="shared" si="85"/>
        <v>0.2676525233855454</v>
      </c>
      <c r="AF62" s="633">
        <f t="shared" si="86"/>
        <v>-0.27102109732407598</v>
      </c>
      <c r="AG62" s="602">
        <f t="shared" si="87"/>
        <v>44.641707805200788</v>
      </c>
      <c r="AH62" s="603">
        <f t="shared" si="88"/>
        <v>22.38988913066893</v>
      </c>
      <c r="AI62" s="585">
        <f t="shared" si="89"/>
        <v>-74.274962880861878</v>
      </c>
      <c r="AJ62" s="586">
        <f t="shared" si="90"/>
        <v>106.14441395709962</v>
      </c>
      <c r="AK62" s="635">
        <f t="shared" si="211"/>
        <v>0.8348235128925815</v>
      </c>
      <c r="AL62" s="629">
        <f t="shared" si="91"/>
        <v>-0.47918395958853166</v>
      </c>
      <c r="AM62" s="634">
        <f t="shared" si="92"/>
        <v>-0.27102109732407598</v>
      </c>
      <c r="AN62" s="581">
        <f t="shared" si="93"/>
        <v>-60.507984261838409</v>
      </c>
      <c r="AO62" s="582">
        <f t="shared" si="461"/>
        <v>33.402534378738252</v>
      </c>
      <c r="AP62" s="585">
        <f t="shared" si="95"/>
        <v>-29.85557940132307</v>
      </c>
      <c r="AQ62" s="586">
        <f t="shared" si="246"/>
        <v>0.58302840673007261</v>
      </c>
      <c r="AS62" s="52">
        <f t="shared" si="406"/>
        <v>-313.83000666612224</v>
      </c>
      <c r="AT62" s="72">
        <f t="shared" si="247"/>
        <v>-0.90813155325685968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6.2169999999999996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5.117</v>
      </c>
      <c r="II62" s="734" cm="1">
        <f t="array" ref="II62">IFERROR(ROUND(VALUE(IF($IH62&lt;1,$IH62+LARGE((IF($M$9:$M$150="",0,$M$9:$M$150)-MOD(IF($M$9:$M$150="",0,$M$9:$M$150),1)),1),$IH62)),4),"")</f>
        <v>5.117</v>
      </c>
      <c r="IJ62" s="533">
        <f t="shared" si="112"/>
        <v>1613</v>
      </c>
      <c r="IK62" s="533">
        <f t="shared" si="382"/>
        <v>1313</v>
      </c>
      <c r="IL62" s="727">
        <f t="shared" si="225"/>
        <v>77.659988787284902</v>
      </c>
      <c r="IM62" s="759">
        <v>2.9477524909248199E-2</v>
      </c>
      <c r="IN62" s="5">
        <f t="shared" si="226"/>
        <v>0.14000000000000001</v>
      </c>
      <c r="IO62" s="771">
        <v>70</v>
      </c>
      <c r="IP62" s="9">
        <f t="shared" si="227"/>
        <v>-3.9100117925955664</v>
      </c>
      <c r="IQ62" s="5">
        <f t="shared" si="228"/>
        <v>-1.1543034813792998</v>
      </c>
      <c r="IR62" s="5">
        <f t="shared" si="383"/>
        <v>0.314</v>
      </c>
      <c r="IS62" s="5">
        <f t="shared" si="229"/>
        <v>0.2759738050159668</v>
      </c>
      <c r="IT62" s="727">
        <f t="shared" si="230"/>
        <v>62.070036252996736</v>
      </c>
      <c r="IU62" s="9">
        <f t="shared" si="231"/>
        <v>-3.9100117925955669</v>
      </c>
      <c r="IV62" s="5">
        <f t="shared" si="232"/>
        <v>-1.1330034813793</v>
      </c>
      <c r="IW62" s="5">
        <f t="shared" si="384"/>
        <v>0.26600000000000001</v>
      </c>
      <c r="IX62" s="5">
        <f t="shared" si="233"/>
        <v>0.22206305442942673</v>
      </c>
      <c r="IY62" s="762">
        <f t="shared" si="234"/>
        <v>60.507984261838409</v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0</v>
      </c>
      <c r="G155" s="170">
        <f t="shared" si="929"/>
        <v>-0.25881900859134593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-5.000000000000001E-2</v>
      </c>
      <c r="AM155">
        <v>0.2890008716266288</v>
      </c>
      <c r="AN155">
        <v>-0.26950081281445148</v>
      </c>
      <c r="AO155">
        <v>-0.93969263802333458</v>
      </c>
      <c r="AP155">
        <v>0</v>
      </c>
      <c r="AQ155">
        <v>0.3420200959662259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0</v>
      </c>
      <c r="G156" s="170">
        <f t="shared" si="929"/>
        <v>-0.25881900859134593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-2.9000000000000001E-2</v>
      </c>
      <c r="AM156">
        <v>1.014803060646031</v>
      </c>
      <c r="AN156">
        <v>-0.22760068644367035</v>
      </c>
      <c r="AO156">
        <v>-0.96592583607220739</v>
      </c>
      <c r="AP156">
        <v>0</v>
      </c>
      <c r="AQ156">
        <v>0.25881900859134593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0.96539555295230595</v>
      </c>
      <c r="F157" s="170">
        <f t="shared" si="929"/>
        <v>-5.3228765254559184E-2</v>
      </c>
      <c r="G157" s="170">
        <f t="shared" si="929"/>
        <v>-0.25530006833016439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-8.0000000000000002E-3</v>
      </c>
      <c r="AM157">
        <v>1.7832053781474204</v>
      </c>
      <c r="AN157">
        <v>-0.1264003812235498</v>
      </c>
      <c r="AO157">
        <v>-0.96592583607220739</v>
      </c>
      <c r="AP157">
        <v>0</v>
      </c>
      <c r="AQ157">
        <v>0.25881900859134593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0.93515599053522747</v>
      </c>
      <c r="F158" s="170">
        <f t="shared" si="929"/>
        <v>-0.21187070445034747</v>
      </c>
      <c r="G158" s="170">
        <f t="shared" si="929"/>
        <v>-0.28389096139502418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7.584705435499401E-3</v>
      </c>
      <c r="AM158">
        <v>2.5562964576803977</v>
      </c>
      <c r="AN158">
        <v>-7.2600218962260391E-2</v>
      </c>
      <c r="AO158">
        <v>-0.96539555295230595</v>
      </c>
      <c r="AP158">
        <v>5.3228765254559184E-2</v>
      </c>
      <c r="AQ158">
        <v>0.25530006833016439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0.8869961978075287</v>
      </c>
      <c r="F159" s="170">
        <f t="shared" si="929"/>
        <v>-0.38746968526493747</v>
      </c>
      <c r="G159" s="170">
        <f t="shared" si="929"/>
        <v>-0.25120706215327215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4.1261967049909858E-2</v>
      </c>
      <c r="AM159">
        <v>3.2833506434080548</v>
      </c>
      <c r="AN159">
        <v>-0.3403010263478955</v>
      </c>
      <c r="AO159">
        <v>-0.93515599053522747</v>
      </c>
      <c r="AP159">
        <v>0.21187070445034747</v>
      </c>
      <c r="AQ159">
        <v>0.28389096139502418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0.8490842090462104</v>
      </c>
      <c r="F160" s="170">
        <f t="shared" si="929"/>
        <v>-0.51141844209700038</v>
      </c>
      <c r="G160" s="170">
        <f t="shared" si="929"/>
        <v>-0.13231471207484197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8.1662961416301749E-2</v>
      </c>
      <c r="AM160">
        <v>3.8034348884192775</v>
      </c>
      <c r="AN160">
        <v>-0.91430275753711709</v>
      </c>
      <c r="AO160">
        <v>-0.8869961978075287</v>
      </c>
      <c r="AP160">
        <v>0.38746968526493747</v>
      </c>
      <c r="AQ160">
        <v>0.25120706215327215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0.84777912763325047</v>
      </c>
      <c r="F161" s="170">
        <f t="shared" si="929"/>
        <v>-0.51760246862294401</v>
      </c>
      <c r="G161" s="170">
        <f t="shared" si="929"/>
        <v>-0.11557783189192909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0.10051564439988084</v>
      </c>
      <c r="AM161">
        <v>3.9985488802835083</v>
      </c>
      <c r="AN161">
        <v>-1.6643050195439391</v>
      </c>
      <c r="AO161">
        <v>-0.8490842090462104</v>
      </c>
      <c r="AP161">
        <v>0.51141844209700038</v>
      </c>
      <c r="AQ161">
        <v>0.13231471207484197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0.83646410206045585</v>
      </c>
      <c r="F162" s="170">
        <f t="shared" si="929"/>
        <v>-0.4177539081224072</v>
      </c>
      <c r="G162" s="170">
        <f t="shared" si="929"/>
        <v>-0.35469631829587789</v>
      </c>
      <c r="H162" s="139"/>
      <c r="I162" s="86"/>
      <c r="J162" s="79">
        <f t="shared" si="930"/>
        <v>1.212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0.10895114836384794</v>
      </c>
      <c r="AM162">
        <v>4.0790575300455671</v>
      </c>
      <c r="AN162">
        <v>-2.3534070978758077</v>
      </c>
      <c r="AO162">
        <v>-0.84777912763325047</v>
      </c>
      <c r="AP162">
        <v>0.51760246862294401</v>
      </c>
      <c r="AQ162">
        <v>0.11557783189192909</v>
      </c>
      <c r="AR162">
        <v>0.26600000000000001</v>
      </c>
      <c r="AS162">
        <v>0.52</v>
      </c>
      <c r="AT162">
        <v>1.1220000000000001</v>
      </c>
    </row>
    <row r="163" spans="5:46" x14ac:dyDescent="0.25">
      <c r="E163" s="170">
        <f t="shared" si="929"/>
        <v>0.7486484919724179</v>
      </c>
      <c r="F163" s="170">
        <f t="shared" si="929"/>
        <v>-0.57352382119364498</v>
      </c>
      <c r="G163" s="170">
        <f t="shared" si="929"/>
        <v>-0.33255956156884842</v>
      </c>
      <c r="H163" s="139"/>
      <c r="I163" s="86"/>
      <c r="J163" s="79">
        <f t="shared" si="930"/>
        <v>1.2150000000000001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0.84259825579644043</v>
      </c>
      <c r="AM163">
        <v>2.9384897747717051</v>
      </c>
      <c r="AN163">
        <v>-0.18910064090193299</v>
      </c>
      <c r="AO163">
        <v>-0.83646410206045585</v>
      </c>
      <c r="AP163">
        <v>0.4177539081224072</v>
      </c>
      <c r="AQ163">
        <v>0.35469631829587789</v>
      </c>
      <c r="AR163">
        <v>0.26600000000000001</v>
      </c>
      <c r="AS163">
        <v>0.52</v>
      </c>
      <c r="AT163">
        <v>1.212</v>
      </c>
    </row>
    <row r="164" spans="5:46" x14ac:dyDescent="0.25">
      <c r="E164" s="170">
        <f t="shared" si="929"/>
        <v>0.66207365358173509</v>
      </c>
      <c r="F164" s="170">
        <f t="shared" si="929"/>
        <v>-0.7139617819942129</v>
      </c>
      <c r="G164" s="170">
        <f t="shared" si="929"/>
        <v>-0.22785313490180648</v>
      </c>
      <c r="H164" s="139"/>
      <c r="I164" s="86"/>
      <c r="J164" s="79">
        <f t="shared" si="930"/>
        <v>1.218</v>
      </c>
      <c r="AL164">
        <v>0.94792747791507814</v>
      </c>
      <c r="AM164">
        <v>3.5377140443600181</v>
      </c>
      <c r="AN164">
        <v>-0.6722020991423312</v>
      </c>
      <c r="AO164">
        <v>-0.7486484919724179</v>
      </c>
      <c r="AP164">
        <v>0.57352382119364498</v>
      </c>
      <c r="AQ164">
        <v>0.33255956156884842</v>
      </c>
      <c r="AR164">
        <v>0.26600000000000001</v>
      </c>
      <c r="AS164">
        <v>0.52</v>
      </c>
      <c r="AT164">
        <v>1.2150000000000001</v>
      </c>
    </row>
    <row r="165" spans="5:46" x14ac:dyDescent="0.25">
      <c r="E165" s="170">
        <f t="shared" si="929"/>
        <v>0.31447408784682168</v>
      </c>
      <c r="F165" s="170">
        <f t="shared" si="929"/>
        <v>-0.91246862507773041</v>
      </c>
      <c r="G165" s="170">
        <f t="shared" si="929"/>
        <v>-0.26173852662851482</v>
      </c>
      <c r="H165" s="139"/>
      <c r="I165" s="86"/>
      <c r="J165" s="79">
        <f t="shared" si="930"/>
        <v>2.1110000000000002</v>
      </c>
      <c r="AL165">
        <v>0.96171487602988537</v>
      </c>
      <c r="AM165">
        <v>3.8572282679938628</v>
      </c>
      <c r="AN165">
        <v>-1.3814042377943807</v>
      </c>
      <c r="AO165">
        <v>-0.66207365358173509</v>
      </c>
      <c r="AP165">
        <v>0.7139617819942129</v>
      </c>
      <c r="AQ165">
        <v>0.22785313490180648</v>
      </c>
      <c r="AR165">
        <v>0.26600000000000001</v>
      </c>
      <c r="AS165">
        <v>0.52</v>
      </c>
      <c r="AT165">
        <v>1.218</v>
      </c>
    </row>
    <row r="166" spans="5:46" x14ac:dyDescent="0.25">
      <c r="E166" s="170">
        <f t="shared" si="929"/>
        <v>0.14335248709728274</v>
      </c>
      <c r="F166" s="170">
        <f t="shared" si="929"/>
        <v>-0.94871343899166949</v>
      </c>
      <c r="G166" s="170">
        <f t="shared" si="929"/>
        <v>-0.28176741316132231</v>
      </c>
      <c r="H166" s="139"/>
      <c r="I166" s="86"/>
      <c r="J166" s="79">
        <f t="shared" si="930"/>
        <v>2.1139999999999999</v>
      </c>
      <c r="AL166">
        <v>2.5570982501549153</v>
      </c>
      <c r="AM166">
        <v>1.1739693284144619</v>
      </c>
      <c r="AN166">
        <v>-0.12280037036591702</v>
      </c>
      <c r="AO166">
        <v>-0.31447408784682168</v>
      </c>
      <c r="AP166">
        <v>0.91246862507773041</v>
      </c>
      <c r="AQ166">
        <v>0.26173852662851482</v>
      </c>
      <c r="AR166">
        <v>0.314</v>
      </c>
      <c r="AS166">
        <v>0.52</v>
      </c>
      <c r="AT166">
        <v>2.1110000000000002</v>
      </c>
    </row>
    <row r="167" spans="5:46" x14ac:dyDescent="0.25">
      <c r="E167" s="170">
        <f t="shared" si="929"/>
        <v>-3.331492804402314E-2</v>
      </c>
      <c r="F167" s="170">
        <f t="shared" si="929"/>
        <v>-0.97415094011825154</v>
      </c>
      <c r="G167" s="170">
        <f t="shared" si="929"/>
        <v>-0.22342797818569754</v>
      </c>
      <c r="H167" s="139"/>
      <c r="I167" s="86"/>
      <c r="J167" s="79">
        <f t="shared" si="930"/>
        <v>2.117</v>
      </c>
      <c r="AL167">
        <v>3.184681254326593</v>
      </c>
      <c r="AM167">
        <v>1.4239069372310214</v>
      </c>
      <c r="AN167">
        <v>-0.50400152006858456</v>
      </c>
      <c r="AO167">
        <v>-0.14335248709728274</v>
      </c>
      <c r="AP167">
        <v>0.94871343899166949</v>
      </c>
      <c r="AQ167">
        <v>0.28176741316132231</v>
      </c>
      <c r="AR167">
        <v>0.314</v>
      </c>
      <c r="AS167">
        <v>0.52</v>
      </c>
      <c r="AT167">
        <v>2.1139999999999999</v>
      </c>
    </row>
    <row r="168" spans="5:46" x14ac:dyDescent="0.25">
      <c r="E168" s="170">
        <f t="shared" si="929"/>
        <v>-0.11082094043338347</v>
      </c>
      <c r="F168" s="170">
        <f t="shared" si="929"/>
        <v>-0.98709699824111596</v>
      </c>
      <c r="G168" s="170">
        <f t="shared" si="929"/>
        <v>-0.1155778318919293</v>
      </c>
      <c r="H168" s="139"/>
      <c r="I168" s="86"/>
      <c r="J168" s="79">
        <f t="shared" si="930"/>
        <v>2.12</v>
      </c>
      <c r="AL168">
        <v>3.5813490247055366</v>
      </c>
      <c r="AM168">
        <v>1.5691180266242244</v>
      </c>
      <c r="AN168">
        <v>-1.1543034813793001</v>
      </c>
      <c r="AO168">
        <v>3.331492804402314E-2</v>
      </c>
      <c r="AP168">
        <v>0.97415094011825154</v>
      </c>
      <c r="AQ168">
        <v>0.22342797818569754</v>
      </c>
      <c r="AR168">
        <v>0.314</v>
      </c>
      <c r="AS168">
        <v>0.52</v>
      </c>
      <c r="AT168">
        <v>2.117</v>
      </c>
    </row>
    <row r="169" spans="5:46" x14ac:dyDescent="0.25">
      <c r="E169" s="170">
        <f t="shared" si="929"/>
        <v>-8.9099550237948799E-2</v>
      </c>
      <c r="F169" s="170">
        <f t="shared" si="929"/>
        <v>-0.92981452626718786</v>
      </c>
      <c r="G169" s="170">
        <f t="shared" si="929"/>
        <v>-0.35708012670816658</v>
      </c>
      <c r="H169" s="139"/>
      <c r="I169" s="86"/>
      <c r="J169" s="79">
        <f t="shared" si="930"/>
        <v>2.2130000000000001</v>
      </c>
      <c r="AL169">
        <v>3.7429275562885103</v>
      </c>
      <c r="AM169">
        <v>1.6251381462901424</v>
      </c>
      <c r="AN169">
        <v>-1.8676056326985888</v>
      </c>
      <c r="AO169">
        <v>0.11082094043338347</v>
      </c>
      <c r="AP169">
        <v>0.98709699824111596</v>
      </c>
      <c r="AQ169">
        <v>0.1155778318919293</v>
      </c>
      <c r="AR169">
        <v>0.26600000000000001</v>
      </c>
      <c r="AS169">
        <v>0.52</v>
      </c>
      <c r="AT169">
        <v>2.12</v>
      </c>
    </row>
    <row r="170" spans="5:46" x14ac:dyDescent="0.25">
      <c r="E170" s="170">
        <f t="shared" si="929"/>
        <v>-0.26674289289762587</v>
      </c>
      <c r="F170" s="170">
        <f t="shared" si="929"/>
        <v>-0.91385573068461656</v>
      </c>
      <c r="G170" s="170">
        <f t="shared" si="929"/>
        <v>-0.30613058093482143</v>
      </c>
      <c r="H170" s="139"/>
      <c r="I170" s="86"/>
      <c r="J170" s="79">
        <f t="shared" si="930"/>
        <v>2.2160000000000002</v>
      </c>
      <c r="AL170">
        <v>3.2431835777607811</v>
      </c>
      <c r="AM170">
        <v>0.51366747846802052</v>
      </c>
      <c r="AN170">
        <v>-0.3192010263478956</v>
      </c>
      <c r="AO170">
        <v>8.9099550237948799E-2</v>
      </c>
      <c r="AP170">
        <v>0.92981452626718786</v>
      </c>
      <c r="AQ170">
        <v>0.35708012670816658</v>
      </c>
      <c r="AR170">
        <v>0.26600000000000001</v>
      </c>
      <c r="AS170">
        <v>0.52</v>
      </c>
      <c r="AT170">
        <v>2.2130000000000001</v>
      </c>
    </row>
    <row r="171" spans="5:46" x14ac:dyDescent="0.25">
      <c r="E171" s="170">
        <f t="shared" si="929"/>
        <v>-0.38971472537096047</v>
      </c>
      <c r="F171" s="170">
        <f t="shared" si="929"/>
        <v>-0.90603769350981023</v>
      </c>
      <c r="G171" s="170">
        <f t="shared" si="929"/>
        <v>-0.1649791828336532</v>
      </c>
      <c r="H171" s="139"/>
      <c r="I171" s="86"/>
      <c r="J171" s="79">
        <f t="shared" si="930"/>
        <v>2.2189999999999999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3.7465159003911257</v>
      </c>
      <c r="AM171">
        <v>0.66060911122138499</v>
      </c>
      <c r="AN171">
        <v>-0.89300275753711655</v>
      </c>
      <c r="AO171">
        <v>0.26674289289762587</v>
      </c>
      <c r="AP171">
        <v>0.91385573068461656</v>
      </c>
      <c r="AQ171">
        <v>0.30613058093482143</v>
      </c>
      <c r="AR171">
        <v>0.26600000000000001</v>
      </c>
      <c r="AS171">
        <v>0.52</v>
      </c>
      <c r="AT171">
        <v>2.2160000000000002</v>
      </c>
    </row>
    <row r="172" spans="5:46" x14ac:dyDescent="0.25">
      <c r="E172" s="170">
        <f t="shared" si="929"/>
        <v>-0.48296342394969705</v>
      </c>
      <c r="F172" s="170">
        <f t="shared" si="929"/>
        <v>-0.8365160201207017</v>
      </c>
      <c r="G172" s="170">
        <f t="shared" si="929"/>
        <v>-0.25881900859134593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3.9263247905720293</v>
      </c>
      <c r="AM172">
        <v>0.76319734127231353</v>
      </c>
      <c r="AN172">
        <v>-1.6432050195439385</v>
      </c>
      <c r="AO172">
        <v>0.38971472537096047</v>
      </c>
      <c r="AP172">
        <v>0.90603769350981023</v>
      </c>
      <c r="AQ172">
        <v>0.1649791828336532</v>
      </c>
      <c r="AR172">
        <v>0.26600000000000001</v>
      </c>
      <c r="AS172">
        <v>0.52</v>
      </c>
      <c r="AT172">
        <v>2.2189999999999999</v>
      </c>
    </row>
    <row r="173" spans="5:46" x14ac:dyDescent="0.25">
      <c r="E173" s="170">
        <f t="shared" si="929"/>
        <v>-0.48296342394969705</v>
      </c>
      <c r="F173" s="170">
        <f t="shared" si="929"/>
        <v>-0.83651602012070159</v>
      </c>
      <c r="G173" s="170">
        <f t="shared" si="929"/>
        <v>-0.25881900859134588</v>
      </c>
      <c r="H173" s="139"/>
      <c r="I173" s="86"/>
      <c r="J173" s="79">
        <f t="shared" si="930"/>
        <v>3.1059999999999999</v>
      </c>
      <c r="O173">
        <f>IF($J24="","",IFERROR(INDEX(Settings!$AK$14:$AK$32,MATCH((((ROUND($H24,6)*2)*1000000)+ROUND($I24,6)),Settings!$AI$14:$AI$32,0)),"Undefined"))</f>
        <v>1313</v>
      </c>
      <c r="AL173">
        <v>0.67505326328078619</v>
      </c>
      <c r="AM173">
        <v>-0.34817349372685091</v>
      </c>
      <c r="AN173">
        <v>-0.2613007880831768</v>
      </c>
      <c r="AO173">
        <v>0.48296342394969705</v>
      </c>
      <c r="AP173">
        <v>0.8365160201207017</v>
      </c>
      <c r="AQ173">
        <v>0.25881900859134593</v>
      </c>
      <c r="AR173">
        <v>0.314</v>
      </c>
      <c r="AS173">
        <v>0.52</v>
      </c>
      <c r="AT173">
        <v>3.1030000000000002</v>
      </c>
    </row>
    <row r="174" spans="5:46" x14ac:dyDescent="0.25">
      <c r="E174" s="170">
        <f t="shared" ref="E174:G193" si="933">E29*-1</f>
        <v>-0.49648080182266646</v>
      </c>
      <c r="F174" s="170">
        <f t="shared" si="933"/>
        <v>-0.828573639512865</v>
      </c>
      <c r="G174" s="170">
        <f t="shared" si="933"/>
        <v>-0.25879052789066115</v>
      </c>
      <c r="H174" s="139"/>
      <c r="I174" s="86"/>
      <c r="J174" s="79">
        <f t="shared" si="930"/>
        <v>3.109</v>
      </c>
      <c r="AL174">
        <v>1.3300109288836675</v>
      </c>
      <c r="AM174">
        <v>-0.75056272618962638</v>
      </c>
      <c r="AN174">
        <v>-0.16010048286305634</v>
      </c>
      <c r="AO174">
        <v>0.48296342394969705</v>
      </c>
      <c r="AP174">
        <v>0.83651602012070159</v>
      </c>
      <c r="AQ174">
        <v>0.25881900859134588</v>
      </c>
      <c r="AR174">
        <v>0.314</v>
      </c>
      <c r="AS174">
        <v>0.52</v>
      </c>
      <c r="AT174">
        <v>3.1059999999999999</v>
      </c>
    </row>
    <row r="175" spans="5:46" x14ac:dyDescent="0.25">
      <c r="E175" s="170">
        <f t="shared" si="933"/>
        <v>-0.60802934866911729</v>
      </c>
      <c r="F175" s="170">
        <f t="shared" si="933"/>
        <v>-0.74398988921915066</v>
      </c>
      <c r="G175" s="170">
        <f t="shared" si="933"/>
        <v>-0.27709088021204376</v>
      </c>
      <c r="H175" s="139"/>
      <c r="I175" s="86"/>
      <c r="J175" s="79">
        <f t="shared" si="930"/>
        <v>3.1120000000000001</v>
      </c>
      <c r="AL175">
        <v>1.9874836089962167</v>
      </c>
      <c r="AM175">
        <v>-1.1497895091158687</v>
      </c>
      <c r="AN175">
        <v>-6.4400194230985808E-2</v>
      </c>
      <c r="AO175">
        <v>0.49648080182266646</v>
      </c>
      <c r="AP175">
        <v>0.828573639512865</v>
      </c>
      <c r="AQ175">
        <v>0.25879052789066115</v>
      </c>
      <c r="AR175">
        <v>0.314</v>
      </c>
      <c r="AS175">
        <v>0.52</v>
      </c>
      <c r="AT175">
        <v>3.109</v>
      </c>
    </row>
    <row r="176" spans="5:46" x14ac:dyDescent="0.25">
      <c r="E176" s="170">
        <f t="shared" si="933"/>
        <v>-0.73801500676404885</v>
      </c>
      <c r="F176" s="170">
        <f t="shared" si="933"/>
        <v>-0.61804691729329042</v>
      </c>
      <c r="G176" s="170">
        <f t="shared" si="933"/>
        <v>-0.27083548108643668</v>
      </c>
      <c r="H176" s="139"/>
      <c r="I176" s="86"/>
      <c r="J176" s="79">
        <f t="shared" si="930"/>
        <v>3.1150000000000002</v>
      </c>
      <c r="AL176">
        <v>2.6331084635416411</v>
      </c>
      <c r="AM176">
        <v>-1.5528791956666972</v>
      </c>
      <c r="AN176">
        <v>-0.21250064090193296</v>
      </c>
      <c r="AO176">
        <v>0.60802934866911729</v>
      </c>
      <c r="AP176">
        <v>0.74398988921915066</v>
      </c>
      <c r="AQ176">
        <v>0.27709088021204376</v>
      </c>
      <c r="AR176">
        <v>0.314</v>
      </c>
      <c r="AS176">
        <v>0.52</v>
      </c>
      <c r="AT176">
        <v>3.1120000000000001</v>
      </c>
    </row>
    <row r="177" spans="5:46" x14ac:dyDescent="0.25">
      <c r="E177" s="170">
        <f t="shared" si="933"/>
        <v>-0.85125461434972904</v>
      </c>
      <c r="F177" s="170">
        <f t="shared" si="933"/>
        <v>-0.48992869262700767</v>
      </c>
      <c r="G177" s="170">
        <f t="shared" si="933"/>
        <v>-0.18797727971508987</v>
      </c>
      <c r="H177" s="139"/>
      <c r="I177" s="86"/>
      <c r="J177" s="79">
        <f t="shared" si="930"/>
        <v>3.1179999999999999</v>
      </c>
      <c r="AL177">
        <v>3.136416652369622</v>
      </c>
      <c r="AM177">
        <v>-1.8912635315542567</v>
      </c>
      <c r="AN177">
        <v>-0.69600209914233102</v>
      </c>
      <c r="AO177">
        <v>0.73801500676404885</v>
      </c>
      <c r="AP177">
        <v>0.61804691729329042</v>
      </c>
      <c r="AQ177">
        <v>0.27083548108643668</v>
      </c>
      <c r="AR177">
        <v>0.314</v>
      </c>
      <c r="AS177">
        <v>0.52</v>
      </c>
      <c r="AT177">
        <v>3.1150000000000002</v>
      </c>
    </row>
    <row r="178" spans="5:46" x14ac:dyDescent="0.25">
      <c r="E178" s="170">
        <f t="shared" si="933"/>
        <v>-0.87214673821912547</v>
      </c>
      <c r="F178" s="170">
        <f t="shared" si="933"/>
        <v>-0.47539649955474139</v>
      </c>
      <c r="G178" s="170">
        <f t="shared" si="933"/>
        <v>-0.11557783189192899</v>
      </c>
      <c r="H178" s="139"/>
      <c r="I178" s="86"/>
      <c r="J178" s="79">
        <f t="shared" si="930"/>
        <v>3.121</v>
      </c>
      <c r="AL178">
        <v>3.392767932418598</v>
      </c>
      <c r="AM178">
        <v>-2.0717700574484956</v>
      </c>
      <c r="AN178">
        <v>-1.4051042377943812</v>
      </c>
      <c r="AO178">
        <v>0.85125461434972904</v>
      </c>
      <c r="AP178">
        <v>0.48992869262700767</v>
      </c>
      <c r="AQ178">
        <v>0.18797727971508987</v>
      </c>
      <c r="AR178">
        <v>0.314</v>
      </c>
      <c r="AS178">
        <v>0.52</v>
      </c>
      <c r="AT178">
        <v>3.1179999999999999</v>
      </c>
    </row>
    <row r="179" spans="5:46" x14ac:dyDescent="0.25">
      <c r="E179" s="170">
        <f t="shared" si="933"/>
        <v>-0.74838486663557324</v>
      </c>
      <c r="F179" s="170">
        <f t="shared" si="933"/>
        <v>-0.56784583533180899</v>
      </c>
      <c r="G179" s="170">
        <f t="shared" si="933"/>
        <v>-0.34274071641282361</v>
      </c>
      <c r="H179" s="139"/>
      <c r="I179" s="86"/>
      <c r="J179" s="79">
        <f t="shared" si="930"/>
        <v>3.2109999999999999</v>
      </c>
      <c r="AL179">
        <v>3.4780905797915707</v>
      </c>
      <c r="AM179">
        <v>-2.1338853307796035</v>
      </c>
      <c r="AN179">
        <v>-2.1111063670968035</v>
      </c>
      <c r="AO179">
        <v>0.87214673821912547</v>
      </c>
      <c r="AP179">
        <v>0.47539649955474139</v>
      </c>
      <c r="AQ179">
        <v>0.11557783189192899</v>
      </c>
      <c r="AR179">
        <v>0.26600000000000001</v>
      </c>
      <c r="AS179">
        <v>0.52</v>
      </c>
      <c r="AT179">
        <v>3.121</v>
      </c>
    </row>
    <row r="180" spans="5:46" x14ac:dyDescent="0.25">
      <c r="E180" s="170">
        <f t="shared" si="933"/>
        <v>-0.83839055136586937</v>
      </c>
      <c r="F180" s="170">
        <f t="shared" si="933"/>
        <v>-0.41816868611492425</v>
      </c>
      <c r="G180" s="170">
        <f t="shared" si="933"/>
        <v>-0.34962298742123882</v>
      </c>
      <c r="H180" s="139"/>
      <c r="I180" s="86"/>
      <c r="J180" s="79">
        <f t="shared" si="930"/>
        <v>3.214</v>
      </c>
      <c r="AL180">
        <v>1.9545650094428155</v>
      </c>
      <c r="AM180">
        <v>-2.0240136039229184</v>
      </c>
      <c r="AN180">
        <v>-9.7100370365917038E-2</v>
      </c>
      <c r="AO180">
        <v>0.74838486663557324</v>
      </c>
      <c r="AP180">
        <v>0.56784583533180899</v>
      </c>
      <c r="AQ180">
        <v>0.34274071641282361</v>
      </c>
      <c r="AR180">
        <v>0.26600000000000001</v>
      </c>
      <c r="AS180">
        <v>0.52</v>
      </c>
      <c r="AT180">
        <v>3.2109999999999999</v>
      </c>
    </row>
    <row r="181" spans="5:46" x14ac:dyDescent="0.25">
      <c r="E181" s="170">
        <f t="shared" si="933"/>
        <v>-0.9246133873326613</v>
      </c>
      <c r="F181" s="170">
        <f t="shared" si="933"/>
        <v>-0.26765210399037748</v>
      </c>
      <c r="G181" s="170">
        <f t="shared" si="933"/>
        <v>-0.27102109732407614</v>
      </c>
      <c r="H181" s="139"/>
      <c r="I181" s="86"/>
      <c r="J181" s="79">
        <f t="shared" si="930"/>
        <v>3.2170000000000001</v>
      </c>
      <c r="AL181">
        <v>2.4667480472697383</v>
      </c>
      <c r="AM181">
        <v>-2.466750844500667</v>
      </c>
      <c r="AN181">
        <v>-0.47770152006858457</v>
      </c>
      <c r="AO181">
        <v>0.83839055136586937</v>
      </c>
      <c r="AP181">
        <v>0.41816868611492425</v>
      </c>
      <c r="AQ181">
        <v>0.34962298742123882</v>
      </c>
      <c r="AR181">
        <v>0.26600000000000001</v>
      </c>
      <c r="AS181">
        <v>0.52</v>
      </c>
      <c r="AT181">
        <v>3.214</v>
      </c>
    </row>
    <row r="182" spans="5:46" x14ac:dyDescent="0.25">
      <c r="E182" s="170">
        <f t="shared" si="933"/>
        <v>-0.96539552880818202</v>
      </c>
      <c r="F182" s="170">
        <f t="shared" si="933"/>
        <v>5.3229203148123128E-2</v>
      </c>
      <c r="G182" s="170">
        <f t="shared" si="933"/>
        <v>-0.25530006833016444</v>
      </c>
      <c r="H182" s="139"/>
      <c r="I182" s="86"/>
      <c r="J182" s="79">
        <f t="shared" si="930"/>
        <v>4.1100000000000003</v>
      </c>
      <c r="AL182">
        <v>2.8126255553557766</v>
      </c>
      <c r="AM182">
        <v>-2.7161240221308023</v>
      </c>
      <c r="AN182">
        <v>-1.1280034813792996</v>
      </c>
      <c r="AO182">
        <v>0.9246133873326613</v>
      </c>
      <c r="AP182">
        <v>0.26765210399037748</v>
      </c>
      <c r="AQ182">
        <v>0.27102109732407614</v>
      </c>
      <c r="AR182">
        <v>0.26600000000000001</v>
      </c>
      <c r="AS182">
        <v>0.52</v>
      </c>
      <c r="AT182">
        <v>3.2170000000000001</v>
      </c>
    </row>
    <row r="183" spans="5:46" x14ac:dyDescent="0.25">
      <c r="E183" s="170">
        <f t="shared" si="933"/>
        <v>-0.93515589443274216</v>
      </c>
      <c r="F183" s="170">
        <f t="shared" si="933"/>
        <v>0.21187112862753824</v>
      </c>
      <c r="G183" s="170">
        <f t="shared" si="933"/>
        <v>-0.28389096139502423</v>
      </c>
      <c r="H183" s="139"/>
      <c r="I183" s="86"/>
      <c r="J183" s="79">
        <f t="shared" si="930"/>
        <v>4.1130000000000004</v>
      </c>
      <c r="AL183">
        <v>-7.5858649454807383E-3</v>
      </c>
      <c r="AM183">
        <v>-2.5562964542397899</v>
      </c>
      <c r="AN183">
        <v>-7.2600218962260391E-2</v>
      </c>
      <c r="AO183">
        <v>0.96539552880818202</v>
      </c>
      <c r="AP183">
        <v>-5.3229203148123128E-2</v>
      </c>
      <c r="AQ183">
        <v>0.25530006833016444</v>
      </c>
      <c r="AR183">
        <v>0.314</v>
      </c>
      <c r="AS183">
        <v>0.52</v>
      </c>
      <c r="AT183">
        <v>4.1100000000000003</v>
      </c>
    </row>
    <row r="184" spans="5:46" x14ac:dyDescent="0.25">
      <c r="E184" s="170">
        <f t="shared" si="933"/>
        <v>-0.88699602205514305</v>
      </c>
      <c r="F184" s="170">
        <f t="shared" si="933"/>
        <v>0.38747008759731966</v>
      </c>
      <c r="G184" s="170">
        <f t="shared" si="933"/>
        <v>-0.25120706215327182</v>
      </c>
      <c r="H184" s="139"/>
      <c r="I184" s="86"/>
      <c r="J184" s="79">
        <f t="shared" si="930"/>
        <v>4.1159999999999997</v>
      </c>
      <c r="AL184">
        <v>-4.1263456344245622E-2</v>
      </c>
      <c r="AM184">
        <v>-3.2833506246917099</v>
      </c>
      <c r="AN184">
        <v>-0.3403010263478955</v>
      </c>
      <c r="AO184">
        <v>0.93515589443274216</v>
      </c>
      <c r="AP184">
        <v>-0.21187112862753824</v>
      </c>
      <c r="AQ184">
        <v>0.28389096139502423</v>
      </c>
      <c r="AR184">
        <v>0.314</v>
      </c>
      <c r="AS184">
        <v>0.52</v>
      </c>
      <c r="AT184">
        <v>4.1130000000000004</v>
      </c>
    </row>
    <row r="185" spans="5:46" x14ac:dyDescent="0.25">
      <c r="E185" s="170">
        <f t="shared" si="933"/>
        <v>-0.84908397707193772</v>
      </c>
      <c r="F185" s="170">
        <f t="shared" si="933"/>
        <v>0.51141882723287868</v>
      </c>
      <c r="G185" s="170">
        <f t="shared" si="933"/>
        <v>-0.13231471207484197</v>
      </c>
      <c r="H185" s="139"/>
      <c r="I185" s="86"/>
      <c r="J185" s="79">
        <f t="shared" si="930"/>
        <v>4.1189999999999998</v>
      </c>
      <c r="AL185">
        <v>-8.1664686615538801E-2</v>
      </c>
      <c r="AM185">
        <v>-3.8034348513774003</v>
      </c>
      <c r="AN185">
        <v>-0.91430275753711721</v>
      </c>
      <c r="AO185">
        <v>0.88699602205514305</v>
      </c>
      <c r="AP185">
        <v>-0.38747008759731966</v>
      </c>
      <c r="AQ185">
        <v>0.25120706215327182</v>
      </c>
      <c r="AR185">
        <v>0.314</v>
      </c>
      <c r="AS185">
        <v>0.52</v>
      </c>
      <c r="AT185">
        <v>4.1159999999999997</v>
      </c>
    </row>
    <row r="186" spans="5:46" x14ac:dyDescent="0.25">
      <c r="E186" s="170">
        <f t="shared" si="933"/>
        <v>-0.84777889285396646</v>
      </c>
      <c r="F186" s="170">
        <f t="shared" si="933"/>
        <v>0.51760285316685017</v>
      </c>
      <c r="G186" s="170">
        <f t="shared" si="933"/>
        <v>-0.11557783189192916</v>
      </c>
      <c r="H186" s="139"/>
      <c r="I186" s="86"/>
      <c r="J186" s="79">
        <f t="shared" si="930"/>
        <v>4.1219999999999999</v>
      </c>
      <c r="AL186">
        <v>-0.10051745810083122</v>
      </c>
      <c r="AM186">
        <v>-3.9985488346902271</v>
      </c>
      <c r="AN186">
        <v>-1.6643050195439393</v>
      </c>
      <c r="AO186">
        <v>0.84908397707193772</v>
      </c>
      <c r="AP186">
        <v>-0.51141882723287868</v>
      </c>
      <c r="AQ186">
        <v>0.13231471207484197</v>
      </c>
      <c r="AR186">
        <v>0.314</v>
      </c>
      <c r="AS186">
        <v>0.52</v>
      </c>
      <c r="AT186">
        <v>4.1189999999999998</v>
      </c>
    </row>
    <row r="187" spans="5:46" x14ac:dyDescent="0.25">
      <c r="E187" s="170">
        <f t="shared" si="933"/>
        <v>-0.83646391257146091</v>
      </c>
      <c r="F187" s="170">
        <f t="shared" si="933"/>
        <v>0.41775428753394361</v>
      </c>
      <c r="G187" s="170">
        <f t="shared" si="933"/>
        <v>-0.354696318295878</v>
      </c>
      <c r="H187" s="139"/>
      <c r="I187" s="86"/>
      <c r="J187" s="79">
        <f t="shared" si="930"/>
        <v>4.2119999999999997</v>
      </c>
      <c r="AL187">
        <v>-0.10895299858269855</v>
      </c>
      <c r="AM187">
        <v>-4.0790574806260178</v>
      </c>
      <c r="AN187">
        <v>-2.3534070978758068</v>
      </c>
      <c r="AO187">
        <v>0.84777889285396646</v>
      </c>
      <c r="AP187">
        <v>-0.51760285316685017</v>
      </c>
      <c r="AQ187">
        <v>0.11557783189192916</v>
      </c>
      <c r="AR187">
        <v>0.26600000000000001</v>
      </c>
      <c r="AS187">
        <v>0.52</v>
      </c>
      <c r="AT187">
        <v>4.1219999999999999</v>
      </c>
    </row>
    <row r="188" spans="5:46" x14ac:dyDescent="0.25">
      <c r="E188" s="170">
        <f t="shared" si="933"/>
        <v>-0.74864823182778906</v>
      </c>
      <c r="F188" s="170">
        <f t="shared" si="933"/>
        <v>0.57352416077290092</v>
      </c>
      <c r="G188" s="170">
        <f t="shared" si="933"/>
        <v>-0.33255956156884836</v>
      </c>
      <c r="H188" s="139"/>
      <c r="I188" s="86"/>
      <c r="J188" s="79">
        <f t="shared" si="930"/>
        <v>4.2149999999999999</v>
      </c>
      <c r="AL188">
        <v>-0.8425995886653237</v>
      </c>
      <c r="AM188">
        <v>-2.9384893925774338</v>
      </c>
      <c r="AN188">
        <v>-0.18910064090193299</v>
      </c>
      <c r="AO188">
        <v>0.83646391257146091</v>
      </c>
      <c r="AP188">
        <v>-0.41775428753394361</v>
      </c>
      <c r="AQ188">
        <v>0.354696318295878</v>
      </c>
      <c r="AR188">
        <v>0.26600000000000001</v>
      </c>
      <c r="AS188">
        <v>0.52</v>
      </c>
      <c r="AT188">
        <v>4.2119999999999997</v>
      </c>
    </row>
    <row r="189" spans="5:46" x14ac:dyDescent="0.25">
      <c r="E189" s="170">
        <f t="shared" si="933"/>
        <v>-0.66207332973588984</v>
      </c>
      <c r="F189" s="170">
        <f t="shared" si="933"/>
        <v>0.71396208230399105</v>
      </c>
      <c r="G189" s="170">
        <f t="shared" si="933"/>
        <v>-0.22785313490180642</v>
      </c>
      <c r="H189" s="139"/>
      <c r="I189" s="86"/>
      <c r="J189" s="79">
        <f t="shared" si="930"/>
        <v>4.218</v>
      </c>
      <c r="AL189">
        <v>-0.94792908258596331</v>
      </c>
      <c r="AM189">
        <v>-3.5377136143894243</v>
      </c>
      <c r="AN189">
        <v>-0.67220209914233076</v>
      </c>
      <c r="AO189">
        <v>0.74864823182778906</v>
      </c>
      <c r="AP189">
        <v>-0.57352416077290092</v>
      </c>
      <c r="AQ189">
        <v>0.33255956156884836</v>
      </c>
      <c r="AR189">
        <v>0.26600000000000001</v>
      </c>
      <c r="AS189">
        <v>0.52</v>
      </c>
      <c r="AT189">
        <v>4.2149999999999999</v>
      </c>
    </row>
    <row r="190" spans="5:46" x14ac:dyDescent="0.25">
      <c r="E190" s="170">
        <f t="shared" si="933"/>
        <v>-0.55403204959864349</v>
      </c>
      <c r="F190" s="170">
        <f t="shared" si="933"/>
        <v>0.79124029776631011</v>
      </c>
      <c r="G190" s="170">
        <f t="shared" si="933"/>
        <v>-0.25881900859134599</v>
      </c>
      <c r="H190" s="139"/>
      <c r="I190" s="86"/>
      <c r="J190" s="79">
        <f t="shared" si="930"/>
        <v>5.1020000000000003</v>
      </c>
      <c r="AL190">
        <v>-0.96171662562915972</v>
      </c>
      <c r="AM190">
        <v>-3.8572278317694151</v>
      </c>
      <c r="AN190">
        <v>-1.3814042377943818</v>
      </c>
      <c r="AO190">
        <v>0.66207332973588984</v>
      </c>
      <c r="AP190">
        <v>-0.71396208230399105</v>
      </c>
      <c r="AQ190">
        <v>0.22785313490180642</v>
      </c>
      <c r="AR190">
        <v>0.26600000000000001</v>
      </c>
      <c r="AS190">
        <v>0.52</v>
      </c>
      <c r="AT190">
        <v>4.218</v>
      </c>
    </row>
    <row r="191" spans="5:46" x14ac:dyDescent="0.25">
      <c r="E191" s="170">
        <f t="shared" si="933"/>
        <v>-0.55403204959864338</v>
      </c>
      <c r="F191" s="170">
        <f t="shared" si="933"/>
        <v>0.79124029776631022</v>
      </c>
      <c r="G191" s="170">
        <f t="shared" si="933"/>
        <v>-0.25881900859134599</v>
      </c>
      <c r="H191" s="139"/>
      <c r="I191" s="86"/>
      <c r="J191" s="79">
        <f t="shared" si="930"/>
        <v>5.1050000000000004</v>
      </c>
      <c r="AL191">
        <v>-0.38704337430646674</v>
      </c>
      <c r="AM191">
        <v>-0.32350380235220422</v>
      </c>
      <c r="AN191">
        <v>-0.2913</v>
      </c>
      <c r="AO191">
        <v>0.55403204959864349</v>
      </c>
      <c r="AP191">
        <v>-0.79124029776631011</v>
      </c>
      <c r="AQ191">
        <v>0.25881900859134599</v>
      </c>
      <c r="AR191">
        <v>0.314</v>
      </c>
      <c r="AS191">
        <v>0.52</v>
      </c>
      <c r="AT191">
        <v>5.1020000000000003</v>
      </c>
    </row>
    <row r="192" spans="5:46" x14ac:dyDescent="0.25">
      <c r="E192" s="170">
        <f t="shared" si="933"/>
        <v>-0.55403204959864349</v>
      </c>
      <c r="F192" s="170">
        <f t="shared" si="933"/>
        <v>0.79124029776631022</v>
      </c>
      <c r="G192" s="170">
        <f t="shared" si="933"/>
        <v>-0.25881900859134599</v>
      </c>
      <c r="H192" s="139"/>
      <c r="I192" s="86"/>
      <c r="J192" s="79">
        <f t="shared" si="930"/>
        <v>5.1079999999999997</v>
      </c>
      <c r="AL192">
        <v>-1.0284450266285239</v>
      </c>
      <c r="AM192">
        <v>-0.74698151252488787</v>
      </c>
      <c r="AN192">
        <v>-0.19380058450256288</v>
      </c>
      <c r="AO192">
        <v>0.55403204959864338</v>
      </c>
      <c r="AP192">
        <v>-0.79124029776631022</v>
      </c>
      <c r="AQ192">
        <v>0.25881900859134599</v>
      </c>
      <c r="AR192">
        <v>0.314</v>
      </c>
      <c r="AS192">
        <v>0.52</v>
      </c>
      <c r="AT192">
        <v>5.1050000000000004</v>
      </c>
    </row>
    <row r="193" spans="5:46" x14ac:dyDescent="0.25">
      <c r="E193" s="170">
        <f t="shared" si="933"/>
        <v>-0.46814539531669236</v>
      </c>
      <c r="F193" s="170">
        <f t="shared" si="933"/>
        <v>0.84399812352997095</v>
      </c>
      <c r="G193" s="170">
        <f t="shared" si="933"/>
        <v>-0.26173852662851488</v>
      </c>
      <c r="H193" s="139"/>
      <c r="I193" s="86"/>
      <c r="J193" s="79">
        <f t="shared" si="930"/>
        <v>5.1109999999999998</v>
      </c>
      <c r="AL193">
        <v>-1.6699285944201341</v>
      </c>
      <c r="AM193">
        <v>-1.1705165804883948</v>
      </c>
      <c r="AN193">
        <v>-9.2700279584043282E-2</v>
      </c>
      <c r="AO193">
        <v>0.55403204959864349</v>
      </c>
      <c r="AP193">
        <v>-0.79124029776631022</v>
      </c>
      <c r="AQ193">
        <v>0.25881900859134599</v>
      </c>
      <c r="AR193">
        <v>0.314</v>
      </c>
      <c r="AS193">
        <v>0.52</v>
      </c>
      <c r="AT193">
        <v>5.1079999999999997</v>
      </c>
    </row>
    <row r="194" spans="5:46" x14ac:dyDescent="0.25">
      <c r="E194" s="170">
        <f t="shared" ref="E194:G213" si="934">E49*-1</f>
        <v>-0.30591739009737429</v>
      </c>
      <c r="F194" s="170">
        <f t="shared" si="934"/>
        <v>0.90940732090542764</v>
      </c>
      <c r="G194" s="170">
        <f t="shared" si="934"/>
        <v>-0.28176741316132253</v>
      </c>
      <c r="H194" s="139"/>
      <c r="I194" s="86"/>
      <c r="J194" s="79">
        <f t="shared" si="930"/>
        <v>5.1139999999999999</v>
      </c>
      <c r="AL194">
        <v>-2.3143918619530486</v>
      </c>
      <c r="AM194">
        <v>-1.6001705391391043</v>
      </c>
      <c r="AN194">
        <v>-0.12280037036591702</v>
      </c>
      <c r="AO194">
        <v>0.46814539531669236</v>
      </c>
      <c r="AP194">
        <v>-0.84399812352997095</v>
      </c>
      <c r="AQ194">
        <v>0.26173852662851488</v>
      </c>
      <c r="AR194">
        <v>0.314</v>
      </c>
      <c r="AS194">
        <v>0.52</v>
      </c>
      <c r="AT194">
        <v>5.1109999999999998</v>
      </c>
    </row>
    <row r="195" spans="5:46" x14ac:dyDescent="0.25">
      <c r="E195" s="170">
        <f t="shared" si="934"/>
        <v>-0.13635114955041308</v>
      </c>
      <c r="F195" s="170">
        <f t="shared" si="934"/>
        <v>0.96513641656510518</v>
      </c>
      <c r="G195" s="170">
        <f t="shared" si="934"/>
        <v>-0.22342797818569754</v>
      </c>
      <c r="H195" s="139"/>
      <c r="I195" s="86"/>
      <c r="J195" s="79">
        <f t="shared" si="930"/>
        <v>5.117</v>
      </c>
      <c r="AL195">
        <v>-2.889039107688915</v>
      </c>
      <c r="AM195">
        <v>-1.9552899252535068</v>
      </c>
      <c r="AN195">
        <v>-0.50400152006858456</v>
      </c>
      <c r="AO195">
        <v>0.30591739009737429</v>
      </c>
      <c r="AP195">
        <v>-0.90940732090542764</v>
      </c>
      <c r="AQ195">
        <v>0.28176741316132253</v>
      </c>
      <c r="AR195">
        <v>0.314</v>
      </c>
      <c r="AS195">
        <v>0.52</v>
      </c>
      <c r="AT195">
        <v>5.1139999999999999</v>
      </c>
    </row>
    <row r="196" spans="5:46" x14ac:dyDescent="0.25">
      <c r="E196" s="170">
        <f t="shared" si="934"/>
        <v>-6.2270698272644594E-2</v>
      </c>
      <c r="F196" s="170">
        <f t="shared" si="934"/>
        <v>0.99134460452044537</v>
      </c>
      <c r="G196" s="170">
        <f t="shared" si="934"/>
        <v>-0.11557783189192948</v>
      </c>
      <c r="H196" s="139"/>
      <c r="I196" s="86"/>
      <c r="J196" s="79">
        <f t="shared" si="930"/>
        <v>5.12</v>
      </c>
      <c r="AL196">
        <v>-3.2544648715082052</v>
      </c>
      <c r="AM196">
        <v>-2.1671757239216842</v>
      </c>
      <c r="AN196">
        <v>-1.1543034813792998</v>
      </c>
      <c r="AO196">
        <v>0.13635114955041308</v>
      </c>
      <c r="AP196">
        <v>-0.96513641656510518</v>
      </c>
      <c r="AQ196">
        <v>0.22342797818569754</v>
      </c>
      <c r="AR196">
        <v>0.314</v>
      </c>
      <c r="AS196">
        <v>0.52</v>
      </c>
      <c r="AT196">
        <v>5.117</v>
      </c>
    </row>
    <row r="197" spans="5:46" x14ac:dyDescent="0.25">
      <c r="E197" s="170">
        <f t="shared" si="934"/>
        <v>-7.3715069090491997E-2</v>
      </c>
      <c r="F197" s="170">
        <f t="shared" si="934"/>
        <v>0.93116049728232342</v>
      </c>
      <c r="G197" s="170">
        <f t="shared" si="934"/>
        <v>-0.35708012670816663</v>
      </c>
      <c r="H197" s="139"/>
      <c r="I197" s="86"/>
      <c r="J197" s="79">
        <f t="shared" si="930"/>
        <v>5.2130000000000001</v>
      </c>
      <c r="AL197">
        <v>-3.4038608347851755</v>
      </c>
      <c r="AM197">
        <v>-2.2504026536526323</v>
      </c>
      <c r="AN197">
        <v>-1.8676056326985884</v>
      </c>
      <c r="AO197">
        <v>6.2270698272644594E-2</v>
      </c>
      <c r="AP197">
        <v>-0.99134460452044537</v>
      </c>
      <c r="AQ197">
        <v>0.11557783189192948</v>
      </c>
      <c r="AR197">
        <v>0.26600000000000001</v>
      </c>
      <c r="AS197">
        <v>0.52</v>
      </c>
      <c r="AT197">
        <v>5.12</v>
      </c>
    </row>
    <row r="198" spans="5:46" x14ac:dyDescent="0.25">
      <c r="E198" s="170">
        <f t="shared" si="934"/>
        <v>0.10400068132040249</v>
      </c>
      <c r="F198" s="170">
        <f t="shared" si="934"/>
        <v>0.94629167052310093</v>
      </c>
      <c r="G198" s="170">
        <f t="shared" si="934"/>
        <v>-0.30613058093482137</v>
      </c>
      <c r="H198" s="139"/>
      <c r="I198" s="86"/>
      <c r="J198" s="79">
        <f t="shared" si="930"/>
        <v>5.2160000000000002</v>
      </c>
      <c r="AL198">
        <v>-3.1047144522926771</v>
      </c>
      <c r="AM198">
        <v>-1.0690379634128528</v>
      </c>
      <c r="AN198">
        <v>-0.3141010263478955</v>
      </c>
      <c r="AO198">
        <v>7.3715069090491997E-2</v>
      </c>
      <c r="AP198">
        <v>-0.93116049728232342</v>
      </c>
      <c r="AQ198">
        <v>0.35708012670816663</v>
      </c>
      <c r="AR198">
        <v>0.26600000000000001</v>
      </c>
      <c r="AS198">
        <v>0.52</v>
      </c>
      <c r="AT198">
        <v>5.2130000000000001</v>
      </c>
    </row>
    <row r="199" spans="5:46" x14ac:dyDescent="0.25">
      <c r="E199" s="170">
        <f t="shared" si="934"/>
        <v>0.22646187740110063</v>
      </c>
      <c r="F199" s="170">
        <f t="shared" si="934"/>
        <v>0.95994629397456865</v>
      </c>
      <c r="G199" s="170">
        <f t="shared" si="934"/>
        <v>-0.1649791828336532</v>
      </c>
      <c r="H199" s="139"/>
      <c r="I199" s="86"/>
      <c r="J199" s="79">
        <f t="shared" si="930"/>
        <v>5.2190000000000003</v>
      </c>
      <c r="AL199">
        <v>-3.574883779775071</v>
      </c>
      <c r="AM199">
        <v>-1.3011501645902905</v>
      </c>
      <c r="AN199">
        <v>-0.88790275753711734</v>
      </c>
      <c r="AO199">
        <v>-0.10400068132040249</v>
      </c>
      <c r="AP199">
        <v>-0.94629167052310093</v>
      </c>
      <c r="AQ199">
        <v>0.30613058093482137</v>
      </c>
      <c r="AR199">
        <v>0.26600000000000001</v>
      </c>
      <c r="AS199">
        <v>0.52</v>
      </c>
      <c r="AT199">
        <v>5.2160000000000002</v>
      </c>
    </row>
    <row r="200" spans="5:46" x14ac:dyDescent="0.25">
      <c r="E200" s="170">
        <f t="shared" si="934"/>
        <v>0.49648042599006942</v>
      </c>
      <c r="F200" s="170">
        <f t="shared" si="934"/>
        <v>0.82857386471140404</v>
      </c>
      <c r="G200" s="170">
        <f t="shared" si="934"/>
        <v>-0.25879052789066115</v>
      </c>
      <c r="H200" s="139"/>
      <c r="I200" s="86"/>
      <c r="J200" s="79">
        <f t="shared" si="930"/>
        <v>6.109</v>
      </c>
      <c r="AL200">
        <v>-3.7341466530313285</v>
      </c>
      <c r="AM200">
        <v>-1.433403403247163</v>
      </c>
      <c r="AN200">
        <v>-1.6381050195439388</v>
      </c>
      <c r="AO200">
        <v>-0.22646187740110063</v>
      </c>
      <c r="AP200">
        <v>-0.95994629397456865</v>
      </c>
      <c r="AQ200">
        <v>0.1649791828336532</v>
      </c>
      <c r="AR200">
        <v>0.26600000000000001</v>
      </c>
      <c r="AS200">
        <v>0.52</v>
      </c>
      <c r="AT200">
        <v>5.2190000000000003</v>
      </c>
    </row>
    <row r="201" spans="5:46" x14ac:dyDescent="0.25">
      <c r="E201" s="170">
        <f t="shared" si="934"/>
        <v>0.60802901120283481</v>
      </c>
      <c r="F201" s="170">
        <f t="shared" si="934"/>
        <v>0.7439901650149805</v>
      </c>
      <c r="G201" s="170">
        <f t="shared" si="934"/>
        <v>-0.2770908802120437</v>
      </c>
      <c r="H201" s="139"/>
      <c r="I201" s="86"/>
      <c r="J201" s="79">
        <f t="shared" si="930"/>
        <v>6.1120000000000001</v>
      </c>
      <c r="AL201">
        <v>-1.987484130528798</v>
      </c>
      <c r="AM201">
        <v>1.1497886076134707</v>
      </c>
      <c r="AN201">
        <v>-6.4400194230985808E-2</v>
      </c>
      <c r="AO201">
        <v>-0.49648042599006942</v>
      </c>
      <c r="AP201">
        <v>-0.82857386471140404</v>
      </c>
      <c r="AQ201">
        <v>0.25879052789066115</v>
      </c>
      <c r="AR201">
        <v>0.314</v>
      </c>
      <c r="AS201">
        <v>0.52</v>
      </c>
      <c r="AT201">
        <v>6.109</v>
      </c>
    </row>
    <row r="202" spans="5:46" x14ac:dyDescent="0.25">
      <c r="E202" s="170">
        <f t="shared" si="934"/>
        <v>0.73801472642419974</v>
      </c>
      <c r="F202" s="170">
        <f t="shared" si="934"/>
        <v>0.61804725204930111</v>
      </c>
      <c r="G202" s="170">
        <f t="shared" si="934"/>
        <v>-0.27083548108643635</v>
      </c>
      <c r="H202" s="139"/>
      <c r="I202" s="86"/>
      <c r="J202" s="79">
        <f t="shared" si="930"/>
        <v>6.1150000000000002</v>
      </c>
      <c r="AL202">
        <v>-2.6331091679115239</v>
      </c>
      <c r="AM202">
        <v>1.5528780013154133</v>
      </c>
      <c r="AN202">
        <v>-0.21250064090193296</v>
      </c>
      <c r="AO202">
        <v>-0.60802901120283481</v>
      </c>
      <c r="AP202">
        <v>-0.7439901650149805</v>
      </c>
      <c r="AQ202">
        <v>0.2770908802120437</v>
      </c>
      <c r="AR202">
        <v>0.314</v>
      </c>
      <c r="AS202">
        <v>0.52</v>
      </c>
      <c r="AT202">
        <v>6.1120000000000001</v>
      </c>
    </row>
    <row r="203" spans="5:46" x14ac:dyDescent="0.25">
      <c r="E203" s="170">
        <f t="shared" si="934"/>
        <v>0.85125439212298681</v>
      </c>
      <c r="F203" s="170">
        <f t="shared" si="934"/>
        <v>0.48992907874736225</v>
      </c>
      <c r="G203" s="170">
        <f t="shared" si="934"/>
        <v>-0.18797727971509026</v>
      </c>
      <c r="H203" s="139"/>
      <c r="I203" s="86"/>
      <c r="J203" s="79">
        <f t="shared" si="930"/>
        <v>6.1180000000000003</v>
      </c>
      <c r="AL203">
        <v>-3.1364175102271341</v>
      </c>
      <c r="AM203">
        <v>1.8912621089074813</v>
      </c>
      <c r="AN203">
        <v>-0.69600209914233058</v>
      </c>
      <c r="AO203">
        <v>-0.73801472642419974</v>
      </c>
      <c r="AP203">
        <v>-0.61804725204930111</v>
      </c>
      <c r="AQ203">
        <v>0.27083548108643635</v>
      </c>
      <c r="AR203">
        <v>0.314</v>
      </c>
      <c r="AS203">
        <v>0.52</v>
      </c>
      <c r="AT203">
        <v>6.1150000000000002</v>
      </c>
    </row>
    <row r="204" spans="5:46" x14ac:dyDescent="0.25">
      <c r="E204" s="170">
        <f t="shared" si="934"/>
        <v>0.87214652258403569</v>
      </c>
      <c r="F204" s="170">
        <f t="shared" si="934"/>
        <v>0.47539689515155137</v>
      </c>
      <c r="G204" s="170">
        <f t="shared" si="934"/>
        <v>-0.11557783189192936</v>
      </c>
      <c r="H204" s="139"/>
      <c r="I204" s="86"/>
      <c r="J204" s="79">
        <f t="shared" si="930"/>
        <v>6.1210000000000004</v>
      </c>
      <c r="AL204">
        <v>-3.3927688721520011</v>
      </c>
      <c r="AM204">
        <v>2.0717685185233767</v>
      </c>
      <c r="AN204">
        <v>-1.4051042377943812</v>
      </c>
      <c r="AO204">
        <v>-0.85125439212298681</v>
      </c>
      <c r="AP204">
        <v>-0.48992907874736225</v>
      </c>
      <c r="AQ204">
        <v>0.18797727971509026</v>
      </c>
      <c r="AR204">
        <v>0.314</v>
      </c>
      <c r="AS204">
        <v>0.52</v>
      </c>
      <c r="AT204">
        <v>6.1180000000000003</v>
      </c>
    </row>
    <row r="205" spans="5:46" x14ac:dyDescent="0.25">
      <c r="E205" s="170">
        <f t="shared" si="934"/>
        <v>0.7483846090664209</v>
      </c>
      <c r="F205" s="170">
        <f t="shared" si="934"/>
        <v>0.56784617479148769</v>
      </c>
      <c r="G205" s="170">
        <f t="shared" si="934"/>
        <v>-0.34274071641282361</v>
      </c>
      <c r="H205" s="139"/>
      <c r="I205" s="86"/>
      <c r="J205" s="79">
        <f t="shared" si="930"/>
        <v>6.2110000000000003</v>
      </c>
      <c r="AL205">
        <v>-3.4780915476998193</v>
      </c>
      <c r="AM205">
        <v>2.1338837531529964</v>
      </c>
      <c r="AN205">
        <v>-2.1111063670968035</v>
      </c>
      <c r="AO205">
        <v>-0.87214652258403569</v>
      </c>
      <c r="AP205">
        <v>-0.47539689515155137</v>
      </c>
      <c r="AQ205">
        <v>0.11557783189192936</v>
      </c>
      <c r="AR205">
        <v>0.26600000000000001</v>
      </c>
      <c r="AS205">
        <v>0.52</v>
      </c>
      <c r="AT205">
        <v>6.1210000000000004</v>
      </c>
    </row>
    <row r="206" spans="5:46" x14ac:dyDescent="0.25">
      <c r="E206" s="170">
        <f t="shared" si="934"/>
        <v>0.83839036168873515</v>
      </c>
      <c r="F206" s="170">
        <f t="shared" si="934"/>
        <v>0.41816906640027812</v>
      </c>
      <c r="G206" s="170">
        <f t="shared" si="934"/>
        <v>-0.34962298742123893</v>
      </c>
      <c r="H206" s="139"/>
      <c r="I206" s="86"/>
      <c r="J206" s="79">
        <f t="shared" si="930"/>
        <v>6.2140000000000004</v>
      </c>
      <c r="AL206">
        <v>-1.9545659275145264</v>
      </c>
      <c r="AM206">
        <v>2.0240127173519706</v>
      </c>
      <c r="AN206">
        <v>-0.10220037036591702</v>
      </c>
      <c r="AO206">
        <v>-0.7483846090664209</v>
      </c>
      <c r="AP206">
        <v>-0.56784617479148769</v>
      </c>
      <c r="AQ206">
        <v>0.34274071641282361</v>
      </c>
      <c r="AR206">
        <v>0.26600000000000001</v>
      </c>
      <c r="AS206">
        <v>0.52</v>
      </c>
      <c r="AT206">
        <v>6.2110000000000003</v>
      </c>
    </row>
    <row r="207" spans="5:46" x14ac:dyDescent="0.25">
      <c r="E207" s="170">
        <f t="shared" si="934"/>
        <v>0.92461326592830362</v>
      </c>
      <c r="F207" s="170">
        <f t="shared" si="934"/>
        <v>0.2676525233855454</v>
      </c>
      <c r="G207" s="170">
        <f t="shared" si="934"/>
        <v>-0.27102109732407598</v>
      </c>
      <c r="H207" s="139"/>
      <c r="I207" s="86"/>
      <c r="J207" s="79">
        <f t="shared" si="930"/>
        <v>6.2169999999999996</v>
      </c>
      <c r="AL207">
        <v>-2.466749166162491</v>
      </c>
      <c r="AM207">
        <v>2.4667497256086763</v>
      </c>
      <c r="AN207">
        <v>-0.48280152006858468</v>
      </c>
      <c r="AO207">
        <v>-0.83839036168873515</v>
      </c>
      <c r="AP207">
        <v>-0.41816906640027812</v>
      </c>
      <c r="AQ207">
        <v>0.34962298742123893</v>
      </c>
      <c r="AR207">
        <v>0.26600000000000001</v>
      </c>
      <c r="AS207">
        <v>0.52</v>
      </c>
      <c r="AT207">
        <v>6.2140000000000004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  <c r="AL208">
        <v>-2.8126267873616211</v>
      </c>
      <c r="AM208">
        <v>2.7161227463522781</v>
      </c>
      <c r="AN208">
        <v>-1.1330034813793</v>
      </c>
      <c r="AO208">
        <v>-0.92461326592830362</v>
      </c>
      <c r="AP208">
        <v>-0.2676525233855454</v>
      </c>
      <c r="AQ208">
        <v>0.27102109732407598</v>
      </c>
      <c r="AR208">
        <v>0.26600000000000001</v>
      </c>
      <c r="AS208">
        <v>0.52</v>
      </c>
      <c r="AT208">
        <v>6.2169999999999996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0BA8D86-5AB9-4342-9A53-2933CFD7897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BE872F71-CA7D-4C55-9E37-B7A2A1C09B37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1.212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1.2150000000000001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1.218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2.1139999999999999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2.117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2.2130000000000001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2.2160000000000002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2.2189999999999999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3.1120000000000001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3.1150000000000002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3.1179999999999999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3.2109999999999999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3.214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3.2170000000000001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4.1100000000000003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4.1130000000000004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4.1159999999999997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4.1189999999999998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4.1219999999999999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4.2119999999999997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4.2149999999999999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4.218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5.1020000000000003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5.1050000000000004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5.1079999999999997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5.1109999999999998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5.1139999999999999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5.117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5.2130000000000001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5.2160000000000002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5.2190000000000003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6.109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6.1120000000000001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6.1150000000000002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6.1180000000000003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6.1210000000000004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6.2110000000000003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6.2140000000000004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6.2169999999999996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2023-03-29T12:41:26Z</dcterms:modified>
</cp:coreProperties>
</file>