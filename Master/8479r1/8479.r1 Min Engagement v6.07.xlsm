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8479\"/>
    </mc:Choice>
  </mc:AlternateContent>
  <xr:revisionPtr revIDLastSave="0" documentId="13_ncr:1_{E75CB08C-5A9C-4F67-9DF5-36E64B994B74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37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5" i="1" l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02" i="1" l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83" i="1" l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2" i="1" l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8" i="1" l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78" i="1" l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<sst xmlns="http://schemas.openxmlformats.org/spreadsheetml/2006/main" count="734" uniqueCount="391">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</sst>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3.9375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M1" sqref="M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7.875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32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1.112's θ about Z Axis</v>
      </c>
      <c r="U5" s="1136"/>
      <c r="V5" s="1137"/>
      <c r="W5" s="1136" t="str">
        <f>CONCATENATE("Relative to ",M8,"'s θ about Z Axis")</f>
        <v>Relative to 1.112's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1.112's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89.091000131243348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-0.10330031155373964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0.34250103298311552</v>
      </c>
      <c r="D9" s="704">
        <v>-0.50390151976698372</v>
      </c>
      <c r="E9" s="705">
        <v>-0.93969263802333458</v>
      </c>
      <c r="F9" s="703">
        <v>-8.852130215629557E-2</v>
      </c>
      <c r="G9" s="706">
        <v>0.33036604714967344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0.34250103298311552</v>
      </c>
      <c r="P9" s="625">
        <f t="shared" ref="P9:P40" si="4">IF(M9="","",D9)</f>
        <v>-0.50390151976698372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0.34250103298311552</v>
      </c>
      <c r="S9" s="626">
        <f>IF(M9="","",P9)</f>
        <v>-0.50390151976698372</v>
      </c>
      <c r="T9" s="627">
        <f>IF(M9="","",X9*COS(RADIANS(W9)))</f>
        <v>0.34245793021550841</v>
      </c>
      <c r="U9" s="624">
        <f>IF(M9="","",X9*SIN(RADIANS(W9)))</f>
        <v>5.4335648529454331E-3</v>
      </c>
      <c r="V9" s="628">
        <f>IF(M9="","",Y9)</f>
        <v>-0.50390151976698372</v>
      </c>
      <c r="W9" s="583">
        <f t="shared" ref="W9:W14" si="5">IF(M9="","",IF(Q9-$Q$8&lt;0,360+Q9-$Q$8,Q9-$Q$8))</f>
        <v>0.90899986875665206</v>
      </c>
      <c r="X9" s="629">
        <f>IF(M9="","",R9)</f>
        <v>0.34250103298311552</v>
      </c>
      <c r="Y9" s="630">
        <f>IF(M9="","",S9)</f>
        <v>-0.50390151976698372</v>
      </c>
      <c r="Z9" s="623">
        <f t="shared" ref="Z9:Z40" si="6">IF(M9="","",-E9)</f>
        <v>0.93969263802333458</v>
      </c>
      <c r="AA9" s="624">
        <f t="shared" ref="AA9:AA40" si="7">IF(M9="","",-F9)</f>
        <v>8.852130215629557E-2</v>
      </c>
      <c r="AB9" s="624">
        <f t="shared" ref="AB9:AB40" si="8">IF(M9="","",-G9)</f>
        <v>-0.33036604714967344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8.852130215629557E-2</v>
      </c>
      <c r="AF9" s="625">
        <f>IF(M9="","",AB9*(1/SQRT(Z9^2+AA9^2+AB9^2)))</f>
        <v>-0.33036604714967344</v>
      </c>
      <c r="AG9" s="599">
        <f>IF(M9="","",DEGREES(ATAN2(-AF9,AE9)))</f>
        <v>14.999997834268262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8.852130215629557E-2</v>
      </c>
      <c r="AM9" s="626">
        <f>IF(M9="","",AF9)</f>
        <v>-0.33036604714967344</v>
      </c>
      <c r="AN9" s="581">
        <f>IF(M9="","",DEGREES(ATAN2(-AM9,AL9)))</f>
        <v>14.999997834268262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5.3815187622394784</v>
      </c>
      <c r="AQ9" s="584">
        <f t="shared" ref="AQ9:AQ40" si="9">IF(M9="","",DEGREES(ATAN(($AS$5*SIN(RADIANS(90)))/(($X9*2*PI())-($AS$5*COS(RADIANS(90)))))))</f>
        <v>6.6264131685611538</v>
      </c>
      <c r="AS9" s="51">
        <f>IF(M9="","",W9)</f>
        <v>0.90899986875665206</v>
      </c>
      <c r="AT9" s="71">
        <f t="shared" ref="AT9:AT40" si="10">IF(M9="","",Y9+(((AS9-$AS$9)*$AS$6)*-1))</f>
        <v>-0.50390151976698372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28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1.0397031357446576</v>
      </c>
      <c r="D10" s="709">
        <v>-0.3171009563764845</v>
      </c>
      <c r="E10" s="710">
        <v>-0.96592583607220739</v>
      </c>
      <c r="F10" s="708">
        <v>-6.6987279208207184E-2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1.0397031357446576</v>
      </c>
      <c r="P10" s="633">
        <f t="shared" si="4"/>
        <v>-0.3171009563764845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1.0397031357446576</v>
      </c>
      <c r="S10" s="634">
        <f t="shared" ref="S10:S105" si="80">IF(M10="","",P10)</f>
        <v>-0.3171009563764845</v>
      </c>
      <c r="T10" s="635">
        <f t="shared" ref="T10:T105" si="81">IF(M10="","",X10*COS(RADIANS(W10)))</f>
        <v>1.0395722921023769</v>
      </c>
      <c r="U10" s="629">
        <f t="shared" ref="U10:U105" si="82">IF(M10="","",X10*SIN(RADIANS(W10)))</f>
        <v>1.6494240518561656E-2</v>
      </c>
      <c r="V10" s="636">
        <f>IF(M10="","",Y10)</f>
        <v>-0.3171009563764845</v>
      </c>
      <c r="W10" s="585">
        <f t="shared" si="5"/>
        <v>0.90899986875665206</v>
      </c>
      <c r="X10" s="629">
        <f t="shared" ref="X10:X105" si="83">IF(M10="","",R10)</f>
        <v>1.0397031357446576</v>
      </c>
      <c r="Y10" s="630">
        <f>IF(M10="","",S10)</f>
        <v>-0.3171009563764845</v>
      </c>
      <c r="Z10" s="632">
        <f t="shared" si="6"/>
        <v>0.96592583607220739</v>
      </c>
      <c r="AA10" s="629">
        <f t="shared" si="7"/>
        <v>6.6987279208207184E-2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6.6987279208207184E-2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14.999997834268264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6.6987279208207184E-2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14.999997834268264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3.9671296450865703</v>
      </c>
      <c r="AQ10" s="586">
        <f t="shared" si="9"/>
        <v>2.1916012491785049</v>
      </c>
      <c r="AS10" s="52">
        <f>IF($M10="","",IF(AND($W10&lt;($AS$9+180),$W10&gt;($AS$9-180)),$W10,IF($W10&gt;($AS$9+180),$W10-360,IF($W10&lt;($AS$9-180),$W10+360,"Error"))))</f>
        <v>0.90899986875665206</v>
      </c>
      <c r="AT10" s="72">
        <f t="shared" si="10"/>
        <v>-0.3171009563764845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1513</v>
      </c>
      <c r="JB10" s="787" cm="1">
        <f t="array" ref="JB10">IF($JA10="","",COUNT(IF(IF($II$9:$II$150="",$IJ$9:$IJ$150,"")=$JA10,$IG$9:$IG$150,"")))</f>
        <v>4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1.7115051618995685</v>
      </c>
      <c r="D11" s="709">
        <v>-0.11310034111062879</v>
      </c>
      <c r="E11" s="710">
        <v>-0.96592583607220739</v>
      </c>
      <c r="F11" s="708">
        <v>-5.0271535051510788E-2</v>
      </c>
      <c r="G11" s="711">
        <v>0.2538898421988795</v>
      </c>
      <c r="H11" s="710">
        <v>0.28999999999999998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1513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1.7115051618995685</v>
      </c>
      <c r="P11" s="633">
        <f t="shared" si="4"/>
        <v>-0.11310034111062879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1.7115051618995685</v>
      </c>
      <c r="S11" s="634">
        <f t="shared" si="80"/>
        <v>-0.11310034111062879</v>
      </c>
      <c r="T11" s="635">
        <f t="shared" si="81"/>
        <v>1.7112897739090296</v>
      </c>
      <c r="U11" s="629">
        <f t="shared" si="82"/>
        <v>2.7151959841798856E-2</v>
      </c>
      <c r="V11" s="636">
        <f t="shared" ref="V11:V105" si="114">IF(M11="","",Y11)</f>
        <v>-0.11310034111062879</v>
      </c>
      <c r="W11" s="585">
        <f t="shared" si="5"/>
        <v>0.90899986875665206</v>
      </c>
      <c r="X11" s="629">
        <f>IF(M11="","",R11)</f>
        <v>1.7115051618995685</v>
      </c>
      <c r="Y11" s="630">
        <f>IF(M11="","",S11)</f>
        <v>-0.11310034111062879</v>
      </c>
      <c r="Z11" s="632">
        <f t="shared" si="6"/>
        <v>0.96592583607220739</v>
      </c>
      <c r="AA11" s="629">
        <f t="shared" si="7"/>
        <v>5.0271535051510788E-2</v>
      </c>
      <c r="AB11" s="629">
        <f t="shared" si="8"/>
        <v>-0.2538898421988795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5.0271535051510788E-2</v>
      </c>
      <c r="AF11" s="633">
        <f t="shared" si="86"/>
        <v>-0.2538898421988795</v>
      </c>
      <c r="AG11" s="602">
        <f>IF(M11="","",DEGREES(ATAN2(-AF11,AE11)))</f>
        <v>11.199998382920306</v>
      </c>
      <c r="AH11" s="603">
        <f t="shared" si="88"/>
        <v>14.999997834268255</v>
      </c>
      <c r="AI11" s="585">
        <f t="shared" si="89"/>
        <v>-75.292186949482485</v>
      </c>
      <c r="AJ11" s="586">
        <f t="shared" si="90"/>
        <v>92.979266377344999</v>
      </c>
      <c r="AK11" s="635">
        <f>IF(M11="","",(COS(RADIANS((90-$Q$8)-W11))*AD11)+(-SIN(RADIANS((90-$Q$8)-W11))*AE11))</f>
        <v>0.96592583607220739</v>
      </c>
      <c r="AL11" s="629">
        <f t="shared" si="91"/>
        <v>5.0271535051510788E-2</v>
      </c>
      <c r="AM11" s="634">
        <f t="shared" si="92"/>
        <v>-0.2538898421988795</v>
      </c>
      <c r="AN11" s="581">
        <f>IF(M11="","",DEGREES(ATAN2(-AM11,AL11)))</f>
        <v>11.199998382920306</v>
      </c>
      <c r="AO11" s="582">
        <f>IF(ROUND(IF(M11="",0,DEGREES(ACOS(AK11))),4)=90,0,IF(M11="","",DEGREES(ACOS(AK11))))</f>
        <v>14.999997834268255</v>
      </c>
      <c r="AP11" s="585">
        <f t="shared" si="95"/>
        <v>2.9792663773450134</v>
      </c>
      <c r="AQ11" s="586">
        <f t="shared" si="9"/>
        <v>1.3317611393699091</v>
      </c>
      <c r="AS11" s="52">
        <f t="shared" ref="AS11:AS42" si="116">IF(G11="","",IF(AND(W11&lt;(AS10+180),W11&gt;(AS10-180)),W11,IF(W11&gt;(AS10+180),W11-360,IF(W11&lt;(AS10-180),W11+360,"Error"))))</f>
        <v>0.90899986875665206</v>
      </c>
      <c r="AT11" s="72">
        <f t="shared" si="10"/>
        <v>-0.11310034111062879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1513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4.0132230681740488E-2</v>
      </c>
      <c r="C12" s="708">
        <v>2.5293892731859016</v>
      </c>
      <c r="D12" s="709">
        <v>-0.10330031155373964</v>
      </c>
      <c r="E12" s="710">
        <v>-0.96115222939803513</v>
      </c>
      <c r="F12" s="708">
        <v>0.12713249436304336</v>
      </c>
      <c r="G12" s="711">
        <v>0.24499738937429033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4.0132230681740488E-2</v>
      </c>
      <c r="O12" s="629">
        <f t="shared" si="3"/>
        <v>2.5293892731859016</v>
      </c>
      <c r="P12" s="633">
        <f t="shared" si="4"/>
        <v>-0.10330031155373964</v>
      </c>
      <c r="Q12" s="585">
        <f>IF(M12="","",IF(DEGREES(ATAN2(N12,O12))&lt;0,DEGREES(ATAN2(N12,O12))+360,IF(DEGREES(ATAN2(N12,O12))&gt;360,DEGREES(ATAN2(N12,O12))-360,DEGREES(ATAN2(N12,O12)))))</f>
        <v>89.091000131243348</v>
      </c>
      <c r="R12" s="629">
        <f t="shared" si="79"/>
        <v>2.5297076295982102</v>
      </c>
      <c r="S12" s="634">
        <f t="shared" si="80"/>
        <v>-0.10330031155373964</v>
      </c>
      <c r="T12" s="635">
        <f>IF(M12="","",X12*COS(RADIANS(W12)))</f>
        <v>2.5297076295982102</v>
      </c>
      <c r="U12" s="629">
        <f t="shared" si="82"/>
        <v>0</v>
      </c>
      <c r="V12" s="636">
        <f t="shared" si="114"/>
        <v>-0.10330031155373964</v>
      </c>
      <c r="W12" s="585">
        <f>IF(M12="","",IF(Q12-$Q$8&lt;0,360+Q12-$Q$8,Q12-$Q$8))</f>
        <v>0</v>
      </c>
      <c r="X12" s="629">
        <f t="shared" si="83"/>
        <v>2.5297076295982102</v>
      </c>
      <c r="Y12" s="630">
        <f>IF(M12="","",S12)</f>
        <v>-0.10330031155373964</v>
      </c>
      <c r="Z12" s="632">
        <f t="shared" si="6"/>
        <v>0.96115222939803513</v>
      </c>
      <c r="AA12" s="629">
        <f t="shared" si="7"/>
        <v>-0.12713249436304336</v>
      </c>
      <c r="AB12" s="629">
        <f t="shared" si="8"/>
        <v>-0.24499738937429033</v>
      </c>
      <c r="AC12" s="636">
        <f t="shared" si="84"/>
        <v>1</v>
      </c>
      <c r="AD12" s="637">
        <f t="shared" si="115"/>
        <v>0.96115222939803513</v>
      </c>
      <c r="AE12" s="629">
        <f t="shared" si="85"/>
        <v>-0.12713249436304336</v>
      </c>
      <c r="AF12" s="633">
        <f t="shared" si="86"/>
        <v>-0.24499738937429033</v>
      </c>
      <c r="AG12" s="602">
        <f t="shared" si="87"/>
        <v>-27.425415709647478</v>
      </c>
      <c r="AH12" s="603">
        <f t="shared" si="88"/>
        <v>16.022738694456642</v>
      </c>
      <c r="AI12" s="585">
        <f t="shared" si="89"/>
        <v>-75.818320551192713</v>
      </c>
      <c r="AJ12" s="586">
        <f t="shared" si="90"/>
        <v>82.465173195690269</v>
      </c>
      <c r="AK12" s="635">
        <f t="shared" ref="AK12:AK105" si="211">IF(M12="","",(COS(RADIANS((90-$Q$8)-W12))*AD12)+(-SIN(RADIANS((90-$Q$8)-W12))*AE12))</f>
        <v>0.96304814873644928</v>
      </c>
      <c r="AL12" s="629">
        <f>IF(M12="","",(SIN(RADIANS((90-$Q$8)-W12))*AD12)+(COS(RADIANS((90-$Q$8)-W12))*AE12))</f>
        <v>-0.11186841562782718</v>
      </c>
      <c r="AM12" s="634">
        <f t="shared" si="92"/>
        <v>-0.24499738937429033</v>
      </c>
      <c r="AN12" s="581">
        <f>IF(M12="","",DEGREES(ATAN2(-AM12,AL12)))</f>
        <v>-24.54194365811097</v>
      </c>
      <c r="AO12" s="582">
        <f t="shared" si="94"/>
        <v>15.624359248728833</v>
      </c>
      <c r="AP12" s="585">
        <f t="shared" si="95"/>
        <v>-6.6258269355530892</v>
      </c>
      <c r="AQ12" s="586">
        <f t="shared" si="9"/>
        <v>0.90110755899813211</v>
      </c>
      <c r="AS12" s="52">
        <f t="shared" si="116"/>
        <v>0</v>
      </c>
      <c r="AT12" s="72">
        <f>IF(M12="","",Y12+(((AS12-$AS$9)*$AS$6)*-1))</f>
        <v>-0.10266906164488086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0.10671800505799521</v>
      </c>
      <c r="C13" s="708">
        <v>3.2095359730593964</v>
      </c>
      <c r="D13" s="709">
        <v>-0.48070144979557244</v>
      </c>
      <c r="E13" s="710">
        <v>-0.93431531721094707</v>
      </c>
      <c r="F13" s="708">
        <v>0.29514909530410416</v>
      </c>
      <c r="G13" s="711">
        <v>0.1998546961324057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110</v>
      </c>
      <c r="M13" s="168">
        <f t="shared" si="1"/>
        <v>1.1180000000000001</v>
      </c>
      <c r="N13" s="632">
        <f t="shared" si="2"/>
        <v>0.10671800505799521</v>
      </c>
      <c r="O13" s="629">
        <f t="shared" si="3"/>
        <v>3.2095359730593964</v>
      </c>
      <c r="P13" s="633">
        <f t="shared" si="4"/>
        <v>-0.48070144979557244</v>
      </c>
      <c r="Q13" s="585">
        <f t="shared" si="113"/>
        <v>88.095600274961299</v>
      </c>
      <c r="R13" s="629">
        <f t="shared" si="79"/>
        <v>3.2113096853100114</v>
      </c>
      <c r="S13" s="634">
        <f t="shared" si="80"/>
        <v>-0.48070144979557244</v>
      </c>
      <c r="T13" s="635">
        <f>IF(M13="","",X13*COS(RADIANS(W13)))</f>
        <v>3.2108250766700936</v>
      </c>
      <c r="U13" s="629">
        <f t="shared" si="82"/>
        <v>-5.5787292391470795E-2</v>
      </c>
      <c r="V13" s="636">
        <f t="shared" si="114"/>
        <v>-0.48070144979557244</v>
      </c>
      <c r="W13" s="585">
        <f t="shared" si="5"/>
        <v>359.00460014371794</v>
      </c>
      <c r="X13" s="629">
        <f t="shared" si="83"/>
        <v>3.2113096853100114</v>
      </c>
      <c r="Y13" s="630">
        <f>IF(M13="","",S13)</f>
        <v>-0.48070144979557244</v>
      </c>
      <c r="Z13" s="632">
        <f t="shared" si="6"/>
        <v>0.93431531721094707</v>
      </c>
      <c r="AA13" s="629">
        <f t="shared" si="7"/>
        <v>-0.29514909530410416</v>
      </c>
      <c r="AB13" s="629">
        <f t="shared" si="8"/>
        <v>-0.1998546961324057</v>
      </c>
      <c r="AC13" s="636">
        <f t="shared" si="84"/>
        <v>1</v>
      </c>
      <c r="AD13" s="637">
        <f>IF(M13="","",Z13*(1/SQRT(Z13^2+AA13^2+AB13^2)))</f>
        <v>0.93431531721094707</v>
      </c>
      <c r="AE13" s="629">
        <f t="shared" si="85"/>
        <v>-0.29514909530410416</v>
      </c>
      <c r="AF13" s="633">
        <f t="shared" si="86"/>
        <v>-0.1998546961324057</v>
      </c>
      <c r="AG13" s="602">
        <f>IF(M13="","",DEGREES(ATAN2(-AF13,AE13)))</f>
        <v>-55.896840711143341</v>
      </c>
      <c r="AH13" s="603">
        <f t="shared" si="88"/>
        <v>20.882190246745836</v>
      </c>
      <c r="AI13" s="585">
        <f t="shared" si="89"/>
        <v>-78.471537810668664</v>
      </c>
      <c r="AJ13" s="586">
        <f t="shared" si="90"/>
        <v>72.468735449451714</v>
      </c>
      <c r="AK13" s="635">
        <f t="shared" si="211"/>
        <v>0.94360763687041693</v>
      </c>
      <c r="AL13" s="629">
        <f t="shared" si="91"/>
        <v>-0.2639369774655515</v>
      </c>
      <c r="AM13" s="634">
        <f t="shared" si="92"/>
        <v>-0.1998546961324057</v>
      </c>
      <c r="AN13" s="581">
        <f t="shared" si="93"/>
        <v>-52.866771483808151</v>
      </c>
      <c r="AO13" s="582">
        <f t="shared" si="94"/>
        <v>19.3334838175562</v>
      </c>
      <c r="AP13" s="585">
        <f t="shared" si="95"/>
        <v>-15.626864825509541</v>
      </c>
      <c r="AQ13" s="586">
        <f t="shared" si="9"/>
        <v>0.70986924566868148</v>
      </c>
      <c r="AS13" s="52">
        <f t="shared" si="116"/>
        <v>-0.99539985628206296</v>
      </c>
      <c r="AT13" s="72">
        <f t="shared" si="10"/>
        <v>-0.47937894998651776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0.15517694081864869</v>
      </c>
      <c r="C14" s="708">
        <v>3.6043720558351167</v>
      </c>
      <c r="D14" s="709">
        <v>-1.147403460568837</v>
      </c>
      <c r="E14" s="710">
        <v>-0.88476121279145259</v>
      </c>
      <c r="F14" s="708">
        <v>0.45069575733765771</v>
      </c>
      <c r="G14" s="711">
        <v>0.11862095370394438</v>
      </c>
      <c r="H14" s="710">
        <v>0.314</v>
      </c>
      <c r="I14" s="708">
        <v>0.52</v>
      </c>
      <c r="J14" s="570">
        <v>1.1240000000000001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1.1240000000000001</v>
      </c>
      <c r="N14" s="632">
        <f t="shared" si="2"/>
        <v>0.15517694081864869</v>
      </c>
      <c r="O14" s="629">
        <f t="shared" si="3"/>
        <v>3.6043720558351167</v>
      </c>
      <c r="P14" s="633">
        <f t="shared" si="4"/>
        <v>-1.147403460568837</v>
      </c>
      <c r="Q14" s="585">
        <f t="shared" si="113"/>
        <v>87.534800355930798</v>
      </c>
      <c r="R14" s="629">
        <f t="shared" si="79"/>
        <v>3.607710880856017</v>
      </c>
      <c r="S14" s="634">
        <f t="shared" si="80"/>
        <v>-1.147403460568837</v>
      </c>
      <c r="T14" s="635">
        <f t="shared" si="81"/>
        <v>3.6063802411960095</v>
      </c>
      <c r="U14" s="629">
        <f t="shared" si="82"/>
        <v>-9.7976302022010436E-2</v>
      </c>
      <c r="V14" s="636">
        <f t="shared" si="114"/>
        <v>-1.147403460568837</v>
      </c>
      <c r="W14" s="585">
        <f t="shared" si="5"/>
        <v>358.44380022468744</v>
      </c>
      <c r="X14" s="629">
        <f t="shared" si="83"/>
        <v>3.607710880856017</v>
      </c>
      <c r="Y14" s="630">
        <f t="shared" ref="Y14:Y75" si="223">IF(M14="","",S14)</f>
        <v>-1.147403460568837</v>
      </c>
      <c r="Z14" s="632">
        <f t="shared" si="6"/>
        <v>0.88476121279145259</v>
      </c>
      <c r="AA14" s="629">
        <f t="shared" si="7"/>
        <v>-0.45069575733765771</v>
      </c>
      <c r="AB14" s="629">
        <f t="shared" si="8"/>
        <v>-0.11862095370394438</v>
      </c>
      <c r="AC14" s="636">
        <f t="shared" si="84"/>
        <v>1</v>
      </c>
      <c r="AD14" s="637">
        <f>IF(M14="","",Z14*(1/SQRT(Z14^2+AA14^2+AB14^2)))</f>
        <v>0.88476121279145259</v>
      </c>
      <c r="AE14" s="629">
        <f t="shared" si="85"/>
        <v>-0.45069575733765771</v>
      </c>
      <c r="AF14" s="633">
        <f t="shared" si="86"/>
        <v>-0.11862095370394438</v>
      </c>
      <c r="AG14" s="602">
        <f t="shared" si="87"/>
        <v>-75.254438930157605</v>
      </c>
      <c r="AH14" s="603">
        <f t="shared" si="88"/>
        <v>27.777849622497421</v>
      </c>
      <c r="AI14" s="585">
        <f t="shared" si="89"/>
        <v>-83.187479414473628</v>
      </c>
      <c r="AJ14" s="586">
        <f t="shared" si="90"/>
        <v>63.005789068358261</v>
      </c>
      <c r="AK14" s="635">
        <f>IF(M14="","",(COS(RADIANS((90-$Q$8)-W14))*AD14)+(-SIN(RADIANS((90-$Q$8)-W14))*AE14))</f>
        <v>0.9033279794201905</v>
      </c>
      <c r="AL14" s="629">
        <f t="shared" si="91"/>
        <v>-0.41222279284266039</v>
      </c>
      <c r="AM14" s="634">
        <f t="shared" si="92"/>
        <v>-0.11862095370394438</v>
      </c>
      <c r="AN14" s="581">
        <f t="shared" si="93"/>
        <v>-73.946333635013175</v>
      </c>
      <c r="AO14" s="582">
        <f t="shared" si="94"/>
        <v>25.400976888737702</v>
      </c>
      <c r="AP14" s="585">
        <f>IF(M14="","",DEGREES(ATAN2(AK14,AL14)))</f>
        <v>-24.529011287572505</v>
      </c>
      <c r="AQ14" s="586">
        <f t="shared" si="9"/>
        <v>0.63187829702389975</v>
      </c>
      <c r="AS14" s="52">
        <f t="shared" si="116"/>
        <v>-1.5561997753125638</v>
      </c>
      <c r="AT14" s="72">
        <f t="shared" si="10"/>
        <v>-1.1456915163715666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1.1240000000000001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0.16499936313482874</v>
      </c>
      <c r="C15" s="708">
        <v>3.6832171826962794</v>
      </c>
      <c r="D15" s="709">
        <v>-1.9392058486448396</v>
      </c>
      <c r="E15" s="710">
        <v>-0.84278140031771642</v>
      </c>
      <c r="F15" s="708">
        <v>0.53825599047153783</v>
      </c>
      <c r="G15" s="711">
        <v>1.1339743348047648E-7</v>
      </c>
      <c r="H15" s="710">
        <v>0.314</v>
      </c>
      <c r="I15" s="708">
        <v>0.52</v>
      </c>
      <c r="J15" s="570">
        <v>1.1299999999999999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90</v>
      </c>
      <c r="M15" s="168">
        <f t="shared" si="1"/>
        <v>1.1299999999999999</v>
      </c>
      <c r="N15" s="632">
        <f t="shared" si="2"/>
        <v>0.16499936313482874</v>
      </c>
      <c r="O15" s="629">
        <f t="shared" si="3"/>
        <v>3.6832171826962794</v>
      </c>
      <c r="P15" s="633">
        <f t="shared" si="4"/>
        <v>-1.9392058486448396</v>
      </c>
      <c r="Q15" s="585">
        <f t="shared" si="113"/>
        <v>87.435000370340134</v>
      </c>
      <c r="R15" s="629">
        <f t="shared" si="79"/>
        <v>3.6869111197239368</v>
      </c>
      <c r="S15" s="634">
        <f t="shared" si="80"/>
        <v>-1.9392058486448396</v>
      </c>
      <c r="T15" s="635">
        <f t="shared" si="81"/>
        <v>3.6853712722170888</v>
      </c>
      <c r="U15" s="629">
        <f t="shared" si="82"/>
        <v>-0.10654665954880585</v>
      </c>
      <c r="V15" s="636">
        <f t="shared" si="114"/>
        <v>-1.9392058486448396</v>
      </c>
      <c r="W15" s="585">
        <f t="shared" ref="W15:W78" si="224">IF(M15="","",IF(Q15-$Q$8&lt;0,360+Q15-$Q$8,Q15-$Q$8))</f>
        <v>358.34400023909683</v>
      </c>
      <c r="X15" s="629">
        <f>IF(M15="","",R15)</f>
        <v>3.6869111197239368</v>
      </c>
      <c r="Y15" s="630">
        <f>IF(M15="","",S15)</f>
        <v>-1.9392058486448396</v>
      </c>
      <c r="Z15" s="632">
        <f t="shared" si="6"/>
        <v>0.84278140031771642</v>
      </c>
      <c r="AA15" s="629">
        <f t="shared" si="7"/>
        <v>-0.53825599047153783</v>
      </c>
      <c r="AB15" s="629">
        <f t="shared" si="8"/>
        <v>-1.1339743348047648E-7</v>
      </c>
      <c r="AC15" s="636">
        <f t="shared" si="84"/>
        <v>1</v>
      </c>
      <c r="AD15" s="637">
        <f t="shared" si="115"/>
        <v>0.84278140031771642</v>
      </c>
      <c r="AE15" s="629">
        <f t="shared" si="85"/>
        <v>-0.53825599047153783</v>
      </c>
      <c r="AF15" s="633">
        <f t="shared" si="86"/>
        <v>-1.1339743348047648E-7</v>
      </c>
      <c r="AG15" s="602">
        <f t="shared" si="87"/>
        <v>-89.999987929174111</v>
      </c>
      <c r="AH15" s="603">
        <f t="shared" si="88"/>
        <v>32.564995298196344</v>
      </c>
      <c r="AI15" s="585">
        <f t="shared" si="89"/>
        <v>-89.999993502805651</v>
      </c>
      <c r="AJ15" s="586">
        <f t="shared" si="90"/>
        <v>57.435004701804232</v>
      </c>
      <c r="AK15" s="635">
        <f t="shared" si="211"/>
        <v>0.86602544158358552</v>
      </c>
      <c r="AL15" s="629">
        <f t="shared" si="91"/>
        <v>-0.49999993452993863</v>
      </c>
      <c r="AM15" s="634">
        <f t="shared" si="92"/>
        <v>-1.1339743348047648E-7</v>
      </c>
      <c r="AN15" s="581">
        <f>IF(M15="","",DEGREES(ATAN2(-AM15,AL15)))</f>
        <v>-89.999987005609611</v>
      </c>
      <c r="AO15" s="582">
        <f t="shared" si="94"/>
        <v>29.999995668536549</v>
      </c>
      <c r="AP15" s="585">
        <f t="shared" si="95"/>
        <v>-29.999995668535913</v>
      </c>
      <c r="AQ15" s="586">
        <f t="shared" si="9"/>
        <v>0.61830569314593531</v>
      </c>
      <c r="AS15" s="52">
        <f t="shared" si="116"/>
        <v>-1.6559997609031711</v>
      </c>
      <c r="AT15" s="72">
        <f t="shared" si="10"/>
        <v>-1.9374245989020202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32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0.84664451138934105</v>
      </c>
      <c r="C16" s="708">
        <v>2.4073690957275056</v>
      </c>
      <c r="D16" s="709">
        <v>-6.7500203580614149E-2</v>
      </c>
      <c r="E16" s="710">
        <v>-0.83436064895461359</v>
      </c>
      <c r="F16" s="708">
        <v>0.44852539122902285</v>
      </c>
      <c r="G16" s="711">
        <v>0.32041735424113377</v>
      </c>
      <c r="H16" s="710">
        <v>0.26600000000000001</v>
      </c>
      <c r="I16" s="708">
        <v>0.52</v>
      </c>
      <c r="J16" s="570">
        <v>1.212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1.212</v>
      </c>
      <c r="N16" s="632">
        <f t="shared" si="2"/>
        <v>0.84664451138934105</v>
      </c>
      <c r="O16" s="629">
        <f t="shared" si="3"/>
        <v>2.4073690957275056</v>
      </c>
      <c r="P16" s="633">
        <f t="shared" si="4"/>
        <v>-6.7500203580614149E-2</v>
      </c>
      <c r="Q16" s="585">
        <f>IF(M16="","",IF(DEGREES(ATAN2(N16,O16))&lt;0,DEGREES(ATAN2(N16,O16))+360,IF(DEGREES(ATAN2(N16,O16))&gt;360,DEGREES(ATAN2(N16,O16))-360,DEGREES(ATAN2(N16,O16)))))</f>
        <v>70.623802797576744</v>
      </c>
      <c r="R16" s="629">
        <f t="shared" si="79"/>
        <v>2.5519076965536125</v>
      </c>
      <c r="S16" s="634">
        <f t="shared" si="80"/>
        <v>-6.7500203580614149E-2</v>
      </c>
      <c r="T16" s="635">
        <f t="shared" si="81"/>
        <v>2.4204976213561222</v>
      </c>
      <c r="U16" s="629">
        <f t="shared" si="82"/>
        <v>-0.80834655732483851</v>
      </c>
      <c r="V16" s="636">
        <f t="shared" si="114"/>
        <v>-6.7500203580614149E-2</v>
      </c>
      <c r="W16" s="585">
        <f>IF(M16="","",IF(Q16-$Q$8&lt;0,360+Q16-$Q$8,Q16-$Q$8))</f>
        <v>341.5328026663334</v>
      </c>
      <c r="X16" s="629">
        <f t="shared" si="83"/>
        <v>2.5519076965536125</v>
      </c>
      <c r="Y16" s="630">
        <f t="shared" si="223"/>
        <v>-6.7500203580614149E-2</v>
      </c>
      <c r="Z16" s="632">
        <f t="shared" si="6"/>
        <v>0.83436064895461359</v>
      </c>
      <c r="AA16" s="629">
        <f t="shared" si="7"/>
        <v>-0.44852539122902285</v>
      </c>
      <c r="AB16" s="629">
        <f t="shared" si="8"/>
        <v>-0.32041735424113377</v>
      </c>
      <c r="AC16" s="636">
        <f t="shared" si="84"/>
        <v>1</v>
      </c>
      <c r="AD16" s="637">
        <f t="shared" si="115"/>
        <v>0.83436064895461359</v>
      </c>
      <c r="AE16" s="629">
        <f t="shared" si="85"/>
        <v>-0.44852539122902285</v>
      </c>
      <c r="AF16" s="633">
        <f t="shared" si="86"/>
        <v>-0.32041735424113377</v>
      </c>
      <c r="AG16" s="602">
        <f t="shared" si="87"/>
        <v>-54.458763415530896</v>
      </c>
      <c r="AH16" s="603">
        <f t="shared" si="88"/>
        <v>33.450676827052924</v>
      </c>
      <c r="AI16" s="585">
        <f t="shared" si="89"/>
        <v>-71.311833428561741</v>
      </c>
      <c r="AJ16" s="586">
        <f t="shared" si="90"/>
        <v>61.738958006532179</v>
      </c>
      <c r="AK16" s="635">
        <f t="shared" si="211"/>
        <v>0.93590987045213281</v>
      </c>
      <c r="AL16" s="629">
        <f t="shared" si="91"/>
        <v>-0.14630595849583161</v>
      </c>
      <c r="AM16" s="634">
        <f t="shared" si="92"/>
        <v>-0.32041735424113377</v>
      </c>
      <c r="AN16" s="581">
        <f t="shared" si="93"/>
        <v>-24.541941316455958</v>
      </c>
      <c r="AO16" s="582">
        <f t="shared" si="94"/>
        <v>20.624358522645291</v>
      </c>
      <c r="AP16" s="585">
        <f t="shared" si="95"/>
        <v>-8.8848447910445696</v>
      </c>
      <c r="AQ16" s="586">
        <f t="shared" si="9"/>
        <v>0.89326973927312614</v>
      </c>
      <c r="AS16" s="52">
        <f t="shared" si="116"/>
        <v>-18.467197333666604</v>
      </c>
      <c r="AT16" s="72">
        <f t="shared" si="10"/>
        <v>-5.404451107893133E-2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Nose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1.212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1.1120000000000001</v>
      </c>
      <c r="II16" s="734" cm="1">
        <f t="array" ref="II16">IFERROR(ROUND(VALUE(IF($IH16&lt;1,$IH16+LARGE((IF($M$9:$M$150="",0,$M$9:$M$150)-MOD(IF($M$9:$M$150="",0,$M$9:$M$150),1)),1),$IH16)),4),"")</f>
        <v>1.1120000000000001</v>
      </c>
      <c r="IJ16" s="533">
        <f t="shared" si="112"/>
        <v>1613</v>
      </c>
      <c r="IK16" s="533">
        <f t="shared" si="66"/>
        <v>1313</v>
      </c>
      <c r="IL16" s="727">
        <f>IF(ISNUMBER($II16),IFERROR(IF(INDEX($W$9:$W$150,MATCH($II16,$M$9:$M$150,0))&lt;$W16,((INDEX($W$9:$W$150,MATCH($II16,$M$9:$M$150,0))+360)-$W16),INDEX($W$9:$W$150,MATCH($II16,$M$9:$M$150,0))-$W16),""),"")</f>
        <v>18.467197333666604</v>
      </c>
      <c r="IM16" s="759">
        <v>1.12027556275087E-2</v>
      </c>
      <c r="IN16" s="5">
        <f>IF(ISNUMBER($II16),(($IO16*12)/60)/$AS$3,"")</f>
        <v>0.22</v>
      </c>
      <c r="IO16" s="771">
        <v>110</v>
      </c>
      <c r="IP16" s="9">
        <f>IF(ISNUMBER($II16),(INDEX($X$9:$X$150,MATCH($II16,$M$9:$M$150,0))*-1),"")</f>
        <v>-2.5297076295982102</v>
      </c>
      <c r="IQ16" s="5">
        <f>IF(ISNUMBER($II16),INDEX($Y$9:$Y$150,MATCH($II16,$M$9:$M$150,0)),"")</f>
        <v>-0.10330031155373964</v>
      </c>
      <c r="IR16" s="5">
        <f t="shared" si="71"/>
        <v>0.314</v>
      </c>
      <c r="IS16" s="5">
        <f>IF(ISNUMBER($II16),$IR16*COS(RADIANS(INDEX($AO$9:$AO$150,MATCH($II16,$M$9:$M$150,0)))),"")</f>
        <v>0.30239711870324509</v>
      </c>
      <c r="IT16" s="727">
        <f>IF(ISNUMBER($II16),(-1*INDEX($AN$9:$AN$150,MATCH($II16,$M$9:$M$150,0))),"")</f>
        <v>24.54194365811097</v>
      </c>
      <c r="IU16" s="9">
        <f>IF(ISNUMBER($II16),-$X16,"")</f>
        <v>-2.5519076965536125</v>
      </c>
      <c r="IV16" s="5">
        <f>IF(ISNUMBER($II16),$Y16,"")</f>
        <v>-6.7500203580614149E-2</v>
      </c>
      <c r="IW16" s="5">
        <f t="shared" si="76"/>
        <v>0.26600000000000001</v>
      </c>
      <c r="IX16" s="5">
        <f>IF(ISNUMBER($II16),$IW16*COS(RADIANS($AO16)),"")</f>
        <v>0.24895202554026735</v>
      </c>
      <c r="IY16" s="762">
        <f>IF(ISNUMBER($II16),(-1*$AN16),"")</f>
        <v>24.541941316455958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0.9976442194611741</v>
      </c>
      <c r="C17" s="708">
        <v>3.0976181790806057</v>
      </c>
      <c r="D17" s="709">
        <v>-0.45930138525297814</v>
      </c>
      <c r="E17" s="710">
        <v>-0.76658652147053274</v>
      </c>
      <c r="F17" s="708">
        <v>0.59200780553881116</v>
      </c>
      <c r="G17" s="711">
        <v>0.24874055415398127</v>
      </c>
      <c r="H17" s="710">
        <v>0.26600000000000001</v>
      </c>
      <c r="I17" s="708">
        <v>0.52</v>
      </c>
      <c r="J17" s="570">
        <v>1.218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1.218</v>
      </c>
      <c r="N17" s="632">
        <f t="shared" si="2"/>
        <v>0.9976442194611741</v>
      </c>
      <c r="O17" s="629">
        <f t="shared" si="3"/>
        <v>3.0976181790806057</v>
      </c>
      <c r="P17" s="633">
        <f t="shared" si="4"/>
        <v>-0.45930138525297814</v>
      </c>
      <c r="Q17" s="585">
        <f>IF(M17="","",IF(DEGREES(ATAN2(N17,O17))&lt;0,DEGREES(ATAN2(N17,O17))+360,IF(DEGREES(ATAN2(N17,O17))&gt;360,DEGREES(ATAN2(N17,O17))-360,DEGREES(ATAN2(N17,O17)))))</f>
        <v>72.147902577523965</v>
      </c>
      <c r="R17" s="629">
        <f>IF(M17="","",SQRT(N17^2+O17^2))</f>
        <v>3.2543098149984035</v>
      </c>
      <c r="S17" s="634">
        <f>IF(M17="","",P17)</f>
        <v>-0.45930138525297814</v>
      </c>
      <c r="T17" s="635">
        <f>IF(M17="","",X17*COS(RADIANS(W17)))</f>
        <v>3.1130553548580013</v>
      </c>
      <c r="U17" s="629">
        <f>IF(M17="","",X17*SIN(RADIANS(W17)))</f>
        <v>-0.94837689216095244</v>
      </c>
      <c r="V17" s="636">
        <f>IF(M17="","",Y17)</f>
        <v>-0.45930138525297814</v>
      </c>
      <c r="W17" s="585">
        <f t="shared" si="224"/>
        <v>343.05690244628062</v>
      </c>
      <c r="X17" s="629">
        <f>IF(M17="","",R17)</f>
        <v>3.2543098149984035</v>
      </c>
      <c r="Y17" s="630">
        <f t="shared" si="223"/>
        <v>-0.45930138525297814</v>
      </c>
      <c r="Z17" s="632">
        <f t="shared" si="6"/>
        <v>0.76658652147053274</v>
      </c>
      <c r="AA17" s="629">
        <f t="shared" si="7"/>
        <v>-0.59200780553881116</v>
      </c>
      <c r="AB17" s="629">
        <f t="shared" si="8"/>
        <v>-0.24874055415398127</v>
      </c>
      <c r="AC17" s="636">
        <f>IF(M17="","",SQRT(Z17^2+AA17^2+AB17^2))</f>
        <v>1</v>
      </c>
      <c r="AD17" s="637">
        <f>IF(M17="","",Z17*(1/SQRT(Z17^2+AA17^2+AB17^2)))</f>
        <v>0.76658652147053274</v>
      </c>
      <c r="AE17" s="629">
        <f>IF(M17="","",AA17*(1/SQRT(Z17^2+AA17^2+AB17^2)))</f>
        <v>-0.59200780553881116</v>
      </c>
      <c r="AF17" s="633">
        <f>IF(M17="","",AB17*(1/SQRT(Z17^2+AA17^2+AB17^2)))</f>
        <v>-0.24874055415398127</v>
      </c>
      <c r="AG17" s="602">
        <f>IF(M17="","",DEGREES(ATAN2(-AF17,AE17)))</f>
        <v>-67.209591880885455</v>
      </c>
      <c r="AH17" s="603">
        <f>IF(M17="","",DEGREES(ACOS(AD17)))</f>
        <v>39.951656770878976</v>
      </c>
      <c r="AI17" s="585">
        <f>IF(M17="","",DEGREES(-ACOS(-AF17)))</f>
        <v>-75.597002813748119</v>
      </c>
      <c r="AJ17" s="586">
        <f>IF(M17="","",DEGREES(ATAN2(-AE17,AD17)))</f>
        <v>52.322353442234338</v>
      </c>
      <c r="AK17" s="635">
        <f>IF(M17="","",(COS(RADIANS((90-$Q$8)-W17))*AD17)+(-SIN(RADIANS((90-$Q$8)-W17))*AE17))</f>
        <v>0.91116263612978488</v>
      </c>
      <c r="AL17" s="629">
        <f>IF(M17="","",(SIN(RADIANS((90-$Q$8)-W17))*AD17)+(COS(RADIANS((90-$Q$8)-W17))*AE17))</f>
        <v>-0.32849777356961141</v>
      </c>
      <c r="AM17" s="634">
        <f>IF(M17="","",AF17)</f>
        <v>-0.24874055415398127</v>
      </c>
      <c r="AN17" s="581">
        <f>IF(M17="","",DEGREES(ATAN2(-AM17,AL17)))</f>
        <v>-52.866768409497205</v>
      </c>
      <c r="AO17" s="582">
        <f t="shared" si="94"/>
        <v>24.333483082800441</v>
      </c>
      <c r="AP17" s="585">
        <f>IF(M17="","",DEGREES(ATAN2(AK17,AL17)))</f>
        <v>-19.825549135289588</v>
      </c>
      <c r="AQ17" s="586">
        <f t="shared" si="9"/>
        <v>0.70049048046405404</v>
      </c>
      <c r="AS17" s="52">
        <f t="shared" si="116"/>
        <v>-16.943097553719383</v>
      </c>
      <c r="AT17" s="72">
        <f t="shared" si="10"/>
        <v>-0.44690409537625869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Taper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1.218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1.1180000000000001</v>
      </c>
      <c r="II17" s="734" cm="1">
        <f t="array" ref="II17">IFERROR(ROUND(VALUE(IF($IH17&lt;1,$IH17+LARGE((IF($M$9:$M$150="",0,$M$9:$M$150)-MOD(IF($M$9:$M$150="",0,$M$9:$M$150),1)),1),$IH17)),4),"")</f>
        <v>1.1180000000000001</v>
      </c>
      <c r="IJ17" s="533">
        <f t="shared" si="112"/>
        <v>1613</v>
      </c>
      <c r="IK17" s="533">
        <f t="shared" si="66"/>
        <v>1313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15.94769769743732</v>
      </c>
      <c r="IM17" s="759">
        <v>5.5927440746486798E-3</v>
      </c>
      <c r="IN17" s="5">
        <f t="shared" ref="IN17:IN80" si="226">IF(ISNUMBER($II17),(($IO17*12)/60)/$AS$3,"")</f>
        <v>0.2</v>
      </c>
      <c r="IO17" s="771">
        <v>100</v>
      </c>
      <c r="IP17" s="9">
        <f t="shared" ref="IP17:IP80" si="227">IF(ISNUMBER($II17),(INDEX($X$9:$X$150,MATCH($II17,$M$9:$M$150,0))*-1),"")</f>
        <v>-3.2113096853100114</v>
      </c>
      <c r="IQ17" s="5">
        <f t="shared" ref="IQ17:IQ80" si="228">IF(ISNUMBER($II17),INDEX($Y$9:$Y$150,MATCH($II17,$M$9:$M$150,0)),"")</f>
        <v>-0.48070144979557244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0.2962927979773109</v>
      </c>
      <c r="IT17" s="727">
        <f t="shared" ref="IT17:IT80" si="230">IF(ISNUMBER($II17),(-1*INDEX($AN$9:$AN$150,MATCH($II17,$M$9:$M$150,0))),"")</f>
        <v>52.866771483808151</v>
      </c>
      <c r="IU17" s="9">
        <f t="shared" ref="IU17:IU80" si="231">IF(ISNUMBER($II17),-$X17,"")</f>
        <v>-3.2543098149984035</v>
      </c>
      <c r="IV17" s="5">
        <f t="shared" ref="IV17:IV80" si="232">IF(ISNUMBER($II17),$Y17,"")</f>
        <v>-0.45930138525297814</v>
      </c>
      <c r="IW17" s="5">
        <f t="shared" si="76"/>
        <v>0.26600000000000001</v>
      </c>
      <c r="IX17" s="5">
        <f t="shared" ref="IX17:IX80" si="233">IF(ISNUMBER($II17),$IW17*COS(RADIANS($AO17)),"")</f>
        <v>0.24236926121052282</v>
      </c>
      <c r="IY17" s="762">
        <f t="shared" ref="IY17:IY80" si="234">IF(ISNUMBER($II17),(-1*$AN17),"")</f>
        <v>52.866768409497205</v>
      </c>
    </row>
    <row r="18" spans="1:269" ht="15" customHeight="1" x14ac:dyDescent="0.25">
      <c r="A18" s="79"/>
      <c r="B18" s="707">
        <v>1.27882226272345</v>
      </c>
      <c r="C18" s="708">
        <v>3.4014588759333568</v>
      </c>
      <c r="D18" s="709">
        <v>-1.1524034756488841</v>
      </c>
      <c r="E18" s="710">
        <v>0.28325273916114929</v>
      </c>
      <c r="F18" s="708">
        <v>0.75340678371732617</v>
      </c>
      <c r="G18" s="711">
        <v>0.59341899531984998</v>
      </c>
      <c r="H18" s="710">
        <v>0.25700000000000001</v>
      </c>
      <c r="I18" s="708">
        <v>0.41499999999999992</v>
      </c>
      <c r="J18" s="570">
        <v>1.224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CPS-32193r1</v>
      </c>
      <c r="L18" s="779" t="s">
        <v>331</v>
      </c>
      <c r="M18" s="168">
        <f t="shared" si="1"/>
        <v>1.224</v>
      </c>
      <c r="N18" s="632">
        <f t="shared" si="2"/>
        <v>1.27882226272345</v>
      </c>
      <c r="O18" s="629">
        <f t="shared" si="3"/>
        <v>3.4014588759333568</v>
      </c>
      <c r="P18" s="633">
        <f t="shared" si="4"/>
        <v>-1.1524034756488841</v>
      </c>
      <c r="Q18" s="585">
        <f t="shared" si="113"/>
        <v>69.395602974906865</v>
      </c>
      <c r="R18" s="629">
        <f>IF(M18="","",SQRT(N18^2+O18^2))</f>
        <v>3.6339109598754535</v>
      </c>
      <c r="S18" s="634">
        <f>IF(M18="","",P18)</f>
        <v>-1.1524034756488841</v>
      </c>
      <c r="T18" s="635">
        <f>IF(M18="","",X18*COS(RADIANS(W18)))</f>
        <v>3.421318528177907</v>
      </c>
      <c r="U18" s="629">
        <f>IF(M18="","",X18*SIN(RADIANS(W18)))</f>
        <v>-1.2246993071972814</v>
      </c>
      <c r="V18" s="636">
        <f>IF(M18="","",Y18)</f>
        <v>-1.1524034756488841</v>
      </c>
      <c r="W18" s="585">
        <f t="shared" si="224"/>
        <v>340.30460284366353</v>
      </c>
      <c r="X18" s="629">
        <f>IF(M18="","",R18)</f>
        <v>3.6339109598754535</v>
      </c>
      <c r="Y18" s="630">
        <f t="shared" si="223"/>
        <v>-1.1524034756488841</v>
      </c>
      <c r="Z18" s="632">
        <f t="shared" si="6"/>
        <v>-0.28325273916114929</v>
      </c>
      <c r="AA18" s="629">
        <f t="shared" si="7"/>
        <v>-0.75340678371732617</v>
      </c>
      <c r="AB18" s="629">
        <f t="shared" si="8"/>
        <v>-0.59341899531984998</v>
      </c>
      <c r="AC18" s="636">
        <f>IF(M18="","",SQRT(Z18^2+AA18^2+AB18^2))</f>
        <v>1</v>
      </c>
      <c r="AD18" s="637">
        <f>IF(M18="","",Z18*(1/SQRT(Z18^2+AA18^2+AB18^2)))</f>
        <v>-0.28325273916114929</v>
      </c>
      <c r="AE18" s="629">
        <f>IF(M18="","",AA18*(1/SQRT(Z18^2+AA18^2+AB18^2)))</f>
        <v>-0.75340678371732617</v>
      </c>
      <c r="AF18" s="633">
        <f>IF(M18="","",AB18*(1/SQRT(Z18^2+AA18^2+AB18^2)))</f>
        <v>-0.59341899531984998</v>
      </c>
      <c r="AG18" s="602">
        <f>IF(M18="","",DEGREES(ATAN2(-AF18,AE18)))</f>
        <v>-51.774350873429057</v>
      </c>
      <c r="AH18" s="603">
        <f>IF(M18="","",DEGREES(ACOS(AD18)))</f>
        <v>106.45443466984685</v>
      </c>
      <c r="AI18" s="585">
        <f>IF(M18="","",DEGREES(-ACOS(-AF18)))</f>
        <v>-53.599992261119652</v>
      </c>
      <c r="AJ18" s="586">
        <f>IF(M18="","",DEGREES(ATAN2(-AE18,AD18)))</f>
        <v>-20.604380880861772</v>
      </c>
      <c r="AK18" s="635">
        <f>IF(M18="","",(COS(RADIANS((90-$Q$8)-W18))*AD18)+(-SIN(RADIANS((90-$Q$8)-W18))*AE18))</f>
        <v>2.2679489708465894E-7</v>
      </c>
      <c r="AL18" s="629">
        <f>IF(M18="","",(SIN(RADIANS((90-$Q$8)-W18))*AD18)+(COS(RADIANS((90-$Q$8)-W18))*AE18))</f>
        <v>-0.80489371720341352</v>
      </c>
      <c r="AM18" s="634">
        <f>IF(M18="","",AF18)</f>
        <v>-0.59341899531984998</v>
      </c>
      <c r="AN18" s="581">
        <f>IF(M18="","",DEGREES(ATAN2(-AM18,AL18)))</f>
        <v>-53.59999226111858</v>
      </c>
      <c r="AO18" s="582">
        <f t="shared" si="94"/>
        <v>0</v>
      </c>
      <c r="AP18" s="585">
        <f>IF(M18="","",DEGREES(ATAN2(AK18,AL18)))</f>
        <v>-89.999983855768619</v>
      </c>
      <c r="AQ18" s="586">
        <f t="shared" si="9"/>
        <v>0.62732289276197351</v>
      </c>
      <c r="AS18" s="52">
        <f t="shared" si="116"/>
        <v>-19.695397156336469</v>
      </c>
      <c r="AT18" s="72">
        <f t="shared" si="10"/>
        <v>-1.1380948666036805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1.224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1.1240000000000001</v>
      </c>
      <c r="II18" s="734" cm="1">
        <f t="array" ref="II18">IFERROR(ROUND(VALUE(IF($IH18&lt;1,$IH18+LARGE((IF($M$9:$M$150="",0,$M$9:$M$150)-MOD(IF($M$9:$M$150="",0,$M$9:$M$150),1)),1),$IH18)),4),"")</f>
        <v>1.1240000000000001</v>
      </c>
      <c r="IJ18" s="533">
        <f t="shared" si="112"/>
        <v>1613</v>
      </c>
      <c r="IK18" s="533" t="str">
        <f t="shared" si="66"/>
        <v>CPS-32193r1</v>
      </c>
      <c r="IL18" s="727">
        <f t="shared" si="225"/>
        <v>18.139197381023905</v>
      </c>
      <c r="IM18" s="759">
        <v>2.0276663651224202E-3</v>
      </c>
      <c r="IN18" s="5">
        <f t="shared" si="226"/>
        <v>0.06</v>
      </c>
      <c r="IO18" s="771">
        <v>30</v>
      </c>
      <c r="IP18" s="9">
        <f t="shared" si="227"/>
        <v>-3.607710880856017</v>
      </c>
      <c r="IQ18" s="5">
        <f t="shared" si="228"/>
        <v>-1.147403460568837</v>
      </c>
      <c r="IR18" s="5">
        <f t="shared" si="71"/>
        <v>0.314</v>
      </c>
      <c r="IS18" s="5">
        <f t="shared" si="229"/>
        <v>0.28364498553793982</v>
      </c>
      <c r="IT18" s="727">
        <f t="shared" si="230"/>
        <v>73.946333635013175</v>
      </c>
      <c r="IU18" s="9">
        <f t="shared" si="231"/>
        <v>-3.6339109598754535</v>
      </c>
      <c r="IV18" s="5">
        <f t="shared" si="232"/>
        <v>-1.1524034756488841</v>
      </c>
      <c r="IW18" s="5">
        <f t="shared" si="76"/>
        <v>0.25700000000000001</v>
      </c>
      <c r="IX18" s="5">
        <f t="shared" si="233"/>
        <v>0.25700000000000001</v>
      </c>
      <c r="IY18" s="762">
        <f t="shared" si="234"/>
        <v>53.59999226111858</v>
      </c>
    </row>
    <row r="19" spans="1:269" ht="15" customHeight="1" thickBot="1" x14ac:dyDescent="0.3">
      <c r="A19" s="79"/>
      <c r="B19" s="707">
        <v>1.3328679030114661</v>
      </c>
      <c r="C19" s="708">
        <v>3.4542802568994917</v>
      </c>
      <c r="D19" s="709">
        <v>-1.9521058875513571</v>
      </c>
      <c r="E19" s="710">
        <v>0.3599900336721219</v>
      </c>
      <c r="F19" s="708">
        <v>0.93295614883910449</v>
      </c>
      <c r="G19" s="711">
        <v>2.2679489633423987E-7</v>
      </c>
      <c r="H19" s="710">
        <v>0.25700000000000001</v>
      </c>
      <c r="I19" s="708">
        <v>0.41499999999999992</v>
      </c>
      <c r="J19" s="570">
        <v>1.23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CPS-32193r1</v>
      </c>
      <c r="L19" s="775" t="s">
        <v>366</v>
      </c>
      <c r="M19" s="168">
        <f t="shared" si="1"/>
        <v>1.23</v>
      </c>
      <c r="N19" s="632">
        <f t="shared" si="2"/>
        <v>1.3328679030114661</v>
      </c>
      <c r="O19" s="629">
        <f t="shared" si="3"/>
        <v>3.4542802568994917</v>
      </c>
      <c r="P19" s="633">
        <f t="shared" si="4"/>
        <v>-1.9521058875513571</v>
      </c>
      <c r="Q19" s="585">
        <f t="shared" si="113"/>
        <v>68.90040304640489</v>
      </c>
      <c r="R19" s="629">
        <f>IF(M19="","",SQRT(N19^2+O19^2))</f>
        <v>3.7025111667736805</v>
      </c>
      <c r="S19" s="634">
        <f>IF(M19="","",P19)</f>
        <v>-1.9521058875513571</v>
      </c>
      <c r="T19" s="635">
        <f>IF(M19="","",X19*COS(RADIANS(W19)))</f>
        <v>3.4749906620345588</v>
      </c>
      <c r="U19" s="629">
        <f>IF(M19="","",X19*SIN(RADIANS(W19)))</f>
        <v>-1.277900167797321</v>
      </c>
      <c r="V19" s="636">
        <f>IF(M19="","",Y19)</f>
        <v>-1.9521058875513571</v>
      </c>
      <c r="W19" s="585">
        <f t="shared" si="224"/>
        <v>339.80940291516157</v>
      </c>
      <c r="X19" s="629">
        <f>IF(M19="","",R19)</f>
        <v>3.7025111667736805</v>
      </c>
      <c r="Y19" s="630">
        <f t="shared" si="223"/>
        <v>-1.9521058875513571</v>
      </c>
      <c r="Z19" s="632">
        <f t="shared" si="6"/>
        <v>-0.3599900336721219</v>
      </c>
      <c r="AA19" s="629">
        <f t="shared" si="7"/>
        <v>-0.93295614883910449</v>
      </c>
      <c r="AB19" s="629">
        <f t="shared" si="8"/>
        <v>-2.2679489633423987E-7</v>
      </c>
      <c r="AC19" s="636">
        <f>IF(M19="","",SQRT(Z19^2+AA19^2+AB19^2))</f>
        <v>1</v>
      </c>
      <c r="AD19" s="637">
        <f>IF(M19="","",Z19*(1/SQRT(Z19^2+AA19^2+AB19^2)))</f>
        <v>-0.3599900336721219</v>
      </c>
      <c r="AE19" s="629">
        <f>IF(M19="","",AA19*(1/SQRT(Z19^2+AA19^2+AB19^2)))</f>
        <v>-0.93295614883910449</v>
      </c>
      <c r="AF19" s="633">
        <f>IF(M19="","",AB19*(1/SQRT(Z19^2+AA19^2+AB19^2)))</f>
        <v>-2.2679489633423987E-7</v>
      </c>
      <c r="AG19" s="602">
        <f>IF(M19="","",DEGREES(ATAN2(-AF19,AE19)))</f>
        <v>-89.999986071810142</v>
      </c>
      <c r="AH19" s="603">
        <f>IF(M19="","",DEGREES(ACOS(AD19)))</f>
        <v>111.09958395920417</v>
      </c>
      <c r="AI19" s="585">
        <f>IF(M19="","",DEGREES(-ACOS(-AF19)))</f>
        <v>-89.999987005609626</v>
      </c>
      <c r="AJ19" s="586">
        <f>IF(M19="","",DEGREES(ATAN2(-AE19,AD19)))</f>
        <v>-21.099583959204729</v>
      </c>
      <c r="AK19" s="635">
        <f>IF(M19="","",(COS(RADIANS((90-$Q$8)-W19))*AD19)+(-SIN(RADIANS((90-$Q$8)-W19))*AE19))</f>
        <v>2.2679489591892477E-7</v>
      </c>
      <c r="AL19" s="629">
        <f>IF(M19="","",(SIN(RADIANS((90-$Q$8)-W19))*AD19)+(COS(RADIANS((90-$Q$8)-W19))*AE19))</f>
        <v>-0.99999999999994871</v>
      </c>
      <c r="AM19" s="634">
        <f>IF(M19="","",AF19)</f>
        <v>-2.2679489633423987E-7</v>
      </c>
      <c r="AN19" s="581">
        <f>IF(M19="","",DEGREES(ATAN2(-AM19,AL19)))</f>
        <v>-89.999987005609626</v>
      </c>
      <c r="AO19" s="582">
        <f t="shared" si="94"/>
        <v>0</v>
      </c>
      <c r="AP19" s="585">
        <f>IF(M19="","",DEGREES(ATAN2(AK19,AL19)))</f>
        <v>-89.999987005609654</v>
      </c>
      <c r="AQ19" s="586">
        <f t="shared" si="9"/>
        <v>0.61570074386815055</v>
      </c>
      <c r="AS19" s="52">
        <f t="shared" si="116"/>
        <v>-20.19059708483843</v>
      </c>
      <c r="AT19" s="72">
        <f t="shared" si="10"/>
        <v>-1.9374533896669159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>Gage</v>
      </c>
      <c r="IG19" s="847">
        <f t="shared" si="210"/>
        <v>1.23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1.1299999999999999</v>
      </c>
      <c r="II19" s="734" cm="1">
        <f t="array" ref="II19">IFERROR(ROUND(VALUE(IF($IH19&lt;1,$IH19+LARGE((IF($M$9:$M$150="",0,$M$9:$M$150)-MOD(IF($M$9:$M$150="",0,$M$9:$M$150),1)),1),$IH19)),4),"")</f>
        <v>1.1299999999999999</v>
      </c>
      <c r="IJ19" s="533">
        <f t="shared" si="112"/>
        <v>1613</v>
      </c>
      <c r="IK19" s="533" t="str">
        <f t="shared" si="66"/>
        <v>CPS-32193r1</v>
      </c>
      <c r="IL19" s="727">
        <f t="shared" si="225"/>
        <v>18.534597323935259</v>
      </c>
      <c r="IM19" s="759">
        <v>3.7233002313805202E-5</v>
      </c>
      <c r="IN19" s="5">
        <f t="shared" si="226"/>
        <v>0</v>
      </c>
      <c r="IO19" s="771">
        <v>0</v>
      </c>
      <c r="IP19" s="9">
        <f t="shared" si="227"/>
        <v>-3.6869111197239368</v>
      </c>
      <c r="IQ19" s="5">
        <f t="shared" si="228"/>
        <v>-1.9392058486448396</v>
      </c>
      <c r="IR19" s="5">
        <f t="shared" si="71"/>
        <v>0.314</v>
      </c>
      <c r="IS19" s="5">
        <f t="shared" si="229"/>
        <v>0.27193198865724588</v>
      </c>
      <c r="IT19" s="727">
        <f t="shared" si="230"/>
        <v>89.999987005609611</v>
      </c>
      <c r="IU19" s="9">
        <f t="shared" si="231"/>
        <v>-3.7025111667736805</v>
      </c>
      <c r="IV19" s="5">
        <f t="shared" si="232"/>
        <v>-1.9521058875513571</v>
      </c>
      <c r="IW19" s="5">
        <f t="shared" si="76"/>
        <v>0.25700000000000001</v>
      </c>
      <c r="IX19" s="5">
        <f t="shared" si="233"/>
        <v>0.25700000000000001</v>
      </c>
      <c r="IY19" s="762">
        <f t="shared" si="234"/>
        <v>89.999987005609626</v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2.004517902641386</v>
      </c>
      <c r="C20" s="708">
        <v>1.3150929272216627</v>
      </c>
      <c r="D20" s="709">
        <v>-7.7700234343906771E-2</v>
      </c>
      <c r="E20" s="710">
        <v>-0.45733358446225986</v>
      </c>
      <c r="F20" s="708">
        <v>0.8525782579904051</v>
      </c>
      <c r="G20" s="711">
        <v>0.25289584125672615</v>
      </c>
      <c r="H20" s="710">
        <v>0.314</v>
      </c>
      <c r="I20" s="708">
        <v>0.52</v>
      </c>
      <c r="J20" s="570">
        <v>2.1110000000000002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100</v>
      </c>
      <c r="M20" s="168">
        <f t="shared" si="1"/>
        <v>2.1110000000000002</v>
      </c>
      <c r="N20" s="632">
        <f t="shared" si="2"/>
        <v>2.004517902641386</v>
      </c>
      <c r="O20" s="629">
        <f t="shared" si="3"/>
        <v>1.3150929272216627</v>
      </c>
      <c r="P20" s="633">
        <f t="shared" si="4"/>
        <v>-7.7700234343906771E-2</v>
      </c>
      <c r="Q20" s="585">
        <f t="shared" si="113"/>
        <v>33.267456213596773</v>
      </c>
      <c r="R20" s="629">
        <f>IF(M20="","",SQRT(N20^2+O20^2))</f>
        <v>2.3974072305802077</v>
      </c>
      <c r="S20" s="634">
        <f>IF(M20="","",P20)</f>
        <v>-7.7700234343906771E-2</v>
      </c>
      <c r="T20" s="635">
        <f>IF(M20="","",X20*COS(RADIANS(W20)))</f>
        <v>1.3467278504325446</v>
      </c>
      <c r="U20" s="629">
        <f>IF(M20="","",X20*SIN(RADIANS(W20)))</f>
        <v>-1.9834025123780596</v>
      </c>
      <c r="V20" s="636">
        <f>IF(M20="","",Y20)</f>
        <v>-7.7700234343906771E-2</v>
      </c>
      <c r="W20" s="585">
        <f t="shared" si="224"/>
        <v>304.17645608235347</v>
      </c>
      <c r="X20" s="629">
        <f>IF(M20="","",R20)</f>
        <v>2.3974072305802077</v>
      </c>
      <c r="Y20" s="630">
        <f t="shared" si="223"/>
        <v>-7.7700234343906771E-2</v>
      </c>
      <c r="Z20" s="632">
        <f t="shared" si="6"/>
        <v>0.45733358446225986</v>
      </c>
      <c r="AA20" s="629">
        <f t="shared" si="7"/>
        <v>-0.8525782579904051</v>
      </c>
      <c r="AB20" s="629">
        <f t="shared" si="8"/>
        <v>-0.25289584125672615</v>
      </c>
      <c r="AC20" s="636">
        <f>IF(M20="","",SQRT(Z20^2+AA20^2+AB20^2))</f>
        <v>1</v>
      </c>
      <c r="AD20" s="637">
        <f>IF(M20="","",Z20*(1/SQRT(Z20^2+AA20^2+AB20^2)))</f>
        <v>0.45733358446225986</v>
      </c>
      <c r="AE20" s="629">
        <f>IF(M20="","",AA20*(1/SQRT(Z20^2+AA20^2+AB20^2)))</f>
        <v>-0.8525782579904051</v>
      </c>
      <c r="AF20" s="633">
        <f>IF(M20="","",AB20*(1/SQRT(Z20^2+AA20^2+AB20^2)))</f>
        <v>-0.25289584125672615</v>
      </c>
      <c r="AG20" s="602">
        <f>IF(M20="","",DEGREES(ATAN2(-AF20,AE20)))</f>
        <v>-73.478338197775273</v>
      </c>
      <c r="AH20" s="603">
        <f>IF(M20="","",DEGREES(ACOS(AD20)))</f>
        <v>62.784818028297238</v>
      </c>
      <c r="AI20" s="585">
        <f>IF(M20="","",DEGREES(-ACOS(-AF20)))</f>
        <v>-75.351060438167252</v>
      </c>
      <c r="AJ20" s="586">
        <f>IF(M20="","",DEGREES(ATAN2(-AE20,AD20)))</f>
        <v>28.209662401881268</v>
      </c>
      <c r="AK20" s="635">
        <f>IF(M20="","",(COS(RADIANS((90-$Q$8)-W20))*AD20)+(-SIN(RADIANS((90-$Q$8)-W20))*AE20))</f>
        <v>0.96372636003632151</v>
      </c>
      <c r="AL20" s="629">
        <f>IF(M20="","",(SIN(RADIANS((90-$Q$8)-W20))*AD20)+(COS(RADIANS((90-$Q$8)-W20))*AE20))</f>
        <v>-8.5294762126376156E-2</v>
      </c>
      <c r="AM20" s="634">
        <f>IF(M20="","",AF20)</f>
        <v>-0.25289584125672615</v>
      </c>
      <c r="AN20" s="581">
        <f>IF(M20="","",DEGREES(ATAN2(-AM20,AL20)))</f>
        <v>-18.637825802790388</v>
      </c>
      <c r="AO20" s="582">
        <f t="shared" si="94"/>
        <v>15.479424299784572</v>
      </c>
      <c r="AP20" s="585">
        <f>IF(M20="","",DEGREES(ATAN2(AK20,AL20)))</f>
        <v>-5.0577938117155448</v>
      </c>
      <c r="AQ20" s="586">
        <f t="shared" si="9"/>
        <v>0.95082609391948614</v>
      </c>
      <c r="AS20" s="52">
        <f t="shared" si="116"/>
        <v>-55.823543917646532</v>
      </c>
      <c r="AT20" s="72">
        <f t="shared" si="10"/>
        <v>-3.8302634492237891E-2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2.1110000000000002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2.6335201066285348</v>
      </c>
      <c r="C21" s="708">
        <v>1.6612519433421362</v>
      </c>
      <c r="D21" s="709">
        <v>-0.39370118740278137</v>
      </c>
      <c r="E21" s="710">
        <v>-0.30634558908872239</v>
      </c>
      <c r="F21" s="708">
        <v>0.92949528969156847</v>
      </c>
      <c r="G21" s="711">
        <v>0.20540420270060433</v>
      </c>
      <c r="H21" s="710">
        <v>0.314</v>
      </c>
      <c r="I21" s="708">
        <v>0.52</v>
      </c>
      <c r="J21" s="570">
        <v>2.117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2.117</v>
      </c>
      <c r="N21" s="632">
        <f t="shared" si="2"/>
        <v>2.6335201066285348</v>
      </c>
      <c r="O21" s="629">
        <f t="shared" si="3"/>
        <v>1.6612519433421362</v>
      </c>
      <c r="P21" s="633">
        <f t="shared" si="4"/>
        <v>-0.39370118740278137</v>
      </c>
      <c r="Q21" s="585">
        <f t="shared" si="113"/>
        <v>32.244156361342988</v>
      </c>
      <c r="R21" s="629">
        <f>IF(M21="","",SQRT(N21^2+O21^2))</f>
        <v>3.1137093909475229</v>
      </c>
      <c r="S21" s="634">
        <f>IF(M21="","",P21)</f>
        <v>-0.39370118740278137</v>
      </c>
      <c r="T21" s="635">
        <f>IF(M21="","",X21*COS(RADIANS(W21)))</f>
        <v>1.7028220303297383</v>
      </c>
      <c r="U21" s="629">
        <f>IF(M21="","",X21*SIN(RADIANS(W21)))</f>
        <v>-2.6068339617817053</v>
      </c>
      <c r="V21" s="636">
        <f>IF(M21="","",Y21)</f>
        <v>-0.39370118740278137</v>
      </c>
      <c r="W21" s="585">
        <f t="shared" si="224"/>
        <v>303.15315623009968</v>
      </c>
      <c r="X21" s="629">
        <f>IF(M21="","",R21)</f>
        <v>3.1137093909475229</v>
      </c>
      <c r="Y21" s="630">
        <f t="shared" si="223"/>
        <v>-0.39370118740278137</v>
      </c>
      <c r="Z21" s="632">
        <f t="shared" si="6"/>
        <v>0.30634558908872239</v>
      </c>
      <c r="AA21" s="629">
        <f t="shared" si="7"/>
        <v>-0.92949528969156847</v>
      </c>
      <c r="AB21" s="629">
        <f t="shared" si="8"/>
        <v>-0.20540420270060433</v>
      </c>
      <c r="AC21" s="636">
        <f>IF(M21="","",SQRT(Z21^2+AA21^2+AB21^2))</f>
        <v>1</v>
      </c>
      <c r="AD21" s="637">
        <f>IF(M21="","",Z21*(1/SQRT(Z21^2+AA21^2+AB21^2)))</f>
        <v>0.30634558908872239</v>
      </c>
      <c r="AE21" s="629">
        <f>IF(M21="","",AA21*(1/SQRT(Z21^2+AA21^2+AB21^2)))</f>
        <v>-0.92949528969156847</v>
      </c>
      <c r="AF21" s="633">
        <f>IF(M21="","",AB21*(1/SQRT(Z21^2+AA21^2+AB21^2)))</f>
        <v>-0.20540420270060433</v>
      </c>
      <c r="AG21" s="602">
        <f>IF(M21="","",DEGREES(ATAN2(-AF21,AE21)))</f>
        <v>-77.53878013473269</v>
      </c>
      <c r="AH21" s="603">
        <f>IF(M21="","",DEGREES(ACOS(AD21)))</f>
        <v>72.160863906738811</v>
      </c>
      <c r="AI21" s="585">
        <f>IF(M21="","",DEGREES(-ACOS(-AF21)))</f>
        <v>-78.14683829197584</v>
      </c>
      <c r="AJ21" s="586">
        <f>IF(M21="","",DEGREES(ATAN2(-AE21,AD21)))</f>
        <v>18.241326998287679</v>
      </c>
      <c r="AK21" s="635">
        <f>IF(M21="","",(COS(RADIANS((90-$Q$8)-W21))*AD21)+(-SIN(RADIANS((90-$Q$8)-W21))*AE21))</f>
        <v>0.94959463725914017</v>
      </c>
      <c r="AL21" s="629">
        <f>IF(M21="","",(SIN(RADIANS((90-$Q$8)-W21))*AD21)+(COS(RADIANS((90-$Q$8)-W21))*AE21))</f>
        <v>-0.23681034268293927</v>
      </c>
      <c r="AM21" s="634">
        <f>IF(M21="","",AF21)</f>
        <v>-0.20540420270060433</v>
      </c>
      <c r="AN21" s="581">
        <f>IF(M21="","",DEGREES(ATAN2(-AM21,AL21)))</f>
        <v>-49.062333633727505</v>
      </c>
      <c r="AO21" s="582">
        <f>IF(ROUND(IF(M21="",0,DEGREES(ACOS(AK21))),4)=90,0,IF(M21="","",DEGREES(ACOS(AK21))))</f>
        <v>18.269107411626688</v>
      </c>
      <c r="AP21" s="585">
        <f>IF(M21="","",DEGREES(ATAN2(AK21,AL21)))</f>
        <v>-14.002829363055355</v>
      </c>
      <c r="AQ21" s="586">
        <f t="shared" si="9"/>
        <v>0.73211795677487967</v>
      </c>
      <c r="AS21" s="52">
        <f t="shared" si="116"/>
        <v>-56.846843769900318</v>
      </c>
      <c r="AT21" s="72">
        <f t="shared" si="10"/>
        <v>-0.35359296265371404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2.117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3.0385004887182956</v>
      </c>
      <c r="C22" s="708">
        <v>1.8676795954551488</v>
      </c>
      <c r="D22" s="709">
        <v>-1.023303086282108</v>
      </c>
      <c r="E22" s="710">
        <v>-0.14428291619969241</v>
      </c>
      <c r="F22" s="708">
        <v>0.98001765418559605</v>
      </c>
      <c r="G22" s="711">
        <v>0.13692274309797486</v>
      </c>
      <c r="H22" s="710">
        <v>0.314</v>
      </c>
      <c r="I22" s="708">
        <v>0.52</v>
      </c>
      <c r="J22" s="570">
        <v>2.1230000000000002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>
        <f>IF($L21=$JH$22,$JH$30,IF($L21=$JI$22,$JI$30,""))</f>
        <v>30</v>
      </c>
      <c r="M22" s="168">
        <f t="shared" si="1"/>
        <v>2.1230000000000002</v>
      </c>
      <c r="N22" s="632">
        <f t="shared" si="2"/>
        <v>3.0385004887182956</v>
      </c>
      <c r="O22" s="629">
        <f t="shared" si="3"/>
        <v>1.8676795954551488</v>
      </c>
      <c r="P22" s="633">
        <f t="shared" si="4"/>
        <v>-1.023303086282108</v>
      </c>
      <c r="Q22" s="585">
        <f t="shared" si="113"/>
        <v>31.577856457544797</v>
      </c>
      <c r="R22" s="629">
        <f t="shared" si="79"/>
        <v>3.5666107568980427</v>
      </c>
      <c r="S22" s="634">
        <f t="shared" si="80"/>
        <v>-1.023303086282108</v>
      </c>
      <c r="T22" s="635">
        <f t="shared" si="81"/>
        <v>1.9156484647998424</v>
      </c>
      <c r="U22" s="629">
        <f t="shared" si="82"/>
        <v>-3.0084885325576427</v>
      </c>
      <c r="V22" s="636">
        <f t="shared" si="114"/>
        <v>-1.023303086282108</v>
      </c>
      <c r="W22" s="585">
        <f t="shared" si="224"/>
        <v>302.48685632630145</v>
      </c>
      <c r="X22" s="629">
        <f t="shared" si="83"/>
        <v>3.5666107568980427</v>
      </c>
      <c r="Y22" s="630">
        <f t="shared" si="223"/>
        <v>-1.023303086282108</v>
      </c>
      <c r="Z22" s="632">
        <f t="shared" si="6"/>
        <v>0.14428291619969241</v>
      </c>
      <c r="AA22" s="629">
        <f t="shared" si="7"/>
        <v>-0.98001765418559605</v>
      </c>
      <c r="AB22" s="629">
        <f t="shared" si="8"/>
        <v>-0.13692274309797486</v>
      </c>
      <c r="AC22" s="636">
        <f t="shared" si="84"/>
        <v>1</v>
      </c>
      <c r="AD22" s="637">
        <f t="shared" si="115"/>
        <v>0.14428291619969241</v>
      </c>
      <c r="AE22" s="629">
        <f t="shared" si="85"/>
        <v>-0.98001765418559605</v>
      </c>
      <c r="AF22" s="633">
        <f t="shared" si="86"/>
        <v>-0.13692274309797486</v>
      </c>
      <c r="AG22" s="602">
        <f t="shared" si="87"/>
        <v>-82.046429910395133</v>
      </c>
      <c r="AH22" s="603">
        <f t="shared" si="88"/>
        <v>81.70424333269861</v>
      </c>
      <c r="AI22" s="585">
        <f t="shared" si="89"/>
        <v>-82.130182462648165</v>
      </c>
      <c r="AJ22" s="586">
        <f t="shared" si="90"/>
        <v>8.3751950933141615</v>
      </c>
      <c r="AK22" s="635">
        <f t="shared" si="211"/>
        <v>0.91046054674568211</v>
      </c>
      <c r="AL22" s="629">
        <f t="shared" si="91"/>
        <v>-0.39027394896672218</v>
      </c>
      <c r="AM22" s="634">
        <f t="shared" si="92"/>
        <v>-0.13692274309797486</v>
      </c>
      <c r="AN22" s="581">
        <f t="shared" si="93"/>
        <v>-70.667215574279595</v>
      </c>
      <c r="AO22" s="582">
        <f t="shared" si="94"/>
        <v>24.430926546875938</v>
      </c>
      <c r="AP22" s="585">
        <f t="shared" si="95"/>
        <v>-23.202661364230593</v>
      </c>
      <c r="AQ22" s="586">
        <f t="shared" si="9"/>
        <v>0.63915919641851238</v>
      </c>
      <c r="AS22" s="52">
        <f t="shared" si="116"/>
        <v>-57.513143673698551</v>
      </c>
      <c r="AT22" s="72">
        <f t="shared" si="10"/>
        <v>-0.98273215326651409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2.1230000000000002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3.1457933782915823</v>
      </c>
      <c r="C23" s="708">
        <v>1.9228358291442489</v>
      </c>
      <c r="D23" s="709">
        <v>-1.8156054758661153</v>
      </c>
      <c r="E23" s="710">
        <v>-2.5042172658557578E-2</v>
      </c>
      <c r="F23" s="708">
        <v>0.99968639562040962</v>
      </c>
      <c r="G23" s="711">
        <v>1.1339743353153852E-7</v>
      </c>
      <c r="H23" s="710">
        <v>0.314</v>
      </c>
      <c r="I23" s="708">
        <v>0.52</v>
      </c>
      <c r="J23" s="570">
        <v>2.129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2.129</v>
      </c>
      <c r="N23" s="632">
        <f t="shared" si="2"/>
        <v>3.1457933782915823</v>
      </c>
      <c r="O23" s="629">
        <f t="shared" si="3"/>
        <v>1.9228358291442489</v>
      </c>
      <c r="P23" s="633">
        <f t="shared" si="4"/>
        <v>-1.8156054758661153</v>
      </c>
      <c r="Q23" s="585">
        <f t="shared" si="113"/>
        <v>31.434956478176989</v>
      </c>
      <c r="R23" s="629">
        <f t="shared" si="79"/>
        <v>3.6869111197239377</v>
      </c>
      <c r="S23" s="634">
        <f t="shared" si="80"/>
        <v>-1.8156054758661153</v>
      </c>
      <c r="T23" s="635">
        <f t="shared" si="81"/>
        <v>1.9724998918796812</v>
      </c>
      <c r="U23" s="629">
        <f t="shared" si="82"/>
        <v>-3.114892900450779</v>
      </c>
      <c r="V23" s="636">
        <f t="shared" si="114"/>
        <v>-1.8156054758661153</v>
      </c>
      <c r="W23" s="585">
        <f t="shared" si="224"/>
        <v>302.34395634693368</v>
      </c>
      <c r="X23" s="629">
        <f t="shared" si="83"/>
        <v>3.6869111197239377</v>
      </c>
      <c r="Y23" s="630">
        <f t="shared" si="223"/>
        <v>-1.8156054758661153</v>
      </c>
      <c r="Z23" s="632">
        <f t="shared" si="6"/>
        <v>2.5042172658557578E-2</v>
      </c>
      <c r="AA23" s="629">
        <f t="shared" si="7"/>
        <v>-0.99968639562040962</v>
      </c>
      <c r="AB23" s="629">
        <f t="shared" si="8"/>
        <v>-1.1339743353153852E-7</v>
      </c>
      <c r="AC23" s="636">
        <f t="shared" si="84"/>
        <v>1</v>
      </c>
      <c r="AD23" s="637">
        <f t="shared" si="115"/>
        <v>2.5042172658557578E-2</v>
      </c>
      <c r="AE23" s="629">
        <f t="shared" si="85"/>
        <v>-0.99968639562040962</v>
      </c>
      <c r="AF23" s="633">
        <f t="shared" si="86"/>
        <v>-1.1339743353153852E-7</v>
      </c>
      <c r="AG23" s="602">
        <f t="shared" si="87"/>
        <v>-89.999993500767474</v>
      </c>
      <c r="AH23" s="603">
        <f t="shared" si="88"/>
        <v>88.565039190358917</v>
      </c>
      <c r="AI23" s="585">
        <f t="shared" si="89"/>
        <v>-89.999993502805651</v>
      </c>
      <c r="AJ23" s="586">
        <f t="shared" si="90"/>
        <v>1.4349608096410889</v>
      </c>
      <c r="AK23" s="635">
        <f t="shared" si="211"/>
        <v>0.86602544158358519</v>
      </c>
      <c r="AL23" s="629">
        <f t="shared" si="91"/>
        <v>-0.49999993452993902</v>
      </c>
      <c r="AM23" s="634">
        <f t="shared" si="92"/>
        <v>-1.1339743353153852E-7</v>
      </c>
      <c r="AN23" s="581">
        <f t="shared" si="93"/>
        <v>-89.999987005609611</v>
      </c>
      <c r="AO23" s="582">
        <f t="shared" si="94"/>
        <v>29.999995668536588</v>
      </c>
      <c r="AP23" s="585">
        <f t="shared" si="95"/>
        <v>-29.999995668535945</v>
      </c>
      <c r="AQ23" s="586">
        <f t="shared" si="9"/>
        <v>0.61830569314593509</v>
      </c>
      <c r="AS23" s="52">
        <f t="shared" si="116"/>
        <v>-57.65604365306632</v>
      </c>
      <c r="AT23" s="72">
        <f t="shared" si="10"/>
        <v>-1.7749353067537383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2.129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6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3</v>
      </c>
      <c r="JG23" s="801">
        <v>3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110</v>
      </c>
      <c r="JI23" s="801">
        <v>90</v>
      </c>
    </row>
    <row r="24" spans="1:269" ht="15" customHeight="1" x14ac:dyDescent="0.25">
      <c r="A24" s="79"/>
      <c r="B24" s="707">
        <v>3.0739018584798523</v>
      </c>
      <c r="C24" s="708">
        <v>0.66593548858381046</v>
      </c>
      <c r="D24" s="709">
        <v>-0.38020114668665839</v>
      </c>
      <c r="E24" s="710">
        <v>0.44217708332380584</v>
      </c>
      <c r="F24" s="708">
        <v>9.5794250726952218E-2</v>
      </c>
      <c r="G24" s="711">
        <v>0.89179756027414314</v>
      </c>
      <c r="H24" s="710">
        <v>0.25700000000000001</v>
      </c>
      <c r="I24" s="708">
        <v>0.41499999999999992</v>
      </c>
      <c r="J24" s="570">
        <v>2.2170000000000001</v>
      </c>
      <c r="K24" s="865" t="str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CPS-32193r1</v>
      </c>
      <c r="M24" s="168">
        <f t="shared" si="1"/>
        <v>2.2170000000000001</v>
      </c>
      <c r="N24" s="632">
        <f t="shared" si="2"/>
        <v>3.0739018584798523</v>
      </c>
      <c r="O24" s="629">
        <f t="shared" si="3"/>
        <v>0.66593548858381046</v>
      </c>
      <c r="P24" s="633">
        <f t="shared" si="4"/>
        <v>-0.38020114668665839</v>
      </c>
      <c r="Q24" s="585">
        <f t="shared" si="113"/>
        <v>12.223759251930691</v>
      </c>
      <c r="R24" s="629">
        <f t="shared" si="79"/>
        <v>3.1452094859518098</v>
      </c>
      <c r="S24" s="634">
        <f t="shared" si="80"/>
        <v>-0.38020114668665839</v>
      </c>
      <c r="T24" s="635">
        <f t="shared" si="81"/>
        <v>0.7146172145681422</v>
      </c>
      <c r="U24" s="629">
        <f t="shared" si="82"/>
        <v>-3.0629503664219104</v>
      </c>
      <c r="V24" s="636">
        <f t="shared" si="114"/>
        <v>-0.38020114668665839</v>
      </c>
      <c r="W24" s="585">
        <f t="shared" si="224"/>
        <v>283.13275912068735</v>
      </c>
      <c r="X24" s="629">
        <f t="shared" si="83"/>
        <v>3.1452094859518098</v>
      </c>
      <c r="Y24" s="630">
        <f t="shared" si="223"/>
        <v>-0.38020114668665839</v>
      </c>
      <c r="Z24" s="632">
        <f t="shared" si="6"/>
        <v>-0.44217708332380584</v>
      </c>
      <c r="AA24" s="629">
        <f t="shared" si="7"/>
        <v>-9.5794250726952218E-2</v>
      </c>
      <c r="AB24" s="629">
        <f t="shared" si="8"/>
        <v>-0.89179756027414314</v>
      </c>
      <c r="AC24" s="636">
        <f t="shared" si="84"/>
        <v>1</v>
      </c>
      <c r="AD24" s="637">
        <f t="shared" si="115"/>
        <v>-0.44217708332380584</v>
      </c>
      <c r="AE24" s="629">
        <f t="shared" si="85"/>
        <v>-9.5794250726952218E-2</v>
      </c>
      <c r="AF24" s="633">
        <f t="shared" si="86"/>
        <v>-0.89179756027414314</v>
      </c>
      <c r="AG24" s="602">
        <f t="shared" si="87"/>
        <v>-6.1310341223710552</v>
      </c>
      <c r="AH24" s="603">
        <f t="shared" si="88"/>
        <v>116.24287032866236</v>
      </c>
      <c r="AI24" s="585">
        <f t="shared" si="89"/>
        <v>-26.899996116123987</v>
      </c>
      <c r="AJ24" s="586">
        <f t="shared" si="90"/>
        <v>-77.776212027036507</v>
      </c>
      <c r="AK24" s="635">
        <f>IF(M24="","",(COS(RADIANS((90-$Q$8)-W24))*AD24)+(-SIN(RADIANS((90-$Q$8)-W24))*AE24))</f>
        <v>2.2679489669608088E-7</v>
      </c>
      <c r="AL24" s="629">
        <f t="shared" si="91"/>
        <v>-0.45243464885995932</v>
      </c>
      <c r="AM24" s="634">
        <f t="shared" si="92"/>
        <v>-0.89179756027414314</v>
      </c>
      <c r="AN24" s="581">
        <f t="shared" si="93"/>
        <v>-26.899996116121088</v>
      </c>
      <c r="AO24" s="582">
        <f t="shared" si="94"/>
        <v>0</v>
      </c>
      <c r="AP24" s="585">
        <f t="shared" si="95"/>
        <v>-89.999971278967195</v>
      </c>
      <c r="AQ24" s="586">
        <f t="shared" si="9"/>
        <v>0.72478639024546099</v>
      </c>
      <c r="AS24" s="52">
        <f t="shared" si="116"/>
        <v>-76.867240879312646</v>
      </c>
      <c r="AT24" s="72">
        <f t="shared" si="10"/>
        <v>-0.32618986838938802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2.2170000000000001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2.117</v>
      </c>
      <c r="II24" s="734" cm="1">
        <f t="array" ref="II24">IFERROR(ROUND(VALUE(IF($IH24&lt;1,$IH24+LARGE((IF($M$9:$M$150="",0,$M$9:$M$150)-MOD(IF($M$9:$M$150="",0,$M$9:$M$150),1)),1),$IH24)),4),"")</f>
        <v>2.117</v>
      </c>
      <c r="IJ24" s="533">
        <f t="shared" si="112"/>
        <v>1613</v>
      </c>
      <c r="IK24" s="533" t="str">
        <f t="shared" si="66"/>
        <v>CPS-32193r1</v>
      </c>
      <c r="IL24" s="727">
        <f t="shared" si="225"/>
        <v>20.020397109412329</v>
      </c>
      <c r="IM24" s="759">
        <v>7.7068400031821103E-3</v>
      </c>
      <c r="IN24" s="5">
        <f t="shared" si="226"/>
        <v>0.2</v>
      </c>
      <c r="IO24" s="771">
        <v>100</v>
      </c>
      <c r="IP24" s="9">
        <f t="shared" si="227"/>
        <v>-3.1137093909475229</v>
      </c>
      <c r="IQ24" s="5">
        <f t="shared" si="228"/>
        <v>-0.39370118740278137</v>
      </c>
      <c r="IR24" s="5">
        <f t="shared" si="71"/>
        <v>0.314</v>
      </c>
      <c r="IS24" s="5">
        <f t="shared" si="229"/>
        <v>0.29817271609937002</v>
      </c>
      <c r="IT24" s="727">
        <f t="shared" si="230"/>
        <v>49.062333633727505</v>
      </c>
      <c r="IU24" s="9">
        <f t="shared" si="231"/>
        <v>-3.1452094859518098</v>
      </c>
      <c r="IV24" s="5">
        <f t="shared" si="232"/>
        <v>-0.38020114668665839</v>
      </c>
      <c r="IW24" s="5">
        <f t="shared" si="76"/>
        <v>0.25700000000000001</v>
      </c>
      <c r="IX24" s="5">
        <f t="shared" si="233"/>
        <v>0.25700000000000001</v>
      </c>
      <c r="IY24" s="762">
        <f t="shared" si="234"/>
        <v>26.899996116121088</v>
      </c>
      <c r="JA24" s="798" t="str">
        <v>CPS-32193r1</v>
      </c>
      <c r="JB24" s="856" cm="1">
        <f t="array" ref="JB24">IF($JA24="","",COUNT(IF(IF($II$9:$II$150&lt;&gt;"",$IK$9:$IK$150,"")=$JA24,$IG$9:$IG$150,"")))</f>
        <v>15</v>
      </c>
      <c r="JC24" s="5"/>
      <c r="JD24" s="5"/>
      <c r="JE24" s="10"/>
      <c r="JF24" s="247">
        <v>1</v>
      </c>
      <c r="JG24" s="803">
        <v>6</v>
      </c>
      <c r="JH24" s="787">
        <v>100</v>
      </c>
      <c r="JI24" s="803">
        <v>30</v>
      </c>
    </row>
    <row r="25" spans="1:269" ht="15" customHeight="1" x14ac:dyDescent="0.25">
      <c r="A25" s="79"/>
      <c r="B25" s="707">
        <v>3.498108371668621</v>
      </c>
      <c r="C25" s="708">
        <v>0.82688935562731936</v>
      </c>
      <c r="D25" s="709">
        <v>-1.0262030950285346</v>
      </c>
      <c r="E25" s="710">
        <v>0.74331137929035318</v>
      </c>
      <c r="F25" s="708">
        <v>0.17570555779419236</v>
      </c>
      <c r="G25" s="711">
        <v>0.6454577835751184</v>
      </c>
      <c r="H25" s="710">
        <v>0.25700000000000001</v>
      </c>
      <c r="I25" s="708">
        <v>0.41499999999999992</v>
      </c>
      <c r="J25" s="570">
        <v>2.2229999999999999</v>
      </c>
      <c r="K25" s="865" t="str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CPS-32193r1</v>
      </c>
      <c r="L25" s="320"/>
      <c r="M25" s="168">
        <f t="shared" si="1"/>
        <v>2.2229999999999999</v>
      </c>
      <c r="N25" s="632">
        <f t="shared" si="2"/>
        <v>3.498108371668621</v>
      </c>
      <c r="O25" s="629">
        <f t="shared" si="3"/>
        <v>0.82688935562731936</v>
      </c>
      <c r="P25" s="633">
        <f t="shared" si="4"/>
        <v>-1.0262030950285346</v>
      </c>
      <c r="Q25" s="585">
        <f t="shared" si="113"/>
        <v>13.299559096604414</v>
      </c>
      <c r="R25" s="629">
        <f>IF(M25="","",SQRT(N25^2+O25^2))</f>
        <v>3.5945108410446971</v>
      </c>
      <c r="S25" s="634">
        <f>IF(M25="","",P25)</f>
        <v>-1.0262030950285346</v>
      </c>
      <c r="T25" s="635">
        <f>IF(M25="","",X25*COS(RADIANS(W25)))</f>
        <v>0.88228059726861263</v>
      </c>
      <c r="U25" s="629">
        <f>IF(M25="","",X25*SIN(RADIANS(W25)))</f>
        <v>-3.4845500619263885</v>
      </c>
      <c r="V25" s="636">
        <f>IF(M25="","",Y25)</f>
        <v>-1.0262030950285346</v>
      </c>
      <c r="W25" s="585">
        <f t="shared" si="224"/>
        <v>284.20855896536108</v>
      </c>
      <c r="X25" s="629">
        <f>IF(M25="","",R25)</f>
        <v>3.5945108410446971</v>
      </c>
      <c r="Y25" s="630">
        <f t="shared" si="223"/>
        <v>-1.0262030950285346</v>
      </c>
      <c r="Z25" s="632">
        <f t="shared" si="6"/>
        <v>-0.74331137929035318</v>
      </c>
      <c r="AA25" s="629">
        <f t="shared" si="7"/>
        <v>-0.17570555779419236</v>
      </c>
      <c r="AB25" s="629">
        <f t="shared" si="8"/>
        <v>-0.6454577835751184</v>
      </c>
      <c r="AC25" s="636">
        <f>IF(M25="","",SQRT(Z25^2+AA25^2+AB25^2))</f>
        <v>1</v>
      </c>
      <c r="AD25" s="637">
        <f>IF(M25="","",Z25*(1/SQRT(Z25^2+AA25^2+AB25^2)))</f>
        <v>-0.74331137929035318</v>
      </c>
      <c r="AE25" s="629">
        <f>IF(M25="","",AA25*(1/SQRT(Z25^2+AA25^2+AB25^2)))</f>
        <v>-0.17570555779419236</v>
      </c>
      <c r="AF25" s="633">
        <f>IF(M25="","",AB25*(1/SQRT(Z25^2+AA25^2+AB25^2)))</f>
        <v>-0.6454577835751184</v>
      </c>
      <c r="AG25" s="602">
        <f>IF(M25="","",DEGREES(ATAN2(-AF25,AE25)))</f>
        <v>-15.227983456485958</v>
      </c>
      <c r="AH25" s="603">
        <f>IF(M25="","",DEGREES(ACOS(AD25)))</f>
        <v>138.01426350841427</v>
      </c>
      <c r="AI25" s="585">
        <f>IF(M25="","",DEGREES(-ACOS(-AF25)))</f>
        <v>-49.799992809771894</v>
      </c>
      <c r="AJ25" s="586">
        <f>IF(M25="","",DEGREES(ATAN2(-AE25,AD25)))</f>
        <v>-76.700423890487315</v>
      </c>
      <c r="AK25" s="635">
        <f>IF(M25="","",(COS(RADIANS((90-$Q$8)-W25))*AD25)+(-SIN(RADIANS((90-$Q$8)-W25))*AE25))</f>
        <v>2.2679489655730301E-7</v>
      </c>
      <c r="AL25" s="629">
        <f>IF(M25="","",(SIN(RADIANS((90-$Q$8)-W25))*AD25)+(COS(RADIANS((90-$Q$8)-W25))*AE25))</f>
        <v>-0.76379594763408121</v>
      </c>
      <c r="AM25" s="634">
        <f>IF(M25="","",AF25)</f>
        <v>-0.6454577835751184</v>
      </c>
      <c r="AN25" s="581">
        <f>IF(M25="","",DEGREES(ATAN2(-AM25,AL25)))</f>
        <v>-49.79999280977065</v>
      </c>
      <c r="AO25" s="582">
        <f>IF(ROUND(IF(M25="",0,DEGREES(ACOS(AK25))),4)=90,0,IF(M25="","",DEGREES(ACOS(AK25))))</f>
        <v>0</v>
      </c>
      <c r="AP25" s="585">
        <f>IF(M25="","",DEGREES(ATAN2(AK25,AL25)))</f>
        <v>-89.999982987091741</v>
      </c>
      <c r="AQ25" s="586">
        <f t="shared" si="9"/>
        <v>0.63419854003692633</v>
      </c>
      <c r="AS25" s="52">
        <f t="shared" si="116"/>
        <v>-75.791441034638922</v>
      </c>
      <c r="AT25" s="72">
        <f t="shared" si="10"/>
        <v>-0.97293889995673211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2.2229999999999999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2.1230000000000002</v>
      </c>
      <c r="II25" s="734" cm="1">
        <f t="array" ref="II25">IFERROR(ROUND(VALUE(IF($IH25&lt;1,$IH25+LARGE((IF($M$9:$M$150="",0,$M$9:$M$150)-MOD(IF($M$9:$M$150="",0,$M$9:$M$150),1)),1),$IH25)),4),"")</f>
        <v>2.1230000000000002</v>
      </c>
      <c r="IJ25" s="533">
        <f t="shared" si="112"/>
        <v>1613</v>
      </c>
      <c r="IK25" s="533" t="str">
        <f t="shared" si="66"/>
        <v>CPS-32193r1</v>
      </c>
      <c r="IL25" s="727">
        <f t="shared" si="225"/>
        <v>18.278297360940371</v>
      </c>
      <c r="IM25" s="759">
        <v>2.6720288610226801E-3</v>
      </c>
      <c r="IN25" s="5">
        <f t="shared" si="226"/>
        <v>0.1</v>
      </c>
      <c r="IO25" s="771">
        <v>50</v>
      </c>
      <c r="IP25" s="9">
        <f t="shared" si="227"/>
        <v>-3.5666107568980427</v>
      </c>
      <c r="IQ25" s="5">
        <f t="shared" si="228"/>
        <v>-1.023303086282108</v>
      </c>
      <c r="IR25" s="5">
        <f t="shared" si="71"/>
        <v>0.314</v>
      </c>
      <c r="IS25" s="5">
        <f t="shared" si="229"/>
        <v>0.28588461167814416</v>
      </c>
      <c r="IT25" s="727">
        <f t="shared" si="230"/>
        <v>70.667215574279595</v>
      </c>
      <c r="IU25" s="9">
        <f t="shared" si="231"/>
        <v>-3.5945108410446971</v>
      </c>
      <c r="IV25" s="5">
        <f t="shared" si="232"/>
        <v>-1.0262030950285346</v>
      </c>
      <c r="IW25" s="5">
        <f t="shared" si="76"/>
        <v>0.25700000000000001</v>
      </c>
      <c r="IX25" s="5">
        <f t="shared" si="233"/>
        <v>0.25700000000000001</v>
      </c>
      <c r="IY25" s="762">
        <f t="shared" si="234"/>
        <v>49.79999280977065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3.6090590249678876</v>
      </c>
      <c r="C26" s="708">
        <v>0.82660867064266486</v>
      </c>
      <c r="D26" s="709">
        <v>-1.8285055147726326</v>
      </c>
      <c r="E26" s="710">
        <v>0.97475974411225386</v>
      </c>
      <c r="F26" s="708">
        <v>0.22325644729360483</v>
      </c>
      <c r="G26" s="711">
        <v>2.2679489701100133E-7</v>
      </c>
      <c r="H26" s="710">
        <v>0.25700000000000001</v>
      </c>
      <c r="I26" s="708">
        <v>0.41499999999999992</v>
      </c>
      <c r="J26" s="570">
        <v>2.2290000000000001</v>
      </c>
      <c r="K26" s="865" t="str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CPS-32193r1</v>
      </c>
      <c r="L26" s="320"/>
      <c r="M26" s="168">
        <f t="shared" si="1"/>
        <v>2.2290000000000001</v>
      </c>
      <c r="N26" s="632">
        <f t="shared" si="2"/>
        <v>3.6090590249678876</v>
      </c>
      <c r="O26" s="629">
        <f t="shared" si="3"/>
        <v>0.82660867064266486</v>
      </c>
      <c r="P26" s="633">
        <f t="shared" si="4"/>
        <v>-1.8285055147726326</v>
      </c>
      <c r="Q26" s="585">
        <f t="shared" si="113"/>
        <v>12.900359154241757</v>
      </c>
      <c r="R26" s="629">
        <f>IF(M26="","",SQRT(N26^2+O26^2))</f>
        <v>3.7025111667736792</v>
      </c>
      <c r="S26" s="634">
        <f>IF(M26="","",P26)</f>
        <v>-1.8285055147726326</v>
      </c>
      <c r="T26" s="635">
        <f>IF(M26="","",X26*COS(RADIANS(W26)))</f>
        <v>0.88376011038679803</v>
      </c>
      <c r="U26" s="629">
        <f>IF(M26="","",X26*SIN(RADIANS(W26)))</f>
        <v>-3.5954912052976722</v>
      </c>
      <c r="V26" s="636">
        <f>IF(M26="","",Y26)</f>
        <v>-1.8285055147726326</v>
      </c>
      <c r="W26" s="585">
        <f t="shared" si="224"/>
        <v>283.80935902299842</v>
      </c>
      <c r="X26" s="629">
        <f>IF(M26="","",R26)</f>
        <v>3.7025111667736792</v>
      </c>
      <c r="Y26" s="630">
        <f t="shared" si="223"/>
        <v>-1.8285055147726326</v>
      </c>
      <c r="Z26" s="632">
        <f t="shared" si="6"/>
        <v>-0.97475974411225386</v>
      </c>
      <c r="AA26" s="629">
        <f t="shared" si="7"/>
        <v>-0.22325644729360483</v>
      </c>
      <c r="AB26" s="629">
        <f t="shared" si="8"/>
        <v>-2.2679489701100133E-7</v>
      </c>
      <c r="AC26" s="636">
        <f>IF(M26="","",SQRT(Z26^2+AA26^2+AB26^2))</f>
        <v>1</v>
      </c>
      <c r="AD26" s="637">
        <f>IF(M26="","",Z26*(1/SQRT(Z26^2+AA26^2+AB26^2)))</f>
        <v>-0.97475974411225386</v>
      </c>
      <c r="AE26" s="629">
        <f>IF(M26="","",AA26*(1/SQRT(Z26^2+AA26^2+AB26^2)))</f>
        <v>-0.22325644729360483</v>
      </c>
      <c r="AF26" s="633">
        <f>IF(M26="","",AB26*(1/SQRT(Z26^2+AA26^2+AB26^2)))</f>
        <v>-2.2679489701100133E-7</v>
      </c>
      <c r="AG26" s="602">
        <f>IF(M26="","",DEGREES(ATAN2(-AF26,AE26)))</f>
        <v>-89.99994179612473</v>
      </c>
      <c r="AH26" s="603">
        <f>IF(M26="","",DEGREES(ACOS(AD26)))</f>
        <v>167.09962785136142</v>
      </c>
      <c r="AI26" s="585">
        <f>IF(M26="","",DEGREES(-ACOS(-AF26)))</f>
        <v>-89.999987005609583</v>
      </c>
      <c r="AJ26" s="586">
        <f>IF(M26="","",DEGREES(ATAN2(-AE26,AD26)))</f>
        <v>-77.099627851367856</v>
      </c>
      <c r="AK26" s="635">
        <f>IF(M26="","",(COS(RADIANS((90-$Q$8)-W26))*AD26)+(-SIN(RADIANS((90-$Q$8)-W26))*AE26))</f>
        <v>2.2679489672383646E-7</v>
      </c>
      <c r="AL26" s="629">
        <f>IF(M26="","",(SIN(RADIANS((90-$Q$8)-W26))*AD26)+(COS(RADIANS((90-$Q$8)-W26))*AE26))</f>
        <v>-0.9999999999999486</v>
      </c>
      <c r="AM26" s="634">
        <f>IF(M26="","",AF26)</f>
        <v>-2.2679489701100133E-7</v>
      </c>
      <c r="AN26" s="581">
        <f>IF(M26="","",DEGREES(ATAN2(-AM26,AL26)))</f>
        <v>-89.999987005609597</v>
      </c>
      <c r="AO26" s="582">
        <f t="shared" si="94"/>
        <v>0</v>
      </c>
      <c r="AP26" s="585">
        <f>IF(M26="","",DEGREES(ATAN2(AK26,AL26)))</f>
        <v>-89.999987005609611</v>
      </c>
      <c r="AQ26" s="586">
        <f t="shared" si="9"/>
        <v>0.61570074386815077</v>
      </c>
      <c r="AS26" s="52">
        <f t="shared" si="116"/>
        <v>-76.190640977001578</v>
      </c>
      <c r="AT26" s="72">
        <f t="shared" si="10"/>
        <v>-1.7749640975186338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>Gage</v>
      </c>
      <c r="IG26" s="847">
        <f t="shared" si="210"/>
        <v>2.2290000000000001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2.129</v>
      </c>
      <c r="II26" s="734" cm="1">
        <f t="array" ref="II26">IFERROR(ROUND(VALUE(IF($IH26&lt;1,$IH26+LARGE((IF($M$9:$M$150="",0,$M$9:$M$150)-MOD(IF($M$9:$M$150="",0,$M$9:$M$150),1)),1),$IH26)),4),"")</f>
        <v>2.129</v>
      </c>
      <c r="IJ26" s="533">
        <f t="shared" si="112"/>
        <v>1613</v>
      </c>
      <c r="IK26" s="533" t="str">
        <f t="shared" si="66"/>
        <v>CPS-32193r1</v>
      </c>
      <c r="IL26" s="727">
        <f t="shared" si="225"/>
        <v>18.534597323935259</v>
      </c>
      <c r="IM26" s="759">
        <v>3.7233002306903401E-5</v>
      </c>
      <c r="IN26" s="5">
        <f t="shared" si="226"/>
        <v>0</v>
      </c>
      <c r="IO26" s="771">
        <v>0</v>
      </c>
      <c r="IP26" s="9">
        <f t="shared" si="227"/>
        <v>-3.6869111197239377</v>
      </c>
      <c r="IQ26" s="5">
        <f t="shared" si="228"/>
        <v>-1.8156054758661153</v>
      </c>
      <c r="IR26" s="5">
        <f t="shared" si="71"/>
        <v>0.314</v>
      </c>
      <c r="IS26" s="5">
        <f t="shared" si="229"/>
        <v>0.27193198865724577</v>
      </c>
      <c r="IT26" s="727">
        <f t="shared" si="230"/>
        <v>89.999987005609611</v>
      </c>
      <c r="IU26" s="9">
        <f t="shared" si="231"/>
        <v>-3.7025111667736792</v>
      </c>
      <c r="IV26" s="5">
        <f t="shared" si="232"/>
        <v>-1.8285055147726326</v>
      </c>
      <c r="IW26" s="5">
        <f t="shared" si="76"/>
        <v>0.25700000000000001</v>
      </c>
      <c r="IX26" s="5">
        <f t="shared" si="233"/>
        <v>0.25700000000000001</v>
      </c>
      <c r="IY26" s="762">
        <f t="shared" si="234"/>
        <v>89.999987005609597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0.69914417297184839</v>
      </c>
      <c r="C27" s="708">
        <v>-0.40365164024502692</v>
      </c>
      <c r="D27" s="709">
        <v>-0.37940114427385113</v>
      </c>
      <c r="E27" s="710">
        <v>0.42495075868149662</v>
      </c>
      <c r="F27" s="708">
        <v>0.87000969481008184</v>
      </c>
      <c r="G27" s="711">
        <v>0.2499999672649757</v>
      </c>
      <c r="H27" s="710">
        <v>0.314</v>
      </c>
      <c r="I27" s="708">
        <v>0.52</v>
      </c>
      <c r="J27" s="570">
        <v>3.1030000000000002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3.1030000000000002</v>
      </c>
      <c r="N27" s="632">
        <f t="shared" si="2"/>
        <v>0.69914417297184839</v>
      </c>
      <c r="O27" s="629">
        <f t="shared" si="3"/>
        <v>-0.40365164024502692</v>
      </c>
      <c r="P27" s="633">
        <f t="shared" si="4"/>
        <v>-0.37940114427385113</v>
      </c>
      <c r="Q27" s="585">
        <f t="shared" si="113"/>
        <v>329.99996534829228</v>
      </c>
      <c r="R27" s="629">
        <f t="shared" si="79"/>
        <v>0.80730243482414354</v>
      </c>
      <c r="S27" s="634">
        <f t="shared" si="80"/>
        <v>-0.37940114427385113</v>
      </c>
      <c r="T27" s="635">
        <f t="shared" si="81"/>
        <v>-0.39250935645391954</v>
      </c>
      <c r="U27" s="629">
        <f t="shared" si="82"/>
        <v>-0.70545986871623001</v>
      </c>
      <c r="V27" s="636">
        <f t="shared" si="114"/>
        <v>-0.37940114427385113</v>
      </c>
      <c r="W27" s="585">
        <f t="shared" si="224"/>
        <v>240.90896521704894</v>
      </c>
      <c r="X27" s="629">
        <f t="shared" si="83"/>
        <v>0.80730243482414354</v>
      </c>
      <c r="Y27" s="630">
        <f t="shared" si="223"/>
        <v>-0.37940114427385113</v>
      </c>
      <c r="Z27" s="632">
        <f t="shared" si="6"/>
        <v>-0.42495075868149662</v>
      </c>
      <c r="AA27" s="629">
        <f t="shared" si="7"/>
        <v>-0.87000969481008184</v>
      </c>
      <c r="AB27" s="629">
        <f t="shared" si="8"/>
        <v>-0.2499999672649757</v>
      </c>
      <c r="AC27" s="636">
        <f t="shared" si="84"/>
        <v>1</v>
      </c>
      <c r="AD27" s="637">
        <f t="shared" si="115"/>
        <v>-0.42495075868149662</v>
      </c>
      <c r="AE27" s="629">
        <f t="shared" si="85"/>
        <v>-0.87000969481008184</v>
      </c>
      <c r="AF27" s="633">
        <f t="shared" si="86"/>
        <v>-0.2499999672649757</v>
      </c>
      <c r="AG27" s="602">
        <f t="shared" si="87"/>
        <v>-73.967832110835701</v>
      </c>
      <c r="AH27" s="603">
        <f t="shared" si="88"/>
        <v>115.14754663787646</v>
      </c>
      <c r="AI27" s="585">
        <f t="shared" si="89"/>
        <v>-75.522489751159455</v>
      </c>
      <c r="AJ27" s="586">
        <f t="shared" si="90"/>
        <v>-26.03290500662116</v>
      </c>
      <c r="AK27" s="635">
        <f t="shared" si="211"/>
        <v>0.96592583607220761</v>
      </c>
      <c r="AL27" s="629">
        <f t="shared" si="91"/>
        <v>6.6987279208207129E-2</v>
      </c>
      <c r="AM27" s="634">
        <f t="shared" si="92"/>
        <v>-0.2499999672649757</v>
      </c>
      <c r="AN27" s="581">
        <f t="shared" si="93"/>
        <v>14.999997834268251</v>
      </c>
      <c r="AO27" s="582">
        <f t="shared" si="94"/>
        <v>14.999997834268203</v>
      </c>
      <c r="AP27" s="585">
        <f t="shared" si="95"/>
        <v>3.9671296450865663</v>
      </c>
      <c r="AQ27" s="586">
        <f t="shared" si="9"/>
        <v>2.8215985914167723</v>
      </c>
      <c r="AS27" s="52">
        <f t="shared" si="116"/>
        <v>-119.09103478295106</v>
      </c>
      <c r="AT27" s="72">
        <f t="shared" si="10"/>
        <v>-0.29606778687683188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3.1030000000000002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1.283366468384717</v>
      </c>
      <c r="C28" s="708">
        <v>-0.7409530108746506</v>
      </c>
      <c r="D28" s="709">
        <v>-0.17470052689678911</v>
      </c>
      <c r="E28" s="710">
        <v>0.42495075868149673</v>
      </c>
      <c r="F28" s="708">
        <v>0.87000969481008172</v>
      </c>
      <c r="G28" s="711">
        <v>0.2499999672649757</v>
      </c>
      <c r="H28" s="710">
        <v>0.28999999999999998</v>
      </c>
      <c r="I28" s="708">
        <v>0.52</v>
      </c>
      <c r="J28" s="570">
        <v>3.1059999999999999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1513</v>
      </c>
      <c r="L28" s="320"/>
      <c r="M28" s="168">
        <f t="shared" si="1"/>
        <v>3.1059999999999999</v>
      </c>
      <c r="N28" s="632">
        <f t="shared" si="2"/>
        <v>1.283366468384717</v>
      </c>
      <c r="O28" s="629">
        <f t="shared" si="3"/>
        <v>-0.7409530108746506</v>
      </c>
      <c r="P28" s="633">
        <f t="shared" si="4"/>
        <v>-0.17470052689678911</v>
      </c>
      <c r="Q28" s="585">
        <f t="shared" si="113"/>
        <v>329.99996534829228</v>
      </c>
      <c r="R28" s="629">
        <f t="shared" si="79"/>
        <v>1.4819044694238799</v>
      </c>
      <c r="S28" s="634">
        <f t="shared" si="80"/>
        <v>-0.17470052689678911</v>
      </c>
      <c r="T28" s="635">
        <f t="shared" si="81"/>
        <v>-0.72049995705321856</v>
      </c>
      <c r="U28" s="629">
        <f t="shared" si="82"/>
        <v>-1.2949597168965454</v>
      </c>
      <c r="V28" s="636">
        <f t="shared" si="114"/>
        <v>-0.17470052689678911</v>
      </c>
      <c r="W28" s="585">
        <f t="shared" si="224"/>
        <v>240.90896521704894</v>
      </c>
      <c r="X28" s="629">
        <f t="shared" si="83"/>
        <v>1.4819044694238799</v>
      </c>
      <c r="Y28" s="630">
        <f t="shared" si="223"/>
        <v>-0.17470052689678911</v>
      </c>
      <c r="Z28" s="632">
        <f t="shared" si="6"/>
        <v>-0.42495075868149673</v>
      </c>
      <c r="AA28" s="629">
        <f t="shared" si="7"/>
        <v>-0.87000969481008172</v>
      </c>
      <c r="AB28" s="629">
        <f t="shared" si="8"/>
        <v>-0.2499999672649757</v>
      </c>
      <c r="AC28" s="636">
        <f t="shared" si="84"/>
        <v>1</v>
      </c>
      <c r="AD28" s="637">
        <f t="shared" si="115"/>
        <v>-0.42495075868149673</v>
      </c>
      <c r="AE28" s="629">
        <f t="shared" si="85"/>
        <v>-0.87000969481008172</v>
      </c>
      <c r="AF28" s="633">
        <f t="shared" si="86"/>
        <v>-0.2499999672649757</v>
      </c>
      <c r="AG28" s="602">
        <f t="shared" si="87"/>
        <v>-73.967832110835701</v>
      </c>
      <c r="AH28" s="603">
        <f t="shared" si="88"/>
        <v>115.14754663787647</v>
      </c>
      <c r="AI28" s="585">
        <f t="shared" si="89"/>
        <v>-75.522489751159455</v>
      </c>
      <c r="AJ28" s="586">
        <f t="shared" si="90"/>
        <v>-26.032905006621167</v>
      </c>
      <c r="AK28" s="635">
        <f t="shared" si="211"/>
        <v>0.9659258360722075</v>
      </c>
      <c r="AL28" s="629">
        <f t="shared" si="91"/>
        <v>6.6987279208206962E-2</v>
      </c>
      <c r="AM28" s="634">
        <f t="shared" si="92"/>
        <v>-0.2499999672649757</v>
      </c>
      <c r="AN28" s="581">
        <f t="shared" si="93"/>
        <v>14.999997834268218</v>
      </c>
      <c r="AO28" s="582">
        <f t="shared" si="94"/>
        <v>14.99999783426823</v>
      </c>
      <c r="AP28" s="585">
        <f t="shared" si="95"/>
        <v>3.967129645086557</v>
      </c>
      <c r="AQ28" s="586">
        <f t="shared" si="9"/>
        <v>1.5380067280998726</v>
      </c>
      <c r="AS28" s="52">
        <f t="shared" si="116"/>
        <v>-119.09103478295106</v>
      </c>
      <c r="AT28" s="72">
        <f t="shared" si="10"/>
        <v>-9.1367169499769862E-2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3.1059999999999999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1513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1.948826035481696</v>
      </c>
      <c r="C29" s="708">
        <v>-1.1509278312086666</v>
      </c>
      <c r="D29" s="709">
        <v>-6.4500194532586666E-2</v>
      </c>
      <c r="E29" s="710">
        <v>0.54072642560476181</v>
      </c>
      <c r="F29" s="708">
        <v>0.80059624759117443</v>
      </c>
      <c r="G29" s="711">
        <v>0.25818710462691369</v>
      </c>
      <c r="H29" s="710">
        <v>0.314</v>
      </c>
      <c r="I29" s="708">
        <v>0.52</v>
      </c>
      <c r="J29" s="570">
        <v>3.11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843"/>
      <c r="M29" s="168">
        <f t="shared" si="1"/>
        <v>3.11</v>
      </c>
      <c r="N29" s="632">
        <f t="shared" si="2"/>
        <v>1.948826035481696</v>
      </c>
      <c r="O29" s="629">
        <f t="shared" si="3"/>
        <v>-1.1509278312086666</v>
      </c>
      <c r="P29" s="633">
        <f t="shared" si="4"/>
        <v>-6.4500194532586666E-2</v>
      </c>
      <c r="Q29" s="585">
        <f t="shared" si="113"/>
        <v>329.43496542986816</v>
      </c>
      <c r="R29" s="629">
        <f>IF(M29="","",SQRT(N29^2+O29^2))</f>
        <v>2.263306826133388</v>
      </c>
      <c r="S29" s="634">
        <f>IF(M29="","",P29)</f>
        <v>-6.4500194532586666E-2</v>
      </c>
      <c r="T29" s="635">
        <f>IF(M29="","",X29*COS(RADIANS(W29)))</f>
        <v>-1.1198660830642053</v>
      </c>
      <c r="U29" s="629">
        <f>IF(M29="","",X29*SIN(RADIANS(W29)))</f>
        <v>-1.9668395321490832</v>
      </c>
      <c r="V29" s="636">
        <f>IF(M29="","",Y29)</f>
        <v>-6.4500194532586666E-2</v>
      </c>
      <c r="W29" s="585">
        <f t="shared" si="224"/>
        <v>240.34396529862482</v>
      </c>
      <c r="X29" s="629">
        <f>IF(M29="","",R29)</f>
        <v>2.263306826133388</v>
      </c>
      <c r="Y29" s="630">
        <f t="shared" si="223"/>
        <v>-6.4500194532586666E-2</v>
      </c>
      <c r="Z29" s="632">
        <f t="shared" si="6"/>
        <v>-0.54072642560476181</v>
      </c>
      <c r="AA29" s="629">
        <f t="shared" si="7"/>
        <v>-0.80059624759117443</v>
      </c>
      <c r="AB29" s="629">
        <f t="shared" si="8"/>
        <v>-0.25818710462691369</v>
      </c>
      <c r="AC29" s="636">
        <f>IF(M29="","",SQRT(Z29^2+AA29^2+AB29^2))</f>
        <v>1</v>
      </c>
      <c r="AD29" s="637">
        <f>IF(M29="","",Z29*(1/SQRT(Z29^2+AA29^2+AB29^2)))</f>
        <v>-0.54072642560476181</v>
      </c>
      <c r="AE29" s="629">
        <f>IF(M29="","",AA29*(1/SQRT(Z29^2+AA29^2+AB29^2)))</f>
        <v>-0.80059624759117443</v>
      </c>
      <c r="AF29" s="633">
        <f>IF(M29="","",AB29*(1/SQRT(Z29^2+AA29^2+AB29^2)))</f>
        <v>-0.25818710462691369</v>
      </c>
      <c r="AG29" s="602">
        <f>IF(M29="","",DEGREES(ATAN2(-AF29,AE29)))</f>
        <v>-72.125824761501804</v>
      </c>
      <c r="AH29" s="603">
        <f>IF(M29="","",DEGREES(ACOS(AD29)))</f>
        <v>122.7331034856075</v>
      </c>
      <c r="AI29" s="585">
        <f>IF(M29="","",DEGREES(-ACOS(-AF29)))</f>
        <v>-75.037481502924763</v>
      </c>
      <c r="AJ29" s="586">
        <f>IF(M29="","",DEGREES(ATAN2(-AE29,AD29)))</f>
        <v>-34.035274549567959</v>
      </c>
      <c r="AK29" s="635">
        <f>IF(M29="","",(COS(RADIANS((90-$Q$8)-W29))*AD29)+(-SIN(RADIANS((90-$Q$8)-W29))*AE29))</f>
        <v>0.96432347497568349</v>
      </c>
      <c r="AL29" s="629">
        <f>IF(M29="","",(SIN(RADIANS((90-$Q$8)-W29))*AD29)+(COS(RADIANS((90-$Q$8)-W29))*AE29))</f>
        <v>-5.8477813016505786E-2</v>
      </c>
      <c r="AM29" s="634">
        <f>IF(M29="","",AF29)</f>
        <v>-0.25818710462691369</v>
      </c>
      <c r="AN29" s="581">
        <f>IF(M29="","",DEGREES(ATAN2(-AM29,AL29)))</f>
        <v>-12.761828988183282</v>
      </c>
      <c r="AO29" s="582">
        <f t="shared" si="94"/>
        <v>15.350715017630963</v>
      </c>
      <c r="AP29" s="585">
        <f>IF(M29="","",DEGREES(ATAN2(AK29,AL29)))</f>
        <v>-3.4702399794361316</v>
      </c>
      <c r="AQ29" s="586">
        <f t="shared" si="9"/>
        <v>1.0071510397132282</v>
      </c>
      <c r="AS29" s="52">
        <f t="shared" si="116"/>
        <v>-119.65603470137518</v>
      </c>
      <c r="AT29" s="72">
        <f t="shared" si="10"/>
        <v>1.9225523918893775E-2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3.11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6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110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90</v>
      </c>
    </row>
    <row r="30" spans="1:269" ht="15" customHeight="1" x14ac:dyDescent="0.25">
      <c r="A30" s="79"/>
      <c r="B30" s="707">
        <v>2.5628477512823231</v>
      </c>
      <c r="C30" s="708">
        <v>-1.576497771828681</v>
      </c>
      <c r="D30" s="709">
        <v>-0.31550095155086993</v>
      </c>
      <c r="E30" s="710">
        <v>0.67904308753029707</v>
      </c>
      <c r="F30" s="708">
        <v>0.70389054562942599</v>
      </c>
      <c r="G30" s="711">
        <v>0.20841925307137604</v>
      </c>
      <c r="H30" s="710">
        <v>0.314</v>
      </c>
      <c r="I30" s="708">
        <v>0.52</v>
      </c>
      <c r="J30" s="570">
        <v>3.1160000000000001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3.1160000000000001</v>
      </c>
      <c r="N30" s="632">
        <f t="shared" si="2"/>
        <v>2.5628477512823231</v>
      </c>
      <c r="O30" s="629">
        <f t="shared" si="3"/>
        <v>-1.576497771828681</v>
      </c>
      <c r="P30" s="633">
        <f t="shared" si="4"/>
        <v>-0.31550095155086993</v>
      </c>
      <c r="Q30" s="585">
        <f t="shared" si="113"/>
        <v>328.40286557888493</v>
      </c>
      <c r="R30" s="629">
        <f>IF(M30="","",SQRT(N30^2+O30^2))</f>
        <v>3.0089090748697704</v>
      </c>
      <c r="S30" s="634">
        <f>IF(M30="","",P30)</f>
        <v>-0.31550095155086993</v>
      </c>
      <c r="T30" s="635">
        <f>IF(M30="","",X30*COS(RADIANS(W30)))</f>
        <v>-1.5356413961265976</v>
      </c>
      <c r="U30" s="629">
        <f>IF(M30="","",X30*SIN(RADIANS(W30)))</f>
        <v>-2.5875353762482192</v>
      </c>
      <c r="V30" s="636">
        <f>IF(M30="","",Y30)</f>
        <v>-0.31550095155086993</v>
      </c>
      <c r="W30" s="585">
        <f t="shared" si="224"/>
        <v>239.31186544764159</v>
      </c>
      <c r="X30" s="629">
        <f>IF(M30="","",R30)</f>
        <v>3.0089090748697704</v>
      </c>
      <c r="Y30" s="630">
        <f t="shared" si="223"/>
        <v>-0.31550095155086993</v>
      </c>
      <c r="Z30" s="632">
        <f t="shared" si="6"/>
        <v>-0.67904308753029707</v>
      </c>
      <c r="AA30" s="629">
        <f t="shared" si="7"/>
        <v>-0.70389054562942599</v>
      </c>
      <c r="AB30" s="629">
        <f t="shared" si="8"/>
        <v>-0.20841925307137604</v>
      </c>
      <c r="AC30" s="636">
        <f>IF(M30="","",SQRT(Z30^2+AA30^2+AB30^2))</f>
        <v>1</v>
      </c>
      <c r="AD30" s="637">
        <f>IF(M30="","",Z30*(1/SQRT(Z30^2+AA30^2+AB30^2)))</f>
        <v>-0.67904308753029707</v>
      </c>
      <c r="AE30" s="629">
        <f>IF(M30="","",AA30*(1/SQRT(Z30^2+AA30^2+AB30^2)))</f>
        <v>-0.70389054562942599</v>
      </c>
      <c r="AF30" s="633">
        <f>IF(M30="","",AB30*(1/SQRT(Z30^2+AA30^2+AB30^2)))</f>
        <v>-0.20841925307137604</v>
      </c>
      <c r="AG30" s="602">
        <f>IF(M30="","",DEGREES(ATAN2(-AF30,AE30)))</f>
        <v>-73.506183288601378</v>
      </c>
      <c r="AH30" s="603">
        <f>IF(M30="","",DEGREES(ACOS(AD30)))</f>
        <v>132.76891170750133</v>
      </c>
      <c r="AI30" s="585">
        <f>IF(M30="","",DEGREES(-ACOS(-AF30)))</f>
        <v>-77.970267493167384</v>
      </c>
      <c r="AJ30" s="586">
        <f>IF(M30="","",DEGREES(ATAN2(-AE30,AD30)))</f>
        <v>-43.970665488756495</v>
      </c>
      <c r="AK30" s="635">
        <f>IF(M30="","",(COS(RADIANS((90-$Q$8)-W30))*AD30)+(-SIN(RADIANS((90-$Q$8)-W30))*AE30))</f>
        <v>0.95532106320190291</v>
      </c>
      <c r="AL30" s="629">
        <f>IF(M30="","",(SIN(RADIANS((90-$Q$8)-W30))*AD30)+(COS(RADIANS((90-$Q$8)-W30))*AE30))</f>
        <v>-0.20957834132360958</v>
      </c>
      <c r="AM30" s="634">
        <f>IF(M30="","",AF30)</f>
        <v>-0.20841925307137604</v>
      </c>
      <c r="AN30" s="581">
        <f>IF(M30="","",DEGREES(ATAN2(-AM30,AL30)))</f>
        <v>-45.158878174444837</v>
      </c>
      <c r="AO30" s="582">
        <f>IF(ROUND(IF(M30="",0,DEGREES(ACOS(AK30))),4)=90,0,IF(M30="","",DEGREES(ACOS(AK30))))</f>
        <v>17.191724396514115</v>
      </c>
      <c r="AP30" s="585">
        <f>IF(M30="","",DEGREES(ATAN2(AK30,AL30)))</f>
        <v>-12.373531067641446</v>
      </c>
      <c r="AQ30" s="586">
        <f t="shared" si="9"/>
        <v>0.75761470617114635</v>
      </c>
      <c r="AS30" s="52">
        <f t="shared" si="116"/>
        <v>-120.68813455235841</v>
      </c>
      <c r="AT30" s="72">
        <f t="shared" si="10"/>
        <v>-0.23105849709176224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3.1160000000000001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15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100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30</v>
      </c>
    </row>
    <row r="31" spans="1:269" ht="15" customHeight="1" x14ac:dyDescent="0.25">
      <c r="A31" s="79"/>
      <c r="B31" s="707">
        <v>2.9693513441928721</v>
      </c>
      <c r="C31" s="708">
        <v>-1.8810242214799751</v>
      </c>
      <c r="D31" s="709">
        <v>-0.90320272405941571</v>
      </c>
      <c r="E31" s="710">
        <v>0.80096711722681257</v>
      </c>
      <c r="F31" s="708">
        <v>0.57866545935251423</v>
      </c>
      <c r="G31" s="711">
        <v>0.1536162858349121</v>
      </c>
      <c r="H31" s="710">
        <v>0.314</v>
      </c>
      <c r="I31" s="708">
        <v>0.52</v>
      </c>
      <c r="J31" s="570">
        <v>3.1219999999999999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3.1219999999999999</v>
      </c>
      <c r="N31" s="632">
        <f t="shared" si="2"/>
        <v>2.9693513441928721</v>
      </c>
      <c r="O31" s="629">
        <f t="shared" si="3"/>
        <v>-1.8810242214799751</v>
      </c>
      <c r="P31" s="633">
        <f t="shared" si="4"/>
        <v>-0.90320272405941571</v>
      </c>
      <c r="Q31" s="585">
        <f t="shared" si="113"/>
        <v>327.64656568808113</v>
      </c>
      <c r="R31" s="629">
        <f>IF(M31="","",SQRT(N31^2+O31^2))</f>
        <v>3.5150106012719737</v>
      </c>
      <c r="S31" s="634">
        <f>IF(M31="","",P31)</f>
        <v>-0.90320272405941571</v>
      </c>
      <c r="T31" s="635">
        <f>IF(M31="","",X31*COS(RADIANS(W31)))</f>
        <v>-1.8336805965323284</v>
      </c>
      <c r="U31" s="629">
        <f>IF(M31="","",X31*SIN(RADIANS(W31)))</f>
        <v>-2.998818933672923</v>
      </c>
      <c r="V31" s="636">
        <f>IF(M31="","",Y31)</f>
        <v>-0.90320272405941571</v>
      </c>
      <c r="W31" s="585">
        <f t="shared" si="224"/>
        <v>238.55556555683779</v>
      </c>
      <c r="X31" s="629">
        <f>IF(M31="","",R31)</f>
        <v>3.5150106012719737</v>
      </c>
      <c r="Y31" s="630">
        <f t="shared" si="223"/>
        <v>-0.90320272405941571</v>
      </c>
      <c r="Z31" s="632">
        <f t="shared" si="6"/>
        <v>-0.80096711722681257</v>
      </c>
      <c r="AA31" s="629">
        <f t="shared" si="7"/>
        <v>-0.57866545935251423</v>
      </c>
      <c r="AB31" s="629">
        <f t="shared" si="8"/>
        <v>-0.1536162858349121</v>
      </c>
      <c r="AC31" s="636">
        <f>IF(M31="","",SQRT(Z31^2+AA31^2+AB31^2))</f>
        <v>1</v>
      </c>
      <c r="AD31" s="637">
        <f>IF(M31="","",Z31*(1/SQRT(Z31^2+AA31^2+AB31^2)))</f>
        <v>-0.80096711722681257</v>
      </c>
      <c r="AE31" s="629">
        <f>IF(M31="","",AA31*(1/SQRT(Z31^2+AA31^2+AB31^2)))</f>
        <v>-0.57866545935251423</v>
      </c>
      <c r="AF31" s="633">
        <f>IF(M31="","",AB31*(1/SQRT(Z31^2+AA31^2+AB31^2)))</f>
        <v>-0.1536162858349121</v>
      </c>
      <c r="AG31" s="602">
        <f>IF(M31="","",DEGREES(ATAN2(-AF31,AE31)))</f>
        <v>-75.132801961446347</v>
      </c>
      <c r="AH31" s="603">
        <f>IF(M31="","",DEGREES(ACOS(AD31)))</f>
        <v>143.22255474059619</v>
      </c>
      <c r="AI31" s="585">
        <f>IF(M31="","",DEGREES(-ACOS(-AF31)))</f>
        <v>-81.163445813235711</v>
      </c>
      <c r="AJ31" s="586">
        <f>IF(M31="","",DEGREES(ATAN2(-AE31,AD31)))</f>
        <v>-54.153453050599033</v>
      </c>
      <c r="AK31" s="635">
        <f>IF(M31="","",(COS(RADIANS((90-$Q$8)-W31))*AD31)+(-SIN(RADIANS((90-$Q$8)-W31))*AE31))</f>
        <v>0.91746511561359401</v>
      </c>
      <c r="AL31" s="629">
        <f>IF(M31="","",(SIN(RADIANS((90-$Q$8)-W31))*AD31)+(COS(RADIANS((90-$Q$8)-W31))*AE31))</f>
        <v>-0.36696021359054892</v>
      </c>
      <c r="AM31" s="634">
        <f>IF(M31="","",AF31)</f>
        <v>-0.1536162858349121</v>
      </c>
      <c r="AN31" s="581">
        <f>IF(M31="","",DEGREES(ATAN2(-AM31,AL31)))</f>
        <v>-67.284918902108984</v>
      </c>
      <c r="AO31" s="582">
        <f t="shared" si="94"/>
        <v>23.441731956865834</v>
      </c>
      <c r="AP31" s="585">
        <f>IF(M31="","",DEGREES(ATAN2(AK31,AL31)))</f>
        <v>-21.800018738680134</v>
      </c>
      <c r="AQ31" s="586">
        <f t="shared" si="9"/>
        <v>0.64854122142954496</v>
      </c>
      <c r="AS31" s="52">
        <f t="shared" si="116"/>
        <v>-121.44443444316221</v>
      </c>
      <c r="AT31" s="72">
        <f t="shared" si="10"/>
        <v>-0.81823506134280533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3.1219999999999999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3.1072587661024023</v>
      </c>
      <c r="C32" s="708">
        <v>-1.984504110659334</v>
      </c>
      <c r="D32" s="709">
        <v>-1.7094051555659495</v>
      </c>
      <c r="E32" s="710">
        <v>0.88753434029675882</v>
      </c>
      <c r="F32" s="708">
        <v>0.46074157050778952</v>
      </c>
      <c r="G32" s="711">
        <v>1.1339743404472288E-7</v>
      </c>
      <c r="H32" s="710">
        <v>0.314</v>
      </c>
      <c r="I32" s="708">
        <v>0.52</v>
      </c>
      <c r="J32" s="570">
        <v>3.1280000000000001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3.1280000000000001</v>
      </c>
      <c r="N32" s="632">
        <f t="shared" si="2"/>
        <v>3.1072587661024023</v>
      </c>
      <c r="O32" s="629">
        <f t="shared" si="3"/>
        <v>-1.984504110659334</v>
      </c>
      <c r="P32" s="633">
        <f t="shared" si="4"/>
        <v>-1.7094051555659495</v>
      </c>
      <c r="Q32" s="585">
        <f t="shared" si="113"/>
        <v>327.43496571863238</v>
      </c>
      <c r="R32" s="629">
        <f t="shared" si="79"/>
        <v>3.6869111197239373</v>
      </c>
      <c r="S32" s="634">
        <f t="shared" si="80"/>
        <v>-1.7094051555659495</v>
      </c>
      <c r="T32" s="635">
        <f t="shared" si="81"/>
        <v>-1.9349596479982987</v>
      </c>
      <c r="U32" s="629">
        <f t="shared" si="82"/>
        <v>-3.1383506441062821</v>
      </c>
      <c r="V32" s="636">
        <f t="shared" si="114"/>
        <v>-1.7094051555659495</v>
      </c>
      <c r="W32" s="585">
        <f t="shared" si="224"/>
        <v>238.34396558738905</v>
      </c>
      <c r="X32" s="629">
        <f t="shared" si="83"/>
        <v>3.6869111197239373</v>
      </c>
      <c r="Y32" s="630">
        <f t="shared" si="223"/>
        <v>-1.7094051555659495</v>
      </c>
      <c r="Z32" s="632">
        <f t="shared" si="6"/>
        <v>-0.88753434029675882</v>
      </c>
      <c r="AA32" s="629">
        <f t="shared" si="7"/>
        <v>-0.46074157050778952</v>
      </c>
      <c r="AB32" s="629">
        <f t="shared" si="8"/>
        <v>-1.1339743404472288E-7</v>
      </c>
      <c r="AC32" s="636">
        <f t="shared" si="84"/>
        <v>1</v>
      </c>
      <c r="AD32" s="637">
        <f t="shared" si="115"/>
        <v>-0.88753434029675882</v>
      </c>
      <c r="AE32" s="629">
        <f t="shared" si="85"/>
        <v>-0.46074157050778952</v>
      </c>
      <c r="AF32" s="633">
        <f t="shared" si="86"/>
        <v>-1.1339743404472288E-7</v>
      </c>
      <c r="AG32" s="602">
        <f t="shared" si="87"/>
        <v>-89.999985898397725</v>
      </c>
      <c r="AH32" s="603">
        <f t="shared" si="88"/>
        <v>152.56502994990279</v>
      </c>
      <c r="AI32" s="585">
        <f t="shared" si="89"/>
        <v>-89.999993502805623</v>
      </c>
      <c r="AJ32" s="586">
        <f t="shared" si="90"/>
        <v>-62.565029949903497</v>
      </c>
      <c r="AK32" s="635">
        <f t="shared" si="211"/>
        <v>0.86602544158358574</v>
      </c>
      <c r="AL32" s="629">
        <f t="shared" si="91"/>
        <v>-0.49999993452993818</v>
      </c>
      <c r="AM32" s="634">
        <f t="shared" si="92"/>
        <v>-1.1339743404472288E-7</v>
      </c>
      <c r="AN32" s="581">
        <f t="shared" si="93"/>
        <v>-89.99998700560954</v>
      </c>
      <c r="AO32" s="582">
        <f t="shared" si="94"/>
        <v>29.99999566853651</v>
      </c>
      <c r="AP32" s="585">
        <f t="shared" si="95"/>
        <v>-29.999995668535888</v>
      </c>
      <c r="AQ32" s="586">
        <f t="shared" si="9"/>
        <v>0.6183056931459352</v>
      </c>
      <c r="AS32" s="52">
        <f t="shared" si="116"/>
        <v>-121.65603441261095</v>
      </c>
      <c r="AT32" s="72">
        <f t="shared" si="10"/>
        <v>-1.624290548426111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3.1280000000000001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1.5222630123958121</v>
      </c>
      <c r="C33" s="708">
        <v>-1.6908064801589497</v>
      </c>
      <c r="D33" s="709">
        <v>-2.4600074193823769E-2</v>
      </c>
      <c r="E33" s="710">
        <v>0.74818930669042416</v>
      </c>
      <c r="F33" s="708">
        <v>0.57023965739964944</v>
      </c>
      <c r="G33" s="711">
        <v>0.33917472559557421</v>
      </c>
      <c r="H33" s="710">
        <v>0.26600000000000001</v>
      </c>
      <c r="I33" s="708">
        <v>0.52</v>
      </c>
      <c r="J33" s="570">
        <v>3.21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3.21</v>
      </c>
      <c r="N33" s="632">
        <f t="shared" si="2"/>
        <v>1.5222630123958121</v>
      </c>
      <c r="O33" s="629">
        <f t="shared" si="3"/>
        <v>-1.6908064801589497</v>
      </c>
      <c r="P33" s="633">
        <f t="shared" si="4"/>
        <v>-2.4600074193823769E-2</v>
      </c>
      <c r="Q33" s="585">
        <f t="shared" si="113"/>
        <v>311.9972679475602</v>
      </c>
      <c r="R33" s="629">
        <f t="shared" si="79"/>
        <v>2.2751068617222949</v>
      </c>
      <c r="S33" s="634">
        <f t="shared" si="80"/>
        <v>-2.4600074193823769E-2</v>
      </c>
      <c r="T33" s="635">
        <f t="shared" si="81"/>
        <v>-1.666443945636938</v>
      </c>
      <c r="U33" s="629">
        <f t="shared" si="82"/>
        <v>-1.548895028175203</v>
      </c>
      <c r="V33" s="636">
        <f t="shared" si="114"/>
        <v>-2.4600074193823769E-2</v>
      </c>
      <c r="W33" s="585">
        <f t="shared" si="224"/>
        <v>222.90626781631687</v>
      </c>
      <c r="X33" s="629">
        <f t="shared" si="83"/>
        <v>2.2751068617222949</v>
      </c>
      <c r="Y33" s="630">
        <f t="shared" si="223"/>
        <v>-2.4600074193823769E-2</v>
      </c>
      <c r="Z33" s="632">
        <f t="shared" si="6"/>
        <v>-0.74818930669042416</v>
      </c>
      <c r="AA33" s="629">
        <f t="shared" si="7"/>
        <v>-0.57023965739964944</v>
      </c>
      <c r="AB33" s="629">
        <f t="shared" si="8"/>
        <v>-0.33917472559557421</v>
      </c>
      <c r="AC33" s="636">
        <f t="shared" si="84"/>
        <v>1</v>
      </c>
      <c r="AD33" s="637">
        <f t="shared" si="115"/>
        <v>-0.74818930669042416</v>
      </c>
      <c r="AE33" s="629">
        <f t="shared" si="85"/>
        <v>-0.57023965739964944</v>
      </c>
      <c r="AF33" s="633">
        <f t="shared" si="86"/>
        <v>-0.33917472559557421</v>
      </c>
      <c r="AG33" s="602">
        <f t="shared" si="87"/>
        <v>-59.256101936057121</v>
      </c>
      <c r="AH33" s="603">
        <f t="shared" si="88"/>
        <v>138.43377254992959</v>
      </c>
      <c r="AI33" s="585">
        <f t="shared" si="89"/>
        <v>-70.173398121589543</v>
      </c>
      <c r="AJ33" s="586">
        <f t="shared" si="90"/>
        <v>-52.686814798589921</v>
      </c>
      <c r="AK33" s="635">
        <f t="shared" si="211"/>
        <v>0.93758148361600713</v>
      </c>
      <c r="AL33" s="629">
        <f t="shared" si="91"/>
        <v>-7.6821006876857001E-2</v>
      </c>
      <c r="AM33" s="634">
        <f t="shared" si="92"/>
        <v>-0.33917472559557421</v>
      </c>
      <c r="AN33" s="581">
        <f t="shared" si="93"/>
        <v>-12.76182721867711</v>
      </c>
      <c r="AO33" s="582">
        <f t="shared" si="94"/>
        <v>20.350714293356685</v>
      </c>
      <c r="AP33" s="585">
        <f t="shared" si="95"/>
        <v>-4.6840827461501116</v>
      </c>
      <c r="AQ33" s="586">
        <f t="shared" si="9"/>
        <v>1.0019284326514544</v>
      </c>
      <c r="AS33" s="52">
        <f t="shared" si="116"/>
        <v>-137.09373218368313</v>
      </c>
      <c r="AT33" s="72">
        <f t="shared" si="10"/>
        <v>7.1235156398148314E-2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Nose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3.21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3.11</v>
      </c>
      <c r="II33" s="734" cm="1">
        <f t="array" ref="II33">IFERROR(ROUND(VALUE(IF($IH33&lt;1,$IH33+LARGE((IF($M$9:$M$150="",0,$M$9:$M$150)-MOD(IF($M$9:$M$150="",0,$M$9:$M$150),1)),1),$IH33)),4),"")</f>
        <v>3.11</v>
      </c>
      <c r="IJ33" s="533">
        <f t="shared" si="112"/>
        <v>1613</v>
      </c>
      <c r="IK33" s="533">
        <f t="shared" si="66"/>
        <v>1313</v>
      </c>
      <c r="IL33" s="727">
        <f t="shared" si="225"/>
        <v>17.437697482307954</v>
      </c>
      <c r="IM33" s="759">
        <v>1.17640974198729E-2</v>
      </c>
      <c r="IN33" s="5">
        <f t="shared" si="226"/>
        <v>0.22</v>
      </c>
      <c r="IO33" s="771">
        <v>110</v>
      </c>
      <c r="IP33" s="9">
        <f t="shared" si="227"/>
        <v>-2.263306826133388</v>
      </c>
      <c r="IQ33" s="5">
        <f t="shared" si="228"/>
        <v>-6.4500194532586666E-2</v>
      </c>
      <c r="IR33" s="5">
        <f t="shared" si="71"/>
        <v>0.314</v>
      </c>
      <c r="IS33" s="5">
        <f t="shared" si="229"/>
        <v>0.30279757114236461</v>
      </c>
      <c r="IT33" s="727">
        <f t="shared" si="230"/>
        <v>12.761828988183282</v>
      </c>
      <c r="IU33" s="9">
        <f t="shared" si="231"/>
        <v>-2.2751068617222949</v>
      </c>
      <c r="IV33" s="5">
        <f t="shared" si="232"/>
        <v>-2.4600074193823769E-2</v>
      </c>
      <c r="IW33" s="5">
        <f t="shared" si="76"/>
        <v>0.26600000000000001</v>
      </c>
      <c r="IX33" s="5">
        <f t="shared" si="233"/>
        <v>0.24939667464185791</v>
      </c>
      <c r="IY33" s="762">
        <f t="shared" si="234"/>
        <v>12.76182721867711</v>
      </c>
    </row>
    <row r="34" spans="1:267" ht="15" customHeight="1" x14ac:dyDescent="0.25">
      <c r="A34" s="79"/>
      <c r="B34" s="707">
        <v>2.0164473761380544</v>
      </c>
      <c r="C34" s="708">
        <v>-2.2842056799229229</v>
      </c>
      <c r="D34" s="709">
        <v>-0.28950087313463335</v>
      </c>
      <c r="E34" s="710">
        <v>0.87138991561834622</v>
      </c>
      <c r="F34" s="708">
        <v>0.41199987442480035</v>
      </c>
      <c r="G34" s="711">
        <v>0.26633760236324189</v>
      </c>
      <c r="H34" s="710">
        <v>0.26600000000000001</v>
      </c>
      <c r="I34" s="708">
        <v>0.52</v>
      </c>
      <c r="J34" s="570">
        <v>3.2160000000000002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3.2160000000000002</v>
      </c>
      <c r="N34" s="632">
        <f t="shared" si="2"/>
        <v>2.0164473761380544</v>
      </c>
      <c r="O34" s="629">
        <f t="shared" si="3"/>
        <v>-2.2842056799229229</v>
      </c>
      <c r="P34" s="633">
        <f t="shared" si="4"/>
        <v>-0.28950087313463335</v>
      </c>
      <c r="Q34" s="585">
        <f t="shared" si="113"/>
        <v>311.43736802839976</v>
      </c>
      <c r="R34" s="629">
        <f>IF(M34="","",SQRT(N34^2+O34^2))</f>
        <v>3.0469091894781153</v>
      </c>
      <c r="S34" s="634">
        <f>IF(M34="","",P34)</f>
        <v>-0.28950087313463335</v>
      </c>
      <c r="T34" s="635">
        <f>IF(M34="","",X34*COS(RADIANS(W34)))</f>
        <v>-2.251928541716651</v>
      </c>
      <c r="U34" s="629">
        <f>IF(M34="","",X34*SIN(RADIANS(W34)))</f>
        <v>-2.0524311077178945</v>
      </c>
      <c r="V34" s="636">
        <f>IF(M34="","",Y34)</f>
        <v>-0.28950087313463335</v>
      </c>
      <c r="W34" s="585">
        <f t="shared" si="224"/>
        <v>222.34636789715643</v>
      </c>
      <c r="X34" s="629">
        <f>IF(M34="","",R34)</f>
        <v>3.0469091894781153</v>
      </c>
      <c r="Y34" s="630">
        <f t="shared" si="223"/>
        <v>-0.28950087313463335</v>
      </c>
      <c r="Z34" s="632">
        <f t="shared" si="6"/>
        <v>-0.87138991561834622</v>
      </c>
      <c r="AA34" s="629">
        <f t="shared" si="7"/>
        <v>-0.41199987442480035</v>
      </c>
      <c r="AB34" s="629">
        <f t="shared" si="8"/>
        <v>-0.26633760236324189</v>
      </c>
      <c r="AC34" s="636">
        <f>IF(M34="","",SQRT(Z34^2+AA34^2+AB34^2))</f>
        <v>1</v>
      </c>
      <c r="AD34" s="637">
        <f>IF(M34="","",Z34*(1/SQRT(Z34^2+AA34^2+AB34^2)))</f>
        <v>-0.87138991561834622</v>
      </c>
      <c r="AE34" s="629">
        <f>IF(M34="","",AA34*(1/SQRT(Z34^2+AA34^2+AB34^2)))</f>
        <v>-0.41199987442480035</v>
      </c>
      <c r="AF34" s="633">
        <f>IF(M34="","",AB34*(1/SQRT(Z34^2+AA34^2+AB34^2)))</f>
        <v>-0.26633760236324189</v>
      </c>
      <c r="AG34" s="602">
        <f>IF(M34="","",DEGREES(ATAN2(-AF34,AE34)))</f>
        <v>-57.119324369561944</v>
      </c>
      <c r="AH34" s="603">
        <f>IF(M34="","",DEGREES(ACOS(AD34)))</f>
        <v>150.62056056531029</v>
      </c>
      <c r="AI34" s="585">
        <f>IF(M34="","",DEGREES(-ACOS(-AF34)))</f>
        <v>-74.553551495403966</v>
      </c>
      <c r="AJ34" s="586">
        <f>IF(M34="","",DEGREES(ATAN2(-AE34,AD34)))</f>
        <v>-64.694854363006485</v>
      </c>
      <c r="AK34" s="635">
        <f>IF(M34="","",(COS(RADIANS((90-$Q$8)-W34))*AD34)+(-SIN(RADIANS((90-$Q$8)-W34))*AE34))</f>
        <v>0.92592515398179787</v>
      </c>
      <c r="AL34" s="629">
        <f>IF(M34="","",(SIN(RADIANS((90-$Q$8)-W34))*AD34)+(COS(RADIANS((90-$Q$8)-W34))*AE34))</f>
        <v>-0.26781876482275041</v>
      </c>
      <c r="AM34" s="634">
        <f>IF(M34="","",AF34)</f>
        <v>-0.26633760236324189</v>
      </c>
      <c r="AN34" s="581">
        <f>IF(M34="","",DEGREES(ATAN2(-AM34,AL34)))</f>
        <v>-45.158875088664452</v>
      </c>
      <c r="AO34" s="582">
        <f t="shared" si="94"/>
        <v>22.191723665628874</v>
      </c>
      <c r="AP34" s="585">
        <f>IF(M34="","",DEGREES(ATAN2(AK34,AL34)))</f>
        <v>-16.132222391406238</v>
      </c>
      <c r="AQ34" s="586">
        <f t="shared" si="9"/>
        <v>0.74816704931081268</v>
      </c>
      <c r="AS34" s="52">
        <f t="shared" si="116"/>
        <v>-137.65363210284357</v>
      </c>
      <c r="AT34" s="72">
        <f t="shared" si="10"/>
        <v>-0.1932768231543554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Taper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3.2160000000000002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3.1160000000000001</v>
      </c>
      <c r="II34" s="734" cm="1">
        <f t="array" ref="II34">IFERROR(ROUND(VALUE(IF($IH34&lt;1,$IH34+LARGE((IF($M$9:$M$150="",0,$M$9:$M$150)-MOD(IF($M$9:$M$150="",0,$M$9:$M$150),1)),1),$IH34)),4),"")</f>
        <v>3.1160000000000001</v>
      </c>
      <c r="IJ34" s="533">
        <f t="shared" si="112"/>
        <v>1613</v>
      </c>
      <c r="IK34" s="533">
        <f t="shared" si="66"/>
        <v>1313</v>
      </c>
      <c r="IL34" s="727">
        <f t="shared" si="225"/>
        <v>16.965497550485168</v>
      </c>
      <c r="IM34" s="759">
        <v>7.3623362860785703E-3</v>
      </c>
      <c r="IN34" s="5">
        <f t="shared" si="226"/>
        <v>0.22</v>
      </c>
      <c r="IO34" s="771">
        <v>110</v>
      </c>
      <c r="IP34" s="9">
        <f t="shared" si="227"/>
        <v>-3.0089090748697704</v>
      </c>
      <c r="IQ34" s="5">
        <f t="shared" si="228"/>
        <v>-0.31550095155086993</v>
      </c>
      <c r="IR34" s="5">
        <f t="shared" si="71"/>
        <v>0.314</v>
      </c>
      <c r="IS34" s="5">
        <f t="shared" si="229"/>
        <v>0.29997081384539753</v>
      </c>
      <c r="IT34" s="727">
        <f t="shared" si="230"/>
        <v>45.158878174444837</v>
      </c>
      <c r="IU34" s="9">
        <f t="shared" si="231"/>
        <v>-3.0469091894781153</v>
      </c>
      <c r="IV34" s="5">
        <f t="shared" si="232"/>
        <v>-0.28950087313463335</v>
      </c>
      <c r="IW34" s="5">
        <f t="shared" si="76"/>
        <v>0.26600000000000001</v>
      </c>
      <c r="IX34" s="5">
        <f t="shared" si="233"/>
        <v>0.24629609095915825</v>
      </c>
      <c r="IY34" s="762">
        <f t="shared" si="234"/>
        <v>45.158875088664452</v>
      </c>
      <c r="JG34" s="470"/>
    </row>
    <row r="35" spans="1:267" ht="15" customHeight="1" x14ac:dyDescent="0.25">
      <c r="A35" s="79"/>
      <c r="B35" s="707">
        <v>2.23840845716812</v>
      </c>
      <c r="C35" s="708">
        <v>-2.7479004693231119</v>
      </c>
      <c r="D35" s="709">
        <v>-0.90380272586902133</v>
      </c>
      <c r="E35" s="710">
        <v>0.45431179937053406</v>
      </c>
      <c r="F35" s="708">
        <v>-0.5577189448613028</v>
      </c>
      <c r="G35" s="711">
        <v>0.69465845384296798</v>
      </c>
      <c r="H35" s="710">
        <v>0.25700000000000001</v>
      </c>
      <c r="I35" s="708">
        <v>0.41499999999999992</v>
      </c>
      <c r="J35" s="570">
        <v>3.222</v>
      </c>
      <c r="K35" s="865" t="str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CPS-32193r1</v>
      </c>
      <c r="L35" s="320"/>
      <c r="M35" s="168">
        <f t="shared" si="1"/>
        <v>3.222</v>
      </c>
      <c r="N35" s="632">
        <f t="shared" si="2"/>
        <v>2.23840845716812</v>
      </c>
      <c r="O35" s="629">
        <f t="shared" si="3"/>
        <v>-2.7479004693231119</v>
      </c>
      <c r="P35" s="633">
        <f t="shared" si="4"/>
        <v>-0.90380272586902133</v>
      </c>
      <c r="Q35" s="585">
        <f t="shared" si="113"/>
        <v>309.16586835636372</v>
      </c>
      <c r="R35" s="629">
        <f>IF(M35="","",SQRT(N35^2+O35^2))</f>
        <v>3.5442106893394389</v>
      </c>
      <c r="S35" s="634">
        <f>IF(M35="","",P35)</f>
        <v>-0.90380272586902133</v>
      </c>
      <c r="T35" s="635">
        <f>IF(M35="","",X35*COS(RADIANS(W35)))</f>
        <v>-2.7120437026214854</v>
      </c>
      <c r="U35" s="629">
        <f>IF(M35="","",X35*SIN(RADIANS(W35)))</f>
        <v>-2.2817204836480482</v>
      </c>
      <c r="V35" s="636">
        <f>IF(M35="","",Y35)</f>
        <v>-0.90380272586902133</v>
      </c>
      <c r="W35" s="585">
        <f t="shared" si="224"/>
        <v>220.07486822512038</v>
      </c>
      <c r="X35" s="629">
        <f>IF(M35="","",R35)</f>
        <v>3.5442106893394389</v>
      </c>
      <c r="Y35" s="630">
        <f t="shared" si="223"/>
        <v>-0.90380272586902133</v>
      </c>
      <c r="Z35" s="632">
        <f t="shared" si="6"/>
        <v>-0.45431179937053406</v>
      </c>
      <c r="AA35" s="629">
        <f t="shared" si="7"/>
        <v>0.5577189448613028</v>
      </c>
      <c r="AB35" s="629">
        <f t="shared" si="8"/>
        <v>-0.69465845384296798</v>
      </c>
      <c r="AC35" s="636">
        <f>IF(M35="","",SQRT(Z35^2+AA35^2+AB35^2))</f>
        <v>1</v>
      </c>
      <c r="AD35" s="637">
        <f>IF(M35="","",Z35*(1/SQRT(Z35^2+AA35^2+AB35^2)))</f>
        <v>-0.45431179937053406</v>
      </c>
      <c r="AE35" s="629">
        <f>IF(M35="","",AA35*(1/SQRT(Z35^2+AA35^2+AB35^2)))</f>
        <v>0.5577189448613028</v>
      </c>
      <c r="AF35" s="633">
        <f>IF(M35="","",AB35*(1/SQRT(Z35^2+AA35^2+AB35^2)))</f>
        <v>-0.69465845384296798</v>
      </c>
      <c r="AG35" s="602">
        <f>IF(M35="","",DEGREES(ATAN2(-AF35,AE35)))</f>
        <v>38.759860962405703</v>
      </c>
      <c r="AH35" s="603">
        <f>IF(M35="","",DEGREES(ACOS(AD35)))</f>
        <v>117.02066292921205</v>
      </c>
      <c r="AI35" s="585">
        <f>IF(M35="","",DEGREES(-ACOS(-AF35)))</f>
        <v>-45.999993358424121</v>
      </c>
      <c r="AJ35" s="586">
        <f>IF(M35="","",DEGREES(ATAN2(-AE35,AD35)))</f>
        <v>-140.83411357930584</v>
      </c>
      <c r="AK35" s="635">
        <f>IF(M35="","",(COS(RADIANS((90-$Q$8)-W35))*AD35)+(-SIN(RADIANS((90-$Q$8)-W35))*AE35))</f>
        <v>2.2679489652954743E-7</v>
      </c>
      <c r="AL35" s="629">
        <f>IF(M35="","",(SIN(RADIANS((90-$Q$8)-W35))*AD35)+(COS(RADIANS((90-$Q$8)-W35))*AE35))</f>
        <v>-0.71933971981564171</v>
      </c>
      <c r="AM35" s="634">
        <f>IF(M35="","",AF35)</f>
        <v>-0.69465845384296798</v>
      </c>
      <c r="AN35" s="581">
        <f>IF(M35="","",DEGREES(ATAN2(-AM35,AL35)))</f>
        <v>-45.999993358422707</v>
      </c>
      <c r="AO35" s="582">
        <f t="shared" si="94"/>
        <v>0</v>
      </c>
      <c r="AP35" s="585">
        <f>IF(M35="","",DEGREES(ATAN2(AK35,AL35)))</f>
        <v>-89.999981935669581</v>
      </c>
      <c r="AQ35" s="586">
        <f t="shared" si="9"/>
        <v>0.64319846253197488</v>
      </c>
      <c r="AS35" s="52">
        <f t="shared" si="116"/>
        <v>-139.92513177487962</v>
      </c>
      <c r="AT35" s="72">
        <f t="shared" si="10"/>
        <v>-0.80600124556094055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3.222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3.1219999999999999</v>
      </c>
      <c r="II35" s="734" cm="1">
        <f t="array" ref="II35">IFERROR(ROUND(VALUE(IF($IH35&lt;1,$IH35+LARGE((IF($M$9:$M$150="",0,$M$9:$M$150)-MOD(IF($M$9:$M$150="",0,$M$9:$M$150),1)),1),$IH35)),4),"")</f>
        <v>3.1219999999999999</v>
      </c>
      <c r="IJ35" s="533">
        <f t="shared" si="112"/>
        <v>1613</v>
      </c>
      <c r="IK35" s="533" t="str">
        <f t="shared" si="66"/>
        <v>CPS-32193r1</v>
      </c>
      <c r="IL35" s="727">
        <f t="shared" si="225"/>
        <v>18.480697331717408</v>
      </c>
      <c r="IM35" s="759">
        <v>3.5171796725857098E-3</v>
      </c>
      <c r="IN35" s="5">
        <f t="shared" si="226"/>
        <v>0.14000000000000001</v>
      </c>
      <c r="IO35" s="771">
        <v>70</v>
      </c>
      <c r="IP35" s="9">
        <f t="shared" si="227"/>
        <v>-3.5150106012719737</v>
      </c>
      <c r="IQ35" s="5">
        <f t="shared" si="228"/>
        <v>-0.90320272405941571</v>
      </c>
      <c r="IR35" s="5">
        <f t="shared" si="71"/>
        <v>0.314</v>
      </c>
      <c r="IS35" s="5">
        <f t="shared" si="229"/>
        <v>0.28808404630266854</v>
      </c>
      <c r="IT35" s="727">
        <f t="shared" si="230"/>
        <v>67.284918902108984</v>
      </c>
      <c r="IU35" s="9">
        <f t="shared" si="231"/>
        <v>-3.5442106893394389</v>
      </c>
      <c r="IV35" s="5">
        <f t="shared" si="232"/>
        <v>-0.90380272586902133</v>
      </c>
      <c r="IW35" s="5">
        <f t="shared" si="76"/>
        <v>0.25700000000000001</v>
      </c>
      <c r="IX35" s="5">
        <f t="shared" si="233"/>
        <v>0.25700000000000001</v>
      </c>
      <c r="IY35" s="762">
        <f t="shared" si="234"/>
        <v>45.999993358422707</v>
      </c>
    </row>
    <row r="36" spans="1:267" ht="15" customHeight="1" x14ac:dyDescent="0.25">
      <c r="A36" s="79"/>
      <c r="B36" s="707">
        <v>2.3250587601055943</v>
      </c>
      <c r="C36" s="708">
        <v>-2.8814389985109923</v>
      </c>
      <c r="D36" s="709">
        <v>-1.7223051944724665</v>
      </c>
      <c r="E36" s="710">
        <v>0.62796823800727708</v>
      </c>
      <c r="F36" s="708">
        <v>-0.77823896847561203</v>
      </c>
      <c r="G36" s="711">
        <v>2.2679489709822973E-7</v>
      </c>
      <c r="H36" s="710">
        <v>0.25700000000000001</v>
      </c>
      <c r="I36" s="708">
        <v>0.41499999999999992</v>
      </c>
      <c r="J36" s="570">
        <v>3.2280000000000002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CPS-32193r1</v>
      </c>
      <c r="L36" s="320"/>
      <c r="M36" s="168">
        <f t="shared" si="1"/>
        <v>3.2280000000000002</v>
      </c>
      <c r="N36" s="632">
        <f t="shared" si="2"/>
        <v>2.3250587601055943</v>
      </c>
      <c r="O36" s="629">
        <f t="shared" si="3"/>
        <v>-2.8814389985109923</v>
      </c>
      <c r="P36" s="633">
        <f t="shared" si="4"/>
        <v>-1.7223051944724665</v>
      </c>
      <c r="Q36" s="585">
        <f t="shared" si="113"/>
        <v>308.90036839469718</v>
      </c>
      <c r="R36" s="629">
        <f>IF(M36="","",SQRT(N36^2+O36^2))</f>
        <v>3.7025111667736792</v>
      </c>
      <c r="S36" s="634">
        <f>IF(M36="","",P36)</f>
        <v>-1.7223051944724665</v>
      </c>
      <c r="T36" s="635">
        <f>IF(M36="","",X36*COS(RADIANS(W36)))</f>
        <v>-2.8441907734637439</v>
      </c>
      <c r="U36" s="629">
        <f>IF(M36="","",X36*SIN(RADIANS(W36)))</f>
        <v>-2.3704783872095314</v>
      </c>
      <c r="V36" s="636">
        <f>IF(M36="","",Y36)</f>
        <v>-1.7223051944724665</v>
      </c>
      <c r="W36" s="585">
        <f t="shared" si="224"/>
        <v>219.80936826345385</v>
      </c>
      <c r="X36" s="629">
        <f>IF(M36="","",R36)</f>
        <v>3.7025111667736792</v>
      </c>
      <c r="Y36" s="630">
        <f t="shared" si="223"/>
        <v>-1.7223051944724665</v>
      </c>
      <c r="Z36" s="632">
        <f t="shared" si="6"/>
        <v>-0.62796823800727708</v>
      </c>
      <c r="AA36" s="629">
        <f t="shared" si="7"/>
        <v>0.77823896847561203</v>
      </c>
      <c r="AB36" s="629">
        <f t="shared" si="8"/>
        <v>-2.2679489709822973E-7</v>
      </c>
      <c r="AC36" s="636">
        <f>IF(M36="","",SQRT(Z36^2+AA36^2+AB36^2))</f>
        <v>1</v>
      </c>
      <c r="AD36" s="637">
        <f>IF(M36="","",Z36*(1/SQRT(Z36^2+AA36^2+AB36^2)))</f>
        <v>-0.62796823800727708</v>
      </c>
      <c r="AE36" s="629">
        <f>IF(M36="","",AA36*(1/SQRT(Z36^2+AA36^2+AB36^2)))</f>
        <v>0.77823896847561203</v>
      </c>
      <c r="AF36" s="633">
        <f>IF(M36="","",AB36*(1/SQRT(Z36^2+AA36^2+AB36^2)))</f>
        <v>-2.2679489709822973E-7</v>
      </c>
      <c r="AG36" s="602">
        <f>IF(M36="","",DEGREES(ATAN2(-AF36,AE36)))</f>
        <v>89.999983302827346</v>
      </c>
      <c r="AH36" s="603">
        <f>IF(M36="","",DEGREES(ACOS(AD36)))</f>
        <v>128.90038138908636</v>
      </c>
      <c r="AI36" s="585">
        <f>IF(M36="","",DEGREES(-ACOS(-AF36)))</f>
        <v>-89.999987005609583</v>
      </c>
      <c r="AJ36" s="586">
        <f>IF(M36="","",DEGREES(ATAN2(-AE36,AD36)))</f>
        <v>-141.09961861091244</v>
      </c>
      <c r="AK36" s="635">
        <f>IF(M36="","",(COS(RADIANS((90-$Q$8)-W36))*AD36)+(-SIN(RADIANS((90-$Q$8)-W36))*AE36))</f>
        <v>2.2679489625199167E-7</v>
      </c>
      <c r="AL36" s="629">
        <f>IF(M36="","",(SIN(RADIANS((90-$Q$8)-W36))*AD36)+(COS(RADIANS((90-$Q$8)-W36))*AE36))</f>
        <v>-0.99999999999994871</v>
      </c>
      <c r="AM36" s="634">
        <f>IF(M36="","",AF36)</f>
        <v>-2.2679489709822973E-7</v>
      </c>
      <c r="AN36" s="581">
        <f>IF(M36="","",DEGREES(ATAN2(-AM36,AL36)))</f>
        <v>-89.999987005609583</v>
      </c>
      <c r="AO36" s="582">
        <f t="shared" si="94"/>
        <v>0</v>
      </c>
      <c r="AP36" s="585">
        <f>IF(M36="","",DEGREES(ATAN2(AK36,AL36)))</f>
        <v>-89.999987005609626</v>
      </c>
      <c r="AQ36" s="586">
        <f t="shared" si="9"/>
        <v>0.61570074386815077</v>
      </c>
      <c r="AS36" s="52">
        <f t="shared" si="116"/>
        <v>-140.19063173654615</v>
      </c>
      <c r="AT36" s="72">
        <f t="shared" si="10"/>
        <v>-1.6243193391910062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>Gage</v>
      </c>
      <c r="IG36" s="847">
        <f t="shared" si="210"/>
        <v>3.2280000000000002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3.1280000000000001</v>
      </c>
      <c r="II36" s="734" cm="1">
        <f t="array" ref="II36">IFERROR(ROUND(VALUE(IF($IH36&lt;1,$IH36+LARGE((IF($M$9:$M$150="",0,$M$9:$M$150)-MOD(IF($M$9:$M$150="",0,$M$9:$M$150),1)),1),$IH36)),4),"")</f>
        <v>3.1280000000000001</v>
      </c>
      <c r="IJ36" s="533">
        <f t="shared" si="112"/>
        <v>1613</v>
      </c>
      <c r="IK36" s="533" t="str">
        <f t="shared" si="66"/>
        <v>CPS-32193r1</v>
      </c>
      <c r="IL36" s="727">
        <f t="shared" si="225"/>
        <v>18.534597323935202</v>
      </c>
      <c r="IM36" s="759">
        <v>3.7233002314111997E-5</v>
      </c>
      <c r="IN36" s="5">
        <f t="shared" si="226"/>
        <v>0</v>
      </c>
      <c r="IO36" s="771">
        <v>0</v>
      </c>
      <c r="IP36" s="9">
        <f t="shared" si="227"/>
        <v>-3.6869111197239373</v>
      </c>
      <c r="IQ36" s="5">
        <f t="shared" si="228"/>
        <v>-1.7094051555659495</v>
      </c>
      <c r="IR36" s="5">
        <f t="shared" si="71"/>
        <v>0.314</v>
      </c>
      <c r="IS36" s="5">
        <f t="shared" si="229"/>
        <v>0.27193198865724594</v>
      </c>
      <c r="IT36" s="727">
        <f t="shared" si="230"/>
        <v>89.99998700560954</v>
      </c>
      <c r="IU36" s="9">
        <f t="shared" si="231"/>
        <v>-3.7025111667736792</v>
      </c>
      <c r="IV36" s="5">
        <f t="shared" si="232"/>
        <v>-1.7223051944724665</v>
      </c>
      <c r="IW36" s="5">
        <f t="shared" si="76"/>
        <v>0.25700000000000001</v>
      </c>
      <c r="IX36" s="5">
        <f t="shared" si="233"/>
        <v>0.25700000000000001</v>
      </c>
      <c r="IY36" s="762">
        <f t="shared" si="234"/>
        <v>89.999987005609583</v>
      </c>
    </row>
    <row r="37" spans="1:267" ht="15" customHeight="1" x14ac:dyDescent="0.25">
      <c r="A37" s="79"/>
      <c r="B37" s="707">
        <v>-1.5175781862054498E-2</v>
      </c>
      <c r="C37" s="708">
        <v>-2.1164519759604588</v>
      </c>
      <c r="D37" s="709">
        <v>-6.420019362778398E-2</v>
      </c>
      <c r="E37" s="710">
        <v>0.96458042631082197</v>
      </c>
      <c r="F37" s="708">
        <v>-3.8218014805665348E-2</v>
      </c>
      <c r="G37" s="711">
        <v>0.26100571741313866</v>
      </c>
      <c r="H37" s="710">
        <v>0.314</v>
      </c>
      <c r="I37" s="708">
        <v>0.52</v>
      </c>
      <c r="J37" s="570">
        <v>4.109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4.109</v>
      </c>
      <c r="N37" s="632">
        <f t="shared" si="2"/>
        <v>-1.5175781862054498E-2</v>
      </c>
      <c r="O37" s="629">
        <f t="shared" si="3"/>
        <v>-2.1164519759604588</v>
      </c>
      <c r="P37" s="633">
        <f t="shared" si="4"/>
        <v>-6.420019362778398E-2</v>
      </c>
      <c r="Q37" s="585">
        <f t="shared" si="113"/>
        <v>269.58917407053139</v>
      </c>
      <c r="R37" s="629">
        <f t="shared" si="79"/>
        <v>2.1165063833832525</v>
      </c>
      <c r="S37" s="634">
        <f t="shared" si="80"/>
        <v>-6.420019362778398E-2</v>
      </c>
      <c r="T37" s="635">
        <f t="shared" si="81"/>
        <v>-2.116426380876399</v>
      </c>
      <c r="U37" s="629">
        <f t="shared" si="82"/>
        <v>-1.8402315954344044E-2</v>
      </c>
      <c r="V37" s="636">
        <f t="shared" si="114"/>
        <v>-6.420019362778398E-2</v>
      </c>
      <c r="W37" s="585">
        <f t="shared" si="224"/>
        <v>180.49817393928805</v>
      </c>
      <c r="X37" s="629">
        <f t="shared" si="83"/>
        <v>2.1165063833832525</v>
      </c>
      <c r="Y37" s="630">
        <f t="shared" si="223"/>
        <v>-6.420019362778398E-2</v>
      </c>
      <c r="Z37" s="632">
        <f t="shared" si="6"/>
        <v>-0.96458042631082197</v>
      </c>
      <c r="AA37" s="629">
        <f t="shared" si="7"/>
        <v>3.8218014805665348E-2</v>
      </c>
      <c r="AB37" s="629">
        <f t="shared" si="8"/>
        <v>-0.26100571741313866</v>
      </c>
      <c r="AC37" s="636">
        <f t="shared" si="84"/>
        <v>1</v>
      </c>
      <c r="AD37" s="637">
        <f t="shared" si="115"/>
        <v>-0.96458042631082197</v>
      </c>
      <c r="AE37" s="629">
        <f t="shared" si="85"/>
        <v>3.8218014805665348E-2</v>
      </c>
      <c r="AF37" s="633">
        <f t="shared" si="86"/>
        <v>-0.26100571741313866</v>
      </c>
      <c r="AG37" s="602">
        <f t="shared" si="87"/>
        <v>8.3303905086553272</v>
      </c>
      <c r="AH37" s="603">
        <f t="shared" si="88"/>
        <v>164.70499658082494</v>
      </c>
      <c r="AI37" s="585">
        <f t="shared" si="89"/>
        <v>-74.870253781304712</v>
      </c>
      <c r="AJ37" s="586">
        <f t="shared" si="90"/>
        <v>-92.268951468678338</v>
      </c>
      <c r="AK37" s="635">
        <f t="shared" si="211"/>
        <v>0.96482966152454974</v>
      </c>
      <c r="AL37" s="629">
        <f t="shared" si="91"/>
        <v>-3.1300794240335522E-2</v>
      </c>
      <c r="AM37" s="634">
        <f t="shared" si="92"/>
        <v>-0.26100571741313866</v>
      </c>
      <c r="AN37" s="581">
        <f t="shared" si="93"/>
        <v>-6.8384687170467675</v>
      </c>
      <c r="AO37" s="582">
        <f t="shared" si="94"/>
        <v>15.240774905545788</v>
      </c>
      <c r="AP37" s="585">
        <f t="shared" si="95"/>
        <v>-1.8581255392097256</v>
      </c>
      <c r="AQ37" s="586">
        <f t="shared" si="9"/>
        <v>1.0769909063231771</v>
      </c>
      <c r="AS37" s="52">
        <f t="shared" si="116"/>
        <v>-179.50182606071195</v>
      </c>
      <c r="AT37" s="72">
        <f t="shared" si="10"/>
        <v>6.1085102156569232E-2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4.109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-7.234325235867993E-2</v>
      </c>
      <c r="C38" s="708">
        <v>-2.89670551821489</v>
      </c>
      <c r="D38" s="709">
        <v>-0.24700074495424668</v>
      </c>
      <c r="E38" s="710">
        <v>0.95591107028923383</v>
      </c>
      <c r="F38" s="708">
        <v>-0.20643048737301936</v>
      </c>
      <c r="G38" s="711">
        <v>0.20885516412439836</v>
      </c>
      <c r="H38" s="710">
        <v>0.314</v>
      </c>
      <c r="I38" s="708">
        <v>0.52</v>
      </c>
      <c r="J38" s="570">
        <v>4.1150000000000002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4.1150000000000002</v>
      </c>
      <c r="N38" s="632">
        <f t="shared" si="2"/>
        <v>-7.234325235867993E-2</v>
      </c>
      <c r="O38" s="629">
        <f t="shared" si="3"/>
        <v>-2.89670551821489</v>
      </c>
      <c r="P38" s="633">
        <f t="shared" si="4"/>
        <v>-0.24700074495424668</v>
      </c>
      <c r="Q38" s="585">
        <f t="shared" si="113"/>
        <v>268.56937421777229</v>
      </c>
      <c r="R38" s="629">
        <f t="shared" si="79"/>
        <v>2.8976087391879575</v>
      </c>
      <c r="S38" s="634">
        <f t="shared" si="80"/>
        <v>-0.24700074495424668</v>
      </c>
      <c r="T38" s="635">
        <f t="shared" si="81"/>
        <v>-2.8974886566663267</v>
      </c>
      <c r="U38" s="629">
        <f t="shared" si="82"/>
        <v>2.6379725328159426E-2</v>
      </c>
      <c r="V38" s="636">
        <f t="shared" si="114"/>
        <v>-0.24700074495424668</v>
      </c>
      <c r="W38" s="585">
        <f t="shared" si="224"/>
        <v>179.47837408652896</v>
      </c>
      <c r="X38" s="629">
        <f t="shared" si="83"/>
        <v>2.8976087391879575</v>
      </c>
      <c r="Y38" s="630">
        <f t="shared" si="223"/>
        <v>-0.24700074495424668</v>
      </c>
      <c r="Z38" s="632">
        <f t="shared" si="6"/>
        <v>-0.95591107028923383</v>
      </c>
      <c r="AA38" s="629">
        <f t="shared" si="7"/>
        <v>0.20643048737301936</v>
      </c>
      <c r="AB38" s="629">
        <f t="shared" si="8"/>
        <v>-0.20885516412439836</v>
      </c>
      <c r="AC38" s="636">
        <f t="shared" si="84"/>
        <v>1</v>
      </c>
      <c r="AD38" s="637">
        <f t="shared" si="115"/>
        <v>-0.95591107028923383</v>
      </c>
      <c r="AE38" s="629">
        <f t="shared" si="85"/>
        <v>0.20643048737301936</v>
      </c>
      <c r="AF38" s="633">
        <f t="shared" si="86"/>
        <v>-0.20885516412439836</v>
      </c>
      <c r="AG38" s="602">
        <f t="shared" si="87"/>
        <v>44.665478049916047</v>
      </c>
      <c r="AH38" s="603">
        <f t="shared" si="88"/>
        <v>162.92301895547342</v>
      </c>
      <c r="AI38" s="585">
        <f t="shared" si="89"/>
        <v>-77.944729620082612</v>
      </c>
      <c r="AJ38" s="586">
        <f t="shared" si="90"/>
        <v>-102.18598151506737</v>
      </c>
      <c r="AK38" s="635">
        <f t="shared" si="211"/>
        <v>0.96076695497966369</v>
      </c>
      <c r="AL38" s="629">
        <f t="shared" si="91"/>
        <v>-0.18250035243164822</v>
      </c>
      <c r="AM38" s="634">
        <f t="shared" si="92"/>
        <v>-0.20885516412439836</v>
      </c>
      <c r="AN38" s="581">
        <f t="shared" si="93"/>
        <v>-41.147382717355342</v>
      </c>
      <c r="AO38" s="582">
        <f t="shared" si="94"/>
        <v>16.102520271270254</v>
      </c>
      <c r="AP38" s="585">
        <f t="shared" si="95"/>
        <v>-10.75535573283968</v>
      </c>
      <c r="AQ38" s="586">
        <f t="shared" si="9"/>
        <v>0.7867119296709294</v>
      </c>
      <c r="AS38" s="52">
        <f t="shared" si="116"/>
        <v>-180.52162591347104</v>
      </c>
      <c r="AT38" s="72">
        <f t="shared" si="10"/>
        <v>-0.12100725482769964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4.1150000000000002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-0.13651343048525225</v>
      </c>
      <c r="C39" s="708">
        <v>-3.4505110132777266</v>
      </c>
      <c r="D39" s="709">
        <v>-0.78810237691676888</v>
      </c>
      <c r="E39" s="710">
        <v>0.91004607594236597</v>
      </c>
      <c r="F39" s="708">
        <v>-0.37851231018471138</v>
      </c>
      <c r="G39" s="711">
        <v>0.16895138561294612</v>
      </c>
      <c r="H39" s="710">
        <v>0.314</v>
      </c>
      <c r="I39" s="708">
        <v>0.52</v>
      </c>
      <c r="J39" s="570">
        <v>4.1210000000000004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4.1210000000000004</v>
      </c>
      <c r="N39" s="632">
        <f t="shared" si="2"/>
        <v>-0.13651343048525225</v>
      </c>
      <c r="O39" s="629">
        <f t="shared" si="3"/>
        <v>-3.4505110132777266</v>
      </c>
      <c r="P39" s="633">
        <f t="shared" si="4"/>
        <v>-0.78810237691676888</v>
      </c>
      <c r="Q39" s="585">
        <f t="shared" si="113"/>
        <v>267.73437433833135</v>
      </c>
      <c r="R39" s="629">
        <f t="shared" si="79"/>
        <v>3.4532104148826113</v>
      </c>
      <c r="S39" s="634">
        <f t="shared" si="80"/>
        <v>-0.78810237691676888</v>
      </c>
      <c r="T39" s="635">
        <f t="shared" si="81"/>
        <v>-3.4522424766790003</v>
      </c>
      <c r="U39" s="629">
        <f t="shared" si="82"/>
        <v>8.1756049727099586E-2</v>
      </c>
      <c r="V39" s="636">
        <f t="shared" si="114"/>
        <v>-0.78810237691676888</v>
      </c>
      <c r="W39" s="585">
        <f t="shared" si="224"/>
        <v>178.64337420708802</v>
      </c>
      <c r="X39" s="629">
        <f t="shared" si="83"/>
        <v>3.4532104148826113</v>
      </c>
      <c r="Y39" s="630">
        <f t="shared" si="223"/>
        <v>-0.78810237691676888</v>
      </c>
      <c r="Z39" s="632">
        <f t="shared" si="6"/>
        <v>-0.91004607594236597</v>
      </c>
      <c r="AA39" s="629">
        <f t="shared" si="7"/>
        <v>0.37851231018471138</v>
      </c>
      <c r="AB39" s="629">
        <f t="shared" si="8"/>
        <v>-0.16895138561294612</v>
      </c>
      <c r="AC39" s="636">
        <f t="shared" si="84"/>
        <v>1</v>
      </c>
      <c r="AD39" s="637">
        <f t="shared" si="115"/>
        <v>-0.91004607594236597</v>
      </c>
      <c r="AE39" s="629">
        <f t="shared" si="85"/>
        <v>0.37851231018471138</v>
      </c>
      <c r="AF39" s="633">
        <f t="shared" si="86"/>
        <v>-0.16895138561294612</v>
      </c>
      <c r="AG39" s="602">
        <f t="shared" si="87"/>
        <v>65.946099412767666</v>
      </c>
      <c r="AH39" s="603">
        <f t="shared" si="88"/>
        <v>155.51171965822937</v>
      </c>
      <c r="AI39" s="585">
        <f t="shared" si="89"/>
        <v>-80.273143994175939</v>
      </c>
      <c r="AJ39" s="586">
        <f t="shared" si="90"/>
        <v>-112.58372212720879</v>
      </c>
      <c r="AK39" s="635">
        <f t="shared" si="211"/>
        <v>0.92429815681591665</v>
      </c>
      <c r="AL39" s="629">
        <f t="shared" si="91"/>
        <v>-0.34224018847319015</v>
      </c>
      <c r="AM39" s="634">
        <f t="shared" si="92"/>
        <v>-0.16895138561294612</v>
      </c>
      <c r="AN39" s="581">
        <f t="shared" si="93"/>
        <v>-63.726142065862945</v>
      </c>
      <c r="AO39" s="582">
        <f t="shared" si="94"/>
        <v>22.437240118831113</v>
      </c>
      <c r="AP39" s="585">
        <f t="shared" si="95"/>
        <v>-20.318096465540137</v>
      </c>
      <c r="AQ39" s="586">
        <f t="shared" si="9"/>
        <v>0.66014678487179712</v>
      </c>
      <c r="AS39" s="52">
        <f t="shared" si="116"/>
        <v>-181.35662579291198</v>
      </c>
      <c r="AT39" s="72">
        <f t="shared" si="10"/>
        <v>-0.66152902576283235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4.1210000000000004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-0.16500103380453313</v>
      </c>
      <c r="C40" s="708">
        <v>-3.6832171078538742</v>
      </c>
      <c r="D40" s="709">
        <v>-1.5945048090265039</v>
      </c>
      <c r="E40" s="710">
        <v>0.84278115617020621</v>
      </c>
      <c r="F40" s="708">
        <v>-0.53825637274852378</v>
      </c>
      <c r="G40" s="711">
        <v>1.1339743345366201E-7</v>
      </c>
      <c r="H40" s="710">
        <v>0.314</v>
      </c>
      <c r="I40" s="708">
        <v>0.52</v>
      </c>
      <c r="J40" s="570">
        <v>4.1269999999999998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4.1269999999999998</v>
      </c>
      <c r="N40" s="632">
        <f t="shared" si="2"/>
        <v>-0.16500103380453313</v>
      </c>
      <c r="O40" s="629">
        <f t="shared" si="3"/>
        <v>-3.6832171078538742</v>
      </c>
      <c r="P40" s="633">
        <f t="shared" si="4"/>
        <v>-1.5945048090265039</v>
      </c>
      <c r="Q40" s="585">
        <f t="shared" si="113"/>
        <v>267.4349743815593</v>
      </c>
      <c r="R40" s="629">
        <f t="shared" si="79"/>
        <v>3.6869111197239381</v>
      </c>
      <c r="S40" s="634">
        <f t="shared" si="80"/>
        <v>-1.5945048090265039</v>
      </c>
      <c r="T40" s="635">
        <f t="shared" si="81"/>
        <v>-3.6853712238882337</v>
      </c>
      <c r="U40" s="629">
        <f t="shared" si="82"/>
        <v>0.10654833119559291</v>
      </c>
      <c r="V40" s="636">
        <f t="shared" si="114"/>
        <v>-1.5945048090265039</v>
      </c>
      <c r="W40" s="585">
        <f t="shared" si="224"/>
        <v>178.34397425031597</v>
      </c>
      <c r="X40" s="629">
        <f t="shared" si="83"/>
        <v>3.6869111197239381</v>
      </c>
      <c r="Y40" s="630">
        <f t="shared" si="223"/>
        <v>-1.5945048090265039</v>
      </c>
      <c r="Z40" s="632">
        <f t="shared" si="6"/>
        <v>-0.84278115617020621</v>
      </c>
      <c r="AA40" s="629">
        <f t="shared" si="7"/>
        <v>0.53825637274852378</v>
      </c>
      <c r="AB40" s="629">
        <f t="shared" si="8"/>
        <v>-1.1339743345366201E-7</v>
      </c>
      <c r="AC40" s="636">
        <f t="shared" si="84"/>
        <v>1</v>
      </c>
      <c r="AD40" s="637">
        <f t="shared" si="115"/>
        <v>-0.84278115617020621</v>
      </c>
      <c r="AE40" s="629">
        <f t="shared" si="85"/>
        <v>0.53825637274852378</v>
      </c>
      <c r="AF40" s="633">
        <f t="shared" si="86"/>
        <v>-1.1339743345366201E-7</v>
      </c>
      <c r="AG40" s="602">
        <f t="shared" si="87"/>
        <v>89.999987929182694</v>
      </c>
      <c r="AH40" s="603">
        <f t="shared" si="88"/>
        <v>147.43497871302287</v>
      </c>
      <c r="AI40" s="585">
        <f t="shared" si="89"/>
        <v>-89.999993502805651</v>
      </c>
      <c r="AJ40" s="586">
        <f t="shared" si="90"/>
        <v>-122.56502128697656</v>
      </c>
      <c r="AK40" s="635">
        <f t="shared" si="211"/>
        <v>0.86602544158358619</v>
      </c>
      <c r="AL40" s="629">
        <f t="shared" si="91"/>
        <v>-0.4999999345299378</v>
      </c>
      <c r="AM40" s="634">
        <f t="shared" si="92"/>
        <v>-1.1339743345366201E-7</v>
      </c>
      <c r="AN40" s="581">
        <f t="shared" si="93"/>
        <v>-89.999987005609611</v>
      </c>
      <c r="AO40" s="582">
        <f t="shared" si="94"/>
        <v>29.999995668536471</v>
      </c>
      <c r="AP40" s="585">
        <f t="shared" si="95"/>
        <v>-29.999995668535849</v>
      </c>
      <c r="AQ40" s="586">
        <f t="shared" si="9"/>
        <v>0.61830569314593498</v>
      </c>
      <c r="AS40" s="52">
        <f t="shared" si="116"/>
        <v>-181.65602574968403</v>
      </c>
      <c r="AT40" s="72">
        <f t="shared" si="10"/>
        <v>-1.4677235412359202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4.1269999999999998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-1.1395165909916409</v>
      </c>
      <c r="C41" s="708">
        <v>-2.6965207937901527</v>
      </c>
      <c r="D41" s="709">
        <v>-0.22780068704687231</v>
      </c>
      <c r="E41" s="710">
        <v>-0.12865506397876561</v>
      </c>
      <c r="F41" s="708">
        <v>-0.30444639587443445</v>
      </c>
      <c r="G41" s="711">
        <v>0.94380096765774035</v>
      </c>
      <c r="H41" s="710">
        <v>0.25700000000000001</v>
      </c>
      <c r="I41" s="708">
        <v>0.41499999999999992</v>
      </c>
      <c r="J41" s="570">
        <v>4.2149999999999999</v>
      </c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CPS-32193r1</v>
      </c>
      <c r="L41" s="320"/>
      <c r="M41" s="168">
        <f t="shared" ref="M41:M72" si="239">IF(J41="","",VALUE(J41))</f>
        <v>4.2149999999999999</v>
      </c>
      <c r="N41" s="632">
        <f t="shared" ref="N41:N72" si="240">IF(M41="","",B41)</f>
        <v>-1.1395165909916409</v>
      </c>
      <c r="O41" s="629">
        <f t="shared" ref="O41:O72" si="241">IF(M41="","",C41)</f>
        <v>-2.6965207937901527</v>
      </c>
      <c r="P41" s="633">
        <f t="shared" ref="P41:P72" si="242">IF(M41="","",D41)</f>
        <v>-0.22780068704687231</v>
      </c>
      <c r="Q41" s="585">
        <f t="shared" si="113"/>
        <v>247.09167731876801</v>
      </c>
      <c r="R41" s="629">
        <f t="shared" si="79"/>
        <v>2.9274088290650293</v>
      </c>
      <c r="S41" s="634">
        <f t="shared" si="80"/>
        <v>-0.22780068704687231</v>
      </c>
      <c r="T41" s="635">
        <f t="shared" si="81"/>
        <v>-2.7142591630327861</v>
      </c>
      <c r="U41" s="629">
        <f t="shared" si="82"/>
        <v>1.0965945688268051</v>
      </c>
      <c r="V41" s="636">
        <f t="shared" si="114"/>
        <v>-0.22780068704687231</v>
      </c>
      <c r="W41" s="585">
        <f t="shared" si="224"/>
        <v>158.00067718752467</v>
      </c>
      <c r="X41" s="629">
        <f t="shared" si="83"/>
        <v>2.9274088290650293</v>
      </c>
      <c r="Y41" s="630">
        <f t="shared" si="223"/>
        <v>-0.22780068704687231</v>
      </c>
      <c r="Z41" s="632">
        <f t="shared" ref="Z41:Z72" si="243">IF(M41="","",-E41)</f>
        <v>0.12865506397876561</v>
      </c>
      <c r="AA41" s="629">
        <f t="shared" ref="AA41:AA72" si="244">IF(M41="","",-F41)</f>
        <v>0.30444639587443445</v>
      </c>
      <c r="AB41" s="629">
        <f t="shared" ref="AB41:AB72" si="245">IF(M41="","",-G41)</f>
        <v>-0.94380096765774035</v>
      </c>
      <c r="AC41" s="636">
        <f t="shared" si="84"/>
        <v>1</v>
      </c>
      <c r="AD41" s="637">
        <f t="shared" si="115"/>
        <v>0.12865506397876561</v>
      </c>
      <c r="AE41" s="629">
        <f t="shared" si="85"/>
        <v>0.30444639587443445</v>
      </c>
      <c r="AF41" s="633">
        <f t="shared" si="86"/>
        <v>-0.94380096765774035</v>
      </c>
      <c r="AG41" s="602">
        <f t="shared" si="87"/>
        <v>17.878392569361662</v>
      </c>
      <c r="AH41" s="603">
        <f t="shared" si="88"/>
        <v>82.6081194765259</v>
      </c>
      <c r="AI41" s="585">
        <f t="shared" si="89"/>
        <v>-19.299997213429375</v>
      </c>
      <c r="AJ41" s="586">
        <f t="shared" si="90"/>
        <v>157.09171663443018</v>
      </c>
      <c r="AK41" s="635">
        <f t="shared" si="211"/>
        <v>2.2679489689036991E-7</v>
      </c>
      <c r="AL41" s="629">
        <f t="shared" si="91"/>
        <v>-0.33051434681154412</v>
      </c>
      <c r="AM41" s="634">
        <f t="shared" si="92"/>
        <v>-0.94380096765774035</v>
      </c>
      <c r="AN41" s="581">
        <f t="shared" si="93"/>
        <v>-19.299997213425179</v>
      </c>
      <c r="AO41" s="582">
        <f t="shared" si="94"/>
        <v>0</v>
      </c>
      <c r="AP41" s="585">
        <f t="shared" si="95"/>
        <v>-89.999960684337822</v>
      </c>
      <c r="AQ41" s="586">
        <f t="shared" ref="AQ41:AQ72" si="246">IF(M41="","",DEGREES(ATAN(($AS$5*SIN(RADIANS(90)))/(($X41*2*PI())-($AS$5*COS(RADIANS(90)))))))</f>
        <v>0.77870444391259241</v>
      </c>
      <c r="AS41" s="52">
        <f t="shared" si="116"/>
        <v>-201.99932281247533</v>
      </c>
      <c r="AT41" s="72">
        <f t="shared" ref="AT41:AT72" si="247">IF(M41="","",Y41+(((AS41-$AS$9)*$AS$6)*-1))</f>
        <v>-8.6892129629350084E-2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Nose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4.2149999999999999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4.1150000000000002</v>
      </c>
      <c r="II41" s="734" cm="1">
        <f t="array" ref="II41">IFERROR(ROUND(VALUE(IF($IH41&lt;1,$IH41+LARGE((IF($M$9:$M$150="",0,$M$9:$M$150)-MOD(IF($M$9:$M$150="",0,$M$9:$M$150),1)),1),$IH41)),4),"")</f>
        <v>4.1150000000000002</v>
      </c>
      <c r="IJ41" s="533">
        <f t="shared" si="112"/>
        <v>1613</v>
      </c>
      <c r="IK41" s="533" t="str">
        <f t="shared" ref="IK41:IK72" si="382">IF(ISNUMBER($II41),INDEX($K$9:$K$150,MATCH($IG41,$M$9:$M$150,0)),"")</f>
        <v>CPS-32193r1</v>
      </c>
      <c r="IL41" s="727">
        <f t="shared" si="225"/>
        <v>21.477696899004286</v>
      </c>
      <c r="IM41" s="759">
        <v>9.8055691070021607E-3</v>
      </c>
      <c r="IN41" s="5">
        <f t="shared" si="226"/>
        <v>0.2</v>
      </c>
      <c r="IO41" s="771">
        <v>100</v>
      </c>
      <c r="IP41" s="9">
        <f t="shared" si="227"/>
        <v>-2.8976087391879575</v>
      </c>
      <c r="IQ41" s="5">
        <f t="shared" si="228"/>
        <v>-0.24700074495424668</v>
      </c>
      <c r="IR41" s="5">
        <f t="shared" ref="IR41:IR72" si="383">IF(ISNUMBER($II41),INDEX($H$9:$H$150,MATCH($II41,$M$9:$M$150,0)),"")</f>
        <v>0.314</v>
      </c>
      <c r="IS41" s="5">
        <f t="shared" si="229"/>
        <v>0.30168082386361439</v>
      </c>
      <c r="IT41" s="727">
        <f t="shared" si="230"/>
        <v>41.147382717355342</v>
      </c>
      <c r="IU41" s="9">
        <f t="shared" si="231"/>
        <v>-2.9274088290650293</v>
      </c>
      <c r="IV41" s="5">
        <f t="shared" si="232"/>
        <v>-0.22780068704687231</v>
      </c>
      <c r="IW41" s="5">
        <f t="shared" ref="IW41:IW72" si="384">IF(ISNUMBER($II41),$H41,"")</f>
        <v>0.25700000000000001</v>
      </c>
      <c r="IX41" s="5">
        <f t="shared" si="233"/>
        <v>0.25700000000000001</v>
      </c>
      <c r="IY41" s="762">
        <f t="shared" si="234"/>
        <v>19.299997213425179</v>
      </c>
    </row>
    <row r="42" spans="1:267" ht="15" customHeight="1" x14ac:dyDescent="0.25">
      <c r="A42" s="79"/>
      <c r="B42" s="707">
        <v>-1.2493276674518394</v>
      </c>
      <c r="C42" s="708">
        <v>-3.2517727206274274</v>
      </c>
      <c r="D42" s="709">
        <v>-0.78610237088475066</v>
      </c>
      <c r="E42" s="710">
        <v>-0.24044184357329546</v>
      </c>
      <c r="F42" s="708">
        <v>-0.62582702540008783</v>
      </c>
      <c r="G42" s="711">
        <v>0.74197591210089353</v>
      </c>
      <c r="H42" s="710">
        <v>0.25700000000000001</v>
      </c>
      <c r="I42" s="708">
        <v>0.41499999999999992</v>
      </c>
      <c r="J42" s="570">
        <v>4.2210000000000001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CPS-32193r1</v>
      </c>
      <c r="L42" s="320"/>
      <c r="M42" s="168">
        <f t="shared" si="239"/>
        <v>4.2210000000000001</v>
      </c>
      <c r="N42" s="632">
        <f t="shared" si="240"/>
        <v>-1.2493276674518394</v>
      </c>
      <c r="O42" s="629">
        <f t="shared" si="241"/>
        <v>-3.2517727206274274</v>
      </c>
      <c r="P42" s="633">
        <f t="shared" si="242"/>
        <v>-0.78610237088475066</v>
      </c>
      <c r="Q42" s="585">
        <f t="shared" si="113"/>
        <v>248.9832770456548</v>
      </c>
      <c r="R42" s="629">
        <f t="shared" ref="R42:R47" si="385">IF(M42="","",SQRT(N42^2+O42^2))</f>
        <v>3.4835105062676868</v>
      </c>
      <c r="S42" s="634">
        <f t="shared" ref="S42:S47" si="386">IF(M42="","",P42)</f>
        <v>-0.78610237088475066</v>
      </c>
      <c r="T42" s="635">
        <f t="shared" ref="T42:T47" si="387">IF(M42="","",X42*COS(RADIANS(W42)))</f>
        <v>-3.2711832971208361</v>
      </c>
      <c r="U42" s="629">
        <f t="shared" ref="U42:U47" si="388">IF(M42="","",X42*SIN(RADIANS(W42)))</f>
        <v>1.1975831010476938</v>
      </c>
      <c r="V42" s="636">
        <f t="shared" ref="V42:V47" si="389">IF(M42="","",Y42)</f>
        <v>-0.78610237088475066</v>
      </c>
      <c r="W42" s="585">
        <f t="shared" si="224"/>
        <v>159.89227691441147</v>
      </c>
      <c r="X42" s="629">
        <f t="shared" ref="X42:X47" si="390">IF(M42="","",R42)</f>
        <v>3.4835105062676868</v>
      </c>
      <c r="Y42" s="630">
        <f t="shared" si="223"/>
        <v>-0.78610237088475066</v>
      </c>
      <c r="Z42" s="632">
        <f t="shared" si="243"/>
        <v>0.24044184357329546</v>
      </c>
      <c r="AA42" s="629">
        <f t="shared" si="244"/>
        <v>0.62582702540008783</v>
      </c>
      <c r="AB42" s="629">
        <f t="shared" si="245"/>
        <v>-0.74197591210089353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0.24044184357329546</v>
      </c>
      <c r="AE42" s="629">
        <f t="shared" ref="AE42:AE47" si="393">IF(M42="","",AA42*(1/SQRT(Z42^2+AA42^2+AB42^2)))</f>
        <v>0.62582702540008783</v>
      </c>
      <c r="AF42" s="633">
        <f t="shared" ref="AF42:AF47" si="394">IF(M42="","",AB42*(1/SQRT(Z42^2+AA42^2+AB42^2)))</f>
        <v>-0.74197591210089353</v>
      </c>
      <c r="AG42" s="602">
        <f t="shared" ref="AG42:AG47" si="395">IF(M42="","",DEGREES(ATAN2(-AF42,AE42)))</f>
        <v>40.146293292437946</v>
      </c>
      <c r="AH42" s="603">
        <f t="shared" ref="AH42:AH47" si="396">IF(M42="","",DEGREES(ACOS(AD42)))</f>
        <v>76.08738021383418</v>
      </c>
      <c r="AI42" s="585">
        <f t="shared" ref="AI42:AI47" si="397">IF(M42="","",DEGREES(-ACOS(-AF42)))</f>
        <v>-42.099993921514567</v>
      </c>
      <c r="AJ42" s="586">
        <f t="shared" ref="AJ42:AJ47" si="398">IF(M42="","",DEGREES(ATAN2(-AE42,AD42)))</f>
        <v>158.98329642792808</v>
      </c>
      <c r="AK42" s="635">
        <f t="shared" ref="AK42:AK47" si="399">IF(M42="","",(COS(RADIANS((90-$Q$8)-W42))*AD42)+(-SIN(RADIANS((90-$Q$8)-W42))*AE42))</f>
        <v>2.2679489680710319E-7</v>
      </c>
      <c r="AL42" s="629">
        <f t="shared" ref="AL42:AL47" si="400">IF(M42="","",(SIN(RADIANS((90-$Q$8)-W42))*AD42)+(COS(RADIANS((90-$Q$8)-W42))*AE42))</f>
        <v>-0.67042654024284853</v>
      </c>
      <c r="AM42" s="634">
        <f t="shared" ref="AM42:AM47" si="401">IF(M42="","",AF42)</f>
        <v>-0.74197591210089353</v>
      </c>
      <c r="AN42" s="581">
        <f t="shared" ref="AN42:AN47" si="402">IF(M42="","",DEGREES(ATAN2(-AM42,AL42)))</f>
        <v>-42.09999392151294</v>
      </c>
      <c r="AO42" s="582">
        <f t="shared" si="94"/>
        <v>0</v>
      </c>
      <c r="AP42" s="585">
        <f t="shared" ref="AP42:AP47" si="403">IF(M42="","",DEGREES(ATAN2(AK42,AL42)))</f>
        <v>-89.999980617726749</v>
      </c>
      <c r="AQ42" s="586">
        <f t="shared" si="246"/>
        <v>0.65440523171162013</v>
      </c>
      <c r="AS42" s="52">
        <f t="shared" si="116"/>
        <v>-200.10772308558853</v>
      </c>
      <c r="AT42" s="72">
        <f t="shared" si="247"/>
        <v>-0.64650742438867759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4.2210000000000001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4.1210000000000004</v>
      </c>
      <c r="II42" s="734" cm="1">
        <f t="array" ref="II42">IFERROR(ROUND(VALUE(IF($IH42&lt;1,$IH42+LARGE((IF($M$9:$M$150="",0,$M$9:$M$150)-MOD(IF($M$9:$M$150="",0,$M$9:$M$150),1)),1),$IH42)),4),"")</f>
        <v>4.1210000000000004</v>
      </c>
      <c r="IJ42" s="533">
        <f t="shared" si="112"/>
        <v>1613</v>
      </c>
      <c r="IK42" s="533" t="str">
        <f t="shared" si="382"/>
        <v>CPS-32193r1</v>
      </c>
      <c r="IL42" s="727">
        <f t="shared" si="225"/>
        <v>18.751097292676548</v>
      </c>
      <c r="IM42" s="759">
        <v>4.3071049838961902E-3</v>
      </c>
      <c r="IN42" s="5">
        <f t="shared" si="226"/>
        <v>0.16</v>
      </c>
      <c r="IO42" s="771">
        <v>80</v>
      </c>
      <c r="IP42" s="9">
        <f t="shared" si="227"/>
        <v>-3.4532104148826113</v>
      </c>
      <c r="IQ42" s="5">
        <f t="shared" si="228"/>
        <v>-0.78810237691676888</v>
      </c>
      <c r="IR42" s="5">
        <f t="shared" si="383"/>
        <v>0.314</v>
      </c>
      <c r="IS42" s="5">
        <f t="shared" si="229"/>
        <v>0.29022962124019785</v>
      </c>
      <c r="IT42" s="727">
        <f t="shared" si="230"/>
        <v>63.726142065862945</v>
      </c>
      <c r="IU42" s="9">
        <f t="shared" si="231"/>
        <v>-3.4835105062676868</v>
      </c>
      <c r="IV42" s="5">
        <f t="shared" si="232"/>
        <v>-0.78610237088475066</v>
      </c>
      <c r="IW42" s="5">
        <f t="shared" si="384"/>
        <v>0.25700000000000001</v>
      </c>
      <c r="IX42" s="5">
        <f t="shared" si="233"/>
        <v>0.25700000000000001</v>
      </c>
      <c r="IY42" s="762">
        <f t="shared" si="234"/>
        <v>42.09999392151294</v>
      </c>
    </row>
    <row r="43" spans="1:267" ht="15" customHeight="1" x14ac:dyDescent="0.25">
      <c r="A43" s="79"/>
      <c r="B43" s="707">
        <v>-1.3328694698375971</v>
      </c>
      <c r="C43" s="708">
        <v>-3.4542796523238581</v>
      </c>
      <c r="D43" s="709">
        <v>-1.6074048479330214</v>
      </c>
      <c r="E43" s="710">
        <v>-0.35999045685147152</v>
      </c>
      <c r="F43" s="708">
        <v>-0.93295598555120351</v>
      </c>
      <c r="G43" s="711">
        <v>2.2679489705657792E-7</v>
      </c>
      <c r="H43" s="710">
        <v>0.25700000000000001</v>
      </c>
      <c r="I43" s="708">
        <v>0.41499999999999992</v>
      </c>
      <c r="J43" s="570">
        <v>4.2270000000000003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CPS-32193r1</v>
      </c>
      <c r="L43" s="320"/>
      <c r="M43" s="168">
        <f t="shared" si="239"/>
        <v>4.2270000000000003</v>
      </c>
      <c r="N43" s="632">
        <f t="shared" si="240"/>
        <v>-1.3328694698375971</v>
      </c>
      <c r="O43" s="629">
        <f t="shared" si="241"/>
        <v>-3.4542796523238581</v>
      </c>
      <c r="P43" s="633">
        <f t="shared" si="242"/>
        <v>-1.6074048479330214</v>
      </c>
      <c r="Q43" s="585">
        <f t="shared" si="113"/>
        <v>248.9003770576241</v>
      </c>
      <c r="R43" s="629">
        <f t="shared" si="385"/>
        <v>3.7025111667736792</v>
      </c>
      <c r="S43" s="634">
        <f t="shared" si="386"/>
        <v>-1.6074048479330214</v>
      </c>
      <c r="T43" s="635">
        <f t="shared" si="387"/>
        <v>-3.4749900823917268</v>
      </c>
      <c r="U43" s="629">
        <f t="shared" si="388"/>
        <v>1.277901744017486</v>
      </c>
      <c r="V43" s="636">
        <f t="shared" si="389"/>
        <v>-1.6074048479330214</v>
      </c>
      <c r="W43" s="585">
        <f t="shared" si="224"/>
        <v>159.80937692638076</v>
      </c>
      <c r="X43" s="629">
        <f t="shared" si="390"/>
        <v>3.7025111667736792</v>
      </c>
      <c r="Y43" s="630">
        <f t="shared" si="223"/>
        <v>-1.6074048479330214</v>
      </c>
      <c r="Z43" s="632">
        <f t="shared" si="243"/>
        <v>0.35999045685147152</v>
      </c>
      <c r="AA43" s="629">
        <f t="shared" si="244"/>
        <v>0.93295598555120351</v>
      </c>
      <c r="AB43" s="629">
        <f t="shared" si="245"/>
        <v>-2.2679489705657792E-7</v>
      </c>
      <c r="AC43" s="636">
        <f t="shared" si="391"/>
        <v>1</v>
      </c>
      <c r="AD43" s="637">
        <f t="shared" si="392"/>
        <v>0.35999045685147152</v>
      </c>
      <c r="AE43" s="629">
        <f t="shared" si="393"/>
        <v>0.93295598555120351</v>
      </c>
      <c r="AF43" s="633">
        <f t="shared" si="394"/>
        <v>-2.2679489705657792E-7</v>
      </c>
      <c r="AG43" s="602">
        <f t="shared" si="395"/>
        <v>89.999986071807655</v>
      </c>
      <c r="AH43" s="603">
        <f t="shared" si="396"/>
        <v>68.900390052015055</v>
      </c>
      <c r="AI43" s="585">
        <f t="shared" si="397"/>
        <v>-89.999987005609583</v>
      </c>
      <c r="AJ43" s="586">
        <f t="shared" si="398"/>
        <v>158.9003900520145</v>
      </c>
      <c r="AK43" s="635">
        <f t="shared" si="399"/>
        <v>2.2679489680710319E-7</v>
      </c>
      <c r="AL43" s="629">
        <f t="shared" si="400"/>
        <v>-0.99999999999994849</v>
      </c>
      <c r="AM43" s="634">
        <f t="shared" si="401"/>
        <v>-2.2679489705657792E-7</v>
      </c>
      <c r="AN43" s="581">
        <f t="shared" si="402"/>
        <v>-89.999987005609583</v>
      </c>
      <c r="AO43" s="582">
        <f t="shared" si="94"/>
        <v>0</v>
      </c>
      <c r="AP43" s="585">
        <f t="shared" si="403"/>
        <v>-89.999987005609611</v>
      </c>
      <c r="AQ43" s="586">
        <f t="shared" si="246"/>
        <v>0.61570074386815077</v>
      </c>
      <c r="AS43" s="52">
        <f t="shared" ref="AS43:AS74" si="406">IF(G43="","",IF(AND(W43&lt;(AS42+180),W43&gt;(AS42-180)),W43,IF(W43&gt;(AS42+180),W43-360,IF(W43&lt;(AS42-180),W43+360,"Error"))))</f>
        <v>-200.19062307361924</v>
      </c>
      <c r="AT43" s="72">
        <f t="shared" si="247"/>
        <v>-1.4677523320008159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>Gage</v>
      </c>
      <c r="IG43" s="847">
        <f t="shared" si="210"/>
        <v>4.2270000000000003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4.1269999999999998</v>
      </c>
      <c r="II43" s="734" cm="1">
        <f t="array" ref="II43">IFERROR(ROUND(VALUE(IF($IH43&lt;1,$IH43+LARGE((IF($M$9:$M$150="",0,$M$9:$M$150)-MOD(IF($M$9:$M$150="",0,$M$9:$M$150),1)),1),$IH43)),4),"")</f>
        <v>4.1269999999999998</v>
      </c>
      <c r="IJ43" s="533">
        <f t="shared" si="112"/>
        <v>1613</v>
      </c>
      <c r="IK43" s="533" t="str">
        <f t="shared" si="382"/>
        <v>CPS-32193r1</v>
      </c>
      <c r="IL43" s="727">
        <f t="shared" si="225"/>
        <v>18.534597323935202</v>
      </c>
      <c r="IM43" s="759">
        <v>3.7233002313958603E-5</v>
      </c>
      <c r="IN43" s="5">
        <f t="shared" si="226"/>
        <v>0</v>
      </c>
      <c r="IO43" s="771">
        <v>0</v>
      </c>
      <c r="IP43" s="9">
        <f t="shared" si="227"/>
        <v>-3.6869111197239381</v>
      </c>
      <c r="IQ43" s="5">
        <f t="shared" si="228"/>
        <v>-1.5945048090265039</v>
      </c>
      <c r="IR43" s="5">
        <f t="shared" si="383"/>
        <v>0.314</v>
      </c>
      <c r="IS43" s="5">
        <f t="shared" si="229"/>
        <v>0.27193198865724605</v>
      </c>
      <c r="IT43" s="727">
        <f t="shared" si="230"/>
        <v>89.999987005609611</v>
      </c>
      <c r="IU43" s="9">
        <f t="shared" si="231"/>
        <v>-3.7025111667736792</v>
      </c>
      <c r="IV43" s="5">
        <f t="shared" si="232"/>
        <v>-1.6074048479330214</v>
      </c>
      <c r="IW43" s="5">
        <f t="shared" si="384"/>
        <v>0.25700000000000001</v>
      </c>
      <c r="IX43" s="5">
        <f t="shared" si="233"/>
        <v>0.25700000000000001</v>
      </c>
      <c r="IY43" s="762">
        <f t="shared" si="234"/>
        <v>89.999987005609583</v>
      </c>
    </row>
    <row r="44" spans="1:267" ht="15" customHeight="1" x14ac:dyDescent="0.25">
      <c r="A44" s="79"/>
      <c r="B44" s="707">
        <v>-0.51671832930855399</v>
      </c>
      <c r="C44" s="708">
        <v>-0.25202018133867077</v>
      </c>
      <c r="D44" s="709">
        <v>-0.44170133217121788</v>
      </c>
      <c r="E44" s="710">
        <v>0.4880334306401819</v>
      </c>
      <c r="F44" s="708">
        <v>-0.82307756169972091</v>
      </c>
      <c r="G44" s="711">
        <v>0.29045946017304536</v>
      </c>
      <c r="H44" s="710">
        <v>0.314</v>
      </c>
      <c r="I44" s="708">
        <v>0.52</v>
      </c>
      <c r="J44" s="570">
        <v>5.1020000000000003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5.1020000000000003</v>
      </c>
      <c r="N44" s="632">
        <f t="shared" si="240"/>
        <v>-0.51671832930855399</v>
      </c>
      <c r="O44" s="629">
        <f t="shared" si="241"/>
        <v>-0.25202018133867077</v>
      </c>
      <c r="P44" s="633">
        <f t="shared" si="242"/>
        <v>-0.44170133217121788</v>
      </c>
      <c r="Q44" s="585">
        <f t="shared" si="113"/>
        <v>205.99998325167462</v>
      </c>
      <c r="R44" s="629">
        <f t="shared" si="385"/>
        <v>0.57490173390362964</v>
      </c>
      <c r="S44" s="634">
        <f t="shared" si="386"/>
        <v>-0.44170133217121788</v>
      </c>
      <c r="T44" s="635">
        <f t="shared" si="387"/>
        <v>-0.26018587871288273</v>
      </c>
      <c r="U44" s="629">
        <f t="shared" si="388"/>
        <v>0.51265515911166337</v>
      </c>
      <c r="V44" s="636">
        <f t="shared" si="389"/>
        <v>-0.44170133217121788</v>
      </c>
      <c r="W44" s="585">
        <f t="shared" si="224"/>
        <v>116.90898312043127</v>
      </c>
      <c r="X44" s="629">
        <f t="shared" si="390"/>
        <v>0.57490173390362964</v>
      </c>
      <c r="Y44" s="630">
        <f t="shared" si="223"/>
        <v>-0.44170133217121788</v>
      </c>
      <c r="Z44" s="632">
        <f t="shared" si="243"/>
        <v>-0.4880334306401819</v>
      </c>
      <c r="AA44" s="629">
        <f t="shared" si="244"/>
        <v>0.82307756169972091</v>
      </c>
      <c r="AB44" s="629">
        <f t="shared" si="245"/>
        <v>-0.29045946017304536</v>
      </c>
      <c r="AC44" s="636">
        <f t="shared" si="391"/>
        <v>1</v>
      </c>
      <c r="AD44" s="637">
        <f t="shared" si="392"/>
        <v>-0.4880334306401819</v>
      </c>
      <c r="AE44" s="629">
        <f t="shared" si="393"/>
        <v>0.82307756169972091</v>
      </c>
      <c r="AF44" s="633">
        <f t="shared" si="394"/>
        <v>-0.29045946017304536</v>
      </c>
      <c r="AG44" s="602">
        <f t="shared" si="395"/>
        <v>70.562348560179586</v>
      </c>
      <c r="AH44" s="603">
        <f t="shared" si="396"/>
        <v>119.2114064334851</v>
      </c>
      <c r="AI44" s="585">
        <f t="shared" si="397"/>
        <v>-73.114534769632428</v>
      </c>
      <c r="AJ44" s="586">
        <f t="shared" si="398"/>
        <v>-149.3347147995427</v>
      </c>
      <c r="AK44" s="635">
        <f t="shared" si="399"/>
        <v>0.95371696400905337</v>
      </c>
      <c r="AL44" s="629">
        <f t="shared" si="400"/>
        <v>7.782836601996157E-2</v>
      </c>
      <c r="AM44" s="634">
        <f t="shared" si="401"/>
        <v>-0.29045946017304536</v>
      </c>
      <c r="AN44" s="581">
        <f t="shared" si="402"/>
        <v>14.999997834268274</v>
      </c>
      <c r="AO44" s="582">
        <f t="shared" si="94"/>
        <v>17.49999747331298</v>
      </c>
      <c r="AP44" s="585">
        <f t="shared" si="403"/>
        <v>4.6653019487827061</v>
      </c>
      <c r="AQ44" s="586">
        <f t="shared" si="246"/>
        <v>3.959106366147545</v>
      </c>
      <c r="AS44" s="52">
        <f t="shared" si="406"/>
        <v>-243.09101687956871</v>
      </c>
      <c r="AT44" s="72">
        <f t="shared" si="247"/>
        <v>-0.27225687609599192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5.1020000000000003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-1.1299674440889094</v>
      </c>
      <c r="C45" s="708">
        <v>-0.55112153762215477</v>
      </c>
      <c r="D45" s="709">
        <v>-0.23490070846053665</v>
      </c>
      <c r="E45" s="710">
        <v>0.48364153900886331</v>
      </c>
      <c r="F45" s="708">
        <v>-0.8388032415964124</v>
      </c>
      <c r="G45" s="711">
        <v>0.24999996726497556</v>
      </c>
      <c r="H45" s="710">
        <v>0.28999999999999998</v>
      </c>
      <c r="I45" s="708">
        <v>0.52</v>
      </c>
      <c r="J45" s="570">
        <v>5.1050000000000004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1513</v>
      </c>
      <c r="L45" s="320"/>
      <c r="M45" s="168">
        <f t="shared" si="239"/>
        <v>5.1050000000000004</v>
      </c>
      <c r="N45" s="632">
        <f t="shared" si="240"/>
        <v>-1.1299674440889094</v>
      </c>
      <c r="O45" s="629">
        <f t="shared" si="241"/>
        <v>-0.55112153762215477</v>
      </c>
      <c r="P45" s="633">
        <f t="shared" si="242"/>
        <v>-0.23490070846053665</v>
      </c>
      <c r="Q45" s="585">
        <f t="shared" si="113"/>
        <v>205.99998325167462</v>
      </c>
      <c r="R45" s="629">
        <f t="shared" si="385"/>
        <v>1.2572037917266359</v>
      </c>
      <c r="S45" s="634">
        <f t="shared" si="386"/>
        <v>-0.23490070846053665</v>
      </c>
      <c r="T45" s="635">
        <f t="shared" si="387"/>
        <v>-0.56897840792805032</v>
      </c>
      <c r="U45" s="629">
        <f t="shared" si="388"/>
        <v>1.1210820421554757</v>
      </c>
      <c r="V45" s="636">
        <f t="shared" si="389"/>
        <v>-0.23490070846053665</v>
      </c>
      <c r="W45" s="585">
        <f t="shared" si="224"/>
        <v>116.90898312043127</v>
      </c>
      <c r="X45" s="629">
        <f t="shared" si="390"/>
        <v>1.2572037917266359</v>
      </c>
      <c r="Y45" s="630">
        <f t="shared" si="223"/>
        <v>-0.23490070846053665</v>
      </c>
      <c r="Z45" s="632">
        <f t="shared" si="243"/>
        <v>-0.48364153900886331</v>
      </c>
      <c r="AA45" s="629">
        <f t="shared" si="244"/>
        <v>0.8388032415964124</v>
      </c>
      <c r="AB45" s="629">
        <f t="shared" si="245"/>
        <v>-0.24999996726497556</v>
      </c>
      <c r="AC45" s="636">
        <f t="shared" si="391"/>
        <v>1</v>
      </c>
      <c r="AD45" s="637">
        <f t="shared" si="392"/>
        <v>-0.48364153900886331</v>
      </c>
      <c r="AE45" s="629">
        <f t="shared" si="393"/>
        <v>0.8388032415964124</v>
      </c>
      <c r="AF45" s="633">
        <f t="shared" si="394"/>
        <v>-0.24999996726497556</v>
      </c>
      <c r="AG45" s="602">
        <f t="shared" si="395"/>
        <v>73.40364725137006</v>
      </c>
      <c r="AH45" s="603">
        <f t="shared" si="396"/>
        <v>118.92350802287865</v>
      </c>
      <c r="AI45" s="585">
        <f t="shared" si="397"/>
        <v>-75.522489751159469</v>
      </c>
      <c r="AJ45" s="586">
        <f t="shared" si="398"/>
        <v>-150.03288710323878</v>
      </c>
      <c r="AK45" s="635">
        <f t="shared" si="399"/>
        <v>0.96592583607220739</v>
      </c>
      <c r="AL45" s="629">
        <f t="shared" si="400"/>
        <v>6.6987279208207462E-2</v>
      </c>
      <c r="AM45" s="634">
        <f t="shared" si="401"/>
        <v>-0.24999996726497556</v>
      </c>
      <c r="AN45" s="581">
        <f t="shared" si="402"/>
        <v>14.999997834268331</v>
      </c>
      <c r="AO45" s="582">
        <f t="shared" si="94"/>
        <v>14.999997834268255</v>
      </c>
      <c r="AP45" s="585">
        <f t="shared" si="403"/>
        <v>3.9671296450865872</v>
      </c>
      <c r="AQ45" s="586">
        <f t="shared" si="246"/>
        <v>1.812725950827738</v>
      </c>
      <c r="AS45" s="52">
        <f t="shared" si="406"/>
        <v>-243.09101687956871</v>
      </c>
      <c r="AT45" s="72">
        <f t="shared" si="247"/>
        <v>-6.5456252385310693E-2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5.1050000000000004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1513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-1.7426768369873544</v>
      </c>
      <c r="C46" s="708">
        <v>-0.83964478983134827</v>
      </c>
      <c r="D46" s="709">
        <v>-6.0500182468550309E-2</v>
      </c>
      <c r="E46" s="710">
        <v>0.41529835988587444</v>
      </c>
      <c r="F46" s="708">
        <v>-0.87133832506999065</v>
      </c>
      <c r="G46" s="711">
        <v>0.26133655607343975</v>
      </c>
      <c r="H46" s="710">
        <v>0.28999999999999998</v>
      </c>
      <c r="I46" s="708">
        <v>0.52</v>
      </c>
      <c r="J46" s="570">
        <v>5.1079999999999997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1513</v>
      </c>
      <c r="L46" s="320"/>
      <c r="M46" s="168">
        <f t="shared" si="239"/>
        <v>5.1079999999999997</v>
      </c>
      <c r="N46" s="632">
        <f t="shared" si="240"/>
        <v>-1.7426768369873544</v>
      </c>
      <c r="O46" s="629">
        <f t="shared" si="241"/>
        <v>-0.83964478983134827</v>
      </c>
      <c r="P46" s="633">
        <f t="shared" si="242"/>
        <v>-6.0500182468550309E-2</v>
      </c>
      <c r="Q46" s="585">
        <f t="shared" si="113"/>
        <v>205.72538329132192</v>
      </c>
      <c r="R46" s="629">
        <f t="shared" si="385"/>
        <v>1.9344058341679957</v>
      </c>
      <c r="S46" s="634">
        <f t="shared" si="386"/>
        <v>-6.0500182468550309E-2</v>
      </c>
      <c r="T46" s="635">
        <f t="shared" si="387"/>
        <v>-0.86718560194245409</v>
      </c>
      <c r="U46" s="629">
        <f t="shared" si="388"/>
        <v>1.729137086250504</v>
      </c>
      <c r="V46" s="636">
        <f t="shared" si="389"/>
        <v>-6.0500182468550309E-2</v>
      </c>
      <c r="W46" s="585">
        <f t="shared" si="224"/>
        <v>116.63438316007857</v>
      </c>
      <c r="X46" s="629">
        <f t="shared" si="390"/>
        <v>1.9344058341679957</v>
      </c>
      <c r="Y46" s="630">
        <f t="shared" si="223"/>
        <v>-6.0500182468550309E-2</v>
      </c>
      <c r="Z46" s="632">
        <f t="shared" si="243"/>
        <v>-0.41529835988587444</v>
      </c>
      <c r="AA46" s="629">
        <f t="shared" si="244"/>
        <v>0.87133832506999065</v>
      </c>
      <c r="AB46" s="629">
        <f t="shared" si="245"/>
        <v>-0.26133655607343975</v>
      </c>
      <c r="AC46" s="636">
        <f t="shared" si="391"/>
        <v>1</v>
      </c>
      <c r="AD46" s="637">
        <f t="shared" si="392"/>
        <v>-0.41529835988587444</v>
      </c>
      <c r="AE46" s="629">
        <f t="shared" si="393"/>
        <v>0.87133832506999065</v>
      </c>
      <c r="AF46" s="633">
        <f t="shared" si="394"/>
        <v>-0.26133655607343975</v>
      </c>
      <c r="AG46" s="602">
        <f t="shared" si="395"/>
        <v>73.304673547324356</v>
      </c>
      <c r="AH46" s="603">
        <f t="shared" si="396"/>
        <v>114.53810702958212</v>
      </c>
      <c r="AI46" s="585">
        <f t="shared" si="397"/>
        <v>-74.850616563802447</v>
      </c>
      <c r="AJ46" s="586">
        <f t="shared" si="398"/>
        <v>-154.5165390804344</v>
      </c>
      <c r="AK46" s="635">
        <f t="shared" si="399"/>
        <v>0.96523913824194629</v>
      </c>
      <c r="AL46" s="629">
        <f t="shared" si="400"/>
        <v>-4.0755938977148909E-3</v>
      </c>
      <c r="AM46" s="634">
        <f t="shared" si="401"/>
        <v>-0.26133655607343975</v>
      </c>
      <c r="AN46" s="581">
        <f t="shared" si="402"/>
        <v>-0.89346628198404487</v>
      </c>
      <c r="AO46" s="582">
        <f t="shared" si="94"/>
        <v>15.151269737293189</v>
      </c>
      <c r="AP46" s="585">
        <f t="shared" si="403"/>
        <v>-0.2419223717563343</v>
      </c>
      <c r="AQ46" s="586">
        <f t="shared" si="246"/>
        <v>1.1783490150352798</v>
      </c>
      <c r="AS46" s="52">
        <f t="shared" si="406"/>
        <v>-243.36561683992142</v>
      </c>
      <c r="AT46" s="72">
        <f t="shared" si="247"/>
        <v>0.10913496802358726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5.1079999999999997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1513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-2.5254462317241821</v>
      </c>
      <c r="C47" s="708">
        <v>-1.1638128982226632</v>
      </c>
      <c r="D47" s="709">
        <v>-0.18860056881931542</v>
      </c>
      <c r="E47" s="710">
        <v>0.25684651212439569</v>
      </c>
      <c r="F47" s="708">
        <v>-0.94039273221789854</v>
      </c>
      <c r="G47" s="711">
        <v>0.22291563067961079</v>
      </c>
      <c r="H47" s="710">
        <v>0.314</v>
      </c>
      <c r="I47" s="708">
        <v>0.52</v>
      </c>
      <c r="J47" s="570">
        <v>5.1139999999999999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5.1139999999999999</v>
      </c>
      <c r="N47" s="632">
        <f t="shared" si="240"/>
        <v>-2.5254462317241821</v>
      </c>
      <c r="O47" s="629">
        <f t="shared" si="241"/>
        <v>-1.1638128982226632</v>
      </c>
      <c r="P47" s="633">
        <f t="shared" si="242"/>
        <v>-0.18860056881931542</v>
      </c>
      <c r="Q47" s="585">
        <f t="shared" si="113"/>
        <v>204.74188343332176</v>
      </c>
      <c r="R47" s="629">
        <f t="shared" si="385"/>
        <v>2.7807083866164941</v>
      </c>
      <c r="S47" s="634">
        <f t="shared" si="386"/>
        <v>-0.18860056881931542</v>
      </c>
      <c r="T47" s="635">
        <f t="shared" si="387"/>
        <v>-1.2037310619920665</v>
      </c>
      <c r="U47" s="629">
        <f t="shared" si="388"/>
        <v>2.5066652472547579</v>
      </c>
      <c r="V47" s="636">
        <f t="shared" si="389"/>
        <v>-0.18860056881931542</v>
      </c>
      <c r="W47" s="585">
        <f t="shared" si="224"/>
        <v>115.65088330207841</v>
      </c>
      <c r="X47" s="629">
        <f t="shared" si="390"/>
        <v>2.7807083866164941</v>
      </c>
      <c r="Y47" s="630">
        <f t="shared" si="223"/>
        <v>-0.18860056881931542</v>
      </c>
      <c r="Z47" s="632">
        <f t="shared" si="243"/>
        <v>-0.25684651212439569</v>
      </c>
      <c r="AA47" s="629">
        <f t="shared" si="244"/>
        <v>0.94039273221789854</v>
      </c>
      <c r="AB47" s="629">
        <f t="shared" si="245"/>
        <v>-0.22291563067961079</v>
      </c>
      <c r="AC47" s="636">
        <f t="shared" si="391"/>
        <v>1</v>
      </c>
      <c r="AD47" s="637">
        <f t="shared" si="392"/>
        <v>-0.25684651212439569</v>
      </c>
      <c r="AE47" s="629">
        <f t="shared" si="393"/>
        <v>0.94039273221789854</v>
      </c>
      <c r="AF47" s="633">
        <f t="shared" si="394"/>
        <v>-0.22291563067961079</v>
      </c>
      <c r="AG47" s="602">
        <f t="shared" si="395"/>
        <v>76.664448103232431</v>
      </c>
      <c r="AH47" s="603">
        <f t="shared" si="396"/>
        <v>104.88302726136251</v>
      </c>
      <c r="AI47" s="585">
        <f t="shared" si="397"/>
        <v>-77.119660041108219</v>
      </c>
      <c r="AJ47" s="586">
        <f t="shared" si="398"/>
        <v>-164.72357392317087</v>
      </c>
      <c r="AK47" s="635">
        <f t="shared" si="399"/>
        <v>0.96156525382650315</v>
      </c>
      <c r="AL47" s="629">
        <f t="shared" si="400"/>
        <v>-0.16031495323981573</v>
      </c>
      <c r="AM47" s="634">
        <f t="shared" si="401"/>
        <v>-0.22291563067961079</v>
      </c>
      <c r="AN47" s="581">
        <f t="shared" si="402"/>
        <v>-35.722677273405424</v>
      </c>
      <c r="AO47" s="582">
        <f t="shared" si="94"/>
        <v>15.936778823704183</v>
      </c>
      <c r="AP47" s="585">
        <f t="shared" si="403"/>
        <v>-9.4654573564926139</v>
      </c>
      <c r="AQ47" s="586">
        <f t="shared" si="246"/>
        <v>0.81978069900996131</v>
      </c>
      <c r="AS47" s="52">
        <f t="shared" si="406"/>
        <v>-244.3491166979216</v>
      </c>
      <c r="AT47" s="72">
        <f t="shared" si="247"/>
        <v>-1.8282432314677716E-2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5.1139999999999999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-3.0931172852012097</v>
      </c>
      <c r="C48" s="708">
        <v>-1.3667161364160108</v>
      </c>
      <c r="D48" s="709">
        <v>-0.67870204696537362</v>
      </c>
      <c r="E48" s="710">
        <v>8.6412929204772476E-2</v>
      </c>
      <c r="F48" s="708">
        <v>-0.97958502357756672</v>
      </c>
      <c r="G48" s="711">
        <v>0.18151029515922523</v>
      </c>
      <c r="H48" s="710">
        <v>0.314</v>
      </c>
      <c r="I48" s="708">
        <v>0.52</v>
      </c>
      <c r="J48" s="570">
        <v>5.12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5.12</v>
      </c>
      <c r="N48" s="632">
        <f t="shared" si="240"/>
        <v>-3.0931172852012097</v>
      </c>
      <c r="O48" s="629">
        <f t="shared" si="241"/>
        <v>-1.3667161364160108</v>
      </c>
      <c r="P48" s="633">
        <f t="shared" si="242"/>
        <v>-0.67870204696537362</v>
      </c>
      <c r="Q48" s="585">
        <f t="shared" si="113"/>
        <v>203.83858356374213</v>
      </c>
      <c r="R48" s="629">
        <f t="shared" si="79"/>
        <v>3.3816101989363601</v>
      </c>
      <c r="S48" s="634">
        <f t="shared" si="80"/>
        <v>-0.67870204696537362</v>
      </c>
      <c r="T48" s="635">
        <f t="shared" si="81"/>
        <v>-1.4156145119129404</v>
      </c>
      <c r="U48" s="629">
        <f t="shared" si="82"/>
        <v>3.0710459278903492</v>
      </c>
      <c r="V48" s="636">
        <f t="shared" si="114"/>
        <v>-0.67870204696537362</v>
      </c>
      <c r="W48" s="585">
        <f t="shared" si="224"/>
        <v>114.74758343249879</v>
      </c>
      <c r="X48" s="629">
        <f t="shared" si="83"/>
        <v>3.3816101989363601</v>
      </c>
      <c r="Y48" s="630">
        <f t="shared" si="223"/>
        <v>-0.67870204696537362</v>
      </c>
      <c r="Z48" s="632">
        <f t="shared" si="243"/>
        <v>-8.6412929204772476E-2</v>
      </c>
      <c r="AA48" s="629">
        <f t="shared" si="244"/>
        <v>0.97958502357756672</v>
      </c>
      <c r="AB48" s="629">
        <f t="shared" si="245"/>
        <v>-0.18151029515922523</v>
      </c>
      <c r="AC48" s="636">
        <f t="shared" si="84"/>
        <v>1</v>
      </c>
      <c r="AD48" s="637">
        <f t="shared" si="115"/>
        <v>-8.6412929204772476E-2</v>
      </c>
      <c r="AE48" s="629">
        <f t="shared" si="85"/>
        <v>0.97958502357756672</v>
      </c>
      <c r="AF48" s="633">
        <f t="shared" si="86"/>
        <v>-0.18151029515922523</v>
      </c>
      <c r="AG48" s="602">
        <f t="shared" si="87"/>
        <v>79.502547908313758</v>
      </c>
      <c r="AH48" s="603">
        <f t="shared" si="88"/>
        <v>94.957278735910748</v>
      </c>
      <c r="AI48" s="585">
        <f t="shared" si="89"/>
        <v>-79.542257405388639</v>
      </c>
      <c r="AJ48" s="586">
        <f t="shared" si="90"/>
        <v>-174.95877025358507</v>
      </c>
      <c r="AK48" s="635">
        <f t="shared" si="211"/>
        <v>0.93093914682458889</v>
      </c>
      <c r="AL48" s="629">
        <f t="shared" si="91"/>
        <v>-0.31686955937848904</v>
      </c>
      <c r="AM48" s="634">
        <f t="shared" si="92"/>
        <v>-0.18151029515922523</v>
      </c>
      <c r="AN48" s="581">
        <f t="shared" si="93"/>
        <v>-60.194909618973895</v>
      </c>
      <c r="AO48" s="582">
        <f t="shared" si="94"/>
        <v>21.418312808829008</v>
      </c>
      <c r="AP48" s="585">
        <f t="shared" si="95"/>
        <v>-18.797353817327206</v>
      </c>
      <c r="AQ48" s="586">
        <f t="shared" si="246"/>
        <v>0.67412306622820928</v>
      </c>
      <c r="AS48" s="52">
        <f t="shared" si="406"/>
        <v>-245.2524165675012</v>
      </c>
      <c r="AT48" s="72">
        <f t="shared" si="247"/>
        <v>-0.50775661888463897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5.12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-3.3540224972803023</v>
      </c>
      <c r="C49" s="708">
        <v>-1.4577359748477117</v>
      </c>
      <c r="D49" s="709">
        <v>-1.4039042341751706</v>
      </c>
      <c r="E49" s="710">
        <v>-9.1781355511733484E-2</v>
      </c>
      <c r="F49" s="708">
        <v>-0.99158836716850862</v>
      </c>
      <c r="G49" s="711">
        <v>9.126167254943178E-2</v>
      </c>
      <c r="H49" s="710">
        <v>0.314</v>
      </c>
      <c r="I49" s="708">
        <v>0.52</v>
      </c>
      <c r="J49" s="570">
        <v>5.1260000000000003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5.1260000000000003</v>
      </c>
      <c r="N49" s="632">
        <f t="shared" si="240"/>
        <v>-3.3540224972803023</v>
      </c>
      <c r="O49" s="629">
        <f t="shared" si="241"/>
        <v>-1.4577359748477117</v>
      </c>
      <c r="P49" s="633">
        <f t="shared" si="242"/>
        <v>-1.4039042341751706</v>
      </c>
      <c r="Q49" s="585">
        <f t="shared" si="113"/>
        <v>203.49088361394379</v>
      </c>
      <c r="R49" s="629">
        <f t="shared" si="79"/>
        <v>3.6571110298468659</v>
      </c>
      <c r="S49" s="634">
        <f t="shared" si="80"/>
        <v>-1.4039042341751706</v>
      </c>
      <c r="T49" s="635">
        <f t="shared" si="81"/>
        <v>-1.5107619939054402</v>
      </c>
      <c r="U49" s="629">
        <f t="shared" si="82"/>
        <v>3.3304743329439521</v>
      </c>
      <c r="V49" s="636">
        <f t="shared" si="114"/>
        <v>-1.4039042341751706</v>
      </c>
      <c r="W49" s="585">
        <f t="shared" si="224"/>
        <v>114.39988348270045</v>
      </c>
      <c r="X49" s="629">
        <f t="shared" si="83"/>
        <v>3.6571110298468659</v>
      </c>
      <c r="Y49" s="630">
        <f t="shared" si="223"/>
        <v>-1.4039042341751706</v>
      </c>
      <c r="Z49" s="632">
        <f t="shared" si="243"/>
        <v>9.1781355511733484E-2</v>
      </c>
      <c r="AA49" s="629">
        <f t="shared" si="244"/>
        <v>0.99158836716850862</v>
      </c>
      <c r="AB49" s="629">
        <f t="shared" si="245"/>
        <v>-9.126167254943178E-2</v>
      </c>
      <c r="AC49" s="636">
        <f t="shared" si="84"/>
        <v>1</v>
      </c>
      <c r="AD49" s="637">
        <f t="shared" si="115"/>
        <v>9.1781355511733484E-2</v>
      </c>
      <c r="AE49" s="629">
        <f t="shared" si="85"/>
        <v>0.99158836716850862</v>
      </c>
      <c r="AF49" s="633">
        <f t="shared" si="86"/>
        <v>-9.126167254943178E-2</v>
      </c>
      <c r="AG49" s="602">
        <f t="shared" si="87"/>
        <v>84.741548576160952</v>
      </c>
      <c r="AH49" s="603">
        <f t="shared" si="88"/>
        <v>84.73390453048188</v>
      </c>
      <c r="AI49" s="585">
        <f t="shared" si="89"/>
        <v>-84.763805663340094</v>
      </c>
      <c r="AJ49" s="586">
        <f t="shared" si="90"/>
        <v>174.71177399665606</v>
      </c>
      <c r="AK49" s="635">
        <f t="shared" si="211"/>
        <v>0.87282466452995167</v>
      </c>
      <c r="AL49" s="629">
        <f t="shared" si="91"/>
        <v>-0.47942508498373082</v>
      </c>
      <c r="AM49" s="634">
        <f t="shared" si="92"/>
        <v>-9.126167254943178E-2</v>
      </c>
      <c r="AN49" s="581">
        <f t="shared" si="93"/>
        <v>-79.222320937018765</v>
      </c>
      <c r="AO49" s="582">
        <f t="shared" si="94"/>
        <v>29.211438417011127</v>
      </c>
      <c r="AP49" s="585">
        <f t="shared" si="95"/>
        <v>-28.779109617287745</v>
      </c>
      <c r="AQ49" s="586">
        <f t="shared" si="246"/>
        <v>0.62334358154208047</v>
      </c>
      <c r="AS49" s="52">
        <f t="shared" si="406"/>
        <v>-245.60011651729957</v>
      </c>
      <c r="AT49" s="72">
        <f t="shared" si="247"/>
        <v>-1.232717347795965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5.1260000000000003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-3.3827850636947034</v>
      </c>
      <c r="C50" s="708">
        <v>-1.4663147061896482</v>
      </c>
      <c r="D50" s="709">
        <v>-2.1690065417237303</v>
      </c>
      <c r="E50" s="710">
        <v>-0.11433052106755759</v>
      </c>
      <c r="F50" s="708">
        <v>-0.99344276732603376</v>
      </c>
      <c r="G50" s="711">
        <v>1.1339743362162163E-7</v>
      </c>
      <c r="H50" s="710">
        <v>0.314</v>
      </c>
      <c r="I50" s="708">
        <v>0.52</v>
      </c>
      <c r="J50" s="570">
        <v>5.1319999999999997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5.1319999999999997</v>
      </c>
      <c r="N50" s="632">
        <f t="shared" si="240"/>
        <v>-3.3827850636947034</v>
      </c>
      <c r="O50" s="629">
        <f t="shared" si="241"/>
        <v>-1.4663147061896482</v>
      </c>
      <c r="P50" s="633">
        <f t="shared" si="242"/>
        <v>-2.1690065417237303</v>
      </c>
      <c r="Q50" s="585">
        <f t="shared" si="113"/>
        <v>203.43498362201476</v>
      </c>
      <c r="R50" s="629">
        <f t="shared" si="79"/>
        <v>3.6869111197239364</v>
      </c>
      <c r="S50" s="634">
        <f t="shared" si="80"/>
        <v>-2.1690065417237303</v>
      </c>
      <c r="T50" s="635">
        <f t="shared" si="81"/>
        <v>-1.5197959457806647</v>
      </c>
      <c r="U50" s="629">
        <f t="shared" si="82"/>
        <v>3.3590971834605599</v>
      </c>
      <c r="V50" s="636">
        <f t="shared" si="114"/>
        <v>-2.1690065417237303</v>
      </c>
      <c r="W50" s="585">
        <f t="shared" si="224"/>
        <v>114.34398349077141</v>
      </c>
      <c r="X50" s="629">
        <f t="shared" si="83"/>
        <v>3.6869111197239364</v>
      </c>
      <c r="Y50" s="630">
        <f t="shared" si="223"/>
        <v>-2.1690065417237303</v>
      </c>
      <c r="Z50" s="632">
        <f t="shared" si="243"/>
        <v>0.11433052106755759</v>
      </c>
      <c r="AA50" s="629">
        <f t="shared" si="244"/>
        <v>0.99344276732603376</v>
      </c>
      <c r="AB50" s="629">
        <f t="shared" si="245"/>
        <v>-1.1339743362162163E-7</v>
      </c>
      <c r="AC50" s="636">
        <f t="shared" si="84"/>
        <v>1</v>
      </c>
      <c r="AD50" s="637">
        <f t="shared" si="115"/>
        <v>0.11433052106755759</v>
      </c>
      <c r="AE50" s="629">
        <f t="shared" si="85"/>
        <v>0.99344276732603376</v>
      </c>
      <c r="AF50" s="633">
        <f t="shared" si="86"/>
        <v>-1.1339743362162163E-7</v>
      </c>
      <c r="AG50" s="602">
        <f t="shared" si="87"/>
        <v>89.99999345992083</v>
      </c>
      <c r="AH50" s="603">
        <f t="shared" si="88"/>
        <v>83.434987953478881</v>
      </c>
      <c r="AI50" s="585">
        <f t="shared" si="89"/>
        <v>-89.999993502805637</v>
      </c>
      <c r="AJ50" s="586">
        <f t="shared" si="90"/>
        <v>173.43498795347884</v>
      </c>
      <c r="AK50" s="635">
        <f t="shared" si="211"/>
        <v>0.86602544158358552</v>
      </c>
      <c r="AL50" s="629">
        <f t="shared" si="91"/>
        <v>-0.49999993452993868</v>
      </c>
      <c r="AM50" s="634">
        <f t="shared" si="92"/>
        <v>-1.1339743362162163E-7</v>
      </c>
      <c r="AN50" s="581">
        <f t="shared" si="93"/>
        <v>-89.999987005609597</v>
      </c>
      <c r="AO50" s="582">
        <f t="shared" si="94"/>
        <v>29.999995668536549</v>
      </c>
      <c r="AP50" s="585">
        <f t="shared" si="95"/>
        <v>-29.99999566853592</v>
      </c>
      <c r="AQ50" s="586">
        <f t="shared" si="246"/>
        <v>0.61830569314593531</v>
      </c>
      <c r="AS50" s="52">
        <f t="shared" si="406"/>
        <v>-245.65601650922861</v>
      </c>
      <c r="AT50" s="72">
        <f t="shared" si="247"/>
        <v>-1.997780835905685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5.1319999999999997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-2.7863195257919822</v>
      </c>
      <c r="C51" s="708">
        <v>-0.37848752173986566</v>
      </c>
      <c r="D51" s="709">
        <v>-0.15700047351342813</v>
      </c>
      <c r="E51" s="710">
        <v>-8.1022787033921975E-2</v>
      </c>
      <c r="F51" s="708">
        <v>-0.95355867626698099</v>
      </c>
      <c r="G51" s="711">
        <v>0.29010542721089988</v>
      </c>
      <c r="H51" s="710">
        <v>0.26600000000000001</v>
      </c>
      <c r="I51" s="708">
        <v>0.52</v>
      </c>
      <c r="J51" s="570">
        <v>5.2140000000000004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5.2140000000000004</v>
      </c>
      <c r="N51" s="632">
        <f t="shared" si="240"/>
        <v>-2.7863195257919822</v>
      </c>
      <c r="O51" s="629">
        <f t="shared" si="241"/>
        <v>-0.37848752173986566</v>
      </c>
      <c r="P51" s="633">
        <f t="shared" si="242"/>
        <v>-0.15700047351342813</v>
      </c>
      <c r="Q51" s="585">
        <f t="shared" si="113"/>
        <v>187.73558588872734</v>
      </c>
      <c r="R51" s="629">
        <f t="shared" si="79"/>
        <v>2.8119084807159784</v>
      </c>
      <c r="S51" s="634">
        <f t="shared" si="80"/>
        <v>-0.15700047351342813</v>
      </c>
      <c r="T51" s="635">
        <f t="shared" si="81"/>
        <v>-0.42264310822965273</v>
      </c>
      <c r="U51" s="629">
        <f t="shared" si="82"/>
        <v>2.7799644075038841</v>
      </c>
      <c r="V51" s="636">
        <f t="shared" si="114"/>
        <v>-0.15700047351342813</v>
      </c>
      <c r="W51" s="585">
        <f t="shared" si="224"/>
        <v>98.644585757483995</v>
      </c>
      <c r="X51" s="629">
        <f t="shared" si="83"/>
        <v>2.8119084807159784</v>
      </c>
      <c r="Y51" s="630">
        <f t="shared" si="223"/>
        <v>-0.15700047351342813</v>
      </c>
      <c r="Z51" s="632">
        <f t="shared" si="243"/>
        <v>8.1022787033921975E-2</v>
      </c>
      <c r="AA51" s="629">
        <f t="shared" si="244"/>
        <v>0.95355867626698099</v>
      </c>
      <c r="AB51" s="629">
        <f t="shared" si="245"/>
        <v>-0.29010542721089988</v>
      </c>
      <c r="AC51" s="636">
        <f t="shared" si="84"/>
        <v>1</v>
      </c>
      <c r="AD51" s="637">
        <f t="shared" si="115"/>
        <v>8.1022787033921975E-2</v>
      </c>
      <c r="AE51" s="629">
        <f t="shared" si="85"/>
        <v>0.95355867626698099</v>
      </c>
      <c r="AF51" s="633">
        <f t="shared" si="86"/>
        <v>-0.29010542721089988</v>
      </c>
      <c r="AG51" s="602">
        <f t="shared" si="87"/>
        <v>73.078430869784256</v>
      </c>
      <c r="AH51" s="603">
        <f t="shared" si="88"/>
        <v>85.352642023279898</v>
      </c>
      <c r="AI51" s="585">
        <f t="shared" si="89"/>
        <v>-73.135732099881324</v>
      </c>
      <c r="AJ51" s="586">
        <f t="shared" si="90"/>
        <v>175.14330887349658</v>
      </c>
      <c r="AK51" s="635">
        <f t="shared" si="211"/>
        <v>0.93397529215937092</v>
      </c>
      <c r="AL51" s="629">
        <f t="shared" si="91"/>
        <v>-0.20863603413264739</v>
      </c>
      <c r="AM51" s="634">
        <f t="shared" si="92"/>
        <v>-0.29010542721089988</v>
      </c>
      <c r="AN51" s="581">
        <f t="shared" si="93"/>
        <v>-35.722674431428835</v>
      </c>
      <c r="AO51" s="582">
        <f t="shared" si="94"/>
        <v>20.936778095590238</v>
      </c>
      <c r="AP51" s="585">
        <f t="shared" si="95"/>
        <v>-12.592277015230765</v>
      </c>
      <c r="AQ51" s="586">
        <f t="shared" si="246"/>
        <v>0.81068587873395748</v>
      </c>
      <c r="AS51" s="52">
        <f t="shared" si="406"/>
        <v>-261.35541424251602</v>
      </c>
      <c r="AT51" s="72">
        <f t="shared" si="247"/>
        <v>2.512759184162236E-2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Nose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5.2140000000000004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5.1139999999999999</v>
      </c>
      <c r="II51" s="734" cm="1">
        <f t="array" ref="II51">IFERROR(ROUND(VALUE(IF($IH51&lt;1,$IH51+LARGE((IF($M$9:$M$150="",0,$M$9:$M$150)-MOD(IF($M$9:$M$150="",0,$M$9:$M$150),1)),1),$IH51)),4),"")</f>
        <v>5.1139999999999999</v>
      </c>
      <c r="IJ51" s="533">
        <f t="shared" si="112"/>
        <v>1613</v>
      </c>
      <c r="IK51" s="533">
        <f t="shared" si="382"/>
        <v>1313</v>
      </c>
      <c r="IL51" s="727">
        <f t="shared" si="225"/>
        <v>17.006297544594418</v>
      </c>
      <c r="IM51" s="759">
        <v>8.9042956224804001E-3</v>
      </c>
      <c r="IN51" s="5">
        <f t="shared" si="226"/>
        <v>0.22</v>
      </c>
      <c r="IO51" s="771">
        <v>110</v>
      </c>
      <c r="IP51" s="9">
        <f t="shared" si="227"/>
        <v>-2.7807083866164941</v>
      </c>
      <c r="IQ51" s="5">
        <f t="shared" si="228"/>
        <v>-0.18860056881931542</v>
      </c>
      <c r="IR51" s="5">
        <f t="shared" si="383"/>
        <v>0.314</v>
      </c>
      <c r="IS51" s="5">
        <f t="shared" si="229"/>
        <v>0.301931489701522</v>
      </c>
      <c r="IT51" s="727">
        <f t="shared" si="230"/>
        <v>35.722677273405424</v>
      </c>
      <c r="IU51" s="9">
        <f t="shared" si="231"/>
        <v>-2.8119084807159784</v>
      </c>
      <c r="IV51" s="5">
        <f t="shared" si="232"/>
        <v>-0.15700047351342813</v>
      </c>
      <c r="IW51" s="5">
        <f t="shared" si="384"/>
        <v>0.26600000000000001</v>
      </c>
      <c r="IX51" s="5">
        <f t="shared" si="233"/>
        <v>0.24843742771439267</v>
      </c>
      <c r="IY51" s="762">
        <f t="shared" si="234"/>
        <v>35.722674431428835</v>
      </c>
    </row>
    <row r="52" spans="1:259" ht="15" customHeight="1" x14ac:dyDescent="0.25">
      <c r="A52" s="79"/>
      <c r="B52" s="707">
        <v>-3.3900090138170644</v>
      </c>
      <c r="C52" s="708">
        <v>-0.51236904705584863</v>
      </c>
      <c r="D52" s="709">
        <v>-0.66240199780442577</v>
      </c>
      <c r="E52" s="710">
        <v>-0.2478951663567488</v>
      </c>
      <c r="F52" s="708">
        <v>-0.94320795414322234</v>
      </c>
      <c r="G52" s="711">
        <v>0.22114868694594839</v>
      </c>
      <c r="H52" s="710">
        <v>0.26600000000000001</v>
      </c>
      <c r="I52" s="708">
        <v>0.52</v>
      </c>
      <c r="J52" s="570">
        <v>5.22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5.22</v>
      </c>
      <c r="N52" s="632">
        <f t="shared" si="240"/>
        <v>-3.3900090138170644</v>
      </c>
      <c r="O52" s="629">
        <f t="shared" si="241"/>
        <v>-0.51236904705584863</v>
      </c>
      <c r="P52" s="633">
        <f t="shared" si="242"/>
        <v>-0.66240199780442577</v>
      </c>
      <c r="Q52" s="585">
        <f t="shared" si="113"/>
        <v>188.59468576468865</v>
      </c>
      <c r="R52" s="629">
        <f t="shared" si="79"/>
        <v>3.428510340387187</v>
      </c>
      <c r="S52" s="634">
        <f t="shared" si="80"/>
        <v>-0.66240199780442577</v>
      </c>
      <c r="T52" s="635">
        <f t="shared" si="81"/>
        <v>-0.56608494141225263</v>
      </c>
      <c r="U52" s="629">
        <f t="shared" si="82"/>
        <v>3.3814539762132134</v>
      </c>
      <c r="V52" s="636">
        <f t="shared" si="114"/>
        <v>-0.66240199780442577</v>
      </c>
      <c r="W52" s="585">
        <f t="shared" si="224"/>
        <v>99.503685633445301</v>
      </c>
      <c r="X52" s="629">
        <f t="shared" si="83"/>
        <v>3.428510340387187</v>
      </c>
      <c r="Y52" s="630">
        <f t="shared" si="223"/>
        <v>-0.66240199780442577</v>
      </c>
      <c r="Z52" s="632">
        <f t="shared" si="243"/>
        <v>0.2478951663567488</v>
      </c>
      <c r="AA52" s="629">
        <f t="shared" si="244"/>
        <v>0.94320795414322234</v>
      </c>
      <c r="AB52" s="629">
        <f t="shared" si="245"/>
        <v>-0.22114868694594839</v>
      </c>
      <c r="AC52" s="636">
        <f t="shared" si="84"/>
        <v>1</v>
      </c>
      <c r="AD52" s="637">
        <f t="shared" si="115"/>
        <v>0.2478951663567488</v>
      </c>
      <c r="AE52" s="629">
        <f t="shared" si="85"/>
        <v>0.94320795414322234</v>
      </c>
      <c r="AF52" s="633">
        <f t="shared" si="86"/>
        <v>-0.22114868694594839</v>
      </c>
      <c r="AG52" s="602">
        <f t="shared" si="87"/>
        <v>76.804533868899625</v>
      </c>
      <c r="AH52" s="603">
        <f t="shared" si="88"/>
        <v>75.647006142417425</v>
      </c>
      <c r="AI52" s="585">
        <f t="shared" si="89"/>
        <v>-77.223490143254907</v>
      </c>
      <c r="AJ52" s="586">
        <f t="shared" si="90"/>
        <v>165.27447359781158</v>
      </c>
      <c r="AK52" s="635">
        <f t="shared" si="211"/>
        <v>0.89556960646260286</v>
      </c>
      <c r="AL52" s="629">
        <f t="shared" si="91"/>
        <v>-0.3860677896982625</v>
      </c>
      <c r="AM52" s="634">
        <f t="shared" si="92"/>
        <v>-0.22114868694594839</v>
      </c>
      <c r="AN52" s="581">
        <f t="shared" si="93"/>
        <v>-60.194906610870241</v>
      </c>
      <c r="AO52" s="582">
        <f t="shared" si="94"/>
        <v>26.418312069829476</v>
      </c>
      <c r="AP52" s="585">
        <f t="shared" si="95"/>
        <v>-23.320212166877056</v>
      </c>
      <c r="AQ52" s="586">
        <f t="shared" si="246"/>
        <v>0.66490226596937163</v>
      </c>
      <c r="AS52" s="52">
        <f t="shared" si="406"/>
        <v>-260.49631436655471</v>
      </c>
      <c r="AT52" s="72">
        <f t="shared" si="247"/>
        <v>-0.48087052958545951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5.22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5.12</v>
      </c>
      <c r="II52" s="734" cm="1">
        <f t="array" ref="II52">IFERROR(ROUND(VALUE(IF($IH52&lt;1,$IH52+LARGE((IF($M$9:$M$150="",0,$M$9:$M$150)-MOD(IF($M$9:$M$150="",0,$M$9:$M$150),1)),1),$IH52)),4),"")</f>
        <v>5.12</v>
      </c>
      <c r="IJ52" s="533">
        <f t="shared" si="112"/>
        <v>1613</v>
      </c>
      <c r="IK52" s="533">
        <f t="shared" si="382"/>
        <v>1313</v>
      </c>
      <c r="IL52" s="727">
        <f t="shared" si="225"/>
        <v>15.243897799053485</v>
      </c>
      <c r="IM52" s="759">
        <v>4.1258178927831204E-3</v>
      </c>
      <c r="IN52" s="5">
        <f t="shared" si="226"/>
        <v>0.18</v>
      </c>
      <c r="IO52" s="771">
        <v>90</v>
      </c>
      <c r="IP52" s="9">
        <f t="shared" si="227"/>
        <v>-3.3816101989363601</v>
      </c>
      <c r="IQ52" s="5">
        <f t="shared" si="228"/>
        <v>-0.67870204696537362</v>
      </c>
      <c r="IR52" s="5">
        <f t="shared" si="383"/>
        <v>0.314</v>
      </c>
      <c r="IS52" s="5">
        <f t="shared" si="229"/>
        <v>0.29231489210292089</v>
      </c>
      <c r="IT52" s="727">
        <f t="shared" si="230"/>
        <v>60.194909618973895</v>
      </c>
      <c r="IU52" s="9">
        <f t="shared" si="231"/>
        <v>-3.428510340387187</v>
      </c>
      <c r="IV52" s="5">
        <f t="shared" si="232"/>
        <v>-0.66240199780442577</v>
      </c>
      <c r="IW52" s="5">
        <f t="shared" si="384"/>
        <v>0.26600000000000001</v>
      </c>
      <c r="IX52" s="5">
        <f t="shared" si="233"/>
        <v>0.23822151531905236</v>
      </c>
      <c r="IY52" s="762">
        <f t="shared" si="234"/>
        <v>60.194906610870241</v>
      </c>
    </row>
    <row r="53" spans="1:259" ht="15" customHeight="1" x14ac:dyDescent="0.25">
      <c r="A53" s="79"/>
      <c r="B53" s="707">
        <v>-3.6585893256456874</v>
      </c>
      <c r="C53" s="708">
        <v>-0.34169553758250987</v>
      </c>
      <c r="D53" s="709">
        <v>-1.413204262224055</v>
      </c>
      <c r="E53" s="710">
        <v>-0.87250952424857997</v>
      </c>
      <c r="F53" s="708">
        <v>-8.1488633393343154E-2</v>
      </c>
      <c r="G53" s="711">
        <v>0.48175380924617722</v>
      </c>
      <c r="H53" s="710">
        <v>0.25700000000000001</v>
      </c>
      <c r="I53" s="708">
        <v>0.41499999999999992</v>
      </c>
      <c r="J53" s="570">
        <v>5.226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CPS-32193r1</v>
      </c>
      <c r="L53" s="320"/>
      <c r="M53" s="168">
        <f t="shared" si="239"/>
        <v>5.226</v>
      </c>
      <c r="N53" s="632">
        <f t="shared" si="240"/>
        <v>-3.6585893256456874</v>
      </c>
      <c r="O53" s="629">
        <f t="shared" si="241"/>
        <v>-0.34169553758250987</v>
      </c>
      <c r="P53" s="633">
        <f t="shared" si="242"/>
        <v>-1.413204262224055</v>
      </c>
      <c r="Q53" s="585">
        <f t="shared" si="113"/>
        <v>185.33568623522999</v>
      </c>
      <c r="R53" s="629">
        <f t="shared" ref="R53:R58" si="410">IF(M53="","",SQRT(N53^2+O53^2))</f>
        <v>3.674511082325425</v>
      </c>
      <c r="S53" s="634">
        <f t="shared" ref="S53:S58" si="411">IF(M53="","",P53)</f>
        <v>-1.413204262224055</v>
      </c>
      <c r="T53" s="635">
        <f t="shared" ref="T53:T58" si="412">IF(M53="","",X53*COS(RADIANS(W53)))</f>
        <v>-0.39969376951432667</v>
      </c>
      <c r="U53" s="629">
        <f t="shared" ref="U53:U58" si="413">IF(M53="","",X53*SIN(RADIANS(W53)))</f>
        <v>3.6527081165545918</v>
      </c>
      <c r="V53" s="636">
        <f t="shared" ref="V53:V58" si="414">IF(M53="","",Y53)</f>
        <v>-1.413204262224055</v>
      </c>
      <c r="W53" s="585">
        <f t="shared" si="224"/>
        <v>96.244686103986638</v>
      </c>
      <c r="X53" s="629">
        <f t="shared" ref="X53:X58" si="415">IF(M53="","",R53)</f>
        <v>3.674511082325425</v>
      </c>
      <c r="Y53" s="630">
        <f t="shared" si="223"/>
        <v>-1.413204262224055</v>
      </c>
      <c r="Z53" s="632">
        <f t="shared" si="243"/>
        <v>0.87250952424857997</v>
      </c>
      <c r="AA53" s="629">
        <f t="shared" si="244"/>
        <v>8.1488633393343154E-2</v>
      </c>
      <c r="AB53" s="629">
        <f t="shared" si="245"/>
        <v>-0.48175380924617722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0.87250952424857997</v>
      </c>
      <c r="AE53" s="629">
        <f t="shared" ref="AE53:AE58" si="418">IF(M53="","",AA53*(1/SQRT(Z53^2+AA53^2+AB53^2)))</f>
        <v>8.1488633393343154E-2</v>
      </c>
      <c r="AF53" s="633">
        <f t="shared" ref="AF53:AF58" si="419">IF(M53="","",AB53*(1/SQRT(Z53^2+AA53^2+AB53^2)))</f>
        <v>-0.48175380924617722</v>
      </c>
      <c r="AG53" s="602">
        <f t="shared" ref="AG53:AG58" si="420">IF(M53="","",DEGREES(ATAN2(-AF53,AE53)))</f>
        <v>9.6007024929214779</v>
      </c>
      <c r="AH53" s="603">
        <f t="shared" ref="AH53:AH58" si="421">IF(M53="","",DEGREES(ACOS(AD53)))</f>
        <v>29.248414935358579</v>
      </c>
      <c r="AI53" s="585">
        <f t="shared" ref="AI53:AI58" si="422">IF(M53="","",DEGREES(-ACOS(-AF53)))</f>
        <v>-61.199991163815362</v>
      </c>
      <c r="AJ53" s="586">
        <f t="shared" ref="AJ53:AJ58" si="423">IF(M53="","",DEGREES(ATAN2(-AE53,AD53)))</f>
        <v>95.335701063818846</v>
      </c>
      <c r="AK53" s="635">
        <f t="shared" ref="AK53:AK58" si="424">IF(M53="","",(COS(RADIANS((90-$Q$8)-W53))*AD53)+(-SIN(RADIANS((90-$Q$8)-W53))*AE53))</f>
        <v>2.2679489641852513E-7</v>
      </c>
      <c r="AL53" s="629">
        <f t="shared" ref="AL53:AL58" si="425">IF(M53="","",(SIN(RADIANS((90-$Q$8)-W53))*AD53)+(COS(RADIANS((90-$Q$8)-W53))*AE53))</f>
        <v>-0.87630660574752406</v>
      </c>
      <c r="AM53" s="634">
        <f t="shared" ref="AM53:AM58" si="426">IF(M53="","",AF53)</f>
        <v>-0.48175380924617722</v>
      </c>
      <c r="AN53" s="581">
        <f t="shared" ref="AN53:AN58" si="427">IF(M53="","",DEGREES(ATAN2(-AM53,AL53)))</f>
        <v>-61.199991163814559</v>
      </c>
      <c r="AO53" s="582">
        <f t="shared" si="94"/>
        <v>0</v>
      </c>
      <c r="AP53" s="585">
        <f t="shared" ref="AP53:AP58" si="428">IF(M53="","",DEGREES(ATAN2(AK53,AL53)))</f>
        <v>-89.99998517141114</v>
      </c>
      <c r="AQ53" s="586">
        <f t="shared" si="246"/>
        <v>0.62039207016292819</v>
      </c>
      <c r="AS53" s="52">
        <f t="shared" si="406"/>
        <v>-263.75531389601338</v>
      </c>
      <c r="AT53" s="72">
        <f t="shared" si="247"/>
        <v>-1.2294095998874091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>Gage</v>
      </c>
      <c r="IG53" s="847">
        <f t="shared" si="210"/>
        <v>5.226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5.1260000000000003</v>
      </c>
      <c r="II53" s="734" cm="1">
        <f t="array" ref="II53">IFERROR(ROUND(VALUE(IF($IH53&lt;1,$IH53+LARGE((IF($M$9:$M$150="",0,$M$9:$M$150)-MOD(IF($M$9:$M$150="",0,$M$9:$M$150),1)),1),$IH53)),4),"")</f>
        <v>5.1260000000000003</v>
      </c>
      <c r="IJ53" s="533">
        <f t="shared" si="112"/>
        <v>1613</v>
      </c>
      <c r="IK53" s="533" t="str">
        <f t="shared" si="382"/>
        <v>CPS-32193r1</v>
      </c>
      <c r="IL53" s="727">
        <f t="shared" si="225"/>
        <v>18.155197378713808</v>
      </c>
      <c r="IM53" s="759">
        <v>9.5338810491014904E-4</v>
      </c>
      <c r="IN53" s="5">
        <f t="shared" si="226"/>
        <v>0</v>
      </c>
      <c r="IO53" s="771">
        <v>0</v>
      </c>
      <c r="IP53" s="9">
        <f t="shared" si="227"/>
        <v>-3.6571110298468659</v>
      </c>
      <c r="IQ53" s="5">
        <f t="shared" si="228"/>
        <v>-1.4039042341751706</v>
      </c>
      <c r="IR53" s="5">
        <f t="shared" si="383"/>
        <v>0.314</v>
      </c>
      <c r="IS53" s="5">
        <f t="shared" si="229"/>
        <v>0.27406694466240483</v>
      </c>
      <c r="IT53" s="727">
        <f t="shared" si="230"/>
        <v>79.222320937018765</v>
      </c>
      <c r="IU53" s="9">
        <f t="shared" si="231"/>
        <v>-3.674511082325425</v>
      </c>
      <c r="IV53" s="5">
        <f t="shared" si="232"/>
        <v>-1.413204262224055</v>
      </c>
      <c r="IW53" s="5">
        <f t="shared" si="384"/>
        <v>0.25700000000000001</v>
      </c>
      <c r="IX53" s="5">
        <f t="shared" si="233"/>
        <v>0.25700000000000001</v>
      </c>
      <c r="IY53" s="762">
        <f t="shared" si="234"/>
        <v>61.199991163814559</v>
      </c>
    </row>
    <row r="54" spans="1:259" ht="15" customHeight="1" x14ac:dyDescent="0.25">
      <c r="A54" s="79"/>
      <c r="B54" s="707">
        <v>-3.6889774527651342</v>
      </c>
      <c r="C54" s="708">
        <v>-0.3162819834803271</v>
      </c>
      <c r="D54" s="709">
        <v>-2.1819065806302476</v>
      </c>
      <c r="E54" s="710">
        <v>-0.99634470089885852</v>
      </c>
      <c r="F54" s="708">
        <v>-8.5423866634054185E-2</v>
      </c>
      <c r="G54" s="711">
        <v>2.2679489568523886E-7</v>
      </c>
      <c r="H54" s="710">
        <v>0.25700000000000001</v>
      </c>
      <c r="I54" s="708">
        <v>0.41499999999999992</v>
      </c>
      <c r="J54" s="570">
        <v>5.2320000000000002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CPS-32193r1</v>
      </c>
      <c r="L54" s="320"/>
      <c r="M54" s="168">
        <f t="shared" si="239"/>
        <v>5.2320000000000002</v>
      </c>
      <c r="N54" s="632">
        <f t="shared" si="240"/>
        <v>-3.6889774527651342</v>
      </c>
      <c r="O54" s="629">
        <f t="shared" si="241"/>
        <v>-0.3162819834803271</v>
      </c>
      <c r="P54" s="633">
        <f t="shared" si="242"/>
        <v>-2.1819065806302476</v>
      </c>
      <c r="Q54" s="585">
        <f t="shared" si="113"/>
        <v>184.9003862980795</v>
      </c>
      <c r="R54" s="629">
        <f t="shared" si="410"/>
        <v>3.7025111667736788</v>
      </c>
      <c r="S54" s="634">
        <f t="shared" si="411"/>
        <v>-2.1819065806302476</v>
      </c>
      <c r="T54" s="635">
        <f t="shared" si="412"/>
        <v>-0.37476550228129896</v>
      </c>
      <c r="U54" s="629">
        <f t="shared" si="413"/>
        <v>3.6834955895702701</v>
      </c>
      <c r="V54" s="636">
        <f t="shared" si="414"/>
        <v>-2.1819065806302476</v>
      </c>
      <c r="W54" s="585">
        <f t="shared" si="224"/>
        <v>95.809386166836148</v>
      </c>
      <c r="X54" s="629">
        <f t="shared" si="415"/>
        <v>3.7025111667736788</v>
      </c>
      <c r="Y54" s="630">
        <f t="shared" si="223"/>
        <v>-2.1819065806302476</v>
      </c>
      <c r="Z54" s="632">
        <f t="shared" si="243"/>
        <v>0.99634470089885852</v>
      </c>
      <c r="AA54" s="629">
        <f t="shared" si="244"/>
        <v>8.5423866634054185E-2</v>
      </c>
      <c r="AB54" s="629">
        <f t="shared" si="245"/>
        <v>-2.2679489568523886E-7</v>
      </c>
      <c r="AC54" s="636">
        <f t="shared" si="416"/>
        <v>1</v>
      </c>
      <c r="AD54" s="637">
        <f t="shared" si="417"/>
        <v>0.99634470089885852</v>
      </c>
      <c r="AE54" s="629">
        <f t="shared" si="418"/>
        <v>8.5423866634054185E-2</v>
      </c>
      <c r="AF54" s="633">
        <f t="shared" si="419"/>
        <v>-2.2679489568523886E-7</v>
      </c>
      <c r="AG54" s="602">
        <f t="shared" si="420"/>
        <v>89.9998478833744</v>
      </c>
      <c r="AH54" s="603">
        <f t="shared" si="421"/>
        <v>4.9003992924870916</v>
      </c>
      <c r="AI54" s="585">
        <f t="shared" si="422"/>
        <v>-89.999987005609654</v>
      </c>
      <c r="AJ54" s="586">
        <f t="shared" si="423"/>
        <v>94.900399292469885</v>
      </c>
      <c r="AK54" s="635">
        <f t="shared" si="424"/>
        <v>2.2679489676546982E-7</v>
      </c>
      <c r="AL54" s="629">
        <f t="shared" si="425"/>
        <v>-0.9999999999999486</v>
      </c>
      <c r="AM54" s="634">
        <f t="shared" si="426"/>
        <v>-2.2679489568523886E-7</v>
      </c>
      <c r="AN54" s="581">
        <f t="shared" si="427"/>
        <v>-89.999987005609668</v>
      </c>
      <c r="AO54" s="582">
        <f t="shared" si="94"/>
        <v>0</v>
      </c>
      <c r="AP54" s="585">
        <f t="shared" si="428"/>
        <v>-89.999987005609611</v>
      </c>
      <c r="AQ54" s="586">
        <f t="shared" si="246"/>
        <v>0.61570074386815088</v>
      </c>
      <c r="AS54" s="52">
        <f t="shared" si="406"/>
        <v>-264.19061383316387</v>
      </c>
      <c r="AT54" s="72">
        <f t="shared" si="247"/>
        <v>-1.9978096266705805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>Gage</v>
      </c>
      <c r="IG54" s="847">
        <f t="shared" si="210"/>
        <v>5.2320000000000002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5.1319999999999997</v>
      </c>
      <c r="II54" s="734" cm="1">
        <f t="array" ref="II54">IFERROR(ROUND(VALUE(IF($IH54&lt;1,$IH54+LARGE((IF($M$9:$M$150="",0,$M$9:$M$150)-MOD(IF($M$9:$M$150="",0,$M$9:$M$150),1)),1),$IH54)),4),"")</f>
        <v>5.1319999999999997</v>
      </c>
      <c r="IJ54" s="533">
        <f t="shared" si="112"/>
        <v>1613</v>
      </c>
      <c r="IK54" s="533" t="str">
        <f t="shared" si="382"/>
        <v>CPS-32193r1</v>
      </c>
      <c r="IL54" s="727">
        <f t="shared" si="225"/>
        <v>18.534597323935259</v>
      </c>
      <c r="IM54" s="759">
        <v>3.7233002314111997E-5</v>
      </c>
      <c r="IN54" s="5">
        <f t="shared" si="226"/>
        <v>0</v>
      </c>
      <c r="IO54" s="771">
        <v>0</v>
      </c>
      <c r="IP54" s="9">
        <f t="shared" si="227"/>
        <v>-3.6869111197239364</v>
      </c>
      <c r="IQ54" s="5">
        <f t="shared" si="228"/>
        <v>-2.1690065417237303</v>
      </c>
      <c r="IR54" s="5">
        <f t="shared" si="383"/>
        <v>0.314</v>
      </c>
      <c r="IS54" s="5">
        <f t="shared" si="229"/>
        <v>0.27193198865724588</v>
      </c>
      <c r="IT54" s="727">
        <f t="shared" si="230"/>
        <v>89.999987005609597</v>
      </c>
      <c r="IU54" s="9">
        <f t="shared" si="231"/>
        <v>-3.7025111667736788</v>
      </c>
      <c r="IV54" s="5">
        <f t="shared" si="232"/>
        <v>-2.1819065806302476</v>
      </c>
      <c r="IW54" s="5">
        <f t="shared" si="384"/>
        <v>0.25700000000000001</v>
      </c>
      <c r="IX54" s="5">
        <f t="shared" si="233"/>
        <v>0.25700000000000001</v>
      </c>
      <c r="IY54" s="762">
        <f t="shared" si="234"/>
        <v>89.999987005609668</v>
      </c>
    </row>
    <row r="55" spans="1:259" ht="15" customHeight="1" x14ac:dyDescent="0.25">
      <c r="A55" s="79"/>
      <c r="B55" s="707">
        <v>-2.2772210685013703</v>
      </c>
      <c r="C55" s="708">
        <v>1.3728029185944393</v>
      </c>
      <c r="D55" s="709">
        <v>-0.14090042495568167</v>
      </c>
      <c r="E55" s="710">
        <v>-0.61390791293990621</v>
      </c>
      <c r="F55" s="708">
        <v>-0.75358065056281198</v>
      </c>
      <c r="G55" s="711">
        <v>0.23501761109988678</v>
      </c>
      <c r="H55" s="710">
        <v>0.314</v>
      </c>
      <c r="I55" s="708">
        <v>0.52</v>
      </c>
      <c r="J55" s="570">
        <v>6.1130000000000004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6.1130000000000004</v>
      </c>
      <c r="N55" s="632">
        <f t="shared" si="240"/>
        <v>-2.2772210685013703</v>
      </c>
      <c r="O55" s="629">
        <f t="shared" si="241"/>
        <v>1.3728029185944393</v>
      </c>
      <c r="P55" s="633">
        <f t="shared" si="242"/>
        <v>-0.14090042495568167</v>
      </c>
      <c r="Q55" s="585">
        <f t="shared" si="113"/>
        <v>148.9166914934822</v>
      </c>
      <c r="R55" s="629">
        <f t="shared" si="410"/>
        <v>2.6590080195681871</v>
      </c>
      <c r="S55" s="634">
        <f t="shared" si="411"/>
        <v>-0.14090042495568167</v>
      </c>
      <c r="T55" s="635">
        <f t="shared" si="412"/>
        <v>1.3365034661312429</v>
      </c>
      <c r="U55" s="629">
        <f t="shared" si="413"/>
        <v>2.2987131472080429</v>
      </c>
      <c r="V55" s="636">
        <f t="shared" si="414"/>
        <v>-0.14090042495568167</v>
      </c>
      <c r="W55" s="585">
        <f t="shared" si="224"/>
        <v>59.825691362238857</v>
      </c>
      <c r="X55" s="629">
        <f t="shared" si="415"/>
        <v>2.6590080195681871</v>
      </c>
      <c r="Y55" s="630">
        <f t="shared" si="223"/>
        <v>-0.14090042495568167</v>
      </c>
      <c r="Z55" s="632">
        <f t="shared" si="243"/>
        <v>0.61390791293990621</v>
      </c>
      <c r="AA55" s="629">
        <f t="shared" si="244"/>
        <v>0.75358065056281198</v>
      </c>
      <c r="AB55" s="629">
        <f t="shared" si="245"/>
        <v>-0.23501761109988678</v>
      </c>
      <c r="AC55" s="636">
        <f t="shared" si="416"/>
        <v>1</v>
      </c>
      <c r="AD55" s="637">
        <f t="shared" si="417"/>
        <v>0.61390791293990621</v>
      </c>
      <c r="AE55" s="629">
        <f t="shared" si="418"/>
        <v>0.75358065056281198</v>
      </c>
      <c r="AF55" s="633">
        <f t="shared" si="419"/>
        <v>-0.23501761109988678</v>
      </c>
      <c r="AG55" s="602">
        <f t="shared" si="420"/>
        <v>72.678976106304802</v>
      </c>
      <c r="AH55" s="603">
        <f t="shared" si="421"/>
        <v>52.127389908779691</v>
      </c>
      <c r="AI55" s="585">
        <f t="shared" si="422"/>
        <v>-76.407339110092948</v>
      </c>
      <c r="AJ55" s="586">
        <f t="shared" si="423"/>
        <v>140.83186071772002</v>
      </c>
      <c r="AK55" s="635">
        <f t="shared" si="424"/>
        <v>0.9623304217503923</v>
      </c>
      <c r="AL55" s="629">
        <f t="shared" si="425"/>
        <v>-0.13669997017781188</v>
      </c>
      <c r="AM55" s="634">
        <f t="shared" si="426"/>
        <v>-0.23501761109988678</v>
      </c>
      <c r="AN55" s="581">
        <f t="shared" si="427"/>
        <v>-30.184783396444441</v>
      </c>
      <c r="AO55" s="582">
        <f>IF(ROUND(IF(M55="",0,DEGREES(ACOS(AK55))),4)=90,0,IF(M55="","",DEGREES(ACOS(AK55))))</f>
        <v>15.776324505550711</v>
      </c>
      <c r="AP55" s="585">
        <f t="shared" si="428"/>
        <v>-8.0848307757621711</v>
      </c>
      <c r="AQ55" s="586">
        <f t="shared" si="246"/>
        <v>0.85729583510069185</v>
      </c>
      <c r="AS55" s="52">
        <f t="shared" si="406"/>
        <v>-300.17430863776116</v>
      </c>
      <c r="AT55" s="72">
        <f t="shared" si="247"/>
        <v>6.8185205951622391E-2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6.1130000000000004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-2.7980510206408313</v>
      </c>
      <c r="C56" s="708">
        <v>1.7510730557349514</v>
      </c>
      <c r="D56" s="709">
        <v>-0.57600173722123882</v>
      </c>
      <c r="E56" s="710">
        <v>-0.74367053331530908</v>
      </c>
      <c r="F56" s="708">
        <v>-0.64041723636767811</v>
      </c>
      <c r="G56" s="711">
        <v>0.1918851251184141</v>
      </c>
      <c r="H56" s="710">
        <v>0.314</v>
      </c>
      <c r="I56" s="708">
        <v>0.52</v>
      </c>
      <c r="J56" s="570">
        <v>6.1189999999999998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6.1189999999999998</v>
      </c>
      <c r="N56" s="632">
        <f t="shared" si="240"/>
        <v>-2.7980510206408313</v>
      </c>
      <c r="O56" s="629">
        <f t="shared" si="241"/>
        <v>1.7510730557349514</v>
      </c>
      <c r="P56" s="633">
        <f t="shared" si="242"/>
        <v>-0.57600173722123882</v>
      </c>
      <c r="Q56" s="585">
        <f t="shared" si="113"/>
        <v>147.96089163148264</v>
      </c>
      <c r="R56" s="629">
        <f t="shared" si="410"/>
        <v>3.3008099552428245</v>
      </c>
      <c r="S56" s="634">
        <f t="shared" si="411"/>
        <v>-0.57600173722123882</v>
      </c>
      <c r="T56" s="635">
        <f t="shared" si="412"/>
        <v>1.7064633573512389</v>
      </c>
      <c r="U56" s="629">
        <f t="shared" si="413"/>
        <v>2.8254785737371422</v>
      </c>
      <c r="V56" s="636">
        <f t="shared" si="414"/>
        <v>-0.57600173722123882</v>
      </c>
      <c r="W56" s="585">
        <f t="shared" si="224"/>
        <v>58.869891500239291</v>
      </c>
      <c r="X56" s="629">
        <f t="shared" si="415"/>
        <v>3.3008099552428245</v>
      </c>
      <c r="Y56" s="630">
        <f t="shared" si="223"/>
        <v>-0.57600173722123882</v>
      </c>
      <c r="Z56" s="632">
        <f t="shared" si="243"/>
        <v>0.74367053331530908</v>
      </c>
      <c r="AA56" s="629">
        <f t="shared" si="244"/>
        <v>0.64041723636767811</v>
      </c>
      <c r="AB56" s="629">
        <f t="shared" si="245"/>
        <v>-0.1918851251184141</v>
      </c>
      <c r="AC56" s="636">
        <f t="shared" si="416"/>
        <v>1</v>
      </c>
      <c r="AD56" s="637">
        <f t="shared" si="417"/>
        <v>0.74367053331530908</v>
      </c>
      <c r="AE56" s="629">
        <f t="shared" si="418"/>
        <v>0.64041723636767811</v>
      </c>
      <c r="AF56" s="633">
        <f t="shared" si="419"/>
        <v>-0.1918851251184141</v>
      </c>
      <c r="AG56" s="602">
        <f t="shared" si="420"/>
        <v>73.320460564945719</v>
      </c>
      <c r="AH56" s="603">
        <f t="shared" si="421"/>
        <v>41.954965449477363</v>
      </c>
      <c r="AI56" s="585">
        <f t="shared" si="422"/>
        <v>-78.937181572961322</v>
      </c>
      <c r="AJ56" s="586">
        <f t="shared" si="423"/>
        <v>130.73362308644957</v>
      </c>
      <c r="AK56" s="635">
        <f t="shared" si="424"/>
        <v>0.9373885734234646</v>
      </c>
      <c r="AL56" s="629">
        <f t="shared" si="425"/>
        <v>-0.2906591838793548</v>
      </c>
      <c r="AM56" s="634">
        <f t="shared" si="426"/>
        <v>-0.1918851251184141</v>
      </c>
      <c r="AN56" s="581">
        <f t="shared" si="427"/>
        <v>-56.568315060175308</v>
      </c>
      <c r="AO56" s="582">
        <f t="shared" ref="AO56:AO119" si="461">IF(ROUND(IF(M56="",0,DEGREES(ACOS(AK56))),4)=90,0,IF(M56="","",DEGREES(ACOS(AK56))))</f>
        <v>20.382473287351626</v>
      </c>
      <c r="AP56" s="585">
        <f t="shared" si="428"/>
        <v>-17.227268545033077</v>
      </c>
      <c r="AQ56" s="586">
        <f t="shared" si="246"/>
        <v>0.69062328769740422</v>
      </c>
      <c r="AS56" s="52">
        <f t="shared" si="406"/>
        <v>-301.13010849976069</v>
      </c>
      <c r="AT56" s="72">
        <f t="shared" si="247"/>
        <v>-0.36625235640976839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6.1189999999999998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-3.0679780040260058</v>
      </c>
      <c r="C57" s="708">
        <v>1.9549698735710321</v>
      </c>
      <c r="D57" s="709">
        <v>-1.2746038442051941</v>
      </c>
      <c r="E57" s="710">
        <v>-0.85390316842633129</v>
      </c>
      <c r="F57" s="708">
        <v>-0.50944198785948946</v>
      </c>
      <c r="G57" s="711">
        <v>0.10638721707632172</v>
      </c>
      <c r="H57" s="710">
        <v>0.314</v>
      </c>
      <c r="I57" s="708">
        <v>0.52</v>
      </c>
      <c r="J57" s="570">
        <v>6.125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6.125</v>
      </c>
      <c r="N57" s="632">
        <f t="shared" si="240"/>
        <v>-3.0679780040260058</v>
      </c>
      <c r="O57" s="629">
        <f t="shared" si="241"/>
        <v>1.9549698735710321</v>
      </c>
      <c r="P57" s="633">
        <f t="shared" si="242"/>
        <v>-1.2746038442051941</v>
      </c>
      <c r="Q57" s="585">
        <f t="shared" si="113"/>
        <v>147.49399169889463</v>
      </c>
      <c r="R57" s="629">
        <f t="shared" si="410"/>
        <v>3.6379109719394909</v>
      </c>
      <c r="S57" s="634">
        <f t="shared" si="411"/>
        <v>-1.2746038442051941</v>
      </c>
      <c r="T57" s="635">
        <f t="shared" si="412"/>
        <v>1.9060522924516476</v>
      </c>
      <c r="U57" s="629">
        <f t="shared" si="413"/>
        <v>3.098606283185644</v>
      </c>
      <c r="V57" s="636">
        <f t="shared" si="414"/>
        <v>-1.2746038442051941</v>
      </c>
      <c r="W57" s="585">
        <f t="shared" si="224"/>
        <v>58.402991567651284</v>
      </c>
      <c r="X57" s="629">
        <f t="shared" si="415"/>
        <v>3.6379109719394909</v>
      </c>
      <c r="Y57" s="630">
        <f t="shared" si="223"/>
        <v>-1.2746038442051941</v>
      </c>
      <c r="Z57" s="632">
        <f t="shared" si="243"/>
        <v>0.85390316842633129</v>
      </c>
      <c r="AA57" s="629">
        <f t="shared" si="244"/>
        <v>0.50944198785948946</v>
      </c>
      <c r="AB57" s="629">
        <f t="shared" si="245"/>
        <v>-0.10638721707632172</v>
      </c>
      <c r="AC57" s="636">
        <f t="shared" si="416"/>
        <v>1</v>
      </c>
      <c r="AD57" s="637">
        <f t="shared" si="417"/>
        <v>0.85390316842633129</v>
      </c>
      <c r="AE57" s="629">
        <f t="shared" si="418"/>
        <v>0.50944198785948946</v>
      </c>
      <c r="AF57" s="633">
        <f t="shared" si="419"/>
        <v>-0.10638721707632172</v>
      </c>
      <c r="AG57" s="602">
        <f t="shared" si="420"/>
        <v>78.20439245650887</v>
      </c>
      <c r="AH57" s="603">
        <f t="shared" si="421"/>
        <v>31.361228013131242</v>
      </c>
      <c r="AI57" s="585">
        <f t="shared" si="422"/>
        <v>-83.892904044419538</v>
      </c>
      <c r="AJ57" s="586">
        <f t="shared" si="423"/>
        <v>120.82046835150275</v>
      </c>
      <c r="AK57" s="635">
        <f t="shared" si="424"/>
        <v>0.88850766476488952</v>
      </c>
      <c r="AL57" s="629">
        <f t="shared" si="425"/>
        <v>-0.44635847667183215</v>
      </c>
      <c r="AM57" s="634">
        <f t="shared" si="426"/>
        <v>-0.10638721707632172</v>
      </c>
      <c r="AN57" s="581">
        <f t="shared" si="427"/>
        <v>-76.593971848761612</v>
      </c>
      <c r="AO57" s="582">
        <f t="shared" si="461"/>
        <v>27.313684359921854</v>
      </c>
      <c r="AP57" s="585">
        <f t="shared" si="428"/>
        <v>-26.673523347391871</v>
      </c>
      <c r="AQ57" s="586">
        <f t="shared" si="246"/>
        <v>0.62663318403761259</v>
      </c>
      <c r="AS57" s="52">
        <f t="shared" si="406"/>
        <v>-301.59700843234873</v>
      </c>
      <c r="AT57" s="72">
        <f t="shared" si="247"/>
        <v>-1.0645302273294264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6.125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-3.1072596662528928</v>
      </c>
      <c r="C58" s="708">
        <v>1.9845027012382692</v>
      </c>
      <c r="D58" s="709">
        <v>-2.0541061951842856</v>
      </c>
      <c r="E58" s="710">
        <v>-0.88753413130899372</v>
      </c>
      <c r="F58" s="708">
        <v>-0.46074197308426018</v>
      </c>
      <c r="G58" s="711">
        <v>1.1339743381742591E-7</v>
      </c>
      <c r="H58" s="710">
        <v>0.314</v>
      </c>
      <c r="I58" s="708">
        <v>0.52</v>
      </c>
      <c r="J58" s="570">
        <v>6.1310000000000002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6.1310000000000002</v>
      </c>
      <c r="N58" s="632">
        <f t="shared" si="240"/>
        <v>-3.1072596662528928</v>
      </c>
      <c r="O58" s="629">
        <f t="shared" si="241"/>
        <v>1.9845027012382692</v>
      </c>
      <c r="P58" s="633">
        <f t="shared" si="242"/>
        <v>-2.0541061951842856</v>
      </c>
      <c r="Q58" s="585">
        <f t="shared" si="113"/>
        <v>147.43499170741319</v>
      </c>
      <c r="R58" s="629">
        <f t="shared" si="410"/>
        <v>3.6869111197239386</v>
      </c>
      <c r="S58" s="634">
        <f t="shared" si="411"/>
        <v>-2.0541061951842856</v>
      </c>
      <c r="T58" s="635">
        <f t="shared" si="412"/>
        <v>1.9349582244742805</v>
      </c>
      <c r="U58" s="629">
        <f t="shared" si="413"/>
        <v>3.1383515217839073</v>
      </c>
      <c r="V58" s="636">
        <f t="shared" si="414"/>
        <v>-2.0541061951842856</v>
      </c>
      <c r="W58" s="585">
        <f t="shared" si="224"/>
        <v>58.343991576169842</v>
      </c>
      <c r="X58" s="629">
        <f t="shared" si="415"/>
        <v>3.6869111197239386</v>
      </c>
      <c r="Y58" s="630">
        <f t="shared" si="223"/>
        <v>-2.0541061951842856</v>
      </c>
      <c r="Z58" s="632">
        <f t="shared" si="243"/>
        <v>0.88753413130899372</v>
      </c>
      <c r="AA58" s="629">
        <f t="shared" si="244"/>
        <v>0.46074197308426018</v>
      </c>
      <c r="AB58" s="629">
        <f t="shared" si="245"/>
        <v>-1.1339743381742591E-7</v>
      </c>
      <c r="AC58" s="636">
        <f t="shared" si="416"/>
        <v>1</v>
      </c>
      <c r="AD58" s="637">
        <f t="shared" si="417"/>
        <v>0.88753413130899372</v>
      </c>
      <c r="AE58" s="629">
        <f t="shared" si="418"/>
        <v>0.46074197308426018</v>
      </c>
      <c r="AF58" s="633">
        <f t="shared" si="419"/>
        <v>-1.1339743381742591E-7</v>
      </c>
      <c r="AG58" s="602">
        <f t="shared" si="420"/>
        <v>89.999985898410074</v>
      </c>
      <c r="AH58" s="603">
        <f t="shared" si="421"/>
        <v>27.434996038878001</v>
      </c>
      <c r="AI58" s="585">
        <f t="shared" si="422"/>
        <v>-89.999993502805637</v>
      </c>
      <c r="AJ58" s="586">
        <f t="shared" si="423"/>
        <v>117.4349960388773</v>
      </c>
      <c r="AK58" s="635">
        <f t="shared" si="424"/>
        <v>0.86602544158358574</v>
      </c>
      <c r="AL58" s="629">
        <f t="shared" si="425"/>
        <v>-0.49999993452993835</v>
      </c>
      <c r="AM58" s="634">
        <f t="shared" si="426"/>
        <v>-1.1339743381742591E-7</v>
      </c>
      <c r="AN58" s="581">
        <f t="shared" si="427"/>
        <v>-89.999987005609569</v>
      </c>
      <c r="AO58" s="582">
        <f t="shared" si="461"/>
        <v>29.99999566853651</v>
      </c>
      <c r="AP58" s="585">
        <f t="shared" si="428"/>
        <v>-29.999995668535892</v>
      </c>
      <c r="AQ58" s="586">
        <f t="shared" si="246"/>
        <v>0.61830569314593498</v>
      </c>
      <c r="AS58" s="52">
        <f t="shared" si="406"/>
        <v>-301.65600842383014</v>
      </c>
      <c r="AT58" s="72">
        <f t="shared" si="247"/>
        <v>-1.8439916060922115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6.1310000000000002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-2.0972162738542131</v>
      </c>
      <c r="C59" s="708">
        <v>2.5898469336428764</v>
      </c>
      <c r="D59" s="709">
        <v>-0.56830171399796914</v>
      </c>
      <c r="E59" s="710">
        <v>-0.35645108241790363</v>
      </c>
      <c r="F59" s="708">
        <v>0.44018015619384382</v>
      </c>
      <c r="G59" s="711">
        <v>0.82412623786424155</v>
      </c>
      <c r="H59" s="710">
        <v>0.25700000000000001</v>
      </c>
      <c r="I59" s="708">
        <v>0.41499999999999992</v>
      </c>
      <c r="J59" s="570">
        <v>6.2190000000000003</v>
      </c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CPS-32193r1</v>
      </c>
      <c r="L59" s="320"/>
      <c r="M59" s="168">
        <f t="shared" si="239"/>
        <v>6.2190000000000003</v>
      </c>
      <c r="N59" s="632">
        <f t="shared" si="240"/>
        <v>-2.0972162738542131</v>
      </c>
      <c r="O59" s="629">
        <f t="shared" si="241"/>
        <v>2.5898469336428764</v>
      </c>
      <c r="P59" s="633">
        <f t="shared" si="242"/>
        <v>-0.56830171399796914</v>
      </c>
      <c r="Q59" s="585">
        <f t="shared" si="113"/>
        <v>128.99999436909749</v>
      </c>
      <c r="R59" s="629">
        <f t="shared" si="79"/>
        <v>3.3325100508503138</v>
      </c>
      <c r="S59" s="634">
        <f t="shared" si="80"/>
        <v>-0.56830171399796914</v>
      </c>
      <c r="T59" s="635">
        <f t="shared" si="81"/>
        <v>2.5562499832776915</v>
      </c>
      <c r="U59" s="629">
        <f t="shared" si="82"/>
        <v>2.138038648390427</v>
      </c>
      <c r="V59" s="636">
        <f t="shared" si="114"/>
        <v>-0.56830171399796914</v>
      </c>
      <c r="W59" s="585">
        <f t="shared" si="224"/>
        <v>39.908994237854145</v>
      </c>
      <c r="X59" s="629">
        <f t="shared" si="83"/>
        <v>3.3325100508503138</v>
      </c>
      <c r="Y59" s="630">
        <f t="shared" si="223"/>
        <v>-0.56830171399796914</v>
      </c>
      <c r="Z59" s="632">
        <f t="shared" si="243"/>
        <v>0.35645108241790363</v>
      </c>
      <c r="AA59" s="629">
        <f t="shared" si="244"/>
        <v>-0.44018015619384382</v>
      </c>
      <c r="AB59" s="629">
        <f t="shared" si="245"/>
        <v>-0.82412623786424155</v>
      </c>
      <c r="AC59" s="636">
        <f t="shared" si="84"/>
        <v>1</v>
      </c>
      <c r="AD59" s="637">
        <f t="shared" si="115"/>
        <v>0.35645108241790363</v>
      </c>
      <c r="AE59" s="629">
        <f t="shared" si="85"/>
        <v>-0.44018015619384382</v>
      </c>
      <c r="AF59" s="633">
        <f t="shared" si="86"/>
        <v>-0.82412623786424155</v>
      </c>
      <c r="AG59" s="602">
        <f t="shared" si="87"/>
        <v>-28.107450364016696</v>
      </c>
      <c r="AH59" s="603">
        <f t="shared" si="88"/>
        <v>69.117595895093231</v>
      </c>
      <c r="AI59" s="585">
        <f t="shared" si="89"/>
        <v>-34.499995018819156</v>
      </c>
      <c r="AJ59" s="586">
        <f t="shared" si="90"/>
        <v>39.000017310921216</v>
      </c>
      <c r="AK59" s="635">
        <f t="shared" si="211"/>
        <v>2.2679489675159203E-7</v>
      </c>
      <c r="AL59" s="629">
        <f t="shared" si="91"/>
        <v>-0.56640616527689769</v>
      </c>
      <c r="AM59" s="634">
        <f t="shared" si="92"/>
        <v>-0.82412623786424155</v>
      </c>
      <c r="AN59" s="581">
        <f t="shared" si="93"/>
        <v>-34.499995018817025</v>
      </c>
      <c r="AO59" s="582">
        <f t="shared" si="461"/>
        <v>0</v>
      </c>
      <c r="AP59" s="585">
        <f t="shared" si="95"/>
        <v>-89.999977058176285</v>
      </c>
      <c r="AQ59" s="586">
        <f t="shared" si="246"/>
        <v>0.68405444511712243</v>
      </c>
      <c r="AS59" s="52">
        <f t="shared" si="406"/>
        <v>-320.09100576214587</v>
      </c>
      <c r="AT59" s="72">
        <f t="shared" si="247"/>
        <v>-0.34538504342095344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6.2190000000000003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0.11899999999999999</v>
      </c>
      <c r="II59" s="734" cm="1">
        <f t="array" ref="II59">IFERROR(ROUND(VALUE(IF($IH59&lt;1,$IH59+LARGE((IF($M$9:$M$150="",0,$M$9:$M$150)-MOD(IF($M$9:$M$150="",0,$M$9:$M$150),1)),1),$IH59)),4),"")</f>
        <v>6.1189999999999998</v>
      </c>
      <c r="IJ59" s="533">
        <f t="shared" si="112"/>
        <v>1613</v>
      </c>
      <c r="IK59" s="533" t="str">
        <f>IF(ISNUMBER($II59),INDEX($K$9:$K$150,MATCH($IG59,$M$9:$M$150,0)),"")</f>
        <v>CPS-32193r1</v>
      </c>
      <c r="IL59" s="727">
        <f t="shared" si="225"/>
        <v>18.960897262385146</v>
      </c>
      <c r="IM59" s="759">
        <v>5.7903251948550399E-3</v>
      </c>
      <c r="IN59" s="5">
        <f t="shared" si="226"/>
        <v>0.18</v>
      </c>
      <c r="IO59" s="771">
        <v>90</v>
      </c>
      <c r="IP59" s="9">
        <f t="shared" si="227"/>
        <v>-3.3008099552428245</v>
      </c>
      <c r="IQ59" s="5">
        <f t="shared" si="228"/>
        <v>-0.57600173722123882</v>
      </c>
      <c r="IR59" s="5">
        <f t="shared" si="383"/>
        <v>0.314</v>
      </c>
      <c r="IS59" s="5">
        <f t="shared" si="229"/>
        <v>0.2943400120549679</v>
      </c>
      <c r="IT59" s="727">
        <f t="shared" si="230"/>
        <v>56.568315060175308</v>
      </c>
      <c r="IU59" s="9">
        <f t="shared" si="231"/>
        <v>-3.3325100508503138</v>
      </c>
      <c r="IV59" s="5">
        <f t="shared" si="232"/>
        <v>-0.56830171399796914</v>
      </c>
      <c r="IW59" s="5">
        <f t="shared" si="384"/>
        <v>0.25700000000000001</v>
      </c>
      <c r="IX59" s="5">
        <f t="shared" si="233"/>
        <v>0.25700000000000001</v>
      </c>
      <c r="IY59" s="762">
        <f t="shared" si="234"/>
        <v>34.499995018817025</v>
      </c>
    </row>
    <row r="60" spans="1:259" ht="15" customHeight="1" x14ac:dyDescent="0.25">
      <c r="A60" s="79"/>
      <c r="B60" s="707">
        <v>-2.3213239490385424</v>
      </c>
      <c r="C60" s="708">
        <v>2.8295589641902628</v>
      </c>
      <c r="D60" s="709">
        <v>-1.2819038662220608</v>
      </c>
      <c r="E60" s="710">
        <v>-0.53433139916927208</v>
      </c>
      <c r="F60" s="708">
        <v>0.65131855936988414</v>
      </c>
      <c r="G60" s="711">
        <v>0.53877090686315554</v>
      </c>
      <c r="H60" s="710">
        <v>0.25700000000000001</v>
      </c>
      <c r="I60" s="708">
        <v>0.41499999999999992</v>
      </c>
      <c r="J60" s="570">
        <v>6.2249999999999996</v>
      </c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CPS-32193r1</v>
      </c>
      <c r="L60" s="320"/>
      <c r="M60" s="168">
        <f t="shared" si="239"/>
        <v>6.2249999999999996</v>
      </c>
      <c r="N60" s="632">
        <f t="shared" si="240"/>
        <v>-2.3213239490385424</v>
      </c>
      <c r="O60" s="629">
        <f t="shared" si="241"/>
        <v>2.8295589641902628</v>
      </c>
      <c r="P60" s="633">
        <f t="shared" si="242"/>
        <v>-1.2819038662220608</v>
      </c>
      <c r="Q60" s="585">
        <f t="shared" si="113"/>
        <v>129.36489431641249</v>
      </c>
      <c r="R60" s="629">
        <f t="shared" si="79"/>
        <v>3.6599110382916913</v>
      </c>
      <c r="S60" s="634">
        <f t="shared" si="80"/>
        <v>-1.2819038662220608</v>
      </c>
      <c r="T60" s="635">
        <f t="shared" si="81"/>
        <v>2.7923765185393949</v>
      </c>
      <c r="U60" s="629">
        <f t="shared" si="82"/>
        <v>2.3659210018339945</v>
      </c>
      <c r="V60" s="636">
        <f t="shared" si="114"/>
        <v>-1.2819038662220608</v>
      </c>
      <c r="W60" s="585">
        <f t="shared" si="224"/>
        <v>40.273894185169141</v>
      </c>
      <c r="X60" s="629">
        <f t="shared" si="83"/>
        <v>3.6599110382916913</v>
      </c>
      <c r="Y60" s="630">
        <f t="shared" si="223"/>
        <v>-1.2819038662220608</v>
      </c>
      <c r="Z60" s="632">
        <f t="shared" si="243"/>
        <v>0.53433139916927208</v>
      </c>
      <c r="AA60" s="629">
        <f t="shared" si="244"/>
        <v>-0.65131855936988414</v>
      </c>
      <c r="AB60" s="629">
        <f t="shared" si="245"/>
        <v>-0.53877090686315554</v>
      </c>
      <c r="AC60" s="636">
        <f t="shared" si="84"/>
        <v>1</v>
      </c>
      <c r="AD60" s="637">
        <f t="shared" si="115"/>
        <v>0.53433139916927208</v>
      </c>
      <c r="AE60" s="629">
        <f t="shared" si="85"/>
        <v>-0.65131855936988414</v>
      </c>
      <c r="AF60" s="633">
        <f t="shared" si="86"/>
        <v>-0.53877090686315554</v>
      </c>
      <c r="AG60" s="602">
        <f t="shared" si="87"/>
        <v>-50.402437236977562</v>
      </c>
      <c r="AH60" s="603">
        <f t="shared" si="88"/>
        <v>57.70142009229172</v>
      </c>
      <c r="AI60" s="585">
        <f t="shared" si="89"/>
        <v>-57.399991712467539</v>
      </c>
      <c r="AJ60" s="586">
        <f t="shared" si="90"/>
        <v>39.364909740894184</v>
      </c>
      <c r="AK60" s="635">
        <f t="shared" si="211"/>
        <v>2.2679489636301398E-7</v>
      </c>
      <c r="AL60" s="629">
        <f t="shared" si="91"/>
        <v>-0.84245231907675455</v>
      </c>
      <c r="AM60" s="634">
        <f t="shared" si="92"/>
        <v>-0.53877090686315554</v>
      </c>
      <c r="AN60" s="581">
        <f t="shared" si="93"/>
        <v>-57.399991712466608</v>
      </c>
      <c r="AO60" s="582">
        <f t="shared" si="461"/>
        <v>0</v>
      </c>
      <c r="AP60" s="585">
        <f t="shared" si="95"/>
        <v>-89.999984575518297</v>
      </c>
      <c r="AQ60" s="586">
        <f t="shared" si="246"/>
        <v>0.62286673122722058</v>
      </c>
      <c r="AS60" s="52">
        <f t="shared" si="406"/>
        <v>-319.72610581483087</v>
      </c>
      <c r="AT60" s="72">
        <f t="shared" si="247"/>
        <v>-1.0592405983862361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>Gage</v>
      </c>
      <c r="IG60" s="847">
        <f t="shared" si="210"/>
        <v>6.2249999999999996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0.125</v>
      </c>
      <c r="II60" s="734" cm="1">
        <f t="array" ref="II60">IFERROR(ROUND(VALUE(IF($IH60&lt;1,$IH60+LARGE((IF($M$9:$M$150="",0,$M$9:$M$150)-MOD(IF($M$9:$M$150="",0,$M$9:$M$150),1)),1),$IH60)),4),"")</f>
        <v>6.125</v>
      </c>
      <c r="IJ60" s="533">
        <f t="shared" si="112"/>
        <v>1613</v>
      </c>
      <c r="IK60" s="533" t="str">
        <f t="shared" si="382"/>
        <v>CPS-32193r1</v>
      </c>
      <c r="IL60" s="727">
        <f t="shared" si="225"/>
        <v>18.129097382482144</v>
      </c>
      <c r="IM60" s="759">
        <v>1.51252935870098E-3</v>
      </c>
      <c r="IN60" s="5">
        <f t="shared" si="226"/>
        <v>0</v>
      </c>
      <c r="IO60" s="771">
        <v>0</v>
      </c>
      <c r="IP60" s="9">
        <f t="shared" si="227"/>
        <v>-3.6379109719394909</v>
      </c>
      <c r="IQ60" s="5">
        <f t="shared" si="228"/>
        <v>-1.2746038442051941</v>
      </c>
      <c r="IR60" s="5">
        <f t="shared" si="383"/>
        <v>0.314</v>
      </c>
      <c r="IS60" s="5">
        <f t="shared" si="229"/>
        <v>0.27899140673617528</v>
      </c>
      <c r="IT60" s="727">
        <f t="shared" si="230"/>
        <v>76.593971848761612</v>
      </c>
      <c r="IU60" s="9">
        <f t="shared" si="231"/>
        <v>-3.6599110382916913</v>
      </c>
      <c r="IV60" s="5">
        <f t="shared" si="232"/>
        <v>-1.2819038662220608</v>
      </c>
      <c r="IW60" s="5">
        <f t="shared" si="384"/>
        <v>0.25700000000000001</v>
      </c>
      <c r="IX60" s="5">
        <f t="shared" si="233"/>
        <v>0.25700000000000001</v>
      </c>
      <c r="IY60" s="762">
        <f t="shared" si="234"/>
        <v>57.399991712466608</v>
      </c>
    </row>
    <row r="61" spans="1:259" ht="15" customHeight="1" x14ac:dyDescent="0.25">
      <c r="A61" s="79"/>
      <c r="B61" s="707">
        <v>-2.3250600670966755</v>
      </c>
      <c r="C61" s="708">
        <v>2.8814379438877733</v>
      </c>
      <c r="D61" s="709">
        <v>-2.0670062340908024</v>
      </c>
      <c r="E61" s="710">
        <v>-0.62796859100846547</v>
      </c>
      <c r="F61" s="708">
        <v>0.77823868363554849</v>
      </c>
      <c r="G61" s="711">
        <v>2.2679489724587369E-7</v>
      </c>
      <c r="H61" s="710">
        <v>0.25700000000000001</v>
      </c>
      <c r="I61" s="708">
        <v>0.41499999999999992</v>
      </c>
      <c r="J61" s="570">
        <v>6.2309999999999999</v>
      </c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CPS-32193r1</v>
      </c>
      <c r="L61" s="320"/>
      <c r="M61" s="168">
        <f t="shared" si="239"/>
        <v>6.2309999999999999</v>
      </c>
      <c r="N61" s="632">
        <f t="shared" si="240"/>
        <v>-2.3250600670966755</v>
      </c>
      <c r="O61" s="629">
        <f t="shared" si="241"/>
        <v>2.8814379438877733</v>
      </c>
      <c r="P61" s="633">
        <f t="shared" si="242"/>
        <v>-2.0670062340908024</v>
      </c>
      <c r="Q61" s="585">
        <f t="shared" si="113"/>
        <v>128.90039438347796</v>
      </c>
      <c r="R61" s="629">
        <f t="shared" si="79"/>
        <v>3.7025111667736796</v>
      </c>
      <c r="S61" s="634">
        <f t="shared" si="80"/>
        <v>-2.0670062340908024</v>
      </c>
      <c r="T61" s="635">
        <f t="shared" si="81"/>
        <v>2.8441896982386505</v>
      </c>
      <c r="U61" s="629">
        <f t="shared" si="82"/>
        <v>2.3704796773051924</v>
      </c>
      <c r="V61" s="636">
        <f t="shared" si="114"/>
        <v>-2.0670062340908024</v>
      </c>
      <c r="W61" s="585">
        <f t="shared" si="224"/>
        <v>39.809394252234611</v>
      </c>
      <c r="X61" s="629">
        <f t="shared" si="83"/>
        <v>3.7025111667736796</v>
      </c>
      <c r="Y61" s="630">
        <f t="shared" si="223"/>
        <v>-2.0670062340908024</v>
      </c>
      <c r="Z61" s="632">
        <f t="shared" si="243"/>
        <v>0.62796859100846547</v>
      </c>
      <c r="AA61" s="629">
        <f t="shared" si="244"/>
        <v>-0.77823868363554849</v>
      </c>
      <c r="AB61" s="629">
        <f t="shared" si="245"/>
        <v>-2.2679489724587369E-7</v>
      </c>
      <c r="AC61" s="636">
        <f t="shared" si="84"/>
        <v>1</v>
      </c>
      <c r="AD61" s="637">
        <f t="shared" si="115"/>
        <v>0.62796859100846547</v>
      </c>
      <c r="AE61" s="629">
        <f t="shared" si="85"/>
        <v>-0.77823868363554849</v>
      </c>
      <c r="AF61" s="633">
        <f t="shared" si="86"/>
        <v>-2.2679489724587369E-7</v>
      </c>
      <c r="AG61" s="602">
        <f t="shared" si="87"/>
        <v>-89.999983302821235</v>
      </c>
      <c r="AH61" s="603">
        <f t="shared" si="88"/>
        <v>51.099592622132832</v>
      </c>
      <c r="AI61" s="585">
        <f t="shared" si="89"/>
        <v>-89.999987005609569</v>
      </c>
      <c r="AJ61" s="586">
        <f t="shared" si="90"/>
        <v>38.900407377868362</v>
      </c>
      <c r="AK61" s="635">
        <f t="shared" si="211"/>
        <v>2.2679489680710319E-7</v>
      </c>
      <c r="AL61" s="629">
        <f t="shared" si="91"/>
        <v>-0.99999999999994871</v>
      </c>
      <c r="AM61" s="634">
        <f t="shared" si="92"/>
        <v>-2.2679489724587369E-7</v>
      </c>
      <c r="AN61" s="581">
        <f t="shared" si="93"/>
        <v>-89.999987005609583</v>
      </c>
      <c r="AO61" s="582">
        <f t="shared" si="461"/>
        <v>0</v>
      </c>
      <c r="AP61" s="585">
        <f t="shared" si="95"/>
        <v>-89.999987005609611</v>
      </c>
      <c r="AQ61" s="586">
        <f t="shared" si="246"/>
        <v>0.61570074386815066</v>
      </c>
      <c r="AS61" s="52">
        <f t="shared" si="406"/>
        <v>-320.1906057477654</v>
      </c>
      <c r="AT61" s="72">
        <f t="shared" si="247"/>
        <v>-1.8440203968571065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>Gage</v>
      </c>
      <c r="IG61" s="847">
        <f t="shared" si="210"/>
        <v>6.2309999999999999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0.13100000000000001</v>
      </c>
      <c r="II61" s="734" cm="1">
        <f t="array" ref="II61">IFERROR(ROUND(VALUE(IF($IH61&lt;1,$IH61+LARGE((IF($M$9:$M$150="",0,$M$9:$M$150)-MOD(IF($M$9:$M$150="",0,$M$9:$M$150),1)),1),$IH61)),4),"")</f>
        <v>6.1310000000000002</v>
      </c>
      <c r="IJ61" s="533">
        <f t="shared" si="112"/>
        <v>1613</v>
      </c>
      <c r="IK61" s="533" t="str">
        <f t="shared" si="382"/>
        <v>CPS-32193r1</v>
      </c>
      <c r="IL61" s="727">
        <f t="shared" si="225"/>
        <v>18.53459732393523</v>
      </c>
      <c r="IM61" s="759">
        <v>3.7233002307056802E-5</v>
      </c>
      <c r="IN61" s="5">
        <f t="shared" si="226"/>
        <v>0</v>
      </c>
      <c r="IO61" s="771">
        <v>0</v>
      </c>
      <c r="IP61" s="9">
        <f t="shared" si="227"/>
        <v>-3.6869111197239386</v>
      </c>
      <c r="IQ61" s="5">
        <f t="shared" si="228"/>
        <v>-2.0541061951842856</v>
      </c>
      <c r="IR61" s="5">
        <f t="shared" si="383"/>
        <v>0.314</v>
      </c>
      <c r="IS61" s="5">
        <f t="shared" si="229"/>
        <v>0.27193198865724594</v>
      </c>
      <c r="IT61" s="727">
        <f t="shared" si="230"/>
        <v>89.999987005609569</v>
      </c>
      <c r="IU61" s="9">
        <f t="shared" si="231"/>
        <v>-3.7025111667736796</v>
      </c>
      <c r="IV61" s="5">
        <f t="shared" si="232"/>
        <v>-2.0670062340908024</v>
      </c>
      <c r="IW61" s="5">
        <f t="shared" si="384"/>
        <v>0.25700000000000001</v>
      </c>
      <c r="IX61" s="5">
        <f t="shared" si="233"/>
        <v>0.25700000000000001</v>
      </c>
      <c r="IY61" s="762">
        <f t="shared" si="234"/>
        <v>89.999987005609583</v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8.852130215629557E-2</v>
      </c>
      <c r="G154" s="170">
        <f t="shared" si="929"/>
        <v>-0.33036604714967344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6.6987279208207184E-2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5.0271535051510788E-2</v>
      </c>
      <c r="G156" s="170">
        <f t="shared" si="929"/>
        <v>-0.2538898421988795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0.96115222939803513</v>
      </c>
      <c r="F157" s="170">
        <f t="shared" si="929"/>
        <v>-0.12713249436304336</v>
      </c>
      <c r="G157" s="170">
        <f t="shared" si="929"/>
        <v>-0.24499738937429033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0.93431531721094707</v>
      </c>
      <c r="F158" s="170">
        <f t="shared" si="929"/>
        <v>-0.29514909530410416</v>
      </c>
      <c r="G158" s="170">
        <f t="shared" si="929"/>
        <v>-0.1998546961324057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0.88476121279145259</v>
      </c>
      <c r="F159" s="170">
        <f t="shared" si="929"/>
        <v>-0.45069575733765771</v>
      </c>
      <c r="G159" s="170">
        <f t="shared" si="929"/>
        <v>-0.11862095370394438</v>
      </c>
      <c r="H159" s="139"/>
      <c r="I159" s="86"/>
      <c r="J159" s="79">
        <f t="shared" si="930"/>
        <v>1.1240000000000001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0.84278140031771642</v>
      </c>
      <c r="F160" s="170">
        <f t="shared" si="929"/>
        <v>-0.53825599047153783</v>
      </c>
      <c r="G160" s="170">
        <f t="shared" si="929"/>
        <v>-1.1339743348047648E-7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0.83436064895461359</v>
      </c>
      <c r="F161" s="170">
        <f t="shared" si="929"/>
        <v>-0.44852539122902285</v>
      </c>
      <c r="G161" s="170">
        <f t="shared" si="929"/>
        <v>-0.32041735424113377</v>
      </c>
      <c r="H161" s="139"/>
      <c r="I161" s="86"/>
      <c r="J161" s="79">
        <f t="shared" si="930"/>
        <v>1.212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0.76658652147053274</v>
      </c>
      <c r="F162" s="170">
        <f t="shared" si="929"/>
        <v>-0.59200780553881116</v>
      </c>
      <c r="G162" s="170">
        <f t="shared" si="929"/>
        <v>-0.24874055415398127</v>
      </c>
      <c r="H162" s="139"/>
      <c r="I162" s="86"/>
      <c r="J162" s="79">
        <f t="shared" si="930"/>
        <v>1.218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-0.28325273916114929</v>
      </c>
      <c r="F163" s="170">
        <f t="shared" si="929"/>
        <v>-0.75340678371732617</v>
      </c>
      <c r="G163" s="170">
        <f t="shared" si="929"/>
        <v>-0.59341899531984998</v>
      </c>
      <c r="H163" s="139"/>
      <c r="I163" s="86"/>
      <c r="J163" s="79">
        <f t="shared" si="930"/>
        <v>1.224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-0.3599900336721219</v>
      </c>
      <c r="F164" s="170">
        <f t="shared" si="929"/>
        <v>-0.93295614883910449</v>
      </c>
      <c r="G164" s="170">
        <f t="shared" si="929"/>
        <v>-2.2679489633423987E-7</v>
      </c>
      <c r="H164" s="139"/>
      <c r="I164" s="86"/>
      <c r="J164" s="79">
        <f t="shared" si="930"/>
        <v>1.23</v>
      </c>
    </row>
    <row r="165" spans="5:16" x14ac:dyDescent="0.25">
      <c r="E165" s="170">
        <f t="shared" si="929"/>
        <v>0.45733358446225986</v>
      </c>
      <c r="F165" s="170">
        <f t="shared" si="929"/>
        <v>-0.8525782579904051</v>
      </c>
      <c r="G165" s="170">
        <f t="shared" si="929"/>
        <v>-0.25289584125672615</v>
      </c>
      <c r="H165" s="139"/>
      <c r="I165" s="86"/>
      <c r="J165" s="79">
        <f t="shared" si="930"/>
        <v>2.1110000000000002</v>
      </c>
    </row>
    <row r="166" spans="5:16" x14ac:dyDescent="0.25">
      <c r="E166" s="170">
        <f t="shared" si="929"/>
        <v>0.30634558908872239</v>
      </c>
      <c r="F166" s="170">
        <f t="shared" si="929"/>
        <v>-0.92949528969156847</v>
      </c>
      <c r="G166" s="170">
        <f t="shared" si="929"/>
        <v>-0.20540420270060433</v>
      </c>
      <c r="H166" s="139"/>
      <c r="I166" s="86"/>
      <c r="J166" s="79">
        <f t="shared" si="930"/>
        <v>2.117</v>
      </c>
    </row>
    <row r="167" spans="5:16" x14ac:dyDescent="0.25">
      <c r="E167" s="170">
        <f t="shared" si="929"/>
        <v>0.14428291619969241</v>
      </c>
      <c r="F167" s="170">
        <f t="shared" si="929"/>
        <v>-0.98001765418559605</v>
      </c>
      <c r="G167" s="170">
        <f t="shared" si="929"/>
        <v>-0.13692274309797486</v>
      </c>
      <c r="H167" s="139"/>
      <c r="I167" s="86"/>
      <c r="J167" s="79">
        <f t="shared" si="930"/>
        <v>2.1230000000000002</v>
      </c>
    </row>
    <row r="168" spans="5:16" x14ac:dyDescent="0.25">
      <c r="E168" s="170">
        <f t="shared" si="929"/>
        <v>2.5042172658557578E-2</v>
      </c>
      <c r="F168" s="170">
        <f t="shared" si="929"/>
        <v>-0.99968639562040962</v>
      </c>
      <c r="G168" s="170">
        <f t="shared" si="929"/>
        <v>-1.1339743353153852E-7</v>
      </c>
      <c r="H168" s="139"/>
      <c r="I168" s="86"/>
      <c r="J168" s="79">
        <f t="shared" si="930"/>
        <v>2.129</v>
      </c>
    </row>
    <row r="169" spans="5:16" x14ac:dyDescent="0.25">
      <c r="E169" s="170">
        <f t="shared" si="929"/>
        <v>-0.44217708332380584</v>
      </c>
      <c r="F169" s="170">
        <f t="shared" si="929"/>
        <v>-9.5794250726952218E-2</v>
      </c>
      <c r="G169" s="170">
        <f t="shared" si="929"/>
        <v>-0.89179756027414314</v>
      </c>
      <c r="H169" s="139"/>
      <c r="I169" s="86"/>
      <c r="J169" s="79">
        <f t="shared" si="930"/>
        <v>2.2170000000000001</v>
      </c>
    </row>
    <row r="170" spans="5:16" x14ac:dyDescent="0.25">
      <c r="E170" s="170">
        <f t="shared" si="929"/>
        <v>-0.74331137929035318</v>
      </c>
      <c r="F170" s="170">
        <f t="shared" si="929"/>
        <v>-0.17570555779419236</v>
      </c>
      <c r="G170" s="170">
        <f t="shared" si="929"/>
        <v>-0.6454577835751184</v>
      </c>
      <c r="H170" s="139"/>
      <c r="I170" s="86"/>
      <c r="J170" s="79">
        <f t="shared" si="930"/>
        <v>2.2229999999999999</v>
      </c>
    </row>
    <row r="171" spans="5:16" x14ac:dyDescent="0.25">
      <c r="E171" s="170">
        <f t="shared" si="929"/>
        <v>-0.97475974411225386</v>
      </c>
      <c r="F171" s="170">
        <f t="shared" si="929"/>
        <v>-0.22325644729360483</v>
      </c>
      <c r="G171" s="170">
        <f t="shared" si="929"/>
        <v>-2.2679489701100133E-7</v>
      </c>
      <c r="H171" s="139"/>
      <c r="I171" s="86"/>
      <c r="J171" s="79">
        <f t="shared" si="930"/>
        <v>2.2290000000000001</v>
      </c>
      <c r="O171" t="str">
        <f>IF($J24="","",IFERROR(INDEX(_xlfn.ANCHORARRAY(Settings!$BC$14),MATCH(IFERROR(INDEX(Settings!$AK$14:$AK$32,MATCH((((ROUND($H24,6)*2)*1000000)+ROUND($I24,6)),Settings!$AI$14:$AI$32,0)),"Undefined"),_xlfn.ANCHORARRAY(Settings!$BC$14),0)),"Inactive"))</f>
        <v>CPS-32193r1</v>
      </c>
    </row>
    <row r="172" spans="5:16" x14ac:dyDescent="0.25">
      <c r="E172" s="170">
        <f t="shared" si="929"/>
        <v>-0.42495075868149662</v>
      </c>
      <c r="F172" s="170">
        <f t="shared" si="929"/>
        <v>-0.87000969481008184</v>
      </c>
      <c r="G172" s="170">
        <f t="shared" si="929"/>
        <v>-0.2499999672649757</v>
      </c>
      <c r="H172" s="139"/>
      <c r="I172" s="86"/>
      <c r="J172" s="79">
        <f t="shared" si="930"/>
        <v>3.1030000000000002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-0.42495075868149673</v>
      </c>
      <c r="F173" s="170">
        <f t="shared" si="929"/>
        <v>-0.87000969481008172</v>
      </c>
      <c r="G173" s="170">
        <f t="shared" si="929"/>
        <v>-0.2499999672649757</v>
      </c>
      <c r="H173" s="139"/>
      <c r="I173" s="86"/>
      <c r="J173" s="79">
        <f t="shared" si="930"/>
        <v>3.1059999999999999</v>
      </c>
      <c r="O173" t="str">
        <f>IF($J24="","",IFERROR(INDEX(Settings!$AK$14:$AK$32,MATCH((((ROUND($H24,6)*2)*1000000)+ROUND($I24,6)),Settings!$AI$14:$AI$32,0)),"Undefined"))</f>
        <v>CPS-32193r1</v>
      </c>
    </row>
    <row r="174" spans="5:16" x14ac:dyDescent="0.25">
      <c r="E174" s="170">
        <f t="shared" ref="E174:G193" si="933">E29*-1</f>
        <v>-0.54072642560476181</v>
      </c>
      <c r="F174" s="170">
        <f t="shared" si="933"/>
        <v>-0.80059624759117443</v>
      </c>
      <c r="G174" s="170">
        <f t="shared" si="933"/>
        <v>-0.25818710462691369</v>
      </c>
      <c r="H174" s="139"/>
      <c r="I174" s="86"/>
      <c r="J174" s="79">
        <f t="shared" si="930"/>
        <v>3.11</v>
      </c>
    </row>
    <row r="175" spans="5:16" x14ac:dyDescent="0.25">
      <c r="E175" s="170">
        <f t="shared" si="933"/>
        <v>-0.67904308753029707</v>
      </c>
      <c r="F175" s="170">
        <f t="shared" si="933"/>
        <v>-0.70389054562942599</v>
      </c>
      <c r="G175" s="170">
        <f t="shared" si="933"/>
        <v>-0.20841925307137604</v>
      </c>
      <c r="H175" s="139"/>
      <c r="I175" s="86"/>
      <c r="J175" s="79">
        <f t="shared" si="930"/>
        <v>3.1160000000000001</v>
      </c>
    </row>
    <row r="176" spans="5:16" x14ac:dyDescent="0.25">
      <c r="E176" s="170">
        <f t="shared" si="933"/>
        <v>-0.80096711722681257</v>
      </c>
      <c r="F176" s="170">
        <f t="shared" si="933"/>
        <v>-0.57866545935251423</v>
      </c>
      <c r="G176" s="170">
        <f t="shared" si="933"/>
        <v>-0.1536162858349121</v>
      </c>
      <c r="H176" s="139"/>
      <c r="I176" s="86"/>
      <c r="J176" s="79">
        <f t="shared" si="930"/>
        <v>3.1219999999999999</v>
      </c>
    </row>
    <row r="177" spans="5:10" x14ac:dyDescent="0.25">
      <c r="E177" s="170">
        <f t="shared" si="933"/>
        <v>-0.88753434029675882</v>
      </c>
      <c r="F177" s="170">
        <f t="shared" si="933"/>
        <v>-0.46074157050778952</v>
      </c>
      <c r="G177" s="170">
        <f t="shared" si="933"/>
        <v>-1.1339743404472288E-7</v>
      </c>
      <c r="H177" s="139"/>
      <c r="I177" s="86"/>
      <c r="J177" s="79">
        <f t="shared" si="930"/>
        <v>3.1280000000000001</v>
      </c>
    </row>
    <row r="178" spans="5:10" x14ac:dyDescent="0.25">
      <c r="E178" s="170">
        <f t="shared" si="933"/>
        <v>-0.74818930669042416</v>
      </c>
      <c r="F178" s="170">
        <f t="shared" si="933"/>
        <v>-0.57023965739964944</v>
      </c>
      <c r="G178" s="170">
        <f t="shared" si="933"/>
        <v>-0.33917472559557421</v>
      </c>
      <c r="H178" s="139"/>
      <c r="I178" s="86"/>
      <c r="J178" s="79">
        <f t="shared" si="930"/>
        <v>3.21</v>
      </c>
    </row>
    <row r="179" spans="5:10" x14ac:dyDescent="0.25">
      <c r="E179" s="170">
        <f t="shared" si="933"/>
        <v>-0.87138991561834622</v>
      </c>
      <c r="F179" s="170">
        <f t="shared" si="933"/>
        <v>-0.41199987442480035</v>
      </c>
      <c r="G179" s="170">
        <f t="shared" si="933"/>
        <v>-0.26633760236324189</v>
      </c>
      <c r="H179" s="139"/>
      <c r="I179" s="86"/>
      <c r="J179" s="79">
        <f t="shared" si="930"/>
        <v>3.2160000000000002</v>
      </c>
    </row>
    <row r="180" spans="5:10" x14ac:dyDescent="0.25">
      <c r="E180" s="170">
        <f t="shared" si="933"/>
        <v>-0.45431179937053406</v>
      </c>
      <c r="F180" s="170">
        <f t="shared" si="933"/>
        <v>0.5577189448613028</v>
      </c>
      <c r="G180" s="170">
        <f t="shared" si="933"/>
        <v>-0.69465845384296798</v>
      </c>
      <c r="H180" s="139"/>
      <c r="I180" s="86"/>
      <c r="J180" s="79">
        <f t="shared" si="930"/>
        <v>3.222</v>
      </c>
    </row>
    <row r="181" spans="5:10" x14ac:dyDescent="0.25">
      <c r="E181" s="170">
        <f t="shared" si="933"/>
        <v>-0.62796823800727708</v>
      </c>
      <c r="F181" s="170">
        <f t="shared" si="933"/>
        <v>0.77823896847561203</v>
      </c>
      <c r="G181" s="170">
        <f t="shared" si="933"/>
        <v>-2.2679489709822973E-7</v>
      </c>
      <c r="H181" s="139"/>
      <c r="I181" s="86"/>
      <c r="J181" s="79">
        <f t="shared" si="930"/>
        <v>3.2280000000000002</v>
      </c>
    </row>
    <row r="182" spans="5:10" x14ac:dyDescent="0.25">
      <c r="E182" s="170">
        <f t="shared" si="933"/>
        <v>-0.96458042631082197</v>
      </c>
      <c r="F182" s="170">
        <f t="shared" si="933"/>
        <v>3.8218014805665348E-2</v>
      </c>
      <c r="G182" s="170">
        <f t="shared" si="933"/>
        <v>-0.26100571741313866</v>
      </c>
      <c r="H182" s="139"/>
      <c r="I182" s="86"/>
      <c r="J182" s="79">
        <f t="shared" si="930"/>
        <v>4.109</v>
      </c>
    </row>
    <row r="183" spans="5:10" x14ac:dyDescent="0.25">
      <c r="E183" s="170">
        <f t="shared" si="933"/>
        <v>-0.95591107028923383</v>
      </c>
      <c r="F183" s="170">
        <f t="shared" si="933"/>
        <v>0.20643048737301936</v>
      </c>
      <c r="G183" s="170">
        <f t="shared" si="933"/>
        <v>-0.20885516412439836</v>
      </c>
      <c r="H183" s="139"/>
      <c r="I183" s="86"/>
      <c r="J183" s="79">
        <f t="shared" si="930"/>
        <v>4.1150000000000002</v>
      </c>
    </row>
    <row r="184" spans="5:10" x14ac:dyDescent="0.25">
      <c r="E184" s="170">
        <f t="shared" si="933"/>
        <v>-0.91004607594236597</v>
      </c>
      <c r="F184" s="170">
        <f t="shared" si="933"/>
        <v>0.37851231018471138</v>
      </c>
      <c r="G184" s="170">
        <f t="shared" si="933"/>
        <v>-0.16895138561294612</v>
      </c>
      <c r="H184" s="139"/>
      <c r="I184" s="86"/>
      <c r="J184" s="79">
        <f t="shared" si="930"/>
        <v>4.1210000000000004</v>
      </c>
    </row>
    <row r="185" spans="5:10" x14ac:dyDescent="0.25">
      <c r="E185" s="170">
        <f t="shared" si="933"/>
        <v>-0.84278115617020621</v>
      </c>
      <c r="F185" s="170">
        <f t="shared" si="933"/>
        <v>0.53825637274852378</v>
      </c>
      <c r="G185" s="170">
        <f t="shared" si="933"/>
        <v>-1.1339743345366201E-7</v>
      </c>
      <c r="H185" s="139"/>
      <c r="I185" s="86"/>
      <c r="J185" s="79">
        <f t="shared" si="930"/>
        <v>4.1269999999999998</v>
      </c>
    </row>
    <row r="186" spans="5:10" x14ac:dyDescent="0.25">
      <c r="E186" s="170">
        <f t="shared" si="933"/>
        <v>0.12865506397876561</v>
      </c>
      <c r="F186" s="170">
        <f t="shared" si="933"/>
        <v>0.30444639587443445</v>
      </c>
      <c r="G186" s="170">
        <f t="shared" si="933"/>
        <v>-0.94380096765774035</v>
      </c>
      <c r="H186" s="139"/>
      <c r="I186" s="86"/>
      <c r="J186" s="79">
        <f t="shared" si="930"/>
        <v>4.2149999999999999</v>
      </c>
    </row>
    <row r="187" spans="5:10" x14ac:dyDescent="0.25">
      <c r="E187" s="170">
        <f t="shared" si="933"/>
        <v>0.24044184357329546</v>
      </c>
      <c r="F187" s="170">
        <f t="shared" si="933"/>
        <v>0.62582702540008783</v>
      </c>
      <c r="G187" s="170">
        <f t="shared" si="933"/>
        <v>-0.74197591210089353</v>
      </c>
      <c r="H187" s="139"/>
      <c r="I187" s="86"/>
      <c r="J187" s="79">
        <f t="shared" si="930"/>
        <v>4.2210000000000001</v>
      </c>
    </row>
    <row r="188" spans="5:10" x14ac:dyDescent="0.25">
      <c r="E188" s="170">
        <f t="shared" si="933"/>
        <v>0.35999045685147152</v>
      </c>
      <c r="F188" s="170">
        <f t="shared" si="933"/>
        <v>0.93295598555120351</v>
      </c>
      <c r="G188" s="170">
        <f t="shared" si="933"/>
        <v>-2.2679489705657792E-7</v>
      </c>
      <c r="H188" s="139"/>
      <c r="I188" s="86"/>
      <c r="J188" s="79">
        <f t="shared" si="930"/>
        <v>4.2270000000000003</v>
      </c>
    </row>
    <row r="189" spans="5:10" x14ac:dyDescent="0.25">
      <c r="E189" s="170">
        <f t="shared" si="933"/>
        <v>-0.4880334306401819</v>
      </c>
      <c r="F189" s="170">
        <f t="shared" si="933"/>
        <v>0.82307756169972091</v>
      </c>
      <c r="G189" s="170">
        <f t="shared" si="933"/>
        <v>-0.29045946017304536</v>
      </c>
      <c r="H189" s="139"/>
      <c r="I189" s="86"/>
      <c r="J189" s="79">
        <f t="shared" si="930"/>
        <v>5.1020000000000003</v>
      </c>
    </row>
    <row r="190" spans="5:10" x14ac:dyDescent="0.25">
      <c r="E190" s="170">
        <f t="shared" si="933"/>
        <v>-0.48364153900886331</v>
      </c>
      <c r="F190" s="170">
        <f t="shared" si="933"/>
        <v>0.8388032415964124</v>
      </c>
      <c r="G190" s="170">
        <f t="shared" si="933"/>
        <v>-0.24999996726497556</v>
      </c>
      <c r="H190" s="139"/>
      <c r="I190" s="86"/>
      <c r="J190" s="79">
        <f t="shared" si="930"/>
        <v>5.1050000000000004</v>
      </c>
    </row>
    <row r="191" spans="5:10" x14ac:dyDescent="0.25">
      <c r="E191" s="170">
        <f t="shared" si="933"/>
        <v>-0.41529835988587444</v>
      </c>
      <c r="F191" s="170">
        <f t="shared" si="933"/>
        <v>0.87133832506999065</v>
      </c>
      <c r="G191" s="170">
        <f t="shared" si="933"/>
        <v>-0.26133655607343975</v>
      </c>
      <c r="H191" s="139"/>
      <c r="I191" s="86"/>
      <c r="J191" s="79">
        <f t="shared" si="930"/>
        <v>5.1079999999999997</v>
      </c>
    </row>
    <row r="192" spans="5:10" x14ac:dyDescent="0.25">
      <c r="E192" s="170">
        <f t="shared" si="933"/>
        <v>-0.25684651212439569</v>
      </c>
      <c r="F192" s="170">
        <f t="shared" si="933"/>
        <v>0.94039273221789854</v>
      </c>
      <c r="G192" s="170">
        <f t="shared" si="933"/>
        <v>-0.22291563067961079</v>
      </c>
      <c r="H192" s="139"/>
      <c r="I192" s="86"/>
      <c r="J192" s="79">
        <f t="shared" si="930"/>
        <v>5.1139999999999999</v>
      </c>
    </row>
    <row r="193" spans="5:10" x14ac:dyDescent="0.25">
      <c r="E193" s="170">
        <f t="shared" si="933"/>
        <v>-8.6412929204772476E-2</v>
      </c>
      <c r="F193" s="170">
        <f t="shared" si="933"/>
        <v>0.97958502357756672</v>
      </c>
      <c r="G193" s="170">
        <f t="shared" si="933"/>
        <v>-0.18151029515922523</v>
      </c>
      <c r="H193" s="139"/>
      <c r="I193" s="86"/>
      <c r="J193" s="79">
        <f t="shared" si="930"/>
        <v>5.12</v>
      </c>
    </row>
    <row r="194" spans="5:10" x14ac:dyDescent="0.25">
      <c r="E194" s="170">
        <f t="shared" ref="E194:G213" si="934">E49*-1</f>
        <v>9.1781355511733484E-2</v>
      </c>
      <c r="F194" s="170">
        <f t="shared" si="934"/>
        <v>0.99158836716850862</v>
      </c>
      <c r="G194" s="170">
        <f t="shared" si="934"/>
        <v>-9.126167254943178E-2</v>
      </c>
      <c r="H194" s="139"/>
      <c r="I194" s="86"/>
      <c r="J194" s="79">
        <f t="shared" si="930"/>
        <v>5.1260000000000003</v>
      </c>
    </row>
    <row r="195" spans="5:10" x14ac:dyDescent="0.25">
      <c r="E195" s="170">
        <f t="shared" si="934"/>
        <v>0.11433052106755759</v>
      </c>
      <c r="F195" s="170">
        <f t="shared" si="934"/>
        <v>0.99344276732603376</v>
      </c>
      <c r="G195" s="170">
        <f t="shared" si="934"/>
        <v>-1.1339743362162163E-7</v>
      </c>
      <c r="H195" s="139"/>
      <c r="I195" s="86"/>
      <c r="J195" s="79">
        <f t="shared" si="930"/>
        <v>5.1319999999999997</v>
      </c>
    </row>
    <row r="196" spans="5:10" x14ac:dyDescent="0.25">
      <c r="E196" s="170">
        <f t="shared" si="934"/>
        <v>8.1022787033921975E-2</v>
      </c>
      <c r="F196" s="170">
        <f t="shared" si="934"/>
        <v>0.95355867626698099</v>
      </c>
      <c r="G196" s="170">
        <f t="shared" si="934"/>
        <v>-0.29010542721089988</v>
      </c>
      <c r="H196" s="139"/>
      <c r="I196" s="86"/>
      <c r="J196" s="79">
        <f t="shared" si="930"/>
        <v>5.2140000000000004</v>
      </c>
    </row>
    <row r="197" spans="5:10" x14ac:dyDescent="0.25">
      <c r="E197" s="170">
        <f t="shared" si="934"/>
        <v>0.2478951663567488</v>
      </c>
      <c r="F197" s="170">
        <f t="shared" si="934"/>
        <v>0.94320795414322234</v>
      </c>
      <c r="G197" s="170">
        <f t="shared" si="934"/>
        <v>-0.22114868694594839</v>
      </c>
      <c r="H197" s="139"/>
      <c r="I197" s="86"/>
      <c r="J197" s="79">
        <f t="shared" si="930"/>
        <v>5.22</v>
      </c>
    </row>
    <row r="198" spans="5:10" x14ac:dyDescent="0.25">
      <c r="E198" s="170">
        <f t="shared" si="934"/>
        <v>0.87250952424857997</v>
      </c>
      <c r="F198" s="170">
        <f t="shared" si="934"/>
        <v>8.1488633393343154E-2</v>
      </c>
      <c r="G198" s="170">
        <f t="shared" si="934"/>
        <v>-0.48175380924617722</v>
      </c>
      <c r="H198" s="139"/>
      <c r="I198" s="86"/>
      <c r="J198" s="79">
        <f t="shared" si="930"/>
        <v>5.226</v>
      </c>
    </row>
    <row r="199" spans="5:10" x14ac:dyDescent="0.25">
      <c r="E199" s="170">
        <f t="shared" si="934"/>
        <v>0.99634470089885852</v>
      </c>
      <c r="F199" s="170">
        <f t="shared" si="934"/>
        <v>8.5423866634054185E-2</v>
      </c>
      <c r="G199" s="170">
        <f t="shared" si="934"/>
        <v>-2.2679489568523886E-7</v>
      </c>
      <c r="H199" s="139"/>
      <c r="I199" s="86"/>
      <c r="J199" s="79">
        <f t="shared" si="930"/>
        <v>5.2320000000000002</v>
      </c>
    </row>
    <row r="200" spans="5:10" x14ac:dyDescent="0.25">
      <c r="E200" s="170">
        <f t="shared" si="934"/>
        <v>0.61390791293990621</v>
      </c>
      <c r="F200" s="170">
        <f t="shared" si="934"/>
        <v>0.75358065056281198</v>
      </c>
      <c r="G200" s="170">
        <f t="shared" si="934"/>
        <v>-0.23501761109988678</v>
      </c>
      <c r="H200" s="139"/>
      <c r="I200" s="86"/>
      <c r="J200" s="79">
        <f t="shared" si="930"/>
        <v>6.1130000000000004</v>
      </c>
    </row>
    <row r="201" spans="5:10" x14ac:dyDescent="0.25">
      <c r="E201" s="170">
        <f t="shared" si="934"/>
        <v>0.74367053331530908</v>
      </c>
      <c r="F201" s="170">
        <f t="shared" si="934"/>
        <v>0.64041723636767811</v>
      </c>
      <c r="G201" s="170">
        <f t="shared" si="934"/>
        <v>-0.1918851251184141</v>
      </c>
      <c r="H201" s="139"/>
      <c r="I201" s="86"/>
      <c r="J201" s="79">
        <f t="shared" si="930"/>
        <v>6.1189999999999998</v>
      </c>
    </row>
    <row r="202" spans="5:10" x14ac:dyDescent="0.25">
      <c r="E202" s="170">
        <f t="shared" si="934"/>
        <v>0.85390316842633129</v>
      </c>
      <c r="F202" s="170">
        <f t="shared" si="934"/>
        <v>0.50944198785948946</v>
      </c>
      <c r="G202" s="170">
        <f t="shared" si="934"/>
        <v>-0.10638721707632172</v>
      </c>
      <c r="H202" s="139"/>
      <c r="I202" s="86"/>
      <c r="J202" s="79">
        <f t="shared" si="930"/>
        <v>6.125</v>
      </c>
    </row>
    <row r="203" spans="5:10" x14ac:dyDescent="0.25">
      <c r="E203" s="170">
        <f t="shared" si="934"/>
        <v>0.88753413130899372</v>
      </c>
      <c r="F203" s="170">
        <f t="shared" si="934"/>
        <v>0.46074197308426018</v>
      </c>
      <c r="G203" s="170">
        <f t="shared" si="934"/>
        <v>-1.1339743381742591E-7</v>
      </c>
      <c r="H203" s="139"/>
      <c r="I203" s="86"/>
      <c r="J203" s="79">
        <f t="shared" si="930"/>
        <v>6.1310000000000002</v>
      </c>
    </row>
    <row r="204" spans="5:10" x14ac:dyDescent="0.25">
      <c r="E204" s="170">
        <f t="shared" si="934"/>
        <v>0.35645108241790363</v>
      </c>
      <c r="F204" s="170">
        <f t="shared" si="934"/>
        <v>-0.44018015619384382</v>
      </c>
      <c r="G204" s="170">
        <f t="shared" si="934"/>
        <v>-0.82412623786424155</v>
      </c>
      <c r="H204" s="139"/>
      <c r="I204" s="86"/>
      <c r="J204" s="79">
        <f t="shared" si="930"/>
        <v>6.2190000000000003</v>
      </c>
    </row>
    <row r="205" spans="5:10" x14ac:dyDescent="0.25">
      <c r="E205" s="170">
        <f t="shared" si="934"/>
        <v>0.53433139916927208</v>
      </c>
      <c r="F205" s="170">
        <f t="shared" si="934"/>
        <v>-0.65131855936988414</v>
      </c>
      <c r="G205" s="170">
        <f t="shared" si="934"/>
        <v>-0.53877090686315554</v>
      </c>
      <c r="H205" s="139"/>
      <c r="I205" s="86"/>
      <c r="J205" s="79">
        <f t="shared" si="930"/>
        <v>6.2249999999999996</v>
      </c>
    </row>
    <row r="206" spans="5:10" x14ac:dyDescent="0.25">
      <c r="E206" s="170">
        <f t="shared" si="934"/>
        <v>0.62796859100846547</v>
      </c>
      <c r="F206" s="170">
        <f t="shared" si="934"/>
        <v>-0.77823868363554849</v>
      </c>
      <c r="G206" s="170">
        <f t="shared" si="934"/>
        <v>-2.2679489724587369E-7</v>
      </c>
      <c r="H206" s="139"/>
      <c r="I206" s="86"/>
      <c r="J206" s="79">
        <f t="shared" si="930"/>
        <v>6.2309999999999999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ADA4540-B7BC-4BE4-9AD1-CFE0814AE193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A03CB14B-AF01-4CD9-B223-72F976291BB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7.875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1513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1.1240000000000001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1.212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1.218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1.224</v>
      </c>
      <c r="N173" s="869" t="str">
        <f>Assy.Model!K18</f>
        <v>CPS-32193r1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1.23</v>
      </c>
      <c r="N174" s="869" t="str">
        <f>Assy.Model!K19</f>
        <v>CPS-32193r1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2.1110000000000002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2.117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2.1230000000000002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2.129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2.2170000000000001</v>
      </c>
      <c r="N179" s="869" t="str">
        <f>Assy.Model!K24</f>
        <v>CPS-32193r1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2.2229999999999999</v>
      </c>
      <c r="N180" s="869" t="str">
        <f>Assy.Model!K25</f>
        <v>CPS-32193r1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2.2290000000000001</v>
      </c>
      <c r="N181" s="869" t="str">
        <f>Assy.Model!K26</f>
        <v>CPS-32193r1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3.1030000000000002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3.1059999999999999</v>
      </c>
      <c r="N183" s="869">
        <f>Assy.Model!K28</f>
        <v>1513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3.11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3.1160000000000001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3.1219999999999999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3.1280000000000001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3.21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3.2160000000000002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3.222</v>
      </c>
      <c r="N190" s="869" t="str">
        <f>Assy.Model!K35</f>
        <v>CPS-32193r1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3.2280000000000002</v>
      </c>
      <c r="N191" s="869" t="str">
        <f>Assy.Model!K36</f>
        <v>CPS-32193r1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4.109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4.1150000000000002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4.1210000000000004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4.1269999999999998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4.2149999999999999</v>
      </c>
      <c r="N196" s="869" t="str">
        <f>Assy.Model!K41</f>
        <v>CPS-32193r1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4.2210000000000001</v>
      </c>
      <c r="N197" s="869" t="str">
        <f>Assy.Model!K42</f>
        <v>CPS-32193r1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4.2270000000000003</v>
      </c>
      <c r="N198" s="869" t="str">
        <f>Assy.Model!K43</f>
        <v>CPS-32193r1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5.1020000000000003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5.1050000000000004</v>
      </c>
      <c r="N200" s="869">
        <f>Assy.Model!K45</f>
        <v>1513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5.1079999999999997</v>
      </c>
      <c r="N201" s="869">
        <f>Assy.Model!K46</f>
        <v>1513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5.1139999999999999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5.12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5.1260000000000003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5.1319999999999997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5.2140000000000004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5.22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5.226</v>
      </c>
      <c r="N208" s="869" t="str">
        <f>Assy.Model!K53</f>
        <v>CPS-32193r1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5.2320000000000002</v>
      </c>
      <c r="N209" s="869" t="str">
        <f>Assy.Model!K54</f>
        <v>CPS-32193r1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6.1130000000000004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6.1189999999999998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6.125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6.1310000000000002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6.2190000000000003</v>
      </c>
      <c r="N214" s="869" t="str">
        <f>Assy.Model!K59</f>
        <v>CPS-32193r1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6.2249999999999996</v>
      </c>
      <c r="N215" s="869" t="str">
        <f>Assy.Model!K60</f>
        <v>CPS-32193r1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6.2309999999999999</v>
      </c>
      <c r="N216" s="869" t="str">
        <f>Assy.Model!K61</f>
        <v>CPS-32193r1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2023-03-28T19:53:18Z</dcterms:modified>
</cp:coreProperties>
</file>