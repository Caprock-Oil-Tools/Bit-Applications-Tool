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556\"/>
    </mc:Choice>
  </mc:AlternateContent>
  <xr:revisionPtr revIDLastSave="0" documentId="13_ncr:1_{644CF690-D3B1-41AA-9C36-509687EED6A3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05" i="1" l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Z272" i="1"/>
  <c r="W272" i="1" s="1"/>
  <c r="H117" i="1" s="1"/>
  <c r="X272" i="1"/>
  <c r="I117" i="1" s="1"/>
  <c r="V272" i="1"/>
  <c r="G117" i="1" s="1"/>
  <c r="U272" i="1"/>
  <c r="F117" i="1" s="1"/>
  <c r="T272" i="1"/>
  <c r="E117" i="1" s="1"/>
  <c r="S272" i="1"/>
  <c r="R272" i="1"/>
  <c r="Q272" i="1"/>
  <c r="Z271" i="1"/>
  <c r="W271" i="1" s="1"/>
  <c r="H116" i="1" s="1"/>
  <c r="X271" i="1"/>
  <c r="I116" i="1" s="1"/>
  <c r="V271" i="1"/>
  <c r="G116" i="1" s="1"/>
  <c r="U271" i="1"/>
  <c r="F116" i="1" s="1"/>
  <c r="T271" i="1"/>
  <c r="E116" i="1" s="1"/>
  <c r="S271" i="1"/>
  <c r="R271" i="1"/>
  <c r="Q271" i="1"/>
  <c r="Z270" i="1"/>
  <c r="W270" i="1" s="1"/>
  <c r="H115" i="1" s="1"/>
  <c r="X270" i="1"/>
  <c r="I115" i="1" s="1"/>
  <c r="V270" i="1"/>
  <c r="G115" i="1" s="1"/>
  <c r="U270" i="1"/>
  <c r="F115" i="1" s="1"/>
  <c r="T270" i="1"/>
  <c r="E115" i="1" s="1"/>
  <c r="S270" i="1"/>
  <c r="R270" i="1"/>
  <c r="Q270" i="1"/>
  <c r="Z269" i="1"/>
  <c r="K114" i="1" s="1"/>
  <c r="A114" i="1" s="1"/>
  <c r="X269" i="1"/>
  <c r="I114" i="1" s="1"/>
  <c r="V269" i="1"/>
  <c r="G114" i="1" s="1"/>
  <c r="U269" i="1"/>
  <c r="F114" i="1" s="1"/>
  <c r="T269" i="1"/>
  <c r="E114" i="1" s="1"/>
  <c r="S269" i="1"/>
  <c r="R269" i="1"/>
  <c r="Q269" i="1"/>
  <c r="Z268" i="1"/>
  <c r="W268" i="1" s="1"/>
  <c r="H113" i="1" s="1"/>
  <c r="X268" i="1"/>
  <c r="I113" i="1" s="1"/>
  <c r="V268" i="1"/>
  <c r="G113" i="1" s="1"/>
  <c r="U268" i="1"/>
  <c r="F113" i="1" s="1"/>
  <c r="T268" i="1"/>
  <c r="E113" i="1" s="1"/>
  <c r="S268" i="1"/>
  <c r="R268" i="1"/>
  <c r="Q268" i="1"/>
  <c r="Z267" i="1"/>
  <c r="W267" i="1" s="1"/>
  <c r="H112" i="1" s="1"/>
  <c r="X267" i="1"/>
  <c r="I112" i="1" s="1"/>
  <c r="V267" i="1"/>
  <c r="G112" i="1" s="1"/>
  <c r="U267" i="1"/>
  <c r="F112" i="1" s="1"/>
  <c r="T267" i="1"/>
  <c r="E112" i="1" s="1"/>
  <c r="S267" i="1"/>
  <c r="R267" i="1"/>
  <c r="Q267" i="1"/>
  <c r="Z266" i="1"/>
  <c r="W266" i="1" s="1"/>
  <c r="H111" i="1" s="1"/>
  <c r="X266" i="1"/>
  <c r="I111" i="1" s="1"/>
  <c r="V266" i="1"/>
  <c r="G111" i="1" s="1"/>
  <c r="U266" i="1"/>
  <c r="F111" i="1" s="1"/>
  <c r="T266" i="1"/>
  <c r="E111" i="1" s="1"/>
  <c r="S266" i="1"/>
  <c r="R266" i="1"/>
  <c r="Q266" i="1"/>
  <c r="Z265" i="1"/>
  <c r="W265" i="1" s="1"/>
  <c r="H110" i="1" s="1"/>
  <c r="X265" i="1"/>
  <c r="I110" i="1" s="1"/>
  <c r="V265" i="1"/>
  <c r="G110" i="1" s="1"/>
  <c r="U265" i="1"/>
  <c r="F110" i="1" s="1"/>
  <c r="T265" i="1"/>
  <c r="E110" i="1" s="1"/>
  <c r="S265" i="1"/>
  <c r="R265" i="1"/>
  <c r="Q265" i="1"/>
  <c r="Z264" i="1"/>
  <c r="W264" i="1" s="1"/>
  <c r="H109" i="1" s="1"/>
  <c r="X264" i="1"/>
  <c r="I109" i="1" s="1"/>
  <c r="V264" i="1"/>
  <c r="G109" i="1" s="1"/>
  <c r="U264" i="1"/>
  <c r="F109" i="1" s="1"/>
  <c r="T264" i="1"/>
  <c r="E109" i="1" s="1"/>
  <c r="S264" i="1"/>
  <c r="R264" i="1"/>
  <c r="Q264" i="1"/>
  <c r="Z263" i="1"/>
  <c r="W263" i="1" s="1"/>
  <c r="H108" i="1" s="1"/>
  <c r="X263" i="1"/>
  <c r="I108" i="1" s="1"/>
  <c r="V263" i="1"/>
  <c r="G108" i="1" s="1"/>
  <c r="U263" i="1"/>
  <c r="F108" i="1" s="1"/>
  <c r="T263" i="1"/>
  <c r="E108" i="1" s="1"/>
  <c r="S263" i="1"/>
  <c r="R263" i="1"/>
  <c r="Q263" i="1"/>
  <c r="Z262" i="1"/>
  <c r="W262" i="1" s="1"/>
  <c r="H107" i="1" s="1"/>
  <c r="X262" i="1"/>
  <c r="I107" i="1" s="1"/>
  <c r="V262" i="1"/>
  <c r="G107" i="1" s="1"/>
  <c r="U262" i="1"/>
  <c r="F107" i="1" s="1"/>
  <c r="T262" i="1"/>
  <c r="E107" i="1" s="1"/>
  <c r="S262" i="1"/>
  <c r="R262" i="1"/>
  <c r="Q262" i="1"/>
  <c r="Z261" i="1"/>
  <c r="K106" i="1" s="1"/>
  <c r="A106" i="1" s="1"/>
  <c r="X261" i="1"/>
  <c r="I106" i="1" s="1"/>
  <c r="V261" i="1"/>
  <c r="G106" i="1" s="1"/>
  <c r="U261" i="1"/>
  <c r="F106" i="1" s="1"/>
  <c r="T261" i="1"/>
  <c r="E106" i="1" s="1"/>
  <c r="S261" i="1"/>
  <c r="R261" i="1"/>
  <c r="Q261" i="1"/>
  <c r="Z260" i="1"/>
  <c r="W260" i="1" s="1"/>
  <c r="H105" i="1" s="1"/>
  <c r="X260" i="1"/>
  <c r="I105" i="1" s="1"/>
  <c r="V260" i="1"/>
  <c r="G105" i="1" s="1"/>
  <c r="U260" i="1"/>
  <c r="F105" i="1" s="1"/>
  <c r="T260" i="1"/>
  <c r="E105" i="1" s="1"/>
  <c r="S260" i="1"/>
  <c r="R260" i="1"/>
  <c r="Q260" i="1"/>
  <c r="Z259" i="1"/>
  <c r="W259" i="1" s="1"/>
  <c r="H104" i="1" s="1"/>
  <c r="X259" i="1"/>
  <c r="I104" i="1" s="1"/>
  <c r="V259" i="1"/>
  <c r="G104" i="1" s="1"/>
  <c r="U259" i="1"/>
  <c r="F104" i="1" s="1"/>
  <c r="T259" i="1"/>
  <c r="E104" i="1" s="1"/>
  <c r="S259" i="1"/>
  <c r="R259" i="1"/>
  <c r="Q259" i="1"/>
  <c r="Z258" i="1"/>
  <c r="K103" i="1" s="1"/>
  <c r="A103" i="1" s="1"/>
  <c r="X258" i="1"/>
  <c r="I103" i="1" s="1"/>
  <c r="V258" i="1"/>
  <c r="G103" i="1" s="1"/>
  <c r="U258" i="1"/>
  <c r="F103" i="1" s="1"/>
  <c r="T258" i="1"/>
  <c r="E103" i="1" s="1"/>
  <c r="S258" i="1"/>
  <c r="R258" i="1"/>
  <c r="Q258" i="1"/>
  <c r="Z257" i="1"/>
  <c r="W257" i="1" s="1"/>
  <c r="H102" i="1" s="1"/>
  <c r="X257" i="1"/>
  <c r="I102" i="1" s="1"/>
  <c r="V257" i="1"/>
  <c r="G102" i="1" s="1"/>
  <c r="U257" i="1"/>
  <c r="F102" i="1" s="1"/>
  <c r="T257" i="1"/>
  <c r="E102" i="1" s="1"/>
  <c r="S257" i="1"/>
  <c r="R257" i="1"/>
  <c r="Q257" i="1"/>
  <c r="Z256" i="1"/>
  <c r="W256" i="1" s="1"/>
  <c r="H101" i="1" s="1"/>
  <c r="X256" i="1"/>
  <c r="I101" i="1" s="1"/>
  <c r="V256" i="1"/>
  <c r="G101" i="1" s="1"/>
  <c r="U256" i="1"/>
  <c r="F101" i="1" s="1"/>
  <c r="T256" i="1"/>
  <c r="E101" i="1" s="1"/>
  <c r="S256" i="1"/>
  <c r="R256" i="1"/>
  <c r="Q256" i="1"/>
  <c r="Z255" i="1"/>
  <c r="K100" i="1" s="1"/>
  <c r="A100" i="1" s="1"/>
  <c r="X255" i="1"/>
  <c r="I100" i="1" s="1"/>
  <c r="V255" i="1"/>
  <c r="G100" i="1" s="1"/>
  <c r="U255" i="1"/>
  <c r="F100" i="1" s="1"/>
  <c r="T255" i="1"/>
  <c r="E100" i="1" s="1"/>
  <c r="S255" i="1"/>
  <c r="R255" i="1"/>
  <c r="Q255" i="1"/>
  <c r="Z254" i="1"/>
  <c r="W254" i="1" s="1"/>
  <c r="H99" i="1" s="1"/>
  <c r="X254" i="1"/>
  <c r="I99" i="1" s="1"/>
  <c r="V254" i="1"/>
  <c r="G99" i="1" s="1"/>
  <c r="U254" i="1"/>
  <c r="F99" i="1" s="1"/>
  <c r="T254" i="1"/>
  <c r="E99" i="1" s="1"/>
  <c r="S254" i="1"/>
  <c r="R254" i="1"/>
  <c r="Q254" i="1"/>
  <c r="Z253" i="1"/>
  <c r="W253" i="1" s="1"/>
  <c r="H98" i="1" s="1"/>
  <c r="X253" i="1"/>
  <c r="I98" i="1" s="1"/>
  <c r="V253" i="1"/>
  <c r="G98" i="1" s="1"/>
  <c r="U253" i="1"/>
  <c r="F98" i="1" s="1"/>
  <c r="T253" i="1"/>
  <c r="E98" i="1" s="1"/>
  <c r="S253" i="1"/>
  <c r="R253" i="1"/>
  <c r="Q253" i="1"/>
  <c r="Z252" i="1"/>
  <c r="W252" i="1" s="1"/>
  <c r="H97" i="1" s="1"/>
  <c r="X252" i="1"/>
  <c r="I97" i="1" s="1"/>
  <c r="V252" i="1"/>
  <c r="G97" i="1" s="1"/>
  <c r="U252" i="1"/>
  <c r="F97" i="1" s="1"/>
  <c r="T252" i="1"/>
  <c r="E97" i="1" s="1"/>
  <c r="S252" i="1"/>
  <c r="R252" i="1"/>
  <c r="Q252" i="1"/>
  <c r="Z251" i="1"/>
  <c r="W251" i="1" s="1"/>
  <c r="H96" i="1" s="1"/>
  <c r="X251" i="1"/>
  <c r="I96" i="1" s="1"/>
  <c r="V251" i="1"/>
  <c r="G96" i="1" s="1"/>
  <c r="U251" i="1"/>
  <c r="F96" i="1" s="1"/>
  <c r="T251" i="1"/>
  <c r="E96" i="1" s="1"/>
  <c r="S251" i="1"/>
  <c r="R251" i="1"/>
  <c r="Q251" i="1"/>
  <c r="Z250" i="1"/>
  <c r="W250" i="1" s="1"/>
  <c r="H95" i="1" s="1"/>
  <c r="X250" i="1"/>
  <c r="I95" i="1" s="1"/>
  <c r="V250" i="1"/>
  <c r="G95" i="1" s="1"/>
  <c r="U250" i="1"/>
  <c r="F95" i="1" s="1"/>
  <c r="T250" i="1"/>
  <c r="E95" i="1" s="1"/>
  <c r="S250" i="1"/>
  <c r="R250" i="1"/>
  <c r="Q250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K150" i="1" l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98" i="1"/>
  <c r="A98" i="1" s="1"/>
  <c r="D98" i="1" s="1"/>
  <c r="K108" i="1"/>
  <c r="A108" i="1" s="1"/>
  <c r="D108" i="1" s="1"/>
  <c r="K117" i="1"/>
  <c r="A117" i="1" s="1"/>
  <c r="C117" i="1" s="1"/>
  <c r="K102" i="1"/>
  <c r="A102" i="1" s="1"/>
  <c r="B102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05" i="1"/>
  <c r="A105" i="1" s="1"/>
  <c r="C105" i="1" s="1"/>
  <c r="K115" i="1"/>
  <c r="A115" i="1" s="1"/>
  <c r="B115" i="1" s="1"/>
  <c r="K136" i="1"/>
  <c r="A136" i="1" s="1"/>
  <c r="C136" i="1" s="1"/>
  <c r="K99" i="1"/>
  <c r="A99" i="1" s="1"/>
  <c r="D99" i="1" s="1"/>
  <c r="K121" i="1"/>
  <c r="A121" i="1" s="1"/>
  <c r="B121" i="1" s="1"/>
  <c r="K129" i="1"/>
  <c r="A129" i="1" s="1"/>
  <c r="C129" i="1" s="1"/>
  <c r="K132" i="1"/>
  <c r="A132" i="1" s="1"/>
  <c r="D132" i="1" s="1"/>
  <c r="K109" i="1"/>
  <c r="A109" i="1" s="1"/>
  <c r="C109" i="1" s="1"/>
  <c r="K137" i="1"/>
  <c r="A137" i="1" s="1"/>
  <c r="B137" i="1" s="1"/>
  <c r="K144" i="1"/>
  <c r="A144" i="1" s="1"/>
  <c r="C144" i="1" s="1"/>
  <c r="K149" i="1"/>
  <c r="A149" i="1" s="1"/>
  <c r="D149" i="1" s="1"/>
  <c r="K95" i="1"/>
  <c r="A95" i="1" s="1"/>
  <c r="B95" i="1" s="1"/>
  <c r="K118" i="1"/>
  <c r="A118" i="1" s="1"/>
  <c r="B118" i="1" s="1"/>
  <c r="K113" i="1"/>
  <c r="A113" i="1" s="1"/>
  <c r="D113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04" i="1"/>
  <c r="A104" i="1" s="1"/>
  <c r="C104" i="1" s="1"/>
  <c r="K107" i="1"/>
  <c r="A107" i="1" s="1"/>
  <c r="D107" i="1" s="1"/>
  <c r="K116" i="1"/>
  <c r="A116" i="1" s="1"/>
  <c r="B116" i="1" s="1"/>
  <c r="K122" i="1"/>
  <c r="A122" i="1" s="1"/>
  <c r="D122" i="1" s="1"/>
  <c r="K142" i="1"/>
  <c r="A142" i="1" s="1"/>
  <c r="D142" i="1" s="1"/>
  <c r="K101" i="1"/>
  <c r="A101" i="1" s="1"/>
  <c r="D101" i="1" s="1"/>
  <c r="K110" i="1"/>
  <c r="A110" i="1" s="1"/>
  <c r="D110" i="1" s="1"/>
  <c r="K128" i="1"/>
  <c r="A128" i="1" s="1"/>
  <c r="B128" i="1" s="1"/>
  <c r="K131" i="1"/>
  <c r="A131" i="1" s="1"/>
  <c r="D131" i="1" s="1"/>
  <c r="K138" i="1"/>
  <c r="A138" i="1" s="1"/>
  <c r="D138" i="1" s="1"/>
  <c r="W255" i="1"/>
  <c r="H100" i="1" s="1"/>
  <c r="K133" i="1"/>
  <c r="A133" i="1" s="1"/>
  <c r="D133" i="1" s="1"/>
  <c r="K112" i="1"/>
  <c r="A112" i="1" s="1"/>
  <c r="B112" i="1" s="1"/>
  <c r="K97" i="1"/>
  <c r="A97" i="1" s="1"/>
  <c r="B97" i="1" s="1"/>
  <c r="K126" i="1"/>
  <c r="A126" i="1" s="1"/>
  <c r="B126" i="1" s="1"/>
  <c r="K96" i="1"/>
  <c r="A96" i="1" s="1"/>
  <c r="D96" i="1" s="1"/>
  <c r="D100" i="1"/>
  <c r="D103" i="1"/>
  <c r="D119" i="1"/>
  <c r="B100" i="1"/>
  <c r="K143" i="1"/>
  <c r="A143" i="1" s="1"/>
  <c r="D143" i="1" s="1"/>
  <c r="K146" i="1"/>
  <c r="A146" i="1" s="1"/>
  <c r="C146" i="1" s="1"/>
  <c r="W261" i="1"/>
  <c r="H106" i="1" s="1"/>
  <c r="W269" i="1"/>
  <c r="H114" i="1" s="1"/>
  <c r="W285" i="1"/>
  <c r="H130" i="1" s="1"/>
  <c r="K127" i="1"/>
  <c r="A127" i="1" s="1"/>
  <c r="D127" i="1" s="1"/>
  <c r="K111" i="1"/>
  <c r="A111" i="1" s="1"/>
  <c r="D111" i="1" s="1"/>
  <c r="W258" i="1"/>
  <c r="H103" i="1" s="1"/>
  <c r="W274" i="1"/>
  <c r="H119" i="1" s="1"/>
  <c r="D130" i="1"/>
  <c r="C130" i="1"/>
  <c r="B130" i="1"/>
  <c r="D114" i="1"/>
  <c r="C114" i="1"/>
  <c r="B114" i="1"/>
  <c r="D106" i="1"/>
  <c r="C106" i="1"/>
  <c r="B106" i="1"/>
  <c r="C100" i="1"/>
  <c r="B103" i="1"/>
  <c r="B119" i="1"/>
  <c r="C103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C150" i="1" l="1"/>
  <c r="D150" i="1"/>
  <c r="C107" i="1"/>
  <c r="B145" i="1"/>
  <c r="C148" i="1"/>
  <c r="C145" i="1"/>
  <c r="B105" i="1"/>
  <c r="B107" i="1"/>
  <c r="C137" i="1"/>
  <c r="D137" i="1"/>
  <c r="B129" i="1"/>
  <c r="C102" i="1"/>
  <c r="D125" i="1"/>
  <c r="D109" i="1"/>
  <c r="C95" i="1"/>
  <c r="D121" i="1"/>
  <c r="C115" i="1"/>
  <c r="B113" i="1"/>
  <c r="B109" i="1"/>
  <c r="B125" i="1"/>
  <c r="C140" i="1"/>
  <c r="C108" i="1"/>
  <c r="C141" i="1"/>
  <c r="D117" i="1"/>
  <c r="C116" i="1"/>
  <c r="D118" i="1"/>
  <c r="D129" i="1"/>
  <c r="B117" i="1"/>
  <c r="C132" i="1"/>
  <c r="C143" i="1"/>
  <c r="B141" i="1"/>
  <c r="B131" i="1"/>
  <c r="C149" i="1"/>
  <c r="C131" i="1"/>
  <c r="B123" i="1"/>
  <c r="B122" i="1"/>
  <c r="C123" i="1"/>
  <c r="C113" i="1"/>
  <c r="C122" i="1"/>
  <c r="C118" i="1"/>
  <c r="B139" i="1"/>
  <c r="B143" i="1"/>
  <c r="B110" i="1"/>
  <c r="C139" i="1"/>
  <c r="B147" i="1"/>
  <c r="D97" i="1"/>
  <c r="B138" i="1"/>
  <c r="C138" i="1"/>
  <c r="C124" i="1"/>
  <c r="D134" i="1"/>
  <c r="C142" i="1"/>
  <c r="B99" i="1"/>
  <c r="C99" i="1"/>
  <c r="C134" i="1"/>
  <c r="C121" i="1"/>
  <c r="D95" i="1"/>
  <c r="C110" i="1"/>
  <c r="C135" i="1"/>
  <c r="B135" i="1"/>
  <c r="C98" i="1"/>
  <c r="B140" i="1"/>
  <c r="B127" i="1"/>
  <c r="B142" i="1"/>
  <c r="C147" i="1"/>
  <c r="B136" i="1"/>
  <c r="B108" i="1"/>
  <c r="C111" i="1"/>
  <c r="C127" i="1"/>
  <c r="B149" i="1"/>
  <c r="B148" i="1"/>
  <c r="C101" i="1"/>
  <c r="D126" i="1"/>
  <c r="B132" i="1"/>
  <c r="C126" i="1"/>
  <c r="B120" i="1"/>
  <c r="B101" i="1"/>
  <c r="B104" i="1"/>
  <c r="D120" i="1"/>
  <c r="B98" i="1"/>
  <c r="C97" i="1"/>
  <c r="D105" i="1"/>
  <c r="D124" i="1"/>
  <c r="D104" i="1"/>
  <c r="D136" i="1"/>
  <c r="D102" i="1"/>
  <c r="D116" i="1"/>
  <c r="D128" i="1"/>
  <c r="B146" i="1"/>
  <c r="D115" i="1"/>
  <c r="C128" i="1"/>
  <c r="B133" i="1"/>
  <c r="D146" i="1"/>
  <c r="C133" i="1"/>
  <c r="D144" i="1"/>
  <c r="B144" i="1"/>
  <c r="B96" i="1"/>
  <c r="C96" i="1"/>
  <c r="C112" i="1"/>
  <c r="D112" i="1"/>
  <c r="B111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249" i="1" l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V169" i="1"/>
  <c r="G14" i="1" s="1"/>
  <c r="T175" i="1"/>
  <c r="E20" i="1" s="1"/>
  <c r="U180" i="1"/>
  <c r="F25" i="1" s="1"/>
  <c r="T191" i="1"/>
  <c r="E36" i="1" s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V185" i="1"/>
  <c r="G30" i="1" s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46" i="1" l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J9" i="1"/>
  <c r="AJ164" i="1" s="1" a="1"/>
  <c r="AJ164" i="1" s="1"/>
  <c r="AF164" i="1" s="1" a="1"/>
  <c r="AF164" i="1" s="1"/>
  <c r="T164" i="1"/>
  <c r="E9" i="1" s="1"/>
  <c r="S164" i="1"/>
  <c r="R164" i="1"/>
  <c r="Q164" i="1"/>
  <c r="X164" i="1"/>
  <c r="I9" i="1" s="1"/>
  <c r="V164" i="1"/>
  <c r="G9" i="1" s="1"/>
  <c r="U164" i="1"/>
  <c r="F9" i="1" s="1"/>
  <c r="AU31" i="4"/>
  <c r="AW31" i="4" s="1"/>
  <c r="AI31" i="4"/>
  <c r="AX33" i="4"/>
  <c r="AI33" i="4"/>
  <c r="AU33" i="4"/>
  <c r="AW33" i="4" s="1"/>
  <c r="C94" i="1" l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80" i="1"/>
  <c r="D80" i="1"/>
  <c r="D82" i="1"/>
  <c r="D78" i="1"/>
  <c r="B78" i="1"/>
  <c r="C77" i="1"/>
  <c r="C79" i="1"/>
  <c r="B83" i="1"/>
  <c r="B79" i="1"/>
  <c r="B76" i="1"/>
  <c r="C74" i="1"/>
  <c r="C83" i="1"/>
  <c r="B71" i="1"/>
  <c r="C73" i="1"/>
  <c r="D76" i="1"/>
  <c r="B74" i="1"/>
  <c r="B75" i="1"/>
  <c r="C71" i="1"/>
  <c r="B77" i="1"/>
  <c r="D73" i="1"/>
  <c r="C75" i="1"/>
  <c r="C72" i="1"/>
  <c r="D72" i="1"/>
  <c r="C70" i="1"/>
  <c r="B70" i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AQ34" i="4"/>
  <c r="AI34" i="4"/>
  <c r="AU34" i="4"/>
  <c r="AW34" i="4" s="1"/>
  <c r="AW164" i="1" l="1" a="1"/>
  <c r="AW164" i="1" s="1"/>
  <c r="AK164" i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K210" i="1" l="1"/>
  <c r="K178" i="1"/>
  <c r="K201" i="1"/>
  <c r="K185" i="1"/>
  <c r="K224" i="1"/>
  <c r="Z224" i="1" s="1"/>
  <c r="K184" i="1"/>
  <c r="K175" i="1"/>
  <c r="Z175" i="1" s="1"/>
  <c r="K214" i="1"/>
  <c r="K198" i="1"/>
  <c r="K174" i="1"/>
  <c r="Z174" i="1" s="1"/>
  <c r="K221" i="1"/>
  <c r="Z221" i="1" s="1"/>
  <c r="K197" i="1"/>
  <c r="K173" i="1"/>
  <c r="Z173" i="1" s="1"/>
  <c r="K211" i="1"/>
  <c r="K220" i="1"/>
  <c r="K212" i="1"/>
  <c r="K188" i="1"/>
  <c r="AV15" i="4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Z184" i="1" l="1"/>
  <c r="W184" i="1" s="1"/>
  <c r="H29" i="1" s="1"/>
  <c r="W224" i="1"/>
  <c r="H69" i="1" s="1"/>
  <c r="K69" i="1"/>
  <c r="A69" i="1" s="1"/>
  <c r="W221" i="1"/>
  <c r="H66" i="1" s="1"/>
  <c r="K66" i="1"/>
  <c r="A66" i="1" s="1"/>
  <c r="Z220" i="1"/>
  <c r="W220" i="1" s="1"/>
  <c r="H65" i="1" s="1"/>
  <c r="Z211" i="1"/>
  <c r="W211" i="1" s="1"/>
  <c r="H56" i="1" s="1"/>
  <c r="W175" i="1"/>
  <c r="H20" i="1" s="1"/>
  <c r="K20" i="1"/>
  <c r="A20" i="1" s="1"/>
  <c r="W173" i="1"/>
  <c r="H18" i="1" s="1"/>
  <c r="K18" i="1"/>
  <c r="A18" i="1" s="1"/>
  <c r="W174" i="1"/>
  <c r="H19" i="1" s="1"/>
  <c r="K19" i="1"/>
  <c r="A19" i="1" s="1"/>
  <c r="AI19" i="4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K29" i="1" l="1"/>
  <c r="A29" i="1" s="1"/>
  <c r="C29" i="1" s="1"/>
  <c r="C69" i="1"/>
  <c r="B69" i="1"/>
  <c r="D69" i="1"/>
  <c r="D66" i="1"/>
  <c r="B66" i="1"/>
  <c r="C66" i="1"/>
  <c r="K65" i="1"/>
  <c r="A65" i="1" s="1"/>
  <c r="B65" i="1" s="1"/>
  <c r="K56" i="1"/>
  <c r="A56" i="1" s="1"/>
  <c r="B56" i="1" s="1"/>
  <c r="D18" i="1"/>
  <c r="C18" i="1"/>
  <c r="B18" i="1"/>
  <c r="C20" i="1"/>
  <c r="D20" i="1"/>
  <c r="B20" i="1"/>
  <c r="K218" i="1"/>
  <c r="K202" i="1"/>
  <c r="K194" i="1"/>
  <c r="K186" i="1"/>
  <c r="Z185" i="1" s="1"/>
  <c r="K170" i="1"/>
  <c r="Z170" i="1" s="1"/>
  <c r="K217" i="1"/>
  <c r="K209" i="1"/>
  <c r="Z209" i="1" s="1"/>
  <c r="K193" i="1"/>
  <c r="K177" i="1"/>
  <c r="Z177" i="1" s="1"/>
  <c r="K169" i="1"/>
  <c r="Z169" i="1" s="1"/>
  <c r="K216" i="1"/>
  <c r="K208" i="1"/>
  <c r="Z208" i="1" s="1"/>
  <c r="K200" i="1"/>
  <c r="Z198" i="1" s="1"/>
  <c r="K192" i="1"/>
  <c r="K176" i="1"/>
  <c r="Z176" i="1" s="1"/>
  <c r="K168" i="1"/>
  <c r="Z168" i="1" s="1"/>
  <c r="K215" i="1"/>
  <c r="Z212" i="1" s="1"/>
  <c r="K199" i="1"/>
  <c r="K183" i="1"/>
  <c r="Z183" i="1" s="1"/>
  <c r="K167" i="1"/>
  <c r="Z167" i="1" s="1"/>
  <c r="K223" i="1"/>
  <c r="Z223" i="1" s="1"/>
  <c r="K207" i="1"/>
  <c r="Z207" i="1" s="1"/>
  <c r="K191" i="1"/>
  <c r="K222" i="1"/>
  <c r="Z222" i="1" s="1"/>
  <c r="K206" i="1"/>
  <c r="K190" i="1"/>
  <c r="K182" i="1"/>
  <c r="K166" i="1"/>
  <c r="Z166" i="1" s="1"/>
  <c r="K213" i="1"/>
  <c r="Z210" i="1" s="1"/>
  <c r="K205" i="1"/>
  <c r="K189" i="1"/>
  <c r="Z188" i="1" s="1"/>
  <c r="K181" i="1"/>
  <c r="K165" i="1"/>
  <c r="Z165" i="1" s="1"/>
  <c r="K179" i="1"/>
  <c r="Z178" i="1" s="1"/>
  <c r="K204" i="1"/>
  <c r="Z202" i="1" s="1"/>
  <c r="K196" i="1"/>
  <c r="K180" i="1"/>
  <c r="K172" i="1"/>
  <c r="Z172" i="1" s="1"/>
  <c r="K164" i="1"/>
  <c r="Z164" i="1" s="1"/>
  <c r="K219" i="1"/>
  <c r="Z216" i="1" s="1"/>
  <c r="K203" i="1"/>
  <c r="Z201" i="1" s="1"/>
  <c r="K195" i="1"/>
  <c r="Z195" i="1" s="1"/>
  <c r="K187" i="1"/>
  <c r="K171" i="1"/>
  <c r="Z171" i="1" s="1"/>
  <c r="D19" i="1"/>
  <c r="B19" i="1"/>
  <c r="C19" i="1"/>
  <c r="AS6" i="1"/>
  <c r="AS5" i="7"/>
  <c r="AS6" i="7" s="1"/>
  <c r="C1" i="7"/>
  <c r="Z191" i="1" l="1"/>
  <c r="B29" i="1"/>
  <c r="D29" i="1"/>
  <c r="Z181" i="1"/>
  <c r="K26" i="1" s="1"/>
  <c r="A26" i="1" s="1"/>
  <c r="Z180" i="1"/>
  <c r="K23" i="1"/>
  <c r="A23" i="1" s="1"/>
  <c r="W178" i="1"/>
  <c r="H23" i="1" s="1"/>
  <c r="Z189" i="1"/>
  <c r="W189" i="1" s="1"/>
  <c r="H34" i="1" s="1"/>
  <c r="D65" i="1"/>
  <c r="W223" i="1"/>
  <c r="H68" i="1" s="1"/>
  <c r="K68" i="1"/>
  <c r="A68" i="1" s="1"/>
  <c r="W222" i="1"/>
  <c r="H67" i="1" s="1"/>
  <c r="K67" i="1"/>
  <c r="A67" i="1" s="1"/>
  <c r="C65" i="1"/>
  <c r="Z219" i="1"/>
  <c r="K64" i="1" s="1"/>
  <c r="A64" i="1" s="1"/>
  <c r="Z218" i="1"/>
  <c r="W218" i="1" s="1"/>
  <c r="H63" i="1" s="1"/>
  <c r="Z214" i="1"/>
  <c r="W214" i="1" s="1"/>
  <c r="H59" i="1" s="1"/>
  <c r="Z217" i="1"/>
  <c r="Z215" i="1"/>
  <c r="W215" i="1" s="1"/>
  <c r="H60" i="1" s="1"/>
  <c r="Z213" i="1"/>
  <c r="K58" i="1" s="1"/>
  <c r="A58" i="1" s="1"/>
  <c r="D56" i="1"/>
  <c r="C56" i="1"/>
  <c r="K54" i="1"/>
  <c r="A54" i="1" s="1"/>
  <c r="W209" i="1"/>
  <c r="H54" i="1" s="1"/>
  <c r="K53" i="1"/>
  <c r="A53" i="1" s="1"/>
  <c r="W208" i="1"/>
  <c r="H53" i="1" s="1"/>
  <c r="W207" i="1"/>
  <c r="H52" i="1" s="1"/>
  <c r="K52" i="1"/>
  <c r="A52" i="1" s="1"/>
  <c r="Z206" i="1"/>
  <c r="K51" i="1" s="1"/>
  <c r="A51" i="1" s="1"/>
  <c r="Z205" i="1"/>
  <c r="W205" i="1" s="1"/>
  <c r="H50" i="1" s="1"/>
  <c r="Z204" i="1"/>
  <c r="K49" i="1" s="1"/>
  <c r="A49" i="1" s="1"/>
  <c r="Z203" i="1"/>
  <c r="W203" i="1" s="1"/>
  <c r="H48" i="1" s="1"/>
  <c r="Z200" i="1"/>
  <c r="K45" i="1" s="1"/>
  <c r="A45" i="1" s="1"/>
  <c r="Z197" i="1"/>
  <c r="W197" i="1" s="1"/>
  <c r="H42" i="1" s="1"/>
  <c r="Z199" i="1"/>
  <c r="Z194" i="1"/>
  <c r="K39" i="1" s="1"/>
  <c r="A39" i="1" s="1"/>
  <c r="Z196" i="1"/>
  <c r="K40" i="1"/>
  <c r="A40" i="1" s="1"/>
  <c r="W195" i="1"/>
  <c r="H40" i="1" s="1"/>
  <c r="Z193" i="1"/>
  <c r="W193" i="1" s="1"/>
  <c r="H38" i="1" s="1"/>
  <c r="Z192" i="1"/>
  <c r="K37" i="1" s="1"/>
  <c r="A37" i="1" s="1"/>
  <c r="Z190" i="1"/>
  <c r="W190" i="1" s="1"/>
  <c r="H35" i="1" s="1"/>
  <c r="Z186" i="1"/>
  <c r="K31" i="1" s="1"/>
  <c r="A31" i="1" s="1"/>
  <c r="Z187" i="1"/>
  <c r="K28" i="1"/>
  <c r="A28" i="1" s="1"/>
  <c r="W183" i="1"/>
  <c r="H28" i="1" s="1"/>
  <c r="Z182" i="1"/>
  <c r="W182" i="1" s="1"/>
  <c r="H27" i="1" s="1"/>
  <c r="Z179" i="1"/>
  <c r="K24" i="1" s="1"/>
  <c r="A24" i="1" s="1"/>
  <c r="K15" i="1"/>
  <c r="A15" i="1" s="1"/>
  <c r="W170" i="1"/>
  <c r="H15" i="1" s="1"/>
  <c r="K47" i="1"/>
  <c r="A47" i="1" s="1"/>
  <c r="W202" i="1"/>
  <c r="H47" i="1" s="1"/>
  <c r="W185" i="1"/>
  <c r="H30" i="1" s="1"/>
  <c r="K30" i="1"/>
  <c r="A30" i="1" s="1"/>
  <c r="W169" i="1"/>
  <c r="H14" i="1" s="1"/>
  <c r="K14" i="1"/>
  <c r="A14" i="1" s="1"/>
  <c r="K55" i="1"/>
  <c r="A55" i="1" s="1"/>
  <c r="W210" i="1"/>
  <c r="H55" i="1" s="1"/>
  <c r="K16" i="1"/>
  <c r="A16" i="1" s="1"/>
  <c r="W171" i="1"/>
  <c r="H16" i="1" s="1"/>
  <c r="W212" i="1"/>
  <c r="H57" i="1" s="1"/>
  <c r="K57" i="1"/>
  <c r="A57" i="1" s="1"/>
  <c r="W177" i="1"/>
  <c r="H22" i="1" s="1"/>
  <c r="K22" i="1"/>
  <c r="A22" i="1" s="1"/>
  <c r="W198" i="1"/>
  <c r="H43" i="1" s="1"/>
  <c r="K43" i="1"/>
  <c r="A43" i="1" s="1"/>
  <c r="W167" i="1"/>
  <c r="H12" i="1" s="1"/>
  <c r="K12" i="1"/>
  <c r="A12" i="1" s="1"/>
  <c r="W165" i="1"/>
  <c r="H10" i="1" s="1"/>
  <c r="K10" i="1"/>
  <c r="A10" i="1" s="1"/>
  <c r="K61" i="1"/>
  <c r="A61" i="1" s="1"/>
  <c r="W216" i="1"/>
  <c r="H61" i="1" s="1"/>
  <c r="K25" i="1"/>
  <c r="A25" i="1" s="1"/>
  <c r="W180" i="1"/>
  <c r="H25" i="1" s="1"/>
  <c r="W168" i="1"/>
  <c r="H13" i="1" s="1"/>
  <c r="K13" i="1"/>
  <c r="A13" i="1" s="1"/>
  <c r="W201" i="1"/>
  <c r="H46" i="1" s="1"/>
  <c r="K46" i="1"/>
  <c r="A46" i="1" s="1"/>
  <c r="W164" i="1"/>
  <c r="H9" i="1" s="1"/>
  <c r="K9" i="1"/>
  <c r="A9" i="1" s="1"/>
  <c r="K33" i="1"/>
  <c r="A33" i="1" s="1"/>
  <c r="W188" i="1"/>
  <c r="H33" i="1" s="1"/>
  <c r="W176" i="1"/>
  <c r="H21" i="1" s="1"/>
  <c r="K21" i="1"/>
  <c r="A21" i="1" s="1"/>
  <c r="W166" i="1"/>
  <c r="H11" i="1" s="1"/>
  <c r="K11" i="1"/>
  <c r="A11" i="1" s="1"/>
  <c r="W172" i="1"/>
  <c r="H17" i="1" s="1"/>
  <c r="K17" i="1"/>
  <c r="A17" i="1" s="1"/>
  <c r="W191" i="1"/>
  <c r="H36" i="1" s="1"/>
  <c r="K36" i="1"/>
  <c r="A36" i="1" s="1"/>
  <c r="C1" i="1"/>
  <c r="W181" i="1" l="1"/>
  <c r="H26" i="1" s="1"/>
  <c r="K34" i="1"/>
  <c r="A34" i="1" s="1"/>
  <c r="B23" i="1"/>
  <c r="C23" i="1"/>
  <c r="D23" i="1"/>
  <c r="W219" i="1"/>
  <c r="H64" i="1" s="1"/>
  <c r="D68" i="1"/>
  <c r="C68" i="1"/>
  <c r="B68" i="1"/>
  <c r="K63" i="1"/>
  <c r="A63" i="1" s="1"/>
  <c r="C63" i="1" s="1"/>
  <c r="D67" i="1"/>
  <c r="B67" i="1"/>
  <c r="C67" i="1"/>
  <c r="K59" i="1"/>
  <c r="A59" i="1" s="1"/>
  <c r="C59" i="1" s="1"/>
  <c r="W204" i="1"/>
  <c r="H49" i="1" s="1"/>
  <c r="K60" i="1"/>
  <c r="A60" i="1" s="1"/>
  <c r="D60" i="1" s="1"/>
  <c r="W217" i="1"/>
  <c r="H62" i="1" s="1"/>
  <c r="K62" i="1"/>
  <c r="A62" i="1" s="1"/>
  <c r="W213" i="1"/>
  <c r="H58" i="1" s="1"/>
  <c r="C54" i="1"/>
  <c r="B54" i="1"/>
  <c r="D54" i="1"/>
  <c r="B53" i="1"/>
  <c r="D53" i="1"/>
  <c r="C53" i="1"/>
  <c r="K50" i="1"/>
  <c r="A50" i="1" s="1"/>
  <c r="D50" i="1" s="1"/>
  <c r="D52" i="1"/>
  <c r="C52" i="1"/>
  <c r="B52" i="1"/>
  <c r="W206" i="1"/>
  <c r="H51" i="1" s="1"/>
  <c r="W200" i="1"/>
  <c r="H45" i="1" s="1"/>
  <c r="K48" i="1"/>
  <c r="A48" i="1" s="1"/>
  <c r="C48" i="1" s="1"/>
  <c r="K42" i="1"/>
  <c r="A42" i="1" s="1"/>
  <c r="D42" i="1" s="1"/>
  <c r="W194" i="1"/>
  <c r="H39" i="1" s="1"/>
  <c r="W199" i="1"/>
  <c r="H44" i="1" s="1"/>
  <c r="K44" i="1"/>
  <c r="A44" i="1" s="1"/>
  <c r="K41" i="1"/>
  <c r="A41" i="1" s="1"/>
  <c r="W196" i="1"/>
  <c r="H41" i="1" s="1"/>
  <c r="C40" i="1"/>
  <c r="D40" i="1"/>
  <c r="B40" i="1"/>
  <c r="K38" i="1"/>
  <c r="A38" i="1" s="1"/>
  <c r="C38" i="1" s="1"/>
  <c r="K35" i="1"/>
  <c r="A35" i="1" s="1"/>
  <c r="D35" i="1" s="1"/>
  <c r="W192" i="1"/>
  <c r="H37" i="1" s="1"/>
  <c r="W186" i="1"/>
  <c r="H31" i="1" s="1"/>
  <c r="W187" i="1"/>
  <c r="H32" i="1" s="1"/>
  <c r="K32" i="1"/>
  <c r="A32" i="1" s="1"/>
  <c r="W179" i="1"/>
  <c r="H24" i="1" s="1"/>
  <c r="K27" i="1"/>
  <c r="A27" i="1" s="1"/>
  <c r="B27" i="1" s="1"/>
  <c r="B28" i="1"/>
  <c r="C28" i="1"/>
  <c r="D28" i="1"/>
  <c r="D36" i="1"/>
  <c r="C36" i="1"/>
  <c r="B36" i="1"/>
  <c r="C37" i="1"/>
  <c r="B37" i="1"/>
  <c r="D37" i="1"/>
  <c r="B47" i="1"/>
  <c r="D47" i="1"/>
  <c r="C47" i="1"/>
  <c r="B11" i="1"/>
  <c r="C11" i="1"/>
  <c r="D11" i="1"/>
  <c r="C13" i="1"/>
  <c r="B13" i="1"/>
  <c r="D13" i="1"/>
  <c r="B10" i="1"/>
  <c r="C10" i="1"/>
  <c r="D10" i="1"/>
  <c r="B22" i="1"/>
  <c r="D22" i="1"/>
  <c r="C22" i="1"/>
  <c r="B45" i="1"/>
  <c r="C45" i="1"/>
  <c r="D45" i="1"/>
  <c r="C61" i="1"/>
  <c r="D61" i="1"/>
  <c r="B61" i="1"/>
  <c r="D33" i="1"/>
  <c r="B33" i="1"/>
  <c r="C33" i="1"/>
  <c r="B58" i="1"/>
  <c r="C58" i="1"/>
  <c r="D58" i="1"/>
  <c r="B31" i="1"/>
  <c r="D31" i="1"/>
  <c r="C31" i="1"/>
  <c r="B39" i="1"/>
  <c r="D39" i="1"/>
  <c r="C39" i="1"/>
  <c r="B55" i="1"/>
  <c r="C55" i="1"/>
  <c r="D55" i="1"/>
  <c r="B9" i="1"/>
  <c r="D9" i="1"/>
  <c r="C9" i="1"/>
  <c r="D63" i="1"/>
  <c r="D12" i="1"/>
  <c r="C12" i="1"/>
  <c r="B12" i="1"/>
  <c r="B57" i="1"/>
  <c r="C57" i="1"/>
  <c r="D57" i="1"/>
  <c r="B14" i="1"/>
  <c r="C14" i="1"/>
  <c r="D14" i="1"/>
  <c r="D30" i="1"/>
  <c r="C30" i="1"/>
  <c r="B30" i="1"/>
  <c r="B51" i="1"/>
  <c r="C51" i="1"/>
  <c r="D51" i="1"/>
  <c r="B64" i="1"/>
  <c r="C64" i="1"/>
  <c r="D64" i="1"/>
  <c r="C34" i="1"/>
  <c r="B34" i="1"/>
  <c r="D34" i="1"/>
  <c r="D17" i="1"/>
  <c r="B17" i="1"/>
  <c r="C17" i="1"/>
  <c r="B21" i="1"/>
  <c r="C21" i="1"/>
  <c r="D21" i="1"/>
  <c r="C46" i="1"/>
  <c r="B46" i="1"/>
  <c r="D46" i="1"/>
  <c r="C43" i="1"/>
  <c r="D43" i="1"/>
  <c r="B43" i="1"/>
  <c r="D26" i="1"/>
  <c r="B26" i="1"/>
  <c r="C26" i="1"/>
  <c r="D49" i="1"/>
  <c r="B49" i="1"/>
  <c r="C49" i="1"/>
  <c r="D25" i="1"/>
  <c r="C25" i="1"/>
  <c r="B25" i="1"/>
  <c r="D16" i="1"/>
  <c r="B16" i="1"/>
  <c r="C16" i="1"/>
  <c r="B24" i="1"/>
  <c r="C24" i="1"/>
  <c r="D24" i="1"/>
  <c r="B15" i="1"/>
  <c r="D15" i="1"/>
  <c r="C15" i="1"/>
  <c r="AO36" i="4"/>
  <c r="AQ36" i="4" s="1"/>
  <c r="AO35" i="4"/>
  <c r="AO32" i="4"/>
  <c r="AO30" i="4"/>
  <c r="AO28" i="4"/>
  <c r="D59" i="1" l="1"/>
  <c r="B63" i="1"/>
  <c r="B59" i="1"/>
  <c r="B60" i="1"/>
  <c r="C60" i="1"/>
  <c r="D62" i="1"/>
  <c r="B62" i="1"/>
  <c r="C62" i="1"/>
  <c r="B50" i="1"/>
  <c r="B48" i="1"/>
  <c r="D48" i="1"/>
  <c r="C42" i="1"/>
  <c r="B42" i="1"/>
  <c r="C50" i="1"/>
  <c r="D44" i="1"/>
  <c r="C44" i="1"/>
  <c r="B44" i="1"/>
  <c r="D38" i="1"/>
  <c r="B38" i="1"/>
  <c r="D41" i="1"/>
  <c r="B41" i="1"/>
  <c r="C41" i="1"/>
  <c r="B35" i="1"/>
  <c r="C35" i="1"/>
  <c r="C32" i="1"/>
  <c r="B32" i="1"/>
  <c r="D32" i="1"/>
  <c r="D27" i="1"/>
  <c r="C27" i="1"/>
  <c r="AQ28" i="4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E318" i="1" s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Y36" i="1" l="1"/>
  <c r="V36" i="1" s="1"/>
  <c r="Y15" i="1"/>
  <c r="V15" i="1" s="1"/>
  <c r="G317" i="1"/>
  <c r="Y52" i="1"/>
  <c r="V52" i="1" s="1"/>
  <c r="DD40" i="1"/>
  <c r="DF37" i="1"/>
  <c r="GL43" i="1"/>
  <c r="HI51" i="1"/>
  <c r="BP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JD15" i="1" a="1"/>
  <c r="JD15" i="1" s="1"/>
  <c r="JD16" i="1" a="1"/>
  <c r="JD16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G311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BP53" i="1" s="1"/>
  <c r="Z51" i="1"/>
  <c r="AA51" i="1"/>
  <c r="N51" i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E311" i="1" s="1"/>
  <c r="N207" i="7"/>
  <c r="AV52" i="1"/>
  <c r="BP52" i="1" s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BP61" i="1" s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BP55" i="1" s="1"/>
  <c r="N210" i="7"/>
  <c r="AV63" i="1"/>
  <c r="BP63" i="1" s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BP56" i="1" s="1"/>
  <c r="N211" i="7"/>
  <c r="AV64" i="1"/>
  <c r="N219" i="7"/>
  <c r="AV72" i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BP57" i="1" s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BP50" i="1" s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BP75" i="1" s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G312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AZ51" i="1"/>
  <c r="GM51" i="1" s="1"/>
  <c r="DF51" i="1"/>
  <c r="GL51" i="1"/>
  <c r="BF51" i="1"/>
  <c r="BI51" i="1" s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BG3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G35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DJ37" i="1" l="1"/>
  <c r="IX52" i="1"/>
  <c r="IX36" i="1"/>
  <c r="G338" i="1"/>
  <c r="G354" i="1"/>
  <c r="BG19" i="1"/>
  <c r="Y42" i="1"/>
  <c r="V42" i="1" s="1"/>
  <c r="G344" i="1"/>
  <c r="X9" i="1"/>
  <c r="AQ9" i="1" s="1"/>
  <c r="F311" i="1"/>
  <c r="X36" i="1"/>
  <c r="AQ36" i="1" s="1"/>
  <c r="Y35" i="1"/>
  <c r="V35" i="1" s="1"/>
  <c r="G337" i="1"/>
  <c r="Y54" i="1"/>
  <c r="G356" i="1"/>
  <c r="Y22" i="1"/>
  <c r="IX22" i="1" s="1"/>
  <c r="G324" i="1"/>
  <c r="Y16" i="1"/>
  <c r="V16" i="1" s="1"/>
  <c r="G318" i="1"/>
  <c r="Y49" i="1"/>
  <c r="V49" i="1" s="1"/>
  <c r="G351" i="1"/>
  <c r="Y29" i="1"/>
  <c r="IS35" i="1" s="1"/>
  <c r="G331" i="1"/>
  <c r="Y21" i="1"/>
  <c r="IX21" i="1" s="1"/>
  <c r="G323" i="1"/>
  <c r="Y25" i="1"/>
  <c r="V25" i="1" s="1"/>
  <c r="G327" i="1"/>
  <c r="Y12" i="1"/>
  <c r="V12" i="1" s="1"/>
  <c r="G314" i="1"/>
  <c r="Y38" i="1"/>
  <c r="V38" i="1" s="1"/>
  <c r="G340" i="1"/>
  <c r="Y46" i="1"/>
  <c r="IX46" i="1" s="1"/>
  <c r="G348" i="1"/>
  <c r="Y43" i="1"/>
  <c r="V43" i="1" s="1"/>
  <c r="G345" i="1"/>
  <c r="Y50" i="1"/>
  <c r="V50" i="1" s="1"/>
  <c r="G352" i="1"/>
  <c r="Y13" i="1"/>
  <c r="V13" i="1" s="1"/>
  <c r="G315" i="1"/>
  <c r="Y20" i="1"/>
  <c r="IX20" i="1" s="1"/>
  <c r="G322" i="1"/>
  <c r="Y51" i="1"/>
  <c r="V51" i="1" s="1"/>
  <c r="G353" i="1"/>
  <c r="Y47" i="1"/>
  <c r="V47" i="1" s="1"/>
  <c r="G349" i="1"/>
  <c r="Y33" i="1"/>
  <c r="V33" i="1" s="1"/>
  <c r="G335" i="1"/>
  <c r="Y26" i="1"/>
  <c r="IS30" i="1" s="1"/>
  <c r="G328" i="1"/>
  <c r="Y18" i="1"/>
  <c r="V18" i="1" s="1"/>
  <c r="G320" i="1"/>
  <c r="Y40" i="1"/>
  <c r="V40" i="1" s="1"/>
  <c r="G342" i="1"/>
  <c r="Y32" i="1"/>
  <c r="IX32" i="1" s="1"/>
  <c r="G334" i="1"/>
  <c r="Y24" i="1"/>
  <c r="V24" i="1" s="1"/>
  <c r="G326" i="1"/>
  <c r="Y28" i="1"/>
  <c r="V28" i="1" s="1"/>
  <c r="G330" i="1"/>
  <c r="Y34" i="1"/>
  <c r="V34" i="1" s="1"/>
  <c r="G336" i="1"/>
  <c r="Y17" i="1"/>
  <c r="V17" i="1" s="1"/>
  <c r="G319" i="1"/>
  <c r="Y14" i="1"/>
  <c r="IS20" i="1" s="1"/>
  <c r="G316" i="1"/>
  <c r="Y53" i="1"/>
  <c r="V53" i="1" s="1"/>
  <c r="G355" i="1"/>
  <c r="Y44" i="1"/>
  <c r="V44" i="1" s="1"/>
  <c r="G346" i="1"/>
  <c r="Y31" i="1"/>
  <c r="V31" i="1" s="1"/>
  <c r="G333" i="1"/>
  <c r="Y45" i="1"/>
  <c r="G347" i="1"/>
  <c r="Y37" i="1"/>
  <c r="V37" i="1" s="1"/>
  <c r="G339" i="1"/>
  <c r="Y30" i="1"/>
  <c r="V30" i="1" s="1"/>
  <c r="G332" i="1"/>
  <c r="Y27" i="1"/>
  <c r="G329" i="1"/>
  <c r="Y41" i="1"/>
  <c r="IS47" i="1" s="1"/>
  <c r="G343" i="1"/>
  <c r="Y48" i="1"/>
  <c r="V48" i="1" s="1"/>
  <c r="G350" i="1"/>
  <c r="Y11" i="1"/>
  <c r="V11" i="1" s="1"/>
  <c r="G313" i="1"/>
  <c r="Y39" i="1"/>
  <c r="V39" i="1" s="1"/>
  <c r="G341" i="1"/>
  <c r="Y23" i="1"/>
  <c r="IX23" i="1" s="1"/>
  <c r="G325" i="1"/>
  <c r="Y19" i="1"/>
  <c r="V19" i="1" s="1"/>
  <c r="G321" i="1"/>
  <c r="GV43" i="1"/>
  <c r="GX43" i="1" s="1"/>
  <c r="DJ21" i="1"/>
  <c r="GM114" i="1"/>
  <c r="BP114" i="1"/>
  <c r="FX82" i="1"/>
  <c r="BP82" i="1"/>
  <c r="GL18" i="1"/>
  <c r="GS97" i="1"/>
  <c r="BP97" i="1"/>
  <c r="DG65" i="1"/>
  <c r="BP65" i="1"/>
  <c r="DV96" i="1"/>
  <c r="BP96" i="1"/>
  <c r="EV64" i="1"/>
  <c r="BP64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BB125" i="1"/>
  <c r="BP125" i="1"/>
  <c r="CD93" i="1"/>
  <c r="BP93" i="1"/>
  <c r="BM68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CW66" i="1"/>
  <c r="BP66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BP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EH54" i="1"/>
  <c r="BP54" i="1"/>
  <c r="GW99" i="1"/>
  <c r="BP99" i="1"/>
  <c r="CR101" i="1"/>
  <c r="BP101" i="1"/>
  <c r="CW108" i="1"/>
  <c r="BP108" i="1"/>
  <c r="CS60" i="1"/>
  <c r="BP60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T51" i="1" s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25" i="1"/>
  <c r="IX83" i="1"/>
  <c r="IX16" i="1"/>
  <c r="IS109" i="1"/>
  <c r="IX26" i="1"/>
  <c r="IX94" i="1"/>
  <c r="IX64" i="1"/>
  <c r="V97" i="1"/>
  <c r="IX17" i="1"/>
  <c r="IX60" i="1"/>
  <c r="IX73" i="1"/>
  <c r="IX24" i="1"/>
  <c r="IX91" i="1"/>
  <c r="IS87" i="1"/>
  <c r="IX68" i="1"/>
  <c r="IX27" i="1"/>
  <c r="IX82" i="1"/>
  <c r="V102" i="1"/>
  <c r="IS37" i="1"/>
  <c r="IS106" i="1"/>
  <c r="IX61" i="1"/>
  <c r="IX95" i="1"/>
  <c r="IS75" i="1"/>
  <c r="IS110" i="1"/>
  <c r="IX38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54" i="1"/>
  <c r="IS64" i="1"/>
  <c r="IX55" i="1"/>
  <c r="AC25" i="1"/>
  <c r="AC86" i="1"/>
  <c r="Q90" i="1"/>
  <c r="Q96" i="1"/>
  <c r="IS60" i="1"/>
  <c r="Y16" i="4"/>
  <c r="Y15" i="4"/>
  <c r="X14" i="4"/>
  <c r="X15" i="4"/>
  <c r="V15" i="4"/>
  <c r="IS24" i="1"/>
  <c r="IS81" i="1"/>
  <c r="IX67" i="1"/>
  <c r="IS40" i="1"/>
  <c r="V93" i="1"/>
  <c r="IX93" i="1"/>
  <c r="IS16" i="1"/>
  <c r="IS21" i="1"/>
  <c r="IS45" i="1"/>
  <c r="IX29" i="1"/>
  <c r="IX118" i="1"/>
  <c r="IX80" i="1"/>
  <c r="IS101" i="1"/>
  <c r="IS80" i="1"/>
  <c r="IX66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X54" i="1"/>
  <c r="IS63" i="1"/>
  <c r="IS100" i="1"/>
  <c r="IX79" i="1"/>
  <c r="AQ97" i="1"/>
  <c r="IW97" i="1"/>
  <c r="IG97" i="1" s="1"/>
  <c r="AQ82" i="1"/>
  <c r="IX44" i="1"/>
  <c r="IX117" i="1"/>
  <c r="IS118" i="1"/>
  <c r="IX102" i="1"/>
  <c r="IS27" i="1"/>
  <c r="IS66" i="1"/>
  <c r="IS44" i="1"/>
  <c r="IS26" i="1"/>
  <c r="IS43" i="1"/>
  <c r="V65" i="1"/>
  <c r="IS79" i="1"/>
  <c r="IX65" i="1"/>
  <c r="IS67" i="1"/>
  <c r="AQ111" i="1"/>
  <c r="IW111" i="1"/>
  <c r="IG111" i="1" s="1"/>
  <c r="IS62" i="1"/>
  <c r="DY118" i="1"/>
  <c r="GF118" i="1"/>
  <c r="Q15" i="1"/>
  <c r="E317" i="1" s="1"/>
  <c r="BD118" i="1"/>
  <c r="CO13" i="1"/>
  <c r="EP118" i="1"/>
  <c r="CZ118" i="1"/>
  <c r="GB118" i="1"/>
  <c r="AE54" i="1"/>
  <c r="Q17" i="1"/>
  <c r="E319" i="1" s="1"/>
  <c r="CQ122" i="1"/>
  <c r="BG70" i="1"/>
  <c r="DB70" i="1"/>
  <c r="DC102" i="1"/>
  <c r="GM70" i="1"/>
  <c r="Q40" i="1"/>
  <c r="AQ57" i="1"/>
  <c r="Q38" i="1"/>
  <c r="R32" i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EQ112" i="1"/>
  <c r="BZ70" i="1"/>
  <c r="EU70" i="1"/>
  <c r="EY70" i="1" s="1"/>
  <c r="BI70" i="1"/>
  <c r="CV102" i="1"/>
  <c r="AZ70" i="1"/>
  <c r="DR102" i="1"/>
  <c r="GJ70" i="1"/>
  <c r="DD70" i="1"/>
  <c r="DI70" i="1"/>
  <c r="BE78" i="1"/>
  <c r="BW102" i="1"/>
  <c r="BJ70" i="1"/>
  <c r="BZ102" i="1"/>
  <c r="HI70" i="1"/>
  <c r="Q45" i="1"/>
  <c r="CD86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AF95" i="1"/>
  <c r="AM95" i="1" s="1"/>
  <c r="GL86" i="1"/>
  <c r="FK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FX54" i="1"/>
  <c r="AF46" i="1"/>
  <c r="AI46" i="1" s="1"/>
  <c r="DV54" i="1"/>
  <c r="Q108" i="1"/>
  <c r="BM86" i="1"/>
  <c r="GJ86" i="1"/>
  <c r="AZ54" i="1"/>
  <c r="BQ54" i="1"/>
  <c r="V68" i="1"/>
  <c r="V101" i="1"/>
  <c r="AD46" i="1"/>
  <c r="AH46" i="1" s="1"/>
  <c r="DK86" i="1"/>
  <c r="GU86" i="1"/>
  <c r="BT86" i="1"/>
  <c r="DE86" i="1"/>
  <c r="FV54" i="1"/>
  <c r="BZ86" i="1"/>
  <c r="CI86" i="1"/>
  <c r="AJ102" i="1"/>
  <c r="Q100" i="1"/>
  <c r="AC46" i="1"/>
  <c r="EY86" i="1"/>
  <c r="DD86" i="1"/>
  <c r="DB86" i="1"/>
  <c r="DJ86" i="1"/>
  <c r="AC32" i="1"/>
  <c r="FE54" i="1"/>
  <c r="AE112" i="1"/>
  <c r="BK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ET86" i="1"/>
  <c r="DH86" i="1"/>
  <c r="DI86" i="1"/>
  <c r="GK86" i="1"/>
  <c r="V70" i="1"/>
  <c r="BG86" i="1"/>
  <c r="GM86" i="1"/>
  <c r="HI86" i="1"/>
  <c r="DT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BZ52" i="1"/>
  <c r="GW52" i="1"/>
  <c r="GV52" i="1" s="1"/>
  <c r="BY52" i="1"/>
  <c r="HI52" i="1"/>
  <c r="BG52" i="1"/>
  <c r="AZ52" i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GM52" i="1"/>
  <c r="CO52" i="1"/>
  <c r="CI52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BG74" i="1"/>
  <c r="GJ74" i="1"/>
  <c r="HI74" i="1"/>
  <c r="DG74" i="1"/>
  <c r="DH74" i="1"/>
  <c r="DJ74" i="1"/>
  <c r="EU74" i="1"/>
  <c r="EY74" i="1" s="1"/>
  <c r="CD71" i="1"/>
  <c r="GX74" i="1"/>
  <c r="FB115" i="1"/>
  <c r="DO115" i="1"/>
  <c r="BN83" i="1"/>
  <c r="BP83" i="1" s="1"/>
  <c r="AZ74" i="1"/>
  <c r="BM74" i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J71" i="1"/>
  <c r="GM71" i="1"/>
  <c r="EY71" i="1"/>
  <c r="DG71" i="1"/>
  <c r="BG71" i="1"/>
  <c r="BJ71" i="1"/>
  <c r="DF71" i="1"/>
  <c r="ES71" i="1"/>
  <c r="BH71" i="1"/>
  <c r="GU71" i="1"/>
  <c r="GL71" i="1"/>
  <c r="BD71" i="1"/>
  <c r="GW71" i="1"/>
  <c r="DC71" i="1"/>
  <c r="DH71" i="1"/>
  <c r="BF71" i="1"/>
  <c r="DE71" i="1"/>
  <c r="BI71" i="1"/>
  <c r="BV71" i="1"/>
  <c r="DT71" i="1"/>
  <c r="BZ71" i="1"/>
  <c r="BW71" i="1"/>
  <c r="DK71" i="1"/>
  <c r="BL71" i="1"/>
  <c r="BM71" i="1"/>
  <c r="CO71" i="1"/>
  <c r="BK71" i="1"/>
  <c r="GK71" i="1"/>
  <c r="EU71" i="1"/>
  <c r="BT71" i="1"/>
  <c r="BS71" i="1"/>
  <c r="DI71" i="1"/>
  <c r="BN71" i="1"/>
  <c r="BP71" i="1" s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Z68" i="1"/>
  <c r="DE68" i="1"/>
  <c r="CO68" i="1"/>
  <c r="GV68" i="1"/>
  <c r="GK68" i="1"/>
  <c r="BY68" i="1"/>
  <c r="DG68" i="1"/>
  <c r="BG68" i="1"/>
  <c r="DC68" i="1"/>
  <c r="DK68" i="1"/>
  <c r="BD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AC38" i="1"/>
  <c r="AD38" i="1"/>
  <c r="AH38" i="1" s="1"/>
  <c r="AE38" i="1"/>
  <c r="ET38" i="1" s="1"/>
  <c r="AF38" i="1"/>
  <c r="AM38" i="1" s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CD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U74" i="1"/>
  <c r="DT74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DJ71" i="1"/>
  <c r="FT88" i="1"/>
  <c r="HB88" i="1"/>
  <c r="HD129" i="1"/>
  <c r="EW106" i="1"/>
  <c r="CP106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CQ125" i="1"/>
  <c r="HE106" i="1"/>
  <c r="EV106" i="1"/>
  <c r="FE106" i="1"/>
  <c r="DK106" i="1"/>
  <c r="BH106" i="1"/>
  <c r="BV106" i="1"/>
  <c r="GV74" i="1"/>
  <c r="GW74" i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R49" i="1"/>
  <c r="AD43" i="1"/>
  <c r="V59" i="1"/>
  <c r="V60" i="1"/>
  <c r="Q12" i="1"/>
  <c r="E314" i="1" s="1"/>
  <c r="V54" i="1"/>
  <c r="CR122" i="1"/>
  <c r="CX109" i="1"/>
  <c r="CJ77" i="1"/>
  <c r="HE90" i="1"/>
  <c r="EL122" i="1"/>
  <c r="DA90" i="1"/>
  <c r="CK105" i="1"/>
  <c r="FT122" i="1"/>
  <c r="FJ122" i="1"/>
  <c r="Q13" i="1"/>
  <c r="E315" i="1" s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GV58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EY67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BM67" i="1"/>
  <c r="BK67" i="1"/>
  <c r="AZ67" i="1"/>
  <c r="CI67" i="1"/>
  <c r="EU67" i="1"/>
  <c r="GJ67" i="1"/>
  <c r="FK67" i="1"/>
  <c r="HI67" i="1"/>
  <c r="DJ67" i="1"/>
  <c r="GL67" i="1"/>
  <c r="DF67" i="1"/>
  <c r="DD67" i="1"/>
  <c r="GK67" i="1"/>
  <c r="GM67" i="1"/>
  <c r="BL67" i="1"/>
  <c r="BS67" i="1"/>
  <c r="BV67" i="1"/>
  <c r="DB67" i="1"/>
  <c r="BW67" i="1"/>
  <c r="GX67" i="1"/>
  <c r="DC67" i="1"/>
  <c r="GV67" i="1"/>
  <c r="BH67" i="1"/>
  <c r="ES67" i="1"/>
  <c r="DK67" i="1"/>
  <c r="BD67" i="1"/>
  <c r="BY67" i="1"/>
  <c r="GW67" i="1"/>
  <c r="BF67" i="1"/>
  <c r="BZ67" i="1"/>
  <c r="BN67" i="1"/>
  <c r="BP67" i="1" s="1"/>
  <c r="ET67" i="1"/>
  <c r="CD67" i="1"/>
  <c r="CO67" i="1"/>
  <c r="BJ67" i="1"/>
  <c r="DE67" i="1"/>
  <c r="DH67" i="1"/>
  <c r="BI67" i="1"/>
  <c r="DI67" i="1"/>
  <c r="GU67" i="1"/>
  <c r="EU58" i="1"/>
  <c r="GL58" i="1"/>
  <c r="BI58" i="1"/>
  <c r="BG58" i="1"/>
  <c r="DE58" i="1"/>
  <c r="DF58" i="1"/>
  <c r="DH58" i="1"/>
  <c r="BV58" i="1"/>
  <c r="BM58" i="1"/>
  <c r="BT58" i="1"/>
  <c r="ET58" i="1"/>
  <c r="BY58" i="1"/>
  <c r="CO58" i="1"/>
  <c r="GM58" i="1"/>
  <c r="GU58" i="1"/>
  <c r="DC58" i="1"/>
  <c r="DT58" i="1"/>
  <c r="EY58" i="1"/>
  <c r="GK58" i="1"/>
  <c r="GX58" i="1"/>
  <c r="BN58" i="1"/>
  <c r="BP58" i="1" s="1"/>
  <c r="BH58" i="1"/>
  <c r="GW58" i="1"/>
  <c r="AZ58" i="1"/>
  <c r="BD58" i="1"/>
  <c r="DJ58" i="1"/>
  <c r="DI58" i="1"/>
  <c r="DB58" i="1"/>
  <c r="BL58" i="1"/>
  <c r="ES58" i="1"/>
  <c r="GJ58" i="1"/>
  <c r="DG58" i="1"/>
  <c r="BJ58" i="1"/>
  <c r="BO58" i="1" s="1"/>
  <c r="HI58" i="1"/>
  <c r="FK58" i="1"/>
  <c r="CI58" i="1"/>
  <c r="DD58" i="1"/>
  <c r="CD58" i="1"/>
  <c r="DG33" i="1"/>
  <c r="BF32" i="1"/>
  <c r="DE32" i="1"/>
  <c r="GM87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EP77" i="1"/>
  <c r="EJ77" i="1"/>
  <c r="DB109" i="1"/>
  <c r="CT109" i="1"/>
  <c r="ET77" i="1"/>
  <c r="BV77" i="1"/>
  <c r="CH7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K58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P87" i="1" s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GA66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I73" i="1"/>
  <c r="DC73" i="1"/>
  <c r="BT73" i="1"/>
  <c r="BI73" i="1"/>
  <c r="BV73" i="1"/>
  <c r="BS73" i="1"/>
  <c r="GV73" i="1"/>
  <c r="GX73" i="1" s="1"/>
  <c r="BF73" i="1"/>
  <c r="DE73" i="1"/>
  <c r="CI73" i="1"/>
  <c r="GW73" i="1"/>
  <c r="DJ73" i="1"/>
  <c r="BG73" i="1"/>
  <c r="CO73" i="1"/>
  <c r="BH73" i="1"/>
  <c r="GU73" i="1"/>
  <c r="BZ73" i="1"/>
  <c r="GK73" i="1"/>
  <c r="BL73" i="1"/>
  <c r="DB73" i="1"/>
  <c r="GJ73" i="1"/>
  <c r="DF73" i="1"/>
  <c r="DK73" i="1"/>
  <c r="DT73" i="1" s="1"/>
  <c r="BN73" i="1"/>
  <c r="BP73" i="1" s="1"/>
  <c r="CF73" i="1" s="1"/>
  <c r="CL73" i="1" s="1"/>
  <c r="BJ73" i="1"/>
  <c r="BO73" i="1" s="1"/>
  <c r="AZ73" i="1"/>
  <c r="DD73" i="1"/>
  <c r="BY73" i="1"/>
  <c r="BK73" i="1"/>
  <c r="CD73" i="1"/>
  <c r="BD73" i="1"/>
  <c r="BW73" i="1"/>
  <c r="GL73" i="1"/>
  <c r="HI73" i="1"/>
  <c r="BM73" i="1"/>
  <c r="FK73" i="1"/>
  <c r="EY73" i="1"/>
  <c r="GM73" i="1"/>
  <c r="ET73" i="1"/>
  <c r="BQ73" i="1"/>
  <c r="CG73" i="1" s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BO72" i="1"/>
  <c r="EY72" i="1"/>
  <c r="DK72" i="1"/>
  <c r="BK72" i="1"/>
  <c r="BL72" i="1"/>
  <c r="GV72" i="1"/>
  <c r="DI72" i="1"/>
  <c r="ES72" i="1"/>
  <c r="CD72" i="1"/>
  <c r="CO72" i="1"/>
  <c r="ET72" i="1"/>
  <c r="BT72" i="1"/>
  <c r="BG72" i="1"/>
  <c r="HI72" i="1"/>
  <c r="DE72" i="1"/>
  <c r="BD72" i="1"/>
  <c r="GJ72" i="1"/>
  <c r="BH72" i="1"/>
  <c r="GL72" i="1"/>
  <c r="DJ72" i="1"/>
  <c r="DT72" i="1" s="1"/>
  <c r="BN72" i="1"/>
  <c r="BP72" i="1" s="1"/>
  <c r="CF72" i="1" s="1"/>
  <c r="CL72" i="1" s="1"/>
  <c r="BW72" i="1"/>
  <c r="GM72" i="1"/>
  <c r="DF72" i="1"/>
  <c r="GX72" i="1"/>
  <c r="GU72" i="1"/>
  <c r="GW72" i="1"/>
  <c r="AZ72" i="1"/>
  <c r="DC72" i="1"/>
  <c r="DG72" i="1"/>
  <c r="DB72" i="1"/>
  <c r="BM72" i="1"/>
  <c r="DH72" i="1"/>
  <c r="FK72" i="1"/>
  <c r="BJ72" i="1"/>
  <c r="BQ72" i="1" s="1"/>
  <c r="CG72" i="1" s="1"/>
  <c r="BI72" i="1"/>
  <c r="CI72" i="1"/>
  <c r="GK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ES73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EU72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L87" i="1"/>
  <c r="BT87" i="1"/>
  <c r="BK87" i="1"/>
  <c r="BG87" i="1"/>
  <c r="BS87" i="1"/>
  <c r="FK87" i="1"/>
  <c r="HI87" i="1"/>
  <c r="GX87" i="1"/>
  <c r="DG87" i="1"/>
  <c r="BY87" i="1"/>
  <c r="GW87" i="1"/>
  <c r="BZ87" i="1"/>
  <c r="ET87" i="1"/>
  <c r="DH87" i="1"/>
  <c r="BJ87" i="1"/>
  <c r="CO87" i="1"/>
  <c r="BD87" i="1"/>
  <c r="CI87" i="1"/>
  <c r="GV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N86" i="1"/>
  <c r="BP86" i="1" s="1"/>
  <c r="BS86" i="1"/>
  <c r="BJ86" i="1"/>
  <c r="BO86" i="1" s="1"/>
  <c r="CH86" i="1" s="1"/>
  <c r="CO86" i="1"/>
  <c r="BF86" i="1"/>
  <c r="BI86" i="1"/>
  <c r="BY86" i="1"/>
  <c r="BH86" i="1"/>
  <c r="BD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ES70" i="1"/>
  <c r="DK70" i="1"/>
  <c r="CD70" i="1"/>
  <c r="BD70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GX70" i="1"/>
  <c r="GK70" i="1"/>
  <c r="EU112" i="1"/>
  <c r="EM112" i="1"/>
  <c r="CR112" i="1"/>
  <c r="DC70" i="1"/>
  <c r="DT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BL70" i="1"/>
  <c r="DJ70" i="1"/>
  <c r="DE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BN70" i="1"/>
  <c r="BP70" i="1" s="1"/>
  <c r="CF70" i="1" s="1"/>
  <c r="CL70" i="1" s="1"/>
  <c r="FK70" i="1"/>
  <c r="EZ112" i="1"/>
  <c r="BK112" i="1"/>
  <c r="ES112" i="1"/>
  <c r="DH70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CH78" i="1"/>
  <c r="EO112" i="1"/>
  <c r="CH112" i="1"/>
  <c r="BM70" i="1"/>
  <c r="BQ70" i="1" s="1"/>
  <c r="ET70" i="1"/>
  <c r="BK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GU87" i="1"/>
  <c r="DT87" i="1"/>
  <c r="DJ87" i="1"/>
  <c r="AZ87" i="1"/>
  <c r="BM87" i="1"/>
  <c r="BR87" i="1" s="1"/>
  <c r="EY87" i="1"/>
  <c r="ES87" i="1"/>
  <c r="AE86" i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GX71" i="1"/>
  <c r="ET71" i="1"/>
  <c r="FK71" i="1" s="1"/>
  <c r="GV71" i="1"/>
  <c r="Q69" i="1"/>
  <c r="GL68" i="1"/>
  <c r="GU68" i="1"/>
  <c r="DJ68" i="1"/>
  <c r="BT68" i="1"/>
  <c r="BN68" i="1"/>
  <c r="BP68" i="1" s="1"/>
  <c r="GX68" i="1"/>
  <c r="EU68" i="1"/>
  <c r="DF68" i="1"/>
  <c r="BK68" i="1"/>
  <c r="DH68" i="1"/>
  <c r="BV68" i="1"/>
  <c r="DI68" i="1"/>
  <c r="DT68" i="1" s="1"/>
  <c r="ES68" i="1"/>
  <c r="CD68" i="1"/>
  <c r="BH68" i="1"/>
  <c r="DB68" i="1"/>
  <c r="ET68" i="1"/>
  <c r="GJ68" i="1"/>
  <c r="Q64" i="1"/>
  <c r="AE45" i="1"/>
  <c r="ET45" i="1" s="1"/>
  <c r="AE35" i="1"/>
  <c r="ET35" i="1" s="1"/>
  <c r="AE18" i="1"/>
  <c r="ET18" i="1" s="1"/>
  <c r="Q14" i="1"/>
  <c r="E316" i="1" s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E313" i="1" s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BR81" i="1"/>
  <c r="BQ100" i="1"/>
  <c r="HG80" i="1"/>
  <c r="DS81" i="1"/>
  <c r="EJ81" i="1"/>
  <c r="EK95" i="1"/>
  <c r="DD34" i="1"/>
  <c r="DE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BN85" i="1"/>
  <c r="BP85" i="1" s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EL66" i="1"/>
  <c r="BS31" i="1"/>
  <c r="FS63" i="1"/>
  <c r="CU80" i="1"/>
  <c r="DI85" i="1"/>
  <c r="BS85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GD98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K80" i="1"/>
  <c r="EF81" i="1"/>
  <c r="BN75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EU53" i="1"/>
  <c r="CI53" i="1"/>
  <c r="DG53" i="1"/>
  <c r="BG53" i="1"/>
  <c r="BM53" i="1" s="1"/>
  <c r="BQ53" i="1" s="1"/>
  <c r="BE53" i="1"/>
  <c r="DF53" i="1"/>
  <c r="AZ53" i="1"/>
  <c r="CO53" i="1"/>
  <c r="CA53" i="1"/>
  <c r="ES53" i="1"/>
  <c r="FK53" i="1" s="1"/>
  <c r="BY53" i="1"/>
  <c r="EY53" i="1"/>
  <c r="BU53" i="1"/>
  <c r="BD53" i="1"/>
  <c r="DH53" i="1" s="1"/>
  <c r="BZ53" i="1"/>
  <c r="CB53" i="1" s="1"/>
  <c r="BF53" i="1"/>
  <c r="BI53" i="1" s="1"/>
  <c r="ET53" i="1"/>
  <c r="BS53" i="1"/>
  <c r="CC53" i="1" s="1"/>
  <c r="BH53" i="1"/>
  <c r="BN53" i="1" s="1"/>
  <c r="GW53" i="1"/>
  <c r="DD53" i="1"/>
  <c r="DC53" i="1"/>
  <c r="HI53" i="1"/>
  <c r="CE53" i="1"/>
  <c r="DK53" i="1"/>
  <c r="DJ53" i="1"/>
  <c r="BL53" i="1"/>
  <c r="DB53" i="1"/>
  <c r="BV53" i="1"/>
  <c r="BJ53" i="1"/>
  <c r="GV53" i="1"/>
  <c r="DE53" i="1"/>
  <c r="DI53" i="1" s="1"/>
  <c r="DT53" i="1" s="1"/>
  <c r="BX53" i="1"/>
  <c r="GJ53" i="1"/>
  <c r="GX53" i="1" s="1"/>
  <c r="GL53" i="1"/>
  <c r="R51" i="1"/>
  <c r="Q49" i="1"/>
  <c r="Q48" i="1"/>
  <c r="R37" i="1"/>
  <c r="F35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CJ101" i="1"/>
  <c r="DC101" i="1"/>
  <c r="DG69" i="1"/>
  <c r="BL69" i="1"/>
  <c r="BY69" i="1"/>
  <c r="BN69" i="1"/>
  <c r="BP69" i="1" s="1"/>
  <c r="ES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CC123" i="1"/>
  <c r="CT123" i="1"/>
  <c r="ET59" i="1"/>
  <c r="BL59" i="1"/>
  <c r="EU59" i="1"/>
  <c r="GW59" i="1"/>
  <c r="BZ59" i="1"/>
  <c r="DH59" i="1"/>
  <c r="GM59" i="1"/>
  <c r="DG59" i="1"/>
  <c r="DI59" i="1"/>
  <c r="AZ59" i="1"/>
  <c r="GJ59" i="1"/>
  <c r="DF59" i="1"/>
  <c r="EY59" i="1"/>
  <c r="DB59" i="1"/>
  <c r="GL59" i="1"/>
  <c r="GV59" i="1"/>
  <c r="BW59" i="1"/>
  <c r="ES59" i="1"/>
  <c r="CO59" i="1"/>
  <c r="BY59" i="1"/>
  <c r="FK59" i="1"/>
  <c r="GX59" i="1"/>
  <c r="CI59" i="1"/>
  <c r="BM59" i="1"/>
  <c r="BS59" i="1"/>
  <c r="BJ59" i="1"/>
  <c r="BO59" i="1" s="1"/>
  <c r="BV59" i="1"/>
  <c r="HI59" i="1"/>
  <c r="BD59" i="1"/>
  <c r="BN59" i="1"/>
  <c r="BP59" i="1" s="1"/>
  <c r="CF59" i="1" s="1"/>
  <c r="CL59" i="1" s="1"/>
  <c r="CD59" i="1"/>
  <c r="BH59" i="1"/>
  <c r="DC59" i="1"/>
  <c r="BG59" i="1"/>
  <c r="BF59" i="1"/>
  <c r="BQ59" i="1"/>
  <c r="DT59" i="1"/>
  <c r="DE59" i="1"/>
  <c r="DJ59" i="1"/>
  <c r="GK59" i="1"/>
  <c r="GU59" i="1" s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DK69" i="1"/>
  <c r="BT69" i="1"/>
  <c r="BF69" i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BI59" i="1"/>
  <c r="EA123" i="1"/>
  <c r="HC123" i="1"/>
  <c r="BY123" i="1"/>
  <c r="BI123" i="1"/>
  <c r="DC123" i="1"/>
  <c r="EU64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DH69" i="1"/>
  <c r="BZ69" i="1"/>
  <c r="DY96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DI69" i="1"/>
  <c r="BI69" i="1"/>
  <c r="BJ69" i="1"/>
  <c r="BQ69" i="1" s="1"/>
  <c r="CG69" i="1" s="1"/>
  <c r="DJ69" i="1"/>
  <c r="ET96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FP123" i="1"/>
  <c r="FR123" i="1"/>
  <c r="CV123" i="1"/>
  <c r="BG64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BK59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X69" i="1"/>
  <c r="GM69" i="1"/>
  <c r="HI69" i="1"/>
  <c r="EY69" i="1"/>
  <c r="FK69" i="1"/>
  <c r="DT69" i="1"/>
  <c r="GU69" i="1"/>
  <c r="GW69" i="1"/>
  <c r="GL69" i="1"/>
  <c r="BM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K69" i="1"/>
  <c r="BS69" i="1"/>
  <c r="EZ96" i="1"/>
  <c r="GJ18" i="1"/>
  <c r="GK18" i="1" s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EC123" i="1"/>
  <c r="FY123" i="1"/>
  <c r="GR123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DF14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BO69" i="1"/>
  <c r="CH69" i="1" s="1"/>
  <c r="EU69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E327" i="1" s="1"/>
  <c r="Q20" i="1"/>
  <c r="E322" i="1" s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E312" i="1" s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N74" i="1"/>
  <c r="BP74" i="1" s="1"/>
  <c r="BZ74" i="1"/>
  <c r="BJ74" i="1"/>
  <c r="BO74" i="1" s="1"/>
  <c r="BS74" i="1"/>
  <c r="ET74" i="1"/>
  <c r="DI74" i="1"/>
  <c r="DE74" i="1"/>
  <c r="DF74" i="1"/>
  <c r="CI74" i="1"/>
  <c r="BW74" i="1"/>
  <c r="BI74" i="1"/>
  <c r="BF74" i="1"/>
  <c r="ES74" i="1"/>
  <c r="BK74" i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DT61" i="1"/>
  <c r="BN61" i="1"/>
  <c r="FA61" i="1"/>
  <c r="FK61" i="1"/>
  <c r="BY61" i="1"/>
  <c r="BL61" i="1"/>
  <c r="FE61" i="1"/>
  <c r="CW61" i="1"/>
  <c r="DL61" i="1"/>
  <c r="GW68" i="1"/>
  <c r="GM68" i="1"/>
  <c r="BL68" i="1"/>
  <c r="FK68" i="1"/>
  <c r="BI68" i="1"/>
  <c r="HI68" i="1"/>
  <c r="EY68" i="1"/>
  <c r="AZ68" i="1"/>
  <c r="BJ68" i="1"/>
  <c r="BR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O87" i="1"/>
  <c r="CH87" i="1" s="1"/>
  <c r="BH87" i="1"/>
  <c r="DF87" i="1"/>
  <c r="DI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V69" i="1"/>
  <c r="AZ69" i="1"/>
  <c r="GK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V29" i="1" l="1"/>
  <c r="IS51" i="1"/>
  <c r="IX45" i="1"/>
  <c r="IS23" i="1"/>
  <c r="EU35" i="1"/>
  <c r="IX41" i="1"/>
  <c r="IS33" i="1"/>
  <c r="IS59" i="1"/>
  <c r="V22" i="1"/>
  <c r="IX42" i="1"/>
  <c r="V21" i="1"/>
  <c r="V41" i="1"/>
  <c r="V26" i="1"/>
  <c r="V23" i="1"/>
  <c r="V45" i="1"/>
  <c r="V14" i="1"/>
  <c r="IS55" i="1"/>
  <c r="IS52" i="1"/>
  <c r="IS39" i="1"/>
  <c r="IX39" i="1"/>
  <c r="IX40" i="1"/>
  <c r="IX43" i="1"/>
  <c r="IS42" i="1"/>
  <c r="IS17" i="1"/>
  <c r="IX30" i="1"/>
  <c r="IS29" i="1"/>
  <c r="IX28" i="1"/>
  <c r="IS32" i="1"/>
  <c r="IS48" i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E330" i="1"/>
  <c r="E328" i="1"/>
  <c r="E326" i="1"/>
  <c r="E349" i="1"/>
  <c r="IX18" i="1"/>
  <c r="F338" i="1"/>
  <c r="E336" i="1"/>
  <c r="IS53" i="1"/>
  <c r="IX37" i="1"/>
  <c r="E325" i="1"/>
  <c r="IX53" i="1"/>
  <c r="IS65" i="1"/>
  <c r="E357" i="1"/>
  <c r="E335" i="1"/>
  <c r="E346" i="1"/>
  <c r="IS22" i="1"/>
  <c r="IX19" i="1"/>
  <c r="IS58" i="1"/>
  <c r="IX48" i="1"/>
  <c r="IS49" i="1"/>
  <c r="IS31" i="1"/>
  <c r="IX51" i="1"/>
  <c r="IW36" i="1"/>
  <c r="IG36" i="1" s="1"/>
  <c r="E341" i="1"/>
  <c r="IS34" i="1"/>
  <c r="E348" i="1"/>
  <c r="E356" i="1"/>
  <c r="E355" i="1"/>
  <c r="E353" i="1"/>
  <c r="E337" i="1"/>
  <c r="F343" i="1"/>
  <c r="E350" i="1"/>
  <c r="E345" i="1"/>
  <c r="E351" i="1"/>
  <c r="E354" i="1"/>
  <c r="E352" i="1"/>
  <c r="E343" i="1"/>
  <c r="E324" i="1"/>
  <c r="E347" i="1"/>
  <c r="E333" i="1"/>
  <c r="E332" i="1"/>
  <c r="E331" i="1"/>
  <c r="E340" i="1"/>
  <c r="E329" i="1"/>
  <c r="E323" i="1"/>
  <c r="E342" i="1"/>
  <c r="E344" i="1"/>
  <c r="E338" i="1"/>
  <c r="E321" i="1"/>
  <c r="E339" i="1"/>
  <c r="E320" i="1"/>
  <c r="E334" i="1"/>
  <c r="AG44" i="1"/>
  <c r="X35" i="1"/>
  <c r="IW35" i="1" s="1"/>
  <c r="IG35" i="1" s="1"/>
  <c r="F337" i="1"/>
  <c r="X39" i="1"/>
  <c r="AQ39" i="1" s="1"/>
  <c r="F341" i="1"/>
  <c r="X30" i="1"/>
  <c r="AQ30" i="1" s="1"/>
  <c r="F332" i="1"/>
  <c r="X43" i="1"/>
  <c r="IW43" i="1" s="1"/>
  <c r="IG43" i="1" s="1"/>
  <c r="F345" i="1"/>
  <c r="X50" i="1"/>
  <c r="AQ50" i="1" s="1"/>
  <c r="F352" i="1"/>
  <c r="X49" i="1"/>
  <c r="AQ49" i="1" s="1"/>
  <c r="F351" i="1"/>
  <c r="X38" i="1"/>
  <c r="IW38" i="1" s="1"/>
  <c r="IG38" i="1" s="1"/>
  <c r="F340" i="1"/>
  <c r="X54" i="1"/>
  <c r="AQ54" i="1" s="1"/>
  <c r="F356" i="1"/>
  <c r="X17" i="1"/>
  <c r="IW17" i="1" s="1"/>
  <c r="IG17" i="1" s="1"/>
  <c r="F319" i="1"/>
  <c r="X11" i="1"/>
  <c r="AQ11" i="1" s="1"/>
  <c r="F313" i="1"/>
  <c r="X46" i="1"/>
  <c r="IW46" i="1" s="1"/>
  <c r="IG46" i="1" s="1"/>
  <c r="F348" i="1"/>
  <c r="X47" i="1"/>
  <c r="AQ47" i="1" s="1"/>
  <c r="F349" i="1"/>
  <c r="X26" i="1"/>
  <c r="IW26" i="1" s="1"/>
  <c r="IG26" i="1" s="1"/>
  <c r="F328" i="1"/>
  <c r="X14" i="1"/>
  <c r="AQ14" i="1" s="1"/>
  <c r="F316" i="1"/>
  <c r="X27" i="1"/>
  <c r="AQ27" i="1" s="1"/>
  <c r="F329" i="1"/>
  <c r="X21" i="1"/>
  <c r="AQ21" i="1" s="1"/>
  <c r="F323" i="1"/>
  <c r="X18" i="1"/>
  <c r="AQ18" i="1" s="1"/>
  <c r="F320" i="1"/>
  <c r="X24" i="1"/>
  <c r="IW24" i="1" s="1"/>
  <c r="IG24" i="1" s="1"/>
  <c r="F326" i="1"/>
  <c r="X34" i="1"/>
  <c r="IW34" i="1" s="1"/>
  <c r="IG34" i="1" s="1"/>
  <c r="F336" i="1"/>
  <c r="X42" i="1"/>
  <c r="IW42" i="1" s="1"/>
  <c r="IG42" i="1" s="1"/>
  <c r="F344" i="1"/>
  <c r="X53" i="1"/>
  <c r="IR58" i="1" s="1"/>
  <c r="F355" i="1"/>
  <c r="X10" i="1"/>
  <c r="AQ10" i="1" s="1"/>
  <c r="F312" i="1"/>
  <c r="X15" i="1"/>
  <c r="AQ15" i="1" s="1"/>
  <c r="F317" i="1"/>
  <c r="X48" i="1"/>
  <c r="AQ48" i="1" s="1"/>
  <c r="F350" i="1"/>
  <c r="X37" i="1"/>
  <c r="IW37" i="1" s="1"/>
  <c r="IG37" i="1" s="1"/>
  <c r="F339" i="1"/>
  <c r="X19" i="1"/>
  <c r="AQ19" i="1" s="1"/>
  <c r="F321" i="1"/>
  <c r="X40" i="1"/>
  <c r="AQ40" i="1" s="1"/>
  <c r="F342" i="1"/>
  <c r="X45" i="1"/>
  <c r="AQ45" i="1" s="1"/>
  <c r="F347" i="1"/>
  <c r="X51" i="1"/>
  <c r="IW51" i="1" s="1"/>
  <c r="IG51" i="1" s="1"/>
  <c r="F353" i="1"/>
  <c r="X31" i="1"/>
  <c r="AQ31" i="1" s="1"/>
  <c r="F333" i="1"/>
  <c r="X23" i="1"/>
  <c r="AQ23" i="1" s="1"/>
  <c r="F325" i="1"/>
  <c r="X32" i="1"/>
  <c r="IW32" i="1" s="1"/>
  <c r="IG32" i="1" s="1"/>
  <c r="F334" i="1"/>
  <c r="X20" i="1"/>
  <c r="AQ20" i="1" s="1"/>
  <c r="F322" i="1"/>
  <c r="X44" i="1"/>
  <c r="AQ44" i="1" s="1"/>
  <c r="F346" i="1"/>
  <c r="X16" i="1"/>
  <c r="IW16" i="1" s="1"/>
  <c r="IG16" i="1" s="1"/>
  <c r="F318" i="1"/>
  <c r="X13" i="1"/>
  <c r="AQ13" i="1" s="1"/>
  <c r="F315" i="1"/>
  <c r="X33" i="1"/>
  <c r="AQ33" i="1" s="1"/>
  <c r="F335" i="1"/>
  <c r="X22" i="1"/>
  <c r="AQ22" i="1" s="1"/>
  <c r="F324" i="1"/>
  <c r="X12" i="1"/>
  <c r="AQ12" i="1" s="1"/>
  <c r="F314" i="1"/>
  <c r="X29" i="1"/>
  <c r="AQ29" i="1" s="1"/>
  <c r="F331" i="1"/>
  <c r="X28" i="1"/>
  <c r="AQ28" i="1" s="1"/>
  <c r="F330" i="1"/>
  <c r="X25" i="1"/>
  <c r="IW25" i="1" s="1"/>
  <c r="IG25" i="1" s="1"/>
  <c r="F327" i="1"/>
  <c r="X52" i="1"/>
  <c r="IW52" i="1" s="1"/>
  <c r="IG52" i="1" s="1"/>
  <c r="F354" i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H74" i="1"/>
  <c r="CH59" i="1"/>
  <c r="CF69" i="1"/>
  <c r="CL69" i="1" s="1"/>
  <c r="CF74" i="1"/>
  <c r="CL74" i="1" s="1"/>
  <c r="CH58" i="1"/>
  <c r="CF86" i="1"/>
  <c r="CL86" i="1" s="1"/>
  <c r="BO83" i="1"/>
  <c r="CH83" i="1" s="1"/>
  <c r="BR69" i="1"/>
  <c r="CJ69" i="1" s="1"/>
  <c r="BQ85" i="1"/>
  <c r="CG85" i="1" s="1"/>
  <c r="BQ84" i="1"/>
  <c r="CG84" i="1" s="1"/>
  <c r="BQ86" i="1"/>
  <c r="CG86" i="1" s="1"/>
  <c r="BO85" i="1"/>
  <c r="CH85" i="1" s="1"/>
  <c r="BQ87" i="1"/>
  <c r="CG87" i="1" s="1"/>
  <c r="BO68" i="1"/>
  <c r="CH68" i="1" s="1"/>
  <c r="BO70" i="1"/>
  <c r="CH70" i="1" s="1"/>
  <c r="BR58" i="1"/>
  <c r="CJ58" i="1" s="1"/>
  <c r="BR59" i="1"/>
  <c r="CJ59" i="1" s="1"/>
  <c r="CH72" i="1"/>
  <c r="CH73" i="1"/>
  <c r="BR70" i="1"/>
  <c r="CJ70" i="1" s="1"/>
  <c r="BO67" i="1"/>
  <c r="CH67" i="1" s="1"/>
  <c r="BR71" i="1"/>
  <c r="CJ71" i="1" s="1"/>
  <c r="BR74" i="1"/>
  <c r="CJ74" i="1" s="1"/>
  <c r="BQ74" i="1"/>
  <c r="CG74" i="1" s="1"/>
  <c r="BR83" i="1"/>
  <c r="CJ83" i="1" s="1"/>
  <c r="CG59" i="1"/>
  <c r="CJ85" i="1"/>
  <c r="BR84" i="1"/>
  <c r="CJ84" i="1" s="1"/>
  <c r="BR86" i="1"/>
  <c r="CJ86" i="1" s="1"/>
  <c r="CM86" i="1" s="1"/>
  <c r="CM58" i="1"/>
  <c r="BQ58" i="1"/>
  <c r="CG58" i="1" s="1"/>
  <c r="BR72" i="1"/>
  <c r="CJ72" i="1" s="1"/>
  <c r="BQ67" i="1"/>
  <c r="CG67" i="1" s="1"/>
  <c r="BQ71" i="1"/>
  <c r="CG71" i="1" s="1"/>
  <c r="BQ83" i="1"/>
  <c r="CG83" i="1" s="1"/>
  <c r="CM85" i="1"/>
  <c r="BR67" i="1"/>
  <c r="CJ67" i="1" s="1"/>
  <c r="BR73" i="1"/>
  <c r="CJ73" i="1" s="1"/>
  <c r="BQ68" i="1"/>
  <c r="CG68" i="1" s="1"/>
  <c r="CM84" i="1"/>
  <c r="CM74" i="1"/>
  <c r="BO71" i="1"/>
  <c r="CH71" i="1" s="1"/>
  <c r="CM71" i="1"/>
  <c r="CM59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EY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GU53" i="1"/>
  <c r="BO53" i="1"/>
  <c r="CD53" i="1"/>
  <c r="GK53" i="1"/>
  <c r="BK53" i="1"/>
  <c r="CF53" i="1" s="1"/>
  <c r="CL53" i="1" s="1"/>
  <c r="GM53" i="1"/>
  <c r="FK52" i="1"/>
  <c r="DK52" i="1"/>
  <c r="BL50" i="1"/>
  <c r="GX52" i="1"/>
  <c r="DI52" i="1"/>
  <c r="DJ52" i="1"/>
  <c r="GU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R38" i="1"/>
  <c r="IW91" i="1"/>
  <c r="IG91" i="1" s="1"/>
  <c r="AI95" i="1"/>
  <c r="AG86" i="1"/>
  <c r="IR37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71" i="1"/>
  <c r="IS19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R62" i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R25" i="1"/>
  <c r="IW30" i="1"/>
  <c r="IG30" i="1" s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W39" i="1"/>
  <c r="IG39" i="1" s="1"/>
  <c r="AQ67" i="1"/>
  <c r="IR81" i="1"/>
  <c r="IW67" i="1"/>
  <c r="IG67" i="1" s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IW27" i="1"/>
  <c r="IG27" i="1" s="1"/>
  <c r="IR27" i="1"/>
  <c r="AQ98" i="1"/>
  <c r="IW98" i="1"/>
  <c r="IG98" i="1" s="1"/>
  <c r="AQ65" i="1"/>
  <c r="IW65" i="1"/>
  <c r="IG65" i="1" s="1"/>
  <c r="IR79" i="1"/>
  <c r="AQ85" i="1"/>
  <c r="IR94" i="1"/>
  <c r="AQ117" i="1"/>
  <c r="IW117" i="1"/>
  <c r="IG117" i="1" s="1"/>
  <c r="IW45" i="1"/>
  <c r="IG45" i="1" s="1"/>
  <c r="AQ88" i="1"/>
  <c r="IR97" i="1"/>
  <c r="IR45" i="1"/>
  <c r="AQ77" i="1"/>
  <c r="IW77" i="1"/>
  <c r="IG77" i="1" s="1"/>
  <c r="AQ115" i="1"/>
  <c r="IW115" i="1"/>
  <c r="IG115" i="1" s="1"/>
  <c r="AQ78" i="1"/>
  <c r="IW78" i="1"/>
  <c r="IG78" i="1" s="1"/>
  <c r="IR41" i="1"/>
  <c r="IR63" i="1"/>
  <c r="AQ113" i="1"/>
  <c r="IW113" i="1"/>
  <c r="IG113" i="1" s="1"/>
  <c r="IR60" i="1"/>
  <c r="AQ63" i="1"/>
  <c r="IW63" i="1"/>
  <c r="IG63" i="1" s="1"/>
  <c r="AQ108" i="1"/>
  <c r="IR115" i="1"/>
  <c r="IR61" i="1"/>
  <c r="IW58" i="1"/>
  <c r="IG58" i="1" s="1"/>
  <c r="AQ89" i="1"/>
  <c r="IR98" i="1"/>
  <c r="AQ118" i="1"/>
  <c r="IW118" i="1"/>
  <c r="IG118" i="1" s="1"/>
  <c r="IR40" i="1"/>
  <c r="IR24" i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BN51" i="1" s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56" i="1" l="1"/>
  <c r="IR44" i="1"/>
  <c r="IW54" i="1"/>
  <c r="IG54" i="1" s="1"/>
  <c r="IR52" i="1"/>
  <c r="IW53" i="1"/>
  <c r="IG53" i="1" s="1"/>
  <c r="IR55" i="1"/>
  <c r="IR54" i="1"/>
  <c r="IR42" i="1"/>
  <c r="IW40" i="1"/>
  <c r="IG40" i="1" s="1"/>
  <c r="IR43" i="1"/>
  <c r="IR39" i="1"/>
  <c r="IW28" i="1"/>
  <c r="IG28" i="1" s="1"/>
  <c r="IR30" i="1"/>
  <c r="IW29" i="1"/>
  <c r="IG29" i="1" s="1"/>
  <c r="IR28" i="1"/>
  <c r="IR29" i="1"/>
  <c r="IR17" i="1"/>
  <c r="IR19" i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7" i="1"/>
  <c r="CL87" i="1" s="1"/>
  <c r="CJ68" i="1"/>
  <c r="CM69" i="1"/>
  <c r="CG70" i="1"/>
  <c r="CM70" i="1" s="1"/>
  <c r="CJ87" i="1"/>
  <c r="CF84" i="1"/>
  <c r="CL84" i="1" s="1"/>
  <c r="CF68" i="1"/>
  <c r="CL68" i="1" s="1"/>
  <c r="CF67" i="1"/>
  <c r="CL67" i="1" s="1"/>
  <c r="CF83" i="1"/>
  <c r="CL83" i="1" s="1"/>
  <c r="CM83" i="1"/>
  <c r="CF71" i="1"/>
  <c r="CL71" i="1" s="1"/>
  <c r="CF58" i="1"/>
  <c r="CL58" i="1" s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CM73" i="1"/>
  <c r="CM67" i="1"/>
  <c r="GX15" i="1"/>
  <c r="GU15" i="1"/>
  <c r="CM72" i="1"/>
  <c r="GX18" i="1"/>
  <c r="BP44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N52" i="1"/>
  <c r="BM50" i="1"/>
  <c r="BJ50" i="1"/>
  <c r="BJ52" i="1"/>
  <c r="BQ52" i="1" s="1"/>
  <c r="BK52" i="1"/>
  <c r="BJ51" i="1"/>
  <c r="BM51" i="1"/>
  <c r="BK51" i="1"/>
  <c r="CH53" i="1"/>
  <c r="DT52" i="1"/>
  <c r="BR53" i="1"/>
  <c r="CK53" i="1" s="1"/>
  <c r="CG53" i="1"/>
  <c r="BA51" i="1"/>
  <c r="GN51" i="1" s="1"/>
  <c r="BA52" i="1"/>
  <c r="GN52" i="1" s="1"/>
  <c r="DT50" i="1"/>
  <c r="BA46" i="1"/>
  <c r="GN46" i="1" s="1"/>
  <c r="BA50" i="1"/>
  <c r="GN50" i="1" s="1"/>
  <c r="BQ50" i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JJ22" i="1" l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68" i="1"/>
  <c r="CM87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CN53" i="1"/>
  <c r="CJ53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CM53" i="1"/>
  <c r="CR53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CQ53" i="1" l="1"/>
  <c r="CP53" i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CU53" i="1" l="1"/>
  <c r="CS53" i="1"/>
  <c r="CT53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I313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H317" i="1" s="1"/>
  <c r="U15" i="1"/>
  <c r="AK14" i="1"/>
  <c r="U14" i="1"/>
  <c r="AL14" i="1"/>
  <c r="AN14" i="1" s="1"/>
  <c r="H316" i="1" s="1"/>
  <c r="T14" i="1"/>
  <c r="AK13" i="1"/>
  <c r="U13" i="1"/>
  <c r="AL13" i="1"/>
  <c r="AN13" i="1" s="1"/>
  <c r="H315" i="1" s="1"/>
  <c r="AK12" i="1"/>
  <c r="U12" i="1"/>
  <c r="AL12" i="1"/>
  <c r="AN12" i="1" s="1"/>
  <c r="H314" i="1" s="1"/>
  <c r="AL11" i="1"/>
  <c r="AN11" i="1" s="1"/>
  <c r="H313" i="1" s="1"/>
  <c r="T11" i="1"/>
  <c r="U11" i="1"/>
  <c r="AL10" i="1"/>
  <c r="T10" i="1"/>
  <c r="U10" i="1"/>
  <c r="AL9" i="1"/>
  <c r="AN9" i="1" s="1"/>
  <c r="H311" i="1" s="1"/>
  <c r="U9" i="1"/>
  <c r="T9" i="1"/>
  <c r="AK9" i="1"/>
  <c r="DH3" i="7"/>
  <c r="DE3" i="7"/>
  <c r="DI3" i="7"/>
  <c r="DG3" i="7"/>
  <c r="DF3" i="7"/>
  <c r="H323" i="1" l="1"/>
  <c r="H357" i="1"/>
  <c r="H325" i="1"/>
  <c r="H351" i="1"/>
  <c r="H355" i="1"/>
  <c r="H342" i="1"/>
  <c r="H320" i="1"/>
  <c r="H324" i="1"/>
  <c r="H356" i="1"/>
  <c r="H346" i="1"/>
  <c r="H348" i="1"/>
  <c r="H332" i="1"/>
  <c r="H330" i="1"/>
  <c r="H333" i="1"/>
  <c r="H331" i="1"/>
  <c r="H350" i="1"/>
  <c r="JA27" i="1"/>
  <c r="H329" i="1"/>
  <c r="JA34" i="1"/>
  <c r="H336" i="1"/>
  <c r="IZ25" i="1"/>
  <c r="JA35" i="1"/>
  <c r="JA42" i="1"/>
  <c r="H344" i="1"/>
  <c r="IZ43" i="1"/>
  <c r="JA52" i="1"/>
  <c r="H354" i="1"/>
  <c r="JA25" i="1"/>
  <c r="H327" i="1"/>
  <c r="JA17" i="1"/>
  <c r="H319" i="1"/>
  <c r="JA19" i="1"/>
  <c r="H321" i="1"/>
  <c r="JA37" i="1"/>
  <c r="JA51" i="1"/>
  <c r="JA45" i="1"/>
  <c r="H347" i="1"/>
  <c r="IZ47" i="1"/>
  <c r="JA43" i="1"/>
  <c r="H345" i="1"/>
  <c r="JA32" i="1"/>
  <c r="H334" i="1"/>
  <c r="JA26" i="1"/>
  <c r="H328" i="1"/>
  <c r="JA50" i="1"/>
  <c r="H352" i="1"/>
  <c r="JA16" i="1"/>
  <c r="H318" i="1"/>
  <c r="JA20" i="1"/>
  <c r="H322" i="1"/>
  <c r="JA24" i="1"/>
  <c r="H326" i="1"/>
  <c r="CV53" i="1"/>
  <c r="CX53" i="1"/>
  <c r="CW53" i="1"/>
  <c r="CY53" i="1"/>
  <c r="DO53" i="1" s="1"/>
  <c r="DA53" i="1"/>
  <c r="DQ53" i="1" s="1"/>
  <c r="CZ53" i="1"/>
  <c r="DP53" i="1" s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H343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I317" i="1" s="1"/>
  <c r="AO16" i="1"/>
  <c r="I318" i="1" s="1"/>
  <c r="AP16" i="1"/>
  <c r="AO13" i="1"/>
  <c r="I315" i="1" s="1"/>
  <c r="AP13" i="1"/>
  <c r="AO14" i="1"/>
  <c r="I316" i="1" s="1"/>
  <c r="AP14" i="1"/>
  <c r="AP11" i="1"/>
  <c r="AO12" i="1"/>
  <c r="I314" i="1" s="1"/>
  <c r="AP12" i="1"/>
  <c r="AO10" i="1"/>
  <c r="I312" i="1" s="1"/>
  <c r="AP10" i="1"/>
  <c r="AN10" i="1"/>
  <c r="AO9" i="1"/>
  <c r="I311" i="1" s="1"/>
  <c r="AP9" i="1"/>
  <c r="H340" i="1" l="1"/>
  <c r="H339" i="1"/>
  <c r="I333" i="1"/>
  <c r="I341" i="1"/>
  <c r="H338" i="1"/>
  <c r="I324" i="1"/>
  <c r="H335" i="1"/>
  <c r="I355" i="1"/>
  <c r="I320" i="1"/>
  <c r="I346" i="1"/>
  <c r="H341" i="1"/>
  <c r="I345" i="1"/>
  <c r="I348" i="1"/>
  <c r="I351" i="1"/>
  <c r="H337" i="1"/>
  <c r="I338" i="1"/>
  <c r="I357" i="1"/>
  <c r="I343" i="1"/>
  <c r="I330" i="1"/>
  <c r="I356" i="1"/>
  <c r="H353" i="1"/>
  <c r="I331" i="1"/>
  <c r="I335" i="1"/>
  <c r="I350" i="1"/>
  <c r="I349" i="1"/>
  <c r="I342" i="1"/>
  <c r="I325" i="1"/>
  <c r="I329" i="1"/>
  <c r="I347" i="1"/>
  <c r="I327" i="1"/>
  <c r="I323" i="1"/>
  <c r="I332" i="1"/>
  <c r="IH25" i="1"/>
  <c r="IH43" i="1"/>
  <c r="IZ19" i="1"/>
  <c r="IH19" i="1" s="1"/>
  <c r="I321" i="1"/>
  <c r="IZ37" i="1"/>
  <c r="IH37" i="1" s="1"/>
  <c r="I339" i="1"/>
  <c r="IZ34" i="1"/>
  <c r="IH34" i="1" s="1"/>
  <c r="I336" i="1"/>
  <c r="IZ42" i="1"/>
  <c r="IH42" i="1" s="1"/>
  <c r="I344" i="1"/>
  <c r="IZ26" i="1"/>
  <c r="IH26" i="1" s="1"/>
  <c r="I328" i="1"/>
  <c r="IZ51" i="1"/>
  <c r="IH51" i="1" s="1"/>
  <c r="I353" i="1"/>
  <c r="IV43" i="1"/>
  <c r="H312" i="1"/>
  <c r="IZ50" i="1"/>
  <c r="IH50" i="1" s="1"/>
  <c r="I352" i="1"/>
  <c r="IZ24" i="1"/>
  <c r="IH24" i="1" s="1"/>
  <c r="I326" i="1"/>
  <c r="IZ38" i="1"/>
  <c r="IH38" i="1" s="1"/>
  <c r="I340" i="1"/>
  <c r="IZ52" i="1"/>
  <c r="IH52" i="1" s="1"/>
  <c r="I354" i="1"/>
  <c r="IZ35" i="1"/>
  <c r="IH35" i="1" s="1"/>
  <c r="I337" i="1"/>
  <c r="IZ20" i="1"/>
  <c r="IH20" i="1" s="1"/>
  <c r="I322" i="1"/>
  <c r="IZ32" i="1"/>
  <c r="IH32" i="1" s="1"/>
  <c r="I334" i="1"/>
  <c r="IV52" i="1"/>
  <c r="H349" i="1"/>
  <c r="IZ17" i="1"/>
  <c r="IH17" i="1" s="1"/>
  <c r="I319" i="1"/>
  <c r="HN14" i="1"/>
  <c r="HN15" i="1"/>
  <c r="HN12" i="1"/>
  <c r="DU53" i="1"/>
  <c r="DY53" i="1" s="1"/>
  <c r="DS53" i="1"/>
  <c r="DM53" i="1"/>
  <c r="DN53" i="1"/>
  <c r="DL53" i="1"/>
  <c r="IV59" i="1"/>
  <c r="IU94" i="1"/>
  <c r="IV61" i="1"/>
  <c r="AX164" i="1" a="1"/>
  <c r="AX164" i="1" s="1"/>
  <c r="AY164" i="1" s="1" a="1"/>
  <c r="AY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DW53" i="1" l="1"/>
  <c r="DX53" i="1" s="1"/>
  <c r="EA53" i="1" s="1"/>
  <c r="DR53" i="1"/>
  <c r="DV53" i="1"/>
  <c r="DZ53" i="1" s="1"/>
  <c r="AO164" i="1" a="1"/>
  <c r="AO164" i="1" s="1"/>
  <c r="AT12" i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EB53" i="1"/>
  <c r="EC53" i="1"/>
  <c r="ED53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EL53" i="1"/>
  <c r="EH53" i="1"/>
  <c r="EI53" i="1"/>
  <c r="EJ53" i="1"/>
  <c r="EK53" i="1"/>
  <c r="EF53" i="1"/>
  <c r="EG53" i="1"/>
  <c r="EE53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EM53" i="1"/>
  <c r="EN53" i="1"/>
  <c r="EO53" i="1"/>
  <c r="ER53" i="1" s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EP53" i="1"/>
  <c r="EQ53" i="1"/>
  <c r="EZ53" i="1" s="1"/>
  <c r="FC53" i="1" s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FF53" i="1"/>
  <c r="FI53" i="1" s="1"/>
  <c r="FY53" i="1"/>
  <c r="HE53" i="1" s="1"/>
  <c r="FB53" i="1"/>
  <c r="EV53" i="1"/>
  <c r="FA53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FL53" i="1"/>
  <c r="FO53" i="1"/>
  <c r="EX53" i="1"/>
  <c r="FE53" i="1"/>
  <c r="EW53" i="1"/>
  <c r="FD53" i="1"/>
  <c r="FV53" i="1" s="1"/>
  <c r="HB53" i="1"/>
  <c r="HF53" i="1" s="1"/>
  <c r="HH53" i="1" s="1"/>
  <c r="HG53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FG53" i="1"/>
  <c r="FU53" i="1"/>
  <c r="FH53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FM53" i="1"/>
  <c r="FN53" i="1" s="1"/>
  <c r="FW53" i="1"/>
  <c r="FX53" i="1" s="1"/>
  <c r="FZ53" i="1" s="1"/>
  <c r="FJ53" i="1"/>
  <c r="GQ53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GA53" i="1"/>
  <c r="GP53" i="1"/>
  <c r="GD53" i="1"/>
  <c r="FR53" i="1"/>
  <c r="FP53" i="1"/>
  <c r="FQ53" i="1"/>
  <c r="FS53" i="1" s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GB53" i="1"/>
  <c r="GC53" i="1"/>
  <c r="GH53" i="1" s="1"/>
  <c r="GO53" i="1"/>
  <c r="FT53" i="1"/>
  <c r="GI53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GY53" i="1"/>
  <c r="GZ53" i="1" s="1"/>
  <c r="GG53" i="1"/>
  <c r="GS53" i="1" s="1"/>
  <c r="GE53" i="1"/>
  <c r="GF53" i="1" s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GT53" i="1"/>
  <c r="GR53" i="1"/>
  <c r="HA53" i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D53" i="1"/>
  <c r="HC53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CP36" i="1" s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GH19" i="1" l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N33" i="1" l="1"/>
  <c r="EM33" i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N30" i="1" s="1"/>
  <c r="EE30" i="1"/>
  <c r="EM30" i="1" s="1"/>
  <c r="EG30" i="1"/>
  <c r="EO30" i="1" s="1"/>
  <c r="ER30" i="1" s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CN39" i="1"/>
  <c r="CP39" i="1" s="1"/>
  <c r="GG22" i="1"/>
  <c r="GE22" i="1"/>
  <c r="GF22" i="1" s="1"/>
  <c r="GT21" i="1"/>
  <c r="GR21" i="1"/>
  <c r="HA21" i="1"/>
  <c r="GH23" i="1"/>
  <c r="CK40" i="1"/>
  <c r="CH40" i="1"/>
  <c r="CF40" i="1"/>
  <c r="CL40" i="1" s="1"/>
  <c r="AS46" i="1"/>
  <c r="AT46" i="1" s="1"/>
  <c r="EQ33" i="1" l="1"/>
  <c r="EZ33" i="1" s="1"/>
  <c r="FC33" i="1" s="1"/>
  <c r="FF33" i="1" s="1"/>
  <c r="FI33" i="1" s="1"/>
  <c r="EP33" i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Y33" i="1" l="1"/>
  <c r="HE33" i="1" s="1"/>
  <c r="FB33" i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H33" i="1" l="1"/>
  <c r="FE33" i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FP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FR33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FQ33" i="1" l="1"/>
  <c r="FT33" i="1" s="1"/>
  <c r="DZ41" i="1"/>
  <c r="FG35" i="1"/>
  <c r="FW35" i="1" s="1"/>
  <c r="FX35" i="1" s="1"/>
  <c r="FZ35" i="1" s="1"/>
  <c r="EA41" i="1"/>
  <c r="EA42" i="1"/>
  <c r="DY43" i="1"/>
  <c r="DZ42" i="1"/>
  <c r="GC33" i="1"/>
  <c r="GO33" i="1"/>
  <c r="GB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FS33" i="1" l="1"/>
  <c r="ED41" i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CJ51" i="1" s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FR35" i="1" l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J52" i="1" s="1"/>
  <c r="CC52" i="1"/>
  <c r="CB52" i="1"/>
  <c r="CG52" i="1" s="1"/>
  <c r="CM51" i="1"/>
  <c r="CR51" i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FS35" i="1" l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S35" i="1" s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R52" i="1"/>
  <c r="CM52" i="1"/>
  <c r="CP51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EP41" i="1" l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GT35" i="1"/>
  <c r="HA35" i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/>
  <c r="CQ52" i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FF41" i="1" l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HC35" i="1"/>
  <c r="HD35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S52" i="1"/>
  <c r="CT52" i="1" s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FD41" i="1" l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CX51" i="1"/>
  <c r="DL50" i="1"/>
  <c r="DQ51" i="1"/>
  <c r="DM50" i="1"/>
  <c r="DP51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BU58" i="1" l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DY50" i="1" s="1"/>
  <c r="CY52" i="1"/>
  <c r="DO52" i="1" s="1"/>
  <c r="CZ52" i="1"/>
  <c r="DP52" i="1" s="1"/>
  <c r="DA52" i="1"/>
  <c r="DQ52" i="1" s="1"/>
  <c r="DW50" i="1"/>
  <c r="DX50" i="1" s="1"/>
  <c r="EA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BU59" i="1" l="1"/>
  <c r="BX59" i="1"/>
  <c r="CA59" i="1"/>
  <c r="CE58" i="1"/>
  <c r="CC58" i="1"/>
  <c r="CK58" i="1" s="1"/>
  <c r="CR58" i="1" s="1"/>
  <c r="CB58" i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ED50" i="1"/>
  <c r="EB50" i="1"/>
  <c r="EC50" i="1"/>
  <c r="DU52" i="1"/>
  <c r="DY52" i="1" s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N58" i="1" l="1"/>
  <c r="CB59" i="1"/>
  <c r="CC59" i="1"/>
  <c r="CK59" i="1" s="1"/>
  <c r="CR59" i="1" s="1"/>
  <c r="CE59" i="1"/>
  <c r="GD41" i="1"/>
  <c r="GP41" i="1"/>
  <c r="HQ14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K50" i="1"/>
  <c r="EG50" i="1"/>
  <c r="EE50" i="1"/>
  <c r="EF50" i="1"/>
  <c r="EA52" i="1"/>
  <c r="DZ52" i="1"/>
  <c r="EL50" i="1"/>
  <c r="EI50" i="1"/>
  <c r="EH50" i="1"/>
  <c r="EJ50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CQ58" i="1" l="1"/>
  <c r="CP58" i="1"/>
  <c r="CN59" i="1"/>
  <c r="FS43" i="1"/>
  <c r="HR14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M50" i="1"/>
  <c r="EN50" i="1"/>
  <c r="EO50" i="1"/>
  <c r="ER50" i="1" s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CP59" i="1" l="1"/>
  <c r="CQ59" i="1"/>
  <c r="CS58" i="1"/>
  <c r="CU58" i="1" s="1"/>
  <c r="CT58" i="1"/>
  <c r="HM14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EP50" i="1"/>
  <c r="EQ50" i="1"/>
  <c r="EZ50" i="1" s="1"/>
  <c r="FC50" i="1" s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Y58" i="1" l="1"/>
  <c r="CZ58" i="1"/>
  <c r="DA58" i="1"/>
  <c r="CV58" i="1"/>
  <c r="CW58" i="1"/>
  <c r="CX58" i="1"/>
  <c r="CU59" i="1"/>
  <c r="CS59" i="1"/>
  <c r="CT59" i="1" s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FF50" i="1"/>
  <c r="FI50" i="1" s="1"/>
  <c r="FY50" i="1"/>
  <c r="HE50" i="1" s="1"/>
  <c r="EV50" i="1"/>
  <c r="FB50" i="1"/>
  <c r="FA50" i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HY14" i="1" s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CV59" i="1" l="1"/>
  <c r="CW59" i="1"/>
  <c r="CX59" i="1"/>
  <c r="CY59" i="1"/>
  <c r="DO59" i="1" s="1"/>
  <c r="CZ59" i="1"/>
  <c r="DP59" i="1" s="1"/>
  <c r="DA59" i="1"/>
  <c r="DQ59" i="1" s="1"/>
  <c r="DN58" i="1"/>
  <c r="DM58" i="1"/>
  <c r="DL58" i="1"/>
  <c r="DQ58" i="1"/>
  <c r="DP58" i="1"/>
  <c r="DO58" i="1"/>
  <c r="GT43" i="1"/>
  <c r="GZ43" i="1"/>
  <c r="HA43" i="1"/>
  <c r="HD43" i="1" s="1"/>
  <c r="GR43" i="1"/>
  <c r="IA14" i="1"/>
  <c r="HC41" i="1"/>
  <c r="HD41" i="1"/>
  <c r="GZ42" i="1"/>
  <c r="GT42" i="1"/>
  <c r="GR42" i="1"/>
  <c r="HA42" i="1"/>
  <c r="FL50" i="1"/>
  <c r="FO50" i="1"/>
  <c r="EW50" i="1"/>
  <c r="HB50" i="1"/>
  <c r="HF50" i="1" s="1"/>
  <c r="HH50" i="1" s="1"/>
  <c r="FD50" i="1"/>
  <c r="FV50" i="1" s="1"/>
  <c r="FE50" i="1"/>
  <c r="EX50" i="1"/>
  <c r="FH50" i="1" s="1"/>
  <c r="HG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DW58" i="1" l="1"/>
  <c r="DX58" i="1" s="1"/>
  <c r="EA58" i="1" s="1"/>
  <c r="DV58" i="1"/>
  <c r="DR58" i="1"/>
  <c r="DS59" i="1"/>
  <c r="DU59" i="1"/>
  <c r="DY59" i="1" s="1"/>
  <c r="DN59" i="1"/>
  <c r="DS58" i="1"/>
  <c r="DU58" i="1"/>
  <c r="DY58" i="1" s="1"/>
  <c r="DM59" i="1"/>
  <c r="DL59" i="1"/>
  <c r="HC43" i="1"/>
  <c r="IE14" i="1"/>
  <c r="IC14" i="1"/>
  <c r="IB14" i="1"/>
  <c r="HD39" i="1"/>
  <c r="HD42" i="1"/>
  <c r="HC42" i="1"/>
  <c r="FF52" i="1"/>
  <c r="FI52" i="1" s="1"/>
  <c r="FY52" i="1"/>
  <c r="HE52" i="1" s="1"/>
  <c r="FA52" i="1"/>
  <c r="FB52" i="1"/>
  <c r="EV52" i="1"/>
  <c r="FU50" i="1"/>
  <c r="FG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DZ58" i="1" l="1"/>
  <c r="DV59" i="1"/>
  <c r="DW59" i="1"/>
  <c r="DX59" i="1" s="1"/>
  <c r="EA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H52" i="1" s="1"/>
  <c r="FJ50" i="1"/>
  <c r="GQ50" i="1" s="1"/>
  <c r="FM50" i="1"/>
  <c r="FN50" i="1" s="1"/>
  <c r="FW50" i="1"/>
  <c r="FX50" i="1" s="1"/>
  <c r="FZ50" i="1" s="1"/>
  <c r="FE51" i="1"/>
  <c r="FD51" i="1"/>
  <c r="FV51" i="1" s="1"/>
  <c r="EX51" i="1"/>
  <c r="FH51" i="1" s="1"/>
  <c r="HB51" i="1"/>
  <c r="HF51" i="1" s="1"/>
  <c r="HG51" i="1" s="1"/>
  <c r="EW51" i="1"/>
  <c r="FL52" i="1"/>
  <c r="FO52" i="1"/>
  <c r="HG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DZ59" i="1" l="1"/>
  <c r="ED58" i="1"/>
  <c r="EB58" i="1"/>
  <c r="EC58" i="1"/>
  <c r="FU51" i="1"/>
  <c r="FG51" i="1"/>
  <c r="FU52" i="1"/>
  <c r="FG52" i="1"/>
  <c r="GP50" i="1"/>
  <c r="GA50" i="1"/>
  <c r="GD50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EK58" i="1" l="1"/>
  <c r="EF58" i="1"/>
  <c r="EE58" i="1"/>
  <c r="EG58" i="1"/>
  <c r="EL58" i="1"/>
  <c r="EI58" i="1"/>
  <c r="EH58" i="1"/>
  <c r="EJ58" i="1"/>
  <c r="EB59" i="1"/>
  <c r="EC59" i="1"/>
  <c r="ED59" i="1"/>
  <c r="HQ17" i="1"/>
  <c r="HQ47" i="1"/>
  <c r="HQ15" i="1"/>
  <c r="HQ19" i="1"/>
  <c r="HQ18" i="1"/>
  <c r="HQ25" i="1"/>
  <c r="HQ23" i="1"/>
  <c r="HQ24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HQ12" i="1" s="1"/>
  <c r="GI50" i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31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EL59" i="1" l="1"/>
  <c r="EH59" i="1"/>
  <c r="EJ59" i="1"/>
  <c r="EI59" i="1"/>
  <c r="EK59" i="1"/>
  <c r="EG59" i="1"/>
  <c r="EE59" i="1"/>
  <c r="EF59" i="1"/>
  <c r="EN58" i="1"/>
  <c r="EO58" i="1"/>
  <c r="ER58" i="1" s="1"/>
  <c r="EM58" i="1"/>
  <c r="HR17" i="1"/>
  <c r="HR47" i="1"/>
  <c r="BU67" i="1"/>
  <c r="BX67" i="1"/>
  <c r="CA67" i="1"/>
  <c r="HQ43" i="1"/>
  <c r="HR15" i="1"/>
  <c r="HQ29" i="1"/>
  <c r="HR19" i="1"/>
  <c r="HR18" i="1"/>
  <c r="HQ30" i="1"/>
  <c r="HQ35" i="1"/>
  <c r="HR25" i="1"/>
  <c r="HR23" i="1"/>
  <c r="HQ37" i="1"/>
  <c r="HQ36" i="1"/>
  <c r="HQ41" i="1"/>
  <c r="HR24" i="1"/>
  <c r="HQ42" i="1"/>
  <c r="HQ11" i="1"/>
  <c r="HQ9" i="1"/>
  <c r="FQ52" i="1"/>
  <c r="FP52" i="1"/>
  <c r="FR52" i="1"/>
  <c r="FT52" i="1" s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31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EN59" i="1" l="1"/>
  <c r="EM59" i="1"/>
  <c r="EO59" i="1"/>
  <c r="ER59" i="1" s="1"/>
  <c r="EP58" i="1"/>
  <c r="EQ58" i="1"/>
  <c r="EZ58" i="1" s="1"/>
  <c r="FC58" i="1" s="1"/>
  <c r="HM17" i="1"/>
  <c r="HM47" i="1"/>
  <c r="CC67" i="1"/>
  <c r="CK67" i="1" s="1"/>
  <c r="CR67" i="1" s="1"/>
  <c r="CE67" i="1"/>
  <c r="CB67" i="1"/>
  <c r="CA68" i="1"/>
  <c r="BU68" i="1"/>
  <c r="BX68" i="1"/>
  <c r="HM15" i="1"/>
  <c r="HR29" i="1"/>
  <c r="HM19" i="1"/>
  <c r="HM18" i="1"/>
  <c r="HR30" i="1"/>
  <c r="HM23" i="1"/>
  <c r="HM25" i="1"/>
  <c r="HM24" i="1"/>
  <c r="HM9" i="1"/>
  <c r="HR11" i="1"/>
  <c r="FS51" i="1"/>
  <c r="FT51" i="1"/>
  <c r="GO52" i="1"/>
  <c r="GC52" i="1"/>
  <c r="GH52" i="1" s="1"/>
  <c r="GB52" i="1"/>
  <c r="FS52" i="1"/>
  <c r="GI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30" i="1" s="1"/>
  <c r="EN55" i="1"/>
  <c r="EO55" i="1"/>
  <c r="ER55" i="1" s="1"/>
  <c r="FS48" i="1"/>
  <c r="EM56" i="1"/>
  <c r="EN56" i="1"/>
  <c r="AS69" i="1"/>
  <c r="AT69" i="1" s="1"/>
  <c r="BB69" i="1" s="1"/>
  <c r="BE69" i="1" s="1"/>
  <c r="FF58" i="1" l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K68" i="1" s="1"/>
  <c r="CR68" i="1" s="1"/>
  <c r="CE68" i="1"/>
  <c r="CB68" i="1"/>
  <c r="BX69" i="1"/>
  <c r="BU69" i="1"/>
  <c r="CA69" i="1"/>
  <c r="CN67" i="1"/>
  <c r="HR12" i="1"/>
  <c r="HR43" i="1"/>
  <c r="HM29" i="1"/>
  <c r="HR35" i="1"/>
  <c r="HR36" i="1"/>
  <c r="HR37" i="1"/>
  <c r="HR41" i="1"/>
  <c r="HM31" i="1"/>
  <c r="HR42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Y52" i="1"/>
  <c r="GZ52" i="1" s="1"/>
  <c r="GS52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s="1"/>
  <c r="BE70" i="1" s="1"/>
  <c r="FF59" i="1" l="1"/>
  <c r="FI59" i="1" s="1"/>
  <c r="FY59" i="1"/>
  <c r="HE59" i="1" s="1"/>
  <c r="FA59" i="1"/>
  <c r="FB59" i="1"/>
  <c r="EV59" i="1"/>
  <c r="FL58" i="1"/>
  <c r="FO58" i="1"/>
  <c r="EX58" i="1"/>
  <c r="FH58" i="1" s="1"/>
  <c r="FE58" i="1"/>
  <c r="EW58" i="1"/>
  <c r="FD58" i="1"/>
  <c r="FV58" i="1" s="1"/>
  <c r="HB58" i="1"/>
  <c r="HF58" i="1" s="1"/>
  <c r="HH58" i="1"/>
  <c r="HG58" i="1"/>
  <c r="CQ67" i="1"/>
  <c r="CP67" i="1"/>
  <c r="CE69" i="1"/>
  <c r="CB69" i="1"/>
  <c r="CC69" i="1"/>
  <c r="CK69" i="1" s="1"/>
  <c r="CR69" i="1" s="1"/>
  <c r="BU70" i="1"/>
  <c r="CA70" i="1"/>
  <c r="BX70" i="1"/>
  <c r="IA17" i="1"/>
  <c r="IA47" i="1"/>
  <c r="HY17" i="1"/>
  <c r="HY47" i="1"/>
  <c r="CN68" i="1"/>
  <c r="HM12" i="1"/>
  <c r="HM43" i="1"/>
  <c r="IA15" i="1"/>
  <c r="HY15" i="1"/>
  <c r="HM35" i="1"/>
  <c r="IA19" i="1"/>
  <c r="IA18" i="1"/>
  <c r="HY19" i="1"/>
  <c r="HY18" i="1"/>
  <c r="HM36" i="1"/>
  <c r="HM37" i="1"/>
  <c r="HM41" i="1"/>
  <c r="IA25" i="1"/>
  <c r="IA23" i="1"/>
  <c r="HY25" i="1"/>
  <c r="HY23" i="1"/>
  <c r="IA24" i="1"/>
  <c r="HY24" i="1"/>
  <c r="HM42" i="1"/>
  <c r="GT52" i="1"/>
  <c r="GR52" i="1"/>
  <c r="HA52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HY30" i="1" s="1"/>
  <c r="GY48" i="1"/>
  <c r="IA30" i="1" s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S67" i="1" l="1"/>
  <c r="CT67" i="1" s="1"/>
  <c r="CU67" i="1"/>
  <c r="EW59" i="1"/>
  <c r="HB59" i="1"/>
  <c r="HF59" i="1" s="1"/>
  <c r="HH59" i="1" s="1"/>
  <c r="FD59" i="1"/>
  <c r="FV59" i="1" s="1"/>
  <c r="EX59" i="1"/>
  <c r="FE59" i="1"/>
  <c r="CQ68" i="1"/>
  <c r="CP68" i="1"/>
  <c r="FL59" i="1"/>
  <c r="FO59" i="1"/>
  <c r="FG58" i="1"/>
  <c r="FU58" i="1"/>
  <c r="IC17" i="1"/>
  <c r="IC47" i="1"/>
  <c r="IB17" i="1"/>
  <c r="IB47" i="1"/>
  <c r="CB70" i="1"/>
  <c r="CE70" i="1"/>
  <c r="CC70" i="1"/>
  <c r="CK70" i="1" s="1"/>
  <c r="IE17" i="1"/>
  <c r="IE47" i="1"/>
  <c r="CN69" i="1"/>
  <c r="BX71" i="1"/>
  <c r="CA71" i="1"/>
  <c r="BU71" i="1"/>
  <c r="IE15" i="1"/>
  <c r="IB15" i="1"/>
  <c r="IC15" i="1"/>
  <c r="IA29" i="1"/>
  <c r="HY29" i="1"/>
  <c r="IB19" i="1"/>
  <c r="IB18" i="1"/>
  <c r="IE19" i="1"/>
  <c r="IE18" i="1"/>
  <c r="IC19" i="1"/>
  <c r="IC18" i="1"/>
  <c r="IA31" i="1"/>
  <c r="HY31" i="1"/>
  <c r="IE25" i="1"/>
  <c r="IE23" i="1"/>
  <c r="IC25" i="1"/>
  <c r="IC23" i="1"/>
  <c r="IB25" i="1"/>
  <c r="IB23" i="1"/>
  <c r="IB24" i="1"/>
  <c r="IE24" i="1"/>
  <c r="IC24" i="1"/>
  <c r="GZ51" i="1"/>
  <c r="GT51" i="1"/>
  <c r="GR51" i="1"/>
  <c r="HY11" i="1"/>
  <c r="HA51" i="1"/>
  <c r="HC52" i="1"/>
  <c r="HD52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IE31" i="1" s="1"/>
  <c r="HA48" i="1"/>
  <c r="HC48" i="1" s="1"/>
  <c r="EP57" i="1"/>
  <c r="EV57" i="1" s="1"/>
  <c r="EQ57" i="1"/>
  <c r="EZ57" i="1" s="1"/>
  <c r="FC57" i="1" s="1"/>
  <c r="FY57" i="1" s="1"/>
  <c r="HE57" i="1" s="1"/>
  <c r="GT48" i="1"/>
  <c r="IC31" i="1" s="1"/>
  <c r="GR48" i="1"/>
  <c r="IB30" i="1" s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CV67" i="1" l="1"/>
  <c r="CW67" i="1"/>
  <c r="CX67" i="1"/>
  <c r="FW58" i="1"/>
  <c r="FX58" i="1" s="1"/>
  <c r="FZ58" i="1" s="1"/>
  <c r="FJ58" i="1"/>
  <c r="GQ58" i="1" s="1"/>
  <c r="HQ40" i="1" s="1"/>
  <c r="FM58" i="1"/>
  <c r="FN58" i="1" s="1"/>
  <c r="FG59" i="1"/>
  <c r="FU59" i="1"/>
  <c r="CN70" i="1"/>
  <c r="CR70" i="1"/>
  <c r="CS68" i="1"/>
  <c r="CU68" i="1" s="1"/>
  <c r="CT68" i="1"/>
  <c r="CY67" i="1"/>
  <c r="DO67" i="1" s="1"/>
  <c r="CZ67" i="1"/>
  <c r="DP67" i="1" s="1"/>
  <c r="DA67" i="1"/>
  <c r="DQ67" i="1" s="1"/>
  <c r="HG59" i="1"/>
  <c r="CQ69" i="1"/>
  <c r="CP69" i="1"/>
  <c r="FH59" i="1"/>
  <c r="BU72" i="1"/>
  <c r="CA72" i="1"/>
  <c r="BX72" i="1"/>
  <c r="CC71" i="1"/>
  <c r="CK71" i="1" s="1"/>
  <c r="CR71" i="1" s="1"/>
  <c r="CE71" i="1"/>
  <c r="CB71" i="1"/>
  <c r="HY12" i="1"/>
  <c r="HY43" i="1"/>
  <c r="IA11" i="1"/>
  <c r="IA43" i="1"/>
  <c r="IE29" i="1"/>
  <c r="HY35" i="1"/>
  <c r="IB29" i="1"/>
  <c r="IC29" i="1"/>
  <c r="IA35" i="1"/>
  <c r="HY36" i="1"/>
  <c r="IC30" i="1"/>
  <c r="IE30" i="1"/>
  <c r="IA36" i="1"/>
  <c r="HY37" i="1"/>
  <c r="IA37" i="1"/>
  <c r="HY41" i="1"/>
  <c r="IA41" i="1"/>
  <c r="HA49" i="1"/>
  <c r="HC49" i="1" s="1"/>
  <c r="IB31" i="1"/>
  <c r="IC36" i="1"/>
  <c r="HY42" i="1"/>
  <c r="IA42" i="1"/>
  <c r="IA12" i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GP58" i="1" l="1"/>
  <c r="HR40" i="1" s="1"/>
  <c r="GA58" i="1"/>
  <c r="GD58" i="1"/>
  <c r="CY68" i="1"/>
  <c r="CZ68" i="1"/>
  <c r="DA68" i="1"/>
  <c r="DQ68" i="1" s="1"/>
  <c r="FQ58" i="1"/>
  <c r="FS58" i="1" s="1"/>
  <c r="FR58" i="1"/>
  <c r="FP58" i="1"/>
  <c r="CP70" i="1"/>
  <c r="CQ70" i="1"/>
  <c r="DU67" i="1"/>
  <c r="DS67" i="1"/>
  <c r="CV68" i="1"/>
  <c r="CW68" i="1"/>
  <c r="CX68" i="1"/>
  <c r="DN67" i="1"/>
  <c r="FX59" i="1"/>
  <c r="FZ59" i="1" s="1"/>
  <c r="DM67" i="1"/>
  <c r="CS69" i="1"/>
  <c r="CU69" i="1" s="1"/>
  <c r="CT69" i="1"/>
  <c r="FJ59" i="1"/>
  <c r="GQ59" i="1" s="1"/>
  <c r="HQ46" i="1" s="1"/>
  <c r="FM59" i="1"/>
  <c r="FN59" i="1" s="1"/>
  <c r="FW59" i="1"/>
  <c r="DL67" i="1"/>
  <c r="CN71" i="1"/>
  <c r="CA73" i="1"/>
  <c r="BU73" i="1"/>
  <c r="BX73" i="1"/>
  <c r="CE72" i="1"/>
  <c r="CB72" i="1"/>
  <c r="CC72" i="1"/>
  <c r="CK72" i="1" s="1"/>
  <c r="CR72" i="1" s="1"/>
  <c r="HD49" i="1"/>
  <c r="IB11" i="1"/>
  <c r="IB43" i="1"/>
  <c r="IC11" i="1"/>
  <c r="IC43" i="1"/>
  <c r="IE11" i="1"/>
  <c r="IE43" i="1"/>
  <c r="IC42" i="1"/>
  <c r="IE35" i="1"/>
  <c r="IB35" i="1"/>
  <c r="IC35" i="1"/>
  <c r="IB36" i="1"/>
  <c r="IE36" i="1"/>
  <c r="IC37" i="1"/>
  <c r="IE37" i="1"/>
  <c r="IB37" i="1"/>
  <c r="IB41" i="1"/>
  <c r="IE41" i="1"/>
  <c r="IC41" i="1"/>
  <c r="IB42" i="1"/>
  <c r="IE42" i="1"/>
  <c r="IE12" i="1"/>
  <c r="IC12" i="1"/>
  <c r="IB12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s="1"/>
  <c r="BE74" i="1" s="1"/>
  <c r="CY69" i="1" l="1"/>
  <c r="CZ69" i="1"/>
  <c r="DA69" i="1"/>
  <c r="FQ59" i="1"/>
  <c r="FS59" i="1" s="1"/>
  <c r="FP59" i="1"/>
  <c r="FR59" i="1"/>
  <c r="FT59" i="1" s="1"/>
  <c r="DL68" i="1"/>
  <c r="GA59" i="1"/>
  <c r="GD59" i="1"/>
  <c r="GP59" i="1"/>
  <c r="HR46" i="1" s="1"/>
  <c r="CQ71" i="1"/>
  <c r="CP71" i="1"/>
  <c r="CV69" i="1"/>
  <c r="CW69" i="1"/>
  <c r="CX69" i="1"/>
  <c r="DY67" i="1"/>
  <c r="CS70" i="1"/>
  <c r="CU70" i="1" s="1"/>
  <c r="DP68" i="1"/>
  <c r="DO68" i="1"/>
  <c r="DW67" i="1"/>
  <c r="DX67" i="1" s="1"/>
  <c r="DV67" i="1"/>
  <c r="DR67" i="1"/>
  <c r="GO58" i="1"/>
  <c r="HM40" i="1" s="1"/>
  <c r="GB58" i="1"/>
  <c r="GI58" i="1" s="1"/>
  <c r="GC58" i="1"/>
  <c r="GH58" i="1" s="1"/>
  <c r="DN68" i="1"/>
  <c r="FT58" i="1"/>
  <c r="DM68" i="1"/>
  <c r="HQ28" i="1"/>
  <c r="CC73" i="1"/>
  <c r="CK73" i="1" s="1"/>
  <c r="CR73" i="1" s="1"/>
  <c r="CE73" i="1"/>
  <c r="CB73" i="1"/>
  <c r="BU74" i="1"/>
  <c r="BX74" i="1"/>
  <c r="CA74" i="1"/>
  <c r="HQ22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CY70" i="1" l="1"/>
  <c r="CZ70" i="1"/>
  <c r="DA70" i="1"/>
  <c r="DU68" i="1"/>
  <c r="DS68" i="1"/>
  <c r="DM69" i="1"/>
  <c r="DL69" i="1"/>
  <c r="GY58" i="1"/>
  <c r="CT70" i="1"/>
  <c r="CQ72" i="1"/>
  <c r="CP72" i="1"/>
  <c r="GE58" i="1"/>
  <c r="GF58" i="1" s="1"/>
  <c r="GG58" i="1"/>
  <c r="GS58" i="1" s="1"/>
  <c r="CS71" i="1"/>
  <c r="CU71" i="1" s="1"/>
  <c r="GB59" i="1"/>
  <c r="GC59" i="1"/>
  <c r="GO59" i="1"/>
  <c r="HM46" i="1" s="1"/>
  <c r="DQ69" i="1"/>
  <c r="DZ67" i="1"/>
  <c r="DP69" i="1"/>
  <c r="EA67" i="1"/>
  <c r="DN69" i="1"/>
  <c r="DV68" i="1"/>
  <c r="DZ68" i="1" s="1"/>
  <c r="DW68" i="1"/>
  <c r="DX68" i="1" s="1"/>
  <c r="EA68" i="1" s="1"/>
  <c r="DR68" i="1"/>
  <c r="DO69" i="1"/>
  <c r="HR28" i="1"/>
  <c r="CC74" i="1"/>
  <c r="CK74" i="1" s="1"/>
  <c r="CR74" i="1" s="1"/>
  <c r="CB74" i="1"/>
  <c r="CE74" i="1"/>
  <c r="CN73" i="1"/>
  <c r="HR22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Y71" i="1" l="1"/>
  <c r="CZ71" i="1"/>
  <c r="DA71" i="1"/>
  <c r="GT58" i="1"/>
  <c r="IC40" i="1" s="1"/>
  <c r="GR58" i="1"/>
  <c r="IB40" i="1" s="1"/>
  <c r="HA58" i="1"/>
  <c r="HY40" i="1"/>
  <c r="GE59" i="1"/>
  <c r="GF59" i="1" s="1"/>
  <c r="GG59" i="1"/>
  <c r="CV70" i="1"/>
  <c r="CW70" i="1"/>
  <c r="CX70" i="1"/>
  <c r="CQ73" i="1"/>
  <c r="CP73" i="1"/>
  <c r="DU69" i="1"/>
  <c r="DY69" i="1" s="1"/>
  <c r="DS69" i="1"/>
  <c r="CT71" i="1"/>
  <c r="GZ58" i="1"/>
  <c r="IE40" i="1" s="1"/>
  <c r="IA40" i="1"/>
  <c r="EC67" i="1"/>
  <c r="EB67" i="1"/>
  <c r="ED67" i="1"/>
  <c r="DY68" i="1"/>
  <c r="EB68" i="1" s="1"/>
  <c r="EC68" i="1"/>
  <c r="ED68" i="1"/>
  <c r="GI59" i="1"/>
  <c r="DQ70" i="1"/>
  <c r="DW69" i="1"/>
  <c r="DX69" i="1" s="1"/>
  <c r="EA69" i="1" s="1"/>
  <c r="DV69" i="1"/>
  <c r="DZ69" i="1" s="1"/>
  <c r="DR69" i="1"/>
  <c r="DP70" i="1"/>
  <c r="GH59" i="1"/>
  <c r="CS72" i="1"/>
  <c r="CT72" i="1" s="1"/>
  <c r="DO70" i="1"/>
  <c r="HQ34" i="1"/>
  <c r="CN74" i="1"/>
  <c r="HM28" i="1"/>
  <c r="HM22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V72" i="1" l="1"/>
  <c r="CW72" i="1"/>
  <c r="CX72" i="1"/>
  <c r="CU72" i="1"/>
  <c r="EK67" i="1"/>
  <c r="EE67" i="1"/>
  <c r="EG67" i="1"/>
  <c r="EF67" i="1"/>
  <c r="CS73" i="1"/>
  <c r="CU73" i="1"/>
  <c r="CT73" i="1"/>
  <c r="HD58" i="1"/>
  <c r="HC58" i="1"/>
  <c r="GS59" i="1"/>
  <c r="GY59" i="1"/>
  <c r="EL68" i="1"/>
  <c r="EJ68" i="1"/>
  <c r="EI68" i="1"/>
  <c r="EH68" i="1"/>
  <c r="DN70" i="1"/>
  <c r="CQ74" i="1"/>
  <c r="CP74" i="1"/>
  <c r="EK68" i="1"/>
  <c r="EF68" i="1"/>
  <c r="EG68" i="1"/>
  <c r="EE68" i="1"/>
  <c r="DM70" i="1"/>
  <c r="EL67" i="1"/>
  <c r="EI67" i="1"/>
  <c r="EH67" i="1"/>
  <c r="EJ67" i="1"/>
  <c r="CV71" i="1"/>
  <c r="CW71" i="1"/>
  <c r="CX71" i="1"/>
  <c r="DL70" i="1"/>
  <c r="ED69" i="1"/>
  <c r="EB69" i="1"/>
  <c r="EC69" i="1"/>
  <c r="DP71" i="1"/>
  <c r="DS70" i="1"/>
  <c r="DU70" i="1"/>
  <c r="HM34" i="1"/>
  <c r="HR34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IA28" i="1" s="1"/>
  <c r="GS56" i="1"/>
  <c r="HY28" i="1" s="1"/>
  <c r="GS55" i="1"/>
  <c r="GY55" i="1"/>
  <c r="GE57" i="1"/>
  <c r="GF57" i="1" s="1"/>
  <c r="GG57" i="1"/>
  <c r="GH57" i="1"/>
  <c r="GI57" i="1"/>
  <c r="AS78" i="1"/>
  <c r="AT78" i="1" s="1"/>
  <c r="DY70" i="1" l="1"/>
  <c r="GZ59" i="1"/>
  <c r="IE46" i="1" s="1"/>
  <c r="IA46" i="1"/>
  <c r="DN71" i="1"/>
  <c r="GT59" i="1"/>
  <c r="IC46" i="1" s="1"/>
  <c r="GR59" i="1"/>
  <c r="IB46" i="1" s="1"/>
  <c r="HY46" i="1"/>
  <c r="HA59" i="1"/>
  <c r="CU74" i="1"/>
  <c r="CT74" i="1"/>
  <c r="CS74" i="1"/>
  <c r="EK69" i="1"/>
  <c r="EG69" i="1"/>
  <c r="EF69" i="1"/>
  <c r="EE69" i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EL69" i="1"/>
  <c r="EJ69" i="1"/>
  <c r="EH69" i="1"/>
  <c r="EI69" i="1"/>
  <c r="CV73" i="1"/>
  <c r="CW73" i="1"/>
  <c r="CX73" i="1"/>
  <c r="DN72" i="1"/>
  <c r="DQ71" i="1"/>
  <c r="CY73" i="1"/>
  <c r="DO73" i="1" s="1"/>
  <c r="CZ73" i="1"/>
  <c r="DA73" i="1"/>
  <c r="DQ73" i="1" s="1"/>
  <c r="DM72" i="1"/>
  <c r="DO71" i="1"/>
  <c r="DW70" i="1"/>
  <c r="DX70" i="1" s="1"/>
  <c r="EA70" i="1" s="1"/>
  <c r="DR70" i="1"/>
  <c r="DV70" i="1"/>
  <c r="EO68" i="1"/>
  <c r="ER68" i="1" s="1"/>
  <c r="EM68" i="1"/>
  <c r="EN68" i="1"/>
  <c r="DL72" i="1"/>
  <c r="IA22" i="1"/>
  <c r="HY2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DW71" i="1" l="1"/>
  <c r="DX71" i="1" s="1"/>
  <c r="DR71" i="1"/>
  <c r="DV71" i="1"/>
  <c r="DZ71" i="1" s="1"/>
  <c r="DS71" i="1"/>
  <c r="DU71" i="1"/>
  <c r="DY71" i="1" s="1"/>
  <c r="EQ67" i="1"/>
  <c r="EZ67" i="1" s="1"/>
  <c r="FC67" i="1" s="1"/>
  <c r="EP67" i="1"/>
  <c r="DW72" i="1"/>
  <c r="DX72" i="1" s="1"/>
  <c r="DV72" i="1"/>
  <c r="DR72" i="1"/>
  <c r="EN69" i="1"/>
  <c r="EM69" i="1"/>
  <c r="EO69" i="1"/>
  <c r="ER69" i="1" s="1"/>
  <c r="EQ68" i="1"/>
  <c r="EZ68" i="1" s="1"/>
  <c r="FC68" i="1" s="1"/>
  <c r="EP68" i="1"/>
  <c r="DN73" i="1"/>
  <c r="CV74" i="1"/>
  <c r="CW74" i="1"/>
  <c r="CX74" i="1"/>
  <c r="DM73" i="1"/>
  <c r="DU72" i="1"/>
  <c r="DS72" i="1"/>
  <c r="CY74" i="1"/>
  <c r="DO74" i="1" s="1"/>
  <c r="CZ74" i="1"/>
  <c r="DP74" i="1" s="1"/>
  <c r="DA74" i="1"/>
  <c r="DQ74" i="1" s="1"/>
  <c r="DZ70" i="1"/>
  <c r="DP73" i="1"/>
  <c r="DL73" i="1"/>
  <c r="HC59" i="1"/>
  <c r="HD59" i="1"/>
  <c r="DU73" i="1"/>
  <c r="DY73" i="1" s="1"/>
  <c r="DS73" i="1"/>
  <c r="IE28" i="1"/>
  <c r="IC22" i="1"/>
  <c r="IB22" i="1"/>
  <c r="IE22" i="1"/>
  <c r="IB28" i="1"/>
  <c r="IA34" i="1"/>
  <c r="HY34" i="1"/>
  <c r="IC28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DM74" i="1" l="1"/>
  <c r="FY67" i="1"/>
  <c r="HE67" i="1" s="1"/>
  <c r="FF67" i="1"/>
  <c r="FI67" i="1" s="1"/>
  <c r="DS74" i="1"/>
  <c r="DU74" i="1"/>
  <c r="DL74" i="1"/>
  <c r="EP69" i="1"/>
  <c r="EQ69" i="1"/>
  <c r="EZ69" i="1" s="1"/>
  <c r="FC69" i="1" s="1"/>
  <c r="DY72" i="1"/>
  <c r="DR73" i="1"/>
  <c r="DV73" i="1"/>
  <c r="DW73" i="1"/>
  <c r="DX73" i="1" s="1"/>
  <c r="FA68" i="1"/>
  <c r="EV68" i="1"/>
  <c r="FB68" i="1"/>
  <c r="DZ72" i="1"/>
  <c r="EC70" i="1"/>
  <c r="EB70" i="1"/>
  <c r="ED70" i="1"/>
  <c r="EA72" i="1"/>
  <c r="EA71" i="1"/>
  <c r="ED71" i="1" s="1"/>
  <c r="DN74" i="1"/>
  <c r="FF68" i="1"/>
  <c r="FI68" i="1" s="1"/>
  <c r="FY68" i="1"/>
  <c r="HE68" i="1" s="1"/>
  <c r="EV67" i="1"/>
  <c r="FB67" i="1"/>
  <c r="FA67" i="1"/>
  <c r="IC34" i="1"/>
  <c r="IE34" i="1"/>
  <c r="IB34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EL71" i="1" l="1"/>
  <c r="EI71" i="1"/>
  <c r="EH71" i="1"/>
  <c r="EJ71" i="1"/>
  <c r="FD68" i="1"/>
  <c r="FV68" i="1" s="1"/>
  <c r="EW68" i="1"/>
  <c r="HB68" i="1"/>
  <c r="HF68" i="1" s="1"/>
  <c r="EX68" i="1"/>
  <c r="FH68" i="1" s="1"/>
  <c r="FE68" i="1"/>
  <c r="DY74" i="1"/>
  <c r="FL67" i="1"/>
  <c r="FO67" i="1"/>
  <c r="FL68" i="1"/>
  <c r="FO68" i="1"/>
  <c r="FF69" i="1"/>
  <c r="FI69" i="1" s="1"/>
  <c r="FY69" i="1"/>
  <c r="HE69" i="1" s="1"/>
  <c r="HB67" i="1"/>
  <c r="HF67" i="1" s="1"/>
  <c r="EW67" i="1"/>
  <c r="EX67" i="1"/>
  <c r="FD67" i="1"/>
  <c r="FV67" i="1" s="1"/>
  <c r="FE67" i="1"/>
  <c r="EL70" i="1"/>
  <c r="EJ70" i="1"/>
  <c r="EI70" i="1"/>
  <c r="EH70" i="1"/>
  <c r="EB71" i="1"/>
  <c r="HG67" i="1"/>
  <c r="HH67" i="1"/>
  <c r="HG68" i="1"/>
  <c r="HH68" i="1"/>
  <c r="EC71" i="1"/>
  <c r="FB69" i="1"/>
  <c r="EV69" i="1"/>
  <c r="FA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EA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EL72" i="1" l="1"/>
  <c r="EI72" i="1"/>
  <c r="EJ72" i="1"/>
  <c r="EH72" i="1"/>
  <c r="EK71" i="1"/>
  <c r="EF71" i="1"/>
  <c r="EG71" i="1"/>
  <c r="EE71" i="1"/>
  <c r="FG68" i="1"/>
  <c r="FU68" i="1"/>
  <c r="DZ74" i="1"/>
  <c r="EB73" i="1"/>
  <c r="EC73" i="1"/>
  <c r="ED73" i="1"/>
  <c r="FH67" i="1"/>
  <c r="EN70" i="1"/>
  <c r="EO70" i="1"/>
  <c r="ER70" i="1" s="1"/>
  <c r="EM70" i="1"/>
  <c r="FL69" i="1"/>
  <c r="FO69" i="1"/>
  <c r="FG67" i="1"/>
  <c r="FU67" i="1"/>
  <c r="EK72" i="1"/>
  <c r="EF72" i="1"/>
  <c r="EG72" i="1"/>
  <c r="EE72" i="1"/>
  <c r="EW69" i="1"/>
  <c r="FD69" i="1"/>
  <c r="FV69" i="1" s="1"/>
  <c r="FE69" i="1"/>
  <c r="EX69" i="1"/>
  <c r="FH69" i="1" s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EK73" i="1" l="1"/>
  <c r="EG73" i="1"/>
  <c r="EE73" i="1"/>
  <c r="EF73" i="1"/>
  <c r="EN71" i="1"/>
  <c r="EO71" i="1"/>
  <c r="ER71" i="1" s="1"/>
  <c r="EM71" i="1"/>
  <c r="FX67" i="1"/>
  <c r="FZ67" i="1" s="1"/>
  <c r="ED74" i="1"/>
  <c r="EC74" i="1"/>
  <c r="EB74" i="1"/>
  <c r="HG69" i="1"/>
  <c r="EO72" i="1"/>
  <c r="ER72" i="1" s="1"/>
  <c r="EN72" i="1"/>
  <c r="EM72" i="1"/>
  <c r="FM67" i="1"/>
  <c r="FN67" i="1" s="1"/>
  <c r="FW67" i="1"/>
  <c r="FJ67" i="1"/>
  <c r="GQ67" i="1" s="1"/>
  <c r="FJ68" i="1"/>
  <c r="GQ68" i="1" s="1"/>
  <c r="HQ13" i="1" s="1"/>
  <c r="FW68" i="1"/>
  <c r="FX68" i="1" s="1"/>
  <c r="FZ68" i="1" s="1"/>
  <c r="FM68" i="1"/>
  <c r="FN68" i="1" s="1"/>
  <c r="FG69" i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GP68" i="1" l="1"/>
  <c r="HR13" i="1" s="1"/>
  <c r="GD68" i="1"/>
  <c r="GA68" i="1"/>
  <c r="FR68" i="1"/>
  <c r="FQ68" i="1"/>
  <c r="FS68" i="1" s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S67" i="1" s="1"/>
  <c r="FF70" i="1"/>
  <c r="FI70" i="1" s="1"/>
  <c r="FY70" i="1"/>
  <c r="HE70" i="1" s="1"/>
  <c r="FW69" i="1"/>
  <c r="FJ69" i="1"/>
  <c r="GQ69" i="1" s="1"/>
  <c r="HQ16" i="1" s="1"/>
  <c r="FM69" i="1"/>
  <c r="FN69" i="1" s="1"/>
  <c r="EK74" i="1"/>
  <c r="EF74" i="1"/>
  <c r="EE74" i="1"/>
  <c r="EG74" i="1"/>
  <c r="GA67" i="1"/>
  <c r="GD67" i="1"/>
  <c r="GP67" i="1"/>
  <c r="FA70" i="1"/>
  <c r="EV70" i="1"/>
  <c r="FB70" i="1"/>
  <c r="FX69" i="1"/>
  <c r="FZ69" i="1" s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FY72" i="1" l="1"/>
  <c r="HE72" i="1" s="1"/>
  <c r="FF72" i="1"/>
  <c r="FI72" i="1" s="1"/>
  <c r="GA69" i="1"/>
  <c r="GP69" i="1"/>
  <c r="HR16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H67" i="1" s="1"/>
  <c r="GO68" i="1"/>
  <c r="HM13" i="1" s="1"/>
  <c r="GB68" i="1"/>
  <c r="GC68" i="1"/>
  <c r="GH68" i="1" s="1"/>
  <c r="FL70" i="1"/>
  <c r="FO70" i="1"/>
  <c r="FR69" i="1"/>
  <c r="FT69" i="1" s="1"/>
  <c r="FQ69" i="1"/>
  <c r="FS69" i="1" s="1"/>
  <c r="FP69" i="1"/>
  <c r="FT67" i="1"/>
  <c r="FT68" i="1"/>
  <c r="GI67" i="1"/>
  <c r="FA71" i="1"/>
  <c r="EV71" i="1"/>
  <c r="FB71" i="1"/>
  <c r="FF71" i="1"/>
  <c r="FI71" i="1" s="1"/>
  <c r="FY71" i="1"/>
  <c r="HE71" i="1" s="1"/>
  <c r="GI68" i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EW71" i="1" l="1"/>
  <c r="EX71" i="1"/>
  <c r="HB71" i="1"/>
  <c r="HF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FH72" i="1" s="1"/>
  <c r="EW72" i="1"/>
  <c r="HB72" i="1"/>
  <c r="HF72" i="1" s="1"/>
  <c r="GY68" i="1"/>
  <c r="FL72" i="1"/>
  <c r="FO72" i="1"/>
  <c r="HG71" i="1"/>
  <c r="HH71" i="1"/>
  <c r="GE68" i="1"/>
  <c r="GF68" i="1" s="1"/>
  <c r="GG68" i="1"/>
  <c r="GS68" i="1" s="1"/>
  <c r="CP83" i="1"/>
  <c r="CQ83" i="1"/>
  <c r="HH70" i="1"/>
  <c r="GB69" i="1"/>
  <c r="GO69" i="1"/>
  <c r="HM16" i="1" s="1"/>
  <c r="GC69" i="1"/>
  <c r="GH69" i="1" s="1"/>
  <c r="GY67" i="1"/>
  <c r="FH70" i="1"/>
  <c r="GG67" i="1"/>
  <c r="GS67" i="1" s="1"/>
  <c r="GE67" i="1"/>
  <c r="GF67" i="1" s="1"/>
  <c r="FG70" i="1"/>
  <c r="FU70" i="1"/>
  <c r="HH72" i="1"/>
  <c r="HG72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s="1"/>
  <c r="BE87" i="1" s="1"/>
  <c r="GR67" i="1" l="1"/>
  <c r="GT67" i="1"/>
  <c r="HA67" i="1"/>
  <c r="GR68" i="1"/>
  <c r="IB13" i="1" s="1"/>
  <c r="GT68" i="1"/>
  <c r="IC13" i="1" s="1"/>
  <c r="HY13" i="1"/>
  <c r="HA68" i="1"/>
  <c r="GZ68" i="1"/>
  <c r="IE13" i="1" s="1"/>
  <c r="IA13" i="1"/>
  <c r="FF74" i="1"/>
  <c r="FI74" i="1" s="1"/>
  <c r="FY74" i="1"/>
  <c r="HE74" i="1" s="1"/>
  <c r="CP84" i="1"/>
  <c r="CQ84" i="1"/>
  <c r="GI69" i="1"/>
  <c r="GY69" i="1" s="1"/>
  <c r="GZ67" i="1"/>
  <c r="FU72" i="1"/>
  <c r="FG72" i="1"/>
  <c r="FD73" i="1"/>
  <c r="FV73" i="1" s="1"/>
  <c r="EX73" i="1"/>
  <c r="FH73" i="1" s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S69" i="1" s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C86" i="1"/>
  <c r="CK86" i="1" s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GA70" i="1" l="1"/>
  <c r="GP70" i="1"/>
  <c r="HR21" i="1" s="1"/>
  <c r="GD70" i="1"/>
  <c r="GZ69" i="1"/>
  <c r="IE16" i="1" s="1"/>
  <c r="IA16" i="1"/>
  <c r="CY83" i="1"/>
  <c r="CZ83" i="1"/>
  <c r="DA83" i="1"/>
  <c r="GT69" i="1"/>
  <c r="IC16" i="1" s="1"/>
  <c r="GR69" i="1"/>
  <c r="IB16" i="1" s="1"/>
  <c r="HY16" i="1"/>
  <c r="HA69" i="1"/>
  <c r="HC68" i="1"/>
  <c r="HD68" i="1"/>
  <c r="FR70" i="1"/>
  <c r="FP70" i="1"/>
  <c r="FQ70" i="1"/>
  <c r="FS70" i="1" s="1"/>
  <c r="FX71" i="1"/>
  <c r="FZ71" i="1" s="1"/>
  <c r="CN86" i="1"/>
  <c r="CR86" i="1"/>
  <c r="FJ72" i="1"/>
  <c r="GQ72" i="1" s="1"/>
  <c r="HQ33" i="1" s="1"/>
  <c r="FM72" i="1"/>
  <c r="FN72" i="1" s="1"/>
  <c r="FW72" i="1"/>
  <c r="CU84" i="1"/>
  <c r="CS84" i="1"/>
  <c r="CT84" i="1" s="1"/>
  <c r="FJ71" i="1"/>
  <c r="GQ71" i="1" s="1"/>
  <c r="HQ27" i="1" s="1"/>
  <c r="FW71" i="1"/>
  <c r="FM71" i="1"/>
  <c r="FN71" i="1" s="1"/>
  <c r="CT83" i="1"/>
  <c r="EW74" i="1"/>
  <c r="EX74" i="1"/>
  <c r="FH74" i="1" s="1"/>
  <c r="HB74" i="1"/>
  <c r="HF74" i="1" s="1"/>
  <c r="FE74" i="1"/>
  <c r="FD74" i="1"/>
  <c r="FV74" i="1" s="1"/>
  <c r="FL74" i="1"/>
  <c r="FO74" i="1"/>
  <c r="FX72" i="1"/>
  <c r="FZ72" i="1" s="1"/>
  <c r="HG73" i="1"/>
  <c r="HH74" i="1"/>
  <c r="HG74" i="1"/>
  <c r="HD67" i="1"/>
  <c r="HC67" i="1"/>
  <c r="CP85" i="1"/>
  <c r="CQ85" i="1"/>
  <c r="FU73" i="1"/>
  <c r="FG73" i="1"/>
  <c r="CC87" i="1"/>
  <c r="CK87" i="1" s="1"/>
  <c r="CR87" i="1" s="1"/>
  <c r="CE87" i="1"/>
  <c r="CB87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CV84" i="1" l="1"/>
  <c r="CW84" i="1"/>
  <c r="CX84" i="1"/>
  <c r="FJ73" i="1"/>
  <c r="GQ73" i="1" s="1"/>
  <c r="HQ39" i="1" s="1"/>
  <c r="FW73" i="1"/>
  <c r="FM73" i="1"/>
  <c r="FN73" i="1" s="1"/>
  <c r="CQ86" i="1"/>
  <c r="CP86" i="1"/>
  <c r="HD69" i="1"/>
  <c r="HC69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T72" i="1" s="1"/>
  <c r="FP72" i="1"/>
  <c r="FQ72" i="1"/>
  <c r="GB70" i="1"/>
  <c r="GO70" i="1"/>
  <c r="HM21" i="1" s="1"/>
  <c r="GC70" i="1"/>
  <c r="GH70" i="1" s="1"/>
  <c r="FR71" i="1"/>
  <c r="FP71" i="1"/>
  <c r="FQ71" i="1"/>
  <c r="FS71" i="1" s="1"/>
  <c r="FT70" i="1"/>
  <c r="DQ83" i="1"/>
  <c r="CN87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CV85" i="1" l="1"/>
  <c r="CW85" i="1"/>
  <c r="CX85" i="1"/>
  <c r="DL83" i="1"/>
  <c r="CU85" i="1"/>
  <c r="GP73" i="1"/>
  <c r="HR39" i="1" s="1"/>
  <c r="GD73" i="1"/>
  <c r="GA73" i="1"/>
  <c r="DO83" i="1"/>
  <c r="CQ87" i="1"/>
  <c r="CP87" i="1"/>
  <c r="GG70" i="1"/>
  <c r="GS70" i="1" s="1"/>
  <c r="GE70" i="1"/>
  <c r="GF70" i="1" s="1"/>
  <c r="FS72" i="1"/>
  <c r="CU86" i="1"/>
  <c r="CS86" i="1"/>
  <c r="CT86" i="1" s="1"/>
  <c r="GI70" i="1"/>
  <c r="GY70" i="1" s="1"/>
  <c r="GB71" i="1"/>
  <c r="GO71" i="1"/>
  <c r="HM27" i="1" s="1"/>
  <c r="GC71" i="1"/>
  <c r="GH71" i="1" s="1"/>
  <c r="FR73" i="1"/>
  <c r="FP73" i="1"/>
  <c r="FQ73" i="1"/>
  <c r="FS73" i="1" s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GP74" i="1" l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DO86" i="1" s="1"/>
  <c r="CZ86" i="1"/>
  <c r="DP86" i="1" s="1"/>
  <c r="DA86" i="1"/>
  <c r="DQ86" i="1" s="1"/>
  <c r="CS87" i="1"/>
  <c r="CU87" i="1" s="1"/>
  <c r="CT87" i="1"/>
  <c r="GG72" i="1"/>
  <c r="GE72" i="1"/>
  <c r="GF72" i="1" s="1"/>
  <c r="FT73" i="1"/>
  <c r="DU83" i="1"/>
  <c r="DS83" i="1"/>
  <c r="DY84" i="1"/>
  <c r="FQ74" i="1"/>
  <c r="FP74" i="1"/>
  <c r="FR74" i="1"/>
  <c r="FT74" i="1" s="1"/>
  <c r="GH72" i="1"/>
  <c r="GS71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CY87" i="1" l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H74" i="1" s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GI74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DL87" i="1" l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GS74" i="1" s="1"/>
  <c r="DP87" i="1"/>
  <c r="DM87" i="1"/>
  <c r="GY74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AN164" i="1" s="1" a="1"/>
  <c r="AN164" i="1" s="1"/>
  <c r="GR74" i="1" l="1"/>
  <c r="IB45" i="1" s="1"/>
  <c r="GT74" i="1"/>
  <c r="IC45" i="1" s="1"/>
  <c r="HY45" i="1"/>
  <c r="HA74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Z87" i="1" s="1"/>
  <c r="DW87" i="1"/>
  <c r="DX87" i="1" s="1"/>
  <c r="EA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C73" i="1" l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FF84" i="1" l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EN87" i="1" l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FU84" i="1" l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L85" i="1" l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HQ26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D86" i="1" l="1"/>
  <c r="FV86" i="1" s="1"/>
  <c r="FE86" i="1"/>
  <c r="EW86" i="1"/>
  <c r="HB86" i="1"/>
  <c r="HF86" i="1" s="1"/>
  <c r="EX86" i="1"/>
  <c r="FH86" i="1" s="1"/>
  <c r="FM83" i="1"/>
  <c r="FN83" i="1" s="1"/>
  <c r="FW83" i="1"/>
  <c r="FJ83" i="1"/>
  <c r="GQ83" i="1" s="1"/>
  <c r="HQ20" i="1" s="1"/>
  <c r="FG85" i="1"/>
  <c r="FU85" i="1"/>
  <c r="HB87" i="1"/>
  <c r="HF87" i="1" s="1"/>
  <c r="HH87" i="1" s="1"/>
  <c r="FD87" i="1"/>
  <c r="FV87" i="1" s="1"/>
  <c r="FE87" i="1"/>
  <c r="EX87" i="1"/>
  <c r="FH87" i="1" s="1"/>
  <c r="EW87" i="1"/>
  <c r="HG87" i="1"/>
  <c r="FL87" i="1"/>
  <c r="FO87" i="1"/>
  <c r="FP84" i="1"/>
  <c r="FQ84" i="1"/>
  <c r="FR84" i="1"/>
  <c r="FT84" i="1" s="1"/>
  <c r="GD84" i="1"/>
  <c r="GP84" i="1"/>
  <c r="HR26" i="1" s="1"/>
  <c r="GA84" i="1"/>
  <c r="HG86" i="1"/>
  <c r="HH86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H8" i="1" l="1"/>
  <c r="HG8" i="1"/>
  <c r="FG87" i="1"/>
  <c r="FU87" i="1"/>
  <c r="FR83" i="1"/>
  <c r="FQ83" i="1"/>
  <c r="FS83" i="1" s="1"/>
  <c r="FP83" i="1"/>
  <c r="GP83" i="1"/>
  <c r="HR20" i="1" s="1"/>
  <c r="GD83" i="1"/>
  <c r="GA83" i="1"/>
  <c r="FS84" i="1"/>
  <c r="GO84" i="1"/>
  <c r="HM26" i="1" s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F8" i="1" l="1"/>
  <c r="HE8" i="1"/>
  <c r="GA85" i="1"/>
  <c r="GD85" i="1"/>
  <c r="GP85" i="1"/>
  <c r="HR32" i="1" s="1"/>
  <c r="GB83" i="1"/>
  <c r="GO83" i="1"/>
  <c r="HM20" i="1" s="1"/>
  <c r="GC83" i="1"/>
  <c r="GH83" i="1" s="1"/>
  <c r="FT83" i="1"/>
  <c r="FR85" i="1"/>
  <c r="FT85" i="1" s="1"/>
  <c r="FQ85" i="1"/>
  <c r="FP85" i="1"/>
  <c r="GY84" i="1"/>
  <c r="FX87" i="1"/>
  <c r="FZ87" i="1" s="1"/>
  <c r="FX86" i="1"/>
  <c r="FZ86" i="1" s="1"/>
  <c r="FW86" i="1"/>
  <c r="FM86" i="1"/>
  <c r="FN86" i="1" s="1"/>
  <c r="FJ86" i="1"/>
  <c r="GQ86" i="1" s="1"/>
  <c r="HQ38" i="1" s="1"/>
  <c r="FJ87" i="1"/>
  <c r="GQ87" i="1" s="1"/>
  <c r="HQ44" i="1" s="1"/>
  <c r="FM87" i="1"/>
  <c r="FN87" i="1" s="1"/>
  <c r="FW87" i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T84" i="1" l="1"/>
  <c r="IC26" i="1" s="1"/>
  <c r="GR84" i="1"/>
  <c r="IB26" i="1" s="1"/>
  <c r="HY26" i="1"/>
  <c r="HA84" i="1"/>
  <c r="FR86" i="1"/>
  <c r="FQ86" i="1"/>
  <c r="FS86" i="1" s="1"/>
  <c r="FP86" i="1"/>
  <c r="GP86" i="1"/>
  <c r="HR38" i="1" s="1"/>
  <c r="GD86" i="1"/>
  <c r="GA86" i="1"/>
  <c r="GY83" i="1"/>
  <c r="GD87" i="1"/>
  <c r="GP87" i="1"/>
  <c r="HR44" i="1" s="1"/>
  <c r="GA87" i="1"/>
  <c r="GZ84" i="1"/>
  <c r="IE26" i="1" s="1"/>
  <c r="IA26" i="1"/>
  <c r="GE83" i="1"/>
  <c r="GF83" i="1" s="1"/>
  <c r="GG83" i="1"/>
  <c r="GS83" i="1" s="1"/>
  <c r="FR87" i="1"/>
  <c r="FQ87" i="1"/>
  <c r="FS87" i="1" s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T83" i="1" l="1"/>
  <c r="IC20" i="1" s="1"/>
  <c r="GR83" i="1"/>
  <c r="IB20" i="1" s="1"/>
  <c r="HY20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HM44" i="1" s="1"/>
  <c r="GC87" i="1"/>
  <c r="GH87" i="1" s="1"/>
  <c r="FT87" i="1"/>
  <c r="GZ83" i="1"/>
  <c r="IE20" i="1" s="1"/>
  <c r="IA20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T85" i="1" l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S87" i="1" s="1"/>
  <c r="GZ85" i="1"/>
  <c r="IE32" i="1" s="1"/>
  <c r="IA32" i="1"/>
  <c r="GI86" i="1"/>
  <c r="HC83" i="1"/>
  <c r="HD83" i="1"/>
  <c r="GI87" i="1"/>
  <c r="GY87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7" i="1" l="1"/>
  <c r="IE44" i="1" s="1"/>
  <c r="IA44" i="1"/>
  <c r="GT87" i="1"/>
  <c r="IC44" i="1" s="1"/>
  <c r="GR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GZ86" i="1" l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GR2" i="1" l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G3" i="1" l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F3" i="1" l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W2" i="1" l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<sst xmlns="http://schemas.openxmlformats.org/spreadsheetml/2006/main" count="886" uniqueCount="425">
  <si>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</si>
  <si>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</si>
  <si>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</si>
  <si>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</si>
  <si>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</si>
  <si>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</si>
  <si>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</si>
  <si>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</si>
  <si>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</si>
  <si>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</si>
  <si>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</si>
  <si>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</si>
  <si>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</si>
  <si>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</si>
  <si>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</si>
  <si>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</si>
  <si>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</si>
  <si>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</si>
  <si>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</si>
  <si>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</si>
  <si>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</si>
  <si>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</si>
  <si>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</si>
  <si>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</si>
  <si>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</si>
  <si>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</si>
  <si>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</si>
  <si>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</si>
  <si>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</si>
  <si>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</si>
  <si>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</si>
  <si>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</si>
  <si>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</si>
  <si>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</si>
  <si>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</si>
  <si>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</si>
  <si>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</si>
  <si>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</si>
  <si>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</si>
  <si>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</si>
  <si>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</si>
  <si>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</si>
  <si>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</si>
  <si>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</si>
  <si>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</si>
  <si>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</si>
  <si>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</si>
  <si>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</si>
  <si>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</si>
  <si>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</si>
  <si>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</si>
  <si>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</si>
  <si>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</si>
  <si>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</si>
  <si>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</si>
  <si>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</si>
  <si>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</si>
  <si>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</si>
  <si>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</si>
  <si>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</si>
  <si>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</si>
  <si>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</si>
  <si>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</si>
  <si>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</si>
  <si>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</si>
  <si>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</si>
  <si>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</si>
  <si>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</si>
  <si>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</si>
  <si>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</si>
  <si>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</si>
  <si>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</si>
  <si>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</si>
  <si>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</si>
  <si>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</si>
  <si>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</si>
  <si>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</si>
  <si>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</si>
  <si>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</si>
  <si>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</si>
  <si>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</si>
  <si>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</si>
  <si>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</si>
  <si>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</si>
  <si>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</si>
  <si>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</si>
  <si>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</si>
  <si>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</si>
  <si>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</si>
  <si>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</si>
  <si>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</si>
  <si>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</si>
  <si>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</si>
  <si>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</si>
  <si>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</si>
  <si>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</si>
  <si>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</si>
  <si>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</si>
  <si>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</si>
  <si>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</si>
  <si>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</si>
  <si>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</si>
  <si>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</si>
  <si>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</si>
  <si>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</si>
  <si>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</si>
  <si>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</si>
  <si>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</si>
  <si>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</si>
  <si>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</si>
  <si>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</si>
  <si>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</si>
  <si>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</si>
  <si>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</si>
  <si>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</si>
  <si>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</si>
  <si>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</si>
  <si>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</si>
  <si>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</si>
  <si>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</si>
  <si>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</si>
  <si>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</si>
  <si>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</si>
  <si>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</si>
  <si>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</si>
  <si>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</si>
  <si>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</si>
  <si>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</si>
  <si>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</si>
  <si>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</si>
  <si>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</si>
  <si>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</si>
  <si>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</si>
  <si>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</si>
  <si>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</si>
  <si>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</si>
  <si>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</si>
  <si>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</si>
  <si>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</si>
  <si>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</si>
  <si>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</si>
  <si>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</si>
  <si>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</si>
  <si>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</si>
  <si>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</si>
  <si>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</si>
  <si>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</si>
  <si>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</si>
  <si>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</si>
  <si>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</si>
  <si>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</si>
  <si>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</si>
  <si>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</si>
  <si>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</si>
  <si>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</si>
  <si>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</si>
  <si>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</si>
  <si>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</si>
  <si>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</si>
  <si>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</si>
  <si>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</si>
  <si>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</si>
  <si>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</si>
  <si>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</si>
  <si>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</si>
  <si>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</si>
  <si>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</si>
  <si>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</si>
  <si>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</si>
  <si>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</si>
  <si>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</si>
  <si>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</si>
  <si>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</si>
  <si>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</si>
  <si>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</si>
  <si>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</si>
  <si>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</si>
  <si>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</si>
  <si>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</si>
  <si>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</si>
  <si>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</si>
  <si>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</si>
  <si>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</si>
  <si>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</si>
  <si>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</si>
  <si>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</si>
  <si>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</si>
  <si>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</si>
  <si>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</si>
  <si>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</si>
  <si>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</si>
  <si>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</si>
  <si>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</si>
  <si>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</si>
  <si>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</si>
  <si>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</si>
  <si>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</si>
  <si>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</si>
  <si>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</si>
  <si>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</si>
  <si>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</si>
  <si>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</si>
  <si>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</si>
  <si>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</si>
  <si>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</si>
  <si>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</si>
  <si>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</si>
  <si>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</si>
  <si>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</si>
  <si>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</si>
  <si>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</si>
  <si>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</si>
  <si>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</si>
  <si>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</si>
  <si>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</si>
  <si>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</si>
  <si>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</si>
  <si>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</si>
  <si>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</si>
  <si>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</si>
  <si>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</si>
  <si>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</si>
  <si>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</si>
  <si>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</si>
  <si>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</si>
  <si>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</si>
  <si>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</si>
  <si>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</si>
  <si>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</si>
  <si>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</si>
  <si>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</si>
  <si>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</si>
  <si>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</si>
  <si>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</si>
  <si>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</si>
  <si>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</si>
  <si>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</si>
  <si>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</si>
  <si>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</si>
  <si>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</si>
  <si>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</si>
  <si>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</si>
  <si>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</si>
  <si>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</si>
  <si>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</si>
  <si>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</si>
  <si>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</si>
  <si>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</si>
  <si>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</si>
  <si>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</si>
  <si>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</si>
  <si>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</si>
  <si>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</si>
  <si>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</si>
  <si>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</si>
  <si>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</si>
  <si>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</si>
  <si>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</si>
  <si>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</si>
  <si>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</si>
  <si>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</si>
  <si>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</si>
  <si>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</si>
  <si>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</si>
  <si>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</si>
  <si>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</si>
  <si>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</si>
  <si>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</si>
  <si>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</si>
  <si>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</si>
  <si>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</si>
  <si>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</si>
  <si>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</si>
  <si>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</si>
  <si>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</si>
  <si>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</si>
  <si>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</si>
  <si>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</si>
  <si>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</si>
  <si>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</si>
  <si>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</si>
  <si>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</si>
  <si>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</si>
  <si>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</si>
  <si>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</si>
  <si>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</si>
  <si>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</si>
  <si>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</si>
  <si>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</si>
  <si>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</si>
  <si>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</si>
  <si>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</si>
  <si>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</si>
  <si>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</si>
  <si>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</si>
  <si>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</si>
  <si>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</si>
  <si>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</si>
  <si>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</si>
  <si>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</si>
  <si>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</si>
  <si>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</si>
  <si>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</si>
  <si>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</si>
  <si>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</si>
  <si>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</si>
  <si>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</si>
  <si>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</si>
  <si>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</si>
  <si>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</si>
  <si>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</si>
  <si>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</si>
  <si>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</si>
  <si>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</si>
  <si>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</si>
  <si>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</si>
  <si>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</si>
  <si>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</si>
  <si>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</si>
  <si>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</si>
  <si>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</si>
  <si>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</si>
  <si>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</si>
  <si>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</si>
  <si>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</si>
  <si>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</si>
  <si>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</si>
  <si>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</si>
  <si>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</si>
  <si>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</si>
  <si>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</si>
  <si>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</si>
  <si>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</si>
  <si>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</si>
  <si>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</si>
  <si>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</si>
  <si>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</si>
  <si>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</si>
  <si>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</si>
  <si>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</si>
  <si>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</si>
  <si>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</si>
  <si>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</si>
  <si>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</si>
  <si>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</si>
  <si>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</si>
  <si>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</si>
  <si>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</si>
  <si>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</si>
  <si>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</si>
  <si>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</si>
  <si>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</si>
  <si>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</si>
  <si>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</si>
  <si>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</si>
  <si>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</si>
  <si>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</si>
  <si>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</si>
  <si>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</si>
  <si>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</si>
  <si>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</si>
  <si>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</si>
  <si>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</si>
  <si>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</si>
  <si>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</si>
  <si>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</si>
  <si>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</si>
  <si>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</si>
  <si>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</si>
  <si>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</si>
  <si>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</si>
  <si>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</si>
  <si>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</si>
  <si>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</si>
  <si>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</si>
  <si>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</si>
  <si>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</si>
  <si>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</si>
  <si>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</si>
  <si>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</si>
  <si>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</si>
  <si>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</si>
  <si>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</si>
  <si>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</si>
  <si>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</si>
  <si>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</si>
  <si>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</si>
  <si>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</si>
  <si>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</si>
  <si>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</si>
  <si>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</si>
  <si>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</si>
  <si>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</si>
  <si>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</si>
  <si>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</si>
  <si>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</si>
  <si>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</si>
  <si>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</si>
  <si>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</si>
  <si>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</si>
  <si>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</si>
  <si>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</si>
  <si>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</si>
  <si>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</si>
  <si>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</si>
  <si>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</si>
  <si>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</si>
  <si>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</si>
  <si>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</si>
  <si>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</si>
  <si>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</si>
  <si>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</si>
  <si>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</si>
  <si>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</si>
  <si>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</si>
  <si>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</si>
  <si>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</si>
  <si>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</si>
  <si>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</si>
  <si>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1313.par</t>
  </si>
  <si>
    <t>pattern</t>
  </si>
  <si>
    <t>perp</t>
  </si>
  <si>
    <t>2556r00</t>
  </si>
  <si>
    <t>1613 Ripper.par</t>
  </si>
  <si>
    <t>1613.par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</si>
</sst>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FF00"/>
        <bgColor indexed="64"/>
      </patternFill>
    </fill>
  </fills>
  <borders count="36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48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76" fontId="0" fillId="62" borderId="202" xfId="0" applyNumberFormat="1" applyFill="1" applyBorder="1" applyAlignment="1">
      <alignment horizontal="center"/>
    </xf>
    <xf numFmtId="176" fontId="0" fillId="62" borderId="54" xfId="0" applyNumberFormat="1" applyFill="1" applyBorder="1" applyAlignment="1">
      <alignment horizontal="center"/>
    </xf>
    <xf numFmtId="176" fontId="0" fillId="62" borderId="359" xfId="0" applyNumberFormat="1" applyFill="1" applyBorder="1" applyAlignment="1">
      <alignment horizontal="center"/>
    </xf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0" fillId="0" borderId="0" xfId="0" applyNumberFormat="1"/>
    <xf numFmtId="176" fontId="31" fillId="0" borderId="0" xfId="0" applyNumberFormat="1" applyFont="1" applyAlignment="1">
      <alignment horizontal="center"/>
    </xf>
    <xf numFmtId="0" fontId="23" fillId="68" borderId="72" xfId="0" applyFont="1" applyFill="1" applyBorder="1" applyAlignment="1">
      <alignment horizontal="center" vertical="center"/>
    </xf>
    <xf numFmtId="0" fontId="23" fillId="68" borderId="73" xfId="0" applyFont="1" applyFill="1" applyBorder="1" applyAlignment="1">
      <alignment horizontal="center" vertical="center"/>
    </xf>
    <xf numFmtId="0" fontId="23" fillId="68" borderId="49" xfId="0" applyFont="1" applyFill="1" applyBorder="1" applyAlignment="1">
      <alignment horizontal="center" vertical="center"/>
    </xf>
    <xf numFmtId="0" fontId="23" fillId="68" borderId="2" xfId="0" applyFont="1" applyFill="1" applyBorder="1" applyAlignment="1">
      <alignment horizontal="center" vertical="center"/>
    </xf>
    <xf numFmtId="0" fontId="23" fillId="68" borderId="30" xfId="0" applyFont="1" applyFill="1" applyBorder="1" applyAlignment="1">
      <alignment horizontal="center" vertical="center"/>
    </xf>
    <xf numFmtId="0" fontId="23" fillId="68" borderId="3" xfId="0" applyFont="1" applyFill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31" fillId="68" borderId="260" xfId="0" applyFont="1" applyFill="1" applyBorder="1" applyAlignment="1">
      <alignment horizontal="center" vertical="center"/>
    </xf>
    <xf numFmtId="0" fontId="31" fillId="68" borderId="135" xfId="0" applyFont="1" applyFill="1" applyBorder="1" applyAlignment="1">
      <alignment horizontal="center" vertical="center"/>
    </xf>
    <xf numFmtId="0" fontId="23" fillId="68" borderId="360" xfId="0" applyFont="1" applyFill="1" applyBorder="1" applyAlignment="1">
      <alignment horizontal="center" vertical="center"/>
    </xf>
    <xf numFmtId="0" fontId="23" fillId="68" borderId="176" xfId="0" applyFont="1" applyFill="1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218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96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6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/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22" t="s">
        <v>77</v>
      </c>
      <c r="D1" s="1022"/>
      <c r="E1" s="1022"/>
      <c r="F1" s="1022"/>
      <c r="G1" s="1022"/>
      <c r="H1" s="1022"/>
      <c r="I1" s="1022"/>
      <c r="J1" s="1022"/>
      <c r="K1" s="1022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9" t="s">
        <v>80</v>
      </c>
      <c r="B6" s="1009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8" t="s">
        <v>370</v>
      </c>
      <c r="AQ7" s="1008"/>
      <c r="AR7" s="1008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014">
        <v>9</v>
      </c>
      <c r="D9" s="984"/>
      <c r="E9" s="984"/>
      <c r="F9" s="984"/>
      <c r="G9" s="984"/>
      <c r="H9" s="984"/>
      <c r="I9" s="984"/>
      <c r="J9" s="984"/>
      <c r="K9" s="1015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03"/>
      <c r="C10" s="1004"/>
      <c r="D10" s="1004"/>
      <c r="E10" s="1004"/>
      <c r="F10" s="1004"/>
      <c r="G10" s="1004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20"/>
      <c r="B11" s="1010" t="s">
        <v>33</v>
      </c>
      <c r="C11" s="1019" t="s">
        <v>34</v>
      </c>
      <c r="D11" s="1019"/>
      <c r="E11" s="1016" t="s">
        <v>39</v>
      </c>
      <c r="F11" s="1010" t="s">
        <v>35</v>
      </c>
      <c r="G11" s="1010" t="s">
        <v>36</v>
      </c>
      <c r="H11" s="1010" t="s">
        <v>43</v>
      </c>
      <c r="I11" s="1017" t="s">
        <v>67</v>
      </c>
      <c r="J11" s="1019" t="s">
        <v>56</v>
      </c>
      <c r="K11" s="1019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83" t="s">
        <v>338</v>
      </c>
      <c r="AN11" s="984"/>
      <c r="AO11" s="984"/>
      <c r="AP11" s="984"/>
      <c r="AQ11" s="984"/>
      <c r="AR11" s="985"/>
      <c r="AS11" s="994" t="s">
        <v>345</v>
      </c>
      <c r="AT11" s="995"/>
      <c r="AU11" s="995"/>
      <c r="AV11" s="996"/>
      <c r="BC11" s="419"/>
    </row>
    <row r="12" spans="1:55" ht="15.75" thickBot="1" x14ac:dyDescent="0.3">
      <c r="A12" s="1021"/>
      <c r="B12" s="1011"/>
      <c r="C12" s="48" t="s">
        <v>8</v>
      </c>
      <c r="D12" s="49" t="s">
        <v>10</v>
      </c>
      <c r="E12" s="1011"/>
      <c r="F12" s="1011"/>
      <c r="G12" s="1011"/>
      <c r="H12" s="1011"/>
      <c r="I12" s="1018"/>
      <c r="J12" s="52" t="s">
        <v>8</v>
      </c>
      <c r="K12" s="53" t="s">
        <v>10</v>
      </c>
      <c r="M12" s="31"/>
      <c r="N12" s="31"/>
      <c r="O12" s="1031" t="s">
        <v>46</v>
      </c>
      <c r="P12" s="1032"/>
      <c r="Q12" s="1012" t="s">
        <v>45</v>
      </c>
      <c r="R12" s="1013"/>
      <c r="S12" s="1013"/>
      <c r="T12" s="1013"/>
      <c r="U12" s="1013"/>
      <c r="V12" s="1013"/>
      <c r="W12" s="1013"/>
      <c r="X12" s="1013"/>
      <c r="Y12" s="1013"/>
      <c r="Z12" s="1013"/>
      <c r="AA12" s="1013"/>
      <c r="AB12" s="1013"/>
      <c r="AC12" s="1013"/>
      <c r="AD12" s="1013"/>
      <c r="AE12" s="1014"/>
      <c r="AF12" s="1025" t="s">
        <v>56</v>
      </c>
      <c r="AG12" s="1026"/>
      <c r="AH12" s="31"/>
      <c r="AK12" s="989" t="s">
        <v>346</v>
      </c>
      <c r="AL12" s="1005"/>
      <c r="AM12" s="986" t="s">
        <v>343</v>
      </c>
      <c r="AN12" s="987"/>
      <c r="AO12" s="988"/>
      <c r="AP12" s="989" t="s">
        <v>371</v>
      </c>
      <c r="AQ12" s="988"/>
      <c r="AR12" s="743" t="s">
        <v>369</v>
      </c>
      <c r="AS12" s="991" t="s">
        <v>343</v>
      </c>
      <c r="AT12" s="988"/>
      <c r="AU12" s="992" t="s">
        <v>344</v>
      </c>
      <c r="AV12" s="993"/>
      <c r="AW12" s="997" t="s">
        <v>342</v>
      </c>
      <c r="AX12" s="998"/>
      <c r="AZ12" s="989" t="s">
        <v>60</v>
      </c>
      <c r="BA12" s="988"/>
      <c r="BC12" s="990" t="s">
        <v>374</v>
      </c>
    </row>
    <row r="13" spans="1:55" ht="15.75" thickBot="1" x14ac:dyDescent="0.3">
      <c r="A13" s="63" t="s">
        <v>57</v>
      </c>
      <c r="B13" s="999" t="s">
        <v>97</v>
      </c>
      <c r="C13" s="1001" t="str">
        <f>SUBSTITUTE(ADDRESS(1,COLUMN(Assy.Model!X9),4),"1","")</f>
        <v>X</v>
      </c>
      <c r="D13" s="97" t="str">
        <f>SUBSTITUTE(ADDRESS(1,COLUMN(Assy.Model!Y9),4),"1","")</f>
        <v>Y</v>
      </c>
      <c r="E13" s="1006" t="str">
        <f>SUBSTITUTE(ADDRESS(1,COLUMN(Assy.Model!H9),4),"1","")</f>
        <v>H</v>
      </c>
      <c r="F13" s="1006" t="str">
        <f>SUBSTITUTE(ADDRESS(1,COLUMN(Assy.Model!AN9),4),"1","")</f>
        <v>AN</v>
      </c>
      <c r="G13" s="1006" t="str">
        <f>SUBSTITUTE(ADDRESS(1,COLUMN(Assy.Model!AO9),4),"1","")</f>
        <v>AO</v>
      </c>
      <c r="H13" s="1006" t="str">
        <f>SUBSTITUTE(ADDRESS(1,COLUMN(Assy.Model!AO9),4),"1","")</f>
        <v>AO</v>
      </c>
      <c r="I13" s="1006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33"/>
      <c r="P13" s="1034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90"/>
    </row>
    <row r="14" spans="1:55" x14ac:dyDescent="0.25">
      <c r="A14" s="61" t="s">
        <v>58</v>
      </c>
      <c r="B14" s="1000"/>
      <c r="C14" s="1002"/>
      <c r="D14" s="98" t="str">
        <f>SUBSTITUTE(ADDRESS(1,COLUMN(Assy.Model!AT9),4),"1","")</f>
        <v>AT</v>
      </c>
      <c r="E14" s="1007"/>
      <c r="F14" s="1007"/>
      <c r="G14" s="1007"/>
      <c r="H14" s="1007"/>
      <c r="I14" s="1007"/>
      <c r="J14" s="87">
        <v>0</v>
      </c>
      <c r="K14" s="88">
        <v>0</v>
      </c>
      <c r="L14" s="31"/>
      <c r="M14" s="185">
        <v>6.25E-2</v>
      </c>
      <c r="N14" s="31">
        <v>32</v>
      </c>
      <c r="O14" s="1029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29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29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29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29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7.875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29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30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014" t="s">
        <v>64</v>
      </c>
      <c r="C21" s="984"/>
      <c r="D21" s="984"/>
      <c r="E21" s="984"/>
      <c r="F21" s="1015"/>
      <c r="G21" s="31"/>
      <c r="H21" s="31"/>
      <c r="I21" s="31"/>
      <c r="AI21" s="783">
        <f t="shared" si="13"/>
        <v>573000.52</v>
      </c>
      <c r="AJ21" s="780" t="b">
        <f>TRUE</f>
        <v>1</v>
      </c>
      <c r="AK21" s="683">
        <v>14513</v>
      </c>
      <c r="AL21" s="750">
        <f t="shared" si="18"/>
        <v>14513</v>
      </c>
      <c r="AM21" s="689">
        <v>0.56999999999999995</v>
      </c>
      <c r="AN21" s="5">
        <f t="shared" si="7"/>
        <v>0.52</v>
      </c>
      <c r="AO21" s="691"/>
      <c r="AP21" s="9">
        <f t="shared" si="16"/>
        <v>0.57299999999999995</v>
      </c>
      <c r="AQ21" s="8">
        <f t="shared" si="8"/>
        <v>0.52</v>
      </c>
      <c r="AR21" s="177">
        <f t="shared" si="19"/>
        <v>0.28499999999999998</v>
      </c>
      <c r="AS21" s="4">
        <f t="shared" si="14"/>
        <v>0.56899999999999995</v>
      </c>
      <c r="AT21" s="8">
        <f t="shared" si="14"/>
        <v>0.57099999999999995</v>
      </c>
      <c r="AU21" s="173">
        <f t="shared" si="15"/>
        <v>0.57399999999999995</v>
      </c>
      <c r="AV21" s="6">
        <f t="shared" si="17"/>
        <v>0.57699999999999996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14513</v>
      </c>
    </row>
    <row r="22" spans="2:55" x14ac:dyDescent="0.25">
      <c r="B22" s="1020"/>
      <c r="C22" s="1014" t="s">
        <v>63</v>
      </c>
      <c r="D22" s="1015"/>
      <c r="E22" s="1017" t="s">
        <v>60</v>
      </c>
      <c r="F22" s="1017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35"/>
      <c r="C23" s="56" t="s">
        <v>8</v>
      </c>
      <c r="D23" s="56" t="s">
        <v>9</v>
      </c>
      <c r="E23" s="1018"/>
      <c r="F23" s="1018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27">
        <v>0</v>
      </c>
      <c r="E24" s="1027">
        <v>2</v>
      </c>
      <c r="F24" s="1027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3.9375</v>
      </c>
      <c r="D25" s="1028"/>
      <c r="E25" s="1028"/>
      <c r="F25" s="1028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023" t="s">
        <v>302</v>
      </c>
      <c r="C27" s="1023"/>
      <c r="D27" s="1023"/>
      <c r="E27" s="1023"/>
      <c r="F27" s="1023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24" t="s">
        <v>422</v>
      </c>
      <c r="C28" s="1024"/>
      <c r="D28" s="1024"/>
      <c r="E28" s="1024"/>
      <c r="F28" s="1024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84" t="s">
        <v>95</v>
      </c>
      <c r="D3" s="984"/>
      <c r="E3" s="984"/>
      <c r="F3" s="984"/>
      <c r="G3" s="984"/>
      <c r="H3" s="984"/>
      <c r="I3" s="984"/>
      <c r="J3" s="984"/>
      <c r="K3" s="985"/>
      <c r="L3" s="1041"/>
      <c r="M3" s="984"/>
      <c r="N3" s="984"/>
      <c r="O3" s="984"/>
      <c r="P3" s="984"/>
      <c r="Q3" s="984"/>
      <c r="R3" s="1015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63" t="s">
        <v>86</v>
      </c>
      <c r="C4" s="1080" t="s">
        <v>82</v>
      </c>
      <c r="D4" s="984" t="s">
        <v>83</v>
      </c>
      <c r="E4" s="984"/>
      <c r="F4" s="984"/>
      <c r="G4" s="984"/>
      <c r="H4" s="984"/>
      <c r="I4" s="984"/>
      <c r="J4" s="984"/>
      <c r="K4" s="984"/>
      <c r="L4" s="146" t="s">
        <v>91</v>
      </c>
      <c r="M4" s="1014" t="s">
        <v>94</v>
      </c>
      <c r="N4" s="984"/>
      <c r="O4" s="984"/>
      <c r="P4" s="985"/>
      <c r="Q4" s="984" t="s">
        <v>52</v>
      </c>
      <c r="R4" s="1015"/>
      <c r="S4" s="103"/>
      <c r="T4" s="1014">
        <v>350</v>
      </c>
      <c r="U4" s="984"/>
      <c r="V4" s="984" t="s">
        <v>76</v>
      </c>
      <c r="W4" s="984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64"/>
      <c r="C5" s="1081"/>
      <c r="D5" s="1069" t="s">
        <v>85</v>
      </c>
      <c r="E5" s="1083" t="s">
        <v>89</v>
      </c>
      <c r="F5" s="1019" t="s">
        <v>34</v>
      </c>
      <c r="G5" s="1019"/>
      <c r="H5" s="1016" t="s">
        <v>39</v>
      </c>
      <c r="I5" s="1010" t="s">
        <v>35</v>
      </c>
      <c r="J5" s="1010" t="s">
        <v>36</v>
      </c>
      <c r="K5" s="1053" t="s">
        <v>67</v>
      </c>
      <c r="L5" s="147" t="s">
        <v>92</v>
      </c>
      <c r="M5" s="1017" t="s">
        <v>90</v>
      </c>
      <c r="N5" s="1017" t="s">
        <v>47</v>
      </c>
      <c r="O5" s="1036" t="s">
        <v>84</v>
      </c>
      <c r="P5" s="1037"/>
      <c r="Q5" s="1038" t="s">
        <v>84</v>
      </c>
      <c r="R5" s="1039"/>
      <c r="S5" s="103"/>
      <c r="T5" s="1031" t="s">
        <v>46</v>
      </c>
      <c r="U5" s="1042"/>
      <c r="V5" s="998" t="s">
        <v>45</v>
      </c>
      <c r="W5" s="1026"/>
      <c r="X5" s="1026"/>
      <c r="Y5" s="1026"/>
      <c r="Z5" s="1026"/>
      <c r="AA5" s="1026"/>
      <c r="AB5" s="1026"/>
      <c r="AC5" s="1026"/>
      <c r="AD5" s="1026"/>
      <c r="AE5" s="1026"/>
      <c r="AF5" s="1026"/>
      <c r="AG5" s="1026"/>
      <c r="AH5" s="1026"/>
      <c r="AI5" s="1026"/>
      <c r="AJ5" s="1026"/>
      <c r="AK5" s="31"/>
      <c r="AL5" s="31"/>
    </row>
    <row r="6" spans="2:38" ht="15" customHeight="1" thickBot="1" x14ac:dyDescent="0.3">
      <c r="B6" s="1065"/>
      <c r="C6" s="1082"/>
      <c r="D6" s="1070"/>
      <c r="E6" s="1084"/>
      <c r="F6" s="104" t="s">
        <v>8</v>
      </c>
      <c r="G6" s="105" t="s">
        <v>10</v>
      </c>
      <c r="H6" s="1054"/>
      <c r="I6" s="1054"/>
      <c r="J6" s="1054"/>
      <c r="K6" s="1043"/>
      <c r="L6" s="148" t="s">
        <v>93</v>
      </c>
      <c r="M6" s="1040"/>
      <c r="N6" s="1040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43"/>
      <c r="U6" s="1044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71">
        <f>ROW(Assy.Model!B9)</f>
        <v>9</v>
      </c>
      <c r="D7" s="1060" t="str">
        <f>SUBSTITUTE(ADDRESS(1,COLUMN(Assy.Model!B9),4),"1","")</f>
        <v>B</v>
      </c>
      <c r="E7" s="1074" t="str">
        <f>SUBSTITUTE(ADDRESS(1,COLUMN(Assy.Model!M9),4),"1","")</f>
        <v>M</v>
      </c>
      <c r="F7" s="1077" t="str">
        <f>SUBSTITUTE(ADDRESS(1,COLUMN(Assy.Model!X9),4),"1","")</f>
        <v>X</v>
      </c>
      <c r="G7" s="1066" t="str">
        <f>SUBSTITUTE(ADDRESS(1,COLUMN(Assy.Model!AT9),4),"1","")</f>
        <v>AT</v>
      </c>
      <c r="H7" s="1045" t="str">
        <f>SUBSTITUTE(ADDRESS(1,COLUMN(Assy.Model!H9),4),"1","")</f>
        <v>H</v>
      </c>
      <c r="I7" s="1045" t="str">
        <f>SUBSTITUTE(ADDRESS(1,COLUMN(Assy.Model!AN9),4),"1","")</f>
        <v>AN</v>
      </c>
      <c r="J7" s="1045" t="str">
        <f>SUBSTITUTE(ADDRESS(1,COLUMN(Assy.Model!AO9),4),"1","")</f>
        <v>AO</v>
      </c>
      <c r="K7" s="1048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57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55" t="s">
        <v>81</v>
      </c>
      <c r="C8" s="1072"/>
      <c r="D8" s="1061"/>
      <c r="E8" s="1075"/>
      <c r="F8" s="1078"/>
      <c r="G8" s="1067"/>
      <c r="H8" s="1046"/>
      <c r="I8" s="1046"/>
      <c r="J8" s="1046"/>
      <c r="K8" s="1049"/>
      <c r="L8" s="149" t="s">
        <v>93</v>
      </c>
      <c r="M8" s="1051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58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55"/>
      <c r="C9" s="1072"/>
      <c r="D9" s="1061"/>
      <c r="E9" s="1075"/>
      <c r="F9" s="1078"/>
      <c r="G9" s="1067"/>
      <c r="H9" s="1046"/>
      <c r="I9" s="1046"/>
      <c r="J9" s="1046"/>
      <c r="K9" s="1049"/>
      <c r="L9" s="149" t="s">
        <v>92</v>
      </c>
      <c r="M9" s="1051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58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55"/>
      <c r="C10" s="1072"/>
      <c r="D10" s="1061"/>
      <c r="E10" s="1075"/>
      <c r="F10" s="1078"/>
      <c r="G10" s="1067"/>
      <c r="H10" s="1046"/>
      <c r="I10" s="1046"/>
      <c r="J10" s="1046"/>
      <c r="K10" s="1049"/>
      <c r="L10" s="149" t="s">
        <v>92</v>
      </c>
      <c r="M10" s="1051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58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55"/>
      <c r="C11" s="1072"/>
      <c r="D11" s="1061"/>
      <c r="E11" s="1075"/>
      <c r="F11" s="1078"/>
      <c r="G11" s="1067"/>
      <c r="H11" s="1046"/>
      <c r="I11" s="1046"/>
      <c r="J11" s="1046"/>
      <c r="K11" s="1049"/>
      <c r="L11" s="149" t="s">
        <v>92</v>
      </c>
      <c r="M11" s="1051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58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55"/>
      <c r="C12" s="1072"/>
      <c r="D12" s="1061"/>
      <c r="E12" s="1075"/>
      <c r="F12" s="1078"/>
      <c r="G12" s="1067"/>
      <c r="H12" s="1046"/>
      <c r="I12" s="1046"/>
      <c r="J12" s="1046"/>
      <c r="K12" s="1049"/>
      <c r="L12" s="149" t="s">
        <v>92</v>
      </c>
      <c r="M12" s="1051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58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55"/>
      <c r="C13" s="1072"/>
      <c r="D13" s="1061"/>
      <c r="E13" s="1075"/>
      <c r="F13" s="1078"/>
      <c r="G13" s="1067"/>
      <c r="H13" s="1046"/>
      <c r="I13" s="1046"/>
      <c r="J13" s="1046"/>
      <c r="K13" s="1049"/>
      <c r="L13" s="149" t="s">
        <v>92</v>
      </c>
      <c r="M13" s="1051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58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56"/>
      <c r="C14" s="1073"/>
      <c r="D14" s="1062"/>
      <c r="E14" s="1076"/>
      <c r="F14" s="1079"/>
      <c r="G14" s="1068"/>
      <c r="H14" s="1047"/>
      <c r="I14" s="1047"/>
      <c r="J14" s="1047"/>
      <c r="K14" s="1050"/>
      <c r="L14" s="150" t="s">
        <v>93</v>
      </c>
      <c r="M14" s="1052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59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4.85546875" style="31" bestFit="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271" t="str">
        <f>CONCATENATE(Settings!$C$19," ",Settings!$B$28)</f>
        <v>7.875 2556r00</v>
      </c>
      <c r="D1" s="1271"/>
      <c r="E1" s="1271"/>
      <c r="F1" s="1271"/>
      <c r="G1" s="1271"/>
      <c r="H1" s="1271"/>
      <c r="I1" s="1271"/>
      <c r="J1" s="1271"/>
      <c r="K1" s="1271"/>
      <c r="L1" s="709"/>
      <c r="M1" s="141">
        <f>LARGE(M9:M150,1)</f>
        <v>6.1180000000000003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-1.3246661912200466</v>
      </c>
      <c r="W1" s="162">
        <f>360-W14</f>
        <v>1.3246661912200466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 t="e">
        <f>SQRT((EW14-FD14)^2+(EX14-FE14)^2+(EY14-FF14)^2)</f>
        <v>#VALUE!</v>
      </c>
      <c r="FJ1" s="219" t="e">
        <f>DEGREES(ACOS((2-SQRT((EW14-FD14)^2+(EX14-FE14)^2+(EY14-FF14)^2)^2)/2))</f>
        <v>#VALUE!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279" t="s">
        <v>306</v>
      </c>
      <c r="C2" s="1280"/>
      <c r="D2" s="1280"/>
      <c r="E2" s="1280"/>
      <c r="F2" s="1280"/>
      <c r="G2" s="1280"/>
      <c r="H2" s="1280"/>
      <c r="I2" s="1280"/>
      <c r="J2" s="1280"/>
      <c r="K2" s="1281"/>
      <c r="L2" s="1155" t="str" cm="1">
        <f t="array" ref="L2">IF(OR($K$9:$K$150="Undefined"),"Undefined Element","")</f>
        <v/>
      </c>
      <c r="M2" s="1290" t="s">
        <v>0</v>
      </c>
      <c r="N2" s="1249" t="s">
        <v>1</v>
      </c>
      <c r="O2" s="1250"/>
      <c r="P2" s="1250"/>
      <c r="Q2" s="1250"/>
      <c r="R2" s="1250"/>
      <c r="S2" s="1250"/>
      <c r="T2" s="1250"/>
      <c r="U2" s="1250"/>
      <c r="V2" s="1250"/>
      <c r="W2" s="1250"/>
      <c r="X2" s="1250"/>
      <c r="Y2" s="1324"/>
      <c r="Z2" s="1249" t="s">
        <v>2</v>
      </c>
      <c r="AA2" s="1250"/>
      <c r="AB2" s="1250"/>
      <c r="AC2" s="1250"/>
      <c r="AD2" s="1250"/>
      <c r="AE2" s="1250"/>
      <c r="AF2" s="1250"/>
      <c r="AG2" s="1250"/>
      <c r="AH2" s="1250"/>
      <c r="AI2" s="1250"/>
      <c r="AJ2" s="1250"/>
      <c r="AK2" s="1250"/>
      <c r="AL2" s="1250"/>
      <c r="AM2" s="1250"/>
      <c r="AN2" s="1250"/>
      <c r="AO2" s="1250"/>
      <c r="AP2" s="1250"/>
      <c r="AQ2" s="1251"/>
      <c r="AS2" s="1330" t="s">
        <v>44</v>
      </c>
      <c r="AT2" s="1331"/>
      <c r="AV2" s="1322" t="s">
        <v>0</v>
      </c>
      <c r="AW2" s="1249" t="s">
        <v>109</v>
      </c>
      <c r="AX2" s="1250"/>
      <c r="AY2" s="1250"/>
      <c r="AZ2" s="1250"/>
      <c r="BA2" s="1250"/>
      <c r="BB2" s="1250"/>
      <c r="BC2" s="1250"/>
      <c r="BD2" s="1250"/>
      <c r="BE2" s="1251"/>
      <c r="BF2" s="1352" t="s">
        <v>115</v>
      </c>
      <c r="BG2" s="1250"/>
      <c r="BH2" s="1250"/>
      <c r="BI2" s="1250"/>
      <c r="BJ2" s="1250"/>
      <c r="BK2" s="1250"/>
      <c r="BL2" s="1250"/>
      <c r="BM2" s="1250"/>
      <c r="BN2" s="1250"/>
      <c r="BO2" s="1250"/>
      <c r="BP2" s="1250"/>
      <c r="BQ2" s="1250"/>
      <c r="BR2" s="1250"/>
      <c r="BS2" s="1250"/>
      <c r="BT2" s="1250"/>
      <c r="BU2" s="1250"/>
      <c r="BV2" s="1250"/>
      <c r="BW2" s="1250"/>
      <c r="BX2" s="1250"/>
      <c r="BY2" s="1250"/>
      <c r="BZ2" s="1250"/>
      <c r="CA2" s="1250"/>
      <c r="CB2" s="1250"/>
      <c r="CC2" s="1250"/>
      <c r="CD2" s="1250"/>
      <c r="CE2" s="1250"/>
      <c r="CF2" s="1250"/>
      <c r="CG2" s="1250"/>
      <c r="CH2" s="1250"/>
      <c r="CI2" s="1250"/>
      <c r="CJ2" s="1250"/>
      <c r="CK2" s="1250"/>
      <c r="CL2" s="1250"/>
      <c r="CM2" s="1250"/>
      <c r="CN2" s="1250"/>
      <c r="CO2" s="1250"/>
      <c r="CP2" s="1250"/>
      <c r="CQ2" s="1250"/>
      <c r="CR2" s="1250"/>
      <c r="CS2" s="1250"/>
      <c r="CT2" s="1250"/>
      <c r="CU2" s="1250"/>
      <c r="CV2" s="1250"/>
      <c r="CW2" s="1250"/>
      <c r="CX2" s="1250"/>
      <c r="CY2" s="1250"/>
      <c r="CZ2" s="1250"/>
      <c r="DA2" s="1250"/>
      <c r="DB2" s="1250"/>
      <c r="DC2" s="1250"/>
      <c r="DD2" s="1250"/>
      <c r="DE2" s="1250"/>
      <c r="DF2" s="1250"/>
      <c r="DG2" s="1250"/>
      <c r="DH2" s="1250"/>
      <c r="DI2" s="1250"/>
      <c r="DJ2" s="1250"/>
      <c r="DK2" s="1250"/>
      <c r="DL2" s="1250"/>
      <c r="DM2" s="1250"/>
      <c r="DN2" s="1250"/>
      <c r="DO2" s="1250"/>
      <c r="DP2" s="1250"/>
      <c r="DQ2" s="1250"/>
      <c r="DR2" s="1250"/>
      <c r="DS2" s="1250"/>
      <c r="DT2" s="1250"/>
      <c r="DU2" s="1250"/>
      <c r="DV2" s="1250"/>
      <c r="DW2" s="1250"/>
      <c r="DX2" s="1250"/>
      <c r="DY2" s="1250"/>
      <c r="DZ2" s="1250"/>
      <c r="EA2" s="1250"/>
      <c r="EB2" s="1250"/>
      <c r="EC2" s="1250"/>
      <c r="ED2" s="1250"/>
      <c r="EE2" s="1250"/>
      <c r="EF2" s="1250"/>
      <c r="EG2" s="1250"/>
      <c r="EH2" s="1250"/>
      <c r="EI2" s="1250"/>
      <c r="EJ2" s="1250"/>
      <c r="EK2" s="1250"/>
      <c r="EL2" s="1250"/>
      <c r="EM2" s="1250"/>
      <c r="EN2" s="1250"/>
      <c r="EO2" s="1250"/>
      <c r="EP2" s="1250"/>
      <c r="EQ2" s="1250"/>
      <c r="ER2" s="1324"/>
      <c r="ES2" s="1130" t="s">
        <v>196</v>
      </c>
      <c r="ET2" s="1131"/>
      <c r="EU2" s="1131"/>
      <c r="EV2" s="1131"/>
      <c r="EW2" s="1131"/>
      <c r="EX2" s="1131"/>
      <c r="EY2" s="1131"/>
      <c r="EZ2" s="1131"/>
      <c r="FA2" s="1131"/>
      <c r="FB2" s="1131"/>
      <c r="FC2" s="1131"/>
      <c r="FD2" s="1131"/>
      <c r="FE2" s="1131"/>
      <c r="FF2" s="1132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0.63490000000000002</v>
      </c>
      <c r="GM2" s="322">
        <f>SUM(GM9:GM150)</f>
        <v>5.5851412909355131</v>
      </c>
      <c r="GR2" s="309" t="e">
        <f>SUM(GR9:GR150)</f>
        <v>#DIV/0!</v>
      </c>
      <c r="GS2" s="309" t="e">
        <f>SUM(GS9:GS150)</f>
        <v>#DIV/0!</v>
      </c>
      <c r="GT2" s="309"/>
      <c r="GU2" s="309">
        <f>SUM(GU9:GU150)</f>
        <v>13730.139006883137</v>
      </c>
      <c r="GV2" s="309"/>
      <c r="GW2" s="369">
        <v>29500</v>
      </c>
      <c r="GX2" s="309">
        <f>SUM(GX9:GX150)</f>
        <v>2183.5309999999999</v>
      </c>
      <c r="GY2" s="309" t="e">
        <f>SUM(GY9:GY150)</f>
        <v>#DIV/0!</v>
      </c>
      <c r="GZ2" s="309"/>
      <c r="HE2" s="309"/>
      <c r="HF2" s="309"/>
      <c r="HG2" s="309"/>
      <c r="HH2" s="309"/>
      <c r="HM2" t="s">
        <v>396</v>
      </c>
      <c r="HU2" s="838"/>
      <c r="HV2" s="857"/>
      <c r="HW2" s="1096" t="str">
        <f>IFERROR(CONCATENATE("Sum of Lateral Forces = ",ROUND(HE3,0)," lbs @ ",ROUND(HF3,1),"° Relative to Blade 1"),"")</f>
        <v/>
      </c>
      <c r="HX2" s="1096"/>
      <c r="HY2" s="1096"/>
      <c r="HZ2" s="1096"/>
      <c r="IA2" s="1096"/>
      <c r="IB2" s="1096"/>
      <c r="IC2" s="1096"/>
      <c r="ID2" s="1096"/>
      <c r="IE2" s="1096"/>
      <c r="IF2" s="846"/>
      <c r="IN2" s="31"/>
      <c r="IO2" s="323"/>
      <c r="JC2" s="82"/>
      <c r="JD2" s="82"/>
      <c r="JE2" s="82"/>
    </row>
    <row r="3" spans="1:285" ht="15" customHeight="1" x14ac:dyDescent="0.25">
      <c r="B3" s="1282"/>
      <c r="C3" s="1283"/>
      <c r="D3" s="1283"/>
      <c r="E3" s="1283"/>
      <c r="F3" s="1283"/>
      <c r="G3" s="1283"/>
      <c r="H3" s="1283"/>
      <c r="I3" s="1283"/>
      <c r="J3" s="1283"/>
      <c r="K3" s="1284"/>
      <c r="L3" s="1155"/>
      <c r="M3" s="1282"/>
      <c r="N3" s="1325"/>
      <c r="O3" s="1326"/>
      <c r="P3" s="1326"/>
      <c r="Q3" s="1326"/>
      <c r="R3" s="1326"/>
      <c r="S3" s="1326"/>
      <c r="T3" s="1326"/>
      <c r="U3" s="1326"/>
      <c r="V3" s="1326"/>
      <c r="W3" s="1326"/>
      <c r="X3" s="1326"/>
      <c r="Y3" s="1327"/>
      <c r="Z3" s="1325"/>
      <c r="AA3" s="1326"/>
      <c r="AB3" s="1326"/>
      <c r="AC3" s="1326"/>
      <c r="AD3" s="1326"/>
      <c r="AE3" s="1326"/>
      <c r="AF3" s="1326"/>
      <c r="AG3" s="1326"/>
      <c r="AH3" s="1326"/>
      <c r="AI3" s="1326"/>
      <c r="AJ3" s="1326"/>
      <c r="AK3" s="1326"/>
      <c r="AL3" s="1326"/>
      <c r="AM3" s="1326"/>
      <c r="AN3" s="1326"/>
      <c r="AO3" s="1326"/>
      <c r="AP3" s="1326"/>
      <c r="AQ3" s="1346"/>
      <c r="AS3" s="415">
        <v>100</v>
      </c>
      <c r="AT3" s="412" t="s">
        <v>45</v>
      </c>
      <c r="AV3" s="1323"/>
      <c r="AW3" s="1133"/>
      <c r="AX3" s="1134"/>
      <c r="AY3" s="1134"/>
      <c r="AZ3" s="1134"/>
      <c r="BA3" s="1134"/>
      <c r="BB3" s="1134"/>
      <c r="BC3" s="1134"/>
      <c r="BD3" s="1134"/>
      <c r="BE3" s="1252"/>
      <c r="BF3" s="1353"/>
      <c r="BG3" s="1134"/>
      <c r="BH3" s="1134"/>
      <c r="BI3" s="1134"/>
      <c r="BJ3" s="1134"/>
      <c r="BK3" s="1134"/>
      <c r="BL3" s="1134"/>
      <c r="BM3" s="1134"/>
      <c r="BN3" s="1134"/>
      <c r="BO3" s="1134"/>
      <c r="BP3" s="1134"/>
      <c r="BQ3" s="1134"/>
      <c r="BR3" s="1134"/>
      <c r="BS3" s="1134"/>
      <c r="BT3" s="1134"/>
      <c r="BU3" s="1134"/>
      <c r="BV3" s="1134"/>
      <c r="BW3" s="1134"/>
      <c r="BX3" s="1134"/>
      <c r="BY3" s="1134"/>
      <c r="BZ3" s="1134"/>
      <c r="CA3" s="1134"/>
      <c r="CB3" s="1134"/>
      <c r="CC3" s="1134"/>
      <c r="CD3" s="1134"/>
      <c r="CE3" s="1134"/>
      <c r="CF3" s="1134"/>
      <c r="CG3" s="1134"/>
      <c r="CH3" s="1134"/>
      <c r="CI3" s="1134"/>
      <c r="CJ3" s="1134"/>
      <c r="CK3" s="1134"/>
      <c r="CL3" s="1134"/>
      <c r="CM3" s="1134"/>
      <c r="CN3" s="1134"/>
      <c r="CO3" s="1134"/>
      <c r="CP3" s="1134"/>
      <c r="CQ3" s="1134"/>
      <c r="CR3" s="1134"/>
      <c r="CS3" s="1134"/>
      <c r="CT3" s="1134"/>
      <c r="CU3" s="1134"/>
      <c r="CV3" s="1134"/>
      <c r="CW3" s="1134"/>
      <c r="CX3" s="1134"/>
      <c r="CY3" s="1134"/>
      <c r="CZ3" s="1134"/>
      <c r="DA3" s="1134"/>
      <c r="DB3" s="1134"/>
      <c r="DC3" s="1134"/>
      <c r="DD3" s="1134"/>
      <c r="DE3" s="1134"/>
      <c r="DF3" s="1134"/>
      <c r="DG3" s="1134"/>
      <c r="DH3" s="1134"/>
      <c r="DI3" s="1134"/>
      <c r="DJ3" s="1134"/>
      <c r="DK3" s="1134"/>
      <c r="DL3" s="1134"/>
      <c r="DM3" s="1134"/>
      <c r="DN3" s="1134"/>
      <c r="DO3" s="1134"/>
      <c r="DP3" s="1134"/>
      <c r="DQ3" s="1134"/>
      <c r="DR3" s="1134"/>
      <c r="DS3" s="1134"/>
      <c r="DT3" s="1134"/>
      <c r="DU3" s="1134"/>
      <c r="DV3" s="1134"/>
      <c r="DW3" s="1134"/>
      <c r="DX3" s="1134"/>
      <c r="DY3" s="1134"/>
      <c r="DZ3" s="1134"/>
      <c r="EA3" s="1134"/>
      <c r="EB3" s="1134"/>
      <c r="EC3" s="1134"/>
      <c r="ED3" s="1134"/>
      <c r="EE3" s="1134"/>
      <c r="EF3" s="1134"/>
      <c r="EG3" s="1134"/>
      <c r="EH3" s="1134"/>
      <c r="EI3" s="1134"/>
      <c r="EJ3" s="1134"/>
      <c r="EK3" s="1134"/>
      <c r="EL3" s="1134"/>
      <c r="EM3" s="1134"/>
      <c r="EN3" s="1134"/>
      <c r="EO3" s="1134"/>
      <c r="EP3" s="1134"/>
      <c r="EQ3" s="1134"/>
      <c r="ER3" s="1135"/>
      <c r="ES3" s="1133"/>
      <c r="ET3" s="1134"/>
      <c r="EU3" s="1134"/>
      <c r="EV3" s="1134"/>
      <c r="EW3" s="1134"/>
      <c r="EX3" s="1134"/>
      <c r="EY3" s="1134"/>
      <c r="EZ3" s="1134"/>
      <c r="FA3" s="1134"/>
      <c r="FB3" s="1134"/>
      <c r="FC3" s="1134"/>
      <c r="FD3" s="1134"/>
      <c r="FE3" s="1134"/>
      <c r="FF3" s="1135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 t="e">
        <f>SQRT(HG3^2+HH3^2)</f>
        <v>#DIV/0!</v>
      </c>
      <c r="HF3" s="162" t="str">
        <f>IFERROR(IF((DEGREES(ATAN2(HG3,HH3)))&lt;0,(360+(DEGREES(ATAN2(HG3,HH3)))),(DEGREES(ATAN2(HG3,HH3)))),"")</f>
        <v/>
      </c>
      <c r="HG3" s="309" t="e">
        <f>HC8+HG8</f>
        <v>#DIV/0!</v>
      </c>
      <c r="HH3" s="309" t="e">
        <f>HD8+HH8</f>
        <v>#DIV/0!</v>
      </c>
      <c r="HI3" s="103"/>
      <c r="HJ3" s="31"/>
      <c r="HX3" s="968">
        <f>($HX$6*$AS$3)/5252.113112</f>
        <v>41.574333100539668</v>
      </c>
      <c r="HZ3" s="968">
        <f>($HZ$6*$AS$3)/5252.113112</f>
        <v>261.42123587385407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285"/>
      <c r="C4" s="1286"/>
      <c r="D4" s="1286"/>
      <c r="E4" s="1286"/>
      <c r="F4" s="1286"/>
      <c r="G4" s="1286"/>
      <c r="H4" s="1286"/>
      <c r="I4" s="1286"/>
      <c r="J4" s="1286"/>
      <c r="K4" s="1287"/>
      <c r="L4" s="1155"/>
      <c r="M4" s="1282"/>
      <c r="N4" s="1292" t="s">
        <v>3</v>
      </c>
      <c r="O4" s="1289"/>
      <c r="P4" s="1289"/>
      <c r="Q4" s="1288" t="s">
        <v>4</v>
      </c>
      <c r="R4" s="1289"/>
      <c r="S4" s="1307"/>
      <c r="T4" s="1301" t="str">
        <f>N4</f>
        <v>Cartesian Coordinates</v>
      </c>
      <c r="U4" s="1256"/>
      <c r="V4" s="1302"/>
      <c r="W4" s="1256" t="str">
        <f>$Q$4</f>
        <v>Polar XY; Cartesian Z</v>
      </c>
      <c r="X4" s="1256"/>
      <c r="Y4" s="1272"/>
      <c r="Z4" s="1292" t="s">
        <v>3</v>
      </c>
      <c r="AA4" s="1289"/>
      <c r="AB4" s="1289"/>
      <c r="AC4" s="1289"/>
      <c r="AD4" s="1289"/>
      <c r="AE4" s="1289"/>
      <c r="AF4" s="1289"/>
      <c r="AG4" s="1319" t="s">
        <v>31</v>
      </c>
      <c r="AH4" s="1289"/>
      <c r="AI4" s="1289"/>
      <c r="AJ4" s="1307"/>
      <c r="AK4" s="1347" t="s">
        <v>32</v>
      </c>
      <c r="AL4" s="1348"/>
      <c r="AM4" s="1348"/>
      <c r="AN4" s="1348"/>
      <c r="AO4" s="1348"/>
      <c r="AP4" s="1348"/>
      <c r="AQ4" s="1349"/>
      <c r="AS4" s="416">
        <v>125</v>
      </c>
      <c r="AT4" s="413" t="s">
        <v>46</v>
      </c>
      <c r="AV4" s="1323"/>
      <c r="AW4" s="1223" t="s">
        <v>112</v>
      </c>
      <c r="AX4" s="1193"/>
      <c r="AY4" s="1032"/>
      <c r="AZ4" s="1247"/>
      <c r="BA4" s="1248"/>
      <c r="BB4" s="1253" t="s">
        <v>113</v>
      </c>
      <c r="BC4" s="1256" t="str">
        <f>$Q$4</f>
        <v>Polar XY; Cartesian Z</v>
      </c>
      <c r="BD4" s="1256"/>
      <c r="BE4" s="1257"/>
      <c r="BF4" s="1268" t="s">
        <v>129</v>
      </c>
      <c r="BG4" s="1269"/>
      <c r="BH4" s="1269"/>
      <c r="BI4" s="1269"/>
      <c r="BJ4" s="1269"/>
      <c r="BK4" s="1269"/>
      <c r="BL4" s="1269"/>
      <c r="BM4" s="1269"/>
      <c r="BN4" s="1269"/>
      <c r="BO4" s="1269"/>
      <c r="BP4" s="1269"/>
      <c r="BQ4" s="1269"/>
      <c r="BR4" s="1269"/>
      <c r="BS4" s="1269"/>
      <c r="BT4" s="1269"/>
      <c r="BU4" s="1269"/>
      <c r="BV4" s="1269"/>
      <c r="BW4" s="1269"/>
      <c r="BX4" s="1269"/>
      <c r="BY4" s="1269"/>
      <c r="BZ4" s="1269"/>
      <c r="CA4" s="1269"/>
      <c r="CB4" s="1269"/>
      <c r="CC4" s="1269"/>
      <c r="CD4" s="1269"/>
      <c r="CE4" s="1269"/>
      <c r="CF4" s="1269"/>
      <c r="CG4" s="1269"/>
      <c r="CH4" s="1269"/>
      <c r="CI4" s="1269"/>
      <c r="CJ4" s="1269"/>
      <c r="CK4" s="1269"/>
      <c r="CL4" s="1269"/>
      <c r="CM4" s="1269"/>
      <c r="CN4" s="1270"/>
      <c r="CO4" s="1241" t="s">
        <v>192</v>
      </c>
      <c r="CP4" s="1242"/>
      <c r="CQ4" s="1242"/>
      <c r="CR4" s="1242"/>
      <c r="CS4" s="1242"/>
      <c r="CT4" s="1242"/>
      <c r="CU4" s="1242"/>
      <c r="CV4" s="1242"/>
      <c r="CW4" s="1242"/>
      <c r="CX4" s="1242"/>
      <c r="CY4" s="1242"/>
      <c r="CZ4" s="1242"/>
      <c r="DA4" s="1243"/>
      <c r="DB4" s="1127" t="s">
        <v>389</v>
      </c>
      <c r="DC4" s="1128"/>
      <c r="DD4" s="1128"/>
      <c r="DE4" s="1128"/>
      <c r="DF4" s="1128"/>
      <c r="DG4" s="1128"/>
      <c r="DH4" s="1128"/>
      <c r="DI4" s="1128"/>
      <c r="DJ4" s="1128"/>
      <c r="DK4" s="1128"/>
      <c r="DL4" s="1128"/>
      <c r="DM4" s="1128"/>
      <c r="DN4" s="1128"/>
      <c r="DO4" s="1128"/>
      <c r="DP4" s="1128"/>
      <c r="DQ4" s="1128"/>
      <c r="DR4" s="1128"/>
      <c r="DS4" s="1128"/>
      <c r="DT4" s="1128"/>
      <c r="DU4" s="1128"/>
      <c r="DV4" s="1128"/>
      <c r="DW4" s="1128"/>
      <c r="DX4" s="1128"/>
      <c r="DY4" s="1128"/>
      <c r="DZ4" s="1128"/>
      <c r="EA4" s="1128"/>
      <c r="EB4" s="1128"/>
      <c r="EC4" s="1128"/>
      <c r="ED4" s="1128"/>
      <c r="EE4" s="1128"/>
      <c r="EF4" s="1128"/>
      <c r="EG4" s="1128"/>
      <c r="EH4" s="1128"/>
      <c r="EI4" s="1128"/>
      <c r="EJ4" s="1128"/>
      <c r="EK4" s="1128"/>
      <c r="EL4" s="1128"/>
      <c r="EM4" s="1128"/>
      <c r="EN4" s="1128"/>
      <c r="EO4" s="1128"/>
      <c r="EP4" s="1128"/>
      <c r="EQ4" s="1128"/>
      <c r="ER4" s="1129"/>
      <c r="ES4" s="1217" t="s">
        <v>195</v>
      </c>
      <c r="ET4" s="1218"/>
      <c r="EU4" s="1218"/>
      <c r="EV4" s="1218"/>
      <c r="EW4" s="1218"/>
      <c r="EX4" s="1218"/>
      <c r="EY4" s="1219"/>
      <c r="EZ4" s="1227" t="s">
        <v>200</v>
      </c>
      <c r="FA4" s="1228"/>
      <c r="FB4" s="1228"/>
      <c r="FC4" s="1228"/>
      <c r="FD4" s="1228"/>
      <c r="FE4" s="1228"/>
      <c r="FF4" s="1229"/>
      <c r="FG4" s="325"/>
      <c r="FP4" s="1143" t="s">
        <v>228</v>
      </c>
      <c r="FZ4" s="1143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12" t="s">
        <v>235</v>
      </c>
      <c r="GK4" s="1013"/>
      <c r="GL4" s="1013"/>
      <c r="GM4" s="1013"/>
      <c r="GN4" s="1245"/>
      <c r="GO4" s="1185" t="s">
        <v>228</v>
      </c>
      <c r="GP4" s="1189" t="s">
        <v>227</v>
      </c>
      <c r="GR4" s="1161" t="s">
        <v>257</v>
      </c>
      <c r="GS4" s="1041" t="s">
        <v>255</v>
      </c>
      <c r="GT4" s="984"/>
      <c r="GU4" s="984"/>
      <c r="GV4" s="984"/>
      <c r="GW4" s="984"/>
      <c r="GX4" s="984"/>
      <c r="GY4" s="984"/>
      <c r="GZ4" s="984"/>
      <c r="HA4" s="1176" t="str">
        <f>IFERROR(CONCATENATE("Lateral Forces = ",ROUND(HE3,0)," lbs @ ",ROUND(HF3,1),"° Relative to Blade 1"),"")</f>
        <v/>
      </c>
      <c r="HB4" s="1177"/>
      <c r="HC4" s="1177"/>
      <c r="HD4" s="1177"/>
      <c r="HE4" s="1177"/>
      <c r="HF4" s="1177"/>
      <c r="HG4" s="1177"/>
      <c r="HH4" s="1178"/>
      <c r="HI4" s="1179" t="s">
        <v>0</v>
      </c>
      <c r="HV4" s="847"/>
      <c r="HW4" s="1097" t="str">
        <f>CONCATENATE("Yeield Strength of Rock = ",IF(HW6&gt;1000,(ROUNDDOWN(HW6,-3)/1000),""), IF(HW6&gt;1000,",",""),RIGHT(HW6,3)," psi (Tangential Force)")</f>
        <v>Yeield Strength of Rock = 29,500 psi (Tangential Force)</v>
      </c>
      <c r="HX4" s="1097"/>
      <c r="HY4" s="1097"/>
      <c r="HZ4" s="1097"/>
      <c r="IA4" s="1097"/>
      <c r="IB4" s="1097"/>
      <c r="IC4" s="1097"/>
      <c r="ID4" s="1097"/>
      <c r="IE4" s="1097"/>
      <c r="IF4" s="844"/>
      <c r="IG4" s="1009" t="s">
        <v>372</v>
      </c>
      <c r="IH4" s="1009"/>
      <c r="II4" s="710" cm="1">
        <f t="array" ref="II4">MAX(MOD(IF($II$9:$II$150="",0,($II$9:$II$150*1000)),100))</f>
        <v>20</v>
      </c>
      <c r="IN4" s="31"/>
      <c r="IO4" s="710"/>
    </row>
    <row r="5" spans="1:285" ht="15" customHeight="1" thickBot="1" x14ac:dyDescent="0.3">
      <c r="A5" s="139">
        <v>0.02</v>
      </c>
      <c r="B5" s="1273" t="str">
        <f>CONCATENATE(B7," ; ",E7," ; ",H7)</f>
        <v>Absolute-Point ; Incremental-Vector Point ; Pocket Info.</v>
      </c>
      <c r="C5" s="1274"/>
      <c r="D5" s="1274"/>
      <c r="E5" s="1274"/>
      <c r="F5" s="1274"/>
      <c r="G5" s="1274"/>
      <c r="H5" s="1274"/>
      <c r="I5" s="1274"/>
      <c r="J5" s="1274"/>
      <c r="K5" s="1275"/>
      <c r="L5" s="813" t="str" cm="1">
        <f t="array" ref="L5">IF(OR(IF(LEFT($K$9:$K$150,4)="&lt;&gt;CS",TRUE,FALSE)),"Wrong CS","")</f>
        <v/>
      </c>
      <c r="M5" s="1282"/>
      <c r="N5" s="1312" t="s">
        <v>5</v>
      </c>
      <c r="O5" s="1313"/>
      <c r="P5" s="1313"/>
      <c r="Q5" s="1365" t="s">
        <v>6</v>
      </c>
      <c r="R5" s="1313"/>
      <c r="S5" s="1351"/>
      <c r="T5" s="1318" t="str">
        <f>CONCATENATE("Relative to ",M8,"'s θ about Z Axis")</f>
        <v>Relative to 1.11's θ about Z Axis</v>
      </c>
      <c r="U5" s="1263"/>
      <c r="V5" s="1342"/>
      <c r="W5" s="1263" t="str">
        <f>CONCATENATE("Relative to ",M8,"'s θ about Z Axis")</f>
        <v>Relative to 1.11's θ about Z Axis</v>
      </c>
      <c r="X5" s="1263"/>
      <c r="Y5" s="1303"/>
      <c r="Z5" s="1293" t="str">
        <f>N5</f>
        <v>Relative to World_CS</v>
      </c>
      <c r="AA5" s="1263"/>
      <c r="AB5" s="1263"/>
      <c r="AC5" s="1263"/>
      <c r="AD5" s="1263"/>
      <c r="AE5" s="1263"/>
      <c r="AF5" s="1263"/>
      <c r="AG5" s="1318" t="str">
        <f>N5</f>
        <v>Relative to World_CS</v>
      </c>
      <c r="AH5" s="1263"/>
      <c r="AI5" s="1263"/>
      <c r="AJ5" s="1264"/>
      <c r="AK5" s="1350" t="s">
        <v>7</v>
      </c>
      <c r="AL5" s="1313"/>
      <c r="AM5" s="1313"/>
      <c r="AN5" s="1313"/>
      <c r="AO5" s="1313"/>
      <c r="AP5" s="1313"/>
      <c r="AQ5" s="1351"/>
      <c r="AS5" s="167">
        <f>(((AS4*12)/60)/AS3)</f>
        <v>0.25</v>
      </c>
      <c r="AT5" s="413" t="s">
        <v>47</v>
      </c>
      <c r="AV5" s="1323"/>
      <c r="AW5" s="1101"/>
      <c r="AX5" s="1102"/>
      <c r="AY5" s="1267"/>
      <c r="AZ5" s="1200"/>
      <c r="BA5" s="1022"/>
      <c r="BB5" s="1254"/>
      <c r="BC5" s="1262" t="str">
        <f>$W$5</f>
        <v>Relative to 1.11's θ about Z Axis</v>
      </c>
      <c r="BD5" s="1263"/>
      <c r="BE5" s="1264"/>
      <c r="BF5" s="1041" t="s">
        <v>128</v>
      </c>
      <c r="BG5" s="984"/>
      <c r="BH5" s="984"/>
      <c r="BI5" s="984"/>
      <c r="BJ5" s="984"/>
      <c r="BK5" s="984"/>
      <c r="BL5" s="984"/>
      <c r="BM5" s="984"/>
      <c r="BN5" s="984"/>
      <c r="BO5" s="984"/>
      <c r="BP5" s="984"/>
      <c r="BQ5" s="984"/>
      <c r="BR5" s="985"/>
      <c r="BS5" s="1041" t="s">
        <v>130</v>
      </c>
      <c r="BT5" s="984"/>
      <c r="BU5" s="984"/>
      <c r="BV5" s="984"/>
      <c r="BW5" s="984"/>
      <c r="BX5" s="984"/>
      <c r="BY5" s="984"/>
      <c r="BZ5" s="984"/>
      <c r="CA5" s="984"/>
      <c r="CB5" s="984"/>
      <c r="CC5" s="984"/>
      <c r="CD5" s="984"/>
      <c r="CE5" s="985"/>
      <c r="CF5" s="1041" t="s">
        <v>138</v>
      </c>
      <c r="CG5" s="984"/>
      <c r="CH5" s="985"/>
      <c r="CI5" s="1041" t="s">
        <v>139</v>
      </c>
      <c r="CJ5" s="984"/>
      <c r="CK5" s="984"/>
      <c r="CL5" s="984"/>
      <c r="CM5" s="984"/>
      <c r="CN5" s="985"/>
      <c r="CO5" s="1166" t="s">
        <v>266</v>
      </c>
      <c r="CP5" s="1166" t="s">
        <v>149</v>
      </c>
      <c r="CQ5" s="1193"/>
      <c r="CR5" s="1193"/>
      <c r="CS5" s="1042"/>
      <c r="CT5" s="1193" t="s">
        <v>150</v>
      </c>
      <c r="CU5" s="1032"/>
      <c r="CV5" s="1041" t="s">
        <v>161</v>
      </c>
      <c r="CW5" s="984"/>
      <c r="CX5" s="984"/>
      <c r="CY5" s="984"/>
      <c r="CZ5" s="984"/>
      <c r="DA5" s="985"/>
      <c r="DB5" s="1041" t="s">
        <v>162</v>
      </c>
      <c r="DC5" s="984"/>
      <c r="DD5" s="984"/>
      <c r="DE5" s="984"/>
      <c r="DF5" s="984"/>
      <c r="DG5" s="984"/>
      <c r="DH5" s="985"/>
      <c r="DI5" s="1110" t="s">
        <v>172</v>
      </c>
      <c r="DJ5" s="1110"/>
      <c r="DK5" s="1381"/>
      <c r="DL5" s="1109" t="s">
        <v>173</v>
      </c>
      <c r="DM5" s="1110"/>
      <c r="DN5" s="1111"/>
      <c r="DO5" s="1383" t="s">
        <v>174</v>
      </c>
      <c r="DP5" s="1384"/>
      <c r="DQ5" s="1384"/>
      <c r="DR5" s="1165" t="s">
        <v>186</v>
      </c>
      <c r="DS5" s="1165"/>
      <c r="DT5" s="1165"/>
      <c r="DU5" s="1165"/>
      <c r="DV5" s="1165"/>
      <c r="DW5" s="1165"/>
      <c r="DX5" s="1166" t="s">
        <v>189</v>
      </c>
      <c r="DY5" s="1063" t="s">
        <v>149</v>
      </c>
      <c r="DZ5" s="1165"/>
      <c r="EA5" s="1165"/>
      <c r="EB5" s="1165"/>
      <c r="EC5" s="1165" t="s">
        <v>150</v>
      </c>
      <c r="ED5" s="1165"/>
      <c r="EE5" s="1161" t="s">
        <v>193</v>
      </c>
      <c r="EF5" s="1161"/>
      <c r="EG5" s="1162"/>
      <c r="EH5" s="1115" t="s">
        <v>194</v>
      </c>
      <c r="EI5" s="1116"/>
      <c r="EJ5" s="1117"/>
      <c r="EK5" s="1165" t="s">
        <v>187</v>
      </c>
      <c r="EL5" s="1166"/>
      <c r="EM5" s="1041" t="s">
        <v>188</v>
      </c>
      <c r="EN5" s="984"/>
      <c r="EO5" s="984"/>
      <c r="EP5" s="984"/>
      <c r="EQ5" s="984"/>
      <c r="ER5" s="1375"/>
      <c r="ES5" s="1223" t="s">
        <v>201</v>
      </c>
      <c r="ET5" s="1193"/>
      <c r="EU5" s="1042"/>
      <c r="EV5" s="1220" t="s">
        <v>221</v>
      </c>
      <c r="EW5" s="1221"/>
      <c r="EX5" s="1221"/>
      <c r="EY5" s="1222"/>
      <c r="EZ5" s="1145" t="s">
        <v>199</v>
      </c>
      <c r="FA5" s="1036" t="s">
        <v>201</v>
      </c>
      <c r="FB5" s="1138"/>
      <c r="FC5" s="1037"/>
      <c r="FD5" s="1239" t="s">
        <v>221</v>
      </c>
      <c r="FE5" s="1206"/>
      <c r="FF5" s="1207"/>
      <c r="FJ5" s="31" t="s">
        <v>390</v>
      </c>
      <c r="FP5" s="1144"/>
      <c r="FQ5" s="31"/>
      <c r="FR5" s="31"/>
      <c r="FS5" s="31"/>
      <c r="FT5" s="31"/>
      <c r="FZ5" s="1144"/>
      <c r="GJ5" s="1159" t="s">
        <v>262</v>
      </c>
      <c r="GK5" s="1121" t="s">
        <v>260</v>
      </c>
      <c r="GL5" s="1123" t="s">
        <v>110</v>
      </c>
      <c r="GM5" s="1123" t="s">
        <v>111</v>
      </c>
      <c r="GN5" s="1124"/>
      <c r="GO5" s="1186"/>
      <c r="GP5" s="1190"/>
      <c r="GQ5" s="31"/>
      <c r="GR5" s="1155"/>
      <c r="GS5" s="1200" t="s">
        <v>244</v>
      </c>
      <c r="GT5" s="1201"/>
      <c r="GU5" s="1196" t="s">
        <v>245</v>
      </c>
      <c r="GV5" s="1197"/>
      <c r="GW5" s="1198"/>
      <c r="GX5" s="1199"/>
      <c r="GY5" s="1184" t="s">
        <v>107</v>
      </c>
      <c r="GZ5" s="1024"/>
      <c r="HA5" s="1173" t="s">
        <v>244</v>
      </c>
      <c r="HB5" s="1174"/>
      <c r="HC5" s="1174"/>
      <c r="HD5" s="1175"/>
      <c r="HE5" s="1182" t="s">
        <v>245</v>
      </c>
      <c r="HF5" s="1174"/>
      <c r="HG5" s="1174"/>
      <c r="HH5" s="1183"/>
      <c r="HI5" s="1180"/>
      <c r="HM5" s="895"/>
      <c r="HS5" s="895"/>
      <c r="HT5" s="895"/>
      <c r="HU5" s="895"/>
      <c r="HV5" s="896"/>
      <c r="HW5" s="1099" t="s">
        <v>245</v>
      </c>
      <c r="HX5" s="1100"/>
      <c r="HY5" s="1098" t="s">
        <v>388</v>
      </c>
      <c r="HZ5" s="1099"/>
      <c r="IA5" s="1099"/>
      <c r="IB5" s="1100"/>
      <c r="IC5" s="1098" t="s">
        <v>254</v>
      </c>
      <c r="ID5" s="1099"/>
      <c r="IE5" s="1100"/>
      <c r="IF5" s="844"/>
    </row>
    <row r="6" spans="1:285" ht="15" customHeight="1" thickBot="1" x14ac:dyDescent="0.4">
      <c r="B6" s="1276"/>
      <c r="C6" s="1277"/>
      <c r="D6" s="1277"/>
      <c r="E6" s="1277"/>
      <c r="F6" s="1277"/>
      <c r="G6" s="1277"/>
      <c r="H6" s="1277"/>
      <c r="I6" s="1277"/>
      <c r="J6" s="1277"/>
      <c r="K6" s="1278"/>
      <c r="L6" s="1155" t="str" cm="1">
        <f t="array" ref="L6">IF(OR($K$9:$K$150="Inactive"),"Inactive Element","")</f>
        <v/>
      </c>
      <c r="M6" s="1282"/>
      <c r="N6" s="1308" t="s">
        <v>8</v>
      </c>
      <c r="O6" s="1310" t="s">
        <v>9</v>
      </c>
      <c r="P6" s="1363" t="s">
        <v>10</v>
      </c>
      <c r="Q6" s="1314" t="s">
        <v>11</v>
      </c>
      <c r="R6" s="1315"/>
      <c r="S6" s="1304" t="s">
        <v>10</v>
      </c>
      <c r="T6" s="1338" t="str">
        <f>N6</f>
        <v>X</v>
      </c>
      <c r="U6" s="1340" t="str">
        <f>O6</f>
        <v>Y</v>
      </c>
      <c r="V6" s="1299" t="str">
        <f>P6</f>
        <v>Z</v>
      </c>
      <c r="W6" s="1258" t="str">
        <f>$Q$6</f>
        <v>Projected XY</v>
      </c>
      <c r="X6" s="1259"/>
      <c r="Y6" s="1336" t="str">
        <f>$S$6</f>
        <v>Z</v>
      </c>
      <c r="Z6" s="1320" t="s">
        <v>12</v>
      </c>
      <c r="AA6" s="1283"/>
      <c r="AB6" s="1283"/>
      <c r="AC6" s="1321"/>
      <c r="AD6" s="1288" t="s">
        <v>13</v>
      </c>
      <c r="AE6" s="1289"/>
      <c r="AF6" s="1289"/>
      <c r="AG6" s="1319" t="s">
        <v>7</v>
      </c>
      <c r="AH6" s="1289"/>
      <c r="AI6" s="1288" t="s">
        <v>14</v>
      </c>
      <c r="AJ6" s="1307"/>
      <c r="AK6" s="1343" t="str">
        <f>AD6</f>
        <v>Unit Vector</v>
      </c>
      <c r="AL6" s="1344"/>
      <c r="AM6" s="1345"/>
      <c r="AN6" s="34" t="s">
        <v>15</v>
      </c>
      <c r="AO6" s="35" t="s">
        <v>16</v>
      </c>
      <c r="AP6" s="680" t="s">
        <v>17</v>
      </c>
      <c r="AQ6" s="1328" t="s">
        <v>108</v>
      </c>
      <c r="AS6" s="168">
        <f>(AS5/360)</f>
        <v>6.9444444444444447E-4</v>
      </c>
      <c r="AT6" s="414" t="s">
        <v>48</v>
      </c>
      <c r="AV6" s="1323"/>
      <c r="AW6" s="1316" t="s">
        <v>105</v>
      </c>
      <c r="AX6" s="1317"/>
      <c r="AY6" s="188" t="s">
        <v>110</v>
      </c>
      <c r="AZ6" s="1265" t="s">
        <v>111</v>
      </c>
      <c r="BA6" s="1266"/>
      <c r="BB6" s="1255"/>
      <c r="BC6" s="1258" t="str">
        <f>$Q$6</f>
        <v>Projected XY</v>
      </c>
      <c r="BD6" s="1259"/>
      <c r="BE6" s="1260" t="str">
        <f>$S$6</f>
        <v>Z</v>
      </c>
      <c r="BF6" s="991" t="s">
        <v>125</v>
      </c>
      <c r="BG6" s="987"/>
      <c r="BH6" s="1158"/>
      <c r="BI6" s="989" t="s">
        <v>126</v>
      </c>
      <c r="BJ6" s="987"/>
      <c r="BK6" s="988"/>
      <c r="BL6" s="992" t="s">
        <v>127</v>
      </c>
      <c r="BM6" s="987"/>
      <c r="BN6" s="993"/>
      <c r="BO6" s="991" t="s">
        <v>135</v>
      </c>
      <c r="BP6" s="987"/>
      <c r="BQ6" s="987"/>
      <c r="BR6" s="993"/>
      <c r="BS6" s="991" t="s">
        <v>125</v>
      </c>
      <c r="BT6" s="987"/>
      <c r="BU6" s="1158"/>
      <c r="BV6" s="989" t="s">
        <v>126</v>
      </c>
      <c r="BW6" s="987"/>
      <c r="BX6" s="988"/>
      <c r="BY6" s="992" t="s">
        <v>127</v>
      </c>
      <c r="BZ6" s="987"/>
      <c r="CA6" s="993"/>
      <c r="CB6" s="991" t="s">
        <v>135</v>
      </c>
      <c r="CC6" s="987"/>
      <c r="CD6" s="987"/>
      <c r="CE6" s="993"/>
      <c r="CF6" s="997" t="s">
        <v>136</v>
      </c>
      <c r="CG6" s="1246"/>
      <c r="CH6" s="1246"/>
      <c r="CI6" s="1378" t="s">
        <v>137</v>
      </c>
      <c r="CJ6" s="1246"/>
      <c r="CK6" s="998"/>
      <c r="CL6" s="1376" t="s">
        <v>140</v>
      </c>
      <c r="CM6" s="1246"/>
      <c r="CN6" s="1377"/>
      <c r="CO6" s="1168"/>
      <c r="CP6" s="1168"/>
      <c r="CQ6" s="1225"/>
      <c r="CR6" s="1225"/>
      <c r="CS6" s="1226"/>
      <c r="CT6" s="1225"/>
      <c r="CU6" s="1244"/>
      <c r="CV6" s="1306" t="s">
        <v>147</v>
      </c>
      <c r="CW6" s="987"/>
      <c r="CX6" s="988"/>
      <c r="CY6" s="1210" t="s">
        <v>148</v>
      </c>
      <c r="CZ6" s="1203"/>
      <c r="DA6" s="1211"/>
      <c r="DB6" s="1379" t="s">
        <v>175</v>
      </c>
      <c r="DC6" s="1215"/>
      <c r="DD6" s="1216"/>
      <c r="DE6" s="1380" t="s">
        <v>176</v>
      </c>
      <c r="DF6" s="1215"/>
      <c r="DG6" s="1216"/>
      <c r="DH6" s="242" t="s">
        <v>29</v>
      </c>
      <c r="DI6" s="1113"/>
      <c r="DJ6" s="1113"/>
      <c r="DK6" s="1382"/>
      <c r="DL6" s="1112"/>
      <c r="DM6" s="1113"/>
      <c r="DN6" s="1114"/>
      <c r="DO6" s="1385"/>
      <c r="DP6" s="1386"/>
      <c r="DQ6" s="1386"/>
      <c r="DR6" s="1167"/>
      <c r="DS6" s="1167"/>
      <c r="DT6" s="1167"/>
      <c r="DU6" s="1167"/>
      <c r="DV6" s="1167"/>
      <c r="DW6" s="1167"/>
      <c r="DX6" s="1168"/>
      <c r="DY6" s="1169"/>
      <c r="DZ6" s="1167"/>
      <c r="EA6" s="1167"/>
      <c r="EB6" s="1167"/>
      <c r="EC6" s="1167"/>
      <c r="ED6" s="1167"/>
      <c r="EE6" s="1163"/>
      <c r="EF6" s="1163"/>
      <c r="EG6" s="1164"/>
      <c r="EH6" s="1118"/>
      <c r="EI6" s="1119"/>
      <c r="EJ6" s="1120"/>
      <c r="EK6" s="1167"/>
      <c r="EL6" s="1168"/>
      <c r="EM6" s="1106" t="s">
        <v>198</v>
      </c>
      <c r="EN6" s="1107"/>
      <c r="EO6" s="1108"/>
      <c r="EP6" s="1212" t="s">
        <v>197</v>
      </c>
      <c r="EQ6" s="1107"/>
      <c r="ER6" s="1213"/>
      <c r="ES6" s="1224"/>
      <c r="ET6" s="1225"/>
      <c r="EU6" s="1226"/>
      <c r="EV6" s="263" t="s">
        <v>220</v>
      </c>
      <c r="EW6" s="1212" t="s">
        <v>201</v>
      </c>
      <c r="EX6" s="1107"/>
      <c r="EY6" s="1230"/>
      <c r="EZ6" s="1146"/>
      <c r="FA6" s="1236"/>
      <c r="FB6" s="1237"/>
      <c r="FC6" s="1238"/>
      <c r="FD6" s="1106" t="s">
        <v>201</v>
      </c>
      <c r="FE6" s="1107"/>
      <c r="FF6" s="1213"/>
      <c r="FG6" s="1233" t="s">
        <v>223</v>
      </c>
      <c r="FH6" s="1234"/>
      <c r="FI6" s="1235"/>
      <c r="FJ6" s="1231" t="s">
        <v>202</v>
      </c>
      <c r="FK6" s="1166" t="s">
        <v>213</v>
      </c>
      <c r="FL6" s="1193"/>
      <c r="FM6" s="1042"/>
      <c r="FN6" s="1139" t="s">
        <v>203</v>
      </c>
      <c r="FO6" s="1148" t="s">
        <v>226</v>
      </c>
      <c r="FP6" s="1136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38" t="s">
        <v>217</v>
      </c>
      <c r="FV6" s="1138"/>
      <c r="FW6" s="1039"/>
      <c r="FX6" s="1139" t="s">
        <v>218</v>
      </c>
      <c r="FY6" s="1148" t="s">
        <v>226</v>
      </c>
      <c r="FZ6" s="1136" t="s">
        <v>224</v>
      </c>
      <c r="GA6" s="1141" t="s">
        <v>237</v>
      </c>
      <c r="GB6" s="318" t="s">
        <v>206</v>
      </c>
      <c r="GC6" s="319" t="s">
        <v>238</v>
      </c>
      <c r="GD6" s="320" t="s">
        <v>225</v>
      </c>
      <c r="GE6" s="1156"/>
      <c r="GF6" s="1162" t="s">
        <v>256</v>
      </c>
      <c r="GG6" s="318" t="s">
        <v>206</v>
      </c>
      <c r="GH6" s="319" t="s">
        <v>238</v>
      </c>
      <c r="GI6" s="320" t="s">
        <v>225</v>
      </c>
      <c r="GJ6" s="1160"/>
      <c r="GK6" s="1122"/>
      <c r="GL6" s="1125"/>
      <c r="GM6" s="1125"/>
      <c r="GN6" s="1126"/>
      <c r="GO6" s="1187" t="s">
        <v>236</v>
      </c>
      <c r="GP6" s="1191" t="s">
        <v>224</v>
      </c>
      <c r="GQ6" s="1193" t="s">
        <v>202</v>
      </c>
      <c r="GR6" s="1155"/>
      <c r="GS6" s="1204" t="s">
        <v>248</v>
      </c>
      <c r="GT6" s="1205"/>
      <c r="GU6" s="1202" t="s">
        <v>247</v>
      </c>
      <c r="GV6" s="1203"/>
      <c r="GW6" s="1203"/>
      <c r="GX6" s="340" t="s">
        <v>106</v>
      </c>
      <c r="GY6" s="989" t="s">
        <v>246</v>
      </c>
      <c r="GZ6" s="1158"/>
      <c r="HA6" s="1214" t="s">
        <v>248</v>
      </c>
      <c r="HB6" s="1215"/>
      <c r="HC6" s="1215"/>
      <c r="HD6" s="1216"/>
      <c r="HE6" s="989" t="s">
        <v>247</v>
      </c>
      <c r="HF6" s="987"/>
      <c r="HG6" s="987"/>
      <c r="HH6" s="993"/>
      <c r="HI6" s="1180"/>
      <c r="HM6" s="901" t="s">
        <v>392</v>
      </c>
      <c r="HN6" s="1208" t="s">
        <v>393</v>
      </c>
      <c r="HO6" s="1208"/>
      <c r="HP6" s="1208"/>
      <c r="HQ6" s="1208"/>
      <c r="HR6" s="1209"/>
      <c r="HS6" s="1101" t="s">
        <v>105</v>
      </c>
      <c r="HT6" s="1102"/>
      <c r="HU6" s="1102"/>
      <c r="HV6" s="1103"/>
      <c r="HW6" s="877">
        <f>AVERAGE(HW$9:HW$150)</f>
        <v>29500</v>
      </c>
      <c r="HX6" s="878">
        <f t="shared" ref="HX6:IE6" si="0">SUM(HX$9:HX$150)</f>
        <v>2183.5309999999999</v>
      </c>
      <c r="HY6" s="879" t="e">
        <f t="shared" si="0"/>
        <v>#DIV/0!</v>
      </c>
      <c r="HZ6" s="880">
        <f t="shared" si="0"/>
        <v>13730.139006883137</v>
      </c>
      <c r="IA6" s="881" t="e">
        <f t="shared" si="0"/>
        <v>#DIV/0!</v>
      </c>
      <c r="IB6" s="882" t="e">
        <f t="shared" si="0"/>
        <v>#DIV/0!</v>
      </c>
      <c r="IC6" s="889" t="e">
        <f t="shared" si="0"/>
        <v>#DIV/0!</v>
      </c>
      <c r="ID6" s="890">
        <f t="shared" si="0"/>
        <v>18729.55</v>
      </c>
      <c r="IE6" s="890" t="e">
        <f t="shared" si="0"/>
        <v>#DIV/0!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94" t="s">
        <v>40</v>
      </c>
      <c r="C7" s="1295"/>
      <c r="D7" s="1296"/>
      <c r="E7" s="1297" t="s">
        <v>41</v>
      </c>
      <c r="F7" s="1295"/>
      <c r="G7" s="1298"/>
      <c r="H7" s="1092" t="s">
        <v>98</v>
      </c>
      <c r="I7" s="1090"/>
      <c r="J7" s="1093"/>
      <c r="K7" s="169"/>
      <c r="L7" s="1155"/>
      <c r="M7" s="1291"/>
      <c r="N7" s="1309"/>
      <c r="O7" s="1311"/>
      <c r="P7" s="1364"/>
      <c r="Q7" s="36" t="s">
        <v>18</v>
      </c>
      <c r="R7" s="2" t="s">
        <v>19</v>
      </c>
      <c r="S7" s="1305"/>
      <c r="T7" s="1339"/>
      <c r="U7" s="1341"/>
      <c r="V7" s="1300"/>
      <c r="W7" s="37" t="str">
        <f>$Q$7</f>
        <v>&lt; θ°</v>
      </c>
      <c r="X7" s="27" t="str">
        <f>$R$7</f>
        <v>r</v>
      </c>
      <c r="Y7" s="133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29"/>
      <c r="AS7" s="1334" t="s">
        <v>54</v>
      </c>
      <c r="AT7" s="1332" t="s">
        <v>53</v>
      </c>
      <c r="AV7" s="1323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55"/>
      <c r="BC7" s="37" t="str">
        <f>$Q$7</f>
        <v>&lt; θ°</v>
      </c>
      <c r="BD7" s="27" t="str">
        <f>$R$7</f>
        <v>r</v>
      </c>
      <c r="BE7" s="1261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147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32"/>
      <c r="FK7" s="358" t="s">
        <v>210</v>
      </c>
      <c r="FL7" s="361" t="s">
        <v>211</v>
      </c>
      <c r="FM7" s="893" t="s">
        <v>212</v>
      </c>
      <c r="FN7" s="1140"/>
      <c r="FO7" s="1149"/>
      <c r="FP7" s="1137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40"/>
      <c r="FY7" s="1149"/>
      <c r="FZ7" s="1137"/>
      <c r="GA7" s="1142"/>
      <c r="GB7" s="212" t="s">
        <v>231</v>
      </c>
      <c r="GC7" s="127" t="s">
        <v>232</v>
      </c>
      <c r="GD7" s="213" t="s">
        <v>233</v>
      </c>
      <c r="GE7" s="1157"/>
      <c r="GF7" s="1240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88"/>
      <c r="GP7" s="1192"/>
      <c r="GQ7" s="1194"/>
      <c r="GR7" s="1195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181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387" t="s">
        <v>394</v>
      </c>
      <c r="HP7" s="1388"/>
      <c r="HQ7" s="1206" t="s">
        <v>390</v>
      </c>
      <c r="HR7" s="1207"/>
      <c r="HS7" s="883" t="s">
        <v>29</v>
      </c>
      <c r="HT7" s="884" t="s">
        <v>110</v>
      </c>
      <c r="HU7" s="1104" t="s">
        <v>391</v>
      </c>
      <c r="HV7" s="1105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995" t="s">
        <v>33</v>
      </c>
      <c r="IJ7" s="1170" t="s">
        <v>376</v>
      </c>
      <c r="IK7" s="991" t="s">
        <v>324</v>
      </c>
      <c r="IL7" s="992"/>
      <c r="IM7" s="992"/>
      <c r="IN7" s="987"/>
      <c r="IO7" s="987"/>
      <c r="IP7" s="987"/>
      <c r="IQ7" s="988"/>
      <c r="IR7" s="989" t="s">
        <v>320</v>
      </c>
      <c r="IS7" s="987"/>
      <c r="IT7" s="987"/>
      <c r="IU7" s="987"/>
      <c r="IV7" s="987"/>
      <c r="IW7" s="989" t="s">
        <v>319</v>
      </c>
      <c r="IX7" s="987"/>
      <c r="IY7" s="987"/>
      <c r="IZ7" s="987"/>
      <c r="JA7" s="988"/>
      <c r="JC7" s="725"/>
      <c r="JD7" s="1366" t="s">
        <v>355</v>
      </c>
      <c r="JE7" s="1366"/>
      <c r="JF7" s="1366"/>
      <c r="JG7" s="1367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55"/>
      <c r="M8" s="411" cm="1">
        <f t="array" ref="M8">IF(AND(ISNUMBER('SN#.Run#'!$P$1),COUNT($M$9:$M$150)&gt;='SN#.Run#'!$P$1),INDEX($M$9:$M$150,'SN#.Run#'!$P$1),"")</f>
        <v>1.1100000000000001</v>
      </c>
      <c r="N8" s="551"/>
      <c r="O8" s="552"/>
      <c r="P8" s="562"/>
      <c r="Q8" s="554">
        <f>IFERROR(INDEX(Q$9:Q$150,MATCH($M$8,$M$9:$M$150,0)),"")</f>
        <v>89.881659287959806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-0.16962603379131716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35"/>
      <c r="AT8" s="1333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 t="e">
        <f>SQRT(HC8^2+HD8^2)</f>
        <v>#DIV/0!</v>
      </c>
      <c r="HB8" s="360" t="str">
        <f>IFERROR(IF((DEGREES(ATAN2(HC8,HD8)))&lt;0,(360+(DEGREES(ATAN2(HC8,HD8)))),(DEGREES(ATAN2(HC8,HD8)))),"")</f>
        <v/>
      </c>
      <c r="HC8" s="360" t="e">
        <f>SUM(HC9:HC150)</f>
        <v>#DIV/0!</v>
      </c>
      <c r="HD8" s="364" t="e">
        <f>SUM(HD9:HD150)</f>
        <v>#DIV/0!</v>
      </c>
      <c r="HE8" s="366" t="e">
        <f>SQRT(HG8^2+HH8^2)</f>
        <v>#DIV/0!</v>
      </c>
      <c r="HF8" s="360" t="str">
        <f>IFERROR(IF((DEGREES(ATAN2(HG8,HH8)))&lt;0,(360+(DEGREES(ATAN2(HG8,HH8)))),(DEGREES(ATAN2(HG8,HH8)))),"")</f>
        <v/>
      </c>
      <c r="HG8" s="360" t="e">
        <f>SUM(HG9:HG150)</f>
        <v>#DIV/0!</v>
      </c>
      <c r="HH8" s="367" t="e">
        <f>SUM(HH9:HH150)</f>
        <v>#DIV/0!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172"/>
      <c r="IJ8" s="1171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-1.0528391470055964E-2</v>
      </c>
      <c r="C9" s="641">
        <f t="shared" ref="C9:C40" si="3">IFERROR(R164+($A9*-F9),"")</f>
        <v>0.30019999999999969</v>
      </c>
      <c r="D9" s="642">
        <f t="shared" ref="D9:D40" si="4">IFERROR(S164+($A9*-G9),"")</f>
        <v>-0.57786735899090602</v>
      </c>
      <c r="E9" s="643">
        <f t="shared" ref="E9:E40" si="5">T164</f>
        <v>-0.93358042649720174</v>
      </c>
      <c r="F9" s="641">
        <f t="shared" ref="F9:F40" si="6">U164</f>
        <v>0</v>
      </c>
      <c r="G9" s="644">
        <f t="shared" ref="G9:G40" si="7">V164</f>
        <v>0.35836794954530027</v>
      </c>
      <c r="H9" s="643">
        <f t="shared" ref="H9:H40" si="8">W164</f>
        <v>0.26450000000000001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1313</v>
      </c>
      <c r="M9" s="163">
        <f t="shared" ref="M9:M40" si="12">IF(J9="","",VALUE(J9))</f>
        <v>1.101</v>
      </c>
      <c r="N9" s="566">
        <f t="shared" ref="N9:N40" si="13">IF(M9="","",B9)</f>
        <v>-1.0528391470055964E-2</v>
      </c>
      <c r="O9" s="567">
        <f t="shared" ref="O9:O40" si="14">IF(M9="","",C9)</f>
        <v>0.30019999999999969</v>
      </c>
      <c r="P9" s="568">
        <f t="shared" ref="P9:P40" si="15">IF(M9="","",D9)</f>
        <v>-0.57786735899090602</v>
      </c>
      <c r="Q9" s="526">
        <f>IF(M9="","",IF(DEGREES(ATAN2(N9,O9))&lt;0,DEGREES(ATAN2(N9,O9))+360,IF(DEGREES(ATAN2(N9,O9))&gt;360,DEGREES(ATAN2(N9,O9))-360,DEGREES(ATAN2(N9,O9)))))</f>
        <v>92.008611774701691</v>
      </c>
      <c r="R9" s="567">
        <f>IF(M9="","",SQRT(N9^2+O9^2))</f>
        <v>0.30038456522755386</v>
      </c>
      <c r="S9" s="569">
        <f>IF(M9="","",P9)</f>
        <v>-0.57786735899090602</v>
      </c>
      <c r="T9" s="570">
        <f>IF(M9="","",X9*COS(RADIANS(W9)))</f>
        <v>0.3001776139768732</v>
      </c>
      <c r="U9" s="567">
        <f>IF(M9="","",X9*SIN(RADIANS(W9)))</f>
        <v>1.1148412178325526E-2</v>
      </c>
      <c r="V9" s="571">
        <f>IF(M9="","",Y9)</f>
        <v>-0.57786735899090602</v>
      </c>
      <c r="W9" s="526">
        <f t="shared" ref="W9:W13" si="16">IF(M9="","",IF(Q9-$Q$8&lt;0,360+Q9-$Q$8,Q9-$Q$8))</f>
        <v>2.1269524867418852</v>
      </c>
      <c r="X9" s="572">
        <f>IF(M9="","",R9)</f>
        <v>0.30038456522755386</v>
      </c>
      <c r="Y9" s="573">
        <f t="shared" ref="Y9:Y15" si="17">IF(M9="","",S9)</f>
        <v>-0.57786735899090602</v>
      </c>
      <c r="Z9" s="566">
        <f t="shared" ref="Z9:Z40" si="18">IF(M9="","",-E9)</f>
        <v>0.93358042649720174</v>
      </c>
      <c r="AA9" s="567">
        <f t="shared" ref="AA9:AA40" si="19">IF(M9="","",-F9)</f>
        <v>0</v>
      </c>
      <c r="AB9" s="567">
        <f t="shared" ref="AB9:AB40" si="20">IF(M9="","",-G9)</f>
        <v>-0.35836794954530027</v>
      </c>
      <c r="AC9" s="571">
        <f>IF(M9="","",SQRT(Z9^2+AA9^2+AB9^2))</f>
        <v>1</v>
      </c>
      <c r="AD9" s="574">
        <f>IF(M9="","",Z9*(1/SQRT(Z9^2+AA9^2+AB9^2)))</f>
        <v>0.93358042649720174</v>
      </c>
      <c r="AE9" s="567">
        <f>IF(M9="","",AA9*(1/SQRT(Z9^2+AA9^2+AB9^2)))</f>
        <v>0</v>
      </c>
      <c r="AF9" s="568">
        <f>IF(M9="","",AB9*(1/SQRT(Z9^2+AA9^2+AB9^2)))</f>
        <v>-0.35836794954530027</v>
      </c>
      <c r="AG9" s="542">
        <f>IF(M9="","",DEGREES(ATAN2(-AF9,AE9)))</f>
        <v>0</v>
      </c>
      <c r="AH9" s="543">
        <f>IF(M9="","",DEGREES(ACOS(AD9)))</f>
        <v>21.000000000000004</v>
      </c>
      <c r="AI9" s="526">
        <f>IF(M9="","",DEGREES(-ACOS(-AF9)))</f>
        <v>-69</v>
      </c>
      <c r="AJ9" s="544">
        <f>IF(M9="","",DEGREES(ATAN2(-AE9,AD9)))</f>
        <v>90</v>
      </c>
      <c r="AK9" s="570">
        <f>IF(M9="","",(COS(RADIANS((90-$Q$8)-W9))*AD9)+(-SIN(RADIANS((90-$Q$8)-W9))*AE9))</f>
        <v>0.93300680686489457</v>
      </c>
      <c r="AL9" s="567">
        <f>IF(M9="","",(SIN(RADIANS((90-$Q$8)-W9))*AD9)+(COS(RADIANS((90-$Q$8)-W9))*AE9))</f>
        <v>-3.2721721875084979E-2</v>
      </c>
      <c r="AM9" s="569">
        <f>IF(M9="","",AF9)</f>
        <v>-0.35836794954530027</v>
      </c>
      <c r="AN9" s="524">
        <f>IF(M9="","",DEGREES(ATAN2(-AM9,AL9)))</f>
        <v>-5.2170745382373731</v>
      </c>
      <c r="AO9" s="525">
        <f>IF(ROUND(IF(M9="",0,DEGREES(ACOS(AK9))),4)=90,0,IF(M9="","",DEGREES(ACOS(AK9))))</f>
        <v>21.091519790015408</v>
      </c>
      <c r="AP9" s="722">
        <f>IF(M9="","",DEGREES(ATAN2(AK9,AL9)))</f>
        <v>-2.0086117747016914</v>
      </c>
      <c r="AQ9" s="527">
        <f t="shared" ref="AQ9:AQ40" si="21">IF(M9="","",DEGREES(ATAN(($AS$5*SIN(RADIANS(90)))/(($X9*2*PI())-($AS$5*COS(RADIANS(90)))))))</f>
        <v>7.5454352816732122</v>
      </c>
      <c r="AS9" s="931">
        <f>IF(M9="","",W9)</f>
        <v>2.1269524867418852</v>
      </c>
      <c r="AT9" s="927">
        <f t="shared" ref="AT9:AT40" si="22">IF(M9="","",Y9+(((AS9-$AS$9)*$AS$6)*-1))</f>
        <v>-0.57786735899090602</v>
      </c>
      <c r="AU9" s="418"/>
      <c r="AV9" s="164">
        <f t="shared" ref="AV9:AV40" si="23">IF(AND(ISNUMBER(VALUE(K9)),ISNUMBER(AW9),ISNUMBER(AX9),ISNUMBER(AY9),AY9&gt;=0.0001),$M9,"")</f>
        <v>1.101</v>
      </c>
      <c r="AW9" s="826">
        <f>IFERROR(INDEX(MassProp!C$9:C$150,MATCH($M9,MassProp!$B$9:$B$150,0)),"")</f>
        <v>0.2011</v>
      </c>
      <c r="AX9" s="827">
        <f>IFERROR(INDEX(MassProp!D$9:D$150,MATCH($M9,MassProp!$B$9:$B$150,0)),"")</f>
        <v>-0.20499999999999999</v>
      </c>
      <c r="AY9" s="828">
        <f>IFERROR(INDEX(MassProp!E$9:E$150,MATCH($M9,MassProp!$B$9:$B$150,0)),"")</f>
        <v>7.7100000000000002E-2</v>
      </c>
      <c r="AZ9" s="297">
        <f>IF(ISNUMBER(AV9),$AY9*SQRT((2*PI()*$AW9)^2+$AS$5^2),"")</f>
        <v>9.9308121494027249E-2</v>
      </c>
      <c r="BA9" s="296">
        <f t="shared" ref="BA9:BA40" si="24">IF(ISNUMBER(AV9),AZ9/$AZ$151,"")</f>
        <v>1.7780771572457946E-2</v>
      </c>
      <c r="BB9" s="290">
        <f>IF(ISNUMBER($AV9),$AX9-($AT9+$AS$5),"")</f>
        <v>0.12286735899090603</v>
      </c>
      <c r="BC9" s="180"/>
      <c r="BD9" s="191">
        <f>IF(ISNUMBER(AV9),AW9,"")</f>
        <v>0.2011</v>
      </c>
      <c r="BE9" s="181">
        <f t="shared" ref="BE9:BE40" si="25">IF(ISNUMBER(AV9),Y9+BB9,"")</f>
        <v>-0.45499999999999996</v>
      </c>
      <c r="BF9" s="4">
        <f t="shared" ref="BF9:BF40" si="26">IF(ISNUMBER($AV9),N9,"")</f>
        <v>-1.0528391470055964E-2</v>
      </c>
      <c r="BG9" s="5">
        <f t="shared" ref="BG9:BG40" si="27">IF(ISNUMBER($AV9),O9,"")</f>
        <v>0.30019999999999969</v>
      </c>
      <c r="BH9" s="10">
        <f t="shared" ref="BH9:BH40" si="28">IF(ISNUMBER($AV9),P9,"")</f>
        <v>-0.57786735899090602</v>
      </c>
      <c r="BI9" s="9">
        <f>IF(ISNUMBER($AV9),BF9+0,"")</f>
        <v>-1.0528391470055964E-2</v>
      </c>
      <c r="BJ9" s="5">
        <f t="shared" ref="BJ9:BJ40" si="29">IF(ISNUMBER($AV9),BG9+COS(RADIANS($AG9)),"")</f>
        <v>1.3001999999999998</v>
      </c>
      <c r="BK9" s="8">
        <f t="shared" ref="BK9:BK40" si="30">IF(ISNUMBER($AV9),BH9+SIN(RADIANS($AG9)),"")</f>
        <v>-0.57786735899090602</v>
      </c>
      <c r="BL9" s="173">
        <f t="shared" ref="BL9:BL40" si="31">IF(ISNUMBER($AV9),BF9+SIN(RADIANS($AH9)),"")</f>
        <v>0.34783955807524436</v>
      </c>
      <c r="BM9" s="5">
        <f t="shared" ref="BM9:BM40" si="32">IF(ISNUMBER($AV9),BG9-SIN(RADIANS($AG9))*COS(RADIANS($AH9)),"")</f>
        <v>0.30019999999999969</v>
      </c>
      <c r="BN9" s="6">
        <f t="shared" ref="BN9:BN40" si="33">IF(ISNUMBER($AV9),BH9+COS(RADIANS($AG9))*COS(RADIANS($AH9)),"")</f>
        <v>0.35571306750629572</v>
      </c>
      <c r="BO9" s="4">
        <f>IF(ISNUMBER($AV9),BJ9*BN9-BM9*BK9-BG9*(BN9-BK9)+BH9*(BM9-BJ9),"")</f>
        <v>0.93358042649720185</v>
      </c>
      <c r="BP9" s="5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>1.0000000000000001E-5</v>
      </c>
      <c r="BQ9" s="5">
        <f>IF(ISNUMBER($AV9),BF9*(BJ9-BM9)-BG9*(BI9-BL9)+(BI9*BM9-BL9*BJ9),"")</f>
        <v>-0.35836794954530038</v>
      </c>
      <c r="BR9" s="6">
        <f>IF(ISNUMBER($AV9),-(BF9*(BJ9*BN9-BM9*BK9)-BG9*(BI9*BN9-BL9*BK9)+BH9*(BI9*BM9-BL9*BJ9)),"")</f>
        <v>-0.19726004035178463</v>
      </c>
      <c r="BS9" s="4">
        <f>IF(ISNUMBER($AV9),0,"")</f>
        <v>0</v>
      </c>
      <c r="BT9" s="5">
        <f>IF(ISNUMBER($AV9),0,"")</f>
        <v>0</v>
      </c>
      <c r="BU9" s="10">
        <f>IF(ISNUMBER($AV9),$BE9,"")</f>
        <v>-0.45499999999999996</v>
      </c>
      <c r="BV9" s="9">
        <f>IF(ISNUMBER($AV9),0,"")</f>
        <v>0</v>
      </c>
      <c r="BW9" s="5">
        <f>IF(ISNUMBER($AV9),1,"")</f>
        <v>1</v>
      </c>
      <c r="BX9" s="8">
        <f>IF(ISNUMBER($AV9),$BE9,"")</f>
        <v>-0.45499999999999996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-0.45499999999999996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-0.45499999999999996</v>
      </c>
      <c r="CF9" s="4">
        <f>IF(ISNUMBER($AV9),(BP9*CD9)-(BQ9*CC9),"")</f>
        <v>-1.0000000000000001E-5</v>
      </c>
      <c r="CG9" s="5">
        <f>IF(ISNUMBER($AV9),(BQ9*CB9)-(BO9*CD9),"")</f>
        <v>0.93358042649720185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3420.262330867296</v>
      </c>
      <c r="CK9" s="8">
        <f>IF(ISNUMBER($AV9),(CC9*BR9-BP9*CE9)/(-CC9*BQ9+BP9*CD9),"")</f>
        <v>-0.4549999999999999</v>
      </c>
      <c r="CL9" s="173">
        <f>IF(ISNUMBER($AV9),CI9+CF9,"")</f>
        <v>-1.0000000000000001E-5</v>
      </c>
      <c r="CM9" s="5">
        <f>IF(ISNUMBER($AV9),CJ9+CG9,"")</f>
        <v>3421.1959112937934</v>
      </c>
      <c r="CN9" s="181">
        <f>IF(ISNUMBER($AV9),CK9+CH9,"")</f>
        <v>-0.4549999999999999</v>
      </c>
      <c r="CO9" s="228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>0.26450000000000001</v>
      </c>
      <c r="CP9" s="23">
        <f>IF(ISNUMBER($AV9),(CL9-CI9)^2+(CM9-CJ9)^2+(CN9-CK9)^2,"")</f>
        <v>0.87157241283912057</v>
      </c>
      <c r="CQ9" s="20">
        <f>IF(ISNUMBER($AV9),2*((CL9-CI9)*(CI9-BF9)+(CM9-CJ9)*(CJ9-BG9)+(CN9-CK9)*(CK9-BH9)),"")</f>
        <v>6385.6194092697215</v>
      </c>
      <c r="CR9" s="20">
        <f>IF(ISNUMBER($AV9),BF9^2+BG9^2+BH9^2+CI9^2+CJ9^2+CK9^2-2*(BF9*CI9+BG9*CJ9+BH9*CK9)-CO9^2,"")</f>
        <v>11696140.921813363</v>
      </c>
      <c r="CS9" s="25">
        <f>IF(ISNUMBER($AV9),CQ9^2-(4*CP9*CR9),"")</f>
        <v>0.18351719528436661</v>
      </c>
      <c r="CT9" s="24">
        <f>IF(ISNUMBER($AV9),(-CQ9+SQRT(CS9))/(CP9*2),"")</f>
        <v>-3663.0295579228864</v>
      </c>
      <c r="CU9" s="22">
        <f>IF(ISNUMBER($AV9),(-CQ9-SQRT(CS9))/(CP9*2),"")</f>
        <v>-3663.5210708065856</v>
      </c>
      <c r="CV9" s="23">
        <f t="shared" ref="CV9:CX10" si="36">IF(ISNUMBER($AV9),CI9+($CT9*(CL9-CI9)),"")</f>
        <v>3.6630295579228866E-2</v>
      </c>
      <c r="CW9" s="20">
        <f t="shared" si="36"/>
        <v>0.52963390896047713</v>
      </c>
      <c r="CX9" s="25">
        <f t="shared" si="36"/>
        <v>-0.4549999999999999</v>
      </c>
      <c r="CY9" s="24">
        <f t="shared" ref="CY9:DA10" si="37">IF(ISNUMBER($AV9),CI9+($CU9*(CL9-CI9)),"")</f>
        <v>3.6635210708065857E-2</v>
      </c>
      <c r="CZ9" s="20">
        <f t="shared" si="37"/>
        <v>7.0767101367437135E-2</v>
      </c>
      <c r="DA9" s="22">
        <f t="shared" si="37"/>
        <v>-0.4549999999999999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0.2011</v>
      </c>
      <c r="DI9" s="4">
        <f t="shared" ref="DI9:DK9" si="38">IF(ISNUMBER($AV9),DE9-DB9,"")</f>
        <v>0</v>
      </c>
      <c r="DJ9" s="5">
        <f t="shared" si="38"/>
        <v>0</v>
      </c>
      <c r="DK9" s="10">
        <f t="shared" si="38"/>
        <v>20</v>
      </c>
      <c r="DL9" s="9">
        <f t="shared" ref="DL9:DN9" si="39">IF(ISNUMBER($AV9),CV9-DB9,"")</f>
        <v>3.6630295579228866E-2</v>
      </c>
      <c r="DM9" s="173">
        <f t="shared" si="39"/>
        <v>0.52963390896047713</v>
      </c>
      <c r="DN9" s="178">
        <f t="shared" si="39"/>
        <v>9.5449999999999999</v>
      </c>
      <c r="DO9" s="9">
        <f t="shared" ref="DO9:DQ10" si="40">IF(ISNUMBER($AV9),CY9-CV9,"")</f>
        <v>4.9151288369908563E-6</v>
      </c>
      <c r="DP9" s="173">
        <f t="shared" si="40"/>
        <v>-0.45886680759303999</v>
      </c>
      <c r="DQ9" s="11">
        <f t="shared" si="40"/>
        <v>0</v>
      </c>
      <c r="DR9" s="173">
        <f>IF(ISNUMBER($AV9),SUMPRODUCT(DI9:DK9,DL9:DN9),"")</f>
        <v>190.9</v>
      </c>
      <c r="DS9" s="5">
        <f>IF(ISNUMBER($AV9),SUMPRODUCT(DO9:DQ9,DI9:DK9),"")</f>
        <v>0</v>
      </c>
      <c r="DT9" s="5">
        <f>IF(ISNUMBER($AV9),SUMPRODUCT(DI9:DK9,DI9:DK9),"")</f>
        <v>400</v>
      </c>
      <c r="DU9" s="5">
        <f>IF(ISNUMBER($AV9),SUMPRODUCT(DO9:DQ9,DO9:DQ9),"")</f>
        <v>0.21055874713478648</v>
      </c>
      <c r="DV9" s="5">
        <f>IF(ISNUMBER($AV9),SUMPRODUCT(DL9:DN9,DO9:DQ9),"")</f>
        <v>-0.24303124095509479</v>
      </c>
      <c r="DW9" s="5">
        <f>IF(ISNUMBER($AV9),SUMPRODUCT(DL9:DN9,DL9:DN9),"")</f>
        <v>91.388878856074967</v>
      </c>
      <c r="DX9" s="167">
        <f>IF(ISNUMBER($AV9),DW9-DH9*DH9,"")</f>
        <v>91.34843764607497</v>
      </c>
      <c r="DY9" s="9">
        <f>IF(ISNUMBER($AV9),DT9*DU9-DS9*DS9,"")</f>
        <v>84.223498853914592</v>
      </c>
      <c r="DZ9" s="5">
        <f>IF(ISNUMBER($AV9),DT9*DV9-DS9*DR9,"")</f>
        <v>-97.212496382037912</v>
      </c>
      <c r="EA9" s="10">
        <f>IF(ISNUMBER($AV9),DT9*DX9-DR9*DR9,"")</f>
        <v>96.565058429980127</v>
      </c>
      <c r="EB9" s="6">
        <f>IF(ISNUMBER($AV9),DZ9*DZ9-DY9*EA9,"")</f>
        <v>1317.222364822107</v>
      </c>
      <c r="EC9" s="173">
        <f>IF(ISNUMBER($AV9),(-DZ9+SQRT(DZ9^2-DY9*EA9))/DY9,"")</f>
        <v>1.5851402087453521</v>
      </c>
      <c r="ED9" s="5">
        <f>IF(ISNUMBER($AV9),(-DZ9-SQRT(DZ9^2-DY9*EA9))/DY9,"")</f>
        <v>0.72330096752666906</v>
      </c>
      <c r="EE9" s="4">
        <f t="shared" ref="EE9:EG10" si="41">IF(ISNUMBER($AV9),CV9+DO9*$EC9,"")</f>
        <v>3.6638086747579547E-2</v>
      </c>
      <c r="EF9" s="5">
        <f t="shared" si="41"/>
        <v>-0.19773431821386755</v>
      </c>
      <c r="EG9" s="10">
        <f t="shared" si="41"/>
        <v>-0.4549999999999999</v>
      </c>
      <c r="EH9" s="9">
        <f t="shared" ref="EH9:EJ10" si="42">IF(ISNUMBER($AV9),CV9+DO9*$ED9,"")</f>
        <v>3.6633850696672181E-2</v>
      </c>
      <c r="EI9" s="5">
        <f t="shared" si="42"/>
        <v>0.19773510306255743</v>
      </c>
      <c r="EJ9" s="6">
        <f t="shared" si="42"/>
        <v>-0.4549999999999999</v>
      </c>
      <c r="EK9" s="236" t="b">
        <f>IF(ISNUMBER($AV9),IF(OR($EC9&lt;0,$EC9&gt;1),FALSE,TRUE),"")</f>
        <v>0</v>
      </c>
      <c r="EL9" s="238" t="b">
        <f>IF(ISNUMBER($AV9),IF(OR($ED9&lt;0,$ED9&gt;1),FALSE,TRUE),"")</f>
        <v>1</v>
      </c>
      <c r="EM9" s="4">
        <f t="shared" ref="EM9:EO10" si="43">IF(ISNUMBER($AV9),IF($EK9=TRUE,EE9,IF($EL9=TRUE,EH9,"")),"")</f>
        <v>3.6633850696672181E-2</v>
      </c>
      <c r="EN9" s="5">
        <f t="shared" si="43"/>
        <v>0.19773510306255743</v>
      </c>
      <c r="EO9" s="10">
        <f t="shared" si="43"/>
        <v>-0.4549999999999999</v>
      </c>
      <c r="EP9" s="9">
        <f>IF(ISNUMBER($AV9),IF(DEGREES(ATAN2(EM9,EN9))&lt;0,DEGREES(ATAN2(EM9,EN9))+360,IF(DEGREES(ATAN2(EM9,EN9))&gt;360,DEGREES(ATAN2(EM9,EN9))-360,DEGREES(ATAN2(EM9,EN9)))),"")</f>
        <v>79.503973647328777</v>
      </c>
      <c r="EQ9" s="5">
        <f>IF(ISNUMBER($AV9),SQRT(EM9^2+EN9^2),"")</f>
        <v>0.20110000000006534</v>
      </c>
      <c r="ER9" s="7">
        <f>IF(ISNUMBER($AV9),EO9,"")</f>
        <v>-0.4549999999999999</v>
      </c>
      <c r="ES9" s="274">
        <f>IF(ISNUMBER($AV9),AD9,"")</f>
        <v>0.93358042649720174</v>
      </c>
      <c r="ET9" s="267">
        <f t="shared" ref="ET9:ET40" si="44">IF(ISNUMBER($AV9),AE9,"")</f>
        <v>0</v>
      </c>
      <c r="EU9" s="273">
        <f t="shared" ref="EU9:EU40" si="45">IF(ISNUMBER($AV9),AF9,"")</f>
        <v>-0.35836794954530027</v>
      </c>
      <c r="EV9" s="174">
        <f t="shared" ref="EV9:EV14" si="46">IF(ISNUMBER($AV9),IF(($EV$1-EP9)&lt;0,(360+($EV$1-EP9)),($EV$1-EP9)),"")</f>
        <v>10.496026352671223</v>
      </c>
      <c r="EW9" s="9">
        <f>IF(ISNUMBER($AV9),(COS(RADIANS($EV9))*ES9)+(-SIN(RADIANS($EV9))*ET9),"")</f>
        <v>0.91795933292168341</v>
      </c>
      <c r="EX9" s="5">
        <f t="shared" ref="EX9:EX40" si="47">IF(ISNUMBER($AV9),(SIN(RADIANS($EV9))*ES9)+(COS(RADIANS($EV9))*ET9),"")</f>
        <v>0.17006785657694129</v>
      </c>
      <c r="EY9" s="6">
        <f>IF(ISNUMBER($AV9),EU9,"")</f>
        <v>-0.35836794954530027</v>
      </c>
      <c r="EZ9" s="51">
        <f>IF(ISNUMBER($AV9),DEGREES(ATAN($AS$5/($EQ9*2*PI()))),"")</f>
        <v>11.191737452071417</v>
      </c>
      <c r="FA9" s="266">
        <f>IF(ISNUMBER($AV9),SIN(RADIANS($EP9))*COS(RADIANS($EZ9)),"")</f>
        <v>0.96456889776566834</v>
      </c>
      <c r="FB9" s="267">
        <f>IF(ISNUMBER($AV9),-1*COS(RADIANS($EP9))*COS(RADIANS($EZ9)),"")</f>
        <v>-0.17870308528992915</v>
      </c>
      <c r="FC9" s="268">
        <f t="shared" ref="FC9:FC53" si="48">IF(ISNUMBER($AV9),-1*SIN(RADIANS($EZ9)),"")</f>
        <v>-0.19409288696648283</v>
      </c>
      <c r="FD9" s="4">
        <f>IF(ISNUMBER($AV9),(COS(RADIANS($EV9))*FA9)+(-SIN(RADIANS($EV9))*FB9),"")</f>
        <v>0.980983155425727</v>
      </c>
      <c r="FE9" s="5">
        <f t="shared" ref="FE9:FE40" si="49">IF(ISNUMBER($AV9),(SIN(RADIANS($EV9))*FA9)+(COS(RADIANS($EV9))*FB9),"")</f>
        <v>-2.7755575615628914E-17</v>
      </c>
      <c r="FF9" s="7">
        <f>IF(ISNUMBER($AV9),FC9,"")</f>
        <v>-0.19409288696648283</v>
      </c>
      <c r="FG9" s="173">
        <f>IF(ISNUMBER($AV9),EW9-FD9,"")</f>
        <v>-6.3023822504043592E-2</v>
      </c>
      <c r="FH9" s="5">
        <f t="shared" ref="FH9:FH40" si="50">IF(ISNUMBER($AV9),EX9-FE9,"")</f>
        <v>0.17006785657694132</v>
      </c>
      <c r="FI9" s="10">
        <f t="shared" ref="FI9:FI40" si="51">IF(ISNUMBER($AV9),EY9-FF9,"")</f>
        <v>-0.16427506257881744</v>
      </c>
      <c r="FJ9" s="279">
        <f>IF(ISNUMBER($AV9),DEGREES(ACOS((2-SQRT((FG9)^2+(FH9)^2+(FI9)^2)^2)/2)),"")</f>
        <v>14.055881877321495</v>
      </c>
      <c r="FK9" s="23">
        <f t="shared" ref="FK9:FK40" si="52">IF(ISNUMBER($AV9),SQRT(ES9^2+ET9^2),"")</f>
        <v>0.93358042649720174</v>
      </c>
      <c r="FL9" s="20">
        <f>IF(ISNUMBER($AV9),SQRT(FA9^2+FB9^2),"")</f>
        <v>0.980983155425727</v>
      </c>
      <c r="FM9" s="25">
        <f>IF(ISNUMBER($AV9),SQRT(FG9^2+FH9^2),"")</f>
        <v>0.18137000315293669</v>
      </c>
      <c r="FN9" s="24">
        <f>IF(ISNUMBER($AV9),DEGREES(ACOS((FK9^2+FL9^2-FM9^2)/(2*FK9*FL9))),"")</f>
        <v>10.496026352671221</v>
      </c>
      <c r="FO9" s="10">
        <f t="shared" ref="FO9:FO40" si="53">IF(ISNUMBER($AV9),IF(SQRT((EM9+(ES9/SQRT(ES9^2+(ET9/SQRT(ES9^2+ET9^2))^2)))^2+(EN9+ET9)^2)&gt;SQRT((EM9+(FA9/SQRT(FA9^2+FB9^2)))^2+(EN9+(FB9/SQRT(FA9^2+FB9^2)))^2),-1,1),"")</f>
        <v>-1</v>
      </c>
      <c r="FP9" s="276">
        <f t="shared" ref="FP9:FP40" si="54">IF(ISNUMBER($AV9),FN9*FO9,"")</f>
        <v>-10.496026352671221</v>
      </c>
      <c r="FQ9" s="173">
        <f>IF(ISNUMBER($AV9),SIN(RADIANS(FN9)),"")</f>
        <v>0.18216733315097089</v>
      </c>
      <c r="FR9" s="10">
        <f>IF(ISNUMBER($AV9),COS(RADIANS(FN9)),"")</f>
        <v>0.98326754382144799</v>
      </c>
      <c r="FS9" s="9">
        <f>IF(ISNUMBER($AV9),FQ9/(FQ9+FR9),"")</f>
        <v>0.15630846197447551</v>
      </c>
      <c r="FT9" s="6">
        <f>IF(ISNUMBER($AV9),FR9/(FQ9+FR9),"")</f>
        <v>0.84369153802552443</v>
      </c>
      <c r="FU9" s="4">
        <f>IF(ISNUMBER($AV9),SQRT(EW9^2+EY9^2),"")</f>
        <v>0.98543235392355821</v>
      </c>
      <c r="FV9" s="5">
        <f>IF(ISNUMBER($AV9),SQRT(FD9^2+FF9^2),"")</f>
        <v>1</v>
      </c>
      <c r="FW9" s="8">
        <f>IF(ISNUMBER($AV9),SQRT(FG9^2+FI9^2),"")</f>
        <v>0.17594970414381372</v>
      </c>
      <c r="FX9" s="9">
        <f>IF(ISNUMBER($AV9),DEGREES(ACOS((FU9^2+FV9^2-FW9^2)/(2*FU9*FV9))),"")</f>
        <v>10.133753369963976</v>
      </c>
      <c r="FY9" s="10">
        <f t="shared" ref="FY9:FY40" si="55">IF(ISNUMBER($AV9),IF(EU9&lt;FC9,1,-1),"")</f>
        <v>1</v>
      </c>
      <c r="FZ9" s="277">
        <f>IF(ISNUMBER($AV9),FX9*FY9,"")</f>
        <v>10.133753369963976</v>
      </c>
      <c r="GA9" s="177">
        <f>IF(ISNUMBER($AV9),DEGREES(FZ9*SIN(RADIANS(FU9))),"")</f>
        <v>9.9856361170317154</v>
      </c>
      <c r="GB9" s="4">
        <f>IF(ISNUMBER($AV9),COS(RADIANS(FP9+90))*COS(RADIANS(FZ9)),"")</f>
        <v>0.17932546797659282</v>
      </c>
      <c r="GC9" s="5">
        <f>IF(ISNUMBER($AV9),SIN(RADIANS(FP9+90))*COS(RADIANS(FZ9)),"")</f>
        <v>0.96792827447194985</v>
      </c>
      <c r="GD9" s="10">
        <f>IF(ISNUMBER($AV9),-SIN(RADIANS(FZ9)),"")</f>
        <v>-0.17594667377569204</v>
      </c>
      <c r="GE9" s="311">
        <f>IF(ISNUMBER($AV9),SUM(ABS(GB9),ABS(GC9),ABS(GD9)),"")</f>
        <v>1.3232004162242348</v>
      </c>
      <c r="GF9" s="341">
        <f>IF(ISNUMBER($AV9),1/GE9,"")</f>
        <v>0.7557434140275664</v>
      </c>
      <c r="GG9" s="303">
        <f t="shared" ref="GG9:GG40" si="56">IF(ISNUMBER($AV9),ABS(GB9)/(ABS($GB9)+ABS($GC9)+ABS($GD9)),"")</f>
        <v>0.13552404139072127</v>
      </c>
      <c r="GH9" s="304">
        <f t="shared" ref="GH9:GH40" si="57">IF(ISNUMBER($AV9),ABS(GC9)/(ABS($GB9)+ABS($GC9)+ABS($GD9)),"")</f>
        <v>0.7315054186832427</v>
      </c>
      <c r="GI9" s="305">
        <f t="shared" ref="GI9:GI40" si="58">IF(ISNUMBER($AV9),ABS(GD9)/(ABS($GB9)+ABS($GC9)+ABS($GD9)),"")</f>
        <v>0.13297053992603597</v>
      </c>
      <c r="GJ9" s="167">
        <f>IF(ISNUMBER($AV9),AW9,"")</f>
        <v>0.2011</v>
      </c>
      <c r="GK9" s="174">
        <f t="shared" ref="GK9:GK53" si="59">IF(ISNUMBER($AV9),SQRT((2*PI()*$GJ9)^2+$AS$5^2)/12,"")</f>
        <v>0.10733692336146482</v>
      </c>
      <c r="GL9" s="174">
        <f t="shared" ref="GL9:GN10" si="60">IF(ISNUMBER($AV9),AY9,"")</f>
        <v>7.7100000000000002E-2</v>
      </c>
      <c r="GM9" s="9">
        <f t="shared" si="60"/>
        <v>9.9308121494027249E-2</v>
      </c>
      <c r="GN9" s="281">
        <f t="shared" si="60"/>
        <v>1.7780771572457946E-2</v>
      </c>
      <c r="GO9" s="4">
        <f>IF(ISNUMBER($AV9),FP9,"")</f>
        <v>-10.496026352671221</v>
      </c>
      <c r="GP9" s="8">
        <f>IF(ISNUMBER($AV9),FZ9,"")</f>
        <v>10.133753369963976</v>
      </c>
      <c r="GQ9" s="177">
        <f>IF(ISNUMBER($AV9),FJ9,"")</f>
        <v>14.055881877321495</v>
      </c>
      <c r="GR9" s="371">
        <f>IF(ISNUMBER($AV9),GS9+GU9+GY9,"")</f>
        <v>333.73979071670851</v>
      </c>
      <c r="GS9" s="342">
        <f t="shared" ref="GS9:GS40" si="61">IF(ISNUMBER($AV9),GU9/GH9*GG9,"")</f>
        <v>45.22976521082186</v>
      </c>
      <c r="GT9" s="343">
        <f t="shared" ref="GT9:GT40" si="62">IF(ISNUMBER($AV9),GS9/$GK9,"")</f>
        <v>421.38123391619274</v>
      </c>
      <c r="GU9" s="344">
        <f t="shared" ref="GU9:GU53" si="63">IF(ISNUMBER($AV9),$GV9*$GK9,"")</f>
        <v>244.13246533948367</v>
      </c>
      <c r="GV9" s="343">
        <f>IF(ISNUMBER($AV9),GW9*$GL9,"")</f>
        <v>2274.4500000000003</v>
      </c>
      <c r="GW9" s="345">
        <f t="shared" ref="GW9:GW53" si="64">IF(ISNUMBER($AV9),$GW$2,"")</f>
        <v>29500</v>
      </c>
      <c r="GX9" s="346">
        <f t="shared" ref="GX9:GX53" si="65">IF(ISNUMBER($AV9),($GJ9/12)*$GV9,"")</f>
        <v>38.115991250000008</v>
      </c>
      <c r="GY9" s="344">
        <f t="shared" ref="GY9:GY40" si="66">IF(ISNUMBER($AV9),GU9/GH9*GI9,"")</f>
        <v>44.377560166402979</v>
      </c>
      <c r="GZ9" s="345">
        <f t="shared" ref="GZ9:GZ40" si="67">IF(ISNUMBER($AV9),GY9/$GK9,"")</f>
        <v>413.44170092297458</v>
      </c>
      <c r="HA9" s="342">
        <f t="shared" ref="HA9:HA53" si="68">IF(ISNUMBER($AV9),$FO9*$GS9,"")</f>
        <v>-45.22976521082186</v>
      </c>
      <c r="HB9" s="191">
        <f>IF(ISNUMBER($AV9),$EV9,"")</f>
        <v>10.496026352671223</v>
      </c>
      <c r="HC9" s="362">
        <f>IF(ISNUMBER($AV9),HA9*COS(RADIANS(HB9)),"")</f>
        <v>-44.472960146465589</v>
      </c>
      <c r="HD9" s="365">
        <f>IF(ISNUMBER($AV9),HA9*SIN(RADIANS(HB9)),"")</f>
        <v>-8.2393857074999808</v>
      </c>
      <c r="HE9" s="344">
        <f t="shared" ref="HE9:HE53" si="69">IF(ISNUMBER($AV9),$FY9*$GV9,"")</f>
        <v>2274.4500000000003</v>
      </c>
      <c r="HF9" s="5">
        <f t="shared" ref="HF9:HF53" si="70">IF(ISNUMBER($AV9),IF(($HB9+90)&lt;0,(360+($HB9+90)),($HB9+90)),"")</f>
        <v>100.49602635267122</v>
      </c>
      <c r="HG9" s="362">
        <f>IF(ISNUMBER($AV9),HE9*COS(RADIANS(HF9)),"")</f>
        <v>-414.33049088522569</v>
      </c>
      <c r="HH9" s="368">
        <f>IF(ISNUMBER($AV9),HE9*SIN(RADIANS(HF9)),"")</f>
        <v>2236.3928650446928</v>
      </c>
      <c r="HI9" s="317">
        <f t="shared" ref="HI9:HI40" si="71">IF(ISNUMBER($AV9),$M9,"")</f>
        <v>1.101</v>
      </c>
      <c r="HJ9" s="336"/>
      <c r="HK9" s="315">
        <v>1</v>
      </c>
      <c r="HL9" s="347">
        <f t="shared" ref="HL9:HL40" si="72">IF(ISNUMBER($HS9),INDEX(HI$9:HI$150,MATCH($HS9,$GJ$9:$GJ$150,0)),"")</f>
        <v>1.101</v>
      </c>
      <c r="HM9" s="903">
        <f>IF(ISNUMBER($HL9),INDEX(GO$9:GO$150,MATCH($HL9,$AV$9:$AV$150,0)),"")</f>
        <v>-10.496026352671221</v>
      </c>
      <c r="HN9" s="904">
        <f t="shared" ref="HN9:HN40" si="73">IF(ISNUMBER($HL9),INDEX(AO$9:AO$150,MATCH($HL9,$AV$9:$AV$150,0)),"")</f>
        <v>21.091519790015408</v>
      </c>
      <c r="HO9" s="905"/>
      <c r="HP9" s="906"/>
      <c r="HQ9" s="907">
        <f t="shared" ref="HQ9:HQ40" si="74">IF(ISNUMBER($HL9),INDEX(GQ$9:GQ$150,MATCH($HL9,$AV$9:$AV$150,0)),"")</f>
        <v>14.055881877321495</v>
      </c>
      <c r="HR9" s="908">
        <f t="shared" ref="HR9:HR40" si="75">IF(ISNUMBER($HL9),INDEX(GP$9:GP$150,MATCH($HL9,$AV$9:$AV$150,0)),"")</f>
        <v>10.133753369963976</v>
      </c>
      <c r="HS9" s="859">
        <f>IFERROR(SMALL($GJ$9:$GJ$150,$HK9),"")</f>
        <v>0.2011</v>
      </c>
      <c r="HT9" s="873">
        <f t="shared" ref="HT9:HT40" si="76">IF(ISNUMBER($HL9),INDEX(GL$9:GL$150,MATCH($HL9,$AV$9:$AV$150,0)),"")</f>
        <v>7.7100000000000002E-2</v>
      </c>
      <c r="HU9" s="874">
        <f t="shared" ref="HU9:HU40" si="77">IF(ISNUMBER($HL9),INDEX(GM$9:GM$150,MATCH($HL9,$AV$9:$AV$150,0)),"")</f>
        <v>9.9308121494027249E-2</v>
      </c>
      <c r="HV9" s="871">
        <f t="shared" ref="HV9:HV40" si="78">IF(ISNUMBER($HL9),INDEX(GN$9:GN$150,MATCH($HL9,$AV$9:$AV$150,0)),"")</f>
        <v>1.7780771572457946E-2</v>
      </c>
      <c r="HW9" s="860">
        <f t="shared" ref="HW9:HW40" si="79">IF(ISNUMBER($HL9),INDEX(GW$9:GW$150,MATCH($HL9,$AV$9:$AV$150,0)),"")</f>
        <v>29500</v>
      </c>
      <c r="HX9" s="861">
        <f t="shared" ref="HX9:HX40" si="80">IF(ISNUMBER($HL9),INDEX(GX$9:GX$150,MATCH($HL9,$AV$9:$AV$150,0)),"")</f>
        <v>38.115991250000008</v>
      </c>
      <c r="HY9" s="860">
        <f t="shared" ref="HY9:HY40" si="81">IF(ISNUMBER($HL9),INDEX(GS$9:GS$150,MATCH($HL9,$AV$9:$AV$150,0)),"")</f>
        <v>45.22976521082186</v>
      </c>
      <c r="HZ9" s="862">
        <f t="shared" ref="HZ9:HZ40" si="82">IF(ISNUMBER($HL9),INDEX(GU$9:GU$150,MATCH($HL9,$AV$9:$AV$150,0)),"")</f>
        <v>244.13246533948367</v>
      </c>
      <c r="IA9" s="863">
        <f t="shared" ref="IA9:IA40" si="83">IF(ISNUMBER($HL9),INDEX(GY$9:GY$150,MATCH($HL9,$AV$9:$AV$150,0)),"")</f>
        <v>44.377560166402979</v>
      </c>
      <c r="IB9" s="864">
        <f t="shared" ref="IB9:IB40" si="84">IF(ISNUMBER($HL9),INDEX(GR$9:GR$150,MATCH($HL9,$AV$9:$AV$150,0)),"")</f>
        <v>333.73979071670851</v>
      </c>
      <c r="IC9" s="840">
        <f t="shared" ref="IC9:IC40" si="85">IF(ISNUMBER($HL9),INDEX(GT$9:GT$150,MATCH($HL9,$AV$9:$AV$150,0)),"")</f>
        <v>421.38123391619274</v>
      </c>
      <c r="ID9" s="350">
        <f t="shared" ref="ID9:ID40" si="86">IF(ISNUMBER($HL9),INDEX(GV$9:GV$150,MATCH($HL9,$AV$9:$AV$150,0)),"")</f>
        <v>2274.4500000000003</v>
      </c>
      <c r="IE9" s="842">
        <f t="shared" ref="IE9:IE40" si="87">IF(ISNUMBER($HL9),INDEX(GZ$9:GZ$150,MATCH($HL9,$AV$9:$AV$150,0)),"")</f>
        <v>413.44170092297458</v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1313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26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-9.881483474218633E-3</v>
      </c>
      <c r="C10" s="572">
        <f t="shared" si="3"/>
        <v>1.0299999999999996</v>
      </c>
      <c r="D10" s="576">
        <f t="shared" si="4"/>
        <v>-0.43007638090205041</v>
      </c>
      <c r="E10" s="580">
        <f t="shared" si="5"/>
        <v>-0.96592582628906831</v>
      </c>
      <c r="F10" s="572">
        <f t="shared" si="6"/>
        <v>0</v>
      </c>
      <c r="G10" s="579">
        <f t="shared" si="7"/>
        <v>0.25881904510252074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-9.881483474218633E-3</v>
      </c>
      <c r="O10" s="572">
        <f t="shared" si="14"/>
        <v>1.0299999999999996</v>
      </c>
      <c r="P10" s="576">
        <f t="shared" si="15"/>
        <v>-0.43007638090205041</v>
      </c>
      <c r="Q10" s="528">
        <f>IF(M10="","",IF(DEGREES(ATAN2(N10,O10))&lt;0,DEGREES(ATAN2(N10,O10))+360,IF(DEGREES(ATAN2(N10,O10))&gt;360,DEGREES(ATAN2(N10,O10))-360,DEGREES(ATAN2(N10,O10)))))</f>
        <v>90.549660125842593</v>
      </c>
      <c r="R10" s="572">
        <f t="shared" ref="R10:R105" si="101">IF(M10="","",SQRT(N10^2+O10^2))</f>
        <v>1.0300473987713625</v>
      </c>
      <c r="S10" s="577">
        <f t="shared" ref="S10:S105" si="102">IF(M10="","",P10)</f>
        <v>-0.43007638090205041</v>
      </c>
      <c r="T10" s="578">
        <f t="shared" ref="T10:T105" si="103">IF(M10="","",X10*COS(RADIANS(W10)))</f>
        <v>1.0299773934515051</v>
      </c>
      <c r="U10" s="572">
        <f t="shared" ref="U10:U105" si="104">IF(M10="","",X10*SIN(RADIANS(W10)))</f>
        <v>1.2008859000508918E-2</v>
      </c>
      <c r="V10" s="579">
        <f>IF(M10="","",Y10)</f>
        <v>-0.43007638090205041</v>
      </c>
      <c r="W10" s="528">
        <f t="shared" si="16"/>
        <v>0.66800083788278641</v>
      </c>
      <c r="X10" s="572">
        <f t="shared" ref="X10:X105" si="105">IF(M10="","",R10)</f>
        <v>1.0300473987713625</v>
      </c>
      <c r="Y10" s="573">
        <f t="shared" si="17"/>
        <v>-0.43007638090205041</v>
      </c>
      <c r="Z10" s="575">
        <f>IF(M10="","",-E10)</f>
        <v>0.96592582628906831</v>
      </c>
      <c r="AA10" s="572">
        <f t="shared" si="19"/>
        <v>0</v>
      </c>
      <c r="AB10" s="572">
        <f t="shared" si="20"/>
        <v>-0.25881904510252074</v>
      </c>
      <c r="AC10" s="579">
        <f t="shared" ref="AC10:AC105" si="106">IF(M10="","",SQRT(Z10^2+AA10^2+AB10^2))</f>
        <v>1</v>
      </c>
      <c r="AD10" s="580">
        <f>IF(M10="","",Z10*(1/SQRT(Z10^2+AA10^2+AB10^2)))</f>
        <v>0.96592582628906831</v>
      </c>
      <c r="AE10" s="572">
        <f t="shared" ref="AE10:AE105" si="107">IF(M10="","",AA10*(1/SQRT(Z10^2+AA10^2+AB10^2)))</f>
        <v>0</v>
      </c>
      <c r="AF10" s="576">
        <f t="shared" ref="AF10:AF105" si="108">IF(M10="","",AB10*(1/SQRT(Z10^2+AA10^2+AB10^2)))</f>
        <v>-0.25881904510252074</v>
      </c>
      <c r="AG10" s="545">
        <f t="shared" ref="AG10:AG105" si="109">IF(M10="","",DEGREES(ATAN2(-AF10,AE10)))</f>
        <v>0</v>
      </c>
      <c r="AH10" s="546">
        <f t="shared" ref="AH10:AH105" si="110">IF(M10="","",DEGREES(ACOS(AD10)))</f>
        <v>14.999999999999982</v>
      </c>
      <c r="AI10" s="528">
        <f t="shared" ref="AI10:AI105" si="111">IF(M10="","",DEGREES(-ACOS(-AF10)))</f>
        <v>-75</v>
      </c>
      <c r="AJ10" s="529">
        <f t="shared" ref="AJ10:AJ105" si="112">IF(M10="","",DEGREES(ATAN2(-AE10,AD10)))</f>
        <v>90</v>
      </c>
      <c r="AK10" s="578">
        <f>IF(M10="","",(COS(RADIANS((90-$Q$8)-W10))*AD10)+(-SIN(RADIANS((90-$Q$8)-W10))*AE10))</f>
        <v>0.96588137814284858</v>
      </c>
      <c r="AL10" s="572">
        <f t="shared" ref="AL10:AL105" si="113">IF(M10="","",(SIN(RADIANS((90-$Q$8)-W10))*AD10)+(COS(RADIANS((90-$Q$8)-W10))*AE10))</f>
        <v>-9.2663503652173195E-3</v>
      </c>
      <c r="AM10" s="577">
        <f t="shared" ref="AM10:AM105" si="114">IF(M10="","",AF10)</f>
        <v>-0.25881904510252074</v>
      </c>
      <c r="AN10" s="524">
        <f t="shared" ref="AN10:AN105" si="115">IF(M10="","",DEGREES(ATAN2(-AM10,AL10)))</f>
        <v>-2.0504522511231897</v>
      </c>
      <c r="AO10" s="525">
        <f t="shared" ref="AO10:AO54" si="116">IF(ROUND(IF(M10="",0,DEGREES(ACOS(AK10))),4)=90,0,IF(M10="","",DEGREES(ACOS(AK10))))</f>
        <v>15.00983650799305</v>
      </c>
      <c r="AP10" s="528">
        <f t="shared" ref="AP10:AP105" si="117">IF(M10="","",DEGREES(ATAN2(AK10,AL10)))</f>
        <v>-0.54966012584259261</v>
      </c>
      <c r="AQ10" s="529">
        <f t="shared" si="21"/>
        <v>2.2121251584970456</v>
      </c>
      <c r="AS10" s="932">
        <f>IF($M10="","",IF(AND($W10&lt;($AS$9+180),$W10&gt;($AS$9-180)),$W10,IF($W10&gt;($AS$9+180),$W10-360,IF($W10&lt;($AS$9-180),$W10+360,"Error"))))</f>
        <v>0.66800083788278641</v>
      </c>
      <c r="AT10" s="928">
        <f t="shared" si="22"/>
        <v>-0.42906322003478714</v>
      </c>
      <c r="AU10" s="418"/>
      <c r="AV10" s="164">
        <f t="shared" si="23"/>
        <v>1.1040000000000001</v>
      </c>
      <c r="AW10" s="829">
        <f>IFERROR(INDEX(MassProp!C$9:C$150,MATCH($M10,MassProp!$B$9:$B$150,0)),"")</f>
        <v>0.93310000000000004</v>
      </c>
      <c r="AX10" s="830">
        <f>IFERROR(INDEX(MassProp!D$9:D$150,MATCH($M10,MassProp!$B$9:$B$150,0)),"")</f>
        <v>3.9100000000000003E-2</v>
      </c>
      <c r="AY10" s="831">
        <f>IFERROR(INDEX(MassProp!E$9:E$150,MATCH($M10,MassProp!$B$9:$B$150,0)),"")</f>
        <v>5.7200000000000001E-2</v>
      </c>
      <c r="AZ10" s="297">
        <f>IF(ISNUMBER(AV10),$AY10*SQRT((2*PI()*$AW10)^2+$AS$5^2),"")</f>
        <v>0.3356592079101951</v>
      </c>
      <c r="BA10" s="296">
        <f t="shared" si="24"/>
        <v>6.0098606360229082E-2</v>
      </c>
      <c r="BB10" s="291">
        <f>IF(ISNUMBER($AV10),$AX10-($AT10+$AS$5),"")</f>
        <v>0.21816322003478714</v>
      </c>
      <c r="BC10" s="9"/>
      <c r="BD10" s="5">
        <f>IF(ISNUMBER(AV10),AW10,"")</f>
        <v>0.93310000000000004</v>
      </c>
      <c r="BE10" s="6">
        <f t="shared" si="25"/>
        <v>-0.21191316086726328</v>
      </c>
      <c r="BF10" s="4">
        <f t="shared" si="26"/>
        <v>-9.881483474218633E-3</v>
      </c>
      <c r="BG10" s="5">
        <f t="shared" si="27"/>
        <v>1.0299999999999996</v>
      </c>
      <c r="BH10" s="10">
        <f t="shared" si="28"/>
        <v>-0.43007638090205041</v>
      </c>
      <c r="BI10" s="9">
        <f>IF(ISNUMBER($AV10),BF10+0,"")</f>
        <v>-9.881483474218633E-3</v>
      </c>
      <c r="BJ10" s="5">
        <f t="shared" si="29"/>
        <v>2.0299999999999994</v>
      </c>
      <c r="BK10" s="8">
        <f t="shared" si="30"/>
        <v>-0.43007638090205041</v>
      </c>
      <c r="BL10" s="173">
        <f t="shared" si="31"/>
        <v>0.24893756162830183</v>
      </c>
      <c r="BM10" s="5">
        <f t="shared" si="32"/>
        <v>1.0299999999999996</v>
      </c>
      <c r="BN10" s="6">
        <f t="shared" si="33"/>
        <v>0.53584944538701795</v>
      </c>
      <c r="BO10" s="4">
        <f>IF(ISNUMBER($AV10),BJ10*BN10-BM10*BK10-BG10*(BN10-BK10)+BH10*(BM10-BJ10),"")</f>
        <v>0.96592582628906798</v>
      </c>
      <c r="BP10" s="5">
        <f t="shared" si="34"/>
        <v>1.3877787807814457E-17</v>
      </c>
      <c r="BQ10" s="5">
        <f>IF(ISNUMBER($AV10),BF10*(BJ10-BM10)-BG10*(BI10-BL10)+(BI10*BM10-BL10*BJ10),"")</f>
        <v>-0.25881904510252041</v>
      </c>
      <c r="BR10" s="6">
        <f>IF(ISNUMBER($AV10),-(BF10*(BJ10*BN10-BM10*BK10)-BG10*(BI10*BN10-BL10*BK10)+BH10*(BI10*BM10-BL10*BJ10)),"")</f>
        <v>-0.10176717813642014</v>
      </c>
      <c r="BS10" s="4">
        <f t="shared" ref="BS10:BT41" si="118">IF(ISNUMBER($AV10),0,"")</f>
        <v>0</v>
      </c>
      <c r="BT10" s="5">
        <f t="shared" si="118"/>
        <v>0</v>
      </c>
      <c r="BU10" s="10">
        <f t="shared" ref="BU10:BU73" si="119">IF(ISNUMBER($AV10),$BE10,"")</f>
        <v>-0.21191316086726328</v>
      </c>
      <c r="BV10" s="9">
        <f t="shared" ref="BV10:BV73" si="120">IF(ISNUMBER($AV10),0,"")</f>
        <v>0</v>
      </c>
      <c r="BW10" s="5">
        <f t="shared" ref="BW10:BW73" si="121">IF(ISNUMBER($AV10),1,"")</f>
        <v>1</v>
      </c>
      <c r="BX10" s="8">
        <f t="shared" ref="BX10:BX73" si="122">IF(ISNUMBER($AV10),$BE10,"")</f>
        <v>-0.21191316086726328</v>
      </c>
      <c r="BY10" s="173">
        <f t="shared" ref="BY10:BY73" si="123">IF(ISNUMBER($AV10),1,"")</f>
        <v>1</v>
      </c>
      <c r="BZ10" s="5">
        <f t="shared" ref="BZ10:BZ73" si="124">IF(ISNUMBER($AV10),0,"")</f>
        <v>0</v>
      </c>
      <c r="CA10" s="6">
        <f t="shared" ref="CA10:CA73" si="125">IF(ISNUMBER($AV10),$BE10,"")</f>
        <v>-0.21191316086726328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-0.21191316086726328</v>
      </c>
      <c r="CF10" s="4">
        <f>IF(ISNUMBER($AV10),(BP10*CD10)-(BQ10*CC10),"")</f>
        <v>-1.3877787807814457E-17</v>
      </c>
      <c r="CG10" s="5">
        <f>IF(ISNUMBER($AV10),(BQ10*CB10)-(BO10*CD10),"")</f>
        <v>0.96592582628906798</v>
      </c>
      <c r="CH10" s="5">
        <f>IF(ISNUMBER($AV10),(BO10*CC10)-(BP10*CB10),"")</f>
        <v>0</v>
      </c>
      <c r="CI10" s="4">
        <f t="shared" ref="CI10:CI73" si="126">IF(ISNUMBER($AV10),0,"")</f>
        <v>0</v>
      </c>
      <c r="CJ10" s="5">
        <f t="shared" ref="CJ10:CJ73" si="127">IF(ISNUMBER($AV10),(CD10*BR10-BQ10*CE10)/(BQ10*CC10-CD10*BP10),"")</f>
        <v>3380943479311452.5</v>
      </c>
      <c r="CK10" s="8">
        <f t="shared" ref="CK10:CK73" si="128">IF(ISNUMBER($AV10),(CC10*BR10-BP10*CE10)/(-CC10*BQ10+BP10*CD10),"")</f>
        <v>-0.21191316086726328</v>
      </c>
      <c r="CL10" s="173">
        <f t="shared" ref="CL10:CL73" si="129">IF(ISNUMBER($AV10),CI10+CF10,"")</f>
        <v>-1.3877787807814457E-17</v>
      </c>
      <c r="CM10" s="5">
        <f t="shared" ref="CM10:CM73" si="130">IF(ISNUMBER($AV10),CJ10+CG10,"")</f>
        <v>3380943479311453.5</v>
      </c>
      <c r="CN10" s="6">
        <f t="shared" ref="CN10:CN73" si="131">IF(ISNUMBER($AV10),CK10+CH10,"")</f>
        <v>-0.21191316086726328</v>
      </c>
      <c r="CO10" s="167">
        <f t="shared" si="35"/>
        <v>0.3125</v>
      </c>
      <c r="CP10" s="4">
        <f>IF(ISNUMBER($AV10),(CL10-CI10)^2+(CM10-CJ10)^2+(CN10-CK10)^2,"")</f>
        <v>1</v>
      </c>
      <c r="CQ10" s="5">
        <f>IF(ISNUMBER($AV10),2*((CL10-CI10)*(CI10-BF10)+(CM10-CJ10)*(CJ10-BG10)+(CN10-CK10)*(CK10-BH10)),"")</f>
        <v>6761886958622903</v>
      </c>
      <c r="CR10" s="5">
        <f>IF(ISNUMBER($AV10),BF10^2+BG10^2+BH10^2+CI10^2+CJ10^2+CK10^2-2*(BF10*CI10+BG10*CJ10+BH10*CK10)-CO10^2,"")</f>
        <v>1.1430778810298622E+31</v>
      </c>
      <c r="CS10" s="8">
        <f>IF(ISNUMBER($AV10),CQ10^2-(4*CP10*CR10),"")</f>
        <v>0</v>
      </c>
      <c r="CT10" s="9">
        <f>IF(ISNUMBER($AV10),(-CQ10+SQRT(CS10))/(CP10*2),"")</f>
        <v>-3380943479311451.5</v>
      </c>
      <c r="CU10" s="6">
        <f>IF(ISNUMBER($AV10),(-CQ10-SQRT(CS10))/(CP10*2),"")</f>
        <v>-3380943479311451.5</v>
      </c>
      <c r="CV10" s="4">
        <f t="shared" si="36"/>
        <v>4.6920016196098251E-2</v>
      </c>
      <c r="CW10" s="5">
        <f t="shared" si="36"/>
        <v>1</v>
      </c>
      <c r="CX10" s="8">
        <f t="shared" si="36"/>
        <v>-0.21191316086726328</v>
      </c>
      <c r="CY10" s="9">
        <f t="shared" si="37"/>
        <v>4.6920016196098251E-2</v>
      </c>
      <c r="CZ10" s="5">
        <f t="shared" si="37"/>
        <v>1</v>
      </c>
      <c r="DA10" s="6">
        <f t="shared" si="37"/>
        <v>-0.21191316086726328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0.93310000000000004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>
        <f>IF(ISNUMBER($AV10),CV10-DB10,"")</f>
        <v>4.6920016196098251E-2</v>
      </c>
      <c r="DM10" s="173">
        <f>IF(ISNUMBER($AV10),CW10-DC10,"")</f>
        <v>1</v>
      </c>
      <c r="DN10" s="178">
        <f>IF(ISNUMBER($AV10),CX10-DD10,"")</f>
        <v>9.7880868391327365</v>
      </c>
      <c r="DO10" s="9">
        <f t="shared" si="40"/>
        <v>0</v>
      </c>
      <c r="DP10" s="173">
        <f t="shared" si="40"/>
        <v>0</v>
      </c>
      <c r="DQ10" s="11">
        <f t="shared" si="40"/>
        <v>0</v>
      </c>
      <c r="DR10" s="173">
        <f>IF(ISNUMBER($AV10),SUMPRODUCT(DI10:DK10,DL10:DN10),"")</f>
        <v>195.76173678265474</v>
      </c>
      <c r="DS10" s="5">
        <f>IF(ISNUMBER($AV10),SUMPRODUCT(DO10:DQ10,DI10:DK10),"")</f>
        <v>0</v>
      </c>
      <c r="DT10" s="5">
        <f>IF(ISNUMBER($AV10),SUMPRODUCT(DI10:DK10,DI10:DK10),"")</f>
        <v>400</v>
      </c>
      <c r="DU10" s="5">
        <f>IF(ISNUMBER($AV10),SUMPRODUCT(DO10:DQ10,DO10:DQ10),"")</f>
        <v>0</v>
      </c>
      <c r="DV10" s="5">
        <f>IF(ISNUMBER($AV10),SUMPRODUCT(DL10:DN10,DO10:DQ10),"")</f>
        <v>0</v>
      </c>
      <c r="DW10" s="5">
        <f>IF(ISNUMBER($AV10),SUMPRODUCT(DL10:DN10,DL10:DN10),"")</f>
        <v>96.808845458323333</v>
      </c>
      <c r="DX10" s="167">
        <f>IF(ISNUMBER($AV10),DW10-DH10*DH10,"")</f>
        <v>95.938169848323327</v>
      </c>
      <c r="DY10" s="9">
        <f>IF(ISNUMBER($AV10),DT10*DU10-DS10*DS10,"")</f>
        <v>0</v>
      </c>
      <c r="DZ10" s="5">
        <f>IF(ISNUMBER($AV10),DT10*DV10-DS10*DR10,"")</f>
        <v>0</v>
      </c>
      <c r="EA10" s="10">
        <f>IF(ISNUMBER($AV10),DT10*DX10-DR10*DR10,"")</f>
        <v>52.610351167932095</v>
      </c>
      <c r="EB10" s="6">
        <f>IF(ISNUMBER($AV10),DZ10*DZ10-DY10*EA10,"")</f>
        <v>0</v>
      </c>
      <c r="EC10" s="173" t="e">
        <f>IF(ISNUMBER($AV10),(-DZ10+SQRT(DZ10^2-DY10*EA10))/DY10,"")</f>
        <v>#DIV/0!</v>
      </c>
      <c r="ED10" s="5" t="e">
        <f>IF(ISNUMBER($AV10),(-DZ10-SQRT(DZ10^2-DY10*EA10))/DY10,"")</f>
        <v>#DIV/0!</v>
      </c>
      <c r="EE10" s="4" t="e">
        <f t="shared" si="41"/>
        <v>#DIV/0!</v>
      </c>
      <c r="EF10" s="5" t="e">
        <f>IF(ISNUMBER($AV10),CW10+DP10*$EC10,"")</f>
        <v>#DIV/0!</v>
      </c>
      <c r="EG10" s="10" t="e">
        <f>IF(ISNUMBER($AV10),CX10+DQ10*$EC10,"")</f>
        <v>#DIV/0!</v>
      </c>
      <c r="EH10" s="9" t="e">
        <f>IF(ISNUMBER($AV10),CV10+DO10*$ED10,"")</f>
        <v>#DIV/0!</v>
      </c>
      <c r="EI10" s="5" t="e">
        <f>IF(ISNUMBER($AV10),CW10+DP10*$ED10,"")</f>
        <v>#DIV/0!</v>
      </c>
      <c r="EJ10" s="6" t="e">
        <f t="shared" si="42"/>
        <v>#DIV/0!</v>
      </c>
      <c r="EK10" s="236" t="e">
        <f>IF(ISNUMBER($AV10),IF(OR($EC10&lt;0,$EC10&gt;1),FALSE,TRUE),"")</f>
        <v>#DIV/0!</v>
      </c>
      <c r="EL10" s="238" t="e">
        <f>IF(ISNUMBER($AV10),IF(OR($ED10&lt;0,$ED10&gt;1),FALSE,TRUE),"")</f>
        <v>#DIV/0!</v>
      </c>
      <c r="EM10" s="4" t="e">
        <f t="shared" si="43"/>
        <v>#DIV/0!</v>
      </c>
      <c r="EN10" s="5" t="e">
        <f t="shared" si="43"/>
        <v>#DIV/0!</v>
      </c>
      <c r="EO10" s="10" t="e">
        <f t="shared" si="43"/>
        <v>#DIV/0!</v>
      </c>
      <c r="EP10" s="9" t="e">
        <f>IF(ISNUMBER($AV10),IF(DEGREES(ATAN2(EM10,EN10))&lt;0,DEGREES(ATAN2(EM10,EN10))+360,IF(DEGREES(ATAN2(EM10,EN10))&gt;360,DEGREES(ATAN2(EM10,EN10))-360,DEGREES(ATAN2(EM10,EN10)))),"")</f>
        <v>#DIV/0!</v>
      </c>
      <c r="EQ10" s="5" t="e">
        <f>IF(ISNUMBER($AV10),SQRT(EM10^2+EN10^2),"")</f>
        <v>#DIV/0!</v>
      </c>
      <c r="ER10" s="7" t="e">
        <f>IF(ISNUMBER($AV10),EO10,"")</f>
        <v>#DIV/0!</v>
      </c>
      <c r="ES10" s="21">
        <f t="shared" ref="ES10:ES40" si="132">IF(ISNUMBER($AV10),AD10,"")</f>
        <v>0.96592582628906831</v>
      </c>
      <c r="ET10" s="5">
        <f t="shared" si="44"/>
        <v>0</v>
      </c>
      <c r="EU10" s="10">
        <f t="shared" si="45"/>
        <v>-0.25881904510252074</v>
      </c>
      <c r="EV10" s="174" t="e">
        <f t="shared" si="46"/>
        <v>#DIV/0!</v>
      </c>
      <c r="EW10" s="9" t="e">
        <f t="shared" ref="EW10:EW40" si="133">IF(ISNUMBER($AV10),(COS(RADIANS($EV10))*ES10)+(-SIN(RADIANS($EV10))*ET10),"")</f>
        <v>#DIV/0!</v>
      </c>
      <c r="EX10" s="5" t="e">
        <f t="shared" si="47"/>
        <v>#DIV/0!</v>
      </c>
      <c r="EY10" s="6">
        <f>IF(ISNUMBER($AV10),EU10,"")</f>
        <v>-0.25881904510252074</v>
      </c>
      <c r="EZ10" s="51" t="e">
        <f>IF(ISNUMBER($AV10),DEGREES(ATAN($AS$5/($EQ10*2*PI()))),"")</f>
        <v>#DIV/0!</v>
      </c>
      <c r="FA10" s="266" t="e">
        <f t="shared" ref="FA10:FA53" si="134">IF(ISNUMBER($AV10),SIN(RADIANS($EP10))*COS(RADIANS($EZ10)),"")</f>
        <v>#DIV/0!</v>
      </c>
      <c r="FB10" s="267" t="e">
        <f t="shared" ref="FB10:FB53" si="135">IF(ISNUMBER($AV10),-1*COS(RADIANS($EP10))*COS(RADIANS($EZ10)),"")</f>
        <v>#DIV/0!</v>
      </c>
      <c r="FC10" s="269" t="e">
        <f t="shared" si="48"/>
        <v>#DIV/0!</v>
      </c>
      <c r="FD10" s="4" t="e">
        <f t="shared" ref="FD10:FD40" si="136">IF(ISNUMBER($AV10),(COS(RADIANS($EV10))*FA10)+(-SIN(RADIANS($EV10))*FB10),"")</f>
        <v>#DIV/0!</v>
      </c>
      <c r="FE10" s="5" t="e">
        <f t="shared" si="49"/>
        <v>#DIV/0!</v>
      </c>
      <c r="FF10" s="7" t="e">
        <f>IF(ISNUMBER($AV10),FC10,"")</f>
        <v>#DIV/0!</v>
      </c>
      <c r="FG10" s="173" t="e">
        <f>IF(ISNUMBER($AV10),EW10-FD10,"")</f>
        <v>#DIV/0!</v>
      </c>
      <c r="FH10" s="5" t="e">
        <f t="shared" si="50"/>
        <v>#DIV/0!</v>
      </c>
      <c r="FI10" s="10" t="e">
        <f t="shared" si="51"/>
        <v>#DIV/0!</v>
      </c>
      <c r="FJ10" s="279" t="e">
        <f>IF(ISNUMBER($AV10),DEGREES(ACOS((2-SQRT((FG10)^2+(FH10)^2+(FI10)^2)^2)/2)),"")</f>
        <v>#DIV/0!</v>
      </c>
      <c r="FK10" s="4">
        <f t="shared" si="52"/>
        <v>0.96592582628906831</v>
      </c>
      <c r="FL10" s="5" t="e">
        <f>IF(ISNUMBER($AV10),SQRT(FA10^2+FB10^2),"")</f>
        <v>#DIV/0!</v>
      </c>
      <c r="FM10" s="8" t="e">
        <f>IF(ISNUMBER($AV10),SQRT(FG10^2+FH10^2),"")</f>
        <v>#DIV/0!</v>
      </c>
      <c r="FN10" s="9" t="e">
        <f>IF(ISNUMBER($AV10),DEGREES(ACOS((FK10^2+FL10^2-FM10^2)/(2*FK10*FL10))),"")</f>
        <v>#DIV/0!</v>
      </c>
      <c r="FO10" s="10" t="e">
        <f t="shared" si="53"/>
        <v>#DIV/0!</v>
      </c>
      <c r="FP10" s="277" t="e">
        <f t="shared" si="54"/>
        <v>#DIV/0!</v>
      </c>
      <c r="FQ10" s="173" t="e">
        <f>IF(ISNUMBER($AV10),SIN(RADIANS(FN10)),"")</f>
        <v>#DIV/0!</v>
      </c>
      <c r="FR10" s="10" t="e">
        <f>IF(ISNUMBER($AV10),COS(RADIANS(FN10)),"")</f>
        <v>#DIV/0!</v>
      </c>
      <c r="FS10" s="9" t="e">
        <f>IF(ISNUMBER($AV10),FQ10/(FQ10+FR10),"")</f>
        <v>#DIV/0!</v>
      </c>
      <c r="FT10" s="6" t="e">
        <f>IF(ISNUMBER($AV10),FR10/(FQ10+FR10),"")</f>
        <v>#DIV/0!</v>
      </c>
      <c r="FU10" s="4" t="e">
        <f>IF(ISNUMBER($AV10),SQRT(EW10^2+EY10^2),"")</f>
        <v>#DIV/0!</v>
      </c>
      <c r="FV10" s="5" t="e">
        <f>IF(ISNUMBER($AV10),SQRT(FD10^2+FF10^2),"")</f>
        <v>#DIV/0!</v>
      </c>
      <c r="FW10" s="8" t="e">
        <f>IF(ISNUMBER($AV10),SQRT(FG10^2+FI10^2),"")</f>
        <v>#DIV/0!</v>
      </c>
      <c r="FX10" s="9" t="e">
        <f>IF(ISNUMBER($AV10),DEGREES(ACOS((FU10^2+FV10^2-FW10^2)/(2*FU10*FV10))),"")</f>
        <v>#DIV/0!</v>
      </c>
      <c r="FY10" s="10" t="e">
        <f t="shared" si="55"/>
        <v>#DIV/0!</v>
      </c>
      <c r="FZ10" s="277" t="e">
        <f>IF(ISNUMBER($AV10),FX10*FY10,"")</f>
        <v>#DIV/0!</v>
      </c>
      <c r="GA10" s="177" t="e">
        <f>IF(ISNUMBER($AV10),DEGREES(FZ10*SIN(RADIANS(FU10))),"")</f>
        <v>#DIV/0!</v>
      </c>
      <c r="GB10" s="4" t="e">
        <f>IF(ISNUMBER($AV10),COS(RADIANS(FP10+90))*COS(RADIANS(FZ10)),"")</f>
        <v>#DIV/0!</v>
      </c>
      <c r="GC10" s="5" t="e">
        <f>IF(ISNUMBER($AV10),SIN(RADIANS(FP10+90))*COS(RADIANS(FZ10)),"")</f>
        <v>#DIV/0!</v>
      </c>
      <c r="GD10" s="10" t="e">
        <f>IF(ISNUMBER($AV10),-SIN(RADIANS(FZ10)),"")</f>
        <v>#DIV/0!</v>
      </c>
      <c r="GE10" s="311" t="e">
        <f>IF(ISNUMBER($AV10),SUM(ABS(GB10),ABS(GC10),ABS(GD10)),"")</f>
        <v>#DIV/0!</v>
      </c>
      <c r="GF10" s="341" t="e">
        <f>IF(ISNUMBER($AV10),1/GE10,"")</f>
        <v>#DIV/0!</v>
      </c>
      <c r="GG10" s="285" t="e">
        <f t="shared" si="56"/>
        <v>#DIV/0!</v>
      </c>
      <c r="GH10" s="286" t="e">
        <f t="shared" si="57"/>
        <v>#DIV/0!</v>
      </c>
      <c r="GI10" s="281" t="e">
        <f t="shared" si="58"/>
        <v>#DIV/0!</v>
      </c>
      <c r="GJ10" s="167">
        <f>IF(ISNUMBER($AV10),AW10,"")</f>
        <v>0.93310000000000004</v>
      </c>
      <c r="GK10" s="174">
        <f t="shared" si="59"/>
        <v>0.48901399753816305</v>
      </c>
      <c r="GL10" s="174">
        <f t="shared" si="60"/>
        <v>5.7200000000000001E-2</v>
      </c>
      <c r="GM10" s="9">
        <f>IF(ISNUMBER($AV10),AZ10,"")</f>
        <v>0.3356592079101951</v>
      </c>
      <c r="GN10" s="281">
        <f>IF(ISNUMBER($AV10),BA10,"")</f>
        <v>6.0098606360229082E-2</v>
      </c>
      <c r="GO10" s="4" t="e">
        <f>IF(ISNUMBER($AV10),FP10,"")</f>
        <v>#DIV/0!</v>
      </c>
      <c r="GP10" s="8" t="e">
        <f>IF(ISNUMBER($AV10),FZ10,"")</f>
        <v>#DIV/0!</v>
      </c>
      <c r="GQ10" s="177" t="e">
        <f>IF(ISNUMBER($AV10),FJ10,"")</f>
        <v>#DIV/0!</v>
      </c>
      <c r="GR10" s="371" t="e">
        <f>IF(ISNUMBER($AV10),GS10+GU10+GY10,"")</f>
        <v>#DIV/0!</v>
      </c>
      <c r="GS10" s="342" t="e">
        <f t="shared" si="61"/>
        <v>#DIV/0!</v>
      </c>
      <c r="GT10" s="343" t="e">
        <f t="shared" si="62"/>
        <v>#DIV/0!</v>
      </c>
      <c r="GU10" s="344">
        <f t="shared" si="63"/>
        <v>825.16221944589643</v>
      </c>
      <c r="GV10" s="343">
        <f>IF(ISNUMBER($AV10),GW10*$GL10,"")</f>
        <v>1687.4</v>
      </c>
      <c r="GW10" s="345">
        <f t="shared" si="64"/>
        <v>29500</v>
      </c>
      <c r="GX10" s="346">
        <f t="shared" si="65"/>
        <v>131.20941166666668</v>
      </c>
      <c r="GY10" s="344" t="e">
        <f t="shared" si="66"/>
        <v>#DIV/0!</v>
      </c>
      <c r="GZ10" s="345" t="e">
        <f t="shared" si="67"/>
        <v>#DIV/0!</v>
      </c>
      <c r="HA10" s="342" t="e">
        <f t="shared" si="68"/>
        <v>#DIV/0!</v>
      </c>
      <c r="HB10" s="5" t="e">
        <f>IF(ISNUMBER($AV10),$EV10,"")</f>
        <v>#DIV/0!</v>
      </c>
      <c r="HC10" s="343" t="e">
        <f>IF(ISNUMBER($AV10),HA10*COS(RADIANS(HB10)),"")</f>
        <v>#DIV/0!</v>
      </c>
      <c r="HD10" s="345" t="e">
        <f>IF(ISNUMBER($AV10),HA10*SIN(RADIANS(HB10)),"")</f>
        <v>#DIV/0!</v>
      </c>
      <c r="HE10" s="344" t="e">
        <f t="shared" si="69"/>
        <v>#DIV/0!</v>
      </c>
      <c r="HF10" s="5" t="e">
        <f t="shared" si="70"/>
        <v>#DIV/0!</v>
      </c>
      <c r="HG10" s="343" t="e">
        <f>IF(ISNUMBER($AV10),HE10*COS(RADIANS(HF10)),"")</f>
        <v>#DIV/0!</v>
      </c>
      <c r="HH10" s="349" t="e">
        <f>IF(ISNUMBER($AV10),HE10*SIN(RADIANS(HF10)),"")</f>
        <v>#DIV/0!</v>
      </c>
      <c r="HI10" s="317">
        <f t="shared" si="71"/>
        <v>1.1040000000000001</v>
      </c>
      <c r="HJ10" s="336"/>
      <c r="HK10" s="310">
        <f t="shared" ref="HK10:HK41" si="137">IF(ISNUMBER(HS10),HK9+1,"")</f>
        <v>2</v>
      </c>
      <c r="HL10" s="348">
        <f t="shared" si="72"/>
        <v>5.1020000000000003</v>
      </c>
      <c r="HM10" s="909">
        <f t="shared" ref="HM10:HM40" si="138">IF(ISNUMBER($HL10),INDEX(GO$9:GO$150,MATCH($HL10,$AV$9:$AV$150,0)),"")</f>
        <v>-7.9121406207231768</v>
      </c>
      <c r="HN10" s="910">
        <f t="shared" si="73"/>
        <v>19.02903738908725</v>
      </c>
      <c r="HO10" s="911"/>
      <c r="HP10" s="912"/>
      <c r="HQ10" s="910">
        <f t="shared" si="74"/>
        <v>16.060113825108626</v>
      </c>
      <c r="HR10" s="913">
        <f t="shared" si="75"/>
        <v>14.253368889048975</v>
      </c>
      <c r="HS10" s="865">
        <f>IFERROR(SMALL($GJ$9:$GJ$150,($HK9+1)),"")</f>
        <v>0.46260000000000001</v>
      </c>
      <c r="HT10" s="875">
        <f t="shared" si="76"/>
        <v>5.7200000000000001E-2</v>
      </c>
      <c r="HU10" s="876">
        <f t="shared" si="77"/>
        <v>0.16687145329783487</v>
      </c>
      <c r="HV10" s="872">
        <f t="shared" si="78"/>
        <v>2.9877749658484262E-2</v>
      </c>
      <c r="HW10" s="866">
        <f t="shared" si="79"/>
        <v>29500</v>
      </c>
      <c r="HX10" s="867">
        <f t="shared" si="80"/>
        <v>65.049270000000007</v>
      </c>
      <c r="HY10" s="866">
        <f t="shared" si="81"/>
        <v>57.012114351228888</v>
      </c>
      <c r="HZ10" s="868">
        <f t="shared" si="82"/>
        <v>410.22565602384407</v>
      </c>
      <c r="IA10" s="869">
        <f t="shared" si="83"/>
        <v>105.21129924353318</v>
      </c>
      <c r="IB10" s="870">
        <f t="shared" si="84"/>
        <v>572.44906961860613</v>
      </c>
      <c r="IC10" s="841">
        <f t="shared" si="85"/>
        <v>234.51054399842789</v>
      </c>
      <c r="ID10" s="351">
        <f t="shared" si="86"/>
        <v>1687.4</v>
      </c>
      <c r="IE10" s="843">
        <f t="shared" si="87"/>
        <v>432.77046117568739</v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1613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>
        <v>1313</v>
      </c>
      <c r="JD10" s="728" cm="1">
        <f t="array" ref="JD10">IF($JC10="","",COUNT(IF(IF($IK$9:$IK$150="",$IL$9:$IL$150,"")=$JC10,$II$9:$II$150,"")))</f>
        <v>7</v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-9.881483474218633E-3</v>
      </c>
      <c r="C11" s="572">
        <f t="shared" si="3"/>
        <v>1.7829999999999997</v>
      </c>
      <c r="D11" s="576">
        <f t="shared" si="4"/>
        <v>-0.22827638090205055</v>
      </c>
      <c r="E11" s="580">
        <f t="shared" si="5"/>
        <v>-0.96592582628906831</v>
      </c>
      <c r="F11" s="572">
        <f t="shared" si="6"/>
        <v>0</v>
      </c>
      <c r="G11" s="579">
        <f t="shared" si="7"/>
        <v>0.25881904510252074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-9.881483474218633E-3</v>
      </c>
      <c r="O11" s="572">
        <f t="shared" si="14"/>
        <v>1.7829999999999997</v>
      </c>
      <c r="P11" s="576">
        <f t="shared" si="15"/>
        <v>-0.22827638090205055</v>
      </c>
      <c r="Q11" s="528">
        <f t="shared" ref="Q11:Q73" si="140">IF(M11="","",IF(DEGREES(ATAN2(N11,O11))&lt;0,DEGREES(ATAN2(N11,O11))+360,IF(DEGREES(ATAN2(N11,O11))&gt;360,DEGREES(ATAN2(N11,O11))-360,DEGREES(ATAN2(N11,O11)))))</f>
        <v>90.317533091428601</v>
      </c>
      <c r="R11" s="572">
        <f t="shared" si="101"/>
        <v>1.7830273816505595</v>
      </c>
      <c r="S11" s="577">
        <f t="shared" si="102"/>
        <v>-0.22827638090205055</v>
      </c>
      <c r="T11" s="578">
        <f t="shared" si="103"/>
        <v>1.7829757872947911</v>
      </c>
      <c r="U11" s="572">
        <f t="shared" si="104"/>
        <v>1.3564130498089513E-2</v>
      </c>
      <c r="V11" s="579">
        <f t="shared" ref="V11:V105" si="141">IF(M11="","",Y11)</f>
        <v>-0.22827638090205055</v>
      </c>
      <c r="W11" s="528">
        <f t="shared" si="16"/>
        <v>0.43587380346879456</v>
      </c>
      <c r="X11" s="572">
        <f>IF(M11="","",R11)</f>
        <v>1.7830273816505595</v>
      </c>
      <c r="Y11" s="573">
        <f t="shared" si="17"/>
        <v>-0.22827638090205055</v>
      </c>
      <c r="Z11" s="575">
        <f t="shared" si="18"/>
        <v>0.96592582628906831</v>
      </c>
      <c r="AA11" s="572">
        <f t="shared" si="19"/>
        <v>0</v>
      </c>
      <c r="AB11" s="572">
        <f t="shared" si="20"/>
        <v>-0.25881904510252074</v>
      </c>
      <c r="AC11" s="579">
        <f t="shared" si="106"/>
        <v>1</v>
      </c>
      <c r="AD11" s="580">
        <f t="shared" ref="AD11:AD105" si="142">IF(M11="","",Z11*(1/SQRT(Z11^2+AA11^2+AB11^2)))</f>
        <v>0.96592582628906831</v>
      </c>
      <c r="AE11" s="572">
        <f t="shared" si="107"/>
        <v>0</v>
      </c>
      <c r="AF11" s="576">
        <f t="shared" si="108"/>
        <v>-0.25881904510252074</v>
      </c>
      <c r="AG11" s="545">
        <f>IF(M11="","",DEGREES(ATAN2(-AF11,AE11)))</f>
        <v>0</v>
      </c>
      <c r="AH11" s="546">
        <f t="shared" si="110"/>
        <v>14.999999999999982</v>
      </c>
      <c r="AI11" s="528">
        <f t="shared" si="111"/>
        <v>-75</v>
      </c>
      <c r="AJ11" s="529">
        <f t="shared" si="112"/>
        <v>90</v>
      </c>
      <c r="AK11" s="578">
        <f>IF(M11="","",(COS(RADIANS((90-$Q$8)-W11))*AD11)+(-SIN(RADIANS((90-$Q$8)-W11))*AE11))</f>
        <v>0.96591099272918335</v>
      </c>
      <c r="AL11" s="572">
        <f t="shared" si="113"/>
        <v>-5.3531315267636012E-3</v>
      </c>
      <c r="AM11" s="577">
        <f t="shared" si="114"/>
        <v>-0.25881904510252074</v>
      </c>
      <c r="AN11" s="524">
        <f>IF(M11="","",DEGREES(ATAN2(-AM11,AL11)))</f>
        <v>-1.1848746270094432</v>
      </c>
      <c r="AO11" s="525">
        <f>IF(ROUND(IF(M11="",0,DEGREES(ACOS(AK11))),4)=90,0,IF(M11="","",DEGREES(ACOS(AK11))))</f>
        <v>15.003283411783807</v>
      </c>
      <c r="AP11" s="528">
        <f t="shared" si="117"/>
        <v>-0.31753309142860081</v>
      </c>
      <c r="AQ11" s="529">
        <f>IF(M11="","",DEGREES(ATAN(($AS$5*SIN(RADIANS(90)))/(($X11*2*PI())-($AS$5*COS(RADIANS(90)))))))</f>
        <v>1.2783585690673072</v>
      </c>
      <c r="AS11" s="932">
        <f t="shared" ref="AS11:AS42" si="143">IF(G11="","",IF(AND(W11&lt;(AS10+180),W11&gt;(AS10-180)),W11,IF(W11&gt;(AS10+180),W11-360,IF(W11&lt;(AS10-180),W11+360,"Error"))))</f>
        <v>0.43587380346879456</v>
      </c>
      <c r="AT11" s="928">
        <f t="shared" si="22"/>
        <v>-0.22710202070533311</v>
      </c>
      <c r="AU11" s="418"/>
      <c r="AV11" s="164">
        <f t="shared" si="23"/>
        <v>1.107</v>
      </c>
      <c r="AW11" s="829">
        <f>IFERROR(INDEX(MassProp!C$9:C$150,MATCH($M11,MassProp!$B$9:$B$150,0)),"")</f>
        <v>1.6409</v>
      </c>
      <c r="AX11" s="830">
        <f>IFERROR(INDEX(MassProp!D$9:D$150,MATCH($M11,MassProp!$B$9:$B$150,0)),"")</f>
        <v>0.2258</v>
      </c>
      <c r="AY11" s="831">
        <f>IFERROR(INDEX(MassProp!E$9:E$150,MATCH($M11,MassProp!$B$9:$B$150,0)),"")</f>
        <v>6.1899999999999997E-2</v>
      </c>
      <c r="AZ11" s="297">
        <f t="shared" ref="AZ11:AZ74" si="144">IF(ISNUMBER(AV11),$AY11*SQRT((2*PI()*$AW11)^2+$AS$5^2),"")</f>
        <v>0.63838146813450858</v>
      </c>
      <c r="BA11" s="296">
        <f t="shared" si="24"/>
        <v>0.11429996751748772</v>
      </c>
      <c r="BB11" s="291">
        <f t="shared" ref="BB11:BB73" si="145">IF(ISNUMBER($AV11),$AX11-($AT11+$AS$5),"")</f>
        <v>0.20290202070533311</v>
      </c>
      <c r="BC11" s="9"/>
      <c r="BD11" s="5">
        <f t="shared" ref="BD11:BD73" si="146">IF(ISNUMBER(AV11),AW11,"")</f>
        <v>1.6409</v>
      </c>
      <c r="BE11" s="6">
        <f t="shared" si="25"/>
        <v>-2.5374360196717433E-2</v>
      </c>
      <c r="BF11" s="4">
        <f t="shared" si="26"/>
        <v>-9.881483474218633E-3</v>
      </c>
      <c r="BG11" s="5">
        <f t="shared" si="27"/>
        <v>1.7829999999999997</v>
      </c>
      <c r="BH11" s="10">
        <f t="shared" si="28"/>
        <v>-0.22827638090205055</v>
      </c>
      <c r="BI11" s="9">
        <f t="shared" ref="BI11:BI74" si="147">IF(ISNUMBER($AV11),BF11+0,"")</f>
        <v>-9.881483474218633E-3</v>
      </c>
      <c r="BJ11" s="5">
        <f t="shared" si="29"/>
        <v>2.7829999999999995</v>
      </c>
      <c r="BK11" s="8">
        <f t="shared" si="30"/>
        <v>-0.22827638090205055</v>
      </c>
      <c r="BL11" s="173">
        <f t="shared" si="31"/>
        <v>0.24893756162830183</v>
      </c>
      <c r="BM11" s="5">
        <f t="shared" si="32"/>
        <v>1.7829999999999997</v>
      </c>
      <c r="BN11" s="6">
        <f t="shared" si="33"/>
        <v>0.73764944538701771</v>
      </c>
      <c r="BO11" s="4">
        <f t="shared" ref="BO11:BO74" si="148">IF(ISNUMBER($AV11),BJ11*BN11-BM11*BK11-BG11*(BN11-BK11)+BH11*(BM11-BJ11),"")</f>
        <v>0.96592582628906798</v>
      </c>
      <c r="BP11" s="5">
        <f>IF(IF(ISNUMBER($AV11),BF11*(BN11-BK11)-(BI11*BN11-BL11*BK11)+BH11*(BI11-BL11),"")=0,IF(ISNUMBER($AV11),BF11*(BN11-BK11)-(BI11*BN11-BL11*BK11)+BH11*(BI11-BL11),"")+0.00001,IF(ISNUMBER($AV11),BF11*(BN11-BK11)-(BI11*BN11-BL11*BK11)+BH11*(BI11-BL11),""))</f>
        <v>1.0000000000000001E-5</v>
      </c>
      <c r="BQ11" s="5">
        <f t="shared" ref="BQ11:BQ74" si="149">IF(ISNUMBER($AV11),BF11*(BJ11-BM11)-BG11*(BI11-BL11)+(BI11*BM11-BL11*BJ11),"")</f>
        <v>-0.25881904510252041</v>
      </c>
      <c r="BR11" s="6">
        <f t="shared" ref="BR11:BR74" si="150">IF(ISNUMBER($AV11),-(BF11*(BJ11*BN11-BM11*BK11)-BG11*(BI11*BN11-BL11*BK11)+BH11*(BI11*BM11-BL11*BJ11)),"")</f>
        <v>-4.9537494834731549E-2</v>
      </c>
      <c r="BS11" s="4">
        <f t="shared" si="118"/>
        <v>0</v>
      </c>
      <c r="BT11" s="5">
        <f t="shared" si="118"/>
        <v>0</v>
      </c>
      <c r="BU11" s="10">
        <f t="shared" si="119"/>
        <v>-2.5374360196717433E-2</v>
      </c>
      <c r="BV11" s="9">
        <f t="shared" si="120"/>
        <v>0</v>
      </c>
      <c r="BW11" s="5">
        <f t="shared" si="121"/>
        <v>1</v>
      </c>
      <c r="BX11" s="8">
        <f t="shared" si="122"/>
        <v>-2.5374360196717433E-2</v>
      </c>
      <c r="BY11" s="173">
        <f t="shared" si="123"/>
        <v>1</v>
      </c>
      <c r="BZ11" s="5">
        <f t="shared" si="124"/>
        <v>0</v>
      </c>
      <c r="CA11" s="6">
        <f t="shared" si="125"/>
        <v>-2.5374360196717433E-2</v>
      </c>
      <c r="CB11" s="4">
        <f t="shared" ref="CB11:CB74" si="151">IF(ISNUMBER($AV11),BW11*CA11-BZ11*BX11-BT11*(CA11-BX11)+BU11*(BZ11-BW11),"")</f>
        <v>0</v>
      </c>
      <c r="CC11" s="5">
        <f t="shared" ref="CC11:CC74" si="152">IF(ISNUMBER($AV11),BS11*(CA11-BX11)-(BV11*CA11-BY11*BX11)+BU11*(BV11-BY11),"")</f>
        <v>0</v>
      </c>
      <c r="CD11" s="5">
        <f t="shared" ref="CD11:CD74" si="153">IF(ISNUMBER($AV11),BS11*(BW11-BZ11)-BT11*(BV11-BY11)+(BV11*BZ11-BY11*BW11),"")</f>
        <v>-1</v>
      </c>
      <c r="CE11" s="6">
        <f t="shared" ref="CE11:CE74" si="154">IF(ISNUMBER($AV11),-(BS11*(BW11*CA11-BZ11*BX11)-BT11*(BV11*CA11-BY11*BX11)+BU11*(BV11*BZ11-BY11*BW11)),"")</f>
        <v>-2.5374360196717433E-2</v>
      </c>
      <c r="CF11" s="4">
        <f t="shared" ref="CF11:CF74" si="155">IF(ISNUMBER($AV11),(BP11*CD11)-(BQ11*CC11),"")</f>
        <v>-1.0000000000000001E-5</v>
      </c>
      <c r="CG11" s="5">
        <f t="shared" ref="CG11:CG74" si="156">IF(ISNUMBER($AV11),(BQ11*CB11)-(BO11*CD11),"")</f>
        <v>0.96592582628906798</v>
      </c>
      <c r="CH11" s="5">
        <f t="shared" ref="CH11:CH74" si="157">IF(ISNUMBER($AV11),(BO11*CC11)-(BP11*CB11),"")</f>
        <v>0</v>
      </c>
      <c r="CI11" s="4">
        <f t="shared" si="126"/>
        <v>0</v>
      </c>
      <c r="CJ11" s="5">
        <f t="shared" si="127"/>
        <v>4297.012715852974</v>
      </c>
      <c r="CK11" s="8">
        <f t="shared" si="128"/>
        <v>-2.5374360196717433E-2</v>
      </c>
      <c r="CL11" s="173">
        <f t="shared" si="129"/>
        <v>-1.0000000000000001E-5</v>
      </c>
      <c r="CM11" s="5">
        <f t="shared" si="130"/>
        <v>4297.9786416792631</v>
      </c>
      <c r="CN11" s="6">
        <f t="shared" si="131"/>
        <v>-2.5374360196717433E-2</v>
      </c>
      <c r="CO11" s="167">
        <f t="shared" si="35"/>
        <v>0.3125</v>
      </c>
      <c r="CP11" s="4">
        <f>IF(ISNUMBER($AV11),(CL11-CI11)^2+(CM11-CJ11)^2+(CN11-CK11)^2,"")</f>
        <v>0.93301270199226982</v>
      </c>
      <c r="CQ11" s="5">
        <f>IF(ISNUMBER($AV11),2*((CL11-CI11)*(CI11-BF11)+(CM11-CJ11)*(CJ11-BG11)+(CN11-CK11)*(CK11-BH11)),"")</f>
        <v>8297.7466245758824</v>
      </c>
      <c r="CR11" s="5">
        <f t="shared" ref="CR11:CR74" si="158">IF(ISNUMBER($AV11),BF11^2+BG11^2+BH11^2+CI11^2+CJ11^2+CK11^2-2*(BF11*CI11+BG11*CJ11+BH11*CK11)-CO11^2,"")</f>
        <v>18448998.255557042</v>
      </c>
      <c r="CS11" s="8">
        <f t="shared" ref="CS11:CS74" si="159">IF(ISNUMBER($AV11),CQ11^2-(4*CP11*CR11),"")</f>
        <v>0.1997886598110199</v>
      </c>
      <c r="CT11" s="9">
        <f t="shared" ref="CT11:CT74" si="160">IF(ISNUMBER($AV11),(-CQ11+SQRT(CS11))/(CP11*2),"")</f>
        <v>-4446.5094792445261</v>
      </c>
      <c r="CU11" s="6">
        <f t="shared" ref="CU11:CU74" si="161">IF(ISNUMBER($AV11),(-CQ11-SQRT(CS11))/(CP11*2),"")</f>
        <v>-4446.9885480145185</v>
      </c>
      <c r="CV11" s="4">
        <f>IF(ISNUMBER($AV11),CI11+($CT11*(CL11-CI11)),"")</f>
        <v>4.4465094792445266E-2</v>
      </c>
      <c r="CW11" s="5">
        <f t="shared" ref="CW11:CW74" si="162">IF(ISNUMBER($AV11),CJ11+($CT11*(CM11-CJ11)),"")</f>
        <v>2.0143730114141363</v>
      </c>
      <c r="CX11" s="8">
        <f t="shared" ref="CX11:CX74" si="163">IF(ISNUMBER($AV11),CK11+($CT11*(CN11-CK11)),"")</f>
        <v>-2.5374360196717433E-2</v>
      </c>
      <c r="CY11" s="9">
        <f t="shared" ref="CY11:CY74" si="164">IF(ISNUMBER($AV11),CI11+($CU11*(CL11-CI11)),"")</f>
        <v>4.4469885480145188E-2</v>
      </c>
      <c r="CZ11" s="5">
        <f t="shared" ref="CZ11:CZ74" si="165">IF(ISNUMBER($AV11),CJ11+($CU11*(CM11-CJ11)),"")</f>
        <v>1.5516281139098282</v>
      </c>
      <c r="DA11" s="6">
        <f t="shared" ref="DA11:DA74" si="166">IF(ISNUMBER($AV11),CK11+($CU11*(CN11-CK11)),"")</f>
        <v>-2.5374360196717433E-2</v>
      </c>
      <c r="DB11" s="4">
        <f t="shared" ref="DB11:DC42" si="167">IF(ISNUMBER($AV11),0,"")</f>
        <v>0</v>
      </c>
      <c r="DC11" s="5">
        <f t="shared" si="167"/>
        <v>0</v>
      </c>
      <c r="DD11" s="10">
        <f t="shared" ref="DD11:DD74" si="168">IF(ISNUMBER($AV11),-10,"")</f>
        <v>-10</v>
      </c>
      <c r="DE11" s="9">
        <f t="shared" ref="DE11:DF42" si="169">IF(ISNUMBER($AV11),0,"")</f>
        <v>0</v>
      </c>
      <c r="DF11" s="5">
        <f t="shared" si="169"/>
        <v>0</v>
      </c>
      <c r="DG11" s="10">
        <f t="shared" ref="DG11:DG74" si="170">IF(ISNUMBER($AV11),10,"")</f>
        <v>10</v>
      </c>
      <c r="DH11" s="70">
        <f t="shared" ref="DH11:DH74" si="171">IF(ISNUMBER($AV11),BD11,"")</f>
        <v>1.6409</v>
      </c>
      <c r="DI11" s="4">
        <f t="shared" ref="DI11:DI74" si="172">IF(ISNUMBER($AV11),DE11-DB11,"")</f>
        <v>0</v>
      </c>
      <c r="DJ11" s="5">
        <f t="shared" ref="DJ11:DJ74" si="173">IF(ISNUMBER($AV11),DF11-DC11,"")</f>
        <v>0</v>
      </c>
      <c r="DK11" s="10">
        <f t="shared" ref="DK11:DK74" si="174">IF(ISNUMBER($AV11),DG11-DD11,"")</f>
        <v>20</v>
      </c>
      <c r="DL11" s="9">
        <f t="shared" ref="DL11:DL74" si="175">IF(ISNUMBER($AV11),CV11-DB11,"")</f>
        <v>4.4465094792445266E-2</v>
      </c>
      <c r="DM11" s="173">
        <f t="shared" ref="DM11:DM74" si="176">IF(ISNUMBER($AV11),CW11-DC11,"")</f>
        <v>2.0143730114141363</v>
      </c>
      <c r="DN11" s="178">
        <f t="shared" ref="DN11:DN74" si="177">IF(ISNUMBER($AV11),CX11-DD11,"")</f>
        <v>9.974625639803282</v>
      </c>
      <c r="DO11" s="9">
        <f t="shared" ref="DO11:DO74" si="178">IF(ISNUMBER($AV11),CY11-CV11,"")</f>
        <v>4.790687699922358E-6</v>
      </c>
      <c r="DP11" s="173">
        <f t="shared" ref="DP11:DP74" si="179">IF(ISNUMBER($AV11),CZ11-CW11,"")</f>
        <v>-0.46274489750430803</v>
      </c>
      <c r="DQ11" s="11">
        <f t="shared" ref="DQ11:DQ74" si="180">IF(ISNUMBER($AV11),DA11-CX11,"")</f>
        <v>0</v>
      </c>
      <c r="DR11" s="173">
        <f t="shared" ref="DR11:DR74" si="181">IF(ISNUMBER($AV11),SUMPRODUCT(DI11:DK11,DL11:DN11),"")</f>
        <v>199.49251279606563</v>
      </c>
      <c r="DS11" s="5">
        <f t="shared" ref="DS11:DS74" si="182">IF(ISNUMBER($AV11),SUMPRODUCT(DO11:DQ11,DI11:DK11),"")</f>
        <v>0</v>
      </c>
      <c r="DT11" s="5">
        <f t="shared" ref="DT11:DT74" si="183">IF(ISNUMBER($AV11),SUMPRODUCT(DI11:DK11,DI11:DK11),"")</f>
        <v>400</v>
      </c>
      <c r="DU11" s="5">
        <f t="shared" ref="DU11:DU74" si="184">IF(ISNUMBER($AV11),SUMPRODUCT(DO11:DQ11,DO11:DQ11),"")</f>
        <v>0.21413284018922324</v>
      </c>
      <c r="DV11" s="5">
        <f t="shared" ref="DV11:DV74" si="185">IF(ISNUMBER($AV11),SUMPRODUCT(DL11:DN11,DO11:DQ11),"")</f>
        <v>-0.93214061968389605</v>
      </c>
      <c r="DW11" s="5">
        <f t="shared" ref="DW11:DW74" si="186">IF(ISNUMBER($AV11),SUMPRODUCT(DL11:DN11,DL11:DN11),"")</f>
        <v>103.5528324279896</v>
      </c>
      <c r="DX11" s="167">
        <f t="shared" ref="DX11:DX74" si="187">IF(ISNUMBER($AV11),DW11-DH11*DH11,"")</f>
        <v>100.8602796179896</v>
      </c>
      <c r="DY11" s="9">
        <f t="shared" ref="DY11:DY74" si="188">IF(ISNUMBER($AV11),DT11*DU11-DS11*DS11,"")</f>
        <v>85.653136075689289</v>
      </c>
      <c r="DZ11" s="5">
        <f t="shared" ref="DZ11:DZ74" si="189">IF(ISNUMBER($AV11),DT11*DV11-DS11*DR11,"")</f>
        <v>-372.8562478735584</v>
      </c>
      <c r="EA11" s="10">
        <f t="shared" ref="EA11:EA74" si="190">IF(ISNUMBER($AV11),DT11*DX11-DR11*DR11,"")</f>
        <v>546.84918550743168</v>
      </c>
      <c r="EB11" s="6">
        <f t="shared" ref="EB11:EB74" si="191">IF(ISNUMBER($AV11),DZ11*DZ11-DY11*EA11,"")</f>
        <v>92182.433879200515</v>
      </c>
      <c r="EC11" s="173">
        <f t="shared" ref="EC11:EC74" si="192">IF(ISNUMBER($AV11),(-DZ11+SQRT(DZ11^2-DY11*EA11))/DY11,"")</f>
        <v>7.8978059769198703</v>
      </c>
      <c r="ED11" s="5">
        <f t="shared" ref="ED11:ED74" si="193">IF(ISNUMBER($AV11),(-DZ11-SQRT(DZ11^2-DY11*EA11))/DY11,"")</f>
        <v>0.80838424462848568</v>
      </c>
      <c r="EE11" s="4">
        <f t="shared" ref="EE11:EE74" si="194">IF(ISNUMBER($AV11),CV11+DO11*$EC11,"")</f>
        <v>4.4502930714395268E-2</v>
      </c>
      <c r="EF11" s="5">
        <f t="shared" ref="EF11:EF74" si="195">IF(ISNUMBER($AV11),CW11+DP11*$EC11,"")</f>
        <v>-1.6402964058845604</v>
      </c>
      <c r="EG11" s="10">
        <f t="shared" ref="EG11:EG74" si="196">IF(ISNUMBER($AV11),CX11+DQ11*$EC11,"")</f>
        <v>-2.5374360196717433E-2</v>
      </c>
      <c r="EH11" s="9">
        <f t="shared" ref="EH11:EH74" si="197">IF(ISNUMBER($AV11),CV11+DO11*$ED11,"")</f>
        <v>4.4468967508902821E-2</v>
      </c>
      <c r="EI11" s="5">
        <f t="shared" ref="EI11:EI74" si="198">IF(ISNUMBER($AV11),CW11+DP11*$ED11,"")</f>
        <v>1.6402973269894301</v>
      </c>
      <c r="EJ11" s="6">
        <f t="shared" ref="EJ11:EJ74" si="199">IF(ISNUMBER($AV11),CX11+DQ11*$ED11,"")</f>
        <v>-2.5374360196717433E-2</v>
      </c>
      <c r="EK11" s="236" t="b">
        <f t="shared" ref="EK11:EK74" si="200">IF(ISNUMBER($AV11),IF(OR($EC11&lt;0,$EC11&gt;1),FALSE,TRUE),"")</f>
        <v>0</v>
      </c>
      <c r="EL11" s="238" t="b">
        <f t="shared" ref="EL11:EL74" si="201">IF(ISNUMBER($AV11),IF(OR($ED11&lt;0,$ED11&gt;1),FALSE,TRUE),"")</f>
        <v>1</v>
      </c>
      <c r="EM11" s="4">
        <f t="shared" ref="EM11:EM74" si="202">IF(ISNUMBER($AV11),IF($EK11=TRUE,EE11,IF($EL11=TRUE,EH11,"")),"")</f>
        <v>4.4468967508902821E-2</v>
      </c>
      <c r="EN11" s="5">
        <f t="shared" ref="EN11:EN74" si="203">IF(ISNUMBER($AV11),IF($EK11=TRUE,EF11,IF($EL11=TRUE,EI11,"")),"")</f>
        <v>1.6402973269894301</v>
      </c>
      <c r="EO11" s="10">
        <f t="shared" ref="EO11:EO74" si="204">IF(ISNUMBER($AV11),IF($EK11=TRUE,EG11,IF($EL11=TRUE,EJ11,"")),"")</f>
        <v>-2.5374360196717433E-2</v>
      </c>
      <c r="EP11" s="9">
        <f t="shared" ref="EP11:EP74" si="205">IF(ISNUMBER($AV11),IF(DEGREES(ATAN2(EM11,EN11))&lt;0,DEGREES(ATAN2(EM11,EN11))+360,IF(DEGREES(ATAN2(EM11,EN11))&gt;360,DEGREES(ATAN2(EM11,EN11))-360,DEGREES(ATAN2(EM11,EN11)))),"")</f>
        <v>88.447074084923287</v>
      </c>
      <c r="EQ11" s="5">
        <f t="shared" ref="EQ11:EQ74" si="206">IF(ISNUMBER($AV11),SQRT(EM11^2+EN11^2),"")</f>
        <v>1.6408999999999931</v>
      </c>
      <c r="ER11" s="7">
        <f t="shared" ref="ER11:ER74" si="207">IF(ISNUMBER($AV11),EO11,"")</f>
        <v>-2.5374360196717433E-2</v>
      </c>
      <c r="ES11" s="21">
        <f t="shared" si="132"/>
        <v>0.96592582628906831</v>
      </c>
      <c r="ET11" s="5">
        <f t="shared" si="44"/>
        <v>0</v>
      </c>
      <c r="EU11" s="10">
        <f t="shared" si="45"/>
        <v>-0.25881904510252074</v>
      </c>
      <c r="EV11" s="174">
        <f t="shared" si="46"/>
        <v>1.5529259150767132</v>
      </c>
      <c r="EW11" s="9">
        <f t="shared" si="133"/>
        <v>0.9655710591334159</v>
      </c>
      <c r="EX11" s="5">
        <f t="shared" si="47"/>
        <v>2.6176929846583569E-2</v>
      </c>
      <c r="EY11" s="6">
        <f t="shared" ref="EY11:EY74" si="208">IF(ISNUMBER($AV11),EU11,"")</f>
        <v>-0.25881904510252074</v>
      </c>
      <c r="EZ11" s="51">
        <f t="shared" ref="EZ11:EZ74" si="209">IF(ISNUMBER($AV11),DEGREES(ATAN($AS$5/($EQ11*2*PI()))),"")</f>
        <v>1.3890425894206562</v>
      </c>
      <c r="FA11" s="266">
        <f t="shared" si="134"/>
        <v>0.99933896992228566</v>
      </c>
      <c r="FB11" s="267">
        <f t="shared" si="135"/>
        <v>-2.7092388344872868E-2</v>
      </c>
      <c r="FC11" s="269">
        <f t="shared" si="48"/>
        <v>-2.4240991902884382E-2</v>
      </c>
      <c r="FD11" s="4">
        <f t="shared" si="136"/>
        <v>0.99970614398010205</v>
      </c>
      <c r="FE11" s="5">
        <f t="shared" si="49"/>
        <v>5.2041704279304213E-17</v>
      </c>
      <c r="FF11" s="7">
        <f t="shared" ref="FF11:FF74" si="210">IF(ISNUMBER($AV11),FC11,"")</f>
        <v>-2.4240991902884382E-2</v>
      </c>
      <c r="FG11" s="173">
        <f t="shared" ref="FG11:FG40" si="211">IF(ISNUMBER($AV11),EW11-FD11,"")</f>
        <v>-3.4135084846686148E-2</v>
      </c>
      <c r="FH11" s="5">
        <f t="shared" si="50"/>
        <v>2.6176929846583517E-2</v>
      </c>
      <c r="FI11" s="10">
        <f t="shared" si="51"/>
        <v>-0.23457805319963637</v>
      </c>
      <c r="FJ11" s="279">
        <f t="shared" ref="FJ11:FJ74" si="212">IF(ISNUMBER($AV11),DEGREES(ACOS((2-SQRT((FG11)^2+(FH11)^2+(FI11)^2)^2)/2)),"")</f>
        <v>13.697040854534194</v>
      </c>
      <c r="FK11" s="4">
        <f t="shared" si="52"/>
        <v>0.96592582628906831</v>
      </c>
      <c r="FL11" s="5">
        <f t="shared" ref="FL11:FL73" si="213">IF(ISNUMBER($AV11),SQRT(FA11^2+FB11^2),"")</f>
        <v>0.99970614398010194</v>
      </c>
      <c r="FM11" s="8">
        <f t="shared" ref="FM11:FM73" si="214">IF(ISNUMBER($AV11),SQRT(FG11^2+FH11^2),"")</f>
        <v>4.3016690640766603E-2</v>
      </c>
      <c r="FN11" s="9">
        <f t="shared" ref="FN11:FN73" si="215">IF(ISNUMBER($AV11),DEGREES(ACOS((FK11^2+FL11^2-FM11^2)/(2*FK11*FL11))),"")</f>
        <v>1.5529259150770758</v>
      </c>
      <c r="FO11" s="10">
        <f t="shared" si="53"/>
        <v>-1</v>
      </c>
      <c r="FP11" s="277">
        <f t="shared" si="54"/>
        <v>-1.5529259150770758</v>
      </c>
      <c r="FQ11" s="173">
        <f>IF(ISNUMBER($AV11),SIN(RADIANS(FN11)),"")</f>
        <v>2.7100351946440063E-2</v>
      </c>
      <c r="FR11" s="10">
        <f t="shared" ref="FR11:FR74" si="216">IF(ISNUMBER($AV11),COS(RADIANS(FN11)),"")</f>
        <v>0.99963271801416098</v>
      </c>
      <c r="FS11" s="9">
        <f t="shared" ref="FS11:FS74" si="217">IF(ISNUMBER($AV11),FQ11/(FQ11+FR11),"")</f>
        <v>2.6394739528044997E-2</v>
      </c>
      <c r="FT11" s="6">
        <f t="shared" ref="FT11:FT74" si="218">IF(ISNUMBER($AV11),FR11/(FQ11+FR11),"")</f>
        <v>0.97360526047195506</v>
      </c>
      <c r="FU11" s="4">
        <f t="shared" ref="FU11:FU74" si="219">IF(ISNUMBER($AV11),SQRT(EW11^2+EY11^2),"")</f>
        <v>0.99965732545898311</v>
      </c>
      <c r="FV11" s="5">
        <f t="shared" ref="FV11:FV74" si="220">IF(ISNUMBER($AV11),SQRT(FD11^2+FF11^2),"")</f>
        <v>1</v>
      </c>
      <c r="FW11" s="8">
        <f>IF(ISNUMBER($AV11),SQRT(FG11^2+FI11^2),"")</f>
        <v>0.23704865968914884</v>
      </c>
      <c r="FX11" s="9">
        <f>IF(ISNUMBER($AV11),DEGREES(ACOS((FU11^2+FV11^2-FW11^2)/(2*FU11*FV11))),"")</f>
        <v>13.616220140910386</v>
      </c>
      <c r="FY11" s="10">
        <f t="shared" si="55"/>
        <v>1</v>
      </c>
      <c r="FZ11" s="277">
        <f>IF(ISNUMBER($AV11),FX11*FY11,"")</f>
        <v>13.616220140910386</v>
      </c>
      <c r="GA11" s="177">
        <f t="shared" ref="GA11:GA74" si="221">IF(ISNUMBER($AV11),DEGREES(FZ11*SIN(RADIANS(FU11))),"")</f>
        <v>13.610863640211543</v>
      </c>
      <c r="GB11" s="4">
        <f t="shared" ref="GB11:GB74" si="222">IF(ISNUMBER($AV11),COS(RADIANS(FP11+90))*COS(RADIANS(FZ11)),"")</f>
        <v>2.6338680135074868E-2</v>
      </c>
      <c r="GC11" s="5">
        <f t="shared" ref="GC11:GC74" si="223">IF(ISNUMBER($AV11),SIN(RADIANS(FP11+90))*COS(RADIANS(FZ11)),"")</f>
        <v>0.97153743480401678</v>
      </c>
      <c r="GD11" s="10">
        <f t="shared" ref="GD11:GD74" si="224">IF(ISNUMBER($AV11),-SIN(RADIANS(FZ11)),"")</f>
        <v>-0.2354172608437477</v>
      </c>
      <c r="GE11" s="311">
        <f t="shared" ref="GE11:GE74" si="225">IF(ISNUMBER($AV11),SUM(ABS(GB11),ABS(GC11),ABS(GD11)),"")</f>
        <v>1.2332933757828393</v>
      </c>
      <c r="GF11" s="341">
        <f>IF(ISNUMBER($AV11),1/GE11,"")</f>
        <v>0.81083708032182111</v>
      </c>
      <c r="GG11" s="285">
        <f t="shared" si="56"/>
        <v>2.1356378500254455E-2</v>
      </c>
      <c r="GH11" s="286">
        <f t="shared" si="57"/>
        <v>0.78775857705984065</v>
      </c>
      <c r="GI11" s="281">
        <f t="shared" si="58"/>
        <v>0.19088504443990498</v>
      </c>
      <c r="GJ11" s="167">
        <f t="shared" ref="GJ11:GJ74" si="226">IF(ISNUMBER($AV11),AW11,"")</f>
        <v>1.6409</v>
      </c>
      <c r="GK11" s="174">
        <f>IF(ISNUMBER($AV11),SQRT((2*PI()*$GJ11)^2+$AS$5^2)/12,"")</f>
        <v>0.85942577831786293</v>
      </c>
      <c r="GL11" s="174">
        <f t="shared" ref="GL11:GL74" si="227">IF(ISNUMBER($AV11),AY11,"")</f>
        <v>6.1899999999999997E-2</v>
      </c>
      <c r="GM11" s="9">
        <f>IF(ISNUMBER($AV11),AZ11,"")</f>
        <v>0.63838146813450858</v>
      </c>
      <c r="GN11" s="281">
        <f t="shared" ref="GN11:GN74" si="228">IF(ISNUMBER($AV11),BA11,"")</f>
        <v>0.11429996751748772</v>
      </c>
      <c r="GO11" s="4">
        <f t="shared" ref="GO11:GO74" si="229">IF(ISNUMBER($AV11),FP11,"")</f>
        <v>-1.5529259150770758</v>
      </c>
      <c r="GP11" s="8">
        <f>IF(ISNUMBER($AV11),FZ11,"")</f>
        <v>13.616220140910386</v>
      </c>
      <c r="GQ11" s="177">
        <f t="shared" ref="GQ11:GQ74" si="230">IF(ISNUMBER($AV11),FJ11,"")</f>
        <v>13.697040854534194</v>
      </c>
      <c r="GR11" s="371">
        <f>IF(ISNUMBER($AV11),GS11+GU11+GY11,"")</f>
        <v>1992.1769031759086</v>
      </c>
      <c r="GS11" s="342">
        <f>IF(ISNUMBER($AV11),GU11/GH11*GG11,"")</f>
        <v>42.545683983689472</v>
      </c>
      <c r="GT11" s="343">
        <f t="shared" si="62"/>
        <v>49.504779885661911</v>
      </c>
      <c r="GU11" s="344">
        <f>IF(ISNUMBER($AV11),$GV11*$GK11,"")</f>
        <v>1569.3544424973336</v>
      </c>
      <c r="GV11" s="343">
        <f>IF(ISNUMBER($AV11),GW11*$GL11,"")</f>
        <v>1826.05</v>
      </c>
      <c r="GW11" s="345">
        <f>IF(ISNUMBER($AV11),$GW$2,"")</f>
        <v>29500</v>
      </c>
      <c r="GX11" s="346">
        <f t="shared" si="65"/>
        <v>249.69712041666668</v>
      </c>
      <c r="GY11" s="344">
        <f t="shared" si="66"/>
        <v>380.27677669488554</v>
      </c>
      <c r="GZ11" s="345">
        <f t="shared" si="67"/>
        <v>442.47774070635131</v>
      </c>
      <c r="HA11" s="342">
        <f t="shared" si="68"/>
        <v>-42.545683983689472</v>
      </c>
      <c r="HB11" s="5">
        <f t="shared" ref="HB11:HB74" si="231">IF(ISNUMBER($AV11),$EV11,"")</f>
        <v>1.5529259150767132</v>
      </c>
      <c r="HC11" s="343">
        <f t="shared" ref="HC11:HC74" si="232">IF(ISNUMBER($AV11),HA11*COS(RADIANS(HB11)),"")</f>
        <v>-42.53005772038707</v>
      </c>
      <c r="HD11" s="345">
        <f t="shared" ref="HD11:HD74" si="233">IF(ISNUMBER($AV11),HA11*SIN(RADIANS(HB11)),"")</f>
        <v>-1.1530030097597337</v>
      </c>
      <c r="HE11" s="344">
        <f t="shared" si="69"/>
        <v>1826.05</v>
      </c>
      <c r="HF11" s="5">
        <f t="shared" si="70"/>
        <v>91.552925915076713</v>
      </c>
      <c r="HG11" s="343">
        <f t="shared" ref="HG11:HG74" si="234">IF(ISNUMBER($AV11),HE11*COS(RADIANS(HF11)),"")</f>
        <v>-49.486597671785411</v>
      </c>
      <c r="HH11" s="349">
        <f t="shared" ref="HH11:HH74" si="235">IF(ISNUMBER($AV11),HE11*SIN(RADIANS(HF11)),"")</f>
        <v>1825.379324729759</v>
      </c>
      <c r="HI11" s="317">
        <f t="shared" si="71"/>
        <v>1.107</v>
      </c>
      <c r="HJ11" s="336"/>
      <c r="HK11" s="310">
        <f t="shared" si="137"/>
        <v>3</v>
      </c>
      <c r="HL11" s="348">
        <f t="shared" si="72"/>
        <v>3.1030000000000002</v>
      </c>
      <c r="HM11" s="909">
        <f>IF(ISNUMBER($HL11),INDEX(GO$9:GO$150,MATCH($HL11,$AV$9:$AV$150,0)),"")</f>
        <v>-4.5955382638045021</v>
      </c>
      <c r="HN11" s="910">
        <f t="shared" si="73"/>
        <v>17.015140029473987</v>
      </c>
      <c r="HO11" s="911"/>
      <c r="HP11" s="912"/>
      <c r="HQ11" s="910">
        <f t="shared" si="74"/>
        <v>14.465186932045647</v>
      </c>
      <c r="HR11" s="913">
        <f t="shared" si="75"/>
        <v>13.795152042726997</v>
      </c>
      <c r="HS11" s="865">
        <f>IFERROR(SMALL($GJ$9:$GJ$150,($HK10+1)),"")</f>
        <v>0.69930000000000003</v>
      </c>
      <c r="HT11" s="875">
        <f t="shared" si="76"/>
        <v>6.0400000000000002E-2</v>
      </c>
      <c r="HU11" s="876">
        <f t="shared" si="77"/>
        <v>0.26581665411209499</v>
      </c>
      <c r="HV11" s="872">
        <f t="shared" si="78"/>
        <v>4.7593541553461863E-2</v>
      </c>
      <c r="HW11" s="866">
        <f t="shared" si="79"/>
        <v>29500</v>
      </c>
      <c r="HX11" s="867">
        <f t="shared" si="80"/>
        <v>103.834395</v>
      </c>
      <c r="HY11" s="866">
        <f t="shared" si="81"/>
        <v>52.525405484307392</v>
      </c>
      <c r="HZ11" s="868">
        <f t="shared" si="82"/>
        <v>653.46594135890018</v>
      </c>
      <c r="IA11" s="869">
        <f t="shared" si="83"/>
        <v>160.96548830228977</v>
      </c>
      <c r="IB11" s="870">
        <f t="shared" si="84"/>
        <v>866.95683514549728</v>
      </c>
      <c r="IC11" s="841">
        <f t="shared" si="85"/>
        <v>143.2205744301171</v>
      </c>
      <c r="ID11" s="351">
        <f t="shared" si="86"/>
        <v>1781.8</v>
      </c>
      <c r="IE11" s="843">
        <f t="shared" si="87"/>
        <v>438.90322188880145</v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5.2678635657588575E-3</v>
      </c>
      <c r="C12" s="572">
        <f t="shared" si="3"/>
        <v>2.550482542869831</v>
      </c>
      <c r="D12" s="576">
        <f t="shared" si="4"/>
        <v>-0.16962603379131716</v>
      </c>
      <c r="E12" s="580">
        <f t="shared" si="5"/>
        <v>-0.96339317828794302</v>
      </c>
      <c r="F12" s="572">
        <f t="shared" si="6"/>
        <v>0.10587285650845474</v>
      </c>
      <c r="G12" s="579">
        <f t="shared" si="7"/>
        <v>0.24630168956585693</v>
      </c>
      <c r="H12" s="580">
        <f t="shared" si="8"/>
        <v>0.3125</v>
      </c>
      <c r="I12" s="572">
        <f t="shared" si="9"/>
        <v>0.52</v>
      </c>
      <c r="J12" s="483">
        <f t="shared" si="10"/>
        <v>1.1100000000000001</v>
      </c>
      <c r="K12" s="806">
        <f t="shared" si="11"/>
        <v>1613</v>
      </c>
      <c r="L12" s="716" t="s">
        <v>357</v>
      </c>
      <c r="M12" s="164">
        <f t="shared" si="12"/>
        <v>1.1100000000000001</v>
      </c>
      <c r="N12" s="575">
        <f t="shared" si="13"/>
        <v>5.2678635657588575E-3</v>
      </c>
      <c r="O12" s="572">
        <f t="shared" si="14"/>
        <v>2.550482542869831</v>
      </c>
      <c r="P12" s="576">
        <f t="shared" si="15"/>
        <v>-0.16962603379131716</v>
      </c>
      <c r="Q12" s="528">
        <f>IF(M12="","",IF(DEGREES(ATAN2(N12,O12))&lt;0,DEGREES(ATAN2(N12,O12))+360,IF(DEGREES(ATAN2(N12,O12))&gt;360,DEGREES(ATAN2(N12,O12))-360,DEGREES(ATAN2(N12,O12)))))</f>
        <v>89.881659287959806</v>
      </c>
      <c r="R12" s="572">
        <f t="shared" si="101"/>
        <v>2.5504879830868261</v>
      </c>
      <c r="S12" s="577">
        <f t="shared" si="102"/>
        <v>-0.16962603379131716</v>
      </c>
      <c r="T12" s="578">
        <f>IF(M12="","",X12*COS(RADIANS(W12)))</f>
        <v>2.5504879830868261</v>
      </c>
      <c r="U12" s="572">
        <f t="shared" si="104"/>
        <v>0</v>
      </c>
      <c r="V12" s="579">
        <f t="shared" si="141"/>
        <v>-0.16962603379131716</v>
      </c>
      <c r="W12" s="528">
        <f>IF(M12="","",IF(Q12-$Q$8&lt;0,360+Q12-$Q$8,Q12-$Q$8))</f>
        <v>0</v>
      </c>
      <c r="X12" s="572">
        <f t="shared" si="105"/>
        <v>2.5504879830868261</v>
      </c>
      <c r="Y12" s="573">
        <f t="shared" si="17"/>
        <v>-0.16962603379131716</v>
      </c>
      <c r="Z12" s="575">
        <f t="shared" si="18"/>
        <v>0.96339317828794302</v>
      </c>
      <c r="AA12" s="572">
        <f t="shared" si="19"/>
        <v>-0.10587285650845474</v>
      </c>
      <c r="AB12" s="572">
        <f t="shared" si="20"/>
        <v>-0.24630168956585693</v>
      </c>
      <c r="AC12" s="579">
        <f t="shared" si="106"/>
        <v>1</v>
      </c>
      <c r="AD12" s="580">
        <f t="shared" si="142"/>
        <v>0.96339317828794302</v>
      </c>
      <c r="AE12" s="572">
        <f t="shared" si="107"/>
        <v>-0.10587285650845474</v>
      </c>
      <c r="AF12" s="576">
        <f t="shared" si="108"/>
        <v>-0.24630168956585693</v>
      </c>
      <c r="AG12" s="545">
        <f t="shared" si="109"/>
        <v>-23.260465947550191</v>
      </c>
      <c r="AH12" s="546">
        <f t="shared" si="110"/>
        <v>15.550790460520661</v>
      </c>
      <c r="AI12" s="528">
        <f t="shared" si="111"/>
        <v>-75.741227414934698</v>
      </c>
      <c r="AJ12" s="529">
        <f t="shared" si="112"/>
        <v>83.728600864121319</v>
      </c>
      <c r="AK12" s="578">
        <f t="shared" ref="AK12:AK105" si="238">IF(M12="","",(COS(RADIANS((90-$Q$8)-W12))*AD12)+(-SIN(RADIANS((90-$Q$8)-W12))*AE12))</f>
        <v>0.96360979671513258</v>
      </c>
      <c r="AL12" s="572">
        <f>IF(M12="","",(SIN(RADIANS((90-$Q$8)-W12))*AD12)+(COS(RADIANS((90-$Q$8)-W12))*AE12))</f>
        <v>-0.10388280604423973</v>
      </c>
      <c r="AM12" s="577">
        <f t="shared" si="114"/>
        <v>-0.24630168956585693</v>
      </c>
      <c r="AN12" s="524">
        <f>IF(M12="","",DEGREES(ATAN2(-AM12,AL12)))</f>
        <v>-22.868586026272361</v>
      </c>
      <c r="AO12" s="525">
        <f t="shared" si="116"/>
        <v>15.504428125270795</v>
      </c>
      <c r="AP12" s="528">
        <f t="shared" si="117"/>
        <v>-6.1530584238384902</v>
      </c>
      <c r="AQ12" s="529">
        <f t="shared" si="21"/>
        <v>0.89376689174945156</v>
      </c>
      <c r="AS12" s="932">
        <f t="shared" si="143"/>
        <v>0</v>
      </c>
      <c r="AT12" s="928">
        <f>IF(M12="","",Y12+(((AS12-$AS$9)*$AS$6)*-1))</f>
        <v>-0.16814898345330195</v>
      </c>
      <c r="AU12" s="418"/>
      <c r="AV12" s="164" t="str">
        <f t="shared" si="23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4"/>
        <v/>
      </c>
      <c r="BA12" s="296" t="str">
        <f t="shared" si="24"/>
        <v/>
      </c>
      <c r="BB12" s="291" t="str">
        <f t="shared" si="145"/>
        <v/>
      </c>
      <c r="BC12" s="9"/>
      <c r="BD12" s="5" t="str">
        <f t="shared" si="146"/>
        <v/>
      </c>
      <c r="BE12" s="6" t="str">
        <f t="shared" si="25"/>
        <v/>
      </c>
      <c r="BF12" s="4" t="str">
        <f t="shared" si="26"/>
        <v/>
      </c>
      <c r="BG12" s="5" t="str">
        <f t="shared" si="27"/>
        <v/>
      </c>
      <c r="BH12" s="10" t="str">
        <f t="shared" si="28"/>
        <v/>
      </c>
      <c r="BI12" s="9" t="str">
        <f t="shared" si="147"/>
        <v/>
      </c>
      <c r="BJ12" s="5" t="str">
        <f t="shared" si="29"/>
        <v/>
      </c>
      <c r="BK12" s="8" t="str">
        <f t="shared" si="30"/>
        <v/>
      </c>
      <c r="BL12" s="173" t="str">
        <f t="shared" si="31"/>
        <v/>
      </c>
      <c r="BM12" s="5" t="str">
        <f t="shared" si="32"/>
        <v/>
      </c>
      <c r="BN12" s="6" t="str">
        <f t="shared" si="33"/>
        <v/>
      </c>
      <c r="BO12" s="4" t="str">
        <f t="shared" si="148"/>
        <v/>
      </c>
      <c r="BP12" s="5" t="str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/>
      </c>
      <c r="BQ12" s="5" t="str">
        <f t="shared" si="149"/>
        <v/>
      </c>
      <c r="BR12" s="6" t="str">
        <f t="shared" si="150"/>
        <v/>
      </c>
      <c r="BS12" s="4" t="str">
        <f t="shared" si="118"/>
        <v/>
      </c>
      <c r="BT12" s="5" t="str">
        <f t="shared" si="118"/>
        <v/>
      </c>
      <c r="BU12" s="10" t="str">
        <f t="shared" si="119"/>
        <v/>
      </c>
      <c r="BV12" s="9" t="str">
        <f t="shared" si="120"/>
        <v/>
      </c>
      <c r="BW12" s="5" t="str">
        <f t="shared" si="121"/>
        <v/>
      </c>
      <c r="BX12" s="8" t="str">
        <f t="shared" si="122"/>
        <v/>
      </c>
      <c r="BY12" s="173" t="str">
        <f t="shared" si="123"/>
        <v/>
      </c>
      <c r="BZ12" s="5" t="str">
        <f t="shared" si="124"/>
        <v/>
      </c>
      <c r="CA12" s="6" t="str">
        <f t="shared" si="125"/>
        <v/>
      </c>
      <c r="CB12" s="4" t="str">
        <f t="shared" si="151"/>
        <v/>
      </c>
      <c r="CC12" s="5" t="str">
        <f t="shared" si="152"/>
        <v/>
      </c>
      <c r="CD12" s="5" t="str">
        <f t="shared" si="153"/>
        <v/>
      </c>
      <c r="CE12" s="6" t="str">
        <f t="shared" si="154"/>
        <v/>
      </c>
      <c r="CF12" s="4" t="str">
        <f t="shared" si="155"/>
        <v/>
      </c>
      <c r="CG12" s="5" t="str">
        <f t="shared" si="156"/>
        <v/>
      </c>
      <c r="CH12" s="5" t="str">
        <f t="shared" si="157"/>
        <v/>
      </c>
      <c r="CI12" s="4" t="str">
        <f t="shared" si="126"/>
        <v/>
      </c>
      <c r="CJ12" s="5" t="str">
        <f t="shared" si="127"/>
        <v/>
      </c>
      <c r="CK12" s="8" t="str">
        <f t="shared" si="128"/>
        <v/>
      </c>
      <c r="CL12" s="173" t="str">
        <f t="shared" si="129"/>
        <v/>
      </c>
      <c r="CM12" s="5" t="str">
        <f t="shared" si="130"/>
        <v/>
      </c>
      <c r="CN12" s="6" t="str">
        <f t="shared" si="131"/>
        <v/>
      </c>
      <c r="CO12" s="167" t="str">
        <f t="shared" si="35"/>
        <v/>
      </c>
      <c r="CP12" s="4" t="str">
        <f t="shared" ref="CP12:CP74" si="240">IF(ISNUMBER($AV12),(CL12-CI12)^2+(CM12-CJ12)^2+(CN12-CK12)^2,"")</f>
        <v/>
      </c>
      <c r="CQ12" s="5" t="str">
        <f t="shared" ref="CQ12:CQ74" si="241">IF(ISNUMBER($AV12),2*((CL12-CI12)*(CI12-BF12)+(CM12-CJ12)*(CJ12-BG12)+(CN12-CK12)*(CK12-BH12)),"")</f>
        <v/>
      </c>
      <c r="CR12" s="5" t="str">
        <f t="shared" si="158"/>
        <v/>
      </c>
      <c r="CS12" s="8" t="str">
        <f t="shared" si="159"/>
        <v/>
      </c>
      <c r="CT12" s="9" t="str">
        <f t="shared" si="160"/>
        <v/>
      </c>
      <c r="CU12" s="6" t="str">
        <f t="shared" si="161"/>
        <v/>
      </c>
      <c r="CV12" s="4" t="str">
        <f t="shared" ref="CV12:CV74" si="242">IF(ISNUMBER($AV12),CI12+($CT12*(CL12-CI12)),"")</f>
        <v/>
      </c>
      <c r="CW12" s="5" t="str">
        <f t="shared" si="162"/>
        <v/>
      </c>
      <c r="CX12" s="8" t="str">
        <f t="shared" si="163"/>
        <v/>
      </c>
      <c r="CY12" s="9" t="str">
        <f t="shared" si="164"/>
        <v/>
      </c>
      <c r="CZ12" s="5" t="str">
        <f t="shared" si="165"/>
        <v/>
      </c>
      <c r="DA12" s="6" t="str">
        <f t="shared" si="166"/>
        <v/>
      </c>
      <c r="DB12" s="4" t="str">
        <f t="shared" si="167"/>
        <v/>
      </c>
      <c r="DC12" s="5" t="str">
        <f t="shared" si="167"/>
        <v/>
      </c>
      <c r="DD12" s="10" t="str">
        <f t="shared" si="168"/>
        <v/>
      </c>
      <c r="DE12" s="9" t="str">
        <f t="shared" si="169"/>
        <v/>
      </c>
      <c r="DF12" s="5" t="str">
        <f t="shared" si="169"/>
        <v/>
      </c>
      <c r="DG12" s="10" t="str">
        <f t="shared" si="170"/>
        <v/>
      </c>
      <c r="DH12" s="70" t="str">
        <f t="shared" si="171"/>
        <v/>
      </c>
      <c r="DI12" s="4" t="str">
        <f t="shared" si="172"/>
        <v/>
      </c>
      <c r="DJ12" s="5" t="str">
        <f t="shared" si="173"/>
        <v/>
      </c>
      <c r="DK12" s="10" t="str">
        <f t="shared" si="174"/>
        <v/>
      </c>
      <c r="DL12" s="9" t="str">
        <f t="shared" si="175"/>
        <v/>
      </c>
      <c r="DM12" s="173" t="str">
        <f t="shared" si="176"/>
        <v/>
      </c>
      <c r="DN12" s="178" t="str">
        <f t="shared" si="177"/>
        <v/>
      </c>
      <c r="DO12" s="9" t="str">
        <f t="shared" si="178"/>
        <v/>
      </c>
      <c r="DP12" s="173" t="str">
        <f t="shared" si="179"/>
        <v/>
      </c>
      <c r="DQ12" s="11" t="str">
        <f t="shared" si="180"/>
        <v/>
      </c>
      <c r="DR12" s="173" t="str">
        <f t="shared" si="181"/>
        <v/>
      </c>
      <c r="DS12" s="5" t="str">
        <f t="shared" si="182"/>
        <v/>
      </c>
      <c r="DT12" s="5" t="str">
        <f t="shared" si="183"/>
        <v/>
      </c>
      <c r="DU12" s="5" t="str">
        <f t="shared" si="184"/>
        <v/>
      </c>
      <c r="DV12" s="5" t="str">
        <f t="shared" si="185"/>
        <v/>
      </c>
      <c r="DW12" s="5" t="str">
        <f t="shared" si="186"/>
        <v/>
      </c>
      <c r="DX12" s="167" t="str">
        <f t="shared" si="187"/>
        <v/>
      </c>
      <c r="DY12" s="9" t="str">
        <f t="shared" si="188"/>
        <v/>
      </c>
      <c r="DZ12" s="5" t="str">
        <f t="shared" si="189"/>
        <v/>
      </c>
      <c r="EA12" s="10" t="str">
        <f t="shared" si="190"/>
        <v/>
      </c>
      <c r="EB12" s="6" t="str">
        <f t="shared" si="191"/>
        <v/>
      </c>
      <c r="EC12" s="173" t="str">
        <f t="shared" si="192"/>
        <v/>
      </c>
      <c r="ED12" s="5" t="str">
        <f t="shared" si="193"/>
        <v/>
      </c>
      <c r="EE12" s="4" t="str">
        <f t="shared" si="194"/>
        <v/>
      </c>
      <c r="EF12" s="5" t="str">
        <f t="shared" si="195"/>
        <v/>
      </c>
      <c r="EG12" s="10" t="str">
        <f t="shared" si="196"/>
        <v/>
      </c>
      <c r="EH12" s="9" t="str">
        <f t="shared" si="197"/>
        <v/>
      </c>
      <c r="EI12" s="5" t="str">
        <f t="shared" si="198"/>
        <v/>
      </c>
      <c r="EJ12" s="6" t="str">
        <f t="shared" si="199"/>
        <v/>
      </c>
      <c r="EK12" s="236" t="str">
        <f t="shared" si="200"/>
        <v/>
      </c>
      <c r="EL12" s="238" t="str">
        <f t="shared" si="201"/>
        <v/>
      </c>
      <c r="EM12" s="4" t="str">
        <f t="shared" si="202"/>
        <v/>
      </c>
      <c r="EN12" s="5" t="str">
        <f t="shared" si="203"/>
        <v/>
      </c>
      <c r="EO12" s="10" t="str">
        <f t="shared" si="204"/>
        <v/>
      </c>
      <c r="EP12" s="9" t="str">
        <f t="shared" si="205"/>
        <v/>
      </c>
      <c r="EQ12" s="5" t="str">
        <f t="shared" si="206"/>
        <v/>
      </c>
      <c r="ER12" s="7" t="str">
        <f t="shared" si="207"/>
        <v/>
      </c>
      <c r="ES12" s="21" t="str">
        <f t="shared" si="132"/>
        <v/>
      </c>
      <c r="ET12" s="5" t="str">
        <f t="shared" si="44"/>
        <v/>
      </c>
      <c r="EU12" s="10" t="str">
        <f t="shared" si="45"/>
        <v/>
      </c>
      <c r="EV12" s="174" t="str">
        <f t="shared" si="46"/>
        <v/>
      </c>
      <c r="EW12" s="9" t="str">
        <f t="shared" si="133"/>
        <v/>
      </c>
      <c r="EX12" s="5" t="str">
        <f t="shared" si="47"/>
        <v/>
      </c>
      <c r="EY12" s="6" t="str">
        <f t="shared" si="208"/>
        <v/>
      </c>
      <c r="EZ12" s="51" t="str">
        <f t="shared" si="209"/>
        <v/>
      </c>
      <c r="FA12" s="266" t="str">
        <f t="shared" si="134"/>
        <v/>
      </c>
      <c r="FB12" s="267" t="str">
        <f t="shared" si="135"/>
        <v/>
      </c>
      <c r="FC12" s="269" t="str">
        <f t="shared" si="48"/>
        <v/>
      </c>
      <c r="FD12" s="4" t="str">
        <f t="shared" si="136"/>
        <v/>
      </c>
      <c r="FE12" s="5" t="str">
        <f t="shared" si="49"/>
        <v/>
      </c>
      <c r="FF12" s="7" t="str">
        <f t="shared" si="210"/>
        <v/>
      </c>
      <c r="FG12" s="173" t="str">
        <f t="shared" si="211"/>
        <v/>
      </c>
      <c r="FH12" s="5" t="str">
        <f t="shared" si="50"/>
        <v/>
      </c>
      <c r="FI12" s="10" t="str">
        <f t="shared" si="51"/>
        <v/>
      </c>
      <c r="FJ12" s="279" t="str">
        <f t="shared" si="212"/>
        <v/>
      </c>
      <c r="FK12" s="4" t="str">
        <f t="shared" si="52"/>
        <v/>
      </c>
      <c r="FL12" s="5" t="str">
        <f t="shared" si="213"/>
        <v/>
      </c>
      <c r="FM12" s="8" t="str">
        <f t="shared" si="214"/>
        <v/>
      </c>
      <c r="FN12" s="9" t="str">
        <f t="shared" si="215"/>
        <v/>
      </c>
      <c r="FO12" s="10" t="str">
        <f t="shared" si="53"/>
        <v/>
      </c>
      <c r="FP12" s="277" t="str">
        <f t="shared" si="54"/>
        <v/>
      </c>
      <c r="FQ12" s="173" t="str">
        <f t="shared" ref="FQ12:FQ74" si="243">IF(ISNUMBER($AV12),SIN(RADIANS(FN12)),"")</f>
        <v/>
      </c>
      <c r="FR12" s="10" t="str">
        <f t="shared" si="216"/>
        <v/>
      </c>
      <c r="FS12" s="9" t="str">
        <f t="shared" si="217"/>
        <v/>
      </c>
      <c r="FT12" s="6" t="str">
        <f t="shared" si="218"/>
        <v/>
      </c>
      <c r="FU12" s="4" t="str">
        <f t="shared" si="219"/>
        <v/>
      </c>
      <c r="FV12" s="5" t="str">
        <f t="shared" si="220"/>
        <v/>
      </c>
      <c r="FW12" s="8" t="str">
        <f t="shared" ref="FW12:FW74" si="244">IF(ISNUMBER($AV12),SQRT(FG12^2+FI12^2),"")</f>
        <v/>
      </c>
      <c r="FX12" s="9" t="str">
        <f t="shared" ref="FX12:FX74" si="245">IF(ISNUMBER($AV12),DEGREES(ACOS((FU12^2+FV12^2-FW12^2)/(2*FU12*FV12))),"")</f>
        <v/>
      </c>
      <c r="FY12" s="10" t="str">
        <f t="shared" si="55"/>
        <v/>
      </c>
      <c r="FZ12" s="277" t="str">
        <f t="shared" ref="FZ12:FZ74" si="246">IF(ISNUMBER($AV12),FX12*FY12,"")</f>
        <v/>
      </c>
      <c r="GA12" s="177" t="str">
        <f t="shared" si="221"/>
        <v/>
      </c>
      <c r="GB12" s="4" t="str">
        <f t="shared" si="222"/>
        <v/>
      </c>
      <c r="GC12" s="5" t="str">
        <f t="shared" si="223"/>
        <v/>
      </c>
      <c r="GD12" s="10" t="str">
        <f t="shared" si="224"/>
        <v/>
      </c>
      <c r="GE12" s="311" t="str">
        <f t="shared" si="225"/>
        <v/>
      </c>
      <c r="GF12" s="341" t="str">
        <f t="shared" ref="GF12:GF74" si="247">IF(ISNUMBER($AV12),1/GE12,"")</f>
        <v/>
      </c>
      <c r="GG12" s="285" t="str">
        <f t="shared" si="56"/>
        <v/>
      </c>
      <c r="GH12" s="286" t="str">
        <f t="shared" si="57"/>
        <v/>
      </c>
      <c r="GI12" s="281" t="str">
        <f t="shared" si="58"/>
        <v/>
      </c>
      <c r="GJ12" s="167" t="str">
        <f t="shared" si="226"/>
        <v/>
      </c>
      <c r="GK12" s="174" t="str">
        <f t="shared" si="59"/>
        <v/>
      </c>
      <c r="GL12" s="174" t="str">
        <f t="shared" si="227"/>
        <v/>
      </c>
      <c r="GM12" s="177" t="str">
        <f t="shared" ref="GM12:GM74" si="248">IF(ISNUMBER($AV12),AZ12,"")</f>
        <v/>
      </c>
      <c r="GN12" s="280" t="str">
        <f t="shared" si="228"/>
        <v/>
      </c>
      <c r="GO12" s="4" t="str">
        <f t="shared" si="229"/>
        <v/>
      </c>
      <c r="GP12" s="8" t="str">
        <f t="shared" ref="GP12:GP74" si="249">IF(ISNUMBER($AV12),FZ12,"")</f>
        <v/>
      </c>
      <c r="GQ12" s="177" t="str">
        <f t="shared" si="230"/>
        <v/>
      </c>
      <c r="GR12" s="371" t="str">
        <f t="shared" ref="GR12:GR74" si="250">IF(ISNUMBER($AV12),GS12+GU12+GY12,"")</f>
        <v/>
      </c>
      <c r="GS12" s="342" t="str">
        <f t="shared" si="61"/>
        <v/>
      </c>
      <c r="GT12" s="343" t="str">
        <f t="shared" si="6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64"/>
        <v/>
      </c>
      <c r="GX12" s="346" t="str">
        <f>IF(ISNUMBER($AV12),($GJ12/12)*$GV12,"")</f>
        <v/>
      </c>
      <c r="GY12" s="344" t="str">
        <f t="shared" si="66"/>
        <v/>
      </c>
      <c r="GZ12" s="345" t="str">
        <f t="shared" si="67"/>
        <v/>
      </c>
      <c r="HA12" s="342" t="str">
        <f t="shared" si="68"/>
        <v/>
      </c>
      <c r="HB12" s="5" t="str">
        <f t="shared" si="231"/>
        <v/>
      </c>
      <c r="HC12" s="343" t="str">
        <f t="shared" si="232"/>
        <v/>
      </c>
      <c r="HD12" s="345" t="str">
        <f t="shared" si="233"/>
        <v/>
      </c>
      <c r="HE12" s="344" t="str">
        <f t="shared" si="69"/>
        <v/>
      </c>
      <c r="HF12" s="5" t="str">
        <f t="shared" si="70"/>
        <v/>
      </c>
      <c r="HG12" s="343" t="str">
        <f t="shared" si="234"/>
        <v/>
      </c>
      <c r="HH12" s="349" t="str">
        <f t="shared" si="235"/>
        <v/>
      </c>
      <c r="HI12" s="317" t="str">
        <f t="shared" si="71"/>
        <v/>
      </c>
      <c r="HJ12" s="336"/>
      <c r="HK12" s="310">
        <f t="shared" si="137"/>
        <v>4</v>
      </c>
      <c r="HL12" s="348">
        <f t="shared" si="72"/>
        <v>1.1040000000000001</v>
      </c>
      <c r="HM12" s="909" t="e">
        <f t="shared" si="138"/>
        <v>#DIV/0!</v>
      </c>
      <c r="HN12" s="910">
        <f t="shared" si="73"/>
        <v>15.00983650799305</v>
      </c>
      <c r="HO12" s="911"/>
      <c r="HP12" s="912"/>
      <c r="HQ12" s="910" t="e">
        <f t="shared" si="74"/>
        <v>#DIV/0!</v>
      </c>
      <c r="HR12" s="913" t="e">
        <f t="shared" si="75"/>
        <v>#DIV/0!</v>
      </c>
      <c r="HS12" s="865">
        <f>IFERROR(SMALL($GJ$9:$GJ$150,($HK11+1)),"")</f>
        <v>0.93310000000000004</v>
      </c>
      <c r="HT12" s="875">
        <f t="shared" si="76"/>
        <v>5.7200000000000001E-2</v>
      </c>
      <c r="HU12" s="876">
        <f t="shared" si="77"/>
        <v>0.3356592079101951</v>
      </c>
      <c r="HV12" s="872">
        <f t="shared" si="78"/>
        <v>6.0098606360229082E-2</v>
      </c>
      <c r="HW12" s="866">
        <f t="shared" si="79"/>
        <v>29500</v>
      </c>
      <c r="HX12" s="867">
        <f t="shared" si="80"/>
        <v>131.20941166666668</v>
      </c>
      <c r="HY12" s="866" t="e">
        <f t="shared" si="81"/>
        <v>#DIV/0!</v>
      </c>
      <c r="HZ12" s="868">
        <f t="shared" si="82"/>
        <v>825.16221944589643</v>
      </c>
      <c r="IA12" s="869" t="e">
        <f t="shared" si="83"/>
        <v>#DIV/0!</v>
      </c>
      <c r="IB12" s="870" t="e">
        <f t="shared" si="84"/>
        <v>#DIV/0!</v>
      </c>
      <c r="IC12" s="841" t="e">
        <f t="shared" si="85"/>
        <v>#DIV/0!</v>
      </c>
      <c r="ID12" s="351">
        <f t="shared" si="86"/>
        <v>1687.4</v>
      </c>
      <c r="IE12" s="843" t="e">
        <f t="shared" si="87"/>
        <v>#DIV/0!</v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5.2976158196081355E-2</v>
      </c>
      <c r="C13" s="572">
        <f t="shared" si="3"/>
        <v>3.2322433768236682</v>
      </c>
      <c r="D13" s="576">
        <f t="shared" si="4"/>
        <v>-0.53575435361208912</v>
      </c>
      <c r="E13" s="580">
        <f t="shared" si="5"/>
        <v>-0.95880790980406616</v>
      </c>
      <c r="F13" s="572">
        <f t="shared" si="6"/>
        <v>0.23283115881656075</v>
      </c>
      <c r="G13" s="579">
        <f t="shared" si="7"/>
        <v>0.16271768060446049</v>
      </c>
      <c r="H13" s="580">
        <f t="shared" si="8"/>
        <v>0.3125</v>
      </c>
      <c r="I13" s="572">
        <f t="shared" si="9"/>
        <v>0.52</v>
      </c>
      <c r="J13" s="483">
        <f t="shared" si="10"/>
        <v>1.113</v>
      </c>
      <c r="K13" s="806">
        <f t="shared" si="11"/>
        <v>1613</v>
      </c>
      <c r="L13" s="717" t="str">
        <f>IF($L12=$JJ$22,$JJ$29,IF($L12=$JK$22,$JK$29,""))</f>
        <v/>
      </c>
      <c r="M13" s="164">
        <f t="shared" si="12"/>
        <v>1.113</v>
      </c>
      <c r="N13" s="575">
        <f t="shared" si="13"/>
        <v>5.2976158196081355E-2</v>
      </c>
      <c r="O13" s="572">
        <f t="shared" si="14"/>
        <v>3.2322433768236682</v>
      </c>
      <c r="P13" s="576">
        <f t="shared" si="15"/>
        <v>-0.53575435361208912</v>
      </c>
      <c r="Q13" s="528">
        <f t="shared" si="140"/>
        <v>89.061011756021529</v>
      </c>
      <c r="R13" s="572">
        <f t="shared" si="101"/>
        <v>3.2326774847419726</v>
      </c>
      <c r="S13" s="577">
        <f t="shared" si="102"/>
        <v>-0.53575435361208912</v>
      </c>
      <c r="T13" s="578">
        <f>IF(M13="","",X13*COS(RADIANS(W13)))</f>
        <v>3.2323459011523448</v>
      </c>
      <c r="U13" s="572">
        <f t="shared" si="104"/>
        <v>-4.6300061137346131E-2</v>
      </c>
      <c r="V13" s="579">
        <f t="shared" si="141"/>
        <v>-0.53575435361208912</v>
      </c>
      <c r="W13" s="528">
        <f t="shared" si="16"/>
        <v>359.17935246806172</v>
      </c>
      <c r="X13" s="572">
        <f t="shared" si="105"/>
        <v>3.2326774847419726</v>
      </c>
      <c r="Y13" s="573">
        <f t="shared" si="17"/>
        <v>-0.53575435361208912</v>
      </c>
      <c r="Z13" s="575">
        <f t="shared" si="18"/>
        <v>0.95880790980406616</v>
      </c>
      <c r="AA13" s="572">
        <f t="shared" si="19"/>
        <v>-0.23283115881656075</v>
      </c>
      <c r="AB13" s="572">
        <f t="shared" si="20"/>
        <v>-0.16271768060446049</v>
      </c>
      <c r="AC13" s="579">
        <f t="shared" si="106"/>
        <v>1</v>
      </c>
      <c r="AD13" s="580">
        <f>IF(M13="","",Z13*(1/SQRT(Z13^2+AA13^2+AB13^2)))</f>
        <v>0.95880790980406616</v>
      </c>
      <c r="AE13" s="572">
        <f t="shared" si="107"/>
        <v>-0.23283115881656075</v>
      </c>
      <c r="AF13" s="576">
        <f t="shared" si="108"/>
        <v>-0.16271768060446049</v>
      </c>
      <c r="AG13" s="545">
        <f>IF(M13="","",DEGREES(ATAN2(-AF13,AE13)))</f>
        <v>-55.051625893531373</v>
      </c>
      <c r="AH13" s="546">
        <f t="shared" si="110"/>
        <v>16.50238535934924</v>
      </c>
      <c r="AI13" s="528">
        <f t="shared" si="111"/>
        <v>-80.635324526297154</v>
      </c>
      <c r="AJ13" s="529">
        <f t="shared" si="112"/>
        <v>76.350833074423136</v>
      </c>
      <c r="AK13" s="578">
        <f t="shared" si="238"/>
        <v>0.96249472182070495</v>
      </c>
      <c r="AL13" s="572">
        <f t="shared" si="113"/>
        <v>-0.21708723335559935</v>
      </c>
      <c r="AM13" s="577">
        <f t="shared" si="114"/>
        <v>-0.16271768060446049</v>
      </c>
      <c r="AN13" s="524">
        <f t="shared" si="115"/>
        <v>-53.146616424137278</v>
      </c>
      <c r="AO13" s="525">
        <f t="shared" si="116"/>
        <v>15.741663259343115</v>
      </c>
      <c r="AP13" s="528">
        <f t="shared" si="117"/>
        <v>-12.710178681598382</v>
      </c>
      <c r="AQ13" s="529">
        <f t="shared" si="21"/>
        <v>0.7051775290036294</v>
      </c>
      <c r="AS13" s="932">
        <f t="shared" si="143"/>
        <v>-0.82064753193827755</v>
      </c>
      <c r="AT13" s="928">
        <f t="shared" si="22"/>
        <v>-0.5337074091546723</v>
      </c>
      <c r="AU13" s="418"/>
      <c r="AV13" s="164" t="str">
        <f t="shared" si="23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4"/>
        <v/>
      </c>
      <c r="BA13" s="296" t="str">
        <f t="shared" si="24"/>
        <v/>
      </c>
      <c r="BB13" s="291" t="str">
        <f t="shared" si="145"/>
        <v/>
      </c>
      <c r="BC13" s="9"/>
      <c r="BD13" s="5" t="str">
        <f t="shared" si="146"/>
        <v/>
      </c>
      <c r="BE13" s="6" t="str">
        <f t="shared" si="25"/>
        <v/>
      </c>
      <c r="BF13" s="4" t="str">
        <f t="shared" si="26"/>
        <v/>
      </c>
      <c r="BG13" s="5" t="str">
        <f t="shared" si="27"/>
        <v/>
      </c>
      <c r="BH13" s="10" t="str">
        <f t="shared" si="28"/>
        <v/>
      </c>
      <c r="BI13" s="9" t="str">
        <f t="shared" si="147"/>
        <v/>
      </c>
      <c r="BJ13" s="5" t="str">
        <f t="shared" si="29"/>
        <v/>
      </c>
      <c r="BK13" s="8" t="str">
        <f t="shared" si="30"/>
        <v/>
      </c>
      <c r="BL13" s="173" t="str">
        <f t="shared" si="31"/>
        <v/>
      </c>
      <c r="BM13" s="5" t="str">
        <f t="shared" si="32"/>
        <v/>
      </c>
      <c r="BN13" s="6" t="str">
        <f t="shared" si="33"/>
        <v/>
      </c>
      <c r="BO13" s="4" t="str">
        <f t="shared" si="148"/>
        <v/>
      </c>
      <c r="BP13" s="5" t="str">
        <f t="shared" si="239"/>
        <v/>
      </c>
      <c r="BQ13" s="5" t="str">
        <f t="shared" si="149"/>
        <v/>
      </c>
      <c r="BR13" s="6" t="str">
        <f t="shared" si="150"/>
        <v/>
      </c>
      <c r="BS13" s="4" t="str">
        <f t="shared" si="118"/>
        <v/>
      </c>
      <c r="BT13" s="5" t="str">
        <f t="shared" si="118"/>
        <v/>
      </c>
      <c r="BU13" s="10" t="str">
        <f t="shared" si="119"/>
        <v/>
      </c>
      <c r="BV13" s="9" t="str">
        <f t="shared" si="120"/>
        <v/>
      </c>
      <c r="BW13" s="5" t="str">
        <f t="shared" si="121"/>
        <v/>
      </c>
      <c r="BX13" s="8" t="str">
        <f t="shared" si="122"/>
        <v/>
      </c>
      <c r="BY13" s="173" t="str">
        <f t="shared" si="123"/>
        <v/>
      </c>
      <c r="BZ13" s="5" t="str">
        <f t="shared" si="124"/>
        <v/>
      </c>
      <c r="CA13" s="6" t="str">
        <f t="shared" si="125"/>
        <v/>
      </c>
      <c r="CB13" s="4" t="str">
        <f t="shared" si="151"/>
        <v/>
      </c>
      <c r="CC13" s="5" t="str">
        <f t="shared" si="152"/>
        <v/>
      </c>
      <c r="CD13" s="5" t="str">
        <f t="shared" si="153"/>
        <v/>
      </c>
      <c r="CE13" s="6" t="str">
        <f t="shared" si="154"/>
        <v/>
      </c>
      <c r="CF13" s="4" t="str">
        <f t="shared" si="155"/>
        <v/>
      </c>
      <c r="CG13" s="5" t="str">
        <f t="shared" si="156"/>
        <v/>
      </c>
      <c r="CH13" s="5" t="str">
        <f t="shared" si="157"/>
        <v/>
      </c>
      <c r="CI13" s="4" t="str">
        <f t="shared" si="126"/>
        <v/>
      </c>
      <c r="CJ13" s="5" t="str">
        <f t="shared" si="127"/>
        <v/>
      </c>
      <c r="CK13" s="8" t="str">
        <f t="shared" si="128"/>
        <v/>
      </c>
      <c r="CL13" s="173" t="str">
        <f t="shared" si="129"/>
        <v/>
      </c>
      <c r="CM13" s="5" t="str">
        <f t="shared" si="130"/>
        <v/>
      </c>
      <c r="CN13" s="6" t="str">
        <f t="shared" si="131"/>
        <v/>
      </c>
      <c r="CO13" s="167" t="str">
        <f t="shared" si="35"/>
        <v/>
      </c>
      <c r="CP13" s="4" t="str">
        <f t="shared" si="240"/>
        <v/>
      </c>
      <c r="CQ13" s="5" t="str">
        <f t="shared" si="241"/>
        <v/>
      </c>
      <c r="CR13" s="5" t="str">
        <f t="shared" si="158"/>
        <v/>
      </c>
      <c r="CS13" s="8" t="str">
        <f t="shared" si="159"/>
        <v/>
      </c>
      <c r="CT13" s="9" t="str">
        <f t="shared" si="160"/>
        <v/>
      </c>
      <c r="CU13" s="6" t="str">
        <f t="shared" si="161"/>
        <v/>
      </c>
      <c r="CV13" s="4" t="str">
        <f t="shared" si="242"/>
        <v/>
      </c>
      <c r="CW13" s="5" t="str">
        <f t="shared" si="162"/>
        <v/>
      </c>
      <c r="CX13" s="8" t="str">
        <f t="shared" si="163"/>
        <v/>
      </c>
      <c r="CY13" s="9" t="str">
        <f t="shared" si="164"/>
        <v/>
      </c>
      <c r="CZ13" s="5" t="str">
        <f t="shared" si="165"/>
        <v/>
      </c>
      <c r="DA13" s="6" t="str">
        <f t="shared" si="166"/>
        <v/>
      </c>
      <c r="DB13" s="4" t="str">
        <f t="shared" si="167"/>
        <v/>
      </c>
      <c r="DC13" s="5" t="str">
        <f t="shared" si="167"/>
        <v/>
      </c>
      <c r="DD13" s="10" t="str">
        <f t="shared" si="168"/>
        <v/>
      </c>
      <c r="DE13" s="9" t="str">
        <f t="shared" si="169"/>
        <v/>
      </c>
      <c r="DF13" s="5" t="str">
        <f t="shared" si="169"/>
        <v/>
      </c>
      <c r="DG13" s="10" t="str">
        <f t="shared" si="170"/>
        <v/>
      </c>
      <c r="DH13" s="70" t="str">
        <f t="shared" si="171"/>
        <v/>
      </c>
      <c r="DI13" s="4" t="str">
        <f t="shared" si="172"/>
        <v/>
      </c>
      <c r="DJ13" s="5" t="str">
        <f t="shared" si="173"/>
        <v/>
      </c>
      <c r="DK13" s="10" t="str">
        <f t="shared" si="174"/>
        <v/>
      </c>
      <c r="DL13" s="9" t="str">
        <f t="shared" si="175"/>
        <v/>
      </c>
      <c r="DM13" s="173" t="str">
        <f t="shared" si="176"/>
        <v/>
      </c>
      <c r="DN13" s="178" t="str">
        <f t="shared" si="177"/>
        <v/>
      </c>
      <c r="DO13" s="9" t="str">
        <f t="shared" si="178"/>
        <v/>
      </c>
      <c r="DP13" s="173" t="str">
        <f t="shared" si="179"/>
        <v/>
      </c>
      <c r="DQ13" s="11" t="str">
        <f t="shared" si="180"/>
        <v/>
      </c>
      <c r="DR13" s="173" t="str">
        <f t="shared" si="181"/>
        <v/>
      </c>
      <c r="DS13" s="5" t="str">
        <f t="shared" si="182"/>
        <v/>
      </c>
      <c r="DT13" s="5" t="str">
        <f t="shared" si="183"/>
        <v/>
      </c>
      <c r="DU13" s="5" t="str">
        <f t="shared" si="184"/>
        <v/>
      </c>
      <c r="DV13" s="5" t="str">
        <f t="shared" si="185"/>
        <v/>
      </c>
      <c r="DW13" s="5" t="str">
        <f t="shared" si="186"/>
        <v/>
      </c>
      <c r="DX13" s="167" t="str">
        <f t="shared" si="187"/>
        <v/>
      </c>
      <c r="DY13" s="9" t="str">
        <f t="shared" si="188"/>
        <v/>
      </c>
      <c r="DZ13" s="5" t="str">
        <f t="shared" si="189"/>
        <v/>
      </c>
      <c r="EA13" s="10" t="str">
        <f t="shared" si="190"/>
        <v/>
      </c>
      <c r="EB13" s="6" t="str">
        <f t="shared" si="191"/>
        <v/>
      </c>
      <c r="EC13" s="173" t="str">
        <f t="shared" si="192"/>
        <v/>
      </c>
      <c r="ED13" s="5" t="str">
        <f t="shared" si="193"/>
        <v/>
      </c>
      <c r="EE13" s="4" t="str">
        <f t="shared" si="194"/>
        <v/>
      </c>
      <c r="EF13" s="5" t="str">
        <f t="shared" si="195"/>
        <v/>
      </c>
      <c r="EG13" s="10" t="str">
        <f t="shared" si="196"/>
        <v/>
      </c>
      <c r="EH13" s="9" t="str">
        <f t="shared" si="197"/>
        <v/>
      </c>
      <c r="EI13" s="5" t="str">
        <f t="shared" si="198"/>
        <v/>
      </c>
      <c r="EJ13" s="6" t="str">
        <f t="shared" si="199"/>
        <v/>
      </c>
      <c r="EK13" s="236" t="str">
        <f t="shared" si="200"/>
        <v/>
      </c>
      <c r="EL13" s="238" t="str">
        <f t="shared" si="201"/>
        <v/>
      </c>
      <c r="EM13" s="4" t="str">
        <f t="shared" si="202"/>
        <v/>
      </c>
      <c r="EN13" s="5" t="str">
        <f t="shared" si="203"/>
        <v/>
      </c>
      <c r="EO13" s="10" t="str">
        <f t="shared" si="204"/>
        <v/>
      </c>
      <c r="EP13" s="9" t="str">
        <f t="shared" si="205"/>
        <v/>
      </c>
      <c r="EQ13" s="5" t="str">
        <f t="shared" si="206"/>
        <v/>
      </c>
      <c r="ER13" s="7" t="str">
        <f t="shared" si="207"/>
        <v/>
      </c>
      <c r="ES13" s="21" t="str">
        <f t="shared" si="132"/>
        <v/>
      </c>
      <c r="ET13" s="5" t="str">
        <f t="shared" si="44"/>
        <v/>
      </c>
      <c r="EU13" s="10" t="str">
        <f t="shared" si="45"/>
        <v/>
      </c>
      <c r="EV13" s="174" t="str">
        <f t="shared" si="46"/>
        <v/>
      </c>
      <c r="EW13" s="9" t="str">
        <f t="shared" si="133"/>
        <v/>
      </c>
      <c r="EX13" s="5" t="str">
        <f t="shared" si="47"/>
        <v/>
      </c>
      <c r="EY13" s="6" t="str">
        <f t="shared" si="208"/>
        <v/>
      </c>
      <c r="EZ13" s="51" t="str">
        <f t="shared" si="209"/>
        <v/>
      </c>
      <c r="FA13" s="266" t="str">
        <f t="shared" si="134"/>
        <v/>
      </c>
      <c r="FB13" s="267" t="str">
        <f t="shared" si="135"/>
        <v/>
      </c>
      <c r="FC13" s="269" t="str">
        <f t="shared" si="48"/>
        <v/>
      </c>
      <c r="FD13" s="4" t="str">
        <f t="shared" si="136"/>
        <v/>
      </c>
      <c r="FE13" s="5" t="str">
        <f t="shared" si="49"/>
        <v/>
      </c>
      <c r="FF13" s="7" t="str">
        <f t="shared" si="210"/>
        <v/>
      </c>
      <c r="FG13" s="173" t="str">
        <f t="shared" si="211"/>
        <v/>
      </c>
      <c r="FH13" s="5" t="str">
        <f t="shared" si="50"/>
        <v/>
      </c>
      <c r="FI13" s="10" t="str">
        <f t="shared" si="51"/>
        <v/>
      </c>
      <c r="FJ13" s="279" t="str">
        <f t="shared" si="212"/>
        <v/>
      </c>
      <c r="FK13" s="4" t="str">
        <f t="shared" si="52"/>
        <v/>
      </c>
      <c r="FL13" s="5" t="str">
        <f t="shared" si="213"/>
        <v/>
      </c>
      <c r="FM13" s="8" t="str">
        <f t="shared" si="214"/>
        <v/>
      </c>
      <c r="FN13" s="9" t="str">
        <f t="shared" si="215"/>
        <v/>
      </c>
      <c r="FO13" s="10" t="str">
        <f t="shared" si="53"/>
        <v/>
      </c>
      <c r="FP13" s="277" t="str">
        <f t="shared" si="54"/>
        <v/>
      </c>
      <c r="FQ13" s="173" t="str">
        <f t="shared" si="243"/>
        <v/>
      </c>
      <c r="FR13" s="10" t="str">
        <f t="shared" si="216"/>
        <v/>
      </c>
      <c r="FS13" s="9" t="str">
        <f t="shared" si="217"/>
        <v/>
      </c>
      <c r="FT13" s="6" t="str">
        <f t="shared" si="218"/>
        <v/>
      </c>
      <c r="FU13" s="4" t="str">
        <f t="shared" si="219"/>
        <v/>
      </c>
      <c r="FV13" s="5" t="str">
        <f t="shared" si="220"/>
        <v/>
      </c>
      <c r="FW13" s="8" t="str">
        <f t="shared" si="244"/>
        <v/>
      </c>
      <c r="FX13" s="9" t="str">
        <f t="shared" si="245"/>
        <v/>
      </c>
      <c r="FY13" s="10" t="str">
        <f t="shared" si="55"/>
        <v/>
      </c>
      <c r="FZ13" s="277" t="str">
        <f t="shared" si="246"/>
        <v/>
      </c>
      <c r="GA13" s="177" t="str">
        <f t="shared" si="221"/>
        <v/>
      </c>
      <c r="GB13" s="4" t="str">
        <f t="shared" si="222"/>
        <v/>
      </c>
      <c r="GC13" s="5" t="str">
        <f t="shared" si="223"/>
        <v/>
      </c>
      <c r="GD13" s="10" t="str">
        <f t="shared" si="224"/>
        <v/>
      </c>
      <c r="GE13" s="311" t="str">
        <f t="shared" si="225"/>
        <v/>
      </c>
      <c r="GF13" s="341" t="str">
        <f t="shared" si="247"/>
        <v/>
      </c>
      <c r="GG13" s="285" t="str">
        <f t="shared" si="56"/>
        <v/>
      </c>
      <c r="GH13" s="286" t="str">
        <f t="shared" si="57"/>
        <v/>
      </c>
      <c r="GI13" s="281" t="str">
        <f t="shared" si="58"/>
        <v/>
      </c>
      <c r="GJ13" s="167" t="str">
        <f t="shared" si="226"/>
        <v/>
      </c>
      <c r="GK13" s="174" t="str">
        <f t="shared" si="59"/>
        <v/>
      </c>
      <c r="GL13" s="174" t="str">
        <f t="shared" si="227"/>
        <v/>
      </c>
      <c r="GM13" s="177" t="str">
        <f t="shared" si="248"/>
        <v/>
      </c>
      <c r="GN13" s="280" t="str">
        <f t="shared" si="228"/>
        <v/>
      </c>
      <c r="GO13" s="4" t="str">
        <f t="shared" si="229"/>
        <v/>
      </c>
      <c r="GP13" s="8" t="str">
        <f t="shared" si="249"/>
        <v/>
      </c>
      <c r="GQ13" s="177" t="str">
        <f t="shared" si="230"/>
        <v/>
      </c>
      <c r="GR13" s="371" t="str">
        <f t="shared" si="250"/>
        <v/>
      </c>
      <c r="GS13" s="342" t="str">
        <f t="shared" si="61"/>
        <v/>
      </c>
      <c r="GT13" s="343" t="str">
        <f t="shared" si="62"/>
        <v/>
      </c>
      <c r="GU13" s="344" t="str">
        <f t="shared" si="63"/>
        <v/>
      </c>
      <c r="GV13" s="343" t="str">
        <f>IF(ISNUMBER($AV13),GW13*$GL13,"")</f>
        <v/>
      </c>
      <c r="GW13" s="345" t="str">
        <f t="shared" si="64"/>
        <v/>
      </c>
      <c r="GX13" s="346" t="str">
        <f>IF(ISNUMBER($AV13),($GJ13/12)*$GV13,"")</f>
        <v/>
      </c>
      <c r="GY13" s="344" t="str">
        <f t="shared" si="66"/>
        <v/>
      </c>
      <c r="GZ13" s="345" t="str">
        <f t="shared" si="67"/>
        <v/>
      </c>
      <c r="HA13" s="342" t="str">
        <f t="shared" si="68"/>
        <v/>
      </c>
      <c r="HB13" s="5" t="str">
        <f t="shared" si="231"/>
        <v/>
      </c>
      <c r="HC13" s="343" t="str">
        <f t="shared" si="232"/>
        <v/>
      </c>
      <c r="HD13" s="345" t="str">
        <f t="shared" si="233"/>
        <v/>
      </c>
      <c r="HE13" s="344" t="str">
        <f t="shared" si="69"/>
        <v/>
      </c>
      <c r="HF13" s="5" t="str">
        <f t="shared" si="70"/>
        <v/>
      </c>
      <c r="HG13" s="343" t="str">
        <f t="shared" si="234"/>
        <v/>
      </c>
      <c r="HH13" s="349" t="str">
        <f t="shared" si="235"/>
        <v/>
      </c>
      <c r="HI13" s="317" t="str">
        <f t="shared" si="71"/>
        <v/>
      </c>
      <c r="HJ13" s="336"/>
      <c r="HK13" s="310">
        <f t="shared" si="137"/>
        <v>5</v>
      </c>
      <c r="HL13" s="348">
        <f t="shared" si="72"/>
        <v>5.1050000000000004</v>
      </c>
      <c r="HM13" s="909">
        <f t="shared" si="138"/>
        <v>-2.3034790226705231</v>
      </c>
      <c r="HN13" s="910">
        <f t="shared" si="73"/>
        <v>15.006392172163403</v>
      </c>
      <c r="HO13" s="911"/>
      <c r="HP13" s="912"/>
      <c r="HQ13" s="910">
        <f t="shared" si="74"/>
        <v>13.233847121407077</v>
      </c>
      <c r="HR13" s="913">
        <f t="shared" si="75"/>
        <v>13.048762482183101</v>
      </c>
      <c r="HS13" s="865">
        <f t="shared" ref="HS13:HS41" si="251">IFERROR(SMALL($GJ$9:$GJ$150,($HK12+1)),"")</f>
        <v>1.161</v>
      </c>
      <c r="HT13" s="875">
        <f t="shared" si="76"/>
        <v>5.6800000000000003E-2</v>
      </c>
      <c r="HU13" s="876">
        <f t="shared" si="77"/>
        <v>0.41458665178086257</v>
      </c>
      <c r="HV13" s="872">
        <f t="shared" si="78"/>
        <v>7.4230288937134334E-2</v>
      </c>
      <c r="HW13" s="866">
        <f t="shared" si="79"/>
        <v>29500</v>
      </c>
      <c r="HX13" s="867">
        <f t="shared" si="80"/>
        <v>162.11430000000001</v>
      </c>
      <c r="HY13" s="866">
        <f t="shared" si="81"/>
        <v>40.996972510110339</v>
      </c>
      <c r="HZ13" s="868">
        <f>IF(ISNUMBER($HL13),INDEX(GU$9:GU$150,MATCH($HL13,$AV$9:$AV$150,0)),"")</f>
        <v>1019.1921856279538</v>
      </c>
      <c r="IA13" s="869">
        <f t="shared" si="83"/>
        <v>236.40389290332635</v>
      </c>
      <c r="IB13" s="870">
        <f t="shared" si="84"/>
        <v>1296.5930510413905</v>
      </c>
      <c r="IC13" s="841">
        <f t="shared" si="85"/>
        <v>67.400955488700305</v>
      </c>
      <c r="ID13" s="351">
        <f t="shared" si="86"/>
        <v>1675.6000000000001</v>
      </c>
      <c r="IE13" s="843">
        <f t="shared" si="87"/>
        <v>388.65914450153844</v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1.113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9.058887013420118E-2</v>
      </c>
      <c r="C14" s="572">
        <f t="shared" si="3"/>
        <v>3.5961452882148821</v>
      </c>
      <c r="D14" s="576">
        <f t="shared" si="4"/>
        <v>-1.2059066561393077</v>
      </c>
      <c r="E14" s="580">
        <f t="shared" si="5"/>
        <v>-0.92944350671006348</v>
      </c>
      <c r="F14" s="572">
        <f t="shared" si="6"/>
        <v>0.35773558925588733</v>
      </c>
      <c r="G14" s="579">
        <f t="shared" si="7"/>
        <v>9.0332806965372658E-2</v>
      </c>
      <c r="H14" s="580">
        <f t="shared" si="8"/>
        <v>0.3125</v>
      </c>
      <c r="I14" s="572">
        <f t="shared" si="9"/>
        <v>0.52</v>
      </c>
      <c r="J14" s="483">
        <f t="shared" si="10"/>
        <v>1.1160000000000001</v>
      </c>
      <c r="K14" s="806">
        <f t="shared" si="11"/>
        <v>1613</v>
      </c>
      <c r="L14" s="719" t="s">
        <v>358</v>
      </c>
      <c r="M14" s="164">
        <f t="shared" si="12"/>
        <v>1.1160000000000001</v>
      </c>
      <c r="N14" s="575">
        <f t="shared" si="13"/>
        <v>9.058887013420118E-2</v>
      </c>
      <c r="O14" s="572">
        <f t="shared" si="14"/>
        <v>3.5961452882148821</v>
      </c>
      <c r="P14" s="576">
        <f t="shared" si="15"/>
        <v>-1.2059066561393077</v>
      </c>
      <c r="Q14" s="528">
        <f t="shared" si="140"/>
        <v>88.556993096739745</v>
      </c>
      <c r="R14" s="572">
        <f t="shared" si="101"/>
        <v>3.5972860989004318</v>
      </c>
      <c r="S14" s="577">
        <f>IF(M14="","",P14)</f>
        <v>-1.2059066561393077</v>
      </c>
      <c r="T14" s="578">
        <f t="shared" si="103"/>
        <v>3.596324722895917</v>
      </c>
      <c r="U14" s="572">
        <f t="shared" si="104"/>
        <v>-8.3161077613827128E-2</v>
      </c>
      <c r="V14" s="579">
        <f t="shared" si="141"/>
        <v>-1.2059066561393077</v>
      </c>
      <c r="W14" s="528">
        <f>IF(M14="","",IF(Q14-$Q$8&lt;0,360+Q14-$Q$8,Q14-$Q$8))</f>
        <v>358.67533380877995</v>
      </c>
      <c r="X14" s="572">
        <f t="shared" si="105"/>
        <v>3.5972860989004318</v>
      </c>
      <c r="Y14" s="573">
        <f t="shared" si="17"/>
        <v>-1.2059066561393077</v>
      </c>
      <c r="Z14" s="575">
        <f t="shared" si="18"/>
        <v>0.92944350671006348</v>
      </c>
      <c r="AA14" s="572">
        <f t="shared" si="19"/>
        <v>-0.35773558925588733</v>
      </c>
      <c r="AB14" s="572">
        <f t="shared" si="20"/>
        <v>-9.0332806965372658E-2</v>
      </c>
      <c r="AC14" s="579">
        <f t="shared" si="106"/>
        <v>1</v>
      </c>
      <c r="AD14" s="580">
        <f>IF(M14="","",Z14*(1/SQRT(Z14^2+AA14^2+AB14^2)))</f>
        <v>0.92944350671006348</v>
      </c>
      <c r="AE14" s="572">
        <f t="shared" si="107"/>
        <v>-0.35773558925588733</v>
      </c>
      <c r="AF14" s="576">
        <f t="shared" si="108"/>
        <v>-9.0332806965372658E-2</v>
      </c>
      <c r="AG14" s="545">
        <f t="shared" si="109"/>
        <v>-75.828334263964408</v>
      </c>
      <c r="AH14" s="546">
        <f t="shared" si="110"/>
        <v>21.651766611961214</v>
      </c>
      <c r="AI14" s="528">
        <f t="shared" si="111"/>
        <v>-84.817246485695918</v>
      </c>
      <c r="AJ14" s="529">
        <f t="shared" si="112"/>
        <v>68.948671981268504</v>
      </c>
      <c r="AK14" s="578">
        <f>IF(M14="","",(COS(RADIANS((90-$Q$8)-W14))*AD14)+(-SIN(RADIANS((90-$Q$8)-W14))*AE14))</f>
        <v>0.93815744907983933</v>
      </c>
      <c r="AL14" s="572">
        <f t="shared" si="113"/>
        <v>-0.33421637410780081</v>
      </c>
      <c r="AM14" s="577">
        <f t="shared" si="114"/>
        <v>-9.0332806965372658E-2</v>
      </c>
      <c r="AN14" s="524">
        <f t="shared" si="115"/>
        <v>-74.875344501659086</v>
      </c>
      <c r="AO14" s="525">
        <f t="shared" si="116"/>
        <v>20.255608840893711</v>
      </c>
      <c r="AP14" s="528">
        <f>IF(M14="","",DEGREES(ATAN2(AK14,AL14)))</f>
        <v>-19.608321115471217</v>
      </c>
      <c r="AQ14" s="529">
        <f t="shared" si="21"/>
        <v>0.63370930430746431</v>
      </c>
      <c r="AS14" s="932">
        <f t="shared" si="143"/>
        <v>-1.3246661912200466</v>
      </c>
      <c r="AT14" s="928">
        <f>IF(M14="","",Y14+(((AS14-$AS$9)*$AS$6)*-1))</f>
        <v>-1.2035096987240563</v>
      </c>
      <c r="AU14" s="418"/>
      <c r="AV14" s="164" t="str">
        <f t="shared" si="23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4"/>
        <v/>
      </c>
      <c r="BA14" s="296" t="str">
        <f t="shared" si="24"/>
        <v/>
      </c>
      <c r="BB14" s="291" t="str">
        <f>IF(ISNUMBER($AV14),$AX14-($AT14+$AS$5),"")</f>
        <v/>
      </c>
      <c r="BC14" s="9"/>
      <c r="BD14" s="5" t="str">
        <f t="shared" si="146"/>
        <v/>
      </c>
      <c r="BE14" s="6" t="str">
        <f>IF(ISNUMBER(AV14),Y14+BB14,"")</f>
        <v/>
      </c>
      <c r="BF14" s="4" t="str">
        <f t="shared" si="26"/>
        <v/>
      </c>
      <c r="BG14" s="5" t="str">
        <f t="shared" si="27"/>
        <v/>
      </c>
      <c r="BH14" s="10" t="str">
        <f t="shared" si="28"/>
        <v/>
      </c>
      <c r="BI14" s="9" t="str">
        <f t="shared" si="147"/>
        <v/>
      </c>
      <c r="BJ14" s="5" t="str">
        <f t="shared" si="29"/>
        <v/>
      </c>
      <c r="BK14" s="8" t="str">
        <f t="shared" si="30"/>
        <v/>
      </c>
      <c r="BL14" s="173" t="str">
        <f t="shared" si="31"/>
        <v/>
      </c>
      <c r="BM14" s="5" t="str">
        <f t="shared" si="32"/>
        <v/>
      </c>
      <c r="BN14" s="6" t="str">
        <f t="shared" si="33"/>
        <v/>
      </c>
      <c r="BO14" s="4" t="str">
        <f t="shared" si="148"/>
        <v/>
      </c>
      <c r="BP14" s="5" t="str">
        <f t="shared" si="239"/>
        <v/>
      </c>
      <c r="BQ14" s="5" t="str">
        <f t="shared" si="149"/>
        <v/>
      </c>
      <c r="BR14" s="6" t="str">
        <f t="shared" si="150"/>
        <v/>
      </c>
      <c r="BS14" s="4" t="str">
        <f t="shared" si="118"/>
        <v/>
      </c>
      <c r="BT14" s="5" t="str">
        <f t="shared" si="118"/>
        <v/>
      </c>
      <c r="BU14" s="10" t="str">
        <f t="shared" si="119"/>
        <v/>
      </c>
      <c r="BV14" s="9" t="str">
        <f t="shared" si="120"/>
        <v/>
      </c>
      <c r="BW14" s="5" t="str">
        <f t="shared" si="121"/>
        <v/>
      </c>
      <c r="BX14" s="8" t="str">
        <f t="shared" si="122"/>
        <v/>
      </c>
      <c r="BY14" s="173" t="str">
        <f t="shared" si="123"/>
        <v/>
      </c>
      <c r="BZ14" s="5" t="str">
        <f t="shared" si="124"/>
        <v/>
      </c>
      <c r="CA14" s="6" t="str">
        <f t="shared" si="125"/>
        <v/>
      </c>
      <c r="CB14" s="4" t="str">
        <f t="shared" si="151"/>
        <v/>
      </c>
      <c r="CC14" s="5" t="str">
        <f t="shared" si="152"/>
        <v/>
      </c>
      <c r="CD14" s="5" t="str">
        <f t="shared" si="153"/>
        <v/>
      </c>
      <c r="CE14" s="6" t="str">
        <f t="shared" si="154"/>
        <v/>
      </c>
      <c r="CF14" s="4" t="str">
        <f t="shared" si="155"/>
        <v/>
      </c>
      <c r="CG14" s="5" t="str">
        <f t="shared" si="156"/>
        <v/>
      </c>
      <c r="CH14" s="5" t="str">
        <f t="shared" si="157"/>
        <v/>
      </c>
      <c r="CI14" s="4" t="str">
        <f t="shared" si="126"/>
        <v/>
      </c>
      <c r="CJ14" s="5" t="str">
        <f t="shared" si="127"/>
        <v/>
      </c>
      <c r="CK14" s="8" t="str">
        <f t="shared" si="128"/>
        <v/>
      </c>
      <c r="CL14" s="173" t="str">
        <f t="shared" si="129"/>
        <v/>
      </c>
      <c r="CM14" s="5" t="str">
        <f t="shared" si="130"/>
        <v/>
      </c>
      <c r="CN14" s="6" t="str">
        <f t="shared" si="131"/>
        <v/>
      </c>
      <c r="CO14" s="167" t="str">
        <f t="shared" si="35"/>
        <v/>
      </c>
      <c r="CP14" s="4" t="str">
        <f t="shared" si="240"/>
        <v/>
      </c>
      <c r="CQ14" s="5" t="str">
        <f t="shared" si="241"/>
        <v/>
      </c>
      <c r="CR14" s="5" t="str">
        <f t="shared" si="158"/>
        <v/>
      </c>
      <c r="CS14" s="8" t="str">
        <f t="shared" si="159"/>
        <v/>
      </c>
      <c r="CT14" s="9" t="str">
        <f t="shared" si="160"/>
        <v/>
      </c>
      <c r="CU14" s="6" t="str">
        <f t="shared" si="161"/>
        <v/>
      </c>
      <c r="CV14" s="4" t="str">
        <f>IF(ISNUMBER($AV14),CI14+($CT14*(CL14-CI14)),"")</f>
        <v/>
      </c>
      <c r="CW14" s="5" t="str">
        <f t="shared" si="162"/>
        <v/>
      </c>
      <c r="CX14" s="8" t="str">
        <f t="shared" si="163"/>
        <v/>
      </c>
      <c r="CY14" s="9" t="str">
        <f t="shared" si="164"/>
        <v/>
      </c>
      <c r="CZ14" s="5" t="str">
        <f t="shared" si="165"/>
        <v/>
      </c>
      <c r="DA14" s="6" t="str">
        <f t="shared" si="166"/>
        <v/>
      </c>
      <c r="DB14" s="4" t="str">
        <f t="shared" si="167"/>
        <v/>
      </c>
      <c r="DC14" s="5" t="str">
        <f t="shared" si="167"/>
        <v/>
      </c>
      <c r="DD14" s="10" t="str">
        <f t="shared" si="168"/>
        <v/>
      </c>
      <c r="DE14" s="9" t="str">
        <f t="shared" si="169"/>
        <v/>
      </c>
      <c r="DF14" s="5" t="str">
        <f t="shared" si="169"/>
        <v/>
      </c>
      <c r="DG14" s="10" t="str">
        <f t="shared" si="170"/>
        <v/>
      </c>
      <c r="DH14" s="70" t="str">
        <f t="shared" si="171"/>
        <v/>
      </c>
      <c r="DI14" s="4" t="str">
        <f t="shared" si="172"/>
        <v/>
      </c>
      <c r="DJ14" s="5" t="str">
        <f t="shared" si="173"/>
        <v/>
      </c>
      <c r="DK14" s="10" t="str">
        <f t="shared" si="174"/>
        <v/>
      </c>
      <c r="DL14" s="9" t="str">
        <f t="shared" si="175"/>
        <v/>
      </c>
      <c r="DM14" s="173" t="str">
        <f t="shared" si="176"/>
        <v/>
      </c>
      <c r="DN14" s="178" t="str">
        <f t="shared" si="177"/>
        <v/>
      </c>
      <c r="DO14" s="9" t="str">
        <f t="shared" si="178"/>
        <v/>
      </c>
      <c r="DP14" s="173" t="str">
        <f t="shared" si="179"/>
        <v/>
      </c>
      <c r="DQ14" s="11" t="str">
        <f t="shared" si="180"/>
        <v/>
      </c>
      <c r="DR14" s="173" t="str">
        <f t="shared" si="181"/>
        <v/>
      </c>
      <c r="DS14" s="5" t="str">
        <f t="shared" si="182"/>
        <v/>
      </c>
      <c r="DT14" s="5" t="str">
        <f t="shared" si="183"/>
        <v/>
      </c>
      <c r="DU14" s="5" t="str">
        <f t="shared" si="184"/>
        <v/>
      </c>
      <c r="DV14" s="5" t="str">
        <f t="shared" si="185"/>
        <v/>
      </c>
      <c r="DW14" s="5" t="str">
        <f t="shared" si="186"/>
        <v/>
      </c>
      <c r="DX14" s="167" t="str">
        <f t="shared" si="187"/>
        <v/>
      </c>
      <c r="DY14" s="9" t="str">
        <f t="shared" si="188"/>
        <v/>
      </c>
      <c r="DZ14" s="5" t="str">
        <f t="shared" si="189"/>
        <v/>
      </c>
      <c r="EA14" s="10" t="str">
        <f t="shared" si="190"/>
        <v/>
      </c>
      <c r="EB14" s="6" t="str">
        <f t="shared" si="191"/>
        <v/>
      </c>
      <c r="EC14" s="173" t="str">
        <f t="shared" si="192"/>
        <v/>
      </c>
      <c r="ED14" s="5" t="str">
        <f t="shared" si="193"/>
        <v/>
      </c>
      <c r="EE14" s="4" t="str">
        <f t="shared" si="194"/>
        <v/>
      </c>
      <c r="EF14" s="5" t="str">
        <f t="shared" si="195"/>
        <v/>
      </c>
      <c r="EG14" s="10" t="str">
        <f t="shared" si="196"/>
        <v/>
      </c>
      <c r="EH14" s="9" t="str">
        <f t="shared" si="197"/>
        <v/>
      </c>
      <c r="EI14" s="5" t="str">
        <f t="shared" si="198"/>
        <v/>
      </c>
      <c r="EJ14" s="6" t="str">
        <f t="shared" si="199"/>
        <v/>
      </c>
      <c r="EK14" s="236" t="str">
        <f t="shared" si="200"/>
        <v/>
      </c>
      <c r="EL14" s="238" t="str">
        <f t="shared" si="201"/>
        <v/>
      </c>
      <c r="EM14" s="4" t="str">
        <f t="shared" si="202"/>
        <v/>
      </c>
      <c r="EN14" s="5" t="str">
        <f t="shared" si="203"/>
        <v/>
      </c>
      <c r="EO14" s="10" t="str">
        <f t="shared" si="204"/>
        <v/>
      </c>
      <c r="EP14" s="9" t="str">
        <f>IF(ISNUMBER($AV14),IF(DEGREES(ATAN2(EM14,EN14))&lt;0,DEGREES(ATAN2(EM14,EN14))+360,IF(DEGREES(ATAN2(EM14,EN14))&gt;360,DEGREES(ATAN2(EM14,EN14))-360,DEGREES(ATAN2(EM14,EN14)))),"")</f>
        <v/>
      </c>
      <c r="EQ14" s="5" t="str">
        <f t="shared" si="206"/>
        <v/>
      </c>
      <c r="ER14" s="7" t="str">
        <f t="shared" si="207"/>
        <v/>
      </c>
      <c r="ES14" s="21" t="str">
        <f>IF(ISNUMBER($AV14),AD14,"")</f>
        <v/>
      </c>
      <c r="ET14" s="5" t="str">
        <f t="shared" si="44"/>
        <v/>
      </c>
      <c r="EU14" s="10" t="str">
        <f t="shared" si="45"/>
        <v/>
      </c>
      <c r="EV14" s="174" t="str">
        <f t="shared" si="46"/>
        <v/>
      </c>
      <c r="EW14" s="9" t="str">
        <f>IF(ISNUMBER($AV14),(COS(RADIANS($EV14))*ES14)+(-SIN(RADIANS($EV14))*ET14),"")</f>
        <v/>
      </c>
      <c r="EX14" s="5" t="str">
        <f t="shared" si="47"/>
        <v/>
      </c>
      <c r="EY14" s="6" t="str">
        <f t="shared" si="208"/>
        <v/>
      </c>
      <c r="EZ14" s="51" t="str">
        <f>IF(ISNUMBER($AV14),DEGREES(ATAN($AS$5/($EQ14*2*PI()))),"")</f>
        <v/>
      </c>
      <c r="FA14" s="266" t="str">
        <f>IF(ISNUMBER($AV14),SIN(RADIANS($EP14))*COS(RADIANS($EZ14)),"")</f>
        <v/>
      </c>
      <c r="FB14" s="267" t="str">
        <f>IF(ISNUMBER($AV14),-1*COS(RADIANS($EP14))*COS(RADIANS($EZ14)),"")</f>
        <v/>
      </c>
      <c r="FC14" s="269" t="str">
        <f>IF(ISNUMBER($AV14),-1*SIN(RADIANS($EZ14)),"")</f>
        <v/>
      </c>
      <c r="FD14" s="4" t="str">
        <f>IF(ISNUMBER($AV14),(COS(RADIANS($EV14))*FA14)+(-SIN(RADIANS($EV14))*FB14),"")</f>
        <v/>
      </c>
      <c r="FE14" s="5" t="str">
        <f t="shared" si="49"/>
        <v/>
      </c>
      <c r="FF14" s="7" t="str">
        <f t="shared" si="210"/>
        <v/>
      </c>
      <c r="FG14" s="173" t="str">
        <f>IF(ISNUMBER($AV14),EW14-FD14,"")</f>
        <v/>
      </c>
      <c r="FH14" s="5" t="str">
        <f>IF(ISNUMBER($AV14),EX14-FE14,"")</f>
        <v/>
      </c>
      <c r="FI14" s="10" t="str">
        <f>IF(ISNUMBER($AV14),EY14-FF14,"")</f>
        <v/>
      </c>
      <c r="FJ14" s="967" t="str">
        <f>IF(ISNUMBER($AV14),DEGREES(ACOS((2-SQRT((FG14)^2+(FH14)^2+(FI14)^2)^2)/2)),"")</f>
        <v/>
      </c>
      <c r="FK14" s="4" t="str">
        <f t="shared" si="52"/>
        <v/>
      </c>
      <c r="FL14" s="5" t="str">
        <f t="shared" si="213"/>
        <v/>
      </c>
      <c r="FM14" s="8" t="str">
        <f t="shared" si="214"/>
        <v/>
      </c>
      <c r="FN14" s="9" t="str">
        <f>IF(ISNUMBER($AV14),DEGREES(ACOS((FK14^2+FL14^2-FM14^2)/(2*FK14*FL14))),"")</f>
        <v/>
      </c>
      <c r="FO14" s="10" t="str">
        <f t="shared" si="53"/>
        <v/>
      </c>
      <c r="FP14" s="277" t="str">
        <f>IF(ISNUMBER($AV14),FN14*FO14,"")</f>
        <v/>
      </c>
      <c r="FQ14" s="173" t="str">
        <f t="shared" si="243"/>
        <v/>
      </c>
      <c r="FR14" s="10" t="str">
        <f t="shared" si="216"/>
        <v/>
      </c>
      <c r="FS14" s="9" t="str">
        <f t="shared" si="217"/>
        <v/>
      </c>
      <c r="FT14" s="6" t="str">
        <f t="shared" si="218"/>
        <v/>
      </c>
      <c r="FU14" s="4" t="str">
        <f t="shared" si="219"/>
        <v/>
      </c>
      <c r="FV14" s="5" t="str">
        <f t="shared" si="220"/>
        <v/>
      </c>
      <c r="FW14" s="8" t="str">
        <f t="shared" si="244"/>
        <v/>
      </c>
      <c r="FX14" s="9" t="str">
        <f t="shared" si="245"/>
        <v/>
      </c>
      <c r="FY14" s="10" t="str">
        <f t="shared" si="55"/>
        <v/>
      </c>
      <c r="FZ14" s="277" t="str">
        <f t="shared" si="246"/>
        <v/>
      </c>
      <c r="GA14" s="177" t="str">
        <f t="shared" si="221"/>
        <v/>
      </c>
      <c r="GB14" s="4" t="str">
        <f>IF(ISNUMBER($AV14),COS(RADIANS(FP14+90))*COS(RADIANS(FZ14)),"")</f>
        <v/>
      </c>
      <c r="GC14" s="5" t="str">
        <f t="shared" si="223"/>
        <v/>
      </c>
      <c r="GD14" s="10" t="str">
        <f t="shared" si="224"/>
        <v/>
      </c>
      <c r="GE14" s="311" t="str">
        <f t="shared" si="225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58"/>
        <v/>
      </c>
      <c r="GJ14" s="167" t="str">
        <f t="shared" si="226"/>
        <v/>
      </c>
      <c r="GK14" s="174" t="str">
        <f t="shared" si="59"/>
        <v/>
      </c>
      <c r="GL14" s="174" t="str">
        <f t="shared" si="227"/>
        <v/>
      </c>
      <c r="GM14" s="177" t="str">
        <f t="shared" si="248"/>
        <v/>
      </c>
      <c r="GN14" s="280" t="str">
        <f t="shared" si="228"/>
        <v/>
      </c>
      <c r="GO14" s="4" t="str">
        <f t="shared" si="229"/>
        <v/>
      </c>
      <c r="GP14" s="8" t="str">
        <f t="shared" si="249"/>
        <v/>
      </c>
      <c r="GQ14" s="177" t="str">
        <f t="shared" si="230"/>
        <v/>
      </c>
      <c r="GR14" s="371" t="str">
        <f t="shared" si="250"/>
        <v/>
      </c>
      <c r="GS14" s="342" t="str">
        <f>IF(ISNUMBER($AV14),GU14/GH14*GG14,"")</f>
        <v/>
      </c>
      <c r="GT14" s="343" t="str">
        <f t="shared" si="62"/>
        <v/>
      </c>
      <c r="GU14" s="344" t="str">
        <f t="shared" si="63"/>
        <v/>
      </c>
      <c r="GV14" s="343" t="str">
        <f t="shared" ref="GV14:GV74" si="252">IF(ISNUMBER($AV14),GW14*$GL14,"")</f>
        <v/>
      </c>
      <c r="GW14" s="345" t="str">
        <f t="shared" si="64"/>
        <v/>
      </c>
      <c r="GX14" s="346" t="str">
        <f t="shared" si="65"/>
        <v/>
      </c>
      <c r="GY14" s="344" t="str">
        <f t="shared" si="66"/>
        <v/>
      </c>
      <c r="GZ14" s="345" t="str">
        <f t="shared" si="67"/>
        <v/>
      </c>
      <c r="HA14" s="342" t="str">
        <f t="shared" si="68"/>
        <v/>
      </c>
      <c r="HB14" s="5" t="str">
        <f t="shared" si="231"/>
        <v/>
      </c>
      <c r="HC14" s="343" t="str">
        <f t="shared" si="232"/>
        <v/>
      </c>
      <c r="HD14" s="345" t="str">
        <f t="shared" si="233"/>
        <v/>
      </c>
      <c r="HE14" s="344" t="str">
        <f t="shared" si="69"/>
        <v/>
      </c>
      <c r="HF14" s="5" t="str">
        <f t="shared" si="70"/>
        <v/>
      </c>
      <c r="HG14" s="343" t="str">
        <f t="shared" si="234"/>
        <v/>
      </c>
      <c r="HH14" s="349" t="str">
        <f t="shared" si="235"/>
        <v/>
      </c>
      <c r="HI14" s="317" t="str">
        <f t="shared" si="71"/>
        <v/>
      </c>
      <c r="HJ14" s="336"/>
      <c r="HK14" s="310">
        <f t="shared" si="137"/>
        <v>6</v>
      </c>
      <c r="HL14" s="348">
        <f t="shared" si="72"/>
        <v>3.1059999999999999</v>
      </c>
      <c r="HM14" s="909">
        <f t="shared" si="138"/>
        <v>-1.8594249387245556</v>
      </c>
      <c r="HN14" s="910">
        <f t="shared" si="73"/>
        <v>15.004431057378628</v>
      </c>
      <c r="HO14" s="911"/>
      <c r="HP14" s="912"/>
      <c r="HQ14" s="910">
        <f t="shared" si="74"/>
        <v>13.493513092655256</v>
      </c>
      <c r="HR14" s="913">
        <f t="shared" si="75"/>
        <v>13.375647056497614</v>
      </c>
      <c r="HS14" s="865">
        <f t="shared" si="251"/>
        <v>1.3966000000000001</v>
      </c>
      <c r="HT14" s="875">
        <f t="shared" si="76"/>
        <v>6.0299999999999999E-2</v>
      </c>
      <c r="HU14" s="876">
        <f t="shared" si="77"/>
        <v>0.52935302264942963</v>
      </c>
      <c r="HV14" s="872">
        <f t="shared" si="78"/>
        <v>9.4778805955822609E-2</v>
      </c>
      <c r="HW14" s="866">
        <f t="shared" si="79"/>
        <v>29500</v>
      </c>
      <c r="HX14" s="867">
        <f t="shared" si="80"/>
        <v>207.0284925</v>
      </c>
      <c r="HY14" s="866">
        <f t="shared" si="81"/>
        <v>42.246884799305697</v>
      </c>
      <c r="HZ14" s="868">
        <f t="shared" si="82"/>
        <v>1301.3261806798475</v>
      </c>
      <c r="IA14" s="869">
        <f t="shared" si="83"/>
        <v>309.59819930219879</v>
      </c>
      <c r="IB14" s="870">
        <f t="shared" si="84"/>
        <v>1653.171264781352</v>
      </c>
      <c r="IC14" s="841">
        <f t="shared" si="85"/>
        <v>57.749449861973964</v>
      </c>
      <c r="ID14" s="351">
        <f t="shared" si="86"/>
        <v>1778.85</v>
      </c>
      <c r="IE14" s="843">
        <f t="shared" si="87"/>
        <v>423.20577654174366</v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1.1160000000000001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0.11459137447804102</v>
      </c>
      <c r="C15" s="572">
        <f t="shared" si="3"/>
        <v>3.753286516090824</v>
      </c>
      <c r="D15" s="576">
        <f t="shared" si="4"/>
        <v>-1.8654316525916563</v>
      </c>
      <c r="E15" s="580">
        <f t="shared" si="5"/>
        <v>-0.85456872390204919</v>
      </c>
      <c r="F15" s="572">
        <f t="shared" si="6"/>
        <v>0.51567419545881021</v>
      </c>
      <c r="G15" s="579">
        <f t="shared" si="7"/>
        <v>6.1582629582798941E-2</v>
      </c>
      <c r="H15" s="580">
        <f t="shared" si="8"/>
        <v>0.26450000000000001</v>
      </c>
      <c r="I15" s="572">
        <f t="shared" si="9"/>
        <v>0.52</v>
      </c>
      <c r="J15" s="483">
        <f t="shared" si="10"/>
        <v>1.119</v>
      </c>
      <c r="K15" s="806">
        <f t="shared" si="11"/>
        <v>1313</v>
      </c>
      <c r="L15" s="814" t="str">
        <f>IF($L14=$JJ$22,$JJ$29,IF($L14=$JK$22,$JK$29,""))</f>
        <v/>
      </c>
      <c r="M15" s="164">
        <f t="shared" si="12"/>
        <v>1.119</v>
      </c>
      <c r="N15" s="575">
        <f t="shared" si="13"/>
        <v>0.11459137447804102</v>
      </c>
      <c r="O15" s="572">
        <f t="shared" si="14"/>
        <v>3.753286516090824</v>
      </c>
      <c r="P15" s="576">
        <f t="shared" si="15"/>
        <v>-1.8654316525916563</v>
      </c>
      <c r="Q15" s="528">
        <f t="shared" si="140"/>
        <v>88.251249079566435</v>
      </c>
      <c r="R15" s="572">
        <f t="shared" si="101"/>
        <v>3.7550353999628232</v>
      </c>
      <c r="S15" s="577">
        <f t="shared" si="102"/>
        <v>-1.8654316525916563</v>
      </c>
      <c r="T15" s="578">
        <f t="shared" si="103"/>
        <v>3.7535151911668634</v>
      </c>
      <c r="U15" s="572">
        <f t="shared" si="104"/>
        <v>-0.10683896598875098</v>
      </c>
      <c r="V15" s="579">
        <f t="shared" si="141"/>
        <v>-1.8654316525916563</v>
      </c>
      <c r="W15" s="528">
        <f t="shared" ref="W15:W78" si="253">IF(M15="","",IF(Q15-$Q$8&lt;0,360+Q15-$Q$8,Q15-$Q$8))</f>
        <v>358.36958979160664</v>
      </c>
      <c r="X15" s="572">
        <f>IF(M15="","",R15)</f>
        <v>3.7550353999628232</v>
      </c>
      <c r="Y15" s="573">
        <f t="shared" si="17"/>
        <v>-1.8654316525916563</v>
      </c>
      <c r="Z15" s="575">
        <f t="shared" si="18"/>
        <v>0.85456872390204919</v>
      </c>
      <c r="AA15" s="572">
        <f t="shared" si="19"/>
        <v>-0.51567419545881021</v>
      </c>
      <c r="AB15" s="572">
        <f t="shared" si="20"/>
        <v>-6.1582629582798941E-2</v>
      </c>
      <c r="AC15" s="579">
        <f t="shared" si="106"/>
        <v>1</v>
      </c>
      <c r="AD15" s="580">
        <f t="shared" si="142"/>
        <v>0.85456872390204919</v>
      </c>
      <c r="AE15" s="572">
        <f t="shared" si="107"/>
        <v>-0.51567419545881021</v>
      </c>
      <c r="AF15" s="576">
        <f t="shared" si="108"/>
        <v>-6.1582629582798941E-2</v>
      </c>
      <c r="AG15" s="545">
        <f t="shared" si="109"/>
        <v>-83.18989912560545</v>
      </c>
      <c r="AH15" s="546">
        <f t="shared" si="110"/>
        <v>31.2878781266351</v>
      </c>
      <c r="AI15" s="528">
        <f t="shared" si="111"/>
        <v>-86.469341207320554</v>
      </c>
      <c r="AJ15" s="529">
        <f t="shared" si="112"/>
        <v>58.891870786570578</v>
      </c>
      <c r="AK15" s="578">
        <f t="shared" si="238"/>
        <v>0.86990740043817616</v>
      </c>
      <c r="AL15" s="572">
        <f t="shared" si="113"/>
        <v>-0.48935538660217331</v>
      </c>
      <c r="AM15" s="577">
        <f t="shared" si="114"/>
        <v>-6.1582629582798941E-2</v>
      </c>
      <c r="AN15" s="524">
        <f>IF(M15="","",DEGREES(ATAN2(-AM15,AL15)))</f>
        <v>-82.827352998197881</v>
      </c>
      <c r="AO15" s="525">
        <f t="shared" si="116"/>
        <v>29.552119382134169</v>
      </c>
      <c r="AP15" s="528">
        <f t="shared" si="117"/>
        <v>-29.359378292995835</v>
      </c>
      <c r="AQ15" s="529">
        <f t="shared" si="21"/>
        <v>0.60708916809586499</v>
      </c>
      <c r="AS15" s="932">
        <f t="shared" si="143"/>
        <v>-1.6304102083933572</v>
      </c>
      <c r="AT15" s="928">
        <f t="shared" si="22"/>
        <v>-1.8628223729422568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5"/>
        <v/>
      </c>
      <c r="BC15" s="9"/>
      <c r="BD15" s="5" t="str">
        <f t="shared" si="146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7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8"/>
        <v/>
      </c>
      <c r="BP15" s="5" t="str">
        <f t="shared" si="239"/>
        <v/>
      </c>
      <c r="BQ15" s="5" t="str">
        <f t="shared" si="149"/>
        <v/>
      </c>
      <c r="BR15" s="6" t="str">
        <f t="shared" si="150"/>
        <v/>
      </c>
      <c r="BS15" s="4" t="str">
        <f t="shared" si="118"/>
        <v/>
      </c>
      <c r="BT15" s="5" t="str">
        <f t="shared" si="118"/>
        <v/>
      </c>
      <c r="BU15" s="10" t="str">
        <f t="shared" si="119"/>
        <v/>
      </c>
      <c r="BV15" s="9" t="str">
        <f t="shared" si="120"/>
        <v/>
      </c>
      <c r="BW15" s="5" t="str">
        <f t="shared" si="121"/>
        <v/>
      </c>
      <c r="BX15" s="8" t="str">
        <f t="shared" si="122"/>
        <v/>
      </c>
      <c r="BY15" s="173" t="str">
        <f t="shared" si="123"/>
        <v/>
      </c>
      <c r="BZ15" s="5" t="str">
        <f t="shared" si="124"/>
        <v/>
      </c>
      <c r="CA15" s="6" t="str">
        <f t="shared" si="125"/>
        <v/>
      </c>
      <c r="CB15" s="4" t="str">
        <f t="shared" si="151"/>
        <v/>
      </c>
      <c r="CC15" s="5" t="str">
        <f t="shared" si="152"/>
        <v/>
      </c>
      <c r="CD15" s="5" t="str">
        <f t="shared" si="153"/>
        <v/>
      </c>
      <c r="CE15" s="6" t="str">
        <f t="shared" si="154"/>
        <v/>
      </c>
      <c r="CF15" s="4" t="str">
        <f t="shared" si="155"/>
        <v/>
      </c>
      <c r="CG15" s="5" t="str">
        <f t="shared" si="156"/>
        <v/>
      </c>
      <c r="CH15" s="5" t="str">
        <f t="shared" si="157"/>
        <v/>
      </c>
      <c r="CI15" s="4" t="str">
        <f t="shared" si="126"/>
        <v/>
      </c>
      <c r="CJ15" s="5" t="str">
        <f t="shared" si="127"/>
        <v/>
      </c>
      <c r="CK15" s="8" t="str">
        <f t="shared" si="128"/>
        <v/>
      </c>
      <c r="CL15" s="173" t="str">
        <f t="shared" si="129"/>
        <v/>
      </c>
      <c r="CM15" s="5" t="str">
        <f t="shared" si="130"/>
        <v/>
      </c>
      <c r="CN15" s="6" t="str">
        <f t="shared" si="131"/>
        <v/>
      </c>
      <c r="CO15" s="167" t="str">
        <f t="shared" si="35"/>
        <v/>
      </c>
      <c r="CP15" s="4" t="str">
        <f t="shared" si="240"/>
        <v/>
      </c>
      <c r="CQ15" s="5" t="str">
        <f t="shared" si="241"/>
        <v/>
      </c>
      <c r="CR15" s="5" t="str">
        <f t="shared" si="158"/>
        <v/>
      </c>
      <c r="CS15" s="8" t="str">
        <f t="shared" si="159"/>
        <v/>
      </c>
      <c r="CT15" s="9" t="str">
        <f t="shared" si="160"/>
        <v/>
      </c>
      <c r="CU15" s="6" t="str">
        <f t="shared" si="161"/>
        <v/>
      </c>
      <c r="CV15" s="4" t="str">
        <f t="shared" si="242"/>
        <v/>
      </c>
      <c r="CW15" s="5" t="str">
        <f t="shared" si="162"/>
        <v/>
      </c>
      <c r="CX15" s="8" t="str">
        <f t="shared" si="163"/>
        <v/>
      </c>
      <c r="CY15" s="9" t="str">
        <f t="shared" si="164"/>
        <v/>
      </c>
      <c r="CZ15" s="5" t="str">
        <f t="shared" si="165"/>
        <v/>
      </c>
      <c r="DA15" s="6" t="str">
        <f t="shared" si="166"/>
        <v/>
      </c>
      <c r="DB15" s="4" t="str">
        <f t="shared" si="167"/>
        <v/>
      </c>
      <c r="DC15" s="5" t="str">
        <f t="shared" si="167"/>
        <v/>
      </c>
      <c r="DD15" s="10" t="str">
        <f t="shared" si="168"/>
        <v/>
      </c>
      <c r="DE15" s="9" t="str">
        <f t="shared" si="169"/>
        <v/>
      </c>
      <c r="DF15" s="5" t="str">
        <f t="shared" si="169"/>
        <v/>
      </c>
      <c r="DG15" s="10" t="str">
        <f t="shared" si="170"/>
        <v/>
      </c>
      <c r="DH15" s="70" t="str">
        <f t="shared" si="171"/>
        <v/>
      </c>
      <c r="DI15" s="4" t="str">
        <f t="shared" si="172"/>
        <v/>
      </c>
      <c r="DJ15" s="5" t="str">
        <f t="shared" si="173"/>
        <v/>
      </c>
      <c r="DK15" s="10" t="str">
        <f t="shared" si="174"/>
        <v/>
      </c>
      <c r="DL15" s="9" t="str">
        <f t="shared" si="175"/>
        <v/>
      </c>
      <c r="DM15" s="173" t="str">
        <f t="shared" si="176"/>
        <v/>
      </c>
      <c r="DN15" s="178" t="str">
        <f t="shared" si="177"/>
        <v/>
      </c>
      <c r="DO15" s="9" t="str">
        <f t="shared" si="178"/>
        <v/>
      </c>
      <c r="DP15" s="173" t="str">
        <f t="shared" si="179"/>
        <v/>
      </c>
      <c r="DQ15" s="11" t="str">
        <f t="shared" si="180"/>
        <v/>
      </c>
      <c r="DR15" s="173" t="str">
        <f t="shared" si="181"/>
        <v/>
      </c>
      <c r="DS15" s="5" t="str">
        <f t="shared" si="182"/>
        <v/>
      </c>
      <c r="DT15" s="5" t="str">
        <f t="shared" si="183"/>
        <v/>
      </c>
      <c r="DU15" s="5" t="str">
        <f t="shared" si="184"/>
        <v/>
      </c>
      <c r="DV15" s="5" t="str">
        <f t="shared" si="185"/>
        <v/>
      </c>
      <c r="DW15" s="5" t="str">
        <f t="shared" si="186"/>
        <v/>
      </c>
      <c r="DX15" s="167" t="str">
        <f t="shared" si="187"/>
        <v/>
      </c>
      <c r="DY15" s="9" t="str">
        <f t="shared" si="188"/>
        <v/>
      </c>
      <c r="DZ15" s="5" t="str">
        <f t="shared" si="189"/>
        <v/>
      </c>
      <c r="EA15" s="10" t="str">
        <f t="shared" si="190"/>
        <v/>
      </c>
      <c r="EB15" s="6" t="str">
        <f t="shared" si="191"/>
        <v/>
      </c>
      <c r="EC15" s="173" t="str">
        <f t="shared" si="192"/>
        <v/>
      </c>
      <c r="ED15" s="5" t="str">
        <f t="shared" si="193"/>
        <v/>
      </c>
      <c r="EE15" s="4" t="str">
        <f t="shared" si="194"/>
        <v/>
      </c>
      <c r="EF15" s="5" t="str">
        <f t="shared" si="195"/>
        <v/>
      </c>
      <c r="EG15" s="10" t="str">
        <f t="shared" si="196"/>
        <v/>
      </c>
      <c r="EH15" s="9" t="str">
        <f t="shared" si="197"/>
        <v/>
      </c>
      <c r="EI15" s="5" t="str">
        <f t="shared" si="198"/>
        <v/>
      </c>
      <c r="EJ15" s="6" t="str">
        <f t="shared" si="199"/>
        <v/>
      </c>
      <c r="EK15" s="236" t="str">
        <f t="shared" si="200"/>
        <v/>
      </c>
      <c r="EL15" s="238" t="str">
        <f t="shared" si="201"/>
        <v/>
      </c>
      <c r="EM15" s="4" t="str">
        <f t="shared" si="202"/>
        <v/>
      </c>
      <c r="EN15" s="5" t="str">
        <f t="shared" si="203"/>
        <v/>
      </c>
      <c r="EO15" s="10" t="str">
        <f t="shared" si="204"/>
        <v/>
      </c>
      <c r="EP15" s="9" t="str">
        <f t="shared" si="205"/>
        <v/>
      </c>
      <c r="EQ15" s="5" t="str">
        <f t="shared" si="206"/>
        <v/>
      </c>
      <c r="ER15" s="7" t="str">
        <f t="shared" si="207"/>
        <v/>
      </c>
      <c r="ES15" s="21" t="str">
        <f t="shared" si="132"/>
        <v/>
      </c>
      <c r="ET15" s="5" t="str">
        <f t="shared" si="44"/>
        <v/>
      </c>
      <c r="EU15" s="10" t="str">
        <f t="shared" si="45"/>
        <v/>
      </c>
      <c r="EV15" s="174" t="str">
        <f t="shared" ref="EV15:EV40" si="254">IF(ISNUMBER($AV15),IF(($EV$1-EP15)&lt;0,(360+($EV$1-EP15)),($EV$1-EP15)),"")</f>
        <v/>
      </c>
      <c r="EW15" s="9" t="str">
        <f>IF(ISNUMBER($AV15),(COS(RADIANS($EV15))*ES15)+(-SIN(RADIANS($EV15))*ET15),"")</f>
        <v/>
      </c>
      <c r="EX15" s="5" t="str">
        <f t="shared" si="47"/>
        <v/>
      </c>
      <c r="EY15" s="6" t="str">
        <f t="shared" si="208"/>
        <v/>
      </c>
      <c r="EZ15" s="51" t="str">
        <f>IF(ISNUMBER($AV15),DEGREES(ATAN($AS$5/($EQ15*2*PI()))),"")</f>
        <v/>
      </c>
      <c r="FA15" s="266" t="str">
        <f t="shared" si="134"/>
        <v/>
      </c>
      <c r="FB15" s="267" t="str">
        <f t="shared" si="135"/>
        <v/>
      </c>
      <c r="FC15" s="269" t="str">
        <f t="shared" si="48"/>
        <v/>
      </c>
      <c r="FD15" s="4" t="str">
        <f t="shared" si="136"/>
        <v/>
      </c>
      <c r="FE15" s="5" t="str">
        <f t="shared" si="49"/>
        <v/>
      </c>
      <c r="FF15" s="7" t="str">
        <f t="shared" si="210"/>
        <v/>
      </c>
      <c r="FG15" s="173" t="str">
        <f t="shared" si="211"/>
        <v/>
      </c>
      <c r="FH15" s="5" t="str">
        <f t="shared" si="50"/>
        <v/>
      </c>
      <c r="FI15" s="10" t="str">
        <f t="shared" si="51"/>
        <v/>
      </c>
      <c r="FJ15" s="279" t="str">
        <f t="shared" si="212"/>
        <v/>
      </c>
      <c r="FK15" s="4" t="str">
        <f t="shared" si="52"/>
        <v/>
      </c>
      <c r="FL15" s="5" t="str">
        <f t="shared" si="213"/>
        <v/>
      </c>
      <c r="FM15" s="8" t="str">
        <f t="shared" si="214"/>
        <v/>
      </c>
      <c r="FN15" s="9" t="str">
        <f t="shared" si="215"/>
        <v/>
      </c>
      <c r="FO15" s="10" t="str">
        <f t="shared" si="53"/>
        <v/>
      </c>
      <c r="FP15" s="277" t="str">
        <f t="shared" si="54"/>
        <v/>
      </c>
      <c r="FQ15" s="173" t="str">
        <f>IF(ISNUMBER($AV15),SIN(RADIANS(FN15)),"")</f>
        <v/>
      </c>
      <c r="FR15" s="10" t="str">
        <f t="shared" si="216"/>
        <v/>
      </c>
      <c r="FS15" s="9" t="str">
        <f>IF(ISNUMBER($AV15),FQ15/(FQ15+FR15),"")</f>
        <v/>
      </c>
      <c r="FT15" s="6" t="str">
        <f t="shared" si="218"/>
        <v/>
      </c>
      <c r="FU15" s="4" t="str">
        <f t="shared" si="219"/>
        <v/>
      </c>
      <c r="FV15" s="5" t="str">
        <f t="shared" si="220"/>
        <v/>
      </c>
      <c r="FW15" s="8" t="str">
        <f t="shared" si="244"/>
        <v/>
      </c>
      <c r="FX15" s="9" t="str">
        <f t="shared" si="245"/>
        <v/>
      </c>
      <c r="FY15" s="10" t="str">
        <f t="shared" si="55"/>
        <v/>
      </c>
      <c r="FZ15" s="277" t="str">
        <f t="shared" si="246"/>
        <v/>
      </c>
      <c r="GA15" s="177" t="str">
        <f t="shared" si="221"/>
        <v/>
      </c>
      <c r="GB15" s="4" t="str">
        <f t="shared" si="222"/>
        <v/>
      </c>
      <c r="GC15" s="5" t="str">
        <f t="shared" si="223"/>
        <v/>
      </c>
      <c r="GD15" s="10" t="str">
        <f t="shared" si="224"/>
        <v/>
      </c>
      <c r="GE15" s="311" t="str">
        <f t="shared" si="225"/>
        <v/>
      </c>
      <c r="GF15" s="341" t="str">
        <f t="shared" si="247"/>
        <v/>
      </c>
      <c r="GG15" s="285" t="str">
        <f t="shared" si="56"/>
        <v/>
      </c>
      <c r="GH15" s="286" t="str">
        <f t="shared" si="57"/>
        <v/>
      </c>
      <c r="GI15" s="281" t="str">
        <f t="shared" si="58"/>
        <v/>
      </c>
      <c r="GJ15" s="167" t="str">
        <f t="shared" si="226"/>
        <v/>
      </c>
      <c r="GK15" s="174" t="str">
        <f t="shared" si="59"/>
        <v/>
      </c>
      <c r="GL15" s="174" t="str">
        <f t="shared" si="227"/>
        <v/>
      </c>
      <c r="GM15" s="177" t="str">
        <f t="shared" si="248"/>
        <v/>
      </c>
      <c r="GN15" s="280" t="str">
        <f t="shared" si="228"/>
        <v/>
      </c>
      <c r="GO15" s="4" t="str">
        <f t="shared" si="229"/>
        <v/>
      </c>
      <c r="GP15" s="8" t="str">
        <f t="shared" si="249"/>
        <v/>
      </c>
      <c r="GQ15" s="177" t="str">
        <f t="shared" si="230"/>
        <v/>
      </c>
      <c r="GR15" s="371" t="str">
        <f t="shared" si="250"/>
        <v/>
      </c>
      <c r="GS15" s="342" t="str">
        <f t="shared" si="61"/>
        <v/>
      </c>
      <c r="GT15" s="343" t="str">
        <f t="shared" si="62"/>
        <v/>
      </c>
      <c r="GU15" s="344" t="str">
        <f>IF(ISNUMBER($AV15),$GV15*$GK15,"")</f>
        <v/>
      </c>
      <c r="GV15" s="343" t="str">
        <f t="shared" si="252"/>
        <v/>
      </c>
      <c r="GW15" s="345" t="str">
        <f t="shared" si="64"/>
        <v/>
      </c>
      <c r="GX15" s="346" t="str">
        <f t="shared" si="65"/>
        <v/>
      </c>
      <c r="GY15" s="344" t="str">
        <f t="shared" si="66"/>
        <v/>
      </c>
      <c r="GZ15" s="345" t="str">
        <f t="shared" si="67"/>
        <v/>
      </c>
      <c r="HA15" s="342" t="str">
        <f t="shared" si="68"/>
        <v/>
      </c>
      <c r="HB15" s="5" t="str">
        <f t="shared" si="231"/>
        <v/>
      </c>
      <c r="HC15" s="343" t="str">
        <f t="shared" si="232"/>
        <v/>
      </c>
      <c r="HD15" s="345" t="str">
        <f t="shared" si="233"/>
        <v/>
      </c>
      <c r="HE15" s="344" t="str">
        <f t="shared" si="69"/>
        <v/>
      </c>
      <c r="HF15" s="5" t="str">
        <f t="shared" si="70"/>
        <v/>
      </c>
      <c r="HG15" s="343" t="str">
        <f t="shared" si="234"/>
        <v/>
      </c>
      <c r="HH15" s="349" t="str">
        <f t="shared" si="235"/>
        <v/>
      </c>
      <c r="HI15" s="317" t="str">
        <f t="shared" si="71"/>
        <v/>
      </c>
      <c r="HJ15" s="336"/>
      <c r="HK15" s="310">
        <f t="shared" si="137"/>
        <v>7</v>
      </c>
      <c r="HL15" s="348">
        <f t="shared" si="72"/>
        <v>1.107</v>
      </c>
      <c r="HM15" s="909">
        <f t="shared" si="138"/>
        <v>-1.5529259150770758</v>
      </c>
      <c r="HN15" s="910">
        <f t="shared" si="73"/>
        <v>15.003283411783807</v>
      </c>
      <c r="HO15" s="911"/>
      <c r="HP15" s="912"/>
      <c r="HQ15" s="910">
        <f t="shared" si="74"/>
        <v>13.697040854534194</v>
      </c>
      <c r="HR15" s="913">
        <f t="shared" si="75"/>
        <v>13.616220140910386</v>
      </c>
      <c r="HS15" s="865">
        <f t="shared" si="251"/>
        <v>1.6409</v>
      </c>
      <c r="HT15" s="875">
        <f t="shared" si="76"/>
        <v>6.1899999999999997E-2</v>
      </c>
      <c r="HU15" s="876">
        <f t="shared" si="77"/>
        <v>0.63838146813450858</v>
      </c>
      <c r="HV15" s="872">
        <f t="shared" si="78"/>
        <v>0.11429996751748772</v>
      </c>
      <c r="HW15" s="866">
        <f t="shared" si="79"/>
        <v>29500</v>
      </c>
      <c r="HX15" s="867">
        <f t="shared" si="80"/>
        <v>249.69712041666668</v>
      </c>
      <c r="HY15" s="866">
        <f t="shared" si="81"/>
        <v>42.545683983689472</v>
      </c>
      <c r="HZ15" s="868">
        <f t="shared" si="82"/>
        <v>1569.3544424973336</v>
      </c>
      <c r="IA15" s="869">
        <f t="shared" si="83"/>
        <v>380.27677669488554</v>
      </c>
      <c r="IB15" s="870">
        <f t="shared" si="84"/>
        <v>1992.1769031759086</v>
      </c>
      <c r="IC15" s="841">
        <f t="shared" si="85"/>
        <v>49.504779885661911</v>
      </c>
      <c r="ID15" s="351">
        <f t="shared" si="86"/>
        <v>1826.05</v>
      </c>
      <c r="IE15" s="843">
        <f t="shared" si="87"/>
        <v>442.47774070635131</v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1.119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1313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33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si="2"/>
        <v>1.757717008931919</v>
      </c>
      <c r="C16" s="572">
        <f t="shared" si="3"/>
        <v>1.0262576157157495</v>
      </c>
      <c r="D16" s="576">
        <f t="shared" si="4"/>
        <v>-0.16497638090205041</v>
      </c>
      <c r="E16" s="580">
        <f t="shared" si="5"/>
        <v>-0.48296291314453421</v>
      </c>
      <c r="F16" s="572">
        <f t="shared" si="6"/>
        <v>0.83651630373780794</v>
      </c>
      <c r="G16" s="579">
        <f t="shared" si="7"/>
        <v>0.25881904510252079</v>
      </c>
      <c r="H16" s="580">
        <f t="shared" si="8"/>
        <v>0.3125</v>
      </c>
      <c r="I16" s="572">
        <f t="shared" si="9"/>
        <v>0.52</v>
      </c>
      <c r="J16" s="483">
        <f t="shared" si="10"/>
        <v>2.1080000000000001</v>
      </c>
      <c r="K16" s="806">
        <f t="shared" si="11"/>
        <v>1613</v>
      </c>
      <c r="L16" s="309"/>
      <c r="M16" s="164">
        <f t="shared" si="12"/>
        <v>2.1080000000000001</v>
      </c>
      <c r="N16" s="575">
        <f t="shared" si="13"/>
        <v>1.757717008931919</v>
      </c>
      <c r="O16" s="572">
        <f t="shared" si="14"/>
        <v>1.0262576157157495</v>
      </c>
      <c r="P16" s="576">
        <f t="shared" si="15"/>
        <v>-0.16497638090205041</v>
      </c>
      <c r="Q16" s="528">
        <f>IF(M16="","",IF(DEGREES(ATAN2(N16,O16))&lt;0,DEGREES(ATAN2(N16,O16))+360,IF(DEGREES(ATAN2(N16,O16))&gt;360,DEGREES(ATAN2(N16,O16))-360,DEGREES(ATAN2(N16,O16)))))</f>
        <v>30.278872740693124</v>
      </c>
      <c r="R16" s="572">
        <f t="shared" si="101"/>
        <v>2.035380499391489</v>
      </c>
      <c r="S16" s="577">
        <f t="shared" si="102"/>
        <v>-0.16497638090205041</v>
      </c>
      <c r="T16" s="578">
        <f t="shared" si="103"/>
        <v>1.0298858744597676</v>
      </c>
      <c r="U16" s="572">
        <f t="shared" si="104"/>
        <v>-1.755593592746165</v>
      </c>
      <c r="V16" s="579">
        <f t="shared" si="141"/>
        <v>-0.16497638090205041</v>
      </c>
      <c r="W16" s="528">
        <f>IF(M16="","",IF(Q16-$Q$8&lt;0,360+Q16-$Q$8,Q16-$Q$8))</f>
        <v>300.39721345273335</v>
      </c>
      <c r="X16" s="572">
        <f t="shared" si="105"/>
        <v>2.035380499391489</v>
      </c>
      <c r="Y16" s="573">
        <f t="shared" ref="Y16:Y75" si="255">IF(M16="","",S16)</f>
        <v>-0.16497638090205041</v>
      </c>
      <c r="Z16" s="575">
        <f t="shared" si="18"/>
        <v>0.48296291314453421</v>
      </c>
      <c r="AA16" s="572">
        <f t="shared" si="19"/>
        <v>-0.83651630373780794</v>
      </c>
      <c r="AB16" s="572">
        <f t="shared" si="20"/>
        <v>-0.25881904510252079</v>
      </c>
      <c r="AC16" s="579">
        <f t="shared" si="106"/>
        <v>1</v>
      </c>
      <c r="AD16" s="580">
        <f t="shared" si="142"/>
        <v>0.48296291314453421</v>
      </c>
      <c r="AE16" s="572">
        <f t="shared" si="107"/>
        <v>-0.83651630373780794</v>
      </c>
      <c r="AF16" s="576">
        <f t="shared" si="108"/>
        <v>-0.25881904510252079</v>
      </c>
      <c r="AG16" s="545">
        <f t="shared" si="109"/>
        <v>-72.807876265979019</v>
      </c>
      <c r="AH16" s="546">
        <f t="shared" si="110"/>
        <v>61.120905982572403</v>
      </c>
      <c r="AI16" s="528">
        <f t="shared" si="111"/>
        <v>-74.999999999999986</v>
      </c>
      <c r="AJ16" s="529">
        <f t="shared" si="112"/>
        <v>30.000000000000004</v>
      </c>
      <c r="AK16" s="578">
        <f t="shared" si="238"/>
        <v>0.96591438487271364</v>
      </c>
      <c r="AL16" s="572">
        <f t="shared" si="113"/>
        <v>-4.7013815189438368E-3</v>
      </c>
      <c r="AM16" s="577">
        <f t="shared" si="114"/>
        <v>-0.25881904510252079</v>
      </c>
      <c r="AN16" s="524">
        <f t="shared" si="115"/>
        <v>-1.0406486811226867</v>
      </c>
      <c r="AO16" s="525">
        <f t="shared" si="116"/>
        <v>15.002532621978315</v>
      </c>
      <c r="AP16" s="528">
        <f t="shared" si="117"/>
        <v>-0.27887274069312595</v>
      </c>
      <c r="AQ16" s="529">
        <f t="shared" si="21"/>
        <v>1.1199067217325998</v>
      </c>
      <c r="AS16" s="932">
        <f t="shared" si="143"/>
        <v>-59.602786547266646</v>
      </c>
      <c r="AT16" s="928">
        <f t="shared" si="22"/>
        <v>-0.12210850657287782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4"/>
        <v/>
      </c>
      <c r="BA16" s="296" t="str">
        <f t="shared" si="24"/>
        <v/>
      </c>
      <c r="BB16" s="291" t="str">
        <f t="shared" si="145"/>
        <v/>
      </c>
      <c r="BC16" s="9"/>
      <c r="BD16" s="5" t="str">
        <f t="shared" si="146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7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8"/>
        <v/>
      </c>
      <c r="BP16" s="5" t="str">
        <f t="shared" si="239"/>
        <v/>
      </c>
      <c r="BQ16" s="5" t="str">
        <f t="shared" si="149"/>
        <v/>
      </c>
      <c r="BR16" s="6" t="str">
        <f t="shared" si="150"/>
        <v/>
      </c>
      <c r="BS16" s="4" t="str">
        <f t="shared" si="118"/>
        <v/>
      </c>
      <c r="BT16" s="5" t="str">
        <f t="shared" si="118"/>
        <v/>
      </c>
      <c r="BU16" s="10" t="str">
        <f t="shared" si="119"/>
        <v/>
      </c>
      <c r="BV16" s="9" t="str">
        <f t="shared" si="120"/>
        <v/>
      </c>
      <c r="BW16" s="5" t="str">
        <f t="shared" si="121"/>
        <v/>
      </c>
      <c r="BX16" s="8" t="str">
        <f t="shared" si="122"/>
        <v/>
      </c>
      <c r="BY16" s="173" t="str">
        <f t="shared" si="123"/>
        <v/>
      </c>
      <c r="BZ16" s="5" t="str">
        <f t="shared" si="124"/>
        <v/>
      </c>
      <c r="CA16" s="6" t="str">
        <f t="shared" si="125"/>
        <v/>
      </c>
      <c r="CB16" s="4" t="str">
        <f t="shared" si="151"/>
        <v/>
      </c>
      <c r="CC16" s="5" t="str">
        <f t="shared" si="152"/>
        <v/>
      </c>
      <c r="CD16" s="5" t="str">
        <f t="shared" si="153"/>
        <v/>
      </c>
      <c r="CE16" s="6" t="str">
        <f t="shared" si="154"/>
        <v/>
      </c>
      <c r="CF16" s="4" t="str">
        <f t="shared" si="155"/>
        <v/>
      </c>
      <c r="CG16" s="5" t="str">
        <f t="shared" si="156"/>
        <v/>
      </c>
      <c r="CH16" s="5" t="str">
        <f t="shared" si="157"/>
        <v/>
      </c>
      <c r="CI16" s="4" t="str">
        <f t="shared" si="126"/>
        <v/>
      </c>
      <c r="CJ16" s="5" t="str">
        <f t="shared" si="127"/>
        <v/>
      </c>
      <c r="CK16" s="8" t="str">
        <f t="shared" si="128"/>
        <v/>
      </c>
      <c r="CL16" s="173" t="str">
        <f t="shared" si="129"/>
        <v/>
      </c>
      <c r="CM16" s="5" t="str">
        <f t="shared" si="130"/>
        <v/>
      </c>
      <c r="CN16" s="6" t="str">
        <f t="shared" si="131"/>
        <v/>
      </c>
      <c r="CO16" s="167" t="str">
        <f t="shared" si="35"/>
        <v/>
      </c>
      <c r="CP16" s="4" t="str">
        <f t="shared" si="240"/>
        <v/>
      </c>
      <c r="CQ16" s="5" t="str">
        <f t="shared" si="241"/>
        <v/>
      </c>
      <c r="CR16" s="5" t="str">
        <f>IF(ISNUMBER($AV16),BF16^2+BG16^2+BH16^2+CI16^2+CJ16^2+CK16^2-2*(BF16*CI16+BG16*CJ16+BH16*CK16)-CO16^2,"")</f>
        <v/>
      </c>
      <c r="CS16" s="8" t="str">
        <f t="shared" si="159"/>
        <v/>
      </c>
      <c r="CT16" s="9" t="str">
        <f t="shared" si="160"/>
        <v/>
      </c>
      <c r="CU16" s="6" t="str">
        <f t="shared" si="161"/>
        <v/>
      </c>
      <c r="CV16" s="4" t="str">
        <f t="shared" si="242"/>
        <v/>
      </c>
      <c r="CW16" s="5" t="str">
        <f t="shared" si="162"/>
        <v/>
      </c>
      <c r="CX16" s="8" t="str">
        <f t="shared" si="163"/>
        <v/>
      </c>
      <c r="CY16" s="9" t="str">
        <f t="shared" si="164"/>
        <v/>
      </c>
      <c r="CZ16" s="5" t="str">
        <f t="shared" si="165"/>
        <v/>
      </c>
      <c r="DA16" s="6" t="str">
        <f t="shared" si="166"/>
        <v/>
      </c>
      <c r="DB16" s="4" t="str">
        <f t="shared" si="167"/>
        <v/>
      </c>
      <c r="DC16" s="5" t="str">
        <f t="shared" si="167"/>
        <v/>
      </c>
      <c r="DD16" s="10" t="str">
        <f>IF(ISNUMBER($AV16),-10,"")</f>
        <v/>
      </c>
      <c r="DE16" s="9" t="str">
        <f t="shared" si="169"/>
        <v/>
      </c>
      <c r="DF16" s="5" t="str">
        <f t="shared" si="169"/>
        <v/>
      </c>
      <c r="DG16" s="10" t="str">
        <f t="shared" si="170"/>
        <v/>
      </c>
      <c r="DH16" s="70" t="str">
        <f t="shared" si="171"/>
        <v/>
      </c>
      <c r="DI16" s="4" t="str">
        <f t="shared" si="172"/>
        <v/>
      </c>
      <c r="DJ16" s="5" t="str">
        <f t="shared" si="173"/>
        <v/>
      </c>
      <c r="DK16" s="10" t="str">
        <f t="shared" si="174"/>
        <v/>
      </c>
      <c r="DL16" s="9" t="str">
        <f t="shared" si="175"/>
        <v/>
      </c>
      <c r="DM16" s="173" t="str">
        <f t="shared" si="176"/>
        <v/>
      </c>
      <c r="DN16" s="178" t="str">
        <f t="shared" si="177"/>
        <v/>
      </c>
      <c r="DO16" s="9" t="str">
        <f t="shared" si="178"/>
        <v/>
      </c>
      <c r="DP16" s="173" t="str">
        <f t="shared" si="179"/>
        <v/>
      </c>
      <c r="DQ16" s="11" t="str">
        <f t="shared" si="180"/>
        <v/>
      </c>
      <c r="DR16" s="173" t="str">
        <f t="shared" si="181"/>
        <v/>
      </c>
      <c r="DS16" s="5" t="str">
        <f t="shared" si="182"/>
        <v/>
      </c>
      <c r="DT16" s="5" t="str">
        <f t="shared" si="183"/>
        <v/>
      </c>
      <c r="DU16" s="5" t="str">
        <f t="shared" si="184"/>
        <v/>
      </c>
      <c r="DV16" s="5" t="str">
        <f t="shared" si="185"/>
        <v/>
      </c>
      <c r="DW16" s="5" t="str">
        <f t="shared" si="186"/>
        <v/>
      </c>
      <c r="DX16" s="167" t="str">
        <f t="shared" si="187"/>
        <v/>
      </c>
      <c r="DY16" s="9" t="str">
        <f t="shared" si="188"/>
        <v/>
      </c>
      <c r="DZ16" s="5" t="str">
        <f t="shared" si="189"/>
        <v/>
      </c>
      <c r="EA16" s="10" t="str">
        <f t="shared" si="190"/>
        <v/>
      </c>
      <c r="EB16" s="6" t="str">
        <f t="shared" si="191"/>
        <v/>
      </c>
      <c r="EC16" s="173" t="str">
        <f t="shared" si="192"/>
        <v/>
      </c>
      <c r="ED16" s="5" t="str">
        <f t="shared" si="193"/>
        <v/>
      </c>
      <c r="EE16" s="4" t="str">
        <f t="shared" si="194"/>
        <v/>
      </c>
      <c r="EF16" s="5" t="str">
        <f t="shared" si="195"/>
        <v/>
      </c>
      <c r="EG16" s="10" t="str">
        <f t="shared" si="196"/>
        <v/>
      </c>
      <c r="EH16" s="9" t="str">
        <f t="shared" si="197"/>
        <v/>
      </c>
      <c r="EI16" s="5" t="str">
        <f t="shared" si="198"/>
        <v/>
      </c>
      <c r="EJ16" s="6" t="str">
        <f t="shared" si="199"/>
        <v/>
      </c>
      <c r="EK16" s="236" t="str">
        <f t="shared" si="200"/>
        <v/>
      </c>
      <c r="EL16" s="238" t="str">
        <f t="shared" si="201"/>
        <v/>
      </c>
      <c r="EM16" s="4" t="str">
        <f t="shared" si="202"/>
        <v/>
      </c>
      <c r="EN16" s="5" t="str">
        <f t="shared" si="203"/>
        <v/>
      </c>
      <c r="EO16" s="10" t="str">
        <f t="shared" si="204"/>
        <v/>
      </c>
      <c r="EP16" s="9" t="str">
        <f t="shared" si="205"/>
        <v/>
      </c>
      <c r="EQ16" s="5" t="str">
        <f t="shared" si="206"/>
        <v/>
      </c>
      <c r="ER16" s="7" t="str">
        <f t="shared" si="207"/>
        <v/>
      </c>
      <c r="ES16" s="21" t="str">
        <f t="shared" si="132"/>
        <v/>
      </c>
      <c r="ET16" s="5" t="str">
        <f t="shared" si="44"/>
        <v/>
      </c>
      <c r="EU16" s="10" t="str">
        <f t="shared" si="45"/>
        <v/>
      </c>
      <c r="EV16" s="174" t="str">
        <f t="shared" si="254"/>
        <v/>
      </c>
      <c r="EW16" s="9" t="str">
        <f t="shared" si="133"/>
        <v/>
      </c>
      <c r="EX16" s="5" t="str">
        <f t="shared" si="47"/>
        <v/>
      </c>
      <c r="EY16" s="6" t="str">
        <f t="shared" si="208"/>
        <v/>
      </c>
      <c r="EZ16" s="51" t="str">
        <f t="shared" si="209"/>
        <v/>
      </c>
      <c r="FA16" s="266" t="str">
        <f>IF(ISNUMBER($AV16),SIN(RADIANS($EP16))*COS(RADIANS($EZ16)),"")</f>
        <v/>
      </c>
      <c r="FB16" s="267" t="str">
        <f t="shared" si="135"/>
        <v/>
      </c>
      <c r="FC16" s="269" t="str">
        <f t="shared" si="48"/>
        <v/>
      </c>
      <c r="FD16" s="4" t="str">
        <f t="shared" si="136"/>
        <v/>
      </c>
      <c r="FE16" s="5" t="str">
        <f t="shared" si="49"/>
        <v/>
      </c>
      <c r="FF16" s="7" t="str">
        <f t="shared" si="210"/>
        <v/>
      </c>
      <c r="FG16" s="173" t="str">
        <f t="shared" si="211"/>
        <v/>
      </c>
      <c r="FH16" s="5" t="str">
        <f t="shared" si="50"/>
        <v/>
      </c>
      <c r="FI16" s="10" t="str">
        <f t="shared" si="51"/>
        <v/>
      </c>
      <c r="FJ16" s="279" t="str">
        <f t="shared" si="212"/>
        <v/>
      </c>
      <c r="FK16" s="4" t="str">
        <f t="shared" si="52"/>
        <v/>
      </c>
      <c r="FL16" s="5" t="str">
        <f t="shared" si="213"/>
        <v/>
      </c>
      <c r="FM16" s="8" t="str">
        <f t="shared" si="214"/>
        <v/>
      </c>
      <c r="FN16" s="9" t="str">
        <f t="shared" si="215"/>
        <v/>
      </c>
      <c r="FO16" s="10" t="str">
        <f t="shared" si="53"/>
        <v/>
      </c>
      <c r="FP16" s="277" t="str">
        <f t="shared" si="54"/>
        <v/>
      </c>
      <c r="FQ16" s="173" t="str">
        <f t="shared" si="243"/>
        <v/>
      </c>
      <c r="FR16" s="10" t="str">
        <f t="shared" si="216"/>
        <v/>
      </c>
      <c r="FS16" s="9" t="str">
        <f t="shared" si="217"/>
        <v/>
      </c>
      <c r="FT16" s="6" t="str">
        <f t="shared" si="218"/>
        <v/>
      </c>
      <c r="FU16" s="4" t="str">
        <f t="shared" si="219"/>
        <v/>
      </c>
      <c r="FV16" s="5" t="str">
        <f t="shared" si="220"/>
        <v/>
      </c>
      <c r="FW16" s="8" t="str">
        <f t="shared" si="244"/>
        <v/>
      </c>
      <c r="FX16" s="9" t="str">
        <f t="shared" si="245"/>
        <v/>
      </c>
      <c r="FY16" s="10" t="str">
        <f t="shared" si="55"/>
        <v/>
      </c>
      <c r="FZ16" s="277" t="str">
        <f t="shared" si="246"/>
        <v/>
      </c>
      <c r="GA16" s="177" t="str">
        <f t="shared" si="221"/>
        <v/>
      </c>
      <c r="GB16" s="4" t="str">
        <f t="shared" si="222"/>
        <v/>
      </c>
      <c r="GC16" s="5" t="str">
        <f t="shared" si="223"/>
        <v/>
      </c>
      <c r="GD16" s="10" t="str">
        <f t="shared" si="224"/>
        <v/>
      </c>
      <c r="GE16" s="311" t="str">
        <f t="shared" si="225"/>
        <v/>
      </c>
      <c r="GF16" s="341" t="str">
        <f t="shared" si="247"/>
        <v/>
      </c>
      <c r="GG16" s="285" t="str">
        <f t="shared" si="56"/>
        <v/>
      </c>
      <c r="GH16" s="286" t="str">
        <f t="shared" si="57"/>
        <v/>
      </c>
      <c r="GI16" s="281" t="str">
        <f t="shared" si="58"/>
        <v/>
      </c>
      <c r="GJ16" s="167" t="str">
        <f t="shared" si="226"/>
        <v/>
      </c>
      <c r="GK16" s="174" t="str">
        <f t="shared" si="59"/>
        <v/>
      </c>
      <c r="GL16" s="174" t="str">
        <f t="shared" si="227"/>
        <v/>
      </c>
      <c r="GM16" s="177" t="str">
        <f t="shared" si="248"/>
        <v/>
      </c>
      <c r="GN16" s="280" t="str">
        <f t="shared" si="228"/>
        <v/>
      </c>
      <c r="GO16" s="4" t="str">
        <f t="shared" si="229"/>
        <v/>
      </c>
      <c r="GP16" s="8" t="str">
        <f t="shared" si="249"/>
        <v/>
      </c>
      <c r="GQ16" s="177" t="str">
        <f t="shared" si="230"/>
        <v/>
      </c>
      <c r="GR16" s="371" t="str">
        <f t="shared" si="250"/>
        <v/>
      </c>
      <c r="GS16" s="342" t="str">
        <f t="shared" si="61"/>
        <v/>
      </c>
      <c r="GT16" s="343" t="str">
        <f t="shared" si="62"/>
        <v/>
      </c>
      <c r="GU16" s="344" t="str">
        <f t="shared" si="63"/>
        <v/>
      </c>
      <c r="GV16" s="343" t="str">
        <f t="shared" si="252"/>
        <v/>
      </c>
      <c r="GW16" s="345" t="str">
        <f t="shared" si="64"/>
        <v/>
      </c>
      <c r="GX16" s="346" t="str">
        <f t="shared" si="65"/>
        <v/>
      </c>
      <c r="GY16" s="344" t="str">
        <f t="shared" si="66"/>
        <v/>
      </c>
      <c r="GZ16" s="345" t="str">
        <f t="shared" si="67"/>
        <v/>
      </c>
      <c r="HA16" s="342" t="str">
        <f t="shared" si="68"/>
        <v/>
      </c>
      <c r="HB16" s="5" t="str">
        <f t="shared" si="231"/>
        <v/>
      </c>
      <c r="HC16" s="343" t="str">
        <f t="shared" si="232"/>
        <v/>
      </c>
      <c r="HD16" s="345" t="str">
        <f t="shared" si="233"/>
        <v/>
      </c>
      <c r="HE16" s="344" t="str">
        <f t="shared" si="69"/>
        <v/>
      </c>
      <c r="HF16" s="5" t="str">
        <f t="shared" si="70"/>
        <v/>
      </c>
      <c r="HG16" s="343" t="str">
        <f t="shared" si="234"/>
        <v/>
      </c>
      <c r="HH16" s="349" t="str">
        <f t="shared" si="235"/>
        <v/>
      </c>
      <c r="HI16" s="317" t="str">
        <f t="shared" si="71"/>
        <v/>
      </c>
      <c r="HJ16" s="336"/>
      <c r="HK16" s="310">
        <f t="shared" si="137"/>
        <v>8</v>
      </c>
      <c r="HL16" s="348">
        <f t="shared" si="72"/>
        <v>5.1079999999999997</v>
      </c>
      <c r="HM16" s="909">
        <f t="shared" si="138"/>
        <v>-1.2140137974593341</v>
      </c>
      <c r="HN16" s="910">
        <f t="shared" si="73"/>
        <v>15.00253262197829</v>
      </c>
      <c r="HO16" s="911"/>
      <c r="HP16" s="912"/>
      <c r="HQ16" s="910">
        <f t="shared" si="74"/>
        <v>13.848315556803316</v>
      </c>
      <c r="HR16" s="913">
        <f t="shared" si="75"/>
        <v>13.799545228351054</v>
      </c>
      <c r="HS16" s="865">
        <f t="shared" si="251"/>
        <v>1.8936999999999999</v>
      </c>
      <c r="HT16" s="875">
        <f t="shared" si="76"/>
        <v>6.4399999999999999E-2</v>
      </c>
      <c r="HU16" s="876">
        <f t="shared" si="77"/>
        <v>0.76643046100218259</v>
      </c>
      <c r="HV16" s="872">
        <f t="shared" si="78"/>
        <v>0.13722669151558836</v>
      </c>
      <c r="HW16" s="866">
        <f t="shared" si="79"/>
        <v>29500</v>
      </c>
      <c r="HX16" s="867">
        <f t="shared" si="80"/>
        <v>299.80427166666664</v>
      </c>
      <c r="HY16" s="866">
        <f t="shared" si="81"/>
        <v>39.92818018358011</v>
      </c>
      <c r="HZ16" s="868">
        <f t="shared" si="82"/>
        <v>1884.1415499636989</v>
      </c>
      <c r="IA16" s="869">
        <f t="shared" si="83"/>
        <v>462.87759653270149</v>
      </c>
      <c r="IB16" s="870">
        <f t="shared" si="84"/>
        <v>2386.9473266799805</v>
      </c>
      <c r="IC16" s="841">
        <f t="shared" si="85"/>
        <v>40.260009506306453</v>
      </c>
      <c r="ID16" s="351">
        <f t="shared" si="86"/>
        <v>1899.8</v>
      </c>
      <c r="IE16" s="843">
        <f t="shared" si="87"/>
        <v>466.7244124571049</v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2.1080000000000001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1613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0.02</v>
      </c>
      <c r="B17" s="578">
        <f t="shared" si="2"/>
        <v>2.4346392800259826</v>
      </c>
      <c r="C17" s="572">
        <f t="shared" si="3"/>
        <v>1.3834527181987264</v>
      </c>
      <c r="D17" s="576">
        <f t="shared" si="4"/>
        <v>-0.24651759663198169</v>
      </c>
      <c r="E17" s="580">
        <f t="shared" si="5"/>
        <v>-0.34803108954422579</v>
      </c>
      <c r="F17" s="572">
        <f t="shared" si="6"/>
        <v>0.90986409006368996</v>
      </c>
      <c r="G17" s="579">
        <f t="shared" si="7"/>
        <v>0.22587983159908895</v>
      </c>
      <c r="H17" s="580">
        <f t="shared" si="8"/>
        <v>0.3125</v>
      </c>
      <c r="I17" s="572">
        <f t="shared" si="9"/>
        <v>0.52</v>
      </c>
      <c r="J17" s="483">
        <f t="shared" si="10"/>
        <v>2.1110000000000002</v>
      </c>
      <c r="K17" s="806">
        <f t="shared" si="11"/>
        <v>1613</v>
      </c>
      <c r="M17" s="164">
        <f t="shared" si="12"/>
        <v>2.1110000000000002</v>
      </c>
      <c r="N17" s="575">
        <f t="shared" si="13"/>
        <v>2.4346392800259826</v>
      </c>
      <c r="O17" s="572">
        <f t="shared" si="14"/>
        <v>1.3834527181987264</v>
      </c>
      <c r="P17" s="576">
        <f t="shared" si="15"/>
        <v>-0.24651759663198169</v>
      </c>
      <c r="Q17" s="528">
        <f>IF(M17="","",IF(DEGREES(ATAN2(N17,O17))&lt;0,DEGREES(ATAN2(N17,O17))+360,IF(DEGREES(ATAN2(N17,O17))&gt;360,DEGREES(ATAN2(N17,O17))-360,DEGREES(ATAN2(N17,O17)))))</f>
        <v>29.606851411831503</v>
      </c>
      <c r="R17" s="572">
        <f>IF(M17="","",SQRT(N17^2+O17^2))</f>
        <v>2.8002517471357606</v>
      </c>
      <c r="S17" s="577">
        <f>IF(M17="","",P17)</f>
        <v>-0.24651759663198169</v>
      </c>
      <c r="T17" s="578">
        <f>IF(M17="","",X17*COS(RADIANS(W17)))</f>
        <v>1.3884783530423424</v>
      </c>
      <c r="U17" s="572">
        <f>IF(M17="","",X17*SIN(RADIANS(W17)))</f>
        <v>-2.4317766571931938</v>
      </c>
      <c r="V17" s="579">
        <f>IF(M17="","",Y17)</f>
        <v>-0.24651759663198169</v>
      </c>
      <c r="W17" s="528">
        <f t="shared" si="253"/>
        <v>299.72519212387169</v>
      </c>
      <c r="X17" s="572">
        <f>IF(M17="","",R17)</f>
        <v>2.8002517471357606</v>
      </c>
      <c r="Y17" s="573">
        <f t="shared" si="255"/>
        <v>-0.24651759663198169</v>
      </c>
      <c r="Z17" s="575">
        <f t="shared" si="18"/>
        <v>0.34803108954422579</v>
      </c>
      <c r="AA17" s="572">
        <f t="shared" si="19"/>
        <v>-0.90986409006368996</v>
      </c>
      <c r="AB17" s="572">
        <f t="shared" si="20"/>
        <v>-0.22587983159908895</v>
      </c>
      <c r="AC17" s="579">
        <f>IF(M17="","",SQRT(Z17^2+AA17^2+AB17^2))</f>
        <v>1</v>
      </c>
      <c r="AD17" s="580">
        <f>IF(M17="","",Z17*(1/SQRT(Z17^2+AA17^2+AB17^2)))</f>
        <v>0.34803108954422579</v>
      </c>
      <c r="AE17" s="572">
        <f>IF(M17="","",AA17*(1/SQRT(Z17^2+AA17^2+AB17^2)))</f>
        <v>-0.90986409006368996</v>
      </c>
      <c r="AF17" s="576">
        <f>IF(M17="","",AB17*(1/SQRT(Z17^2+AA17^2+AB17^2)))</f>
        <v>-0.22587983159908895</v>
      </c>
      <c r="AG17" s="545">
        <f>IF(M17="","",DEGREES(ATAN2(-AF17,AE17)))</f>
        <v>-76.05780471717587</v>
      </c>
      <c r="AH17" s="546">
        <f>IF(M17="","",DEGREES(ACOS(AD17)))</f>
        <v>69.633065047611538</v>
      </c>
      <c r="AI17" s="528">
        <f>IF(M17="","",DEGREES(-ACOS(-AF17)))</f>
        <v>-76.945379190618993</v>
      </c>
      <c r="AJ17" s="529">
        <f>IF(M17="","",DEGREES(ATAN2(-AE17,AD17)))</f>
        <v>20.932296141154609</v>
      </c>
      <c r="AK17" s="578">
        <f>IF(M17="","",(COS(RADIANS((90-$Q$8)-W17))*AD17)+(-SIN(RADIANS((90-$Q$8)-W17))*AE17))</f>
        <v>0.96301177662332615</v>
      </c>
      <c r="AL17" s="572">
        <f>IF(M17="","",(SIN(RADIANS((90-$Q$8)-W17))*AD17)+(COS(RADIANS((90-$Q$8)-W17))*AE17))</f>
        <v>-0.14692385701972477</v>
      </c>
      <c r="AM17" s="577">
        <f>IF(M17="","",AF17)</f>
        <v>-0.22587983159908895</v>
      </c>
      <c r="AN17" s="524">
        <f>IF(M17="","",DEGREES(ATAN2(-AM17,AL17)))</f>
        <v>-33.042046168720674</v>
      </c>
      <c r="AO17" s="525">
        <f t="shared" si="116"/>
        <v>15.632095004852555</v>
      </c>
      <c r="AP17" s="528">
        <f>IF(M17="","",DEGREES(ATAN2(AK17,AL17)))</f>
        <v>-8.6745552706768603</v>
      </c>
      <c r="AQ17" s="529">
        <f t="shared" si="21"/>
        <v>0.81406010401204787</v>
      </c>
      <c r="AS17" s="932">
        <f t="shared" si="143"/>
        <v>-60.274807876128307</v>
      </c>
      <c r="AT17" s="928">
        <f t="shared" si="22"/>
        <v>-0.20318304082443295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4"/>
        <v/>
      </c>
      <c r="BA17" s="296" t="str">
        <f t="shared" si="24"/>
        <v/>
      </c>
      <c r="BB17" s="190" t="str">
        <f t="shared" si="145"/>
        <v/>
      </c>
      <c r="BC17" s="9"/>
      <c r="BD17" s="5" t="str">
        <f t="shared" si="146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7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8"/>
        <v/>
      </c>
      <c r="BP17" s="5" t="str">
        <f t="shared" si="239"/>
        <v/>
      </c>
      <c r="BQ17" s="5" t="str">
        <f t="shared" si="149"/>
        <v/>
      </c>
      <c r="BR17" s="6" t="str">
        <f t="shared" si="150"/>
        <v/>
      </c>
      <c r="BS17" s="4" t="str">
        <f t="shared" si="118"/>
        <v/>
      </c>
      <c r="BT17" s="5" t="str">
        <f t="shared" si="118"/>
        <v/>
      </c>
      <c r="BU17" s="10" t="str">
        <f t="shared" si="119"/>
        <v/>
      </c>
      <c r="BV17" s="9" t="str">
        <f t="shared" si="120"/>
        <v/>
      </c>
      <c r="BW17" s="5" t="str">
        <f t="shared" si="121"/>
        <v/>
      </c>
      <c r="BX17" s="8" t="str">
        <f t="shared" si="122"/>
        <v/>
      </c>
      <c r="BY17" s="173" t="str">
        <f t="shared" si="123"/>
        <v/>
      </c>
      <c r="BZ17" s="5" t="str">
        <f t="shared" si="124"/>
        <v/>
      </c>
      <c r="CA17" s="6" t="str">
        <f t="shared" si="125"/>
        <v/>
      </c>
      <c r="CB17" s="4" t="str">
        <f t="shared" si="151"/>
        <v/>
      </c>
      <c r="CC17" s="5" t="str">
        <f t="shared" si="152"/>
        <v/>
      </c>
      <c r="CD17" s="5" t="str">
        <f t="shared" si="153"/>
        <v/>
      </c>
      <c r="CE17" s="6" t="str">
        <f t="shared" si="154"/>
        <v/>
      </c>
      <c r="CF17" s="4" t="str">
        <f t="shared" si="155"/>
        <v/>
      </c>
      <c r="CG17" s="5" t="str">
        <f t="shared" si="156"/>
        <v/>
      </c>
      <c r="CH17" s="5" t="str">
        <f t="shared" si="157"/>
        <v/>
      </c>
      <c r="CI17" s="4" t="str">
        <f t="shared" si="126"/>
        <v/>
      </c>
      <c r="CJ17" s="5" t="str">
        <f t="shared" si="127"/>
        <v/>
      </c>
      <c r="CK17" s="8" t="str">
        <f t="shared" si="128"/>
        <v/>
      </c>
      <c r="CL17" s="173" t="str">
        <f t="shared" si="129"/>
        <v/>
      </c>
      <c r="CM17" s="5" t="str">
        <f t="shared" si="130"/>
        <v/>
      </c>
      <c r="CN17" s="6" t="str">
        <f t="shared" si="131"/>
        <v/>
      </c>
      <c r="CO17" s="167" t="str">
        <f t="shared" si="35"/>
        <v/>
      </c>
      <c r="CP17" s="4" t="str">
        <f t="shared" si="240"/>
        <v/>
      </c>
      <c r="CQ17" s="5" t="str">
        <f t="shared" si="241"/>
        <v/>
      </c>
      <c r="CR17" s="5" t="str">
        <f t="shared" si="158"/>
        <v/>
      </c>
      <c r="CS17" s="8" t="str">
        <f t="shared" si="159"/>
        <v/>
      </c>
      <c r="CT17" s="9" t="str">
        <f t="shared" si="160"/>
        <v/>
      </c>
      <c r="CU17" s="6" t="str">
        <f t="shared" si="161"/>
        <v/>
      </c>
      <c r="CV17" s="4" t="str">
        <f t="shared" si="242"/>
        <v/>
      </c>
      <c r="CW17" s="5" t="str">
        <f t="shared" si="162"/>
        <v/>
      </c>
      <c r="CX17" s="8" t="str">
        <f t="shared" si="163"/>
        <v/>
      </c>
      <c r="CY17" s="9" t="str">
        <f t="shared" si="164"/>
        <v/>
      </c>
      <c r="CZ17" s="5" t="str">
        <f t="shared" si="165"/>
        <v/>
      </c>
      <c r="DA17" s="6" t="str">
        <f t="shared" si="166"/>
        <v/>
      </c>
      <c r="DB17" s="4" t="str">
        <f t="shared" si="167"/>
        <v/>
      </c>
      <c r="DC17" s="5" t="str">
        <f t="shared" si="167"/>
        <v/>
      </c>
      <c r="DD17" s="10" t="str">
        <f t="shared" si="168"/>
        <v/>
      </c>
      <c r="DE17" s="9" t="str">
        <f t="shared" si="169"/>
        <v/>
      </c>
      <c r="DF17" s="5" t="str">
        <f t="shared" si="169"/>
        <v/>
      </c>
      <c r="DG17" s="10" t="str">
        <f t="shared" si="170"/>
        <v/>
      </c>
      <c r="DH17" s="70" t="str">
        <f t="shared" si="171"/>
        <v/>
      </c>
      <c r="DI17" s="4" t="str">
        <f t="shared" si="172"/>
        <v/>
      </c>
      <c r="DJ17" s="5" t="str">
        <f t="shared" si="173"/>
        <v/>
      </c>
      <c r="DK17" s="10" t="str">
        <f t="shared" si="174"/>
        <v/>
      </c>
      <c r="DL17" s="9" t="str">
        <f t="shared" si="175"/>
        <v/>
      </c>
      <c r="DM17" s="173" t="str">
        <f t="shared" si="176"/>
        <v/>
      </c>
      <c r="DN17" s="178" t="str">
        <f t="shared" si="177"/>
        <v/>
      </c>
      <c r="DO17" s="9" t="str">
        <f t="shared" si="178"/>
        <v/>
      </c>
      <c r="DP17" s="173" t="str">
        <f t="shared" si="179"/>
        <v/>
      </c>
      <c r="DQ17" s="11" t="str">
        <f t="shared" si="180"/>
        <v/>
      </c>
      <c r="DR17" s="173" t="str">
        <f t="shared" si="181"/>
        <v/>
      </c>
      <c r="DS17" s="5" t="str">
        <f t="shared" si="182"/>
        <v/>
      </c>
      <c r="DT17" s="5" t="str">
        <f t="shared" si="183"/>
        <v/>
      </c>
      <c r="DU17" s="5" t="str">
        <f t="shared" si="184"/>
        <v/>
      </c>
      <c r="DV17" s="5" t="str">
        <f t="shared" si="185"/>
        <v/>
      </c>
      <c r="DW17" s="5" t="str">
        <f t="shared" si="186"/>
        <v/>
      </c>
      <c r="DX17" s="167" t="str">
        <f t="shared" si="187"/>
        <v/>
      </c>
      <c r="DY17" s="9" t="str">
        <f t="shared" si="188"/>
        <v/>
      </c>
      <c r="DZ17" s="5" t="str">
        <f t="shared" si="189"/>
        <v/>
      </c>
      <c r="EA17" s="10" t="str">
        <f t="shared" si="190"/>
        <v/>
      </c>
      <c r="EB17" s="6" t="str">
        <f t="shared" si="191"/>
        <v/>
      </c>
      <c r="EC17" s="173" t="str">
        <f t="shared" si="192"/>
        <v/>
      </c>
      <c r="ED17" s="5" t="str">
        <f t="shared" si="193"/>
        <v/>
      </c>
      <c r="EE17" s="4" t="str">
        <f t="shared" si="194"/>
        <v/>
      </c>
      <c r="EF17" s="5" t="str">
        <f t="shared" si="195"/>
        <v/>
      </c>
      <c r="EG17" s="10" t="str">
        <f t="shared" si="196"/>
        <v/>
      </c>
      <c r="EH17" s="9" t="str">
        <f t="shared" si="197"/>
        <v/>
      </c>
      <c r="EI17" s="5" t="str">
        <f t="shared" si="198"/>
        <v/>
      </c>
      <c r="EJ17" s="6" t="str">
        <f t="shared" si="199"/>
        <v/>
      </c>
      <c r="EK17" s="236" t="str">
        <f t="shared" si="200"/>
        <v/>
      </c>
      <c r="EL17" s="238" t="str">
        <f t="shared" si="201"/>
        <v/>
      </c>
      <c r="EM17" s="4" t="str">
        <f t="shared" si="202"/>
        <v/>
      </c>
      <c r="EN17" s="5" t="str">
        <f t="shared" si="203"/>
        <v/>
      </c>
      <c r="EO17" s="10" t="str">
        <f t="shared" si="204"/>
        <v/>
      </c>
      <c r="EP17" s="9" t="str">
        <f t="shared" si="205"/>
        <v/>
      </c>
      <c r="EQ17" s="5" t="str">
        <f t="shared" si="206"/>
        <v/>
      </c>
      <c r="ER17" s="7" t="str">
        <f t="shared" si="207"/>
        <v/>
      </c>
      <c r="ES17" s="21" t="str">
        <f t="shared" si="132"/>
        <v/>
      </c>
      <c r="ET17" s="5" t="str">
        <f t="shared" si="44"/>
        <v/>
      </c>
      <c r="EU17" s="10" t="str">
        <f t="shared" si="45"/>
        <v/>
      </c>
      <c r="EV17" s="174" t="str">
        <f t="shared" si="254"/>
        <v/>
      </c>
      <c r="EW17" s="9" t="str">
        <f t="shared" si="133"/>
        <v/>
      </c>
      <c r="EX17" s="5" t="str">
        <f t="shared" si="47"/>
        <v/>
      </c>
      <c r="EY17" s="6" t="str">
        <f t="shared" si="208"/>
        <v/>
      </c>
      <c r="EZ17" s="51" t="str">
        <f t="shared" si="209"/>
        <v/>
      </c>
      <c r="FA17" s="266" t="str">
        <f t="shared" si="134"/>
        <v/>
      </c>
      <c r="FB17" s="267" t="str">
        <f t="shared" si="135"/>
        <v/>
      </c>
      <c r="FC17" s="269" t="str">
        <f t="shared" si="48"/>
        <v/>
      </c>
      <c r="FD17" s="4" t="str">
        <f t="shared" si="136"/>
        <v/>
      </c>
      <c r="FE17" s="5" t="str">
        <f t="shared" si="49"/>
        <v/>
      </c>
      <c r="FF17" s="7" t="str">
        <f t="shared" si="210"/>
        <v/>
      </c>
      <c r="FG17" s="173" t="str">
        <f t="shared" si="211"/>
        <v/>
      </c>
      <c r="FH17" s="5" t="str">
        <f t="shared" si="50"/>
        <v/>
      </c>
      <c r="FI17" s="10" t="str">
        <f t="shared" si="51"/>
        <v/>
      </c>
      <c r="FJ17" s="279" t="str">
        <f t="shared" si="212"/>
        <v/>
      </c>
      <c r="FK17" s="4" t="str">
        <f t="shared" si="52"/>
        <v/>
      </c>
      <c r="FL17" s="5" t="str">
        <f t="shared" si="213"/>
        <v/>
      </c>
      <c r="FM17" s="8" t="str">
        <f t="shared" si="214"/>
        <v/>
      </c>
      <c r="FN17" s="9" t="str">
        <f t="shared" si="215"/>
        <v/>
      </c>
      <c r="FO17" s="10" t="str">
        <f t="shared" si="53"/>
        <v/>
      </c>
      <c r="FP17" s="277" t="str">
        <f t="shared" si="54"/>
        <v/>
      </c>
      <c r="FQ17" s="173" t="str">
        <f t="shared" si="243"/>
        <v/>
      </c>
      <c r="FR17" s="10" t="str">
        <f t="shared" si="216"/>
        <v/>
      </c>
      <c r="FS17" s="9" t="str">
        <f t="shared" si="217"/>
        <v/>
      </c>
      <c r="FT17" s="6" t="str">
        <f t="shared" si="218"/>
        <v/>
      </c>
      <c r="FU17" s="4" t="str">
        <f t="shared" si="219"/>
        <v/>
      </c>
      <c r="FV17" s="5" t="str">
        <f t="shared" si="220"/>
        <v/>
      </c>
      <c r="FW17" s="8" t="str">
        <f t="shared" si="244"/>
        <v/>
      </c>
      <c r="FX17" s="9" t="str">
        <f t="shared" si="245"/>
        <v/>
      </c>
      <c r="FY17" s="10" t="str">
        <f t="shared" si="55"/>
        <v/>
      </c>
      <c r="FZ17" s="277" t="str">
        <f t="shared" si="246"/>
        <v/>
      </c>
      <c r="GA17" s="177" t="str">
        <f t="shared" si="221"/>
        <v/>
      </c>
      <c r="GB17" s="4" t="str">
        <f t="shared" si="222"/>
        <v/>
      </c>
      <c r="GC17" s="5" t="str">
        <f t="shared" si="223"/>
        <v/>
      </c>
      <c r="GD17" s="10" t="str">
        <f t="shared" si="224"/>
        <v/>
      </c>
      <c r="GE17" s="311" t="str">
        <f t="shared" si="225"/>
        <v/>
      </c>
      <c r="GF17" s="341" t="str">
        <f t="shared" si="247"/>
        <v/>
      </c>
      <c r="GG17" s="285" t="str">
        <f t="shared" si="56"/>
        <v/>
      </c>
      <c r="GH17" s="286" t="str">
        <f t="shared" si="57"/>
        <v/>
      </c>
      <c r="GI17" s="281" t="str">
        <f t="shared" si="58"/>
        <v/>
      </c>
      <c r="GJ17" s="167" t="str">
        <f t="shared" si="226"/>
        <v/>
      </c>
      <c r="GK17" s="174" t="str">
        <f t="shared" si="59"/>
        <v/>
      </c>
      <c r="GL17" s="174" t="str">
        <f t="shared" si="227"/>
        <v/>
      </c>
      <c r="GM17" s="177" t="str">
        <f t="shared" si="248"/>
        <v/>
      </c>
      <c r="GN17" s="280" t="str">
        <f t="shared" si="228"/>
        <v/>
      </c>
      <c r="GO17" s="4" t="str">
        <f t="shared" si="229"/>
        <v/>
      </c>
      <c r="GP17" s="8" t="str">
        <f t="shared" si="249"/>
        <v/>
      </c>
      <c r="GQ17" s="177" t="str">
        <f t="shared" si="230"/>
        <v/>
      </c>
      <c r="GR17" s="371" t="str">
        <f t="shared" si="250"/>
        <v/>
      </c>
      <c r="GS17" s="342" t="str">
        <f t="shared" si="61"/>
        <v/>
      </c>
      <c r="GT17" s="343" t="str">
        <f t="shared" si="62"/>
        <v/>
      </c>
      <c r="GU17" s="344" t="str">
        <f t="shared" si="63"/>
        <v/>
      </c>
      <c r="GV17" s="343" t="str">
        <f t="shared" si="252"/>
        <v/>
      </c>
      <c r="GW17" s="345" t="str">
        <f t="shared" si="64"/>
        <v/>
      </c>
      <c r="GX17" s="346" t="str">
        <f t="shared" si="65"/>
        <v/>
      </c>
      <c r="GY17" s="344" t="str">
        <f t="shared" si="66"/>
        <v/>
      </c>
      <c r="GZ17" s="345" t="str">
        <f t="shared" si="67"/>
        <v/>
      </c>
      <c r="HA17" s="342" t="str">
        <f t="shared" si="68"/>
        <v/>
      </c>
      <c r="HB17" s="5" t="str">
        <f t="shared" si="231"/>
        <v/>
      </c>
      <c r="HC17" s="343" t="str">
        <f t="shared" si="232"/>
        <v/>
      </c>
      <c r="HD17" s="345" t="str">
        <f t="shared" si="233"/>
        <v/>
      </c>
      <c r="HE17" s="344" t="str">
        <f t="shared" si="69"/>
        <v/>
      </c>
      <c r="HF17" s="5" t="str">
        <f t="shared" si="70"/>
        <v/>
      </c>
      <c r="HG17" s="343" t="str">
        <f t="shared" si="234"/>
        <v/>
      </c>
      <c r="HH17" s="349" t="str">
        <f t="shared" si="235"/>
        <v/>
      </c>
      <c r="HI17" s="317" t="str">
        <f t="shared" si="71"/>
        <v/>
      </c>
      <c r="HJ17" s="336"/>
      <c r="HK17" s="310">
        <f t="shared" si="137"/>
        <v>9</v>
      </c>
      <c r="HL17" s="348">
        <f t="shared" si="72"/>
        <v>3.109</v>
      </c>
      <c r="HM17" s="909">
        <f t="shared" si="138"/>
        <v>2.1072259246135712</v>
      </c>
      <c r="HN17" s="910">
        <f t="shared" si="73"/>
        <v>15.333215777859115</v>
      </c>
      <c r="HO17" s="911"/>
      <c r="HP17" s="912"/>
      <c r="HQ17" s="910">
        <f t="shared" si="74"/>
        <v>14.048569983828354</v>
      </c>
      <c r="HR17" s="913">
        <f t="shared" si="75"/>
        <v>13.903247347676766</v>
      </c>
      <c r="HS17" s="865">
        <f t="shared" si="251"/>
        <v>2.1025999999999998</v>
      </c>
      <c r="HT17" s="875">
        <f t="shared" si="76"/>
        <v>3.61E-2</v>
      </c>
      <c r="HU17" s="876">
        <f t="shared" si="77"/>
        <v>0.47700340295684407</v>
      </c>
      <c r="HV17" s="872">
        <f t="shared" si="78"/>
        <v>8.5405789774916474E-2</v>
      </c>
      <c r="HW17" s="866">
        <f t="shared" si="79"/>
        <v>29500</v>
      </c>
      <c r="HX17" s="867">
        <f t="shared" si="80"/>
        <v>186.59698916666667</v>
      </c>
      <c r="HY17" s="866">
        <f t="shared" si="81"/>
        <v>43.146601104804468</v>
      </c>
      <c r="HZ17" s="868">
        <f t="shared" si="82"/>
        <v>1172.6333656022416</v>
      </c>
      <c r="IA17" s="869">
        <f t="shared" si="83"/>
        <v>290.46437433807455</v>
      </c>
      <c r="IB17" s="870">
        <f t="shared" si="84"/>
        <v>1506.2443410451206</v>
      </c>
      <c r="IC17" s="841">
        <f t="shared" si="85"/>
        <v>39.184432401821539</v>
      </c>
      <c r="ID17" s="351">
        <f t="shared" si="86"/>
        <v>1064.95</v>
      </c>
      <c r="IE17" s="843">
        <f t="shared" si="87"/>
        <v>263.790920952063</v>
      </c>
      <c r="IF17" s="844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2.1110000000000002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8"/>
        <v>1613</v>
      </c>
      <c r="IM17" s="482" t="str">
        <f t="shared" si="237"/>
        <v/>
      </c>
      <c r="IN17" s="670" t="str">
        <f t="shared" si="90"/>
        <v/>
      </c>
      <c r="IO17" s="702"/>
      <c r="IP17" s="5" t="str">
        <f t="shared" si="91"/>
        <v/>
      </c>
      <c r="IQ17" s="714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70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705" t="str">
        <f t="shared" si="100"/>
        <v/>
      </c>
    </row>
    <row r="18" spans="1:271" ht="15" customHeight="1" x14ac:dyDescent="0.25">
      <c r="A18" s="75">
        <f t="shared" si="1"/>
        <v>0.02</v>
      </c>
      <c r="B18" s="578">
        <f t="shared" si="2"/>
        <v>2.9756514852686244</v>
      </c>
      <c r="C18" s="572">
        <f t="shared" si="3"/>
        <v>1.6382936217888386</v>
      </c>
      <c r="D18" s="576">
        <f t="shared" si="4"/>
        <v>-0.73397893180410168</v>
      </c>
      <c r="E18" s="580">
        <f t="shared" si="5"/>
        <v>-0.25265165150270386</v>
      </c>
      <c r="F18" s="572">
        <f t="shared" si="6"/>
        <v>0.95958552811591191</v>
      </c>
      <c r="G18" s="579">
        <f t="shared" si="7"/>
        <v>0.12394659020506718</v>
      </c>
      <c r="H18" s="580">
        <f t="shared" si="8"/>
        <v>0.3125</v>
      </c>
      <c r="I18" s="572">
        <f t="shared" si="9"/>
        <v>0.52</v>
      </c>
      <c r="J18" s="483">
        <f t="shared" si="10"/>
        <v>2.1139999999999999</v>
      </c>
      <c r="K18" s="806">
        <f t="shared" si="11"/>
        <v>1613</v>
      </c>
      <c r="L18" s="720" t="s">
        <v>322</v>
      </c>
      <c r="M18" s="164">
        <f t="shared" si="12"/>
        <v>2.1139999999999999</v>
      </c>
      <c r="N18" s="575">
        <f t="shared" si="13"/>
        <v>2.9756514852686244</v>
      </c>
      <c r="O18" s="572">
        <f t="shared" si="14"/>
        <v>1.6382936217888386</v>
      </c>
      <c r="P18" s="576">
        <f t="shared" si="15"/>
        <v>-0.73397893180410168</v>
      </c>
      <c r="Q18" s="528">
        <f t="shared" si="140"/>
        <v>28.835701661597991</v>
      </c>
      <c r="R18" s="572">
        <f>IF(M18="","",SQRT(N18^2+O18^2))</f>
        <v>3.3968379050192197</v>
      </c>
      <c r="S18" s="577">
        <f>IF(M18="","",P18)</f>
        <v>-0.73397893180410168</v>
      </c>
      <c r="T18" s="578">
        <f>IF(M18="","",X18*COS(RADIANS(W18)))</f>
        <v>1.6444361378385994</v>
      </c>
      <c r="U18" s="572">
        <f>IF(M18="","",X18*SIN(RADIANS(W18)))</f>
        <v>-2.9722613514874214</v>
      </c>
      <c r="V18" s="579">
        <f>IF(M18="","",Y18)</f>
        <v>-0.73397893180410168</v>
      </c>
      <c r="W18" s="528">
        <f t="shared" si="253"/>
        <v>298.95404237363817</v>
      </c>
      <c r="X18" s="572">
        <f>IF(M18="","",R18)</f>
        <v>3.3968379050192197</v>
      </c>
      <c r="Y18" s="573">
        <f t="shared" si="255"/>
        <v>-0.73397893180410168</v>
      </c>
      <c r="Z18" s="575">
        <f t="shared" si="18"/>
        <v>0.25265165150270386</v>
      </c>
      <c r="AA18" s="572">
        <f t="shared" si="19"/>
        <v>-0.95958552811591191</v>
      </c>
      <c r="AB18" s="572">
        <f t="shared" si="20"/>
        <v>-0.12394659020506718</v>
      </c>
      <c r="AC18" s="579">
        <f>IF(M18="","",SQRT(Z18^2+AA18^2+AB18^2))</f>
        <v>1</v>
      </c>
      <c r="AD18" s="580">
        <f>IF(M18="","",Z18*(1/SQRT(Z18^2+AA18^2+AB18^2)))</f>
        <v>0.25265165150270386</v>
      </c>
      <c r="AE18" s="572">
        <f>IF(M18="","",AA18*(1/SQRT(Z18^2+AA18^2+AB18^2)))</f>
        <v>-0.95958552811591191</v>
      </c>
      <c r="AF18" s="576">
        <f>IF(M18="","",AB18*(1/SQRT(Z18^2+AA18^2+AB18^2)))</f>
        <v>-0.12394659020506718</v>
      </c>
      <c r="AG18" s="545">
        <f>IF(M18="","",DEGREES(ATAN2(-AF18,AE18)))</f>
        <v>-82.640038432101946</v>
      </c>
      <c r="AH18" s="546">
        <f>IF(M18="","",DEGREES(ACOS(AD18)))</f>
        <v>75.365521083955187</v>
      </c>
      <c r="AI18" s="528">
        <f>IF(M18="","",DEGREES(-ACOS(-AF18)))</f>
        <v>-82.880073226594945</v>
      </c>
      <c r="AJ18" s="529">
        <f>IF(M18="","",DEGREES(ATAN2(-AE18,AD18)))</f>
        <v>14.750774227340555</v>
      </c>
      <c r="AK18" s="578">
        <f>IF(M18="","",(COS(RADIANS((90-$Q$8)-W18))*AD18)+(-SIN(RADIANS((90-$Q$8)-W18))*AE18))</f>
        <v>0.9624567855713414</v>
      </c>
      <c r="AL18" s="572">
        <f>IF(M18="","",(SIN(RADIANS((90-$Q$8)-W18))*AD18)+(COS(RADIANS((90-$Q$8)-W18))*AE18))</f>
        <v>-0.24148328862308149</v>
      </c>
      <c r="AM18" s="577">
        <f>IF(M18="","",AF18)</f>
        <v>-0.12394659020506718</v>
      </c>
      <c r="AN18" s="524">
        <f>IF(M18="","",DEGREES(ATAN2(-AM18,AL18)))</f>
        <v>-62.82984398771481</v>
      </c>
      <c r="AO18" s="525">
        <f t="shared" si="116"/>
        <v>15.749673008190417</v>
      </c>
      <c r="AP18" s="528">
        <f>IF(M18="","",DEGREES(ATAN2(AK18,AL18)))</f>
        <v>-14.084927434257409</v>
      </c>
      <c r="AQ18" s="529">
        <f t="shared" si="21"/>
        <v>0.67110131269495577</v>
      </c>
      <c r="AS18" s="932">
        <f t="shared" si="143"/>
        <v>-61.045957626361826</v>
      </c>
      <c r="AT18" s="928">
        <f t="shared" si="22"/>
        <v>-0.69010885533666855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>
        <f t="shared" si="137"/>
        <v>10</v>
      </c>
      <c r="HL18" s="348">
        <f t="shared" si="72"/>
        <v>6.1120000000000001</v>
      </c>
      <c r="HM18" s="909" t="e">
        <f t="shared" si="138"/>
        <v>#VALUE!</v>
      </c>
      <c r="HN18" s="910">
        <f t="shared" si="73"/>
        <v>15.700583954289179</v>
      </c>
      <c r="HO18" s="911"/>
      <c r="HP18" s="912"/>
      <c r="HQ18" s="910" t="e">
        <f t="shared" si="74"/>
        <v>#VALUE!</v>
      </c>
      <c r="HR18" s="913" t="e">
        <f t="shared" si="75"/>
        <v>#VALUE!</v>
      </c>
      <c r="HS18" s="865">
        <f t="shared" si="251"/>
        <v>2.5207000000000002</v>
      </c>
      <c r="HT18" s="875">
        <f t="shared" si="76"/>
        <v>3.5200000000000002E-2</v>
      </c>
      <c r="HU18" s="876">
        <f t="shared" si="77"/>
        <v>0.55756793595160115</v>
      </c>
      <c r="HV18" s="872">
        <f t="shared" si="78"/>
        <v>9.9830587429634798E-2</v>
      </c>
      <c r="HW18" s="866">
        <f t="shared" si="79"/>
        <v>29500</v>
      </c>
      <c r="HX18" s="867">
        <f t="shared" si="80"/>
        <v>218.12457333333336</v>
      </c>
      <c r="HY18" s="866" t="e">
        <f t="shared" si="81"/>
        <v>#VALUE!</v>
      </c>
      <c r="HZ18" s="868">
        <f t="shared" si="82"/>
        <v>1370.6878425476862</v>
      </c>
      <c r="IA18" s="869" t="e">
        <f t="shared" si="83"/>
        <v>#VALUE!</v>
      </c>
      <c r="IB18" s="870" t="e">
        <f t="shared" si="84"/>
        <v>#VALUE!</v>
      </c>
      <c r="IC18" s="841" t="e">
        <f t="shared" si="85"/>
        <v>#VALUE!</v>
      </c>
      <c r="ID18" s="351">
        <f t="shared" si="86"/>
        <v>1038.4000000000001</v>
      </c>
      <c r="IE18" s="843" t="e">
        <f t="shared" si="87"/>
        <v>#VALUE!</v>
      </c>
      <c r="IF18" s="844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2.1139999999999999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88"/>
        <v>1613</v>
      </c>
      <c r="IM18" s="482" t="str">
        <f t="shared" si="237"/>
        <v/>
      </c>
      <c r="IN18" s="670" t="str">
        <f t="shared" si="90"/>
        <v/>
      </c>
      <c r="IO18" s="702"/>
      <c r="IP18" s="5" t="str">
        <f t="shared" si="91"/>
        <v/>
      </c>
      <c r="IQ18" s="714"/>
      <c r="IR18" s="9" t="str">
        <f t="shared" si="139"/>
        <v/>
      </c>
      <c r="IS18" s="5" t="str">
        <f t="shared" si="92"/>
        <v/>
      </c>
      <c r="IT18" s="5" t="str">
        <f t="shared" si="93"/>
        <v/>
      </c>
      <c r="IU18" s="5" t="str">
        <f t="shared" si="94"/>
        <v/>
      </c>
      <c r="IV18" s="670" t="str">
        <f t="shared" si="95"/>
        <v/>
      </c>
      <c r="IW18" s="9" t="str">
        <f t="shared" si="96"/>
        <v/>
      </c>
      <c r="IX18" s="5" t="str">
        <f t="shared" si="97"/>
        <v/>
      </c>
      <c r="IY18" s="5" t="str">
        <f t="shared" si="98"/>
        <v/>
      </c>
      <c r="IZ18" s="5" t="str">
        <f t="shared" si="99"/>
        <v/>
      </c>
      <c r="JA18" s="705" t="str">
        <f t="shared" si="100"/>
        <v/>
      </c>
    </row>
    <row r="19" spans="1:271" ht="15" customHeight="1" thickBot="1" x14ac:dyDescent="0.3">
      <c r="A19" s="75">
        <f t="shared" si="1"/>
        <v>0.02</v>
      </c>
      <c r="B19" s="578">
        <f t="shared" si="2"/>
        <v>3.1870743076337531</v>
      </c>
      <c r="C19" s="572">
        <f t="shared" si="3"/>
        <v>1.7314501212790321</v>
      </c>
      <c r="D19" s="576">
        <f t="shared" si="4"/>
        <v>-1.4426686704420537</v>
      </c>
      <c r="E19" s="580">
        <f t="shared" si="5"/>
        <v>-0.14655833989744946</v>
      </c>
      <c r="F19" s="572">
        <f t="shared" si="6"/>
        <v>0.988248036762158</v>
      </c>
      <c r="G19" s="579">
        <f t="shared" si="7"/>
        <v>4.3433522102683253E-2</v>
      </c>
      <c r="H19" s="580">
        <f t="shared" si="8"/>
        <v>0.3125</v>
      </c>
      <c r="I19" s="572">
        <f t="shared" si="9"/>
        <v>0.52</v>
      </c>
      <c r="J19" s="483">
        <f t="shared" si="10"/>
        <v>2.117</v>
      </c>
      <c r="K19" s="806">
        <f t="shared" si="11"/>
        <v>1613</v>
      </c>
      <c r="L19" s="718" t="s">
        <v>357</v>
      </c>
      <c r="M19" s="164">
        <f t="shared" si="12"/>
        <v>2.117</v>
      </c>
      <c r="N19" s="575">
        <f t="shared" si="13"/>
        <v>3.1870743076337531</v>
      </c>
      <c r="O19" s="572">
        <f t="shared" si="14"/>
        <v>1.7314501212790321</v>
      </c>
      <c r="P19" s="576">
        <f t="shared" si="15"/>
        <v>-1.4426686704420537</v>
      </c>
      <c r="Q19" s="528">
        <f t="shared" si="140"/>
        <v>28.514020846856855</v>
      </c>
      <c r="R19" s="572">
        <f>IF(M19="","",SQRT(N19^2+O19^2))</f>
        <v>3.6270321427933805</v>
      </c>
      <c r="S19" s="577">
        <f>IF(M19="","",P19)</f>
        <v>-1.4426686704420537</v>
      </c>
      <c r="T19" s="578">
        <f>IF(M19="","",X19*COS(RADIANS(W19)))</f>
        <v>1.7380291184252443</v>
      </c>
      <c r="U19" s="572">
        <f>IF(M19="","",X19*SIN(RADIANS(W19)))</f>
        <v>-3.1834913143217949</v>
      </c>
      <c r="V19" s="579">
        <f>IF(M19="","",Y19)</f>
        <v>-1.4426686704420537</v>
      </c>
      <c r="W19" s="528">
        <f t="shared" si="253"/>
        <v>298.63236155889706</v>
      </c>
      <c r="X19" s="572">
        <f>IF(M19="","",R19)</f>
        <v>3.6270321427933805</v>
      </c>
      <c r="Y19" s="573">
        <f t="shared" si="255"/>
        <v>-1.4426686704420537</v>
      </c>
      <c r="Z19" s="575">
        <f t="shared" si="18"/>
        <v>0.14655833989744946</v>
      </c>
      <c r="AA19" s="572">
        <f t="shared" si="19"/>
        <v>-0.988248036762158</v>
      </c>
      <c r="AB19" s="572">
        <f t="shared" si="20"/>
        <v>-4.3433522102683253E-2</v>
      </c>
      <c r="AC19" s="579">
        <f>IF(M19="","",SQRT(Z19^2+AA19^2+AB19^2))</f>
        <v>1</v>
      </c>
      <c r="AD19" s="580">
        <f>IF(M19="","",Z19*(1/SQRT(Z19^2+AA19^2+AB19^2)))</f>
        <v>0.14655833989744946</v>
      </c>
      <c r="AE19" s="572">
        <f>IF(M19="","",AA19*(1/SQRT(Z19^2+AA19^2+AB19^2)))</f>
        <v>-0.988248036762158</v>
      </c>
      <c r="AF19" s="576">
        <f>IF(M19="","",AB19*(1/SQRT(Z19^2+AA19^2+AB19^2)))</f>
        <v>-4.3433522102683253E-2</v>
      </c>
      <c r="AG19" s="545">
        <f>IF(M19="","",DEGREES(ATAN2(-AF19,AE19)))</f>
        <v>-87.483468759897718</v>
      </c>
      <c r="AH19" s="546">
        <f>IF(M19="","",DEGREES(ACOS(AD19)))</f>
        <v>81.572470370644993</v>
      </c>
      <c r="AI19" s="528">
        <f>IF(M19="","",DEGREES(-ACOS(-AF19)))</f>
        <v>-87.510659397303229</v>
      </c>
      <c r="AJ19" s="529">
        <f>IF(M19="","",DEGREES(ATAN2(-AE19,AD19)))</f>
        <v>8.4355480303494623</v>
      </c>
      <c r="AK19" s="578">
        <f>IF(M19="","",(COS(RADIANS((90-$Q$8)-W19))*AD19)+(-SIN(RADIANS((90-$Q$8)-W19))*AE19))</f>
        <v>0.93833697881236067</v>
      </c>
      <c r="AL19" s="572">
        <f>IF(M19="","",(SIN(RADIANS((90-$Q$8)-W19))*AD19)+(COS(RADIANS((90-$Q$8)-W19))*AE19))</f>
        <v>-0.34298286159959568</v>
      </c>
      <c r="AM19" s="577">
        <f>IF(M19="","",AF19)</f>
        <v>-4.3433522102683253E-2</v>
      </c>
      <c r="AN19" s="524">
        <f>IF(M19="","",DEGREES(ATAN2(-AM19,AL19)))</f>
        <v>-82.78278340687632</v>
      </c>
      <c r="AO19" s="525">
        <f t="shared" si="116"/>
        <v>20.225876694233467</v>
      </c>
      <c r="AP19" s="528">
        <f>IF(M19="","",DEGREES(ATAN2(AK19,AL19)))</f>
        <v>-20.078472816507379</v>
      </c>
      <c r="AQ19" s="529">
        <f t="shared" si="21"/>
        <v>0.6285125413289856</v>
      </c>
      <c r="AS19" s="932">
        <f t="shared" si="143"/>
        <v>-61.36763844110294</v>
      </c>
      <c r="AT19" s="928">
        <f t="shared" si="22"/>
        <v>-1.3985752045199393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>
        <f t="shared" si="137"/>
        <v>11</v>
      </c>
      <c r="HL19" s="348">
        <f t="shared" si="72"/>
        <v>3.1150000000000002</v>
      </c>
      <c r="HM19" s="909" t="e">
        <f t="shared" si="138"/>
        <v>#NUM!</v>
      </c>
      <c r="HN19" s="910">
        <f t="shared" si="73"/>
        <v>20.312053536791677</v>
      </c>
      <c r="HO19" s="911"/>
      <c r="HP19" s="912"/>
      <c r="HQ19" s="910" t="e">
        <f t="shared" si="74"/>
        <v>#NUM!</v>
      </c>
      <c r="HR19" s="913" t="e">
        <f t="shared" si="75"/>
        <v>#NUM!</v>
      </c>
      <c r="HS19" s="865">
        <f t="shared" si="251"/>
        <v>2.9211999999999998</v>
      </c>
      <c r="HT19" s="875">
        <f t="shared" si="76"/>
        <v>3.6299999999999999E-2</v>
      </c>
      <c r="HU19" s="876">
        <f t="shared" si="77"/>
        <v>0.66632800634936673</v>
      </c>
      <c r="HV19" s="872">
        <f t="shared" si="78"/>
        <v>0.11930369737123635</v>
      </c>
      <c r="HW19" s="866">
        <f t="shared" si="79"/>
        <v>29500</v>
      </c>
      <c r="HX19" s="867">
        <f t="shared" si="80"/>
        <v>260.68058499999995</v>
      </c>
      <c r="HY19" s="866" t="e">
        <f t="shared" si="81"/>
        <v>#NUM!</v>
      </c>
      <c r="HZ19" s="868">
        <f t="shared" si="82"/>
        <v>1638.0563489421932</v>
      </c>
      <c r="IA19" s="869" t="e">
        <f t="shared" si="83"/>
        <v>#NUM!</v>
      </c>
      <c r="IB19" s="870" t="e">
        <f t="shared" si="84"/>
        <v>#NUM!</v>
      </c>
      <c r="IC19" s="841" t="e">
        <f t="shared" si="85"/>
        <v>#NUM!</v>
      </c>
      <c r="ID19" s="351">
        <f t="shared" si="86"/>
        <v>1070.8499999999999</v>
      </c>
      <c r="IE19" s="843" t="e">
        <f t="shared" si="87"/>
        <v>#NUM!</v>
      </c>
      <c r="IF19" s="844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2.117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88"/>
        <v>1613</v>
      </c>
      <c r="IM19" s="482" t="str">
        <f t="shared" si="237"/>
        <v/>
      </c>
      <c r="IN19" s="670" t="str">
        <f t="shared" si="90"/>
        <v/>
      </c>
      <c r="IO19" s="702"/>
      <c r="IP19" s="5" t="str">
        <f t="shared" si="91"/>
        <v/>
      </c>
      <c r="IQ19" s="714"/>
      <c r="IR19" s="9" t="str">
        <f t="shared" si="139"/>
        <v/>
      </c>
      <c r="IS19" s="5" t="str">
        <f t="shared" si="92"/>
        <v/>
      </c>
      <c r="IT19" s="5" t="str">
        <f t="shared" si="93"/>
        <v/>
      </c>
      <c r="IU19" s="5" t="str">
        <f t="shared" si="94"/>
        <v/>
      </c>
      <c r="IV19" s="670" t="str">
        <f t="shared" si="95"/>
        <v/>
      </c>
      <c r="IW19" s="9" t="str">
        <f t="shared" si="96"/>
        <v/>
      </c>
      <c r="IX19" s="5" t="str">
        <f t="shared" si="97"/>
        <v/>
      </c>
      <c r="IY19" s="5" t="str">
        <f t="shared" si="98"/>
        <v/>
      </c>
      <c r="IZ19" s="5" t="str">
        <f t="shared" si="99"/>
        <v/>
      </c>
      <c r="JA19" s="705" t="str">
        <f t="shared" si="100"/>
        <v/>
      </c>
      <c r="JD19" s="1368" t="s">
        <v>356</v>
      </c>
      <c r="JE19" s="1369"/>
      <c r="JF19" s="1369"/>
      <c r="JG19" s="1369"/>
      <c r="JH19" s="1369"/>
      <c r="JI19" s="1369"/>
      <c r="JJ19" s="1369"/>
      <c r="JK19" s="1370"/>
    </row>
    <row r="20" spans="1:271" ht="15" customHeight="1" x14ac:dyDescent="0.25">
      <c r="A20" s="75">
        <f t="shared" si="1"/>
        <v>0.02</v>
      </c>
      <c r="B20" s="578">
        <f t="shared" si="2"/>
        <v>3.3077734042018245</v>
      </c>
      <c r="C20" s="572">
        <f t="shared" si="3"/>
        <v>1.7774542166928529</v>
      </c>
      <c r="D20" s="576">
        <f t="shared" si="4"/>
        <v>-2.1010316525916561</v>
      </c>
      <c r="E20" s="580">
        <f t="shared" si="5"/>
        <v>1.9302591392406955E-2</v>
      </c>
      <c r="F20" s="572">
        <f t="shared" si="6"/>
        <v>0.99791532190822962</v>
      </c>
      <c r="G20" s="579">
        <f t="shared" si="7"/>
        <v>6.1582629582798941E-2</v>
      </c>
      <c r="H20" s="580">
        <f t="shared" si="8"/>
        <v>0.26450000000000001</v>
      </c>
      <c r="I20" s="572">
        <f t="shared" si="9"/>
        <v>0.52</v>
      </c>
      <c r="J20" s="483">
        <f t="shared" si="10"/>
        <v>2.12</v>
      </c>
      <c r="K20" s="806">
        <f t="shared" si="11"/>
        <v>1313</v>
      </c>
      <c r="L20" s="717" t="str">
        <f>IF($L19=$JJ$22,$JJ$30,IF($L19=$JK$22,$JK$30,""))</f>
        <v/>
      </c>
      <c r="M20" s="164">
        <f t="shared" si="12"/>
        <v>2.12</v>
      </c>
      <c r="N20" s="575">
        <f t="shared" si="13"/>
        <v>3.3077734042018245</v>
      </c>
      <c r="O20" s="572">
        <f t="shared" si="14"/>
        <v>1.7774542166928529</v>
      </c>
      <c r="P20" s="576">
        <f t="shared" si="15"/>
        <v>-2.1010316525916561</v>
      </c>
      <c r="Q20" s="528">
        <f t="shared" si="140"/>
        <v>28.251659329015379</v>
      </c>
      <c r="R20" s="572">
        <f>IF(M20="","",SQRT(N20^2+O20^2))</f>
        <v>3.755090995699589</v>
      </c>
      <c r="S20" s="577">
        <f>IF(M20="","",P20)</f>
        <v>-2.1010316525916561</v>
      </c>
      <c r="T20" s="578">
        <f>IF(M20="","",X20*COS(RADIANS(W20)))</f>
        <v>1.784282411680882</v>
      </c>
      <c r="U20" s="572">
        <f>IF(M20="","",X20*SIN(RADIANS(W20)))</f>
        <v>-3.3040951350332493</v>
      </c>
      <c r="V20" s="579">
        <f>IF(M20="","",Y20)</f>
        <v>-2.1010316525916561</v>
      </c>
      <c r="W20" s="528">
        <f t="shared" si="253"/>
        <v>298.37000004105556</v>
      </c>
      <c r="X20" s="572">
        <f>IF(M20="","",R20)</f>
        <v>3.755090995699589</v>
      </c>
      <c r="Y20" s="573">
        <f t="shared" si="255"/>
        <v>-2.1010316525916561</v>
      </c>
      <c r="Z20" s="575">
        <f t="shared" si="18"/>
        <v>-1.9302591392406955E-2</v>
      </c>
      <c r="AA20" s="572">
        <f t="shared" si="19"/>
        <v>-0.99791532190822962</v>
      </c>
      <c r="AB20" s="572">
        <f t="shared" si="20"/>
        <v>-6.1582629582798941E-2</v>
      </c>
      <c r="AC20" s="579">
        <f>IF(M20="","",SQRT(Z20^2+AA20^2+AB20^2))</f>
        <v>1</v>
      </c>
      <c r="AD20" s="580">
        <f>IF(M20="","",Z20*(1/SQRT(Z20^2+AA20^2+AB20^2)))</f>
        <v>-1.9302591392406955E-2</v>
      </c>
      <c r="AE20" s="572">
        <f>IF(M20="","",AA20*(1/SQRT(Z20^2+AA20^2+AB20^2)))</f>
        <v>-0.99791532190822962</v>
      </c>
      <c r="AF20" s="576">
        <f>IF(M20="","",AB20*(1/SQRT(Z20^2+AA20^2+AB20^2)))</f>
        <v>-6.1582629582798941E-2</v>
      </c>
      <c r="AG20" s="545">
        <f>IF(M20="","",DEGREES(ATAN2(-AF20,AE20)))</f>
        <v>-86.468682445053972</v>
      </c>
      <c r="AH20" s="546">
        <f>IF(M20="","",DEGREES(ACOS(AD20)))</f>
        <v>91.106025710062028</v>
      </c>
      <c r="AI20" s="528">
        <f>IF(M20="","",DEGREES(-ACOS(-AF20)))</f>
        <v>-86.469341207320554</v>
      </c>
      <c r="AJ20" s="529">
        <f>IF(M20="","",DEGREES(ATAN2(-AE20,AD20)))</f>
        <v>-1.1081292134294192</v>
      </c>
      <c r="AK20" s="578">
        <f>IF(M20="","",(COS(RADIANS((90-$Q$8)-W20))*AD20)+(-SIN(RADIANS((90-$Q$8)-W20))*AE20))</f>
        <v>0.86990389653165712</v>
      </c>
      <c r="AL20" s="572">
        <f>IF(M20="","",(SIN(RADIANS((90-$Q$8)-W20))*AD20)+(COS(RADIANS((90-$Q$8)-W20))*AE20))</f>
        <v>-0.48936161530376243</v>
      </c>
      <c r="AM20" s="577">
        <f>IF(M20="","",AF20)</f>
        <v>-6.1582629582798941E-2</v>
      </c>
      <c r="AN20" s="524">
        <f>IF(M20="","",DEGREES(ATAN2(-AM20,AL20)))</f>
        <v>-82.827443342392854</v>
      </c>
      <c r="AO20" s="525">
        <f t="shared" si="116"/>
        <v>29.552526421184567</v>
      </c>
      <c r="AP20" s="528">
        <f>IF(M20="","",DEGREES(ATAN2(AK20,AL20)))</f>
        <v>-29.359788542444761</v>
      </c>
      <c r="AQ20" s="529">
        <f t="shared" si="21"/>
        <v>0.60708018055240331</v>
      </c>
      <c r="AS20" s="932">
        <f t="shared" si="143"/>
        <v>-61.629999958944438</v>
      </c>
      <c r="AT20" s="928">
        <f t="shared" si="22"/>
        <v>-2.0567559911710407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>
        <f t="shared" si="137"/>
        <v>12</v>
      </c>
      <c r="HL20" s="348">
        <f t="shared" si="72"/>
        <v>6.1180000000000003</v>
      </c>
      <c r="HM20" s="909" t="e">
        <f t="shared" si="138"/>
        <v>#NUM!</v>
      </c>
      <c r="HN20" s="910">
        <f t="shared" si="73"/>
        <v>29.552649644885918</v>
      </c>
      <c r="HO20" s="911"/>
      <c r="HP20" s="912"/>
      <c r="HQ20" s="910" t="e">
        <f t="shared" si="74"/>
        <v>#NUM!</v>
      </c>
      <c r="HR20" s="913" t="e">
        <f t="shared" si="75"/>
        <v>#NUM!</v>
      </c>
      <c r="HS20" s="865">
        <f t="shared" si="251"/>
        <v>3.3212999999999999</v>
      </c>
      <c r="HT20" s="875">
        <f t="shared" si="76"/>
        <v>3.2000000000000001E-2</v>
      </c>
      <c r="HU20" s="876">
        <f t="shared" si="77"/>
        <v>0.66783490529656597</v>
      </c>
      <c r="HV20" s="872">
        <f t="shared" si="78"/>
        <v>0.11957350235354626</v>
      </c>
      <c r="HW20" s="866">
        <f t="shared" si="79"/>
        <v>29500</v>
      </c>
      <c r="HX20" s="867">
        <f t="shared" si="80"/>
        <v>261.2756</v>
      </c>
      <c r="HY20" s="866" t="e">
        <f t="shared" si="81"/>
        <v>#NUM!</v>
      </c>
      <c r="HZ20" s="868">
        <f t="shared" si="82"/>
        <v>1641.760808854058</v>
      </c>
      <c r="IA20" s="869" t="e">
        <f t="shared" si="83"/>
        <v>#NUM!</v>
      </c>
      <c r="IB20" s="870" t="e">
        <f t="shared" si="84"/>
        <v>#NUM!</v>
      </c>
      <c r="IC20" s="841" t="e">
        <f t="shared" si="85"/>
        <v>#NUM!</v>
      </c>
      <c r="ID20" s="351">
        <f t="shared" si="86"/>
        <v>944</v>
      </c>
      <c r="IE20" s="843" t="e">
        <f t="shared" si="87"/>
        <v>#NUM!</v>
      </c>
      <c r="IF20" s="844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2.12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88"/>
        <v>1313</v>
      </c>
      <c r="IM20" s="482" t="str">
        <f t="shared" si="237"/>
        <v/>
      </c>
      <c r="IN20" s="670" t="str">
        <f t="shared" si="90"/>
        <v/>
      </c>
      <c r="IO20" s="702"/>
      <c r="IP20" s="5" t="str">
        <f t="shared" si="91"/>
        <v/>
      </c>
      <c r="IQ20" s="714"/>
      <c r="IR20" s="9" t="str">
        <f t="shared" si="139"/>
        <v/>
      </c>
      <c r="IS20" s="5" t="str">
        <f t="shared" si="92"/>
        <v/>
      </c>
      <c r="IT20" s="5" t="str">
        <f t="shared" si="93"/>
        <v/>
      </c>
      <c r="IU20" s="5" t="str">
        <f t="shared" si="94"/>
        <v/>
      </c>
      <c r="IV20" s="670" t="str">
        <f t="shared" si="95"/>
        <v/>
      </c>
      <c r="IW20" s="9" t="str">
        <f t="shared" si="96"/>
        <v/>
      </c>
      <c r="IX20" s="5" t="str">
        <f t="shared" si="97"/>
        <v/>
      </c>
      <c r="IY20" s="5" t="str">
        <f t="shared" si="98"/>
        <v/>
      </c>
      <c r="IZ20" s="5" t="str">
        <f t="shared" si="99"/>
        <v/>
      </c>
      <c r="JA20" s="705" t="str">
        <f t="shared" si="100"/>
        <v/>
      </c>
      <c r="JC20" s="31"/>
      <c r="JD20" s="1371" t="s">
        <v>360</v>
      </c>
      <c r="JE20" s="1372"/>
      <c r="JF20" s="1372"/>
      <c r="JG20" s="1372"/>
      <c r="JH20" s="1150" t="s">
        <v>361</v>
      </c>
      <c r="JI20" s="1151"/>
      <c r="JJ20" s="1151"/>
      <c r="JK20" s="1152"/>
    </row>
    <row r="21" spans="1:271" ht="15" customHeight="1" x14ac:dyDescent="0.25">
      <c r="A21" s="75">
        <f t="shared" si="1"/>
        <v>0.02</v>
      </c>
      <c r="B21" s="578">
        <f t="shared" si="2"/>
        <v>0.65361394765332037</v>
      </c>
      <c r="C21" s="572">
        <f t="shared" si="3"/>
        <v>-0.44538961948537015</v>
      </c>
      <c r="D21" s="576">
        <f t="shared" si="4"/>
        <v>-0.49474743409445476</v>
      </c>
      <c r="E21" s="580">
        <f t="shared" si="5"/>
        <v>0.54851387399083507</v>
      </c>
      <c r="F21" s="572">
        <f t="shared" si="6"/>
        <v>0.78335899581040569</v>
      </c>
      <c r="G21" s="579">
        <f t="shared" si="7"/>
        <v>0.29237170472273688</v>
      </c>
      <c r="H21" s="580">
        <f t="shared" si="8"/>
        <v>0.3125</v>
      </c>
      <c r="I21" s="572">
        <f t="shared" si="9"/>
        <v>0.52</v>
      </c>
      <c r="J21" s="483">
        <f t="shared" si="10"/>
        <v>3.1030000000000002</v>
      </c>
      <c r="K21" s="806">
        <f t="shared" si="11"/>
        <v>1613</v>
      </c>
      <c r="L21" s="719" t="s">
        <v>358</v>
      </c>
      <c r="M21" s="164">
        <f t="shared" si="12"/>
        <v>3.1030000000000002</v>
      </c>
      <c r="N21" s="575">
        <f t="shared" si="13"/>
        <v>0.65361394765332037</v>
      </c>
      <c r="O21" s="572">
        <f t="shared" si="14"/>
        <v>-0.44538961948537015</v>
      </c>
      <c r="P21" s="576">
        <f t="shared" si="15"/>
        <v>-0.49474743409445476</v>
      </c>
      <c r="Q21" s="528">
        <f t="shared" si="140"/>
        <v>325.72846036838132</v>
      </c>
      <c r="R21" s="572">
        <f>IF(M21="","",SQRT(N21^2+O21^2))</f>
        <v>0.7909381174986323</v>
      </c>
      <c r="S21" s="577">
        <f>IF(M21="","",P21)</f>
        <v>-0.49474743409445476</v>
      </c>
      <c r="T21" s="578">
        <f>IF(M21="","",X21*COS(RADIANS(W21)))</f>
        <v>-0.44403867325863206</v>
      </c>
      <c r="U21" s="572">
        <f>IF(M21="","",X21*SIN(RADIANS(W21)))</f>
        <v>-0.65453247617134636</v>
      </c>
      <c r="V21" s="579">
        <f>IF(M21="","",Y21)</f>
        <v>-0.49474743409445476</v>
      </c>
      <c r="W21" s="528">
        <f t="shared" si="253"/>
        <v>235.84680108042153</v>
      </c>
      <c r="X21" s="572">
        <f>IF(M21="","",R21)</f>
        <v>0.7909381174986323</v>
      </c>
      <c r="Y21" s="573">
        <f t="shared" si="255"/>
        <v>-0.49474743409445476</v>
      </c>
      <c r="Z21" s="575">
        <f t="shared" si="18"/>
        <v>-0.54851387399083507</v>
      </c>
      <c r="AA21" s="572">
        <f t="shared" si="19"/>
        <v>-0.78335899581040569</v>
      </c>
      <c r="AB21" s="572">
        <f t="shared" si="20"/>
        <v>-0.29237170472273688</v>
      </c>
      <c r="AC21" s="579">
        <f>IF(M21="","",SQRT(Z21^2+AA21^2+AB21^2))</f>
        <v>1</v>
      </c>
      <c r="AD21" s="580">
        <f>IF(M21="","",Z21*(1/SQRT(Z21^2+AA21^2+AB21^2)))</f>
        <v>-0.54851387399083507</v>
      </c>
      <c r="AE21" s="572">
        <f>IF(M21="","",AA21*(1/SQRT(Z21^2+AA21^2+AB21^2)))</f>
        <v>-0.78335899581040569</v>
      </c>
      <c r="AF21" s="576">
        <f>IF(M21="","",AB21*(1/SQRT(Z21^2+AA21^2+AB21^2)))</f>
        <v>-0.29237170472273688</v>
      </c>
      <c r="AG21" s="545">
        <f>IF(M21="","",DEGREES(ATAN2(-AF21,AE21)))</f>
        <v>-69.533005131982506</v>
      </c>
      <c r="AH21" s="546">
        <f>IF(M21="","",DEGREES(ACOS(AD21)))</f>
        <v>123.26511813942042</v>
      </c>
      <c r="AI21" s="528">
        <f>IF(M21="","",DEGREES(-ACOS(-AF21)))</f>
        <v>-72.999999999999986</v>
      </c>
      <c r="AJ21" s="529">
        <f>IF(M21="","",DEGREES(ATAN2(-AE21,AD21)))</f>
        <v>-35.000000000000028</v>
      </c>
      <c r="AK21" s="578">
        <f>IF(M21="","",(COS(RADIANS((90-$Q$8)-W21))*AD21)+(-SIN(RADIANS((90-$Q$8)-W21))*AE21))</f>
        <v>0.956227465294606</v>
      </c>
      <c r="AL21" s="572">
        <f>IF(M21="","",(SIN(RADIANS((90-$Q$8)-W21))*AD21)+(COS(RADIANS((90-$Q$8)-W21))*AE21))</f>
        <v>-1.2158161611604823E-2</v>
      </c>
      <c r="AM21" s="577">
        <f>IF(M21="","",AF21)</f>
        <v>-0.29237170472273688</v>
      </c>
      <c r="AN21" s="524">
        <f>IF(M21="","",DEGREES(ATAN2(-AM21,AL21)))</f>
        <v>-2.3812503284625786</v>
      </c>
      <c r="AO21" s="525">
        <f>IF(ROUND(IF(M21="",0,DEGREES(ACOS(AK21))),4)=90,0,IF(M21="","",DEGREES(ACOS(AK21))))</f>
        <v>17.015140029473987</v>
      </c>
      <c r="AP21" s="528">
        <f>IF(M21="","",DEGREES(ATAN2(AK21,AL21)))</f>
        <v>-0.72846036838133521</v>
      </c>
      <c r="AQ21" s="529">
        <f t="shared" si="21"/>
        <v>2.8798794985258933</v>
      </c>
      <c r="AS21" s="932">
        <f t="shared" si="143"/>
        <v>-124.15319891957847</v>
      </c>
      <c r="AT21" s="928">
        <f t="shared" si="22"/>
        <v>-0.40705288450673227</v>
      </c>
      <c r="AU21" s="418"/>
      <c r="AV21" s="164">
        <f t="shared" si="23"/>
        <v>3.1030000000000002</v>
      </c>
      <c r="AW21" s="829">
        <f>IFERROR(INDEX(MassProp!C$9:C$150,MATCH($M21,MassProp!$B$9:$B$150,0)),"")</f>
        <v>0.69930000000000003</v>
      </c>
      <c r="AX21" s="830">
        <f>IFERROR(INDEX(MassProp!D$9:D$150,MATCH($M21,MassProp!$B$9:$B$150,0)),"")</f>
        <v>5.91E-2</v>
      </c>
      <c r="AY21" s="831">
        <f>IFERROR(INDEX(MassProp!E$9:E$150,MATCH($M21,MassProp!$B$9:$B$150,0)),"")</f>
        <v>6.0400000000000002E-2</v>
      </c>
      <c r="AZ21" s="297">
        <f t="shared" si="144"/>
        <v>0.26581665411209499</v>
      </c>
      <c r="BA21" s="296">
        <f t="shared" si="24"/>
        <v>4.7593541553461863E-2</v>
      </c>
      <c r="BB21" s="190">
        <f t="shared" si="145"/>
        <v>0.21615288450673226</v>
      </c>
      <c r="BC21" s="9"/>
      <c r="BD21" s="5">
        <f t="shared" si="146"/>
        <v>0.69930000000000003</v>
      </c>
      <c r="BE21" s="6">
        <f t="shared" si="25"/>
        <v>-0.27859454958772251</v>
      </c>
      <c r="BF21" s="4">
        <f t="shared" si="26"/>
        <v>0.65361394765332037</v>
      </c>
      <c r="BG21" s="5">
        <f t="shared" si="27"/>
        <v>-0.44538961948537015</v>
      </c>
      <c r="BH21" s="10">
        <f t="shared" si="28"/>
        <v>-0.49474743409445476</v>
      </c>
      <c r="BI21" s="9">
        <f t="shared" si="147"/>
        <v>0.65361394765332037</v>
      </c>
      <c r="BJ21" s="5">
        <f t="shared" si="29"/>
        <v>-9.5721864651280741E-2</v>
      </c>
      <c r="BK21" s="8">
        <f t="shared" si="30"/>
        <v>-1.4316212042627134</v>
      </c>
      <c r="BL21" s="173">
        <f t="shared" si="31"/>
        <v>1.4897554010208509</v>
      </c>
      <c r="BM21" s="5">
        <f t="shared" si="32"/>
        <v>-0.95927788060076102</v>
      </c>
      <c r="BN21" s="6">
        <f t="shared" si="33"/>
        <v>-0.68654504890817869</v>
      </c>
      <c r="BO21" s="4">
        <f t="shared" si="148"/>
        <v>-0.54851387399083529</v>
      </c>
      <c r="BP21" s="5">
        <f t="shared" si="239"/>
        <v>-0.78335899581040547</v>
      </c>
      <c r="BQ21" s="5">
        <f t="shared" si="149"/>
        <v>-0.29237170472273688</v>
      </c>
      <c r="BR21" s="6">
        <f t="shared" si="150"/>
        <v>-0.13503379725606793</v>
      </c>
      <c r="BS21" s="4">
        <f t="shared" si="118"/>
        <v>0</v>
      </c>
      <c r="BT21" s="5">
        <f t="shared" si="118"/>
        <v>0</v>
      </c>
      <c r="BU21" s="10">
        <f t="shared" si="119"/>
        <v>-0.27859454958772251</v>
      </c>
      <c r="BV21" s="9">
        <f t="shared" si="120"/>
        <v>0</v>
      </c>
      <c r="BW21" s="5">
        <f t="shared" si="121"/>
        <v>1</v>
      </c>
      <c r="BX21" s="8">
        <f t="shared" si="122"/>
        <v>-0.27859454958772251</v>
      </c>
      <c r="BY21" s="173">
        <f t="shared" si="123"/>
        <v>1</v>
      </c>
      <c r="BZ21" s="5">
        <f t="shared" si="124"/>
        <v>0</v>
      </c>
      <c r="CA21" s="6">
        <f t="shared" si="125"/>
        <v>-0.27859454958772251</v>
      </c>
      <c r="CB21" s="4">
        <f t="shared" si="151"/>
        <v>0</v>
      </c>
      <c r="CC21" s="5">
        <f t="shared" si="152"/>
        <v>0</v>
      </c>
      <c r="CD21" s="5">
        <f t="shared" si="153"/>
        <v>-1</v>
      </c>
      <c r="CE21" s="6">
        <f t="shared" si="154"/>
        <v>-0.27859454958772251</v>
      </c>
      <c r="CF21" s="4">
        <f t="shared" si="155"/>
        <v>0.78335899581040547</v>
      </c>
      <c r="CG21" s="5">
        <f t="shared" si="156"/>
        <v>-0.54851387399083529</v>
      </c>
      <c r="CH21" s="5">
        <f t="shared" si="157"/>
        <v>0</v>
      </c>
      <c r="CI21" s="4">
        <f t="shared" si="126"/>
        <v>0</v>
      </c>
      <c r="CJ21" s="5">
        <f>IF(ISNUMBER($AV21),(CD21*BR21-BQ21*CE21)/(BQ21*CC21-CD21*BP21),"")</f>
        <v>-6.8398568412700575E-2</v>
      </c>
      <c r="CK21" s="8">
        <f t="shared" si="128"/>
        <v>-0.27859454958772251</v>
      </c>
      <c r="CL21" s="173">
        <f t="shared" si="129"/>
        <v>0.78335899581040547</v>
      </c>
      <c r="CM21" s="5">
        <f t="shared" si="130"/>
        <v>-0.61691244240353582</v>
      </c>
      <c r="CN21" s="6">
        <f t="shared" si="131"/>
        <v>-0.27859454958772251</v>
      </c>
      <c r="CO21" s="167">
        <f t="shared" si="35"/>
        <v>0.3125</v>
      </c>
      <c r="CP21" s="4">
        <f t="shared" si="240"/>
        <v>0.91451878627752081</v>
      </c>
      <c r="CQ21" s="5">
        <f t="shared" si="241"/>
        <v>-1.4375983751302535</v>
      </c>
      <c r="CR21" s="5">
        <f t="shared" si="158"/>
        <v>0.51839926463641417</v>
      </c>
      <c r="CS21" s="8">
        <f t="shared" si="159"/>
        <v>0.17034562296733369</v>
      </c>
      <c r="CT21" s="9">
        <f>IF(ISNUMBER($AV21),(-CQ21+SQRT(CS21))/(CP21*2),"")</f>
        <v>1.0116401554862786</v>
      </c>
      <c r="CU21" s="6">
        <f t="shared" si="161"/>
        <v>0.56033233616901945</v>
      </c>
      <c r="CV21" s="4">
        <f t="shared" si="242"/>
        <v>0.79247741632321367</v>
      </c>
      <c r="CW21" s="5">
        <f t="shared" si="162"/>
        <v>-0.62329722918317021</v>
      </c>
      <c r="CX21" s="8">
        <f t="shared" si="163"/>
        <v>-0.27859454958772251</v>
      </c>
      <c r="CY21" s="9">
        <f t="shared" si="164"/>
        <v>0.43894137618146162</v>
      </c>
      <c r="CZ21" s="5">
        <f t="shared" si="165"/>
        <v>-0.37574862884710447</v>
      </c>
      <c r="DA21" s="6">
        <f t="shared" si="166"/>
        <v>-0.27859454958772251</v>
      </c>
      <c r="DB21" s="4">
        <f t="shared" si="167"/>
        <v>0</v>
      </c>
      <c r="DC21" s="5">
        <f t="shared" si="167"/>
        <v>0</v>
      </c>
      <c r="DD21" s="10">
        <f t="shared" si="168"/>
        <v>-10</v>
      </c>
      <c r="DE21" s="9">
        <f t="shared" si="169"/>
        <v>0</v>
      </c>
      <c r="DF21" s="5">
        <f t="shared" si="169"/>
        <v>0</v>
      </c>
      <c r="DG21" s="10">
        <f t="shared" si="170"/>
        <v>10</v>
      </c>
      <c r="DH21" s="70">
        <f t="shared" si="171"/>
        <v>0.69930000000000003</v>
      </c>
      <c r="DI21" s="4">
        <f t="shared" si="172"/>
        <v>0</v>
      </c>
      <c r="DJ21" s="5">
        <f t="shared" si="173"/>
        <v>0</v>
      </c>
      <c r="DK21" s="10">
        <f t="shared" si="174"/>
        <v>20</v>
      </c>
      <c r="DL21" s="9">
        <f t="shared" si="175"/>
        <v>0.79247741632321367</v>
      </c>
      <c r="DM21" s="173">
        <f t="shared" si="176"/>
        <v>-0.62329722918317021</v>
      </c>
      <c r="DN21" s="178">
        <f t="shared" si="177"/>
        <v>9.7214054504122771</v>
      </c>
      <c r="DO21" s="9">
        <f t="shared" si="178"/>
        <v>-0.35353604014175205</v>
      </c>
      <c r="DP21" s="173">
        <f t="shared" si="179"/>
        <v>0.24754860033606574</v>
      </c>
      <c r="DQ21" s="11">
        <f t="shared" si="180"/>
        <v>0</v>
      </c>
      <c r="DR21" s="173">
        <f t="shared" si="181"/>
        <v>194.42810900824554</v>
      </c>
      <c r="DS21" s="5">
        <f t="shared" si="182"/>
        <v>0</v>
      </c>
      <c r="DT21" s="5">
        <f t="shared" si="183"/>
        <v>400</v>
      </c>
      <c r="DU21" s="5">
        <f t="shared" si="184"/>
        <v>0.18626804120745571</v>
      </c>
      <c r="DV21" s="5">
        <f t="shared" si="185"/>
        <v>-0.43446568434631738</v>
      </c>
      <c r="DW21" s="5">
        <f t="shared" si="186"/>
        <v>95.522243822595257</v>
      </c>
      <c r="DX21" s="167">
        <f t="shared" si="187"/>
        <v>95.033223332595256</v>
      </c>
      <c r="DY21" s="9">
        <f t="shared" si="188"/>
        <v>74.507216482982287</v>
      </c>
      <c r="DZ21" s="5">
        <f t="shared" si="189"/>
        <v>-173.78627373852694</v>
      </c>
      <c r="EA21" s="10">
        <f t="shared" si="190"/>
        <v>210.99976051589329</v>
      </c>
      <c r="EB21" s="6">
        <f t="shared" si="191"/>
        <v>14480.66410530714</v>
      </c>
      <c r="EC21" s="173">
        <f t="shared" si="192"/>
        <v>3.9475626482022537</v>
      </c>
      <c r="ED21" s="5">
        <f t="shared" si="193"/>
        <v>0.71738880058043819</v>
      </c>
      <c r="EE21" s="4">
        <f t="shared" si="194"/>
        <v>-0.60312825053369934</v>
      </c>
      <c r="EF21" s="5">
        <f t="shared" si="195"/>
        <v>0.35391637911823071</v>
      </c>
      <c r="EG21" s="10">
        <f t="shared" si="196"/>
        <v>-0.27859454958772251</v>
      </c>
      <c r="EH21" s="9">
        <f t="shared" si="197"/>
        <v>0.53885462052396449</v>
      </c>
      <c r="EI21" s="5">
        <f t="shared" si="198"/>
        <v>-0.44570863570271374</v>
      </c>
      <c r="EJ21" s="6">
        <f t="shared" si="199"/>
        <v>-0.27859454958772251</v>
      </c>
      <c r="EK21" s="236" t="b">
        <f t="shared" si="200"/>
        <v>0</v>
      </c>
      <c r="EL21" s="238" t="b">
        <f t="shared" si="201"/>
        <v>1</v>
      </c>
      <c r="EM21" s="4">
        <f t="shared" si="202"/>
        <v>0.53885462052396449</v>
      </c>
      <c r="EN21" s="5">
        <f t="shared" si="203"/>
        <v>-0.44570863570271374</v>
      </c>
      <c r="EO21" s="10">
        <f t="shared" si="204"/>
        <v>-0.27859454958772251</v>
      </c>
      <c r="EP21" s="9">
        <f t="shared" si="205"/>
        <v>320.40446173619546</v>
      </c>
      <c r="EQ21" s="5">
        <f t="shared" si="206"/>
        <v>0.69930000000000014</v>
      </c>
      <c r="ER21" s="7">
        <f t="shared" si="207"/>
        <v>-0.27859454958772251</v>
      </c>
      <c r="ES21" s="21">
        <f t="shared" si="132"/>
        <v>-0.54851387399083507</v>
      </c>
      <c r="ET21" s="5">
        <f t="shared" si="44"/>
        <v>-0.78335899581040569</v>
      </c>
      <c r="EU21" s="10">
        <f t="shared" si="45"/>
        <v>-0.29237170472273688</v>
      </c>
      <c r="EV21" s="174">
        <f t="shared" si="254"/>
        <v>129.59553826380454</v>
      </c>
      <c r="EW21" s="9">
        <f t="shared" si="133"/>
        <v>0.95323035158289038</v>
      </c>
      <c r="EX21" s="5">
        <f t="shared" si="47"/>
        <v>7.6620383049682439E-2</v>
      </c>
      <c r="EY21" s="6">
        <f t="shared" si="208"/>
        <v>-0.29237170472273688</v>
      </c>
      <c r="EZ21" s="51">
        <f t="shared" si="209"/>
        <v>3.2565011987583725</v>
      </c>
      <c r="FA21" s="266">
        <f t="shared" si="134"/>
        <v>-0.63633479103586632</v>
      </c>
      <c r="FB21" s="267">
        <f t="shared" si="135"/>
        <v>-0.76931859713513751</v>
      </c>
      <c r="FC21" s="269">
        <f t="shared" si="48"/>
        <v>-5.6806072029002071E-2</v>
      </c>
      <c r="FD21" s="4">
        <f t="shared" si="136"/>
        <v>0.99838523135142365</v>
      </c>
      <c r="FE21" s="5">
        <f t="shared" si="49"/>
        <v>1.6653345369377348E-16</v>
      </c>
      <c r="FF21" s="7">
        <f t="shared" si="210"/>
        <v>-5.6806072029002071E-2</v>
      </c>
      <c r="FG21" s="173">
        <f t="shared" si="211"/>
        <v>-4.5154879768533274E-2</v>
      </c>
      <c r="FH21" s="5">
        <f t="shared" si="50"/>
        <v>7.6620383049682272E-2</v>
      </c>
      <c r="FI21" s="10">
        <f t="shared" si="51"/>
        <v>-0.23556563269373482</v>
      </c>
      <c r="FJ21" s="279">
        <f t="shared" si="212"/>
        <v>14.465186932045647</v>
      </c>
      <c r="FK21" s="4">
        <f t="shared" si="52"/>
        <v>0.95630475596303555</v>
      </c>
      <c r="FL21" s="5">
        <f t="shared" si="213"/>
        <v>0.99838523135142365</v>
      </c>
      <c r="FM21" s="8">
        <f t="shared" si="214"/>
        <v>8.8936192101926284E-2</v>
      </c>
      <c r="FN21" s="9">
        <f t="shared" si="215"/>
        <v>4.5955382638045021</v>
      </c>
      <c r="FO21" s="10">
        <f t="shared" si="53"/>
        <v>-1</v>
      </c>
      <c r="FP21" s="277">
        <f t="shared" si="54"/>
        <v>-4.5955382638045021</v>
      </c>
      <c r="FQ21" s="173">
        <f t="shared" si="243"/>
        <v>8.0121302933940403E-2</v>
      </c>
      <c r="FR21" s="10">
        <f t="shared" si="216"/>
        <v>0.99678512068357428</v>
      </c>
      <c r="FS21" s="9">
        <f t="shared" si="217"/>
        <v>7.4399503222201152E-2</v>
      </c>
      <c r="FT21" s="6">
        <f t="shared" si="218"/>
        <v>0.92560049677779876</v>
      </c>
      <c r="FU21" s="4">
        <f t="shared" si="219"/>
        <v>0.99706033764327429</v>
      </c>
      <c r="FV21" s="5">
        <f t="shared" si="220"/>
        <v>1</v>
      </c>
      <c r="FW21" s="8">
        <f t="shared" si="244"/>
        <v>0.23985439431728217</v>
      </c>
      <c r="FX21" s="9">
        <f t="shared" si="245"/>
        <v>13.795152042726997</v>
      </c>
      <c r="FY21" s="10">
        <f t="shared" si="55"/>
        <v>1</v>
      </c>
      <c r="FZ21" s="277">
        <f t="shared" si="246"/>
        <v>13.795152042726997</v>
      </c>
      <c r="GA21" s="177">
        <f t="shared" si="221"/>
        <v>13.753904748585638</v>
      </c>
      <c r="GB21" s="4">
        <f t="shared" si="222"/>
        <v>7.7810160638911594E-2</v>
      </c>
      <c r="GC21" s="5">
        <f t="shared" si="223"/>
        <v>0.96803231503628395</v>
      </c>
      <c r="GD21" s="10">
        <f t="shared" si="224"/>
        <v>-0.23845128631827384</v>
      </c>
      <c r="GE21" s="311">
        <f t="shared" si="225"/>
        <v>1.2842937619934696</v>
      </c>
      <c r="GF21" s="341">
        <f t="shared" si="247"/>
        <v>0.77863805742372272</v>
      </c>
      <c r="GG21" s="285">
        <f t="shared" si="56"/>
        <v>6.0585952327709934E-2</v>
      </c>
      <c r="GH21" s="286">
        <f t="shared" si="57"/>
        <v>0.75374680130324123</v>
      </c>
      <c r="GI21" s="281">
        <f t="shared" si="58"/>
        <v>0.18566724636904863</v>
      </c>
      <c r="GJ21" s="167">
        <f t="shared" si="226"/>
        <v>0.69930000000000003</v>
      </c>
      <c r="GK21" s="174">
        <f t="shared" si="59"/>
        <v>0.36674483183236067</v>
      </c>
      <c r="GL21" s="174">
        <f t="shared" si="227"/>
        <v>6.0400000000000002E-2</v>
      </c>
      <c r="GM21" s="177">
        <f t="shared" si="248"/>
        <v>0.26581665411209499</v>
      </c>
      <c r="GN21" s="280">
        <f t="shared" si="228"/>
        <v>4.7593541553461863E-2</v>
      </c>
      <c r="GO21" s="4">
        <f t="shared" si="229"/>
        <v>-4.5955382638045021</v>
      </c>
      <c r="GP21" s="8">
        <f t="shared" si="249"/>
        <v>13.795152042726997</v>
      </c>
      <c r="GQ21" s="177">
        <f t="shared" si="230"/>
        <v>14.465186932045647</v>
      </c>
      <c r="GR21" s="371">
        <f t="shared" si="250"/>
        <v>866.95683514549728</v>
      </c>
      <c r="GS21" s="342">
        <f t="shared" si="61"/>
        <v>52.525405484307392</v>
      </c>
      <c r="GT21" s="343">
        <f t="shared" si="62"/>
        <v>143.2205744301171</v>
      </c>
      <c r="GU21" s="344">
        <f t="shared" si="63"/>
        <v>653.46594135890018</v>
      </c>
      <c r="GV21" s="343">
        <f t="shared" si="252"/>
        <v>1781.8</v>
      </c>
      <c r="GW21" s="345">
        <f t="shared" si="64"/>
        <v>29500</v>
      </c>
      <c r="GX21" s="346">
        <f t="shared" si="65"/>
        <v>103.834395</v>
      </c>
      <c r="GY21" s="344">
        <f t="shared" si="66"/>
        <v>160.96548830228977</v>
      </c>
      <c r="GZ21" s="345">
        <f t="shared" si="67"/>
        <v>438.90322188880145</v>
      </c>
      <c r="HA21" s="342">
        <f t="shared" si="68"/>
        <v>-52.525405484307392</v>
      </c>
      <c r="HB21" s="5">
        <f t="shared" si="231"/>
        <v>129.59553826380454</v>
      </c>
      <c r="HC21" s="343">
        <f t="shared" si="232"/>
        <v>33.477801827745594</v>
      </c>
      <c r="HD21" s="345">
        <f t="shared" si="233"/>
        <v>-40.47412761349036</v>
      </c>
      <c r="HE21" s="344">
        <f t="shared" si="69"/>
        <v>1781.8</v>
      </c>
      <c r="HF21" s="5">
        <f t="shared" si="70"/>
        <v>219.59553826380454</v>
      </c>
      <c r="HG21" s="343">
        <f t="shared" si="234"/>
        <v>-1372.9889358638632</v>
      </c>
      <c r="HH21" s="349">
        <f t="shared" si="235"/>
        <v>-1135.6551510011375</v>
      </c>
      <c r="HI21" s="317">
        <f t="shared" si="71"/>
        <v>3.1030000000000002</v>
      </c>
      <c r="HJ21" s="336"/>
      <c r="HK21" s="310" t="str">
        <f t="shared" si="137"/>
        <v/>
      </c>
      <c r="HL21" s="348" t="str">
        <f t="shared" si="72"/>
        <v/>
      </c>
      <c r="HM21" s="909" t="str">
        <f t="shared" si="138"/>
        <v/>
      </c>
      <c r="HN21" s="910" t="str">
        <f t="shared" si="73"/>
        <v/>
      </c>
      <c r="HO21" s="911"/>
      <c r="HP21" s="912"/>
      <c r="HQ21" s="910" t="str">
        <f t="shared" si="74"/>
        <v/>
      </c>
      <c r="HR21" s="913" t="str">
        <f t="shared" si="75"/>
        <v/>
      </c>
      <c r="HS21" s="865" t="str">
        <f t="shared" si="251"/>
        <v/>
      </c>
      <c r="HT21" s="875" t="str">
        <f t="shared" si="76"/>
        <v/>
      </c>
      <c r="HU21" s="876" t="str">
        <f t="shared" si="77"/>
        <v/>
      </c>
      <c r="HV21" s="872" t="str">
        <f t="shared" si="78"/>
        <v/>
      </c>
      <c r="HW21" s="866" t="str">
        <f t="shared" si="79"/>
        <v/>
      </c>
      <c r="HX21" s="867" t="str">
        <f t="shared" si="80"/>
        <v/>
      </c>
      <c r="HY21" s="866" t="str">
        <f t="shared" si="81"/>
        <v/>
      </c>
      <c r="HZ21" s="868" t="str">
        <f t="shared" si="82"/>
        <v/>
      </c>
      <c r="IA21" s="869" t="str">
        <f t="shared" si="83"/>
        <v/>
      </c>
      <c r="IB21" s="870" t="str">
        <f t="shared" si="84"/>
        <v/>
      </c>
      <c r="IC21" s="841" t="str">
        <f t="shared" si="85"/>
        <v/>
      </c>
      <c r="ID21" s="351" t="str">
        <f t="shared" si="86"/>
        <v/>
      </c>
      <c r="IE21" s="843" t="str">
        <f t="shared" si="87"/>
        <v/>
      </c>
      <c r="IF21" s="844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3.1030000000000002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88"/>
        <v>1613</v>
      </c>
      <c r="IM21" s="482" t="str">
        <f t="shared" si="237"/>
        <v/>
      </c>
      <c r="IN21" s="670" t="str">
        <f t="shared" si="90"/>
        <v/>
      </c>
      <c r="IO21" s="702"/>
      <c r="IP21" s="5" t="str">
        <f t="shared" si="91"/>
        <v/>
      </c>
      <c r="IQ21" s="714"/>
      <c r="IR21" s="9" t="str">
        <f t="shared" si="139"/>
        <v/>
      </c>
      <c r="IS21" s="5" t="str">
        <f t="shared" si="92"/>
        <v/>
      </c>
      <c r="IT21" s="5" t="str">
        <f t="shared" si="93"/>
        <v/>
      </c>
      <c r="IU21" s="5" t="str">
        <f t="shared" si="94"/>
        <v/>
      </c>
      <c r="IV21" s="670" t="str">
        <f t="shared" si="95"/>
        <v/>
      </c>
      <c r="IW21" s="9" t="str">
        <f t="shared" si="96"/>
        <v/>
      </c>
      <c r="IX21" s="5" t="str">
        <f t="shared" si="97"/>
        <v/>
      </c>
      <c r="IY21" s="5" t="str">
        <f t="shared" si="98"/>
        <v/>
      </c>
      <c r="IZ21" s="5" t="str">
        <f t="shared" si="99"/>
        <v/>
      </c>
      <c r="JA21" s="705" t="str">
        <f t="shared" si="100"/>
        <v/>
      </c>
      <c r="JC21" s="708"/>
      <c r="JD21" s="1224"/>
      <c r="JE21" s="1225"/>
      <c r="JF21" s="1225"/>
      <c r="JG21" s="1225"/>
      <c r="JH21" s="1153" t="s">
        <v>349</v>
      </c>
      <c r="JI21" s="1154"/>
      <c r="JJ21" s="1373" t="s">
        <v>362</v>
      </c>
      <c r="JK21" s="1374"/>
    </row>
    <row r="22" spans="1:271" ht="15" customHeight="1" thickBot="1" x14ac:dyDescent="0.3">
      <c r="A22" s="75">
        <f t="shared" si="1"/>
        <v>0.02</v>
      </c>
      <c r="B22" s="578">
        <f t="shared" si="2"/>
        <v>1.2605771592912625</v>
      </c>
      <c r="C22" s="572">
        <f t="shared" si="3"/>
        <v>-0.87062473885364688</v>
      </c>
      <c r="D22" s="576">
        <f t="shared" si="4"/>
        <v>-0.29557638090205041</v>
      </c>
      <c r="E22" s="580">
        <f t="shared" si="5"/>
        <v>0.55403229322232361</v>
      </c>
      <c r="F22" s="572">
        <f t="shared" si="6"/>
        <v>0.79124011523622373</v>
      </c>
      <c r="G22" s="579">
        <f t="shared" si="7"/>
        <v>0.25881904510252074</v>
      </c>
      <c r="H22" s="580">
        <f t="shared" si="8"/>
        <v>0.3125</v>
      </c>
      <c r="I22" s="572">
        <f t="shared" si="9"/>
        <v>0.52</v>
      </c>
      <c r="J22" s="483">
        <f t="shared" si="10"/>
        <v>3.1059999999999999</v>
      </c>
      <c r="K22" s="806">
        <f t="shared" si="11"/>
        <v>1613</v>
      </c>
      <c r="L22" s="814" t="str">
        <f>IF($L21=$JJ$22,$JJ$30,IF($L21=$JK$22,$JK$30,""))</f>
        <v/>
      </c>
      <c r="M22" s="164">
        <f t="shared" si="12"/>
        <v>3.1059999999999999</v>
      </c>
      <c r="N22" s="575">
        <f t="shared" si="13"/>
        <v>1.2605771592912625</v>
      </c>
      <c r="O22" s="572">
        <f t="shared" si="14"/>
        <v>-0.87062473885364688</v>
      </c>
      <c r="P22" s="576">
        <f t="shared" si="15"/>
        <v>-0.29557638090205041</v>
      </c>
      <c r="Q22" s="528">
        <f t="shared" si="140"/>
        <v>325.36888272015403</v>
      </c>
      <c r="R22" s="572">
        <f t="shared" si="101"/>
        <v>1.5320059433405635</v>
      </c>
      <c r="S22" s="577">
        <f t="shared" si="102"/>
        <v>-0.29557638090205041</v>
      </c>
      <c r="T22" s="578">
        <f t="shared" si="103"/>
        <v>-0.86801924338735759</v>
      </c>
      <c r="U22" s="572">
        <f t="shared" si="104"/>
        <v>-1.2623726880521651</v>
      </c>
      <c r="V22" s="579">
        <f t="shared" si="141"/>
        <v>-0.29557638090205041</v>
      </c>
      <c r="W22" s="528">
        <f t="shared" si="253"/>
        <v>235.48722343219424</v>
      </c>
      <c r="X22" s="572">
        <f t="shared" si="105"/>
        <v>1.5320059433405635</v>
      </c>
      <c r="Y22" s="573">
        <f t="shared" si="255"/>
        <v>-0.29557638090205041</v>
      </c>
      <c r="Z22" s="575">
        <f t="shared" si="18"/>
        <v>-0.55403229322232361</v>
      </c>
      <c r="AA22" s="572">
        <f t="shared" si="19"/>
        <v>-0.79124011523622373</v>
      </c>
      <c r="AB22" s="572">
        <f t="shared" si="20"/>
        <v>-0.25881904510252074</v>
      </c>
      <c r="AC22" s="579">
        <f t="shared" si="106"/>
        <v>1</v>
      </c>
      <c r="AD22" s="580">
        <f t="shared" si="142"/>
        <v>-0.55403229322232361</v>
      </c>
      <c r="AE22" s="572">
        <f t="shared" si="107"/>
        <v>-0.79124011523622373</v>
      </c>
      <c r="AF22" s="576">
        <f t="shared" si="108"/>
        <v>-0.25881904510252074</v>
      </c>
      <c r="AG22" s="545">
        <f t="shared" si="109"/>
        <v>-71.886791265237349</v>
      </c>
      <c r="AH22" s="546">
        <f t="shared" si="110"/>
        <v>123.64408738086664</v>
      </c>
      <c r="AI22" s="528">
        <f t="shared" si="111"/>
        <v>-75</v>
      </c>
      <c r="AJ22" s="529">
        <f t="shared" si="112"/>
        <v>-35.000000000000014</v>
      </c>
      <c r="AK22" s="578">
        <f t="shared" si="238"/>
        <v>0.96590580723092567</v>
      </c>
      <c r="AL22" s="572">
        <f t="shared" si="113"/>
        <v>-6.2187980987719604E-3</v>
      </c>
      <c r="AM22" s="577">
        <f t="shared" si="114"/>
        <v>-0.25881904510252074</v>
      </c>
      <c r="AN22" s="524">
        <f t="shared" si="115"/>
        <v>-1.3764147040654124</v>
      </c>
      <c r="AO22" s="525">
        <f t="shared" si="116"/>
        <v>15.004431057378628</v>
      </c>
      <c r="AP22" s="528">
        <f t="shared" si="117"/>
        <v>-0.36888272015404572</v>
      </c>
      <c r="AQ22" s="529">
        <f t="shared" si="21"/>
        <v>1.4877319961481286</v>
      </c>
      <c r="AS22" s="932">
        <f t="shared" si="143"/>
        <v>-124.51277656780576</v>
      </c>
      <c r="AT22" s="928">
        <f t="shared" si="22"/>
        <v>-0.20763212461417008</v>
      </c>
      <c r="AU22" s="418"/>
      <c r="AV22" s="164">
        <f t="shared" si="23"/>
        <v>3.1059999999999999</v>
      </c>
      <c r="AW22" s="829">
        <f>IFERROR(INDEX(MassProp!C$9:C$150,MATCH($M22,MassProp!$B$9:$B$150,0)),"")</f>
        <v>1.3966000000000001</v>
      </c>
      <c r="AX22" s="830">
        <f>IFERROR(INDEX(MassProp!D$9:D$150,MATCH($M22,MassProp!$B$9:$B$150,0)),"")</f>
        <v>0.24829999999999999</v>
      </c>
      <c r="AY22" s="831">
        <f>IFERROR(INDEX(MassProp!E$9:E$150,MATCH($M22,MassProp!$B$9:$B$150,0)),"")</f>
        <v>6.0299999999999999E-2</v>
      </c>
      <c r="AZ22" s="297">
        <f t="shared" si="144"/>
        <v>0.52935302264942963</v>
      </c>
      <c r="BA22" s="296">
        <f t="shared" si="24"/>
        <v>9.4778805955822609E-2</v>
      </c>
      <c r="BB22" s="190">
        <f t="shared" si="145"/>
        <v>0.20593212461417007</v>
      </c>
      <c r="BC22" s="9"/>
      <c r="BD22" s="5">
        <f t="shared" si="146"/>
        <v>1.3966000000000001</v>
      </c>
      <c r="BE22" s="6">
        <f t="shared" si="25"/>
        <v>-8.9644256287880336E-2</v>
      </c>
      <c r="BF22" s="4">
        <f t="shared" si="26"/>
        <v>1.2605771592912625</v>
      </c>
      <c r="BG22" s="5">
        <f t="shared" si="27"/>
        <v>-0.87062473885364688</v>
      </c>
      <c r="BH22" s="10">
        <f t="shared" si="28"/>
        <v>-0.29557638090205041</v>
      </c>
      <c r="BI22" s="9">
        <f t="shared" si="147"/>
        <v>1.2605771592912625</v>
      </c>
      <c r="BJ22" s="5">
        <f t="shared" si="29"/>
        <v>-0.55972918946987571</v>
      </c>
      <c r="BK22" s="8">
        <f t="shared" si="30"/>
        <v>-1.2460204651981037</v>
      </c>
      <c r="BL22" s="173">
        <f t="shared" si="31"/>
        <v>2.0930723352933898</v>
      </c>
      <c r="BM22" s="5">
        <f t="shared" si="32"/>
        <v>-1.3972014544557807</v>
      </c>
      <c r="BN22" s="6">
        <f t="shared" si="33"/>
        <v>-0.46782255507975534</v>
      </c>
      <c r="BO22" s="4">
        <f t="shared" si="148"/>
        <v>-0.55403229322232384</v>
      </c>
      <c r="BP22" s="5">
        <f t="shared" si="239"/>
        <v>-0.79124011523622317</v>
      </c>
      <c r="BQ22" s="5">
        <f t="shared" si="149"/>
        <v>-0.25881904510252074</v>
      </c>
      <c r="BR22" s="6">
        <f t="shared" si="150"/>
        <v>-6.6973561012173277E-2</v>
      </c>
      <c r="BS22" s="4">
        <f t="shared" si="118"/>
        <v>0</v>
      </c>
      <c r="BT22" s="5">
        <f t="shared" si="118"/>
        <v>0</v>
      </c>
      <c r="BU22" s="10">
        <f t="shared" si="119"/>
        <v>-8.9644256287880336E-2</v>
      </c>
      <c r="BV22" s="9">
        <f t="shared" si="120"/>
        <v>0</v>
      </c>
      <c r="BW22" s="5">
        <f t="shared" si="121"/>
        <v>1</v>
      </c>
      <c r="BX22" s="8">
        <f t="shared" si="122"/>
        <v>-8.9644256287880336E-2</v>
      </c>
      <c r="BY22" s="173">
        <f t="shared" si="123"/>
        <v>1</v>
      </c>
      <c r="BZ22" s="5">
        <f t="shared" si="124"/>
        <v>0</v>
      </c>
      <c r="CA22" s="6">
        <f t="shared" si="125"/>
        <v>-8.9644256287880336E-2</v>
      </c>
      <c r="CB22" s="4">
        <f t="shared" si="151"/>
        <v>0</v>
      </c>
      <c r="CC22" s="5">
        <f t="shared" si="152"/>
        <v>0</v>
      </c>
      <c r="CD22" s="5">
        <f t="shared" si="153"/>
        <v>-1</v>
      </c>
      <c r="CE22" s="6">
        <f t="shared" si="154"/>
        <v>-8.9644256287880336E-2</v>
      </c>
      <c r="CF22" s="4">
        <f t="shared" si="155"/>
        <v>0.79124011523622317</v>
      </c>
      <c r="CG22" s="5">
        <f t="shared" si="156"/>
        <v>-0.55403229322232384</v>
      </c>
      <c r="CH22" s="5">
        <f t="shared" si="157"/>
        <v>0</v>
      </c>
      <c r="CI22" s="4">
        <f t="shared" si="126"/>
        <v>0</v>
      </c>
      <c r="CJ22" s="5">
        <f t="shared" si="127"/>
        <v>-5.532065343748456E-2</v>
      </c>
      <c r="CK22" s="8">
        <f t="shared" si="128"/>
        <v>-8.9644256287880336E-2</v>
      </c>
      <c r="CL22" s="173">
        <f t="shared" si="129"/>
        <v>0.79124011523622317</v>
      </c>
      <c r="CM22" s="5">
        <f t="shared" si="130"/>
        <v>-0.60935294665980844</v>
      </c>
      <c r="CN22" s="6">
        <f t="shared" si="131"/>
        <v>-8.9644256287880336E-2</v>
      </c>
      <c r="CO22" s="167">
        <f t="shared" si="35"/>
        <v>0.3125</v>
      </c>
      <c r="CP22" s="4">
        <f t="shared" si="240"/>
        <v>0.93301270189221874</v>
      </c>
      <c r="CQ22" s="5">
        <f t="shared" si="241"/>
        <v>-2.8982480177968304</v>
      </c>
      <c r="CR22" s="5">
        <f t="shared" si="158"/>
        <v>2.1985273161712198</v>
      </c>
      <c r="CS22" s="8">
        <f t="shared" si="159"/>
        <v>0.19482592688422429</v>
      </c>
      <c r="CT22" s="9">
        <f t="shared" si="160"/>
        <v>1.7897071022412541</v>
      </c>
      <c r="CU22" s="6">
        <f t="shared" si="161"/>
        <v>1.3166257610937993</v>
      </c>
      <c r="CV22" s="4">
        <f t="shared" si="242"/>
        <v>1.4160880538164569</v>
      </c>
      <c r="CW22" s="5">
        <f t="shared" si="162"/>
        <v>-1.0468761834884865</v>
      </c>
      <c r="CX22" s="8">
        <f t="shared" si="163"/>
        <v>-8.9644256287880336E-2</v>
      </c>
      <c r="CY22" s="9">
        <f t="shared" si="164"/>
        <v>1.0417671189308377</v>
      </c>
      <c r="CZ22" s="5">
        <f t="shared" si="165"/>
        <v>-0.78477384317186971</v>
      </c>
      <c r="DA22" s="6">
        <f t="shared" si="166"/>
        <v>-8.9644256287880336E-2</v>
      </c>
      <c r="DB22" s="4">
        <f t="shared" si="167"/>
        <v>0</v>
      </c>
      <c r="DC22" s="5">
        <f t="shared" si="167"/>
        <v>0</v>
      </c>
      <c r="DD22" s="10">
        <f t="shared" si="168"/>
        <v>-10</v>
      </c>
      <c r="DE22" s="9">
        <f t="shared" si="169"/>
        <v>0</v>
      </c>
      <c r="DF22" s="5">
        <f t="shared" si="169"/>
        <v>0</v>
      </c>
      <c r="DG22" s="10">
        <f t="shared" si="170"/>
        <v>10</v>
      </c>
      <c r="DH22" s="70">
        <f t="shared" si="171"/>
        <v>1.3966000000000001</v>
      </c>
      <c r="DI22" s="4">
        <f t="shared" si="172"/>
        <v>0</v>
      </c>
      <c r="DJ22" s="5">
        <f t="shared" si="173"/>
        <v>0</v>
      </c>
      <c r="DK22" s="10">
        <f t="shared" si="174"/>
        <v>20</v>
      </c>
      <c r="DL22" s="9">
        <f t="shared" si="175"/>
        <v>1.4160880538164569</v>
      </c>
      <c r="DM22" s="173">
        <f t="shared" si="176"/>
        <v>-1.0468761834884865</v>
      </c>
      <c r="DN22" s="178">
        <f t="shared" si="177"/>
        <v>9.9103557437121204</v>
      </c>
      <c r="DO22" s="9">
        <f t="shared" si="178"/>
        <v>-0.37432093488561913</v>
      </c>
      <c r="DP22" s="173">
        <f t="shared" si="179"/>
        <v>0.26210234031661683</v>
      </c>
      <c r="DQ22" s="11">
        <f t="shared" si="180"/>
        <v>0</v>
      </c>
      <c r="DR22" s="173">
        <f t="shared" si="181"/>
        <v>198.20711487424239</v>
      </c>
      <c r="DS22" s="5">
        <f t="shared" si="182"/>
        <v>0</v>
      </c>
      <c r="DT22" s="5">
        <f t="shared" si="183"/>
        <v>400</v>
      </c>
      <c r="DU22" s="5">
        <f t="shared" si="184"/>
        <v>0.20881379909309153</v>
      </c>
      <c r="DV22" s="5">
        <f t="shared" si="185"/>
        <v>-0.80446010189899342</v>
      </c>
      <c r="DW22" s="5">
        <f t="shared" si="186"/>
        <v>101.3164060866449</v>
      </c>
      <c r="DX22" s="167">
        <f t="shared" si="187"/>
        <v>99.3659145266449</v>
      </c>
      <c r="DY22" s="9">
        <f t="shared" si="188"/>
        <v>83.525519637236613</v>
      </c>
      <c r="DZ22" s="5">
        <f t="shared" si="189"/>
        <v>-321.78404075959736</v>
      </c>
      <c r="EA22" s="10">
        <f t="shared" si="190"/>
        <v>460.30542388684262</v>
      </c>
      <c r="EB22" s="6">
        <f t="shared" si="191"/>
        <v>65097.719165587216</v>
      </c>
      <c r="EC22" s="173">
        <f t="shared" si="192"/>
        <v>6.9071894436832455</v>
      </c>
      <c r="ED22" s="5">
        <f t="shared" si="193"/>
        <v>0.79785787974920686</v>
      </c>
      <c r="EE22" s="4">
        <f t="shared" si="194"/>
        <v>-1.169417556175135</v>
      </c>
      <c r="EF22" s="5">
        <f t="shared" si="195"/>
        <v>0.76351433471112284</v>
      </c>
      <c r="EG22" s="10">
        <f t="shared" si="196"/>
        <v>-8.9644256287880336E-2</v>
      </c>
      <c r="EH22" s="9">
        <f t="shared" si="197"/>
        <v>1.1174331463628759</v>
      </c>
      <c r="EI22" s="5">
        <f t="shared" si="198"/>
        <v>-0.83775576596616563</v>
      </c>
      <c r="EJ22" s="6">
        <f t="shared" si="199"/>
        <v>-8.9644256287880336E-2</v>
      </c>
      <c r="EK22" s="236" t="b">
        <f t="shared" si="200"/>
        <v>0</v>
      </c>
      <c r="EL22" s="238" t="b">
        <f t="shared" si="201"/>
        <v>1</v>
      </c>
      <c r="EM22" s="4">
        <f t="shared" si="202"/>
        <v>1.1174331463628759</v>
      </c>
      <c r="EN22" s="5">
        <f t="shared" si="203"/>
        <v>-0.83775576596616563</v>
      </c>
      <c r="EO22" s="10">
        <f t="shared" si="204"/>
        <v>-8.9644256287880336E-2</v>
      </c>
      <c r="EP22" s="9">
        <f t="shared" si="205"/>
        <v>323.14057506127546</v>
      </c>
      <c r="EQ22" s="5">
        <f t="shared" si="206"/>
        <v>1.3965999999999976</v>
      </c>
      <c r="ER22" s="7">
        <f t="shared" si="207"/>
        <v>-8.9644256287880336E-2</v>
      </c>
      <c r="ES22" s="21">
        <f t="shared" si="132"/>
        <v>-0.55403229322232361</v>
      </c>
      <c r="ET22" s="5">
        <f t="shared" si="44"/>
        <v>-0.79124011523622373</v>
      </c>
      <c r="EU22" s="10">
        <f t="shared" si="45"/>
        <v>-0.25881904510252074</v>
      </c>
      <c r="EV22" s="174">
        <f t="shared" si="254"/>
        <v>126.85942493872454</v>
      </c>
      <c r="EW22" s="9">
        <f t="shared" si="133"/>
        <v>0.96541721299971295</v>
      </c>
      <c r="EX22" s="5">
        <f t="shared" si="47"/>
        <v>3.134177302077884E-2</v>
      </c>
      <c r="EY22" s="6">
        <f t="shared" si="208"/>
        <v>-0.25881904510252074</v>
      </c>
      <c r="EZ22" s="51">
        <f t="shared" si="209"/>
        <v>1.6318989987021371</v>
      </c>
      <c r="FA22" s="266">
        <f t="shared" si="134"/>
        <v>-0.5996104716861872</v>
      </c>
      <c r="FB22" s="267">
        <f t="shared" si="135"/>
        <v>-0.79978514405770595</v>
      </c>
      <c r="FC22" s="269">
        <f t="shared" si="48"/>
        <v>-2.8478159857384298E-2</v>
      </c>
      <c r="FD22" s="4">
        <f t="shared" si="136"/>
        <v>0.99959441495595469</v>
      </c>
      <c r="FE22" s="5">
        <f t="shared" si="49"/>
        <v>-2.2204460492503131E-16</v>
      </c>
      <c r="FF22" s="7">
        <f t="shared" si="210"/>
        <v>-2.8478159857384298E-2</v>
      </c>
      <c r="FG22" s="173">
        <f t="shared" si="211"/>
        <v>-3.4177201956241743E-2</v>
      </c>
      <c r="FH22" s="5">
        <f t="shared" si="50"/>
        <v>3.1341773020779062E-2</v>
      </c>
      <c r="FI22" s="10">
        <f t="shared" si="51"/>
        <v>-0.23034088524513643</v>
      </c>
      <c r="FJ22" s="279">
        <f t="shared" si="212"/>
        <v>13.493513092655256</v>
      </c>
      <c r="FK22" s="4">
        <f t="shared" si="52"/>
        <v>0.96592582628906831</v>
      </c>
      <c r="FL22" s="5">
        <f t="shared" si="213"/>
        <v>0.99959441495595469</v>
      </c>
      <c r="FM22" s="8">
        <f t="shared" si="214"/>
        <v>4.6372274794792723E-2</v>
      </c>
      <c r="FN22" s="9">
        <f t="shared" si="215"/>
        <v>1.8594249387245556</v>
      </c>
      <c r="FO22" s="10">
        <f t="shared" si="53"/>
        <v>-1</v>
      </c>
      <c r="FP22" s="277">
        <f t="shared" si="54"/>
        <v>-1.8594249387245556</v>
      </c>
      <c r="FQ22" s="173">
        <f t="shared" si="243"/>
        <v>3.2447391060232311E-2</v>
      </c>
      <c r="FR22" s="10">
        <f t="shared" si="216"/>
        <v>0.99947344477649047</v>
      </c>
      <c r="FS22" s="9">
        <f t="shared" si="217"/>
        <v>3.1443682435118837E-2</v>
      </c>
      <c r="FT22" s="6">
        <f t="shared" si="218"/>
        <v>0.96855631756488103</v>
      </c>
      <c r="FU22" s="4">
        <f t="shared" si="219"/>
        <v>0.99950872595686424</v>
      </c>
      <c r="FV22" s="5">
        <f t="shared" si="220"/>
        <v>1</v>
      </c>
      <c r="FW22" s="8">
        <f t="shared" si="244"/>
        <v>0.23286263021161391</v>
      </c>
      <c r="FX22" s="9">
        <f t="shared" si="245"/>
        <v>13.375647056497614</v>
      </c>
      <c r="FY22" s="10">
        <f t="shared" si="55"/>
        <v>1</v>
      </c>
      <c r="FZ22" s="277">
        <f t="shared" si="246"/>
        <v>13.375647056497614</v>
      </c>
      <c r="GA22" s="177">
        <f t="shared" si="221"/>
        <v>13.368397883102427</v>
      </c>
      <c r="GB22" s="4">
        <f t="shared" si="222"/>
        <v>3.1567232612901987E-2</v>
      </c>
      <c r="GC22" s="5">
        <f t="shared" si="223"/>
        <v>0.97236202020403584</v>
      </c>
      <c r="GD22" s="10">
        <f t="shared" si="224"/>
        <v>-0.23133441484113199</v>
      </c>
      <c r="GE22" s="311">
        <f t="shared" si="225"/>
        <v>1.2352636676580699</v>
      </c>
      <c r="GF22" s="341">
        <f t="shared" si="247"/>
        <v>0.80954376477039502</v>
      </c>
      <c r="GG22" s="285">
        <f t="shared" si="56"/>
        <v>2.5555056332831467E-2</v>
      </c>
      <c r="GH22" s="286">
        <f t="shared" si="57"/>
        <v>0.7871696105557221</v>
      </c>
      <c r="GI22" s="281">
        <f t="shared" si="58"/>
        <v>0.18727533311144634</v>
      </c>
      <c r="GJ22" s="167">
        <f t="shared" si="226"/>
        <v>1.3966000000000001</v>
      </c>
      <c r="GK22" s="174">
        <f t="shared" si="59"/>
        <v>0.73155475766919509</v>
      </c>
      <c r="GL22" s="174">
        <f t="shared" si="227"/>
        <v>6.0299999999999999E-2</v>
      </c>
      <c r="GM22" s="177">
        <f>IF(ISNUMBER($AV22),AZ22,"")</f>
        <v>0.52935302264942963</v>
      </c>
      <c r="GN22" s="280">
        <f t="shared" si="228"/>
        <v>9.4778805955822609E-2</v>
      </c>
      <c r="GO22" s="4">
        <f t="shared" si="229"/>
        <v>-1.8594249387245556</v>
      </c>
      <c r="GP22" s="8">
        <f t="shared" si="249"/>
        <v>13.375647056497614</v>
      </c>
      <c r="GQ22" s="177">
        <f t="shared" si="230"/>
        <v>13.493513092655256</v>
      </c>
      <c r="GR22" s="371">
        <f t="shared" si="250"/>
        <v>1653.171264781352</v>
      </c>
      <c r="GS22" s="342">
        <f t="shared" si="61"/>
        <v>42.246884799305697</v>
      </c>
      <c r="GT22" s="343">
        <f t="shared" si="62"/>
        <v>57.749449861973964</v>
      </c>
      <c r="GU22" s="344">
        <f t="shared" si="63"/>
        <v>1301.3261806798475</v>
      </c>
      <c r="GV22" s="343">
        <f t="shared" si="252"/>
        <v>1778.85</v>
      </c>
      <c r="GW22" s="345">
        <f t="shared" si="64"/>
        <v>29500</v>
      </c>
      <c r="GX22" s="346">
        <f t="shared" si="65"/>
        <v>207.0284925</v>
      </c>
      <c r="GY22" s="344">
        <f t="shared" si="66"/>
        <v>309.59819930219879</v>
      </c>
      <c r="GZ22" s="345">
        <f t="shared" si="67"/>
        <v>423.20577654174366</v>
      </c>
      <c r="HA22" s="342">
        <f t="shared" si="68"/>
        <v>-42.246884799305697</v>
      </c>
      <c r="HB22" s="5">
        <f t="shared" si="231"/>
        <v>126.85942493872454</v>
      </c>
      <c r="HC22" s="343">
        <f t="shared" si="232"/>
        <v>25.34195283884203</v>
      </c>
      <c r="HD22" s="345">
        <f t="shared" si="233"/>
        <v>-33.802140487840603</v>
      </c>
      <c r="HE22" s="344">
        <f t="shared" si="69"/>
        <v>1778.85</v>
      </c>
      <c r="HF22" s="5">
        <f t="shared" si="70"/>
        <v>216.85942493872454</v>
      </c>
      <c r="HG22" s="343">
        <f t="shared" si="234"/>
        <v>-1423.2750625859978</v>
      </c>
      <c r="HH22" s="349">
        <f t="shared" si="235"/>
        <v>-1067.04986702629</v>
      </c>
      <c r="HI22" s="317">
        <f t="shared" si="71"/>
        <v>3.1059999999999999</v>
      </c>
      <c r="HJ22" s="336"/>
      <c r="HK22" s="310" t="str">
        <f t="shared" si="137"/>
        <v/>
      </c>
      <c r="HL22" s="348" t="str">
        <f t="shared" si="72"/>
        <v/>
      </c>
      <c r="HM22" s="909" t="str">
        <f t="shared" si="138"/>
        <v/>
      </c>
      <c r="HN22" s="910" t="str">
        <f t="shared" si="73"/>
        <v/>
      </c>
      <c r="HO22" s="911"/>
      <c r="HP22" s="912"/>
      <c r="HQ22" s="910" t="str">
        <f t="shared" si="74"/>
        <v/>
      </c>
      <c r="HR22" s="913" t="str">
        <f t="shared" si="75"/>
        <v/>
      </c>
      <c r="HS22" s="865" t="str">
        <f t="shared" si="251"/>
        <v/>
      </c>
      <c r="HT22" s="875" t="str">
        <f t="shared" si="76"/>
        <v/>
      </c>
      <c r="HU22" s="876" t="str">
        <f t="shared" si="77"/>
        <v/>
      </c>
      <c r="HV22" s="872" t="str">
        <f t="shared" si="78"/>
        <v/>
      </c>
      <c r="HW22" s="866" t="str">
        <f t="shared" si="79"/>
        <v/>
      </c>
      <c r="HX22" s="867" t="str">
        <f t="shared" si="80"/>
        <v/>
      </c>
      <c r="HY22" s="866" t="str">
        <f t="shared" si="81"/>
        <v/>
      </c>
      <c r="HZ22" s="868" t="str">
        <f t="shared" si="82"/>
        <v/>
      </c>
      <c r="IA22" s="869" t="str">
        <f t="shared" si="83"/>
        <v/>
      </c>
      <c r="IB22" s="870" t="str">
        <f t="shared" si="84"/>
        <v/>
      </c>
      <c r="IC22" s="841" t="str">
        <f t="shared" si="85"/>
        <v/>
      </c>
      <c r="ID22" s="351" t="str">
        <f t="shared" si="86"/>
        <v/>
      </c>
      <c r="IE22" s="843" t="str">
        <f t="shared" si="87"/>
        <v/>
      </c>
      <c r="IF22" s="844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3.1059999999999999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88"/>
        <v>1613</v>
      </c>
      <c r="IM22" s="482" t="str">
        <f t="shared" si="237"/>
        <v/>
      </c>
      <c r="IN22" s="670" t="str">
        <f t="shared" si="90"/>
        <v/>
      </c>
      <c r="IO22" s="702"/>
      <c r="IP22" s="5" t="str">
        <f t="shared" si="91"/>
        <v/>
      </c>
      <c r="IQ22" s="714"/>
      <c r="IR22" s="9" t="str">
        <f t="shared" si="139"/>
        <v/>
      </c>
      <c r="IS22" s="5" t="str">
        <f t="shared" si="92"/>
        <v/>
      </c>
      <c r="IT22" s="5" t="str">
        <f t="shared" si="93"/>
        <v/>
      </c>
      <c r="IU22" s="5" t="str">
        <f t="shared" si="94"/>
        <v/>
      </c>
      <c r="IV22" s="670" t="str">
        <f t="shared" si="95"/>
        <v/>
      </c>
      <c r="IW22" s="9" t="str">
        <f t="shared" si="96"/>
        <v/>
      </c>
      <c r="IX22" s="5" t="str">
        <f t="shared" si="97"/>
        <v/>
      </c>
      <c r="IY22" s="5" t="str">
        <f t="shared" si="98"/>
        <v/>
      </c>
      <c r="IZ22" s="5" t="str">
        <f t="shared" si="99"/>
        <v/>
      </c>
      <c r="JA22" s="705" t="str">
        <f t="shared" si="100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">IFERROR(TRANSPOSE(_xlfn._xlws.SORT(_xlfn.UNIQUE(_xlfn._xlws.FILTER($IG$9:$IG$150,$IG$9:$IG$150&lt;&gt;"")),,1)),"")</f>
        <v/>
      </c>
      <c r="JI22" s="803"/>
      <c r="JJ22" s="804" t="str" cm="1">
        <f t="array" ref="JJ22">IFERROR(TRANSPOSE(_xlfn._xlws.SORT(_xlfn.UNIQUE(_xlfn._xlws.FILTER($IG$9:$IG$150,$IG$9:$IG$150&lt;&gt;"")),,1)),"")</f>
        <v/>
      </c>
      <c r="JK22" s="803"/>
    </row>
    <row r="23" spans="1:271" ht="15" customHeight="1" thickTop="1" x14ac:dyDescent="0.25">
      <c r="A23" s="75">
        <f t="shared" si="1"/>
        <v>0.02</v>
      </c>
      <c r="B23" s="578">
        <f t="shared" si="2"/>
        <v>1.8811999552930798</v>
      </c>
      <c r="C23" s="572">
        <f t="shared" si="3"/>
        <v>-1.3112590836637235</v>
      </c>
      <c r="D23" s="576">
        <f t="shared" si="4"/>
        <v>-0.14246885492899203</v>
      </c>
      <c r="E23" s="580">
        <f t="shared" si="5"/>
        <v>0.59738279189718546</v>
      </c>
      <c r="F23" s="572">
        <f t="shared" si="6"/>
        <v>0.75917135532942071</v>
      </c>
      <c r="G23" s="579">
        <f t="shared" si="7"/>
        <v>0.25844274644960458</v>
      </c>
      <c r="H23" s="580">
        <f t="shared" si="8"/>
        <v>0.3125</v>
      </c>
      <c r="I23" s="572">
        <f t="shared" si="9"/>
        <v>0.52</v>
      </c>
      <c r="J23" s="483">
        <f t="shared" si="10"/>
        <v>3.109</v>
      </c>
      <c r="K23" s="806">
        <f t="shared" si="11"/>
        <v>1613</v>
      </c>
      <c r="M23" s="164">
        <f t="shared" si="12"/>
        <v>3.109</v>
      </c>
      <c r="N23" s="575">
        <f t="shared" si="13"/>
        <v>1.8811999552930798</v>
      </c>
      <c r="O23" s="572">
        <f t="shared" si="14"/>
        <v>-1.3112590836637235</v>
      </c>
      <c r="P23" s="576">
        <f t="shared" si="15"/>
        <v>-0.14246885492899203</v>
      </c>
      <c r="Q23" s="528">
        <f t="shared" si="140"/>
        <v>325.12221754563228</v>
      </c>
      <c r="R23" s="572">
        <f t="shared" si="101"/>
        <v>2.2931013183645668</v>
      </c>
      <c r="S23" s="577">
        <f t="shared" si="102"/>
        <v>-0.14246885492899203</v>
      </c>
      <c r="T23" s="578">
        <f t="shared" si="103"/>
        <v>-1.3073707931467284</v>
      </c>
      <c r="U23" s="572">
        <f t="shared" si="104"/>
        <v>-1.883904261238402</v>
      </c>
      <c r="V23" s="579">
        <f t="shared" si="141"/>
        <v>-0.14246885492899203</v>
      </c>
      <c r="W23" s="528">
        <f t="shared" si="253"/>
        <v>235.24055825767249</v>
      </c>
      <c r="X23" s="572">
        <f t="shared" si="105"/>
        <v>2.2931013183645668</v>
      </c>
      <c r="Y23" s="573">
        <f t="shared" si="255"/>
        <v>-0.14246885492899203</v>
      </c>
      <c r="Z23" s="575">
        <f t="shared" si="18"/>
        <v>-0.59738279189718546</v>
      </c>
      <c r="AA23" s="572">
        <f t="shared" si="19"/>
        <v>-0.75917135532942071</v>
      </c>
      <c r="AB23" s="572">
        <f t="shared" si="20"/>
        <v>-0.25844274644960458</v>
      </c>
      <c r="AC23" s="579">
        <f t="shared" si="106"/>
        <v>1</v>
      </c>
      <c r="AD23" s="580">
        <f t="shared" si="142"/>
        <v>-0.59738279189718546</v>
      </c>
      <c r="AE23" s="572">
        <f t="shared" si="107"/>
        <v>-0.75917135532942071</v>
      </c>
      <c r="AF23" s="576">
        <f t="shared" si="108"/>
        <v>-0.25844274644960458</v>
      </c>
      <c r="AG23" s="545">
        <f t="shared" si="109"/>
        <v>-71.200017855220764</v>
      </c>
      <c r="AH23" s="546">
        <f t="shared" si="110"/>
        <v>126.68268298682352</v>
      </c>
      <c r="AI23" s="528">
        <f t="shared" si="111"/>
        <v>-75.022319726244845</v>
      </c>
      <c r="AJ23" s="529">
        <f t="shared" si="112"/>
        <v>-38.198780880544255</v>
      </c>
      <c r="AK23" s="578">
        <f t="shared" si="238"/>
        <v>0.96440428266043321</v>
      </c>
      <c r="AL23" s="572">
        <f t="shared" si="113"/>
        <v>-5.596182979318054E-2</v>
      </c>
      <c r="AM23" s="577">
        <f t="shared" si="114"/>
        <v>-0.25844274644960458</v>
      </c>
      <c r="AN23" s="524">
        <f t="shared" si="115"/>
        <v>-12.217901912472621</v>
      </c>
      <c r="AO23" s="525">
        <f t="shared" si="116"/>
        <v>15.333215777859115</v>
      </c>
      <c r="AP23" s="528">
        <f t="shared" si="117"/>
        <v>-3.3209984261765189</v>
      </c>
      <c r="AQ23" s="529">
        <f t="shared" si="21"/>
        <v>0.99406766980934502</v>
      </c>
      <c r="AS23" s="932">
        <f t="shared" si="143"/>
        <v>-124.75944174232751</v>
      </c>
      <c r="AT23" s="928">
        <f t="shared" si="22"/>
        <v>-5.435330338102716E-2</v>
      </c>
      <c r="AU23" s="418"/>
      <c r="AV23" s="164">
        <f t="shared" si="23"/>
        <v>3.109</v>
      </c>
      <c r="AW23" s="829">
        <f>IFERROR(INDEX(MassProp!C$9:C$150,MATCH($M23,MassProp!$B$9:$B$150,0)),"")</f>
        <v>2.1025999999999998</v>
      </c>
      <c r="AX23" s="830">
        <f>IFERROR(INDEX(MassProp!D$9:D$150,MATCH($M23,MassProp!$B$9:$B$150,0)),"")</f>
        <v>0.4032</v>
      </c>
      <c r="AY23" s="831">
        <f>IFERROR(INDEX(MassProp!E$9:E$150,MATCH($M23,MassProp!$B$9:$B$150,0)),"")</f>
        <v>3.61E-2</v>
      </c>
      <c r="AZ23" s="297">
        <f t="shared" si="144"/>
        <v>0.47700340295684407</v>
      </c>
      <c r="BA23" s="296">
        <f t="shared" si="24"/>
        <v>8.5405789774916474E-2</v>
      </c>
      <c r="BB23" s="190">
        <f t="shared" si="145"/>
        <v>0.20755330338102718</v>
      </c>
      <c r="BC23" s="9"/>
      <c r="BD23" s="5">
        <f t="shared" si="146"/>
        <v>2.1025999999999998</v>
      </c>
      <c r="BE23" s="6">
        <f t="shared" si="25"/>
        <v>6.5084448452035149E-2</v>
      </c>
      <c r="BF23" s="4">
        <f t="shared" si="26"/>
        <v>1.8811999552930798</v>
      </c>
      <c r="BG23" s="5">
        <f t="shared" si="27"/>
        <v>-1.3112590836637235</v>
      </c>
      <c r="BH23" s="10">
        <f t="shared" si="28"/>
        <v>-0.14246885492899203</v>
      </c>
      <c r="BI23" s="9">
        <f t="shared" si="147"/>
        <v>1.8811999552930798</v>
      </c>
      <c r="BJ23" s="5">
        <f t="shared" si="29"/>
        <v>-0.98899368343980032</v>
      </c>
      <c r="BK23" s="8">
        <f t="shared" si="30"/>
        <v>-1.0891182154730716</v>
      </c>
      <c r="BL23" s="173">
        <f t="shared" si="31"/>
        <v>2.6831561884786099</v>
      </c>
      <c r="BM23" s="5">
        <f t="shared" si="32"/>
        <v>-1.876771121613231</v>
      </c>
      <c r="BN23" s="6">
        <f t="shared" si="33"/>
        <v>-0.33498465944662309</v>
      </c>
      <c r="BO23" s="4">
        <f t="shared" si="148"/>
        <v>-0.59738279189718524</v>
      </c>
      <c r="BP23" s="5">
        <f t="shared" si="239"/>
        <v>-0.75917135532942048</v>
      </c>
      <c r="BQ23" s="5">
        <f t="shared" si="149"/>
        <v>-0.25844274644960508</v>
      </c>
      <c r="BR23" s="6">
        <f t="shared" si="150"/>
        <v>9.1506103525458335E-2</v>
      </c>
      <c r="BS23" s="4">
        <f t="shared" si="118"/>
        <v>0</v>
      </c>
      <c r="BT23" s="5">
        <f t="shared" si="118"/>
        <v>0</v>
      </c>
      <c r="BU23" s="10">
        <f t="shared" si="119"/>
        <v>6.5084448452035149E-2</v>
      </c>
      <c r="BV23" s="9">
        <f t="shared" si="120"/>
        <v>0</v>
      </c>
      <c r="BW23" s="5">
        <f t="shared" si="121"/>
        <v>1</v>
      </c>
      <c r="BX23" s="8">
        <f t="shared" si="122"/>
        <v>6.5084448452035149E-2</v>
      </c>
      <c r="BY23" s="173">
        <f t="shared" si="123"/>
        <v>1</v>
      </c>
      <c r="BZ23" s="5">
        <f t="shared" si="124"/>
        <v>0</v>
      </c>
      <c r="CA23" s="6">
        <f t="shared" si="125"/>
        <v>6.5084448452035149E-2</v>
      </c>
      <c r="CB23" s="4">
        <f t="shared" si="151"/>
        <v>0</v>
      </c>
      <c r="CC23" s="5">
        <f t="shared" si="152"/>
        <v>0</v>
      </c>
      <c r="CD23" s="5">
        <f t="shared" si="153"/>
        <v>-1</v>
      </c>
      <c r="CE23" s="6">
        <f t="shared" si="154"/>
        <v>6.5084448452035149E-2</v>
      </c>
      <c r="CF23" s="4">
        <f t="shared" si="155"/>
        <v>0.75917135532942048</v>
      </c>
      <c r="CG23" s="5">
        <f t="shared" si="156"/>
        <v>-0.59738279189718524</v>
      </c>
      <c r="CH23" s="5">
        <f t="shared" si="157"/>
        <v>0</v>
      </c>
      <c r="CI23" s="4">
        <f t="shared" si="126"/>
        <v>0</v>
      </c>
      <c r="CJ23" s="5">
        <f t="shared" si="127"/>
        <v>9.8377657945153907E-2</v>
      </c>
      <c r="CK23" s="8">
        <f t="shared" si="128"/>
        <v>6.5084448452035149E-2</v>
      </c>
      <c r="CL23" s="173">
        <f t="shared" si="129"/>
        <v>0.75917135532942048</v>
      </c>
      <c r="CM23" s="5">
        <f t="shared" si="130"/>
        <v>-0.49900513395203133</v>
      </c>
      <c r="CN23" s="6">
        <f t="shared" si="131"/>
        <v>6.5084448452035149E-2</v>
      </c>
      <c r="CO23" s="167">
        <f t="shared" si="35"/>
        <v>0.3125</v>
      </c>
      <c r="CP23" s="4">
        <f t="shared" si="240"/>
        <v>0.93320734680758499</v>
      </c>
      <c r="CQ23" s="5">
        <f t="shared" si="241"/>
        <v>-4.5404917039373096</v>
      </c>
      <c r="CR23" s="5">
        <f>IF(ISNUMBER($AV23),BF23^2+BG23^2+BH23^2+CI23^2+CJ23^2+CK23^2-2*(BF23*CI23+BG23*CJ23+BH23*CK23)-CO23^2,"")</f>
        <v>5.4714111388327566</v>
      </c>
      <c r="CS23" s="8">
        <f>IF(ISNUMBER($AV23),CQ23^2-(4*CP23*CR23),"")</f>
        <v>0.19222062486919711</v>
      </c>
      <c r="CT23" s="9">
        <f t="shared" si="160"/>
        <v>2.6676394304173785</v>
      </c>
      <c r="CU23" s="6">
        <f t="shared" si="161"/>
        <v>2.1978298776307281</v>
      </c>
      <c r="CV23" s="4">
        <f t="shared" si="242"/>
        <v>2.0251954419201645</v>
      </c>
      <c r="CW23" s="5">
        <f t="shared" si="162"/>
        <v>-1.4952242327725966</v>
      </c>
      <c r="CX23" s="8">
        <f t="shared" si="163"/>
        <v>6.5084448452035149E-2</v>
      </c>
      <c r="CY23" s="9">
        <f t="shared" si="164"/>
        <v>1.6685294869844143</v>
      </c>
      <c r="CZ23" s="5">
        <f t="shared" si="165"/>
        <v>-1.2145680904689395</v>
      </c>
      <c r="DA23" s="6">
        <f t="shared" si="166"/>
        <v>6.5084448452035149E-2</v>
      </c>
      <c r="DB23" s="4">
        <f t="shared" si="167"/>
        <v>0</v>
      </c>
      <c r="DC23" s="5">
        <f t="shared" si="167"/>
        <v>0</v>
      </c>
      <c r="DD23" s="10">
        <f t="shared" si="168"/>
        <v>-10</v>
      </c>
      <c r="DE23" s="9">
        <f t="shared" si="169"/>
        <v>0</v>
      </c>
      <c r="DF23" s="5">
        <f t="shared" si="169"/>
        <v>0</v>
      </c>
      <c r="DG23" s="10">
        <f t="shared" si="170"/>
        <v>10</v>
      </c>
      <c r="DH23" s="70">
        <f t="shared" si="171"/>
        <v>2.1025999999999998</v>
      </c>
      <c r="DI23" s="4">
        <f t="shared" si="172"/>
        <v>0</v>
      </c>
      <c r="DJ23" s="5">
        <f t="shared" si="173"/>
        <v>0</v>
      </c>
      <c r="DK23" s="10">
        <f t="shared" si="174"/>
        <v>20</v>
      </c>
      <c r="DL23" s="9">
        <f t="shared" si="175"/>
        <v>2.0251954419201645</v>
      </c>
      <c r="DM23" s="173">
        <f t="shared" si="176"/>
        <v>-1.4952242327725966</v>
      </c>
      <c r="DN23" s="178">
        <f t="shared" si="177"/>
        <v>10.065084448452035</v>
      </c>
      <c r="DO23" s="9">
        <f t="shared" si="178"/>
        <v>-0.35666595493575026</v>
      </c>
      <c r="DP23" s="173">
        <f t="shared" si="179"/>
        <v>0.2806561423036571</v>
      </c>
      <c r="DQ23" s="11">
        <f t="shared" si="180"/>
        <v>0</v>
      </c>
      <c r="DR23" s="173">
        <f t="shared" si="181"/>
        <v>201.3016889690407</v>
      </c>
      <c r="DS23" s="5">
        <f t="shared" si="182"/>
        <v>0</v>
      </c>
      <c r="DT23" s="5">
        <f t="shared" si="183"/>
        <v>400</v>
      </c>
      <c r="DU23" s="5">
        <f t="shared" si="184"/>
        <v>0.20597847362300126</v>
      </c>
      <c r="DV23" s="5">
        <f t="shared" si="185"/>
        <v>-1.1419621312728867</v>
      </c>
      <c r="DW23" s="5">
        <f t="shared" si="186"/>
        <v>107.64303703871562</v>
      </c>
      <c r="DX23" s="167">
        <f t="shared" si="187"/>
        <v>103.22211027871562</v>
      </c>
      <c r="DY23" s="9">
        <f t="shared" si="188"/>
        <v>82.391389449200503</v>
      </c>
      <c r="DZ23" s="5">
        <f t="shared" si="189"/>
        <v>-456.78485250915469</v>
      </c>
      <c r="EA23" s="10">
        <f t="shared" si="190"/>
        <v>766.47412969784637</v>
      </c>
      <c r="EB23" s="6">
        <f t="shared" si="191"/>
        <v>145501.53295913793</v>
      </c>
      <c r="EC23" s="173">
        <f t="shared" si="192"/>
        <v>10.173775317727056</v>
      </c>
      <c r="ED23" s="5">
        <f t="shared" si="193"/>
        <v>0.91439434570097411</v>
      </c>
      <c r="EE23" s="4">
        <f t="shared" si="194"/>
        <v>-1.6034438470787218</v>
      </c>
      <c r="EF23" s="5">
        <f t="shared" si="195"/>
        <v>1.3601083005648422</v>
      </c>
      <c r="EG23" s="10">
        <f t="shared" si="196"/>
        <v>6.5084448452035149E-2</v>
      </c>
      <c r="EH23" s="9">
        <f t="shared" si="197"/>
        <v>1.6990621094228762</v>
      </c>
      <c r="EI23" s="5">
        <f t="shared" si="198"/>
        <v>-1.2385938431638848</v>
      </c>
      <c r="EJ23" s="6">
        <f t="shared" si="199"/>
        <v>6.5084448452035149E-2</v>
      </c>
      <c r="EK23" s="236" t="b">
        <f t="shared" si="200"/>
        <v>0</v>
      </c>
      <c r="EL23" s="238" t="b">
        <f t="shared" si="201"/>
        <v>1</v>
      </c>
      <c r="EM23" s="4">
        <f t="shared" si="202"/>
        <v>1.6990621094228762</v>
      </c>
      <c r="EN23" s="5">
        <f t="shared" si="203"/>
        <v>-1.2385938431638848</v>
      </c>
      <c r="EO23" s="10">
        <f t="shared" si="204"/>
        <v>6.5084448452035149E-2</v>
      </c>
      <c r="EP23" s="9">
        <f t="shared" si="205"/>
        <v>323.90844504406931</v>
      </c>
      <c r="EQ23" s="5">
        <f t="shared" si="206"/>
        <v>2.1025999999999989</v>
      </c>
      <c r="ER23" s="7">
        <f t="shared" si="207"/>
        <v>6.5084448452035149E-2</v>
      </c>
      <c r="ES23" s="21">
        <f t="shared" si="132"/>
        <v>-0.59738279189718546</v>
      </c>
      <c r="ET23" s="5">
        <f t="shared" si="44"/>
        <v>-0.75917135532942071</v>
      </c>
      <c r="EU23" s="10">
        <f t="shared" si="45"/>
        <v>-0.25844274644960458</v>
      </c>
      <c r="EV23" s="174">
        <f t="shared" si="254"/>
        <v>126.09155495593069</v>
      </c>
      <c r="EW23" s="9">
        <f t="shared" si="133"/>
        <v>0.96537331515996228</v>
      </c>
      <c r="EX23" s="5">
        <f t="shared" si="47"/>
        <v>-3.5520545950896931E-2</v>
      </c>
      <c r="EY23" s="6">
        <f t="shared" si="208"/>
        <v>-0.25844274644960458</v>
      </c>
      <c r="EZ23" s="51">
        <f t="shared" si="209"/>
        <v>1.0841123206429957</v>
      </c>
      <c r="FA23" s="266">
        <f t="shared" si="134"/>
        <v>-0.5889718116300442</v>
      </c>
      <c r="FB23" s="267">
        <f t="shared" si="135"/>
        <v>-0.80793207085750596</v>
      </c>
      <c r="FC23" s="269">
        <f t="shared" si="48"/>
        <v>-1.892020045151863E-2</v>
      </c>
      <c r="FD23" s="4">
        <f t="shared" si="136"/>
        <v>0.9998209969863977</v>
      </c>
      <c r="FE23" s="5">
        <f t="shared" si="49"/>
        <v>-2.7755575615628914E-16</v>
      </c>
      <c r="FF23" s="7">
        <f t="shared" si="210"/>
        <v>-1.892020045151863E-2</v>
      </c>
      <c r="FG23" s="173">
        <f t="shared" si="211"/>
        <v>-3.4447681826435428E-2</v>
      </c>
      <c r="FH23" s="5">
        <f t="shared" si="50"/>
        <v>-3.5520545950896654E-2</v>
      </c>
      <c r="FI23" s="10">
        <f t="shared" si="51"/>
        <v>-0.23952254599808595</v>
      </c>
      <c r="FJ23" s="279">
        <f t="shared" si="212"/>
        <v>14.048569983828354</v>
      </c>
      <c r="FK23" s="4">
        <f t="shared" si="52"/>
        <v>0.96602657665697045</v>
      </c>
      <c r="FL23" s="5">
        <f t="shared" si="213"/>
        <v>0.9998209969863977</v>
      </c>
      <c r="FM23" s="8">
        <f t="shared" si="214"/>
        <v>4.9480824243994671E-2</v>
      </c>
      <c r="FN23" s="9">
        <f t="shared" si="215"/>
        <v>2.1072259246135712</v>
      </c>
      <c r="FO23" s="10">
        <f t="shared" si="53"/>
        <v>1</v>
      </c>
      <c r="FP23" s="277">
        <f t="shared" si="54"/>
        <v>2.1072259246135712</v>
      </c>
      <c r="FQ23" s="173">
        <f t="shared" si="243"/>
        <v>3.676973989040707E-2</v>
      </c>
      <c r="FR23" s="10">
        <f t="shared" si="216"/>
        <v>0.99932376446694782</v>
      </c>
      <c r="FS23" s="9">
        <f t="shared" si="217"/>
        <v>3.5488823871368431E-2</v>
      </c>
      <c r="FT23" s="6">
        <f t="shared" si="218"/>
        <v>0.96451117612863158</v>
      </c>
      <c r="FU23" s="4">
        <f t="shared" si="219"/>
        <v>0.99936894629328477</v>
      </c>
      <c r="FV23" s="5">
        <f t="shared" si="220"/>
        <v>1</v>
      </c>
      <c r="FW23" s="8">
        <f t="shared" si="244"/>
        <v>0.24198696829503138</v>
      </c>
      <c r="FX23" s="9">
        <f t="shared" si="245"/>
        <v>13.903247347676766</v>
      </c>
      <c r="FY23" s="10">
        <f t="shared" si="55"/>
        <v>1</v>
      </c>
      <c r="FZ23" s="277">
        <f t="shared" si="246"/>
        <v>13.903247347676766</v>
      </c>
      <c r="GA23" s="177">
        <f t="shared" si="221"/>
        <v>13.893769136197797</v>
      </c>
      <c r="GB23" s="4">
        <f t="shared" si="222"/>
        <v>-3.5692491843546503E-2</v>
      </c>
      <c r="GC23" s="5">
        <f t="shared" si="223"/>
        <v>0.97004644086711012</v>
      </c>
      <c r="GD23" s="10">
        <f t="shared" si="224"/>
        <v>-0.24028305930100557</v>
      </c>
      <c r="GE23" s="311">
        <f t="shared" si="225"/>
        <v>1.2460219920116624</v>
      </c>
      <c r="GF23" s="341">
        <f t="shared" si="247"/>
        <v>0.80255405314759509</v>
      </c>
      <c r="GG23" s="285">
        <f t="shared" si="56"/>
        <v>2.8645153995975725E-2</v>
      </c>
      <c r="GH23" s="286">
        <f t="shared" si="57"/>
        <v>0.77851470285929814</v>
      </c>
      <c r="GI23" s="281">
        <f t="shared" si="58"/>
        <v>0.19284014314472597</v>
      </c>
      <c r="GJ23" s="167">
        <f t="shared" si="226"/>
        <v>2.1025999999999998</v>
      </c>
      <c r="GK23" s="174">
        <f t="shared" si="59"/>
        <v>1.101115888635374</v>
      </c>
      <c r="GL23" s="174">
        <f t="shared" si="227"/>
        <v>3.61E-2</v>
      </c>
      <c r="GM23" s="177">
        <f t="shared" si="248"/>
        <v>0.47700340295684407</v>
      </c>
      <c r="GN23" s="280">
        <f t="shared" si="228"/>
        <v>8.5405789774916474E-2</v>
      </c>
      <c r="GO23" s="4">
        <f t="shared" si="229"/>
        <v>2.1072259246135712</v>
      </c>
      <c r="GP23" s="8">
        <f t="shared" si="249"/>
        <v>13.903247347676766</v>
      </c>
      <c r="GQ23" s="177">
        <f t="shared" si="230"/>
        <v>14.048569983828354</v>
      </c>
      <c r="GR23" s="371">
        <f t="shared" si="250"/>
        <v>1506.2443410451206</v>
      </c>
      <c r="GS23" s="342">
        <f t="shared" si="61"/>
        <v>43.146601104804468</v>
      </c>
      <c r="GT23" s="343">
        <f t="shared" si="62"/>
        <v>39.184432401821539</v>
      </c>
      <c r="GU23" s="344">
        <f t="shared" si="63"/>
        <v>1172.6333656022416</v>
      </c>
      <c r="GV23" s="343">
        <f t="shared" si="252"/>
        <v>1064.95</v>
      </c>
      <c r="GW23" s="345">
        <f t="shared" si="64"/>
        <v>29500</v>
      </c>
      <c r="GX23" s="346">
        <f t="shared" si="65"/>
        <v>186.59698916666667</v>
      </c>
      <c r="GY23" s="344">
        <f t="shared" si="66"/>
        <v>290.46437433807455</v>
      </c>
      <c r="GZ23" s="345">
        <f t="shared" si="67"/>
        <v>263.790920952063</v>
      </c>
      <c r="HA23" s="342">
        <f t="shared" si="68"/>
        <v>43.146601104804468</v>
      </c>
      <c r="HB23" s="5">
        <f t="shared" si="231"/>
        <v>126.09155495593069</v>
      </c>
      <c r="HC23" s="343">
        <f t="shared" si="232"/>
        <v>-25.416681480956406</v>
      </c>
      <c r="HD23" s="345">
        <f t="shared" si="233"/>
        <v>34.865763857869538</v>
      </c>
      <c r="HE23" s="344">
        <f t="shared" si="69"/>
        <v>1064.95</v>
      </c>
      <c r="HF23" s="5">
        <f t="shared" si="70"/>
        <v>216.09155495593069</v>
      </c>
      <c r="HG23" s="343">
        <f t="shared" si="234"/>
        <v>-860.56130192613546</v>
      </c>
      <c r="HH23" s="349">
        <f t="shared" si="235"/>
        <v>-627.33782615684402</v>
      </c>
      <c r="HI23" s="317">
        <f t="shared" si="71"/>
        <v>3.109</v>
      </c>
      <c r="HJ23" s="336"/>
      <c r="HK23" s="310" t="str">
        <f t="shared" si="137"/>
        <v/>
      </c>
      <c r="HL23" s="348" t="str">
        <f t="shared" si="72"/>
        <v/>
      </c>
      <c r="HM23" s="909" t="str">
        <f t="shared" si="138"/>
        <v/>
      </c>
      <c r="HN23" s="910" t="str">
        <f t="shared" si="73"/>
        <v/>
      </c>
      <c r="HO23" s="911"/>
      <c r="HP23" s="912"/>
      <c r="HQ23" s="910" t="str">
        <f t="shared" si="74"/>
        <v/>
      </c>
      <c r="HR23" s="913" t="str">
        <f t="shared" si="75"/>
        <v/>
      </c>
      <c r="HS23" s="865" t="str">
        <f t="shared" si="251"/>
        <v/>
      </c>
      <c r="HT23" s="875" t="str">
        <f t="shared" si="76"/>
        <v/>
      </c>
      <c r="HU23" s="876" t="str">
        <f t="shared" si="77"/>
        <v/>
      </c>
      <c r="HV23" s="872" t="str">
        <f t="shared" si="78"/>
        <v/>
      </c>
      <c r="HW23" s="866" t="str">
        <f t="shared" si="79"/>
        <v/>
      </c>
      <c r="HX23" s="867" t="str">
        <f t="shared" si="80"/>
        <v/>
      </c>
      <c r="HY23" s="866" t="str">
        <f t="shared" si="81"/>
        <v/>
      </c>
      <c r="HZ23" s="868" t="str">
        <f t="shared" si="82"/>
        <v/>
      </c>
      <c r="IA23" s="869" t="str">
        <f t="shared" si="83"/>
        <v/>
      </c>
      <c r="IB23" s="870" t="str">
        <f t="shared" si="84"/>
        <v/>
      </c>
      <c r="IC23" s="841" t="str">
        <f t="shared" si="85"/>
        <v/>
      </c>
      <c r="ID23" s="351" t="str">
        <f t="shared" si="86"/>
        <v/>
      </c>
      <c r="IE23" s="843" t="str">
        <f t="shared" si="87"/>
        <v/>
      </c>
      <c r="IF23" s="844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6"/>
        <v>3.109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88"/>
        <v>1613</v>
      </c>
      <c r="IM23" s="482" t="str">
        <f t="shared" si="237"/>
        <v/>
      </c>
      <c r="IN23" s="670" t="str">
        <f t="shared" si="90"/>
        <v/>
      </c>
      <c r="IO23" s="702"/>
      <c r="IP23" s="5" t="str">
        <f t="shared" si="91"/>
        <v/>
      </c>
      <c r="IQ23" s="714"/>
      <c r="IR23" s="9" t="str">
        <f t="shared" si="139"/>
        <v/>
      </c>
      <c r="IS23" s="5" t="str">
        <f t="shared" si="92"/>
        <v/>
      </c>
      <c r="IT23" s="5" t="str">
        <f t="shared" si="93"/>
        <v/>
      </c>
      <c r="IU23" s="5" t="str">
        <f t="shared" si="94"/>
        <v/>
      </c>
      <c r="IV23" s="670" t="str">
        <f t="shared" si="95"/>
        <v/>
      </c>
      <c r="IW23" s="9" t="str">
        <f t="shared" si="96"/>
        <v/>
      </c>
      <c r="IX23" s="5" t="str">
        <f t="shared" si="97"/>
        <v/>
      </c>
      <c r="IY23" s="5" t="str">
        <f t="shared" si="98"/>
        <v/>
      </c>
      <c r="IZ23" s="5" t="str">
        <f t="shared" si="99"/>
        <v/>
      </c>
      <c r="JA23" s="705" t="str">
        <f t="shared" si="100"/>
        <v/>
      </c>
      <c r="JC23" s="796" t="str" cm="1">
        <f t="array" ref="JC23">IFERROR(_xlfn._xlws.SORT(_xlfn.UNIQUE(_xlfn._xlws.FILTER($IM$9:$IM$150,$IM$9:$IM$150&lt;&gt;"")),,1),"")</f>
        <v/>
      </c>
      <c r="JD23" s="800" t="str" cm="1">
        <f t="array" ref="JD23">IF($JC23="","",COUNT(IF(IF($IK$9:$IK$150&lt;&gt;"",$IM$9:$IM$150,"")=$JC23,$II$9:$II$150,"")))</f>
        <v/>
      </c>
      <c r="JE23" s="191"/>
      <c r="JF23" s="191"/>
      <c r="JG23" s="812"/>
      <c r="JH23" s="737" t="str" cm="1">
        <f t="array" ref="JH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/>
      </c>
      <c r="JI23" s="742"/>
      <c r="JJ23" s="741" t="str" cm="1">
        <f t="array" ref="JJ23">IF(_xlfn.ANCHORARRAY($JH$23)="","",_xlfn.MINIFS($IQ$9:$IQ$150,$IM$9:$IM$150,_xlfn.ANCHORARRAY($JC$23),$IG$9:$IG$150,_xlfn.ANCHORARRAY($JJ$22),$IK$9:$IK$150,"&lt;&gt;"&amp;"",$IH$9:$IH$150,"&lt;&gt;"&amp;"Gage"))</f>
        <v/>
      </c>
      <c r="JK23" s="742"/>
    </row>
    <row r="24" spans="1:271" ht="15" customHeight="1" x14ac:dyDescent="0.25">
      <c r="A24" s="75">
        <f t="shared" si="1"/>
        <v>0.02</v>
      </c>
      <c r="B24" s="578">
        <f t="shared" si="2"/>
        <v>2.4617657871780536</v>
      </c>
      <c r="C24" s="572">
        <f t="shared" si="3"/>
        <v>-1.7673606228203091</v>
      </c>
      <c r="D24" s="576">
        <f t="shared" si="4"/>
        <v>-0.36998228034527353</v>
      </c>
      <c r="E24" s="580">
        <f t="shared" si="5"/>
        <v>0.71458454858824527</v>
      </c>
      <c r="F24" s="572">
        <f t="shared" si="6"/>
        <v>0.67207787586015122</v>
      </c>
      <c r="G24" s="579">
        <f t="shared" si="7"/>
        <v>0.1941140172636712</v>
      </c>
      <c r="H24" s="580">
        <f t="shared" si="8"/>
        <v>0.3125</v>
      </c>
      <c r="I24" s="572">
        <f t="shared" si="9"/>
        <v>0.52</v>
      </c>
      <c r="J24" s="483">
        <f t="shared" si="10"/>
        <v>3.1120000000000001</v>
      </c>
      <c r="K24" s="806">
        <f t="shared" si="11"/>
        <v>1613</v>
      </c>
      <c r="L24" s="82"/>
      <c r="M24" s="164">
        <f t="shared" si="12"/>
        <v>3.1120000000000001</v>
      </c>
      <c r="N24" s="575">
        <f t="shared" si="13"/>
        <v>2.4617657871780536</v>
      </c>
      <c r="O24" s="572">
        <f t="shared" si="14"/>
        <v>-1.7673606228203091</v>
      </c>
      <c r="P24" s="576">
        <f t="shared" si="15"/>
        <v>-0.36998228034527353</v>
      </c>
      <c r="Q24" s="528">
        <f t="shared" si="140"/>
        <v>324.32452813424072</v>
      </c>
      <c r="R24" s="572">
        <f t="shared" si="101"/>
        <v>3.0304874792706493</v>
      </c>
      <c r="S24" s="577">
        <f t="shared" si="102"/>
        <v>-0.36998228034527353</v>
      </c>
      <c r="T24" s="578">
        <f t="shared" si="103"/>
        <v>-1.7622722392603523</v>
      </c>
      <c r="U24" s="572">
        <f t="shared" si="104"/>
        <v>-2.4654109022125454</v>
      </c>
      <c r="V24" s="579">
        <f t="shared" si="141"/>
        <v>-0.36998228034527353</v>
      </c>
      <c r="W24" s="528">
        <f t="shared" si="253"/>
        <v>234.44286884628093</v>
      </c>
      <c r="X24" s="572">
        <f t="shared" si="105"/>
        <v>3.0304874792706493</v>
      </c>
      <c r="Y24" s="573">
        <f t="shared" si="255"/>
        <v>-0.36998228034527353</v>
      </c>
      <c r="Z24" s="575">
        <f t="shared" si="18"/>
        <v>-0.71458454858824527</v>
      </c>
      <c r="AA24" s="572">
        <f t="shared" si="19"/>
        <v>-0.67207787586015122</v>
      </c>
      <c r="AB24" s="572">
        <f t="shared" si="20"/>
        <v>-0.1941140172636712</v>
      </c>
      <c r="AC24" s="579">
        <f t="shared" si="106"/>
        <v>1</v>
      </c>
      <c r="AD24" s="580">
        <f t="shared" si="142"/>
        <v>-0.71458454858824527</v>
      </c>
      <c r="AE24" s="572">
        <f t="shared" si="107"/>
        <v>-0.67207787586015122</v>
      </c>
      <c r="AF24" s="576">
        <f t="shared" si="108"/>
        <v>-0.1941140172636712</v>
      </c>
      <c r="AG24" s="545">
        <f t="shared" si="109"/>
        <v>-73.889871916035958</v>
      </c>
      <c r="AH24" s="546">
        <f t="shared" si="110"/>
        <v>135.60916175253004</v>
      </c>
      <c r="AI24" s="528">
        <f t="shared" si="111"/>
        <v>-78.807028398879254</v>
      </c>
      <c r="AJ24" s="529">
        <f t="shared" si="112"/>
        <v>-46.755791820179368</v>
      </c>
      <c r="AK24" s="578">
        <f>IF(M24="","",(COS(RADIANS((90-$Q$8)-W24))*AD24)+(-SIN(RADIANS((90-$Q$8)-W24))*AE24))</f>
        <v>0.96269228430029696</v>
      </c>
      <c r="AL24" s="572">
        <f t="shared" si="113"/>
        <v>-0.18852934532967441</v>
      </c>
      <c r="AM24" s="577">
        <f t="shared" si="114"/>
        <v>-0.1941140172636712</v>
      </c>
      <c r="AN24" s="524">
        <f t="shared" si="115"/>
        <v>-44.163828655907125</v>
      </c>
      <c r="AO24" s="525">
        <f t="shared" si="116"/>
        <v>15.699886112498646</v>
      </c>
      <c r="AP24" s="528">
        <f t="shared" si="117"/>
        <v>-11.080319954420103</v>
      </c>
      <c r="AQ24" s="529">
        <f t="shared" si="21"/>
        <v>0.75222077816260369</v>
      </c>
      <c r="AS24" s="932">
        <f t="shared" si="143"/>
        <v>-125.55713115371907</v>
      </c>
      <c r="AT24" s="928">
        <f t="shared" si="22"/>
        <v>-0.28131277781717567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4"/>
        <v/>
      </c>
      <c r="BA24" s="296" t="str">
        <f t="shared" si="24"/>
        <v/>
      </c>
      <c r="BB24" s="190" t="str">
        <f t="shared" si="145"/>
        <v/>
      </c>
      <c r="BC24" s="9"/>
      <c r="BD24" s="5" t="str">
        <f t="shared" si="146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7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8"/>
        <v/>
      </c>
      <c r="BP24" s="5" t="str">
        <f t="shared" si="239"/>
        <v/>
      </c>
      <c r="BQ24" s="5" t="str">
        <f t="shared" si="149"/>
        <v/>
      </c>
      <c r="BR24" s="6" t="str">
        <f t="shared" si="150"/>
        <v/>
      </c>
      <c r="BS24" s="4" t="str">
        <f t="shared" si="118"/>
        <v/>
      </c>
      <c r="BT24" s="5" t="str">
        <f t="shared" si="118"/>
        <v/>
      </c>
      <c r="BU24" s="10" t="str">
        <f t="shared" si="119"/>
        <v/>
      </c>
      <c r="BV24" s="9" t="str">
        <f t="shared" si="120"/>
        <v/>
      </c>
      <c r="BW24" s="5" t="str">
        <f t="shared" si="121"/>
        <v/>
      </c>
      <c r="BX24" s="8" t="str">
        <f t="shared" si="122"/>
        <v/>
      </c>
      <c r="BY24" s="173" t="str">
        <f t="shared" si="123"/>
        <v/>
      </c>
      <c r="BZ24" s="5" t="str">
        <f t="shared" si="124"/>
        <v/>
      </c>
      <c r="CA24" s="6" t="str">
        <f t="shared" si="125"/>
        <v/>
      </c>
      <c r="CB24" s="4" t="str">
        <f t="shared" si="151"/>
        <v/>
      </c>
      <c r="CC24" s="5" t="str">
        <f t="shared" si="152"/>
        <v/>
      </c>
      <c r="CD24" s="5" t="str">
        <f t="shared" si="153"/>
        <v/>
      </c>
      <c r="CE24" s="6" t="str">
        <f t="shared" si="154"/>
        <v/>
      </c>
      <c r="CF24" s="4" t="str">
        <f t="shared" si="155"/>
        <v/>
      </c>
      <c r="CG24" s="5" t="str">
        <f t="shared" si="156"/>
        <v/>
      </c>
      <c r="CH24" s="5" t="str">
        <f t="shared" si="157"/>
        <v/>
      </c>
      <c r="CI24" s="4" t="str">
        <f t="shared" si="126"/>
        <v/>
      </c>
      <c r="CJ24" s="5" t="str">
        <f t="shared" si="127"/>
        <v/>
      </c>
      <c r="CK24" s="8" t="str">
        <f t="shared" si="128"/>
        <v/>
      </c>
      <c r="CL24" s="173" t="str">
        <f t="shared" si="129"/>
        <v/>
      </c>
      <c r="CM24" s="5" t="str">
        <f t="shared" si="130"/>
        <v/>
      </c>
      <c r="CN24" s="6" t="str">
        <f t="shared" si="131"/>
        <v/>
      </c>
      <c r="CO24" s="167" t="str">
        <f t="shared" si="35"/>
        <v/>
      </c>
      <c r="CP24" s="4" t="str">
        <f t="shared" si="240"/>
        <v/>
      </c>
      <c r="CQ24" s="5" t="str">
        <f t="shared" si="241"/>
        <v/>
      </c>
      <c r="CR24" s="5" t="str">
        <f t="shared" si="158"/>
        <v/>
      </c>
      <c r="CS24" s="8" t="str">
        <f t="shared" si="159"/>
        <v/>
      </c>
      <c r="CT24" s="9" t="str">
        <f t="shared" si="160"/>
        <v/>
      </c>
      <c r="CU24" s="6" t="str">
        <f t="shared" si="161"/>
        <v/>
      </c>
      <c r="CV24" s="4" t="str">
        <f t="shared" si="242"/>
        <v/>
      </c>
      <c r="CW24" s="5" t="str">
        <f t="shared" si="162"/>
        <v/>
      </c>
      <c r="CX24" s="8" t="str">
        <f t="shared" si="163"/>
        <v/>
      </c>
      <c r="CY24" s="9" t="str">
        <f t="shared" si="164"/>
        <v/>
      </c>
      <c r="CZ24" s="5" t="str">
        <f t="shared" si="165"/>
        <v/>
      </c>
      <c r="DA24" s="6" t="str">
        <f t="shared" si="166"/>
        <v/>
      </c>
      <c r="DB24" s="4" t="str">
        <f t="shared" si="167"/>
        <v/>
      </c>
      <c r="DC24" s="5" t="str">
        <f t="shared" si="167"/>
        <v/>
      </c>
      <c r="DD24" s="10" t="str">
        <f t="shared" si="168"/>
        <v/>
      </c>
      <c r="DE24" s="9" t="str">
        <f t="shared" si="169"/>
        <v/>
      </c>
      <c r="DF24" s="5" t="str">
        <f t="shared" si="169"/>
        <v/>
      </c>
      <c r="DG24" s="10" t="str">
        <f t="shared" si="170"/>
        <v/>
      </c>
      <c r="DH24" s="70" t="str">
        <f t="shared" si="171"/>
        <v/>
      </c>
      <c r="DI24" s="4" t="str">
        <f t="shared" si="172"/>
        <v/>
      </c>
      <c r="DJ24" s="5" t="str">
        <f t="shared" si="173"/>
        <v/>
      </c>
      <c r="DK24" s="10" t="str">
        <f t="shared" si="174"/>
        <v/>
      </c>
      <c r="DL24" s="9" t="str">
        <f t="shared" si="175"/>
        <v/>
      </c>
      <c r="DM24" s="173" t="str">
        <f t="shared" si="176"/>
        <v/>
      </c>
      <c r="DN24" s="178" t="str">
        <f t="shared" si="177"/>
        <v/>
      </c>
      <c r="DO24" s="9" t="str">
        <f t="shared" si="178"/>
        <v/>
      </c>
      <c r="DP24" s="173" t="str">
        <f t="shared" si="179"/>
        <v/>
      </c>
      <c r="DQ24" s="11" t="str">
        <f t="shared" si="180"/>
        <v/>
      </c>
      <c r="DR24" s="173" t="str">
        <f t="shared" si="181"/>
        <v/>
      </c>
      <c r="DS24" s="5" t="str">
        <f t="shared" si="182"/>
        <v/>
      </c>
      <c r="DT24" s="5" t="str">
        <f t="shared" si="183"/>
        <v/>
      </c>
      <c r="DU24" s="5" t="str">
        <f t="shared" si="184"/>
        <v/>
      </c>
      <c r="DV24" s="5" t="str">
        <f t="shared" si="185"/>
        <v/>
      </c>
      <c r="DW24" s="5" t="str">
        <f t="shared" si="186"/>
        <v/>
      </c>
      <c r="DX24" s="167" t="str">
        <f t="shared" si="187"/>
        <v/>
      </c>
      <c r="DY24" s="9" t="str">
        <f t="shared" si="188"/>
        <v/>
      </c>
      <c r="DZ24" s="5" t="str">
        <f t="shared" si="189"/>
        <v/>
      </c>
      <c r="EA24" s="10" t="str">
        <f t="shared" si="190"/>
        <v/>
      </c>
      <c r="EB24" s="6" t="str">
        <f t="shared" si="191"/>
        <v/>
      </c>
      <c r="EC24" s="173" t="str">
        <f t="shared" si="192"/>
        <v/>
      </c>
      <c r="ED24" s="5" t="str">
        <f t="shared" si="193"/>
        <v/>
      </c>
      <c r="EE24" s="4" t="str">
        <f t="shared" si="194"/>
        <v/>
      </c>
      <c r="EF24" s="5" t="str">
        <f t="shared" si="195"/>
        <v/>
      </c>
      <c r="EG24" s="10" t="str">
        <f t="shared" si="196"/>
        <v/>
      </c>
      <c r="EH24" s="9" t="str">
        <f t="shared" si="197"/>
        <v/>
      </c>
      <c r="EI24" s="5" t="str">
        <f t="shared" si="198"/>
        <v/>
      </c>
      <c r="EJ24" s="6" t="str">
        <f t="shared" si="199"/>
        <v/>
      </c>
      <c r="EK24" s="236" t="str">
        <f t="shared" si="200"/>
        <v/>
      </c>
      <c r="EL24" s="238" t="str">
        <f t="shared" si="201"/>
        <v/>
      </c>
      <c r="EM24" s="4" t="str">
        <f t="shared" si="202"/>
        <v/>
      </c>
      <c r="EN24" s="5" t="str">
        <f t="shared" si="203"/>
        <v/>
      </c>
      <c r="EO24" s="10" t="str">
        <f t="shared" si="204"/>
        <v/>
      </c>
      <c r="EP24" s="9" t="str">
        <f t="shared" si="205"/>
        <v/>
      </c>
      <c r="EQ24" s="5" t="str">
        <f t="shared" si="206"/>
        <v/>
      </c>
      <c r="ER24" s="7" t="str">
        <f t="shared" si="207"/>
        <v/>
      </c>
      <c r="ES24" s="21" t="str">
        <f t="shared" si="132"/>
        <v/>
      </c>
      <c r="ET24" s="5" t="str">
        <f t="shared" si="44"/>
        <v/>
      </c>
      <c r="EU24" s="10" t="str">
        <f t="shared" si="45"/>
        <v/>
      </c>
      <c r="EV24" s="174" t="str">
        <f t="shared" si="254"/>
        <v/>
      </c>
      <c r="EW24" s="9" t="str">
        <f t="shared" si="133"/>
        <v/>
      </c>
      <c r="EX24" s="5" t="str">
        <f t="shared" si="47"/>
        <v/>
      </c>
      <c r="EY24" s="6" t="str">
        <f t="shared" si="208"/>
        <v/>
      </c>
      <c r="EZ24" s="51" t="str">
        <f t="shared" si="209"/>
        <v/>
      </c>
      <c r="FA24" s="266" t="str">
        <f t="shared" si="134"/>
        <v/>
      </c>
      <c r="FB24" s="267" t="str">
        <f t="shared" si="135"/>
        <v/>
      </c>
      <c r="FC24" s="269" t="str">
        <f t="shared" si="48"/>
        <v/>
      </c>
      <c r="FD24" s="4" t="str">
        <f t="shared" si="136"/>
        <v/>
      </c>
      <c r="FE24" s="5" t="str">
        <f t="shared" si="49"/>
        <v/>
      </c>
      <c r="FF24" s="7" t="str">
        <f t="shared" si="210"/>
        <v/>
      </c>
      <c r="FG24" s="173" t="str">
        <f t="shared" si="211"/>
        <v/>
      </c>
      <c r="FH24" s="5" t="str">
        <f t="shared" si="50"/>
        <v/>
      </c>
      <c r="FI24" s="10" t="str">
        <f t="shared" si="51"/>
        <v/>
      </c>
      <c r="FJ24" s="279" t="str">
        <f t="shared" si="212"/>
        <v/>
      </c>
      <c r="FK24" s="4" t="str">
        <f t="shared" si="52"/>
        <v/>
      </c>
      <c r="FL24" s="5" t="str">
        <f t="shared" si="213"/>
        <v/>
      </c>
      <c r="FM24" s="8" t="str">
        <f t="shared" si="214"/>
        <v/>
      </c>
      <c r="FN24" s="9" t="str">
        <f t="shared" si="215"/>
        <v/>
      </c>
      <c r="FO24" s="10" t="str">
        <f t="shared" si="53"/>
        <v/>
      </c>
      <c r="FP24" s="277" t="str">
        <f t="shared" si="54"/>
        <v/>
      </c>
      <c r="FQ24" s="173" t="str">
        <f t="shared" si="243"/>
        <v/>
      </c>
      <c r="FR24" s="10" t="str">
        <f t="shared" si="216"/>
        <v/>
      </c>
      <c r="FS24" s="9" t="str">
        <f t="shared" si="217"/>
        <v/>
      </c>
      <c r="FT24" s="6" t="str">
        <f t="shared" si="218"/>
        <v/>
      </c>
      <c r="FU24" s="4" t="str">
        <f t="shared" si="219"/>
        <v/>
      </c>
      <c r="FV24" s="5" t="str">
        <f t="shared" si="220"/>
        <v/>
      </c>
      <c r="FW24" s="8" t="str">
        <f t="shared" si="244"/>
        <v/>
      </c>
      <c r="FX24" s="9" t="str">
        <f t="shared" si="245"/>
        <v/>
      </c>
      <c r="FY24" s="10" t="str">
        <f t="shared" si="55"/>
        <v/>
      </c>
      <c r="FZ24" s="277" t="str">
        <f t="shared" si="246"/>
        <v/>
      </c>
      <c r="GA24" s="177" t="str">
        <f t="shared" si="221"/>
        <v/>
      </c>
      <c r="GB24" s="4" t="str">
        <f t="shared" si="222"/>
        <v/>
      </c>
      <c r="GC24" s="5" t="str">
        <f t="shared" si="223"/>
        <v/>
      </c>
      <c r="GD24" s="10" t="str">
        <f t="shared" si="224"/>
        <v/>
      </c>
      <c r="GE24" s="311" t="str">
        <f t="shared" si="225"/>
        <v/>
      </c>
      <c r="GF24" s="341" t="str">
        <f t="shared" si="247"/>
        <v/>
      </c>
      <c r="GG24" s="285" t="str">
        <f t="shared" si="56"/>
        <v/>
      </c>
      <c r="GH24" s="286" t="str">
        <f t="shared" si="57"/>
        <v/>
      </c>
      <c r="GI24" s="281" t="str">
        <f t="shared" si="58"/>
        <v/>
      </c>
      <c r="GJ24" s="167" t="str">
        <f t="shared" si="226"/>
        <v/>
      </c>
      <c r="GK24" s="174" t="str">
        <f t="shared" si="59"/>
        <v/>
      </c>
      <c r="GL24" s="174" t="str">
        <f t="shared" si="227"/>
        <v/>
      </c>
      <c r="GM24" s="177" t="str">
        <f t="shared" si="248"/>
        <v/>
      </c>
      <c r="GN24" s="280" t="str">
        <f t="shared" si="228"/>
        <v/>
      </c>
      <c r="GO24" s="4" t="str">
        <f t="shared" si="229"/>
        <v/>
      </c>
      <c r="GP24" s="8" t="str">
        <f t="shared" si="249"/>
        <v/>
      </c>
      <c r="GQ24" s="177" t="str">
        <f t="shared" si="230"/>
        <v/>
      </c>
      <c r="GR24" s="371" t="str">
        <f t="shared" si="250"/>
        <v/>
      </c>
      <c r="GS24" s="342" t="str">
        <f t="shared" si="61"/>
        <v/>
      </c>
      <c r="GT24" s="343" t="str">
        <f t="shared" si="62"/>
        <v/>
      </c>
      <c r="GU24" s="344" t="str">
        <f t="shared" si="63"/>
        <v/>
      </c>
      <c r="GV24" s="343" t="str">
        <f t="shared" si="252"/>
        <v/>
      </c>
      <c r="GW24" s="345" t="str">
        <f t="shared" si="64"/>
        <v/>
      </c>
      <c r="GX24" s="346" t="str">
        <f t="shared" si="65"/>
        <v/>
      </c>
      <c r="GY24" s="344" t="str">
        <f t="shared" si="66"/>
        <v/>
      </c>
      <c r="GZ24" s="345" t="str">
        <f t="shared" si="67"/>
        <v/>
      </c>
      <c r="HA24" s="342" t="str">
        <f t="shared" si="68"/>
        <v/>
      </c>
      <c r="HB24" s="5" t="str">
        <f t="shared" si="231"/>
        <v/>
      </c>
      <c r="HC24" s="343" t="str">
        <f t="shared" si="232"/>
        <v/>
      </c>
      <c r="HD24" s="363" t="str">
        <f t="shared" si="233"/>
        <v/>
      </c>
      <c r="HE24" s="344" t="str">
        <f t="shared" si="69"/>
        <v/>
      </c>
      <c r="HF24" s="5" t="str">
        <f t="shared" si="70"/>
        <v/>
      </c>
      <c r="HG24" s="343" t="str">
        <f t="shared" si="234"/>
        <v/>
      </c>
      <c r="HH24" s="349" t="str">
        <f t="shared" si="235"/>
        <v/>
      </c>
      <c r="HI24" s="317" t="str">
        <f t="shared" si="71"/>
        <v/>
      </c>
      <c r="HJ24" s="336"/>
      <c r="HK24" s="310" t="str">
        <f t="shared" si="137"/>
        <v/>
      </c>
      <c r="HL24" s="348" t="str">
        <f t="shared" si="72"/>
        <v/>
      </c>
      <c r="HM24" s="909" t="str">
        <f t="shared" si="138"/>
        <v/>
      </c>
      <c r="HN24" s="910" t="str">
        <f t="shared" si="73"/>
        <v/>
      </c>
      <c r="HO24" s="911"/>
      <c r="HP24" s="912"/>
      <c r="HQ24" s="910" t="str">
        <f t="shared" si="74"/>
        <v/>
      </c>
      <c r="HR24" s="913" t="str">
        <f t="shared" si="75"/>
        <v/>
      </c>
      <c r="HS24" s="865" t="str">
        <f t="shared" si="251"/>
        <v/>
      </c>
      <c r="HT24" s="875" t="str">
        <f t="shared" si="76"/>
        <v/>
      </c>
      <c r="HU24" s="876" t="str">
        <f t="shared" si="77"/>
        <v/>
      </c>
      <c r="HV24" s="872" t="str">
        <f t="shared" si="78"/>
        <v/>
      </c>
      <c r="HW24" s="866" t="str">
        <f t="shared" si="79"/>
        <v/>
      </c>
      <c r="HX24" s="867" t="str">
        <f t="shared" si="80"/>
        <v/>
      </c>
      <c r="HY24" s="866" t="str">
        <f t="shared" si="81"/>
        <v/>
      </c>
      <c r="HZ24" s="868" t="str">
        <f t="shared" si="82"/>
        <v/>
      </c>
      <c r="IA24" s="869" t="str">
        <f t="shared" si="83"/>
        <v/>
      </c>
      <c r="IB24" s="870" t="str">
        <f t="shared" si="84"/>
        <v/>
      </c>
      <c r="IC24" s="841" t="str">
        <f t="shared" si="85"/>
        <v/>
      </c>
      <c r="ID24" s="351" t="str">
        <f t="shared" si="86"/>
        <v/>
      </c>
      <c r="IE24" s="843" t="str">
        <f t="shared" si="87"/>
        <v/>
      </c>
      <c r="IF24" s="844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3.1120000000000001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88"/>
        <v>1613</v>
      </c>
      <c r="IM24" s="482" t="str">
        <f t="shared" si="237"/>
        <v/>
      </c>
      <c r="IN24" s="670" t="str">
        <f t="shared" si="90"/>
        <v/>
      </c>
      <c r="IO24" s="702"/>
      <c r="IP24" s="5" t="str">
        <f t="shared" si="91"/>
        <v/>
      </c>
      <c r="IQ24" s="714"/>
      <c r="IR24" s="9" t="str">
        <f t="shared" si="139"/>
        <v/>
      </c>
      <c r="IS24" s="5" t="str">
        <f t="shared" si="92"/>
        <v/>
      </c>
      <c r="IT24" s="5" t="str">
        <f t="shared" si="93"/>
        <v/>
      </c>
      <c r="IU24" s="5" t="str">
        <f t="shared" si="94"/>
        <v/>
      </c>
      <c r="IV24" s="670" t="str">
        <f t="shared" si="95"/>
        <v/>
      </c>
      <c r="IW24" s="9" t="str">
        <f t="shared" si="96"/>
        <v/>
      </c>
      <c r="IX24" s="5" t="str">
        <f t="shared" si="97"/>
        <v/>
      </c>
      <c r="IY24" s="5" t="str">
        <f t="shared" si="98"/>
        <v/>
      </c>
      <c r="IZ24" s="5" t="str">
        <f t="shared" si="99"/>
        <v/>
      </c>
      <c r="JA24" s="705" t="str">
        <f t="shared" si="100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</row>
    <row r="25" spans="1:271" ht="15" customHeight="1" x14ac:dyDescent="0.25">
      <c r="A25" s="75">
        <f t="shared" si="1"/>
        <v>0.02</v>
      </c>
      <c r="B25" s="578">
        <f t="shared" si="2"/>
        <v>2.8349855988907939</v>
      </c>
      <c r="C25" s="572">
        <f t="shared" si="3"/>
        <v>-2.0848426769016095</v>
      </c>
      <c r="D25" s="576">
        <f t="shared" si="4"/>
        <v>-0.96093053759380165</v>
      </c>
      <c r="E25" s="580">
        <f t="shared" si="5"/>
        <v>0.81096051266221358</v>
      </c>
      <c r="F25" s="572">
        <f t="shared" si="6"/>
        <v>0.56772633304069142</v>
      </c>
      <c r="G25" s="579">
        <f t="shared" si="7"/>
        <v>0.14152687969007821</v>
      </c>
      <c r="H25" s="580">
        <f t="shared" si="8"/>
        <v>0.3125</v>
      </c>
      <c r="I25" s="572">
        <f t="shared" si="9"/>
        <v>0.52</v>
      </c>
      <c r="J25" s="483">
        <f t="shared" si="10"/>
        <v>3.1150000000000002</v>
      </c>
      <c r="K25" s="806">
        <f t="shared" si="11"/>
        <v>1613</v>
      </c>
      <c r="L25" s="82"/>
      <c r="M25" s="164">
        <f t="shared" si="12"/>
        <v>3.1150000000000002</v>
      </c>
      <c r="N25" s="575">
        <f t="shared" si="13"/>
        <v>2.8349855988907939</v>
      </c>
      <c r="O25" s="572">
        <f t="shared" si="14"/>
        <v>-2.0848426769016095</v>
      </c>
      <c r="P25" s="576">
        <f t="shared" si="15"/>
        <v>-0.96093053759380165</v>
      </c>
      <c r="Q25" s="528">
        <f t="shared" si="140"/>
        <v>323.6693117608508</v>
      </c>
      <c r="R25" s="572">
        <f>IF(M25="","",SQRT(N25^2+O25^2))</f>
        <v>3.5190499191327853</v>
      </c>
      <c r="S25" s="577">
        <f>IF(M25="","",P25)</f>
        <v>-0.96093053759380165</v>
      </c>
      <c r="T25" s="578">
        <f>IF(M25="","",X25*COS(RADIANS(W25)))</f>
        <v>-2.0789827554114786</v>
      </c>
      <c r="U25" s="572">
        <f>IF(M25="","",X25*SIN(RADIANS(W25)))</f>
        <v>-2.8392856559441428</v>
      </c>
      <c r="V25" s="579">
        <f>IF(M25="","",Y25)</f>
        <v>-0.96093053759380165</v>
      </c>
      <c r="W25" s="528">
        <f t="shared" si="253"/>
        <v>233.78765247289101</v>
      </c>
      <c r="X25" s="572">
        <f>IF(M25="","",R25)</f>
        <v>3.5190499191327853</v>
      </c>
      <c r="Y25" s="573">
        <f t="shared" si="255"/>
        <v>-0.96093053759380165</v>
      </c>
      <c r="Z25" s="575">
        <f t="shared" si="18"/>
        <v>-0.81096051266221358</v>
      </c>
      <c r="AA25" s="572">
        <f t="shared" si="19"/>
        <v>-0.56772633304069142</v>
      </c>
      <c r="AB25" s="572">
        <f t="shared" si="20"/>
        <v>-0.14152687969007821</v>
      </c>
      <c r="AC25" s="579">
        <f>IF(M25="","",SQRT(Z25^2+AA25^2+AB25^2))</f>
        <v>1</v>
      </c>
      <c r="AD25" s="580">
        <f>IF(M25="","",Z25*(1/SQRT(Z25^2+AA25^2+AB25^2)))</f>
        <v>-0.81096051266221358</v>
      </c>
      <c r="AE25" s="572">
        <f>IF(M25="","",AA25*(1/SQRT(Z25^2+AA25^2+AB25^2)))</f>
        <v>-0.56772633304069142</v>
      </c>
      <c r="AF25" s="576">
        <f>IF(M25="","",AB25*(1/SQRT(Z25^2+AA25^2+AB25^2)))</f>
        <v>-0.14152687969007821</v>
      </c>
      <c r="AG25" s="545">
        <f>IF(M25="","",DEGREES(ATAN2(-AF25,AE25)))</f>
        <v>-76.002203710694388</v>
      </c>
      <c r="AH25" s="546">
        <f>IF(M25="","",DEGREES(ACOS(AD25)))</f>
        <v>144.18988252943555</v>
      </c>
      <c r="AI25" s="528">
        <f>IF(M25="","",DEGREES(-ACOS(-AF25)))</f>
        <v>-81.863790168070409</v>
      </c>
      <c r="AJ25" s="529">
        <f>IF(M25="","",DEGREES(ATAN2(-AE25,AD25)))</f>
        <v>-55.005420572687875</v>
      </c>
      <c r="AK25" s="578">
        <f>IF(M25="","",(COS(RADIANS((90-$Q$8)-W25))*AD25)+(-SIN(RADIANS((90-$Q$8)-W25))*AE25))</f>
        <v>0.93781592765098321</v>
      </c>
      <c r="AL25" s="572">
        <f>IF(M25="","",(SIN(RADIANS((90-$Q$8)-W25))*AD25)+(COS(RADIANS((90-$Q$8)-W25))*AE25))</f>
        <v>-0.31697228296700675</v>
      </c>
      <c r="AM25" s="577">
        <f>IF(M25="","",AF25)</f>
        <v>-0.14152687969007821</v>
      </c>
      <c r="AN25" s="524">
        <f>IF(M25="","",DEGREES(ATAN2(-AM25,AL25)))</f>
        <v>-65.939425768729748</v>
      </c>
      <c r="AO25" s="525">
        <f>IF(ROUND(IF(M25="",0,DEGREES(ACOS(AK25))),4)=90,0,IF(M25="","",DEGREES(ACOS(AK25))))</f>
        <v>20.312053536791677</v>
      </c>
      <c r="AP25" s="528">
        <f>IF(M25="","",DEGREES(ATAN2(AK25,AL25)))</f>
        <v>-18.674732333538643</v>
      </c>
      <c r="AQ25" s="529">
        <f t="shared" si="21"/>
        <v>0.64779686121037894</v>
      </c>
      <c r="AS25" s="932">
        <f t="shared" si="143"/>
        <v>-126.21234752710899</v>
      </c>
      <c r="AT25" s="928">
        <f t="shared" si="22"/>
        <v>-0.87180602369529414</v>
      </c>
      <c r="AU25" s="418"/>
      <c r="AV25" s="164">
        <f t="shared" si="23"/>
        <v>3.1150000000000002</v>
      </c>
      <c r="AW25" s="829">
        <f>IFERROR(INDEX(MassProp!C$9:C$150,MATCH($M25,MassProp!$B$9:$B$150,0)),"")</f>
        <v>2.9211999999999998</v>
      </c>
      <c r="AX25" s="830">
        <f>IFERROR(INDEX(MassProp!D$9:D$150,MATCH($M25,MassProp!$B$9:$B$150,0)),"")</f>
        <v>0.31390000000000001</v>
      </c>
      <c r="AY25" s="831">
        <f>IFERROR(INDEX(MassProp!E$9:E$150,MATCH($M25,MassProp!$B$9:$B$150,0)),"")</f>
        <v>3.6299999999999999E-2</v>
      </c>
      <c r="AZ25" s="297">
        <f t="shared" si="144"/>
        <v>0.66632800634936673</v>
      </c>
      <c r="BA25" s="296">
        <f t="shared" si="24"/>
        <v>0.11930369737123635</v>
      </c>
      <c r="BB25" s="190">
        <f t="shared" si="145"/>
        <v>0.9357060236952941</v>
      </c>
      <c r="BC25" s="9"/>
      <c r="BD25" s="5">
        <f t="shared" si="146"/>
        <v>2.9211999999999998</v>
      </c>
      <c r="BE25" s="6">
        <f t="shared" si="25"/>
        <v>-2.522451389850755E-2</v>
      </c>
      <c r="BF25" s="4">
        <f t="shared" si="26"/>
        <v>2.8349855988907939</v>
      </c>
      <c r="BG25" s="5">
        <f t="shared" si="27"/>
        <v>-2.0848426769016095</v>
      </c>
      <c r="BH25" s="10">
        <f t="shared" si="28"/>
        <v>-0.96093053759380165</v>
      </c>
      <c r="BI25" s="9">
        <f t="shared" si="147"/>
        <v>2.8349855988907939</v>
      </c>
      <c r="BJ25" s="5">
        <f t="shared" si="29"/>
        <v>-1.8429581010022564</v>
      </c>
      <c r="BK25" s="8">
        <f t="shared" si="30"/>
        <v>-1.9312355679538376</v>
      </c>
      <c r="BL25" s="173">
        <f t="shared" si="31"/>
        <v>3.420086484980227</v>
      </c>
      <c r="BM25" s="5">
        <f t="shared" si="32"/>
        <v>-2.8717217417611089</v>
      </c>
      <c r="BN25" s="6">
        <f t="shared" si="33"/>
        <v>-1.1570893772702231</v>
      </c>
      <c r="BO25" s="4">
        <f t="shared" si="148"/>
        <v>-0.81096051266221347</v>
      </c>
      <c r="BP25" s="5">
        <f t="shared" si="239"/>
        <v>-0.56772633304069087</v>
      </c>
      <c r="BQ25" s="5">
        <f t="shared" si="149"/>
        <v>-0.14152687969007816</v>
      </c>
      <c r="BR25" s="6">
        <f t="shared" si="150"/>
        <v>0.97944378615782157</v>
      </c>
      <c r="BS25" s="4">
        <f t="shared" si="118"/>
        <v>0</v>
      </c>
      <c r="BT25" s="5">
        <f t="shared" si="118"/>
        <v>0</v>
      </c>
      <c r="BU25" s="10">
        <f t="shared" si="119"/>
        <v>-2.522451389850755E-2</v>
      </c>
      <c r="BV25" s="9">
        <f t="shared" si="120"/>
        <v>0</v>
      </c>
      <c r="BW25" s="5">
        <f t="shared" si="121"/>
        <v>1</v>
      </c>
      <c r="BX25" s="8">
        <f t="shared" si="122"/>
        <v>-2.522451389850755E-2</v>
      </c>
      <c r="BY25" s="173">
        <f t="shared" si="123"/>
        <v>1</v>
      </c>
      <c r="BZ25" s="5">
        <f t="shared" si="124"/>
        <v>0</v>
      </c>
      <c r="CA25" s="6">
        <f t="shared" si="125"/>
        <v>-2.522451389850755E-2</v>
      </c>
      <c r="CB25" s="4">
        <f t="shared" si="151"/>
        <v>0</v>
      </c>
      <c r="CC25" s="5">
        <f t="shared" si="152"/>
        <v>0</v>
      </c>
      <c r="CD25" s="5">
        <f t="shared" si="153"/>
        <v>-1</v>
      </c>
      <c r="CE25" s="6">
        <f t="shared" si="154"/>
        <v>-2.522451389850755E-2</v>
      </c>
      <c r="CF25" s="4">
        <f t="shared" si="155"/>
        <v>0.56772633304069087</v>
      </c>
      <c r="CG25" s="5">
        <f t="shared" si="156"/>
        <v>-0.81096051266221347</v>
      </c>
      <c r="CH25" s="5">
        <f t="shared" si="157"/>
        <v>0</v>
      </c>
      <c r="CI25" s="4">
        <f t="shared" si="126"/>
        <v>0</v>
      </c>
      <c r="CJ25" s="5">
        <f t="shared" si="127"/>
        <v>1.7314922273142479</v>
      </c>
      <c r="CK25" s="8">
        <f t="shared" si="128"/>
        <v>-2.522451389850755E-2</v>
      </c>
      <c r="CL25" s="173">
        <f t="shared" si="129"/>
        <v>0.56772633304069087</v>
      </c>
      <c r="CM25" s="5">
        <f t="shared" si="130"/>
        <v>0.92053171465203443</v>
      </c>
      <c r="CN25" s="6">
        <f t="shared" si="131"/>
        <v>-2.522451389850755E-2</v>
      </c>
      <c r="CO25" s="167">
        <f t="shared" si="35"/>
        <v>0.3125</v>
      </c>
      <c r="CP25" s="4">
        <f t="shared" si="240"/>
        <v>0.97997014232518942</v>
      </c>
      <c r="CQ25" s="5">
        <f t="shared" si="241"/>
        <v>-9.4087857773900563</v>
      </c>
      <c r="CR25" s="5">
        <f t="shared" si="158"/>
        <v>23.37944495983411</v>
      </c>
      <c r="CS25" s="8">
        <f t="shared" si="159"/>
        <v>-3.1193822142728607</v>
      </c>
      <c r="CT25" s="9" t="e">
        <f t="shared" si="160"/>
        <v>#NUM!</v>
      </c>
      <c r="CU25" s="6" t="e">
        <f t="shared" si="161"/>
        <v>#NUM!</v>
      </c>
      <c r="CV25" s="4" t="e">
        <f t="shared" si="242"/>
        <v>#NUM!</v>
      </c>
      <c r="CW25" s="5" t="e">
        <f t="shared" si="162"/>
        <v>#NUM!</v>
      </c>
      <c r="CX25" s="8" t="e">
        <f t="shared" si="163"/>
        <v>#NUM!</v>
      </c>
      <c r="CY25" s="9" t="e">
        <f t="shared" si="164"/>
        <v>#NUM!</v>
      </c>
      <c r="CZ25" s="5" t="e">
        <f t="shared" si="165"/>
        <v>#NUM!</v>
      </c>
      <c r="DA25" s="6" t="e">
        <f t="shared" si="166"/>
        <v>#NUM!</v>
      </c>
      <c r="DB25" s="4">
        <f t="shared" si="167"/>
        <v>0</v>
      </c>
      <c r="DC25" s="5">
        <f t="shared" si="167"/>
        <v>0</v>
      </c>
      <c r="DD25" s="10">
        <f t="shared" si="168"/>
        <v>-10</v>
      </c>
      <c r="DE25" s="9">
        <f t="shared" si="169"/>
        <v>0</v>
      </c>
      <c r="DF25" s="5">
        <f t="shared" si="169"/>
        <v>0</v>
      </c>
      <c r="DG25" s="10">
        <f t="shared" si="170"/>
        <v>10</v>
      </c>
      <c r="DH25" s="70">
        <f t="shared" si="171"/>
        <v>2.9211999999999998</v>
      </c>
      <c r="DI25" s="4">
        <f t="shared" si="172"/>
        <v>0</v>
      </c>
      <c r="DJ25" s="5">
        <f t="shared" si="173"/>
        <v>0</v>
      </c>
      <c r="DK25" s="10">
        <f t="shared" si="174"/>
        <v>20</v>
      </c>
      <c r="DL25" s="9" t="e">
        <f t="shared" si="175"/>
        <v>#NUM!</v>
      </c>
      <c r="DM25" s="173" t="e">
        <f t="shared" si="176"/>
        <v>#NUM!</v>
      </c>
      <c r="DN25" s="178" t="e">
        <f t="shared" si="177"/>
        <v>#NUM!</v>
      </c>
      <c r="DO25" s="9" t="e">
        <f t="shared" si="178"/>
        <v>#NUM!</v>
      </c>
      <c r="DP25" s="173" t="e">
        <f t="shared" si="179"/>
        <v>#NUM!</v>
      </c>
      <c r="DQ25" s="11" t="e">
        <f t="shared" si="180"/>
        <v>#NUM!</v>
      </c>
      <c r="DR25" s="173" t="e">
        <f t="shared" si="181"/>
        <v>#NUM!</v>
      </c>
      <c r="DS25" s="5" t="e">
        <f t="shared" si="182"/>
        <v>#NUM!</v>
      </c>
      <c r="DT25" s="5">
        <f t="shared" si="183"/>
        <v>400</v>
      </c>
      <c r="DU25" s="5" t="e">
        <f t="shared" si="184"/>
        <v>#NUM!</v>
      </c>
      <c r="DV25" s="5" t="e">
        <f t="shared" si="185"/>
        <v>#NUM!</v>
      </c>
      <c r="DW25" s="5" t="e">
        <f t="shared" si="186"/>
        <v>#NUM!</v>
      </c>
      <c r="DX25" s="167" t="e">
        <f t="shared" si="187"/>
        <v>#NUM!</v>
      </c>
      <c r="DY25" s="9" t="e">
        <f t="shared" si="188"/>
        <v>#NUM!</v>
      </c>
      <c r="DZ25" s="5" t="e">
        <f t="shared" si="189"/>
        <v>#NUM!</v>
      </c>
      <c r="EA25" s="10" t="e">
        <f t="shared" si="190"/>
        <v>#NUM!</v>
      </c>
      <c r="EB25" s="6" t="e">
        <f t="shared" si="191"/>
        <v>#NUM!</v>
      </c>
      <c r="EC25" s="173" t="e">
        <f t="shared" si="192"/>
        <v>#NUM!</v>
      </c>
      <c r="ED25" s="5" t="e">
        <f t="shared" si="193"/>
        <v>#NUM!</v>
      </c>
      <c r="EE25" s="4" t="e">
        <f t="shared" si="194"/>
        <v>#NUM!</v>
      </c>
      <c r="EF25" s="5" t="e">
        <f t="shared" si="195"/>
        <v>#NUM!</v>
      </c>
      <c r="EG25" s="10" t="e">
        <f t="shared" si="196"/>
        <v>#NUM!</v>
      </c>
      <c r="EH25" s="9" t="e">
        <f t="shared" si="197"/>
        <v>#NUM!</v>
      </c>
      <c r="EI25" s="5" t="e">
        <f t="shared" si="198"/>
        <v>#NUM!</v>
      </c>
      <c r="EJ25" s="6" t="e">
        <f t="shared" si="199"/>
        <v>#NUM!</v>
      </c>
      <c r="EK25" s="236" t="e">
        <f t="shared" si="200"/>
        <v>#NUM!</v>
      </c>
      <c r="EL25" s="238" t="e">
        <f t="shared" si="201"/>
        <v>#NUM!</v>
      </c>
      <c r="EM25" s="4" t="e">
        <f t="shared" si="202"/>
        <v>#NUM!</v>
      </c>
      <c r="EN25" s="5" t="e">
        <f t="shared" si="203"/>
        <v>#NUM!</v>
      </c>
      <c r="EO25" s="10" t="e">
        <f t="shared" si="204"/>
        <v>#NUM!</v>
      </c>
      <c r="EP25" s="9" t="e">
        <f t="shared" si="205"/>
        <v>#NUM!</v>
      </c>
      <c r="EQ25" s="5" t="e">
        <f t="shared" si="206"/>
        <v>#NUM!</v>
      </c>
      <c r="ER25" s="7" t="e">
        <f t="shared" si="207"/>
        <v>#NUM!</v>
      </c>
      <c r="ES25" s="21">
        <f t="shared" si="132"/>
        <v>-0.81096051266221358</v>
      </c>
      <c r="ET25" s="5">
        <f t="shared" si="44"/>
        <v>-0.56772633304069142</v>
      </c>
      <c r="EU25" s="10">
        <f t="shared" si="45"/>
        <v>-0.14152687969007821</v>
      </c>
      <c r="EV25" s="174" t="e">
        <f t="shared" si="254"/>
        <v>#NUM!</v>
      </c>
      <c r="EW25" s="9" t="e">
        <f t="shared" si="133"/>
        <v>#NUM!</v>
      </c>
      <c r="EX25" s="5" t="e">
        <f t="shared" si="47"/>
        <v>#NUM!</v>
      </c>
      <c r="EY25" s="6">
        <f t="shared" si="208"/>
        <v>-0.14152687969007821</v>
      </c>
      <c r="EZ25" s="51" t="e">
        <f t="shared" si="209"/>
        <v>#NUM!</v>
      </c>
      <c r="FA25" s="266" t="e">
        <f t="shared" si="134"/>
        <v>#NUM!</v>
      </c>
      <c r="FB25" s="267" t="e">
        <f t="shared" si="135"/>
        <v>#NUM!</v>
      </c>
      <c r="FC25" s="269" t="e">
        <f t="shared" si="48"/>
        <v>#NUM!</v>
      </c>
      <c r="FD25" s="4" t="e">
        <f t="shared" si="136"/>
        <v>#NUM!</v>
      </c>
      <c r="FE25" s="5" t="e">
        <f t="shared" si="49"/>
        <v>#NUM!</v>
      </c>
      <c r="FF25" s="7" t="e">
        <f t="shared" si="210"/>
        <v>#NUM!</v>
      </c>
      <c r="FG25" s="173" t="e">
        <f t="shared" si="211"/>
        <v>#NUM!</v>
      </c>
      <c r="FH25" s="5" t="e">
        <f t="shared" si="50"/>
        <v>#NUM!</v>
      </c>
      <c r="FI25" s="10" t="e">
        <f t="shared" si="51"/>
        <v>#NUM!</v>
      </c>
      <c r="FJ25" s="279" t="e">
        <f t="shared" si="212"/>
        <v>#NUM!</v>
      </c>
      <c r="FK25" s="4">
        <f t="shared" si="52"/>
        <v>0.9899344131432094</v>
      </c>
      <c r="FL25" s="5" t="e">
        <f t="shared" si="213"/>
        <v>#NUM!</v>
      </c>
      <c r="FM25" s="8" t="e">
        <f t="shared" si="214"/>
        <v>#NUM!</v>
      </c>
      <c r="FN25" s="9" t="e">
        <f t="shared" si="215"/>
        <v>#NUM!</v>
      </c>
      <c r="FO25" s="10" t="e">
        <f t="shared" si="53"/>
        <v>#NUM!</v>
      </c>
      <c r="FP25" s="277" t="e">
        <f t="shared" si="54"/>
        <v>#NUM!</v>
      </c>
      <c r="FQ25" s="173" t="e">
        <f t="shared" si="243"/>
        <v>#NUM!</v>
      </c>
      <c r="FR25" s="10" t="e">
        <f t="shared" si="216"/>
        <v>#NUM!</v>
      </c>
      <c r="FS25" s="9" t="e">
        <f t="shared" si="217"/>
        <v>#NUM!</v>
      </c>
      <c r="FT25" s="6" t="e">
        <f t="shared" si="218"/>
        <v>#NUM!</v>
      </c>
      <c r="FU25" s="4" t="e">
        <f t="shared" si="219"/>
        <v>#NUM!</v>
      </c>
      <c r="FV25" s="5" t="e">
        <f t="shared" si="220"/>
        <v>#NUM!</v>
      </c>
      <c r="FW25" s="8" t="e">
        <f t="shared" si="244"/>
        <v>#NUM!</v>
      </c>
      <c r="FX25" s="9" t="e">
        <f t="shared" si="245"/>
        <v>#NUM!</v>
      </c>
      <c r="FY25" s="10" t="e">
        <f t="shared" si="55"/>
        <v>#NUM!</v>
      </c>
      <c r="FZ25" s="277" t="e">
        <f t="shared" si="246"/>
        <v>#NUM!</v>
      </c>
      <c r="GA25" s="177" t="e">
        <f t="shared" si="221"/>
        <v>#NUM!</v>
      </c>
      <c r="GB25" s="4" t="e">
        <f t="shared" si="222"/>
        <v>#NUM!</v>
      </c>
      <c r="GC25" s="5" t="e">
        <f t="shared" si="223"/>
        <v>#NUM!</v>
      </c>
      <c r="GD25" s="10" t="e">
        <f t="shared" si="224"/>
        <v>#NUM!</v>
      </c>
      <c r="GE25" s="311" t="e">
        <f t="shared" si="225"/>
        <v>#NUM!</v>
      </c>
      <c r="GF25" s="341" t="e">
        <f t="shared" si="247"/>
        <v>#NUM!</v>
      </c>
      <c r="GG25" s="285" t="e">
        <f t="shared" si="56"/>
        <v>#NUM!</v>
      </c>
      <c r="GH25" s="286" t="e">
        <f t="shared" si="57"/>
        <v>#NUM!</v>
      </c>
      <c r="GI25" s="281" t="e">
        <f t="shared" si="58"/>
        <v>#NUM!</v>
      </c>
      <c r="GJ25" s="167">
        <f t="shared" si="226"/>
        <v>2.9211999999999998</v>
      </c>
      <c r="GK25" s="174">
        <f t="shared" si="59"/>
        <v>1.5296786188001992</v>
      </c>
      <c r="GL25" s="174">
        <f t="shared" si="227"/>
        <v>3.6299999999999999E-2</v>
      </c>
      <c r="GM25" s="177">
        <f t="shared" si="248"/>
        <v>0.66632800634936673</v>
      </c>
      <c r="GN25" s="280">
        <f t="shared" si="228"/>
        <v>0.11930369737123635</v>
      </c>
      <c r="GO25" s="4" t="e">
        <f t="shared" si="229"/>
        <v>#NUM!</v>
      </c>
      <c r="GP25" s="8" t="e">
        <f t="shared" si="249"/>
        <v>#NUM!</v>
      </c>
      <c r="GQ25" s="177" t="e">
        <f t="shared" si="230"/>
        <v>#NUM!</v>
      </c>
      <c r="GR25" s="371" t="e">
        <f t="shared" si="250"/>
        <v>#NUM!</v>
      </c>
      <c r="GS25" s="342" t="e">
        <f t="shared" si="61"/>
        <v>#NUM!</v>
      </c>
      <c r="GT25" s="343" t="e">
        <f t="shared" si="62"/>
        <v>#NUM!</v>
      </c>
      <c r="GU25" s="344">
        <f t="shared" si="63"/>
        <v>1638.0563489421932</v>
      </c>
      <c r="GV25" s="343">
        <f t="shared" si="252"/>
        <v>1070.8499999999999</v>
      </c>
      <c r="GW25" s="345">
        <f t="shared" si="64"/>
        <v>29500</v>
      </c>
      <c r="GX25" s="346">
        <f t="shared" si="65"/>
        <v>260.68058499999995</v>
      </c>
      <c r="GY25" s="344" t="e">
        <f t="shared" si="66"/>
        <v>#NUM!</v>
      </c>
      <c r="GZ25" s="345" t="e">
        <f t="shared" si="67"/>
        <v>#NUM!</v>
      </c>
      <c r="HA25" s="342" t="e">
        <f t="shared" si="68"/>
        <v>#NUM!</v>
      </c>
      <c r="HB25" s="5" t="e">
        <f t="shared" si="231"/>
        <v>#NUM!</v>
      </c>
      <c r="HC25" s="343" t="e">
        <f t="shared" si="232"/>
        <v>#NUM!</v>
      </c>
      <c r="HD25" s="363" t="e">
        <f t="shared" si="233"/>
        <v>#NUM!</v>
      </c>
      <c r="HE25" s="344" t="e">
        <f t="shared" si="69"/>
        <v>#NUM!</v>
      </c>
      <c r="HF25" s="5" t="e">
        <f t="shared" si="70"/>
        <v>#NUM!</v>
      </c>
      <c r="HG25" s="343" t="e">
        <f t="shared" si="234"/>
        <v>#NUM!</v>
      </c>
      <c r="HH25" s="349" t="e">
        <f t="shared" si="235"/>
        <v>#NUM!</v>
      </c>
      <c r="HI25" s="317">
        <f t="shared" si="71"/>
        <v>3.1150000000000002</v>
      </c>
      <c r="HJ25" s="336"/>
      <c r="HK25" s="310" t="str">
        <f t="shared" si="137"/>
        <v/>
      </c>
      <c r="HL25" s="348" t="str">
        <f t="shared" si="72"/>
        <v/>
      </c>
      <c r="HM25" s="909" t="str">
        <f t="shared" si="138"/>
        <v/>
      </c>
      <c r="HN25" s="910" t="str">
        <f t="shared" si="73"/>
        <v/>
      </c>
      <c r="HO25" s="911"/>
      <c r="HP25" s="912"/>
      <c r="HQ25" s="910" t="str">
        <f t="shared" si="74"/>
        <v/>
      </c>
      <c r="HR25" s="913" t="str">
        <f t="shared" si="75"/>
        <v/>
      </c>
      <c r="HS25" s="865" t="str">
        <f t="shared" si="251"/>
        <v/>
      </c>
      <c r="HT25" s="875" t="str">
        <f t="shared" si="76"/>
        <v/>
      </c>
      <c r="HU25" s="876" t="str">
        <f t="shared" si="77"/>
        <v/>
      </c>
      <c r="HV25" s="872" t="str">
        <f t="shared" si="78"/>
        <v/>
      </c>
      <c r="HW25" s="866" t="str">
        <f t="shared" si="79"/>
        <v/>
      </c>
      <c r="HX25" s="867" t="str">
        <f t="shared" si="80"/>
        <v/>
      </c>
      <c r="HY25" s="866" t="str">
        <f t="shared" si="81"/>
        <v/>
      </c>
      <c r="HZ25" s="868" t="str">
        <f t="shared" si="82"/>
        <v/>
      </c>
      <c r="IA25" s="869" t="str">
        <f t="shared" si="83"/>
        <v/>
      </c>
      <c r="IB25" s="870" t="str">
        <f t="shared" si="84"/>
        <v/>
      </c>
      <c r="IC25" s="841" t="str">
        <f t="shared" si="85"/>
        <v/>
      </c>
      <c r="ID25" s="351" t="str">
        <f t="shared" si="86"/>
        <v/>
      </c>
      <c r="IE25" s="843" t="str">
        <f t="shared" si="87"/>
        <v/>
      </c>
      <c r="IF25" s="844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3.1150000000000002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8"/>
        <v>1613</v>
      </c>
      <c r="IM25" s="482" t="str">
        <f t="shared" si="237"/>
        <v/>
      </c>
      <c r="IN25" s="670" t="str">
        <f t="shared" si="90"/>
        <v/>
      </c>
      <c r="IO25" s="702"/>
      <c r="IP25" s="5" t="str">
        <f t="shared" si="91"/>
        <v/>
      </c>
      <c r="IQ25" s="714"/>
      <c r="IR25" s="9" t="str">
        <f t="shared" si="139"/>
        <v/>
      </c>
      <c r="IS25" s="5" t="str">
        <f t="shared" si="92"/>
        <v/>
      </c>
      <c r="IT25" s="5" t="str">
        <f t="shared" si="93"/>
        <v/>
      </c>
      <c r="IU25" s="5" t="str">
        <f t="shared" si="94"/>
        <v/>
      </c>
      <c r="IV25" s="670" t="str">
        <f t="shared" si="95"/>
        <v/>
      </c>
      <c r="IW25" s="9" t="str">
        <f t="shared" si="96"/>
        <v/>
      </c>
      <c r="IX25" s="5" t="str">
        <f t="shared" si="97"/>
        <v/>
      </c>
      <c r="IY25" s="5" t="str">
        <f t="shared" si="98"/>
        <v/>
      </c>
      <c r="IZ25" s="5" t="str">
        <f t="shared" si="99"/>
        <v/>
      </c>
      <c r="JA25" s="705" t="str">
        <f t="shared" si="100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0.02</v>
      </c>
      <c r="B26" s="578">
        <f t="shared" si="2"/>
        <v>3.0087538516119459</v>
      </c>
      <c r="C26" s="572">
        <f t="shared" si="3"/>
        <v>-2.2466645389177389</v>
      </c>
      <c r="D26" s="576">
        <f t="shared" si="4"/>
        <v>-1.630931652591656</v>
      </c>
      <c r="E26" s="580">
        <f t="shared" si="5"/>
        <v>0.91257605466996394</v>
      </c>
      <c r="F26" s="572">
        <f t="shared" si="6"/>
        <v>0.40424314982034115</v>
      </c>
      <c r="G26" s="579">
        <f t="shared" si="7"/>
        <v>6.1582629582798941E-2</v>
      </c>
      <c r="H26" s="580">
        <f t="shared" si="8"/>
        <v>0.26450000000000001</v>
      </c>
      <c r="I26" s="572">
        <f t="shared" si="9"/>
        <v>0.52</v>
      </c>
      <c r="J26" s="483">
        <f t="shared" si="10"/>
        <v>3.1179999999999999</v>
      </c>
      <c r="K26" s="806">
        <f t="shared" si="11"/>
        <v>1313</v>
      </c>
      <c r="L26" s="162"/>
      <c r="M26" s="164">
        <f t="shared" si="12"/>
        <v>3.1179999999999999</v>
      </c>
      <c r="N26" s="575">
        <f t="shared" si="13"/>
        <v>3.0087538516119459</v>
      </c>
      <c r="O26" s="572">
        <f t="shared" si="14"/>
        <v>-2.2466645389177389</v>
      </c>
      <c r="P26" s="576">
        <f t="shared" si="15"/>
        <v>-1.630931652591656</v>
      </c>
      <c r="Q26" s="528">
        <f t="shared" si="140"/>
        <v>323.25096004633133</v>
      </c>
      <c r="R26" s="572">
        <f>IF(M26="","",SQRT(N26^2+O26^2))</f>
        <v>3.7550101584443385</v>
      </c>
      <c r="S26" s="577">
        <f>IF(M26="","",P26)</f>
        <v>-1.630931652591656</v>
      </c>
      <c r="T26" s="578">
        <f>IF(M26="","",X26*COS(RADIANS(W26)))</f>
        <v>-2.2404453654728771</v>
      </c>
      <c r="U26" s="572">
        <f>IF(M26="","",X26*SIN(RADIANS(W26)))</f>
        <v>-3.0133877703261627</v>
      </c>
      <c r="V26" s="579">
        <f>IF(M26="","",Y26)</f>
        <v>-1.630931652591656</v>
      </c>
      <c r="W26" s="528">
        <f t="shared" si="253"/>
        <v>233.36930075837154</v>
      </c>
      <c r="X26" s="572">
        <f>IF(M26="","",R26)</f>
        <v>3.7550101584443385</v>
      </c>
      <c r="Y26" s="573">
        <f t="shared" si="255"/>
        <v>-1.630931652591656</v>
      </c>
      <c r="Z26" s="575">
        <f t="shared" si="18"/>
        <v>-0.91257605466996394</v>
      </c>
      <c r="AA26" s="572">
        <f t="shared" si="19"/>
        <v>-0.40424314982034115</v>
      </c>
      <c r="AB26" s="572">
        <f t="shared" si="20"/>
        <v>-6.1582629582798941E-2</v>
      </c>
      <c r="AC26" s="579">
        <f>IF(M26="","",SQRT(Z26^2+AA26^2+AB26^2))</f>
        <v>1</v>
      </c>
      <c r="AD26" s="580">
        <f>IF(M26="","",Z26*(1/SQRT(Z26^2+AA26^2+AB26^2)))</f>
        <v>-0.91257605466996394</v>
      </c>
      <c r="AE26" s="572">
        <f>IF(M26="","",AA26*(1/SQRT(Z26^2+AA26^2+AB26^2)))</f>
        <v>-0.40424314982034115</v>
      </c>
      <c r="AF26" s="576">
        <f>IF(M26="","",AB26*(1/SQRT(Z26^2+AA26^2+AB26^2)))</f>
        <v>-6.1582629582798941E-2</v>
      </c>
      <c r="AG26" s="545">
        <f>IF(M26="","",DEGREES(ATAN2(-AF26,AE26)))</f>
        <v>-81.338126130477335</v>
      </c>
      <c r="AH26" s="546">
        <f>IF(M26="","",DEGREES(ACOS(AD26)))</f>
        <v>155.8638065226572</v>
      </c>
      <c r="AI26" s="528">
        <f>IF(M26="","",DEGREES(-ACOS(-AF26)))</f>
        <v>-86.469341207320554</v>
      </c>
      <c r="AJ26" s="529">
        <f>IF(M26="","",DEGREES(ATAN2(-AE26,AD26)))</f>
        <v>-66.10812921342945</v>
      </c>
      <c r="AK26" s="578">
        <f>IF(M26="","",(COS(RADIANS((90-$Q$8)-W26))*AD26)+(-SIN(RADIANS((90-$Q$8)-W26))*AE26))</f>
        <v>0.86990986902028622</v>
      </c>
      <c r="AL26" s="572">
        <f>IF(M26="","",(SIN(RADIANS((90-$Q$8)-W26))*AD26)+(COS(RADIANS((90-$Q$8)-W26))*AE26))</f>
        <v>-0.48935099827708139</v>
      </c>
      <c r="AM26" s="577">
        <f>IF(M26="","",AF26)</f>
        <v>-6.1582629582798941E-2</v>
      </c>
      <c r="AN26" s="524">
        <f>IF(M26="","",DEGREES(ATAN2(-AM26,AL26)))</f>
        <v>-82.827289346382216</v>
      </c>
      <c r="AO26" s="525">
        <f t="shared" si="116"/>
        <v>29.551832610771214</v>
      </c>
      <c r="AP26" s="528">
        <f>IF(M26="","",DEGREES(ATAN2(AK26,AL26)))</f>
        <v>-29.359089259760783</v>
      </c>
      <c r="AQ26" s="529">
        <f t="shared" si="21"/>
        <v>0.60709324869881875</v>
      </c>
      <c r="AS26" s="932">
        <f t="shared" si="143"/>
        <v>-126.63069924162846</v>
      </c>
      <c r="AT26" s="928">
        <f t="shared" si="22"/>
        <v>-1.5415166166691765</v>
      </c>
      <c r="AU26" s="418"/>
      <c r="AV26" s="164" t="str">
        <f t="shared" si="23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4"/>
        <v/>
      </c>
      <c r="BA26" s="296" t="str">
        <f t="shared" si="24"/>
        <v/>
      </c>
      <c r="BB26" s="190" t="str">
        <f t="shared" si="145"/>
        <v/>
      </c>
      <c r="BC26" s="9"/>
      <c r="BD26" s="5" t="str">
        <f t="shared" si="146"/>
        <v/>
      </c>
      <c r="BE26" s="6" t="str">
        <f t="shared" si="25"/>
        <v/>
      </c>
      <c r="BF26" s="4" t="str">
        <f t="shared" si="26"/>
        <v/>
      </c>
      <c r="BG26" s="5" t="str">
        <f t="shared" si="27"/>
        <v/>
      </c>
      <c r="BH26" s="10" t="str">
        <f t="shared" si="28"/>
        <v/>
      </c>
      <c r="BI26" s="9" t="str">
        <f t="shared" si="147"/>
        <v/>
      </c>
      <c r="BJ26" s="5" t="str">
        <f t="shared" si="29"/>
        <v/>
      </c>
      <c r="BK26" s="8" t="str">
        <f t="shared" si="30"/>
        <v/>
      </c>
      <c r="BL26" s="173" t="str">
        <f t="shared" si="31"/>
        <v/>
      </c>
      <c r="BM26" s="5" t="str">
        <f t="shared" si="32"/>
        <v/>
      </c>
      <c r="BN26" s="6" t="str">
        <f t="shared" si="33"/>
        <v/>
      </c>
      <c r="BO26" s="4" t="str">
        <f t="shared" si="148"/>
        <v/>
      </c>
      <c r="BP26" s="5" t="str">
        <f t="shared" si="239"/>
        <v/>
      </c>
      <c r="BQ26" s="5" t="str">
        <f t="shared" si="149"/>
        <v/>
      </c>
      <c r="BR26" s="6" t="str">
        <f t="shared" si="150"/>
        <v/>
      </c>
      <c r="BS26" s="4" t="str">
        <f t="shared" si="118"/>
        <v/>
      </c>
      <c r="BT26" s="5" t="str">
        <f t="shared" si="118"/>
        <v/>
      </c>
      <c r="BU26" s="10" t="str">
        <f t="shared" si="119"/>
        <v/>
      </c>
      <c r="BV26" s="9" t="str">
        <f t="shared" si="120"/>
        <v/>
      </c>
      <c r="BW26" s="5" t="str">
        <f t="shared" si="121"/>
        <v/>
      </c>
      <c r="BX26" s="8" t="str">
        <f t="shared" si="122"/>
        <v/>
      </c>
      <c r="BY26" s="173" t="str">
        <f t="shared" si="123"/>
        <v/>
      </c>
      <c r="BZ26" s="5" t="str">
        <f t="shared" si="124"/>
        <v/>
      </c>
      <c r="CA26" s="6" t="str">
        <f t="shared" si="125"/>
        <v/>
      </c>
      <c r="CB26" s="4" t="str">
        <f t="shared" si="151"/>
        <v/>
      </c>
      <c r="CC26" s="5" t="str">
        <f t="shared" si="152"/>
        <v/>
      </c>
      <c r="CD26" s="5" t="str">
        <f t="shared" si="153"/>
        <v/>
      </c>
      <c r="CE26" s="6" t="str">
        <f t="shared" si="154"/>
        <v/>
      </c>
      <c r="CF26" s="4" t="str">
        <f t="shared" si="155"/>
        <v/>
      </c>
      <c r="CG26" s="5" t="str">
        <f t="shared" si="156"/>
        <v/>
      </c>
      <c r="CH26" s="5" t="str">
        <f t="shared" si="157"/>
        <v/>
      </c>
      <c r="CI26" s="4" t="str">
        <f t="shared" si="126"/>
        <v/>
      </c>
      <c r="CJ26" s="5" t="str">
        <f t="shared" si="127"/>
        <v/>
      </c>
      <c r="CK26" s="8" t="str">
        <f t="shared" si="128"/>
        <v/>
      </c>
      <c r="CL26" s="173" t="str">
        <f t="shared" si="129"/>
        <v/>
      </c>
      <c r="CM26" s="5" t="str">
        <f t="shared" si="130"/>
        <v/>
      </c>
      <c r="CN26" s="6" t="str">
        <f t="shared" si="131"/>
        <v/>
      </c>
      <c r="CO26" s="167" t="str">
        <f t="shared" si="35"/>
        <v/>
      </c>
      <c r="CP26" s="4" t="str">
        <f t="shared" si="240"/>
        <v/>
      </c>
      <c r="CQ26" s="5" t="str">
        <f t="shared" si="241"/>
        <v/>
      </c>
      <c r="CR26" s="5" t="str">
        <f t="shared" si="158"/>
        <v/>
      </c>
      <c r="CS26" s="8" t="str">
        <f t="shared" si="159"/>
        <v/>
      </c>
      <c r="CT26" s="9" t="str">
        <f t="shared" si="160"/>
        <v/>
      </c>
      <c r="CU26" s="6" t="str">
        <f t="shared" si="161"/>
        <v/>
      </c>
      <c r="CV26" s="4" t="str">
        <f t="shared" si="242"/>
        <v/>
      </c>
      <c r="CW26" s="5" t="str">
        <f t="shared" si="162"/>
        <v/>
      </c>
      <c r="CX26" s="8" t="str">
        <f t="shared" si="163"/>
        <v/>
      </c>
      <c r="CY26" s="9" t="str">
        <f t="shared" si="164"/>
        <v/>
      </c>
      <c r="CZ26" s="5" t="str">
        <f t="shared" si="165"/>
        <v/>
      </c>
      <c r="DA26" s="6" t="str">
        <f t="shared" si="166"/>
        <v/>
      </c>
      <c r="DB26" s="4" t="str">
        <f t="shared" si="167"/>
        <v/>
      </c>
      <c r="DC26" s="5" t="str">
        <f t="shared" si="167"/>
        <v/>
      </c>
      <c r="DD26" s="10" t="str">
        <f t="shared" si="168"/>
        <v/>
      </c>
      <c r="DE26" s="9" t="str">
        <f t="shared" si="169"/>
        <v/>
      </c>
      <c r="DF26" s="5" t="str">
        <f t="shared" si="169"/>
        <v/>
      </c>
      <c r="DG26" s="10" t="str">
        <f t="shared" si="170"/>
        <v/>
      </c>
      <c r="DH26" s="70" t="str">
        <f t="shared" si="171"/>
        <v/>
      </c>
      <c r="DI26" s="4" t="str">
        <f t="shared" si="172"/>
        <v/>
      </c>
      <c r="DJ26" s="5" t="str">
        <f t="shared" si="173"/>
        <v/>
      </c>
      <c r="DK26" s="10" t="str">
        <f t="shared" si="174"/>
        <v/>
      </c>
      <c r="DL26" s="9" t="str">
        <f t="shared" si="175"/>
        <v/>
      </c>
      <c r="DM26" s="173" t="str">
        <f t="shared" si="176"/>
        <v/>
      </c>
      <c r="DN26" s="178" t="str">
        <f t="shared" si="177"/>
        <v/>
      </c>
      <c r="DO26" s="9" t="str">
        <f t="shared" si="178"/>
        <v/>
      </c>
      <c r="DP26" s="173" t="str">
        <f t="shared" si="179"/>
        <v/>
      </c>
      <c r="DQ26" s="11" t="str">
        <f t="shared" si="180"/>
        <v/>
      </c>
      <c r="DR26" s="173" t="str">
        <f t="shared" si="181"/>
        <v/>
      </c>
      <c r="DS26" s="5" t="str">
        <f t="shared" si="182"/>
        <v/>
      </c>
      <c r="DT26" s="5" t="str">
        <f t="shared" si="183"/>
        <v/>
      </c>
      <c r="DU26" s="5" t="str">
        <f t="shared" si="184"/>
        <v/>
      </c>
      <c r="DV26" s="5" t="str">
        <f t="shared" si="185"/>
        <v/>
      </c>
      <c r="DW26" s="5" t="str">
        <f t="shared" si="186"/>
        <v/>
      </c>
      <c r="DX26" s="167" t="str">
        <f t="shared" si="187"/>
        <v/>
      </c>
      <c r="DY26" s="9" t="str">
        <f t="shared" si="188"/>
        <v/>
      </c>
      <c r="DZ26" s="5" t="str">
        <f t="shared" si="189"/>
        <v/>
      </c>
      <c r="EA26" s="10" t="str">
        <f t="shared" si="190"/>
        <v/>
      </c>
      <c r="EB26" s="6" t="str">
        <f t="shared" si="191"/>
        <v/>
      </c>
      <c r="EC26" s="173" t="str">
        <f t="shared" si="192"/>
        <v/>
      </c>
      <c r="ED26" s="5" t="str">
        <f t="shared" si="193"/>
        <v/>
      </c>
      <c r="EE26" s="4" t="str">
        <f t="shared" si="194"/>
        <v/>
      </c>
      <c r="EF26" s="5" t="str">
        <f t="shared" si="195"/>
        <v/>
      </c>
      <c r="EG26" s="10" t="str">
        <f t="shared" si="196"/>
        <v/>
      </c>
      <c r="EH26" s="9" t="str">
        <f t="shared" si="197"/>
        <v/>
      </c>
      <c r="EI26" s="5" t="str">
        <f t="shared" si="198"/>
        <v/>
      </c>
      <c r="EJ26" s="6" t="str">
        <f t="shared" si="199"/>
        <v/>
      </c>
      <c r="EK26" s="236" t="str">
        <f t="shared" si="200"/>
        <v/>
      </c>
      <c r="EL26" s="238" t="str">
        <f t="shared" si="201"/>
        <v/>
      </c>
      <c r="EM26" s="4" t="str">
        <f t="shared" si="202"/>
        <v/>
      </c>
      <c r="EN26" s="5" t="str">
        <f t="shared" si="203"/>
        <v/>
      </c>
      <c r="EO26" s="10" t="str">
        <f t="shared" si="204"/>
        <v/>
      </c>
      <c r="EP26" s="9" t="str">
        <f t="shared" si="205"/>
        <v/>
      </c>
      <c r="EQ26" s="5" t="str">
        <f t="shared" si="206"/>
        <v/>
      </c>
      <c r="ER26" s="7" t="str">
        <f t="shared" si="207"/>
        <v/>
      </c>
      <c r="ES26" s="21" t="str">
        <f t="shared" si="132"/>
        <v/>
      </c>
      <c r="ET26" s="5" t="str">
        <f t="shared" si="44"/>
        <v/>
      </c>
      <c r="EU26" s="10" t="str">
        <f t="shared" si="45"/>
        <v/>
      </c>
      <c r="EV26" s="174" t="str">
        <f t="shared" si="254"/>
        <v/>
      </c>
      <c r="EW26" s="9" t="str">
        <f t="shared" si="133"/>
        <v/>
      </c>
      <c r="EX26" s="5" t="str">
        <f t="shared" si="47"/>
        <v/>
      </c>
      <c r="EY26" s="6" t="str">
        <f t="shared" si="208"/>
        <v/>
      </c>
      <c r="EZ26" s="51" t="str">
        <f t="shared" si="209"/>
        <v/>
      </c>
      <c r="FA26" s="266" t="str">
        <f t="shared" si="134"/>
        <v/>
      </c>
      <c r="FB26" s="267" t="str">
        <f t="shared" si="135"/>
        <v/>
      </c>
      <c r="FC26" s="269" t="str">
        <f t="shared" si="48"/>
        <v/>
      </c>
      <c r="FD26" s="4" t="str">
        <f t="shared" si="136"/>
        <v/>
      </c>
      <c r="FE26" s="5" t="str">
        <f t="shared" si="49"/>
        <v/>
      </c>
      <c r="FF26" s="7" t="str">
        <f t="shared" si="210"/>
        <v/>
      </c>
      <c r="FG26" s="173" t="str">
        <f t="shared" si="211"/>
        <v/>
      </c>
      <c r="FH26" s="5" t="str">
        <f t="shared" si="50"/>
        <v/>
      </c>
      <c r="FI26" s="10" t="str">
        <f t="shared" si="51"/>
        <v/>
      </c>
      <c r="FJ26" s="279" t="str">
        <f t="shared" si="212"/>
        <v/>
      </c>
      <c r="FK26" s="4" t="str">
        <f t="shared" si="52"/>
        <v/>
      </c>
      <c r="FL26" s="5" t="str">
        <f t="shared" si="213"/>
        <v/>
      </c>
      <c r="FM26" s="8" t="str">
        <f t="shared" si="214"/>
        <v/>
      </c>
      <c r="FN26" s="9" t="str">
        <f t="shared" si="215"/>
        <v/>
      </c>
      <c r="FO26" s="10" t="str">
        <f t="shared" si="53"/>
        <v/>
      </c>
      <c r="FP26" s="277" t="str">
        <f t="shared" si="54"/>
        <v/>
      </c>
      <c r="FQ26" s="173" t="str">
        <f t="shared" si="243"/>
        <v/>
      </c>
      <c r="FR26" s="10" t="str">
        <f t="shared" si="216"/>
        <v/>
      </c>
      <c r="FS26" s="9" t="str">
        <f>IF(ISNUMBER($AV26),FQ26/(FQ26+FR26),"")</f>
        <v/>
      </c>
      <c r="FT26" s="6" t="str">
        <f t="shared" si="218"/>
        <v/>
      </c>
      <c r="FU26" s="4" t="str">
        <f t="shared" si="219"/>
        <v/>
      </c>
      <c r="FV26" s="5" t="str">
        <f t="shared" si="220"/>
        <v/>
      </c>
      <c r="FW26" s="8" t="str">
        <f t="shared" si="244"/>
        <v/>
      </c>
      <c r="FX26" s="9" t="str">
        <f t="shared" si="245"/>
        <v/>
      </c>
      <c r="FY26" s="10" t="str">
        <f t="shared" si="55"/>
        <v/>
      </c>
      <c r="FZ26" s="277" t="str">
        <f t="shared" si="246"/>
        <v/>
      </c>
      <c r="GA26" s="177" t="str">
        <f t="shared" si="221"/>
        <v/>
      </c>
      <c r="GB26" s="4" t="str">
        <f t="shared" si="222"/>
        <v/>
      </c>
      <c r="GC26" s="5" t="str">
        <f t="shared" si="223"/>
        <v/>
      </c>
      <c r="GD26" s="10" t="str">
        <f t="shared" si="224"/>
        <v/>
      </c>
      <c r="GE26" s="311" t="str">
        <f t="shared" si="225"/>
        <v/>
      </c>
      <c r="GF26" s="341" t="str">
        <f>IF(ISNUMBER($AV26),1/GE26,"")</f>
        <v/>
      </c>
      <c r="GG26" s="285" t="str">
        <f t="shared" si="56"/>
        <v/>
      </c>
      <c r="GH26" s="286" t="str">
        <f t="shared" si="57"/>
        <v/>
      </c>
      <c r="GI26" s="281" t="str">
        <f t="shared" si="58"/>
        <v/>
      </c>
      <c r="GJ26" s="167" t="str">
        <f t="shared" si="226"/>
        <v/>
      </c>
      <c r="GK26" s="174" t="str">
        <f t="shared" si="59"/>
        <v/>
      </c>
      <c r="GL26" s="174" t="str">
        <f t="shared" si="227"/>
        <v/>
      </c>
      <c r="GM26" s="177" t="str">
        <f t="shared" si="248"/>
        <v/>
      </c>
      <c r="GN26" s="280" t="str">
        <f t="shared" si="228"/>
        <v/>
      </c>
      <c r="GO26" s="4" t="str">
        <f t="shared" si="229"/>
        <v/>
      </c>
      <c r="GP26" s="8" t="str">
        <f t="shared" si="249"/>
        <v/>
      </c>
      <c r="GQ26" s="177" t="str">
        <f t="shared" si="230"/>
        <v/>
      </c>
      <c r="GR26" s="371" t="str">
        <f t="shared" si="250"/>
        <v/>
      </c>
      <c r="GS26" s="342" t="str">
        <f t="shared" si="61"/>
        <v/>
      </c>
      <c r="GT26" s="343" t="str">
        <f t="shared" si="62"/>
        <v/>
      </c>
      <c r="GU26" s="344" t="str">
        <f t="shared" si="63"/>
        <v/>
      </c>
      <c r="GV26" s="343" t="str">
        <f t="shared" si="252"/>
        <v/>
      </c>
      <c r="GW26" s="345" t="str">
        <f t="shared" si="64"/>
        <v/>
      </c>
      <c r="GX26" s="346" t="str">
        <f t="shared" si="65"/>
        <v/>
      </c>
      <c r="GY26" s="344" t="str">
        <f t="shared" si="66"/>
        <v/>
      </c>
      <c r="GZ26" s="345" t="str">
        <f t="shared" si="67"/>
        <v/>
      </c>
      <c r="HA26" s="342" t="str">
        <f t="shared" si="68"/>
        <v/>
      </c>
      <c r="HB26" s="5" t="str">
        <f t="shared" si="231"/>
        <v/>
      </c>
      <c r="HC26" s="343" t="str">
        <f t="shared" si="232"/>
        <v/>
      </c>
      <c r="HD26" s="363" t="str">
        <f t="shared" si="233"/>
        <v/>
      </c>
      <c r="HE26" s="344" t="str">
        <f t="shared" si="69"/>
        <v/>
      </c>
      <c r="HF26" s="5" t="str">
        <f t="shared" si="70"/>
        <v/>
      </c>
      <c r="HG26" s="343" t="str">
        <f t="shared" si="234"/>
        <v/>
      </c>
      <c r="HH26" s="349" t="str">
        <f t="shared" si="235"/>
        <v/>
      </c>
      <c r="HI26" s="317" t="str">
        <f t="shared" si="71"/>
        <v/>
      </c>
      <c r="HJ26" s="336"/>
      <c r="HK26" s="310" t="str">
        <f t="shared" si="137"/>
        <v/>
      </c>
      <c r="HL26" s="348" t="str">
        <f t="shared" si="72"/>
        <v/>
      </c>
      <c r="HM26" s="909" t="str">
        <f t="shared" si="138"/>
        <v/>
      </c>
      <c r="HN26" s="910" t="str">
        <f t="shared" si="73"/>
        <v/>
      </c>
      <c r="HO26" s="911"/>
      <c r="HP26" s="912"/>
      <c r="HQ26" s="910" t="str">
        <f t="shared" si="74"/>
        <v/>
      </c>
      <c r="HR26" s="913" t="str">
        <f t="shared" si="75"/>
        <v/>
      </c>
      <c r="HS26" s="865" t="str">
        <f t="shared" si="251"/>
        <v/>
      </c>
      <c r="HT26" s="875" t="str">
        <f t="shared" si="76"/>
        <v/>
      </c>
      <c r="HU26" s="876" t="str">
        <f t="shared" si="77"/>
        <v/>
      </c>
      <c r="HV26" s="872" t="str">
        <f t="shared" si="78"/>
        <v/>
      </c>
      <c r="HW26" s="866" t="str">
        <f t="shared" si="79"/>
        <v/>
      </c>
      <c r="HX26" s="867" t="str">
        <f t="shared" si="80"/>
        <v/>
      </c>
      <c r="HY26" s="866" t="str">
        <f t="shared" si="81"/>
        <v/>
      </c>
      <c r="HZ26" s="868" t="str">
        <f t="shared" si="82"/>
        <v/>
      </c>
      <c r="IA26" s="869" t="str">
        <f t="shared" si="83"/>
        <v/>
      </c>
      <c r="IB26" s="870" t="str">
        <f t="shared" si="84"/>
        <v/>
      </c>
      <c r="IC26" s="841" t="str">
        <f t="shared" si="85"/>
        <v/>
      </c>
      <c r="ID26" s="351" t="str">
        <f t="shared" si="86"/>
        <v/>
      </c>
      <c r="IE26" s="843" t="str">
        <f t="shared" si="87"/>
        <v/>
      </c>
      <c r="IF26" s="844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3.1179999999999999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8"/>
        <v>1313</v>
      </c>
      <c r="IM26" s="482" t="str">
        <f t="shared" si="237"/>
        <v/>
      </c>
      <c r="IN26" s="670" t="str">
        <f t="shared" si="90"/>
        <v/>
      </c>
      <c r="IO26" s="702"/>
      <c r="IP26" s="5" t="str">
        <f t="shared" si="91"/>
        <v/>
      </c>
      <c r="IQ26" s="714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70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705" t="str">
        <f t="shared" si="10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0.02</v>
      </c>
      <c r="B27" s="578">
        <f t="shared" si="2"/>
        <v>-5.2678635657588922E-3</v>
      </c>
      <c r="C27" s="572">
        <f t="shared" si="3"/>
        <v>-2.550482542869831</v>
      </c>
      <c r="D27" s="576">
        <f t="shared" si="4"/>
        <v>-0.16962603379131716</v>
      </c>
      <c r="E27" s="580">
        <f t="shared" si="5"/>
        <v>0.96339317828794302</v>
      </c>
      <c r="F27" s="572">
        <f t="shared" si="6"/>
        <v>-0.1058728565084552</v>
      </c>
      <c r="G27" s="579">
        <f t="shared" si="7"/>
        <v>0.24630168956585693</v>
      </c>
      <c r="H27" s="580">
        <f t="shared" si="8"/>
        <v>0.3125</v>
      </c>
      <c r="I27" s="572">
        <f t="shared" si="9"/>
        <v>0.52</v>
      </c>
      <c r="J27" s="483">
        <f t="shared" si="10"/>
        <v>4.1100000000000003</v>
      </c>
      <c r="K27" s="806">
        <f t="shared" si="11"/>
        <v>1613</v>
      </c>
      <c r="L27" s="309"/>
      <c r="M27" s="164">
        <f t="shared" si="12"/>
        <v>4.1100000000000003</v>
      </c>
      <c r="N27" s="575">
        <f t="shared" si="13"/>
        <v>-5.2678635657588922E-3</v>
      </c>
      <c r="O27" s="572">
        <f t="shared" si="14"/>
        <v>-2.550482542869831</v>
      </c>
      <c r="P27" s="576">
        <f t="shared" si="15"/>
        <v>-0.16962603379131716</v>
      </c>
      <c r="Q27" s="528">
        <f t="shared" si="140"/>
        <v>269.88165928795979</v>
      </c>
      <c r="R27" s="572">
        <f t="shared" si="101"/>
        <v>2.5504879830868261</v>
      </c>
      <c r="S27" s="577">
        <f t="shared" si="102"/>
        <v>-0.16962603379131716</v>
      </c>
      <c r="T27" s="578">
        <f t="shared" si="103"/>
        <v>-2.5504879830868261</v>
      </c>
      <c r="U27" s="572">
        <f t="shared" si="104"/>
        <v>3.1247264117418277E-16</v>
      </c>
      <c r="V27" s="579">
        <f t="shared" si="141"/>
        <v>-0.16962603379131716</v>
      </c>
      <c r="W27" s="528">
        <f t="shared" si="253"/>
        <v>180</v>
      </c>
      <c r="X27" s="572">
        <f t="shared" si="105"/>
        <v>2.5504879830868261</v>
      </c>
      <c r="Y27" s="573">
        <f t="shared" si="255"/>
        <v>-0.16962603379131716</v>
      </c>
      <c r="Z27" s="575">
        <f t="shared" si="18"/>
        <v>-0.96339317828794302</v>
      </c>
      <c r="AA27" s="572">
        <f t="shared" si="19"/>
        <v>0.1058728565084552</v>
      </c>
      <c r="AB27" s="572">
        <f t="shared" si="20"/>
        <v>-0.24630168956585693</v>
      </c>
      <c r="AC27" s="579">
        <f t="shared" si="106"/>
        <v>1</v>
      </c>
      <c r="AD27" s="580">
        <f t="shared" si="142"/>
        <v>-0.96339317828794302</v>
      </c>
      <c r="AE27" s="572">
        <f t="shared" si="107"/>
        <v>0.1058728565084552</v>
      </c>
      <c r="AF27" s="576">
        <f t="shared" si="108"/>
        <v>-0.24630168956585693</v>
      </c>
      <c r="AG27" s="545">
        <f t="shared" si="109"/>
        <v>23.260465947550284</v>
      </c>
      <c r="AH27" s="546">
        <f t="shared" si="110"/>
        <v>164.44920953947931</v>
      </c>
      <c r="AI27" s="528">
        <f t="shared" si="111"/>
        <v>-75.741227414934698</v>
      </c>
      <c r="AJ27" s="529">
        <f t="shared" si="112"/>
        <v>-96.27139913587871</v>
      </c>
      <c r="AK27" s="578">
        <f t="shared" si="238"/>
        <v>0.96360979671513269</v>
      </c>
      <c r="AL27" s="572">
        <f t="shared" si="113"/>
        <v>-0.1038828060442398</v>
      </c>
      <c r="AM27" s="577">
        <f t="shared" si="114"/>
        <v>-0.24630168956585693</v>
      </c>
      <c r="AN27" s="524">
        <f t="shared" si="115"/>
        <v>-22.868586026272375</v>
      </c>
      <c r="AO27" s="525">
        <f t="shared" si="116"/>
        <v>15.504428125270769</v>
      </c>
      <c r="AP27" s="528">
        <f t="shared" si="117"/>
        <v>-6.1530584238384929</v>
      </c>
      <c r="AQ27" s="529">
        <f t="shared" si="21"/>
        <v>0.89376689174945156</v>
      </c>
      <c r="AS27" s="932">
        <f t="shared" si="143"/>
        <v>-180</v>
      </c>
      <c r="AT27" s="928">
        <f t="shared" si="22"/>
        <v>-4.3148983453301953E-2</v>
      </c>
      <c r="AU27" s="418"/>
      <c r="AV27" s="164" t="str">
        <f t="shared" si="23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4"/>
        <v/>
      </c>
      <c r="BA27" s="296" t="str">
        <f t="shared" si="24"/>
        <v/>
      </c>
      <c r="BB27" s="190" t="str">
        <f t="shared" si="145"/>
        <v/>
      </c>
      <c r="BC27" s="9"/>
      <c r="BD27" s="5" t="str">
        <f t="shared" si="146"/>
        <v/>
      </c>
      <c r="BE27" s="6" t="str">
        <f t="shared" si="25"/>
        <v/>
      </c>
      <c r="BF27" s="4" t="str">
        <f t="shared" si="26"/>
        <v/>
      </c>
      <c r="BG27" s="5" t="str">
        <f t="shared" si="27"/>
        <v/>
      </c>
      <c r="BH27" s="10" t="str">
        <f t="shared" si="28"/>
        <v/>
      </c>
      <c r="BI27" s="9" t="str">
        <f>IF(ISNUMBER($AV27),BF27+0,"")</f>
        <v/>
      </c>
      <c r="BJ27" s="5" t="str">
        <f t="shared" si="29"/>
        <v/>
      </c>
      <c r="BK27" s="8" t="str">
        <f t="shared" si="30"/>
        <v/>
      </c>
      <c r="BL27" s="173" t="str">
        <f t="shared" si="31"/>
        <v/>
      </c>
      <c r="BM27" s="5" t="str">
        <f t="shared" si="32"/>
        <v/>
      </c>
      <c r="BN27" s="6" t="str">
        <f t="shared" si="33"/>
        <v/>
      </c>
      <c r="BO27" s="4" t="str">
        <f t="shared" si="148"/>
        <v/>
      </c>
      <c r="BP27" s="5" t="str">
        <f t="shared" si="239"/>
        <v/>
      </c>
      <c r="BQ27" s="5" t="str">
        <f t="shared" si="149"/>
        <v/>
      </c>
      <c r="BR27" s="6" t="str">
        <f t="shared" si="150"/>
        <v/>
      </c>
      <c r="BS27" s="4" t="str">
        <f t="shared" si="118"/>
        <v/>
      </c>
      <c r="BT27" s="5" t="str">
        <f t="shared" si="118"/>
        <v/>
      </c>
      <c r="BU27" s="10" t="str">
        <f t="shared" si="119"/>
        <v/>
      </c>
      <c r="BV27" s="9" t="str">
        <f t="shared" si="120"/>
        <v/>
      </c>
      <c r="BW27" s="5" t="str">
        <f t="shared" si="121"/>
        <v/>
      </c>
      <c r="BX27" s="8" t="str">
        <f t="shared" si="122"/>
        <v/>
      </c>
      <c r="BY27" s="173" t="str">
        <f t="shared" si="123"/>
        <v/>
      </c>
      <c r="BZ27" s="5" t="str">
        <f t="shared" si="124"/>
        <v/>
      </c>
      <c r="CA27" s="6" t="str">
        <f t="shared" si="125"/>
        <v/>
      </c>
      <c r="CB27" s="4" t="str">
        <f t="shared" si="151"/>
        <v/>
      </c>
      <c r="CC27" s="5" t="str">
        <f t="shared" si="152"/>
        <v/>
      </c>
      <c r="CD27" s="5" t="str">
        <f t="shared" si="153"/>
        <v/>
      </c>
      <c r="CE27" s="6" t="str">
        <f t="shared" si="154"/>
        <v/>
      </c>
      <c r="CF27" s="4" t="str">
        <f t="shared" si="155"/>
        <v/>
      </c>
      <c r="CG27" s="5" t="str">
        <f t="shared" si="156"/>
        <v/>
      </c>
      <c r="CH27" s="5" t="str">
        <f t="shared" si="157"/>
        <v/>
      </c>
      <c r="CI27" s="4" t="str">
        <f t="shared" si="126"/>
        <v/>
      </c>
      <c r="CJ27" s="5" t="str">
        <f t="shared" si="127"/>
        <v/>
      </c>
      <c r="CK27" s="8" t="str">
        <f t="shared" si="128"/>
        <v/>
      </c>
      <c r="CL27" s="173" t="str">
        <f t="shared" si="129"/>
        <v/>
      </c>
      <c r="CM27" s="5" t="str">
        <f t="shared" si="130"/>
        <v/>
      </c>
      <c r="CN27" s="6" t="str">
        <f t="shared" si="131"/>
        <v/>
      </c>
      <c r="CO27" s="167" t="str">
        <f t="shared" si="35"/>
        <v/>
      </c>
      <c r="CP27" s="4" t="str">
        <f t="shared" si="240"/>
        <v/>
      </c>
      <c r="CQ27" s="5" t="str">
        <f t="shared" si="241"/>
        <v/>
      </c>
      <c r="CR27" s="5" t="str">
        <f t="shared" si="158"/>
        <v/>
      </c>
      <c r="CS27" s="8" t="str">
        <f>IF(ISNUMBER($AV27),CQ27^2-(4*CP27*CR27),"")</f>
        <v/>
      </c>
      <c r="CT27" s="9" t="str">
        <f t="shared" si="160"/>
        <v/>
      </c>
      <c r="CU27" s="6" t="str">
        <f t="shared" si="161"/>
        <v/>
      </c>
      <c r="CV27" s="4" t="str">
        <f t="shared" si="242"/>
        <v/>
      </c>
      <c r="CW27" s="5" t="str">
        <f t="shared" si="162"/>
        <v/>
      </c>
      <c r="CX27" s="8" t="str">
        <f t="shared" si="163"/>
        <v/>
      </c>
      <c r="CY27" s="9" t="str">
        <f t="shared" si="164"/>
        <v/>
      </c>
      <c r="CZ27" s="5" t="str">
        <f t="shared" si="165"/>
        <v/>
      </c>
      <c r="DA27" s="6" t="str">
        <f t="shared" si="166"/>
        <v/>
      </c>
      <c r="DB27" s="4" t="str">
        <f t="shared" si="167"/>
        <v/>
      </c>
      <c r="DC27" s="5" t="str">
        <f t="shared" si="167"/>
        <v/>
      </c>
      <c r="DD27" s="10" t="str">
        <f t="shared" si="168"/>
        <v/>
      </c>
      <c r="DE27" s="9" t="str">
        <f t="shared" si="169"/>
        <v/>
      </c>
      <c r="DF27" s="5" t="str">
        <f t="shared" si="169"/>
        <v/>
      </c>
      <c r="DG27" s="10" t="str">
        <f t="shared" si="170"/>
        <v/>
      </c>
      <c r="DH27" s="70" t="str">
        <f t="shared" si="171"/>
        <v/>
      </c>
      <c r="DI27" s="4" t="str">
        <f t="shared" si="172"/>
        <v/>
      </c>
      <c r="DJ27" s="5" t="str">
        <f t="shared" si="173"/>
        <v/>
      </c>
      <c r="DK27" s="10" t="str">
        <f t="shared" si="174"/>
        <v/>
      </c>
      <c r="DL27" s="9" t="str">
        <f t="shared" si="175"/>
        <v/>
      </c>
      <c r="DM27" s="173" t="str">
        <f t="shared" si="176"/>
        <v/>
      </c>
      <c r="DN27" s="178" t="str">
        <f t="shared" si="177"/>
        <v/>
      </c>
      <c r="DO27" s="9" t="str">
        <f t="shared" si="178"/>
        <v/>
      </c>
      <c r="DP27" s="173" t="str">
        <f t="shared" si="179"/>
        <v/>
      </c>
      <c r="DQ27" s="11" t="str">
        <f t="shared" si="180"/>
        <v/>
      </c>
      <c r="DR27" s="173" t="str">
        <f t="shared" si="181"/>
        <v/>
      </c>
      <c r="DS27" s="5" t="str">
        <f t="shared" si="182"/>
        <v/>
      </c>
      <c r="DT27" s="5" t="str">
        <f t="shared" si="183"/>
        <v/>
      </c>
      <c r="DU27" s="5" t="str">
        <f t="shared" si="184"/>
        <v/>
      </c>
      <c r="DV27" s="5" t="str">
        <f t="shared" si="185"/>
        <v/>
      </c>
      <c r="DW27" s="5" t="str">
        <f t="shared" si="186"/>
        <v/>
      </c>
      <c r="DX27" s="167" t="str">
        <f t="shared" si="187"/>
        <v/>
      </c>
      <c r="DY27" s="9" t="str">
        <f t="shared" si="188"/>
        <v/>
      </c>
      <c r="DZ27" s="5" t="str">
        <f t="shared" si="189"/>
        <v/>
      </c>
      <c r="EA27" s="10" t="str">
        <f t="shared" si="190"/>
        <v/>
      </c>
      <c r="EB27" s="6" t="str">
        <f t="shared" si="191"/>
        <v/>
      </c>
      <c r="EC27" s="173" t="str">
        <f t="shared" si="192"/>
        <v/>
      </c>
      <c r="ED27" s="5" t="str">
        <f t="shared" si="193"/>
        <v/>
      </c>
      <c r="EE27" s="4" t="str">
        <f t="shared" si="194"/>
        <v/>
      </c>
      <c r="EF27" s="5" t="str">
        <f t="shared" si="195"/>
        <v/>
      </c>
      <c r="EG27" s="10" t="str">
        <f t="shared" si="196"/>
        <v/>
      </c>
      <c r="EH27" s="9" t="str">
        <f t="shared" si="197"/>
        <v/>
      </c>
      <c r="EI27" s="5" t="str">
        <f t="shared" si="198"/>
        <v/>
      </c>
      <c r="EJ27" s="6" t="str">
        <f t="shared" si="199"/>
        <v/>
      </c>
      <c r="EK27" s="236" t="str">
        <f t="shared" si="200"/>
        <v/>
      </c>
      <c r="EL27" s="238" t="str">
        <f t="shared" si="201"/>
        <v/>
      </c>
      <c r="EM27" s="4" t="str">
        <f t="shared" si="202"/>
        <v/>
      </c>
      <c r="EN27" s="5" t="str">
        <f t="shared" si="203"/>
        <v/>
      </c>
      <c r="EO27" s="10" t="str">
        <f t="shared" si="204"/>
        <v/>
      </c>
      <c r="EP27" s="9" t="str">
        <f t="shared" si="205"/>
        <v/>
      </c>
      <c r="EQ27" s="5" t="str">
        <f t="shared" si="206"/>
        <v/>
      </c>
      <c r="ER27" s="7" t="str">
        <f t="shared" si="207"/>
        <v/>
      </c>
      <c r="ES27" s="21" t="str">
        <f t="shared" si="132"/>
        <v/>
      </c>
      <c r="ET27" s="5" t="str">
        <f t="shared" si="44"/>
        <v/>
      </c>
      <c r="EU27" s="10" t="str">
        <f t="shared" si="45"/>
        <v/>
      </c>
      <c r="EV27" s="174" t="str">
        <f t="shared" si="254"/>
        <v/>
      </c>
      <c r="EW27" s="9" t="str">
        <f t="shared" si="133"/>
        <v/>
      </c>
      <c r="EX27" s="5" t="str">
        <f t="shared" si="47"/>
        <v/>
      </c>
      <c r="EY27" s="6" t="str">
        <f t="shared" si="208"/>
        <v/>
      </c>
      <c r="EZ27" s="51" t="str">
        <f t="shared" si="209"/>
        <v/>
      </c>
      <c r="FA27" s="266" t="str">
        <f t="shared" si="134"/>
        <v/>
      </c>
      <c r="FB27" s="267" t="str">
        <f t="shared" si="135"/>
        <v/>
      </c>
      <c r="FC27" s="269" t="str">
        <f t="shared" si="48"/>
        <v/>
      </c>
      <c r="FD27" s="4" t="str">
        <f t="shared" si="136"/>
        <v/>
      </c>
      <c r="FE27" s="5" t="str">
        <f t="shared" si="49"/>
        <v/>
      </c>
      <c r="FF27" s="7" t="str">
        <f t="shared" si="210"/>
        <v/>
      </c>
      <c r="FG27" s="173" t="str">
        <f t="shared" si="211"/>
        <v/>
      </c>
      <c r="FH27" s="5" t="str">
        <f t="shared" si="50"/>
        <v/>
      </c>
      <c r="FI27" s="10" t="str">
        <f t="shared" si="51"/>
        <v/>
      </c>
      <c r="FJ27" s="279" t="str">
        <f t="shared" si="212"/>
        <v/>
      </c>
      <c r="FK27" s="4" t="str">
        <f t="shared" si="52"/>
        <v/>
      </c>
      <c r="FL27" s="5" t="str">
        <f t="shared" si="213"/>
        <v/>
      </c>
      <c r="FM27" s="8" t="str">
        <f t="shared" si="214"/>
        <v/>
      </c>
      <c r="FN27" s="9" t="str">
        <f t="shared" si="215"/>
        <v/>
      </c>
      <c r="FO27" s="10" t="str">
        <f t="shared" si="53"/>
        <v/>
      </c>
      <c r="FP27" s="277" t="str">
        <f t="shared" si="54"/>
        <v/>
      </c>
      <c r="FQ27" s="173" t="str">
        <f t="shared" si="243"/>
        <v/>
      </c>
      <c r="FR27" s="10" t="str">
        <f t="shared" si="216"/>
        <v/>
      </c>
      <c r="FS27" s="9" t="str">
        <f t="shared" si="217"/>
        <v/>
      </c>
      <c r="FT27" s="6" t="str">
        <f t="shared" si="218"/>
        <v/>
      </c>
      <c r="FU27" s="4" t="str">
        <f t="shared" si="219"/>
        <v/>
      </c>
      <c r="FV27" s="5" t="str">
        <f t="shared" si="220"/>
        <v/>
      </c>
      <c r="FW27" s="8" t="str">
        <f t="shared" si="244"/>
        <v/>
      </c>
      <c r="FX27" s="9" t="str">
        <f t="shared" si="245"/>
        <v/>
      </c>
      <c r="FY27" s="10" t="str">
        <f t="shared" si="55"/>
        <v/>
      </c>
      <c r="FZ27" s="277" t="str">
        <f t="shared" si="246"/>
        <v/>
      </c>
      <c r="GA27" s="177" t="str">
        <f t="shared" si="221"/>
        <v/>
      </c>
      <c r="GB27" s="4" t="str">
        <f t="shared" si="222"/>
        <v/>
      </c>
      <c r="GC27" s="5" t="str">
        <f t="shared" si="223"/>
        <v/>
      </c>
      <c r="GD27" s="10" t="str">
        <f t="shared" si="224"/>
        <v/>
      </c>
      <c r="GE27" s="311" t="str">
        <f t="shared" si="225"/>
        <v/>
      </c>
      <c r="GF27" s="341" t="str">
        <f t="shared" si="247"/>
        <v/>
      </c>
      <c r="GG27" s="285" t="str">
        <f t="shared" si="56"/>
        <v/>
      </c>
      <c r="GH27" s="286" t="str">
        <f t="shared" si="57"/>
        <v/>
      </c>
      <c r="GI27" s="281" t="str">
        <f t="shared" si="58"/>
        <v/>
      </c>
      <c r="GJ27" s="167" t="str">
        <f t="shared" si="226"/>
        <v/>
      </c>
      <c r="GK27" s="174" t="str">
        <f t="shared" si="59"/>
        <v/>
      </c>
      <c r="GL27" s="174" t="str">
        <f t="shared" si="227"/>
        <v/>
      </c>
      <c r="GM27" s="177" t="str">
        <f t="shared" si="248"/>
        <v/>
      </c>
      <c r="GN27" s="280" t="str">
        <f t="shared" si="228"/>
        <v/>
      </c>
      <c r="GO27" s="4" t="str">
        <f t="shared" si="229"/>
        <v/>
      </c>
      <c r="GP27" s="8" t="str">
        <f t="shared" si="249"/>
        <v/>
      </c>
      <c r="GQ27" s="177" t="str">
        <f t="shared" si="230"/>
        <v/>
      </c>
      <c r="GR27" s="371" t="str">
        <f t="shared" si="250"/>
        <v/>
      </c>
      <c r="GS27" s="342" t="str">
        <f t="shared" si="61"/>
        <v/>
      </c>
      <c r="GT27" s="343" t="str">
        <f t="shared" si="62"/>
        <v/>
      </c>
      <c r="GU27" s="344" t="str">
        <f t="shared" si="63"/>
        <v/>
      </c>
      <c r="GV27" s="343" t="str">
        <f t="shared" si="252"/>
        <v/>
      </c>
      <c r="GW27" s="345" t="str">
        <f t="shared" si="64"/>
        <v/>
      </c>
      <c r="GX27" s="346" t="str">
        <f t="shared" si="65"/>
        <v/>
      </c>
      <c r="GY27" s="344" t="str">
        <f t="shared" si="66"/>
        <v/>
      </c>
      <c r="GZ27" s="345" t="str">
        <f t="shared" si="67"/>
        <v/>
      </c>
      <c r="HA27" s="342" t="str">
        <f t="shared" si="68"/>
        <v/>
      </c>
      <c r="HB27" s="5" t="str">
        <f t="shared" si="231"/>
        <v/>
      </c>
      <c r="HC27" s="343" t="str">
        <f t="shared" si="232"/>
        <v/>
      </c>
      <c r="HD27" s="363" t="str">
        <f t="shared" si="233"/>
        <v/>
      </c>
      <c r="HE27" s="344" t="str">
        <f t="shared" si="69"/>
        <v/>
      </c>
      <c r="HF27" s="5" t="str">
        <f t="shared" si="70"/>
        <v/>
      </c>
      <c r="HG27" s="343" t="str">
        <f t="shared" si="234"/>
        <v/>
      </c>
      <c r="HH27" s="349" t="str">
        <f t="shared" si="235"/>
        <v/>
      </c>
      <c r="HI27" s="317" t="str">
        <f t="shared" si="71"/>
        <v/>
      </c>
      <c r="HJ27" s="336"/>
      <c r="HK27" s="310" t="str">
        <f t="shared" si="137"/>
        <v/>
      </c>
      <c r="HL27" s="348" t="str">
        <f t="shared" si="72"/>
        <v/>
      </c>
      <c r="HM27" s="909" t="str">
        <f t="shared" si="138"/>
        <v/>
      </c>
      <c r="HN27" s="910" t="str">
        <f t="shared" si="73"/>
        <v/>
      </c>
      <c r="HO27" s="911"/>
      <c r="HP27" s="912"/>
      <c r="HQ27" s="910" t="str">
        <f t="shared" si="74"/>
        <v/>
      </c>
      <c r="HR27" s="913" t="str">
        <f t="shared" si="75"/>
        <v/>
      </c>
      <c r="HS27" s="865" t="str">
        <f t="shared" si="251"/>
        <v/>
      </c>
      <c r="HT27" s="875" t="str">
        <f t="shared" si="76"/>
        <v/>
      </c>
      <c r="HU27" s="876" t="str">
        <f t="shared" si="77"/>
        <v/>
      </c>
      <c r="HV27" s="872" t="str">
        <f t="shared" si="78"/>
        <v/>
      </c>
      <c r="HW27" s="866" t="str">
        <f t="shared" si="79"/>
        <v/>
      </c>
      <c r="HX27" s="867" t="str">
        <f t="shared" si="80"/>
        <v/>
      </c>
      <c r="HY27" s="866" t="str">
        <f t="shared" si="81"/>
        <v/>
      </c>
      <c r="HZ27" s="868" t="str">
        <f t="shared" si="82"/>
        <v/>
      </c>
      <c r="IA27" s="869" t="str">
        <f t="shared" si="83"/>
        <v/>
      </c>
      <c r="IB27" s="870" t="str">
        <f t="shared" si="84"/>
        <v/>
      </c>
      <c r="IC27" s="841" t="str">
        <f t="shared" si="85"/>
        <v/>
      </c>
      <c r="ID27" s="351" t="str">
        <f t="shared" si="86"/>
        <v/>
      </c>
      <c r="IE27" s="843" t="str">
        <f t="shared" si="87"/>
        <v/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4.1100000000000003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1613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si="2"/>
        <v>-5.2976158196081445E-2</v>
      </c>
      <c r="C28" s="572">
        <f t="shared" si="3"/>
        <v>-3.2322433768236682</v>
      </c>
      <c r="D28" s="576">
        <f t="shared" si="4"/>
        <v>-0.53575435361208923</v>
      </c>
      <c r="E28" s="580">
        <f t="shared" si="5"/>
        <v>0.95880790980406616</v>
      </c>
      <c r="F28" s="572">
        <f t="shared" si="6"/>
        <v>-0.23283115881656075</v>
      </c>
      <c r="G28" s="579">
        <f t="shared" si="7"/>
        <v>0.16271768060446049</v>
      </c>
      <c r="H28" s="580">
        <f t="shared" si="8"/>
        <v>0.3125</v>
      </c>
      <c r="I28" s="572">
        <f t="shared" si="9"/>
        <v>0.52</v>
      </c>
      <c r="J28" s="483">
        <f t="shared" si="10"/>
        <v>4.1130000000000004</v>
      </c>
      <c r="K28" s="806">
        <f t="shared" si="11"/>
        <v>1613</v>
      </c>
      <c r="L28" s="309"/>
      <c r="M28" s="164">
        <f t="shared" si="12"/>
        <v>4.1130000000000004</v>
      </c>
      <c r="N28" s="575">
        <f t="shared" si="13"/>
        <v>-5.2976158196081445E-2</v>
      </c>
      <c r="O28" s="572">
        <f t="shared" si="14"/>
        <v>-3.2322433768236682</v>
      </c>
      <c r="P28" s="576">
        <f t="shared" si="15"/>
        <v>-0.53575435361208923</v>
      </c>
      <c r="Q28" s="528">
        <f t="shared" si="140"/>
        <v>269.06101175602151</v>
      </c>
      <c r="R28" s="572">
        <f t="shared" si="101"/>
        <v>3.2326774847419726</v>
      </c>
      <c r="S28" s="577">
        <f t="shared" si="102"/>
        <v>-0.53575435361208923</v>
      </c>
      <c r="T28" s="578">
        <f t="shared" si="103"/>
        <v>-3.2323459011523448</v>
      </c>
      <c r="U28" s="572">
        <f t="shared" si="104"/>
        <v>4.6300061137344299E-2</v>
      </c>
      <c r="V28" s="579">
        <f t="shared" si="141"/>
        <v>-0.53575435361208923</v>
      </c>
      <c r="W28" s="528">
        <f t="shared" si="253"/>
        <v>179.17935246806172</v>
      </c>
      <c r="X28" s="572">
        <f t="shared" si="105"/>
        <v>3.2326774847419726</v>
      </c>
      <c r="Y28" s="573">
        <f t="shared" si="255"/>
        <v>-0.53575435361208923</v>
      </c>
      <c r="Z28" s="575">
        <f t="shared" si="18"/>
        <v>-0.95880790980406616</v>
      </c>
      <c r="AA28" s="572">
        <f t="shared" si="19"/>
        <v>0.23283115881656075</v>
      </c>
      <c r="AB28" s="572">
        <f t="shared" si="20"/>
        <v>-0.16271768060446049</v>
      </c>
      <c r="AC28" s="579">
        <f t="shared" si="106"/>
        <v>1</v>
      </c>
      <c r="AD28" s="580">
        <f t="shared" si="142"/>
        <v>-0.95880790980406616</v>
      </c>
      <c r="AE28" s="572">
        <f t="shared" si="107"/>
        <v>0.23283115881656075</v>
      </c>
      <c r="AF28" s="576">
        <f t="shared" si="108"/>
        <v>-0.16271768060446049</v>
      </c>
      <c r="AG28" s="545">
        <f t="shared" si="109"/>
        <v>55.051625893531373</v>
      </c>
      <c r="AH28" s="546">
        <f t="shared" si="110"/>
        <v>163.49761464065071</v>
      </c>
      <c r="AI28" s="528">
        <f t="shared" si="111"/>
        <v>-80.635324526297154</v>
      </c>
      <c r="AJ28" s="529">
        <f t="shared" si="112"/>
        <v>-103.64916692557686</v>
      </c>
      <c r="AK28" s="578">
        <f t="shared" si="238"/>
        <v>0.96249472182070495</v>
      </c>
      <c r="AL28" s="572">
        <f t="shared" si="113"/>
        <v>-0.21708723335559946</v>
      </c>
      <c r="AM28" s="577">
        <f t="shared" si="114"/>
        <v>-0.16271768060446049</v>
      </c>
      <c r="AN28" s="524">
        <f t="shared" si="115"/>
        <v>-53.146616424137292</v>
      </c>
      <c r="AO28" s="525">
        <f t="shared" si="116"/>
        <v>15.741663259343115</v>
      </c>
      <c r="AP28" s="528">
        <f t="shared" si="117"/>
        <v>-12.710178681598387</v>
      </c>
      <c r="AQ28" s="529">
        <f t="shared" si="21"/>
        <v>0.7051775290036294</v>
      </c>
      <c r="AS28" s="932">
        <f t="shared" si="143"/>
        <v>-180.82064753193828</v>
      </c>
      <c r="AT28" s="928">
        <f t="shared" si="22"/>
        <v>-0.40870740915467241</v>
      </c>
      <c r="AU28" s="418"/>
      <c r="AV28" s="164" t="str">
        <f t="shared" si="23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4"/>
        <v/>
      </c>
      <c r="BA28" s="296" t="str">
        <f t="shared" si="24"/>
        <v/>
      </c>
      <c r="BB28" s="190" t="str">
        <f t="shared" si="145"/>
        <v/>
      </c>
      <c r="BC28" s="9"/>
      <c r="BD28" s="5" t="str">
        <f t="shared" si="146"/>
        <v/>
      </c>
      <c r="BE28" s="6" t="str">
        <f t="shared" si="25"/>
        <v/>
      </c>
      <c r="BF28" s="4" t="str">
        <f t="shared" si="26"/>
        <v/>
      </c>
      <c r="BG28" s="5" t="str">
        <f t="shared" si="27"/>
        <v/>
      </c>
      <c r="BH28" s="10" t="str">
        <f t="shared" si="28"/>
        <v/>
      </c>
      <c r="BI28" s="9" t="str">
        <f t="shared" si="147"/>
        <v/>
      </c>
      <c r="BJ28" s="5" t="str">
        <f t="shared" si="29"/>
        <v/>
      </c>
      <c r="BK28" s="8" t="str">
        <f t="shared" si="30"/>
        <v/>
      </c>
      <c r="BL28" s="173" t="str">
        <f t="shared" si="31"/>
        <v/>
      </c>
      <c r="BM28" s="5" t="str">
        <f t="shared" si="32"/>
        <v/>
      </c>
      <c r="BN28" s="6" t="str">
        <f t="shared" si="33"/>
        <v/>
      </c>
      <c r="BO28" s="4" t="str">
        <f t="shared" si="148"/>
        <v/>
      </c>
      <c r="BP28" s="5" t="str">
        <f t="shared" si="239"/>
        <v/>
      </c>
      <c r="BQ28" s="5" t="str">
        <f t="shared" si="149"/>
        <v/>
      </c>
      <c r="BR28" s="6" t="str">
        <f t="shared" si="150"/>
        <v/>
      </c>
      <c r="BS28" s="4" t="str">
        <f t="shared" si="118"/>
        <v/>
      </c>
      <c r="BT28" s="5" t="str">
        <f t="shared" si="118"/>
        <v/>
      </c>
      <c r="BU28" s="10" t="str">
        <f t="shared" si="119"/>
        <v/>
      </c>
      <c r="BV28" s="9" t="str">
        <f t="shared" si="120"/>
        <v/>
      </c>
      <c r="BW28" s="5" t="str">
        <f t="shared" si="121"/>
        <v/>
      </c>
      <c r="BX28" s="8" t="str">
        <f t="shared" si="122"/>
        <v/>
      </c>
      <c r="BY28" s="173" t="str">
        <f t="shared" si="123"/>
        <v/>
      </c>
      <c r="BZ28" s="5" t="str">
        <f t="shared" si="124"/>
        <v/>
      </c>
      <c r="CA28" s="6" t="str">
        <f t="shared" si="125"/>
        <v/>
      </c>
      <c r="CB28" s="4" t="str">
        <f t="shared" si="151"/>
        <v/>
      </c>
      <c r="CC28" s="5" t="str">
        <f t="shared" si="152"/>
        <v/>
      </c>
      <c r="CD28" s="5" t="str">
        <f t="shared" si="153"/>
        <v/>
      </c>
      <c r="CE28" s="6" t="str">
        <f t="shared" si="154"/>
        <v/>
      </c>
      <c r="CF28" s="4" t="str">
        <f t="shared" si="155"/>
        <v/>
      </c>
      <c r="CG28" s="5" t="str">
        <f t="shared" si="156"/>
        <v/>
      </c>
      <c r="CH28" s="5" t="str">
        <f t="shared" si="157"/>
        <v/>
      </c>
      <c r="CI28" s="4" t="str">
        <f t="shared" si="126"/>
        <v/>
      </c>
      <c r="CJ28" s="5" t="str">
        <f t="shared" si="127"/>
        <v/>
      </c>
      <c r="CK28" s="8" t="str">
        <f t="shared" si="128"/>
        <v/>
      </c>
      <c r="CL28" s="173" t="str">
        <f t="shared" si="129"/>
        <v/>
      </c>
      <c r="CM28" s="5" t="str">
        <f t="shared" si="130"/>
        <v/>
      </c>
      <c r="CN28" s="6" t="str">
        <f t="shared" si="131"/>
        <v/>
      </c>
      <c r="CO28" s="167" t="str">
        <f t="shared" si="35"/>
        <v/>
      </c>
      <c r="CP28" s="4" t="str">
        <f t="shared" si="240"/>
        <v/>
      </c>
      <c r="CQ28" s="5" t="str">
        <f t="shared" si="241"/>
        <v/>
      </c>
      <c r="CR28" s="5" t="str">
        <f t="shared" si="158"/>
        <v/>
      </c>
      <c r="CS28" s="8" t="str">
        <f t="shared" si="159"/>
        <v/>
      </c>
      <c r="CT28" s="9" t="str">
        <f t="shared" si="160"/>
        <v/>
      </c>
      <c r="CU28" s="6" t="str">
        <f t="shared" si="161"/>
        <v/>
      </c>
      <c r="CV28" s="4" t="str">
        <f t="shared" si="242"/>
        <v/>
      </c>
      <c r="CW28" s="5" t="str">
        <f t="shared" si="162"/>
        <v/>
      </c>
      <c r="CX28" s="8" t="str">
        <f t="shared" si="163"/>
        <v/>
      </c>
      <c r="CY28" s="9" t="str">
        <f t="shared" si="164"/>
        <v/>
      </c>
      <c r="CZ28" s="5" t="str">
        <f t="shared" si="165"/>
        <v/>
      </c>
      <c r="DA28" s="6" t="str">
        <f t="shared" si="166"/>
        <v/>
      </c>
      <c r="DB28" s="4" t="str">
        <f t="shared" si="167"/>
        <v/>
      </c>
      <c r="DC28" s="5" t="str">
        <f t="shared" si="167"/>
        <v/>
      </c>
      <c r="DD28" s="10" t="str">
        <f t="shared" si="168"/>
        <v/>
      </c>
      <c r="DE28" s="9" t="str">
        <f t="shared" si="169"/>
        <v/>
      </c>
      <c r="DF28" s="5" t="str">
        <f t="shared" si="169"/>
        <v/>
      </c>
      <c r="DG28" s="10" t="str">
        <f t="shared" si="170"/>
        <v/>
      </c>
      <c r="DH28" s="70" t="str">
        <f t="shared" si="171"/>
        <v/>
      </c>
      <c r="DI28" s="4" t="str">
        <f t="shared" si="172"/>
        <v/>
      </c>
      <c r="DJ28" s="5" t="str">
        <f t="shared" si="173"/>
        <v/>
      </c>
      <c r="DK28" s="10" t="str">
        <f t="shared" si="174"/>
        <v/>
      </c>
      <c r="DL28" s="9" t="str">
        <f t="shared" si="175"/>
        <v/>
      </c>
      <c r="DM28" s="173" t="str">
        <f t="shared" si="176"/>
        <v/>
      </c>
      <c r="DN28" s="178" t="str">
        <f t="shared" si="177"/>
        <v/>
      </c>
      <c r="DO28" s="9" t="str">
        <f t="shared" si="178"/>
        <v/>
      </c>
      <c r="DP28" s="173" t="str">
        <f t="shared" si="179"/>
        <v/>
      </c>
      <c r="DQ28" s="11" t="str">
        <f t="shared" si="180"/>
        <v/>
      </c>
      <c r="DR28" s="173" t="str">
        <f t="shared" si="181"/>
        <v/>
      </c>
      <c r="DS28" s="5" t="str">
        <f t="shared" si="182"/>
        <v/>
      </c>
      <c r="DT28" s="5" t="str">
        <f t="shared" si="183"/>
        <v/>
      </c>
      <c r="DU28" s="5" t="str">
        <f t="shared" si="184"/>
        <v/>
      </c>
      <c r="DV28" s="5" t="str">
        <f t="shared" si="185"/>
        <v/>
      </c>
      <c r="DW28" s="5" t="str">
        <f t="shared" si="186"/>
        <v/>
      </c>
      <c r="DX28" s="167" t="str">
        <f t="shared" si="187"/>
        <v/>
      </c>
      <c r="DY28" s="9" t="str">
        <f t="shared" si="188"/>
        <v/>
      </c>
      <c r="DZ28" s="5" t="str">
        <f t="shared" si="189"/>
        <v/>
      </c>
      <c r="EA28" s="10" t="str">
        <f t="shared" si="190"/>
        <v/>
      </c>
      <c r="EB28" s="6" t="str">
        <f t="shared" si="191"/>
        <v/>
      </c>
      <c r="EC28" s="173" t="str">
        <f t="shared" si="192"/>
        <v/>
      </c>
      <c r="ED28" s="5" t="str">
        <f t="shared" si="193"/>
        <v/>
      </c>
      <c r="EE28" s="4" t="str">
        <f t="shared" si="194"/>
        <v/>
      </c>
      <c r="EF28" s="5" t="str">
        <f t="shared" si="195"/>
        <v/>
      </c>
      <c r="EG28" s="10" t="str">
        <f t="shared" si="196"/>
        <v/>
      </c>
      <c r="EH28" s="9" t="str">
        <f t="shared" si="197"/>
        <v/>
      </c>
      <c r="EI28" s="5" t="str">
        <f t="shared" si="198"/>
        <v/>
      </c>
      <c r="EJ28" s="6" t="str">
        <f t="shared" si="199"/>
        <v/>
      </c>
      <c r="EK28" s="236" t="str">
        <f t="shared" si="200"/>
        <v/>
      </c>
      <c r="EL28" s="238" t="str">
        <f t="shared" si="201"/>
        <v/>
      </c>
      <c r="EM28" s="4" t="str">
        <f t="shared" si="202"/>
        <v/>
      </c>
      <c r="EN28" s="5" t="str">
        <f t="shared" si="203"/>
        <v/>
      </c>
      <c r="EO28" s="10" t="str">
        <f t="shared" si="204"/>
        <v/>
      </c>
      <c r="EP28" s="9" t="str">
        <f t="shared" si="205"/>
        <v/>
      </c>
      <c r="EQ28" s="5" t="str">
        <f t="shared" si="206"/>
        <v/>
      </c>
      <c r="ER28" s="7" t="str">
        <f t="shared" si="207"/>
        <v/>
      </c>
      <c r="ES28" s="21" t="str">
        <f t="shared" si="132"/>
        <v/>
      </c>
      <c r="ET28" s="5" t="str">
        <f t="shared" si="44"/>
        <v/>
      </c>
      <c r="EU28" s="10" t="str">
        <f t="shared" si="45"/>
        <v/>
      </c>
      <c r="EV28" s="174" t="str">
        <f t="shared" si="254"/>
        <v/>
      </c>
      <c r="EW28" s="9" t="str">
        <f t="shared" si="133"/>
        <v/>
      </c>
      <c r="EX28" s="5" t="str">
        <f t="shared" si="47"/>
        <v/>
      </c>
      <c r="EY28" s="6" t="str">
        <f t="shared" si="208"/>
        <v/>
      </c>
      <c r="EZ28" s="51" t="str">
        <f t="shared" si="209"/>
        <v/>
      </c>
      <c r="FA28" s="266" t="str">
        <f t="shared" si="134"/>
        <v/>
      </c>
      <c r="FB28" s="267" t="str">
        <f t="shared" si="135"/>
        <v/>
      </c>
      <c r="FC28" s="269" t="str">
        <f t="shared" si="48"/>
        <v/>
      </c>
      <c r="FD28" s="4" t="str">
        <f t="shared" si="136"/>
        <v/>
      </c>
      <c r="FE28" s="5" t="str">
        <f t="shared" si="49"/>
        <v/>
      </c>
      <c r="FF28" s="7" t="str">
        <f t="shared" si="210"/>
        <v/>
      </c>
      <c r="FG28" s="173" t="str">
        <f t="shared" si="211"/>
        <v/>
      </c>
      <c r="FH28" s="5" t="str">
        <f t="shared" si="50"/>
        <v/>
      </c>
      <c r="FI28" s="10" t="str">
        <f t="shared" si="51"/>
        <v/>
      </c>
      <c r="FJ28" s="279" t="str">
        <f t="shared" si="212"/>
        <v/>
      </c>
      <c r="FK28" s="4" t="str">
        <f t="shared" si="52"/>
        <v/>
      </c>
      <c r="FL28" s="5" t="str">
        <f t="shared" si="213"/>
        <v/>
      </c>
      <c r="FM28" s="8" t="str">
        <f t="shared" si="214"/>
        <v/>
      </c>
      <c r="FN28" s="9" t="str">
        <f t="shared" si="215"/>
        <v/>
      </c>
      <c r="FO28" s="10" t="str">
        <f t="shared" si="53"/>
        <v/>
      </c>
      <c r="FP28" s="277" t="str">
        <f t="shared" si="54"/>
        <v/>
      </c>
      <c r="FQ28" s="173" t="str">
        <f t="shared" si="243"/>
        <v/>
      </c>
      <c r="FR28" s="10" t="str">
        <f t="shared" si="216"/>
        <v/>
      </c>
      <c r="FS28" s="9" t="str">
        <f t="shared" si="217"/>
        <v/>
      </c>
      <c r="FT28" s="6" t="str">
        <f t="shared" si="218"/>
        <v/>
      </c>
      <c r="FU28" s="4" t="str">
        <f t="shared" si="219"/>
        <v/>
      </c>
      <c r="FV28" s="5" t="str">
        <f t="shared" si="220"/>
        <v/>
      </c>
      <c r="FW28" s="8" t="str">
        <f t="shared" si="244"/>
        <v/>
      </c>
      <c r="FX28" s="9" t="str">
        <f t="shared" si="245"/>
        <v/>
      </c>
      <c r="FY28" s="10" t="str">
        <f t="shared" si="55"/>
        <v/>
      </c>
      <c r="FZ28" s="277" t="str">
        <f t="shared" si="246"/>
        <v/>
      </c>
      <c r="GA28" s="177" t="str">
        <f t="shared" si="221"/>
        <v/>
      </c>
      <c r="GB28" s="4" t="str">
        <f t="shared" si="222"/>
        <v/>
      </c>
      <c r="GC28" s="5" t="str">
        <f t="shared" si="223"/>
        <v/>
      </c>
      <c r="GD28" s="10" t="str">
        <f t="shared" si="224"/>
        <v/>
      </c>
      <c r="GE28" s="311" t="str">
        <f t="shared" si="225"/>
        <v/>
      </c>
      <c r="GF28" s="341" t="str">
        <f t="shared" si="247"/>
        <v/>
      </c>
      <c r="GG28" s="285" t="str">
        <f t="shared" si="56"/>
        <v/>
      </c>
      <c r="GH28" s="286" t="str">
        <f t="shared" si="57"/>
        <v/>
      </c>
      <c r="GI28" s="281" t="str">
        <f t="shared" si="58"/>
        <v/>
      </c>
      <c r="GJ28" s="167" t="str">
        <f t="shared" si="226"/>
        <v/>
      </c>
      <c r="GK28" s="174" t="str">
        <f t="shared" si="59"/>
        <v/>
      </c>
      <c r="GL28" s="174" t="str">
        <f t="shared" si="227"/>
        <v/>
      </c>
      <c r="GM28" s="177" t="str">
        <f t="shared" si="248"/>
        <v/>
      </c>
      <c r="GN28" s="280" t="str">
        <f t="shared" si="228"/>
        <v/>
      </c>
      <c r="GO28" s="4" t="str">
        <f t="shared" si="229"/>
        <v/>
      </c>
      <c r="GP28" s="8" t="str">
        <f t="shared" si="249"/>
        <v/>
      </c>
      <c r="GQ28" s="177" t="str">
        <f t="shared" si="230"/>
        <v/>
      </c>
      <c r="GR28" s="371" t="str">
        <f t="shared" si="250"/>
        <v/>
      </c>
      <c r="GS28" s="342" t="str">
        <f t="shared" si="61"/>
        <v/>
      </c>
      <c r="GT28" s="343" t="str">
        <f t="shared" si="62"/>
        <v/>
      </c>
      <c r="GU28" s="344" t="str">
        <f t="shared" si="63"/>
        <v/>
      </c>
      <c r="GV28" s="343" t="str">
        <f t="shared" si="252"/>
        <v/>
      </c>
      <c r="GW28" s="345" t="str">
        <f t="shared" si="64"/>
        <v/>
      </c>
      <c r="GX28" s="346" t="str">
        <f t="shared" si="65"/>
        <v/>
      </c>
      <c r="GY28" s="344" t="str">
        <f t="shared" si="66"/>
        <v/>
      </c>
      <c r="GZ28" s="345" t="str">
        <f t="shared" si="67"/>
        <v/>
      </c>
      <c r="HA28" s="342" t="str">
        <f t="shared" si="68"/>
        <v/>
      </c>
      <c r="HB28" s="5" t="str">
        <f t="shared" si="231"/>
        <v/>
      </c>
      <c r="HC28" s="343" t="str">
        <f t="shared" si="232"/>
        <v/>
      </c>
      <c r="HD28" s="363" t="str">
        <f t="shared" si="233"/>
        <v/>
      </c>
      <c r="HE28" s="344" t="str">
        <f t="shared" si="69"/>
        <v/>
      </c>
      <c r="HF28" s="5" t="str">
        <f t="shared" si="70"/>
        <v/>
      </c>
      <c r="HG28" s="343" t="str">
        <f t="shared" si="234"/>
        <v/>
      </c>
      <c r="HH28" s="349" t="str">
        <f t="shared" si="235"/>
        <v/>
      </c>
      <c r="HI28" s="317" t="str">
        <f t="shared" si="71"/>
        <v/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4.1130000000000004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1613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si="2"/>
        <v>-9.0588870134201332E-2</v>
      </c>
      <c r="C29" s="572">
        <f t="shared" si="3"/>
        <v>-3.5961452882148821</v>
      </c>
      <c r="D29" s="576">
        <f t="shared" si="4"/>
        <v>-1.2059066561393077</v>
      </c>
      <c r="E29" s="580">
        <f t="shared" si="5"/>
        <v>0.92944350671006348</v>
      </c>
      <c r="F29" s="572">
        <f t="shared" si="6"/>
        <v>-0.35773558925588733</v>
      </c>
      <c r="G29" s="579">
        <f t="shared" si="7"/>
        <v>9.0332806965372658E-2</v>
      </c>
      <c r="H29" s="580">
        <f t="shared" si="8"/>
        <v>0.3125</v>
      </c>
      <c r="I29" s="572">
        <f t="shared" si="9"/>
        <v>0.52</v>
      </c>
      <c r="J29" s="483">
        <f t="shared" si="10"/>
        <v>4.1159999999999997</v>
      </c>
      <c r="K29" s="806">
        <f t="shared" si="11"/>
        <v>1613</v>
      </c>
      <c r="L29" s="82"/>
      <c r="M29" s="164">
        <f t="shared" si="12"/>
        <v>4.1159999999999997</v>
      </c>
      <c r="N29" s="575">
        <f t="shared" si="13"/>
        <v>-9.0588870134201332E-2</v>
      </c>
      <c r="O29" s="572">
        <f t="shared" si="14"/>
        <v>-3.5961452882148821</v>
      </c>
      <c r="P29" s="576">
        <f t="shared" si="15"/>
        <v>-1.2059066561393077</v>
      </c>
      <c r="Q29" s="528">
        <f t="shared" si="140"/>
        <v>268.55699309673975</v>
      </c>
      <c r="R29" s="572">
        <f>IF(M29="","",SQRT(N29^2+O29^2))</f>
        <v>3.5972860989004318</v>
      </c>
      <c r="S29" s="577">
        <f>IF(M29="","",P29)</f>
        <v>-1.2059066561393077</v>
      </c>
      <c r="T29" s="578">
        <f>IF(M29="","",X29*COS(RADIANS(W29)))</f>
        <v>-3.596324722895917</v>
      </c>
      <c r="U29" s="572">
        <f>IF(M29="","",X29*SIN(RADIANS(W29)))</f>
        <v>8.3161077613826684E-2</v>
      </c>
      <c r="V29" s="579">
        <f>IF(M29="","",Y29)</f>
        <v>-1.2059066561393077</v>
      </c>
      <c r="W29" s="528">
        <f t="shared" si="253"/>
        <v>178.67533380877995</v>
      </c>
      <c r="X29" s="572">
        <f>IF(M29="","",R29)</f>
        <v>3.5972860989004318</v>
      </c>
      <c r="Y29" s="573">
        <f t="shared" si="255"/>
        <v>-1.2059066561393077</v>
      </c>
      <c r="Z29" s="575">
        <f t="shared" si="18"/>
        <v>-0.92944350671006348</v>
      </c>
      <c r="AA29" s="572">
        <f t="shared" si="19"/>
        <v>0.35773558925588733</v>
      </c>
      <c r="AB29" s="572">
        <f t="shared" si="20"/>
        <v>-9.0332806965372658E-2</v>
      </c>
      <c r="AC29" s="579">
        <f>IF(M29="","",SQRT(Z29^2+AA29^2+AB29^2))</f>
        <v>1</v>
      </c>
      <c r="AD29" s="580">
        <f>IF(M29="","",Z29*(1/SQRT(Z29^2+AA29^2+AB29^2)))</f>
        <v>-0.92944350671006348</v>
      </c>
      <c r="AE29" s="572">
        <f>IF(M29="","",AA29*(1/SQRT(Z29^2+AA29^2+AB29^2)))</f>
        <v>0.35773558925588733</v>
      </c>
      <c r="AF29" s="576">
        <f>IF(M29="","",AB29*(1/SQRT(Z29^2+AA29^2+AB29^2)))</f>
        <v>-9.0332806965372658E-2</v>
      </c>
      <c r="AG29" s="545">
        <f>IF(M29="","",DEGREES(ATAN2(-AF29,AE29)))</f>
        <v>75.828334263964408</v>
      </c>
      <c r="AH29" s="546">
        <f>IF(M29="","",DEGREES(ACOS(AD29)))</f>
        <v>158.34823338803881</v>
      </c>
      <c r="AI29" s="528">
        <f>IF(M29="","",DEGREES(-ACOS(-AF29)))</f>
        <v>-84.817246485695918</v>
      </c>
      <c r="AJ29" s="529">
        <f>IF(M29="","",DEGREES(ATAN2(-AE29,AD29)))</f>
        <v>-111.0513280187315</v>
      </c>
      <c r="AK29" s="578">
        <f>IF(M29="","",(COS(RADIANS((90-$Q$8)-W29))*AD29)+(-SIN(RADIANS((90-$Q$8)-W29))*AE29))</f>
        <v>0.93815744907983911</v>
      </c>
      <c r="AL29" s="572">
        <f>IF(M29="","",(SIN(RADIANS((90-$Q$8)-W29))*AD29)+(COS(RADIANS((90-$Q$8)-W29))*AE29))</f>
        <v>-0.33421637410780131</v>
      </c>
      <c r="AM29" s="577">
        <f>IF(M29="","",AF29)</f>
        <v>-9.0332806965372658E-2</v>
      </c>
      <c r="AN29" s="524">
        <f>IF(M29="","",DEGREES(ATAN2(-AM29,AL29)))</f>
        <v>-74.8753445016591</v>
      </c>
      <c r="AO29" s="525">
        <f t="shared" si="116"/>
        <v>20.255608840893746</v>
      </c>
      <c r="AP29" s="528">
        <f>IF(M29="","",DEGREES(ATAN2(AK29,AL29)))</f>
        <v>-19.608321115471252</v>
      </c>
      <c r="AQ29" s="529">
        <f t="shared" si="21"/>
        <v>0.63370930430746431</v>
      </c>
      <c r="AS29" s="932">
        <f t="shared" si="143"/>
        <v>-181.32466619122005</v>
      </c>
      <c r="AT29" s="928">
        <f t="shared" si="22"/>
        <v>-1.0785096987240563</v>
      </c>
      <c r="AU29" s="418"/>
      <c r="AV29" s="164" t="str">
        <f t="shared" si="23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4"/>
        <v/>
      </c>
      <c r="BA29" s="296" t="str">
        <f t="shared" si="24"/>
        <v/>
      </c>
      <c r="BB29" s="190" t="str">
        <f t="shared" si="145"/>
        <v/>
      </c>
      <c r="BC29" s="9"/>
      <c r="BD29" s="5" t="str">
        <f t="shared" si="146"/>
        <v/>
      </c>
      <c r="BE29" s="6" t="str">
        <f t="shared" si="25"/>
        <v/>
      </c>
      <c r="BF29" s="4" t="str">
        <f t="shared" si="26"/>
        <v/>
      </c>
      <c r="BG29" s="5" t="str">
        <f t="shared" si="27"/>
        <v/>
      </c>
      <c r="BH29" s="10" t="str">
        <f t="shared" si="28"/>
        <v/>
      </c>
      <c r="BI29" s="9" t="str">
        <f t="shared" si="147"/>
        <v/>
      </c>
      <c r="BJ29" s="5" t="str">
        <f t="shared" si="29"/>
        <v/>
      </c>
      <c r="BK29" s="8" t="str">
        <f t="shared" si="30"/>
        <v/>
      </c>
      <c r="BL29" s="173" t="str">
        <f t="shared" si="31"/>
        <v/>
      </c>
      <c r="BM29" s="5" t="str">
        <f t="shared" si="32"/>
        <v/>
      </c>
      <c r="BN29" s="6" t="str">
        <f t="shared" si="33"/>
        <v/>
      </c>
      <c r="BO29" s="4" t="str">
        <f t="shared" si="148"/>
        <v/>
      </c>
      <c r="BP29" s="5" t="str">
        <f t="shared" si="239"/>
        <v/>
      </c>
      <c r="BQ29" s="5" t="str">
        <f t="shared" si="149"/>
        <v/>
      </c>
      <c r="BR29" s="6" t="str">
        <f t="shared" si="150"/>
        <v/>
      </c>
      <c r="BS29" s="4" t="str">
        <f t="shared" si="118"/>
        <v/>
      </c>
      <c r="BT29" s="5" t="str">
        <f t="shared" si="118"/>
        <v/>
      </c>
      <c r="BU29" s="10" t="str">
        <f t="shared" si="119"/>
        <v/>
      </c>
      <c r="BV29" s="9" t="str">
        <f t="shared" si="120"/>
        <v/>
      </c>
      <c r="BW29" s="5" t="str">
        <f t="shared" si="121"/>
        <v/>
      </c>
      <c r="BX29" s="8" t="str">
        <f t="shared" si="122"/>
        <v/>
      </c>
      <c r="BY29" s="173" t="str">
        <f t="shared" si="123"/>
        <v/>
      </c>
      <c r="BZ29" s="5" t="str">
        <f t="shared" si="124"/>
        <v/>
      </c>
      <c r="CA29" s="6" t="str">
        <f t="shared" si="125"/>
        <v/>
      </c>
      <c r="CB29" s="4" t="str">
        <f t="shared" si="151"/>
        <v/>
      </c>
      <c r="CC29" s="5" t="str">
        <f t="shared" si="152"/>
        <v/>
      </c>
      <c r="CD29" s="5" t="str">
        <f t="shared" si="153"/>
        <v/>
      </c>
      <c r="CE29" s="6" t="str">
        <f t="shared" si="154"/>
        <v/>
      </c>
      <c r="CF29" s="4" t="str">
        <f t="shared" si="155"/>
        <v/>
      </c>
      <c r="CG29" s="5" t="str">
        <f t="shared" si="156"/>
        <v/>
      </c>
      <c r="CH29" s="5" t="str">
        <f t="shared" si="157"/>
        <v/>
      </c>
      <c r="CI29" s="4" t="str">
        <f t="shared" si="126"/>
        <v/>
      </c>
      <c r="CJ29" s="5" t="str">
        <f t="shared" si="127"/>
        <v/>
      </c>
      <c r="CK29" s="8" t="str">
        <f t="shared" si="128"/>
        <v/>
      </c>
      <c r="CL29" s="173" t="str">
        <f t="shared" si="129"/>
        <v/>
      </c>
      <c r="CM29" s="5" t="str">
        <f t="shared" si="130"/>
        <v/>
      </c>
      <c r="CN29" s="6" t="str">
        <f t="shared" si="131"/>
        <v/>
      </c>
      <c r="CO29" s="167" t="str">
        <f t="shared" si="35"/>
        <v/>
      </c>
      <c r="CP29" s="4" t="str">
        <f t="shared" si="240"/>
        <v/>
      </c>
      <c r="CQ29" s="5" t="str">
        <f t="shared" si="241"/>
        <v/>
      </c>
      <c r="CR29" s="5" t="str">
        <f t="shared" si="158"/>
        <v/>
      </c>
      <c r="CS29" s="8" t="str">
        <f t="shared" si="159"/>
        <v/>
      </c>
      <c r="CT29" s="9" t="str">
        <f t="shared" si="160"/>
        <v/>
      </c>
      <c r="CU29" s="6" t="str">
        <f t="shared" si="161"/>
        <v/>
      </c>
      <c r="CV29" s="4" t="str">
        <f t="shared" si="242"/>
        <v/>
      </c>
      <c r="CW29" s="5" t="str">
        <f t="shared" si="162"/>
        <v/>
      </c>
      <c r="CX29" s="8" t="str">
        <f t="shared" si="163"/>
        <v/>
      </c>
      <c r="CY29" s="9" t="str">
        <f t="shared" si="164"/>
        <v/>
      </c>
      <c r="CZ29" s="5" t="str">
        <f t="shared" si="165"/>
        <v/>
      </c>
      <c r="DA29" s="6" t="str">
        <f t="shared" si="166"/>
        <v/>
      </c>
      <c r="DB29" s="4" t="str">
        <f t="shared" si="167"/>
        <v/>
      </c>
      <c r="DC29" s="5" t="str">
        <f t="shared" si="167"/>
        <v/>
      </c>
      <c r="DD29" s="10" t="str">
        <f t="shared" si="168"/>
        <v/>
      </c>
      <c r="DE29" s="9" t="str">
        <f t="shared" si="169"/>
        <v/>
      </c>
      <c r="DF29" s="5" t="str">
        <f t="shared" si="169"/>
        <v/>
      </c>
      <c r="DG29" s="10" t="str">
        <f t="shared" si="170"/>
        <v/>
      </c>
      <c r="DH29" s="70" t="str">
        <f t="shared" si="171"/>
        <v/>
      </c>
      <c r="DI29" s="4" t="str">
        <f t="shared" si="172"/>
        <v/>
      </c>
      <c r="DJ29" s="5" t="str">
        <f t="shared" si="173"/>
        <v/>
      </c>
      <c r="DK29" s="10" t="str">
        <f t="shared" si="174"/>
        <v/>
      </c>
      <c r="DL29" s="9" t="str">
        <f t="shared" si="175"/>
        <v/>
      </c>
      <c r="DM29" s="173" t="str">
        <f t="shared" si="176"/>
        <v/>
      </c>
      <c r="DN29" s="178" t="str">
        <f t="shared" si="177"/>
        <v/>
      </c>
      <c r="DO29" s="9" t="str">
        <f t="shared" si="178"/>
        <v/>
      </c>
      <c r="DP29" s="173" t="str">
        <f t="shared" si="179"/>
        <v/>
      </c>
      <c r="DQ29" s="11" t="str">
        <f t="shared" si="180"/>
        <v/>
      </c>
      <c r="DR29" s="173" t="str">
        <f t="shared" si="181"/>
        <v/>
      </c>
      <c r="DS29" s="5" t="str">
        <f t="shared" si="182"/>
        <v/>
      </c>
      <c r="DT29" s="5" t="str">
        <f t="shared" si="183"/>
        <v/>
      </c>
      <c r="DU29" s="5" t="str">
        <f t="shared" si="184"/>
        <v/>
      </c>
      <c r="DV29" s="5" t="str">
        <f t="shared" si="185"/>
        <v/>
      </c>
      <c r="DW29" s="5" t="str">
        <f t="shared" si="186"/>
        <v/>
      </c>
      <c r="DX29" s="167" t="str">
        <f t="shared" si="187"/>
        <v/>
      </c>
      <c r="DY29" s="9" t="str">
        <f t="shared" si="188"/>
        <v/>
      </c>
      <c r="DZ29" s="5" t="str">
        <f t="shared" si="189"/>
        <v/>
      </c>
      <c r="EA29" s="10" t="str">
        <f t="shared" si="190"/>
        <v/>
      </c>
      <c r="EB29" s="6" t="str">
        <f t="shared" si="191"/>
        <v/>
      </c>
      <c r="EC29" s="173" t="str">
        <f t="shared" si="192"/>
        <v/>
      </c>
      <c r="ED29" s="5" t="str">
        <f t="shared" si="193"/>
        <v/>
      </c>
      <c r="EE29" s="4" t="str">
        <f t="shared" si="194"/>
        <v/>
      </c>
      <c r="EF29" s="5" t="str">
        <f t="shared" si="195"/>
        <v/>
      </c>
      <c r="EG29" s="10" t="str">
        <f t="shared" si="196"/>
        <v/>
      </c>
      <c r="EH29" s="9" t="str">
        <f t="shared" si="197"/>
        <v/>
      </c>
      <c r="EI29" s="5" t="str">
        <f t="shared" si="198"/>
        <v/>
      </c>
      <c r="EJ29" s="6" t="str">
        <f t="shared" si="199"/>
        <v/>
      </c>
      <c r="EK29" s="236" t="str">
        <f t="shared" si="200"/>
        <v/>
      </c>
      <c r="EL29" s="238" t="str">
        <f t="shared" si="201"/>
        <v/>
      </c>
      <c r="EM29" s="4" t="str">
        <f t="shared" si="202"/>
        <v/>
      </c>
      <c r="EN29" s="5" t="str">
        <f t="shared" si="203"/>
        <v/>
      </c>
      <c r="EO29" s="10" t="str">
        <f t="shared" si="204"/>
        <v/>
      </c>
      <c r="EP29" s="9" t="str">
        <f t="shared" si="205"/>
        <v/>
      </c>
      <c r="EQ29" s="5" t="str">
        <f t="shared" si="206"/>
        <v/>
      </c>
      <c r="ER29" s="7" t="str">
        <f t="shared" si="207"/>
        <v/>
      </c>
      <c r="ES29" s="21" t="str">
        <f t="shared" si="132"/>
        <v/>
      </c>
      <c r="ET29" s="5" t="str">
        <f t="shared" si="44"/>
        <v/>
      </c>
      <c r="EU29" s="10" t="str">
        <f t="shared" si="45"/>
        <v/>
      </c>
      <c r="EV29" s="174" t="str">
        <f t="shared" si="254"/>
        <v/>
      </c>
      <c r="EW29" s="9" t="str">
        <f t="shared" si="133"/>
        <v/>
      </c>
      <c r="EX29" s="5" t="str">
        <f t="shared" si="47"/>
        <v/>
      </c>
      <c r="EY29" s="6" t="str">
        <f t="shared" si="208"/>
        <v/>
      </c>
      <c r="EZ29" s="51" t="str">
        <f t="shared" si="209"/>
        <v/>
      </c>
      <c r="FA29" s="266" t="str">
        <f t="shared" si="134"/>
        <v/>
      </c>
      <c r="FB29" s="267" t="str">
        <f t="shared" si="135"/>
        <v/>
      </c>
      <c r="FC29" s="269" t="str">
        <f t="shared" si="48"/>
        <v/>
      </c>
      <c r="FD29" s="4" t="str">
        <f t="shared" si="136"/>
        <v/>
      </c>
      <c r="FE29" s="5" t="str">
        <f t="shared" si="49"/>
        <v/>
      </c>
      <c r="FF29" s="7" t="str">
        <f t="shared" si="210"/>
        <v/>
      </c>
      <c r="FG29" s="173" t="str">
        <f t="shared" si="211"/>
        <v/>
      </c>
      <c r="FH29" s="5" t="str">
        <f t="shared" si="50"/>
        <v/>
      </c>
      <c r="FI29" s="10" t="str">
        <f t="shared" si="51"/>
        <v/>
      </c>
      <c r="FJ29" s="279" t="str">
        <f t="shared" si="212"/>
        <v/>
      </c>
      <c r="FK29" s="4" t="str">
        <f t="shared" si="52"/>
        <v/>
      </c>
      <c r="FL29" s="5" t="str">
        <f t="shared" si="213"/>
        <v/>
      </c>
      <c r="FM29" s="8" t="str">
        <f t="shared" si="214"/>
        <v/>
      </c>
      <c r="FN29" s="9" t="str">
        <f t="shared" si="215"/>
        <v/>
      </c>
      <c r="FO29" s="10" t="str">
        <f t="shared" si="53"/>
        <v/>
      </c>
      <c r="FP29" s="277" t="str">
        <f t="shared" si="54"/>
        <v/>
      </c>
      <c r="FQ29" s="173" t="str">
        <f t="shared" si="243"/>
        <v/>
      </c>
      <c r="FR29" s="10" t="str">
        <f t="shared" si="216"/>
        <v/>
      </c>
      <c r="FS29" s="9" t="str">
        <f t="shared" si="217"/>
        <v/>
      </c>
      <c r="FT29" s="6" t="str">
        <f t="shared" si="218"/>
        <v/>
      </c>
      <c r="FU29" s="4" t="str">
        <f t="shared" si="219"/>
        <v/>
      </c>
      <c r="FV29" s="5" t="str">
        <f t="shared" si="220"/>
        <v/>
      </c>
      <c r="FW29" s="8" t="str">
        <f t="shared" si="244"/>
        <v/>
      </c>
      <c r="FX29" s="9" t="str">
        <f t="shared" si="245"/>
        <v/>
      </c>
      <c r="FY29" s="10" t="str">
        <f t="shared" si="55"/>
        <v/>
      </c>
      <c r="FZ29" s="277" t="str">
        <f t="shared" si="246"/>
        <v/>
      </c>
      <c r="GA29" s="177" t="str">
        <f t="shared" si="221"/>
        <v/>
      </c>
      <c r="GB29" s="4" t="str">
        <f t="shared" si="222"/>
        <v/>
      </c>
      <c r="GC29" s="5" t="str">
        <f t="shared" si="223"/>
        <v/>
      </c>
      <c r="GD29" s="10" t="str">
        <f t="shared" si="224"/>
        <v/>
      </c>
      <c r="GE29" s="311" t="str">
        <f t="shared" si="225"/>
        <v/>
      </c>
      <c r="GF29" s="341" t="str">
        <f t="shared" si="247"/>
        <v/>
      </c>
      <c r="GG29" s="285" t="str">
        <f t="shared" si="56"/>
        <v/>
      </c>
      <c r="GH29" s="286" t="str">
        <f t="shared" si="57"/>
        <v/>
      </c>
      <c r="GI29" s="281" t="str">
        <f t="shared" si="58"/>
        <v/>
      </c>
      <c r="GJ29" s="167" t="str">
        <f t="shared" si="226"/>
        <v/>
      </c>
      <c r="GK29" s="174" t="str">
        <f t="shared" si="59"/>
        <v/>
      </c>
      <c r="GL29" s="174" t="str">
        <f t="shared" si="227"/>
        <v/>
      </c>
      <c r="GM29" s="177" t="str">
        <f t="shared" si="248"/>
        <v/>
      </c>
      <c r="GN29" s="280" t="str">
        <f t="shared" si="228"/>
        <v/>
      </c>
      <c r="GO29" s="4" t="str">
        <f t="shared" si="229"/>
        <v/>
      </c>
      <c r="GP29" s="8" t="str">
        <f t="shared" si="249"/>
        <v/>
      </c>
      <c r="GQ29" s="177" t="str">
        <f t="shared" si="230"/>
        <v/>
      </c>
      <c r="GR29" s="371" t="str">
        <f t="shared" si="250"/>
        <v/>
      </c>
      <c r="GS29" s="342" t="str">
        <f t="shared" si="61"/>
        <v/>
      </c>
      <c r="GT29" s="343" t="str">
        <f t="shared" si="62"/>
        <v/>
      </c>
      <c r="GU29" s="344" t="str">
        <f t="shared" si="63"/>
        <v/>
      </c>
      <c r="GV29" s="343" t="str">
        <f t="shared" si="252"/>
        <v/>
      </c>
      <c r="GW29" s="345" t="str">
        <f t="shared" si="64"/>
        <v/>
      </c>
      <c r="GX29" s="346" t="str">
        <f t="shared" si="65"/>
        <v/>
      </c>
      <c r="GY29" s="344" t="str">
        <f t="shared" si="66"/>
        <v/>
      </c>
      <c r="GZ29" s="345" t="str">
        <f t="shared" si="67"/>
        <v/>
      </c>
      <c r="HA29" s="342" t="str">
        <f t="shared" si="68"/>
        <v/>
      </c>
      <c r="HB29" s="5" t="str">
        <f t="shared" si="231"/>
        <v/>
      </c>
      <c r="HC29" s="343" t="str">
        <f t="shared" si="232"/>
        <v/>
      </c>
      <c r="HD29" s="363" t="str">
        <f t="shared" si="233"/>
        <v/>
      </c>
      <c r="HE29" s="344" t="str">
        <f t="shared" si="69"/>
        <v/>
      </c>
      <c r="HF29" s="5" t="str">
        <f t="shared" si="70"/>
        <v/>
      </c>
      <c r="HG29" s="343" t="str">
        <f t="shared" si="234"/>
        <v/>
      </c>
      <c r="HH29" s="349" t="str">
        <f t="shared" si="235"/>
        <v/>
      </c>
      <c r="HI29" s="317" t="str">
        <f t="shared" si="71"/>
        <v/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4.1159999999999997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1613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1"/>
        <v>0.02</v>
      </c>
      <c r="B30" s="578">
        <f t="shared" si="2"/>
        <v>-0.1145913744780412</v>
      </c>
      <c r="C30" s="572">
        <f t="shared" si="3"/>
        <v>-3.753286516090824</v>
      </c>
      <c r="D30" s="576">
        <f t="shared" si="4"/>
        <v>-1.8654316525916563</v>
      </c>
      <c r="E30" s="580">
        <f t="shared" si="5"/>
        <v>0.85456872390204919</v>
      </c>
      <c r="F30" s="572">
        <f t="shared" si="6"/>
        <v>-0.51567419545881021</v>
      </c>
      <c r="G30" s="579">
        <f t="shared" si="7"/>
        <v>6.1582629582798941E-2</v>
      </c>
      <c r="H30" s="580">
        <f t="shared" si="8"/>
        <v>0.26450000000000001</v>
      </c>
      <c r="I30" s="572">
        <f t="shared" si="9"/>
        <v>0.52</v>
      </c>
      <c r="J30" s="483">
        <f t="shared" si="10"/>
        <v>4.1189999999999998</v>
      </c>
      <c r="K30" s="806">
        <f t="shared" si="11"/>
        <v>1313</v>
      </c>
      <c r="L30" s="82"/>
      <c r="M30" s="164">
        <f t="shared" si="12"/>
        <v>4.1189999999999998</v>
      </c>
      <c r="N30" s="575">
        <f t="shared" si="13"/>
        <v>-0.1145913744780412</v>
      </c>
      <c r="O30" s="572">
        <f t="shared" si="14"/>
        <v>-3.753286516090824</v>
      </c>
      <c r="P30" s="576">
        <f t="shared" si="15"/>
        <v>-1.8654316525916563</v>
      </c>
      <c r="Q30" s="528">
        <f t="shared" si="140"/>
        <v>268.25124907956643</v>
      </c>
      <c r="R30" s="572">
        <f>IF(M30="","",SQRT(N30^2+O30^2))</f>
        <v>3.7550353999628232</v>
      </c>
      <c r="S30" s="577">
        <f>IF(M30="","",P30)</f>
        <v>-1.8654316525916563</v>
      </c>
      <c r="T30" s="578">
        <f>IF(M30="","",X30*COS(RADIANS(W30)))</f>
        <v>-3.7535151911668634</v>
      </c>
      <c r="U30" s="572">
        <f>IF(M30="","",X30*SIN(RADIANS(W30)))</f>
        <v>0.10683896598875052</v>
      </c>
      <c r="V30" s="579">
        <f>IF(M30="","",Y30)</f>
        <v>-1.8654316525916563</v>
      </c>
      <c r="W30" s="528">
        <f t="shared" si="253"/>
        <v>178.36958979160664</v>
      </c>
      <c r="X30" s="572">
        <f>IF(M30="","",R30)</f>
        <v>3.7550353999628232</v>
      </c>
      <c r="Y30" s="573">
        <f t="shared" si="255"/>
        <v>-1.8654316525916563</v>
      </c>
      <c r="Z30" s="575">
        <f t="shared" si="18"/>
        <v>-0.85456872390204919</v>
      </c>
      <c r="AA30" s="572">
        <f t="shared" si="19"/>
        <v>0.51567419545881021</v>
      </c>
      <c r="AB30" s="572">
        <f t="shared" si="20"/>
        <v>-6.1582629582798941E-2</v>
      </c>
      <c r="AC30" s="579">
        <f>IF(M30="","",SQRT(Z30^2+AA30^2+AB30^2))</f>
        <v>1</v>
      </c>
      <c r="AD30" s="580">
        <f>IF(M30="","",Z30*(1/SQRT(Z30^2+AA30^2+AB30^2)))</f>
        <v>-0.85456872390204919</v>
      </c>
      <c r="AE30" s="572">
        <f>IF(M30="","",AA30*(1/SQRT(Z30^2+AA30^2+AB30^2)))</f>
        <v>0.51567419545881021</v>
      </c>
      <c r="AF30" s="576">
        <f>IF(M30="","",AB30*(1/SQRT(Z30^2+AA30^2+AB30^2)))</f>
        <v>-6.1582629582798941E-2</v>
      </c>
      <c r="AG30" s="545">
        <f>IF(M30="","",DEGREES(ATAN2(-AF30,AE30)))</f>
        <v>83.18989912560545</v>
      </c>
      <c r="AH30" s="546">
        <f>IF(M30="","",DEGREES(ACOS(AD30)))</f>
        <v>148.71212187336491</v>
      </c>
      <c r="AI30" s="528">
        <f>IF(M30="","",DEGREES(-ACOS(-AF30)))</f>
        <v>-86.469341207320554</v>
      </c>
      <c r="AJ30" s="529">
        <f>IF(M30="","",DEGREES(ATAN2(-AE30,AD30)))</f>
        <v>-121.10812921342942</v>
      </c>
      <c r="AK30" s="578">
        <f>IF(M30="","",(COS(RADIANS((90-$Q$8)-W30))*AD30)+(-SIN(RADIANS((90-$Q$8)-W30))*AE30))</f>
        <v>0.86990740043817594</v>
      </c>
      <c r="AL30" s="572">
        <f>IF(M30="","",(SIN(RADIANS((90-$Q$8)-W30))*AD30)+(COS(RADIANS((90-$Q$8)-W30))*AE30))</f>
        <v>-0.48935538660217381</v>
      </c>
      <c r="AM30" s="577">
        <f>IF(M30="","",AF30)</f>
        <v>-6.1582629582798941E-2</v>
      </c>
      <c r="AN30" s="524">
        <f>IF(M30="","",DEGREES(ATAN2(-AM30,AL30)))</f>
        <v>-82.827352998197895</v>
      </c>
      <c r="AO30" s="525">
        <f>IF(ROUND(IF(M30="",0,DEGREES(ACOS(AK30))),4)=90,0,IF(M30="","",DEGREES(ACOS(AK30))))</f>
        <v>29.552119382134194</v>
      </c>
      <c r="AP30" s="528">
        <f>IF(M30="","",DEGREES(ATAN2(AK30,AL30)))</f>
        <v>-29.359378292995867</v>
      </c>
      <c r="AQ30" s="529">
        <f t="shared" si="21"/>
        <v>0.60708916809586499</v>
      </c>
      <c r="AS30" s="932">
        <f t="shared" si="143"/>
        <v>-181.63041020839336</v>
      </c>
      <c r="AT30" s="928">
        <f t="shared" si="22"/>
        <v>-1.7378223729422568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4.1189999999999998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8"/>
        <v>1313</v>
      </c>
      <c r="IM30" s="482" t="str">
        <f t="shared" si="237"/>
        <v/>
      </c>
      <c r="IN30" s="670" t="str">
        <f t="shared" si="90"/>
        <v/>
      </c>
      <c r="IO30" s="702"/>
      <c r="IP30" s="5" t="str">
        <f t="shared" si="91"/>
        <v/>
      </c>
      <c r="IQ30" s="714"/>
      <c r="IR30" s="9" t="str">
        <f t="shared" si="139"/>
        <v/>
      </c>
      <c r="IS30" s="5" t="str">
        <f t="shared" si="92"/>
        <v/>
      </c>
      <c r="IT30" s="5" t="str">
        <f t="shared" si="93"/>
        <v/>
      </c>
      <c r="IU30" s="5" t="str">
        <f t="shared" si="94"/>
        <v/>
      </c>
      <c r="IV30" s="670" t="str">
        <f t="shared" si="95"/>
        <v/>
      </c>
      <c r="IW30" s="9" t="str">
        <f t="shared" si="96"/>
        <v/>
      </c>
      <c r="IX30" s="5" t="str">
        <f t="shared" si="97"/>
        <v/>
      </c>
      <c r="IY30" s="5" t="str">
        <f t="shared" si="98"/>
        <v/>
      </c>
      <c r="IZ30" s="5" t="str">
        <f t="shared" si="99"/>
        <v/>
      </c>
      <c r="JA30" s="705" t="str">
        <f t="shared" si="100"/>
        <v/>
      </c>
      <c r="JC30" s="31" t="s">
        <v>322</v>
      </c>
      <c r="JD30" s="745" t="str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/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</row>
    <row r="31" spans="1:271" ht="15" customHeight="1" x14ac:dyDescent="0.25">
      <c r="A31" s="75">
        <f t="shared" si="1"/>
        <v>0.02</v>
      </c>
      <c r="B31" s="578">
        <f t="shared" si="2"/>
        <v>-0.47276424991080612</v>
      </c>
      <c r="C31" s="572">
        <f t="shared" si="3"/>
        <v>-0.28486107966612462</v>
      </c>
      <c r="D31" s="576">
        <f t="shared" si="4"/>
        <v>-0.55951136308914307</v>
      </c>
      <c r="E31" s="580">
        <f t="shared" si="5"/>
        <v>0.47275928779965803</v>
      </c>
      <c r="F31" s="572">
        <f t="shared" si="6"/>
        <v>-0.81884310621908585</v>
      </c>
      <c r="G31" s="579">
        <f t="shared" si="7"/>
        <v>0.3255681544571567</v>
      </c>
      <c r="H31" s="580">
        <f t="shared" si="8"/>
        <v>0.3125</v>
      </c>
      <c r="I31" s="572">
        <f t="shared" si="9"/>
        <v>0.52</v>
      </c>
      <c r="J31" s="483">
        <f t="shared" si="10"/>
        <v>5.1020000000000003</v>
      </c>
      <c r="K31" s="806">
        <f t="shared" si="11"/>
        <v>1613</v>
      </c>
      <c r="L31" s="309"/>
      <c r="M31" s="164">
        <f t="shared" si="12"/>
        <v>5.1020000000000003</v>
      </c>
      <c r="N31" s="575">
        <f t="shared" si="13"/>
        <v>-0.47276424991080612</v>
      </c>
      <c r="O31" s="572">
        <f t="shared" si="14"/>
        <v>-0.28486107966612462</v>
      </c>
      <c r="P31" s="576">
        <f t="shared" si="15"/>
        <v>-0.55951136308914307</v>
      </c>
      <c r="Q31" s="528">
        <f t="shared" si="140"/>
        <v>211.07079683381556</v>
      </c>
      <c r="R31" s="572">
        <f>IF(M31="","",SQRT(N31^2+O31^2))</f>
        <v>0.55195277941349052</v>
      </c>
      <c r="S31" s="577">
        <f>IF(M31="","",P31)</f>
        <v>-0.55951136308914307</v>
      </c>
      <c r="T31" s="578">
        <f>IF(M31="","",X31*COS(RADIANS(W31)))</f>
        <v>-0.28583693521914688</v>
      </c>
      <c r="U31" s="572">
        <f>IF(M31="","",X31*SIN(RADIANS(W31)))</f>
        <v>0.47217487985576123</v>
      </c>
      <c r="V31" s="579">
        <f>IF(M31="","",Y31)</f>
        <v>-0.55951136308914307</v>
      </c>
      <c r="W31" s="528">
        <f t="shared" si="253"/>
        <v>121.18913754585576</v>
      </c>
      <c r="X31" s="572">
        <f>IF(M31="","",R31)</f>
        <v>0.55195277941349052</v>
      </c>
      <c r="Y31" s="573">
        <f t="shared" si="255"/>
        <v>-0.55951136308914307</v>
      </c>
      <c r="Z31" s="575">
        <f t="shared" si="18"/>
        <v>-0.47275928779965803</v>
      </c>
      <c r="AA31" s="572">
        <f t="shared" si="19"/>
        <v>0.81884310621908585</v>
      </c>
      <c r="AB31" s="572">
        <f t="shared" si="20"/>
        <v>-0.3255681544571567</v>
      </c>
      <c r="AC31" s="579">
        <f>IF(M31="","",SQRT(Z31^2+AA31^2+AB31^2))</f>
        <v>1</v>
      </c>
      <c r="AD31" s="580">
        <f>IF(M31="","",Z31*(1/SQRT(Z31^2+AA31^2+AB31^2)))</f>
        <v>-0.47275928779965803</v>
      </c>
      <c r="AE31" s="572">
        <f>IF(M31="","",AA31*(1/SQRT(Z31^2+AA31^2+AB31^2)))</f>
        <v>0.81884310621908585</v>
      </c>
      <c r="AF31" s="576">
        <f>IF(M31="","",AB31*(1/SQRT(Z31^2+AA31^2+AB31^2)))</f>
        <v>-0.3255681544571567</v>
      </c>
      <c r="AG31" s="545">
        <f>IF(M31="","",DEGREES(ATAN2(-AF31,AE31)))</f>
        <v>68.317465020278831</v>
      </c>
      <c r="AH31" s="546">
        <f>IF(M31="","",DEGREES(ACOS(AD31)))</f>
        <v>118.21355746639864</v>
      </c>
      <c r="AI31" s="528">
        <f>IF(M31="","",DEGREES(-ACOS(-AF31)))</f>
        <v>-71</v>
      </c>
      <c r="AJ31" s="529">
        <f>IF(M31="","",DEGREES(ATAN2(-AE31,AD31)))</f>
        <v>-150.00000000000003</v>
      </c>
      <c r="AK31" s="578">
        <f>IF(M31="","",(COS(RADIANS((90-$Q$8)-W31))*AD31)+(-SIN(RADIANS((90-$Q$8)-W31))*AE31))</f>
        <v>0.94535345687643446</v>
      </c>
      <c r="AL31" s="572">
        <f>IF(M31="","",(SIN(RADIANS((90-$Q$8)-W31))*AD31)+(COS(RADIANS((90-$Q$8)-W31))*AE31))</f>
        <v>-1.7669702180181379E-2</v>
      </c>
      <c r="AM31" s="577">
        <f>IF(M31="","",AF31)</f>
        <v>-0.3255681544571567</v>
      </c>
      <c r="AN31" s="524">
        <f>IF(M31="","",DEGREES(ATAN2(-AM31,AL31)))</f>
        <v>-3.1065909129673352</v>
      </c>
      <c r="AO31" s="525">
        <f t="shared" si="116"/>
        <v>19.02903738908725</v>
      </c>
      <c r="AP31" s="528">
        <f>IF(M31="","",DEGREES(ATAN2(AK31,AL31)))</f>
        <v>-1.0707968338155811</v>
      </c>
      <c r="AQ31" s="529">
        <f t="shared" si="21"/>
        <v>4.123160653067214</v>
      </c>
      <c r="AS31" s="932">
        <f t="shared" si="143"/>
        <v>-238.81086245414423</v>
      </c>
      <c r="AT31" s="928">
        <f t="shared" si="22"/>
        <v>-0.39219343604686108</v>
      </c>
      <c r="AU31" s="418"/>
      <c r="AV31" s="164">
        <f t="shared" si="23"/>
        <v>5.1020000000000003</v>
      </c>
      <c r="AW31" s="829">
        <f>IFERROR(INDEX(MassProp!C$9:C$150,MATCH($M31,MassProp!$B$9:$B$150,0)),"")</f>
        <v>0.46260000000000001</v>
      </c>
      <c r="AX31" s="830">
        <f>IFERROR(INDEX(MassProp!D$9:D$150,MATCH($M31,MassProp!$B$9:$B$150,0)),"")</f>
        <v>7.2700000000000001E-2</v>
      </c>
      <c r="AY31" s="831">
        <f>IFERROR(INDEX(MassProp!E$9:E$150,MATCH($M31,MassProp!$B$9:$B$150,0)),"")</f>
        <v>5.7200000000000001E-2</v>
      </c>
      <c r="AZ31" s="297">
        <f t="shared" si="144"/>
        <v>0.16687145329783487</v>
      </c>
      <c r="BA31" s="296">
        <f t="shared" si="24"/>
        <v>2.9877749658484262E-2</v>
      </c>
      <c r="BB31" s="190">
        <f t="shared" si="145"/>
        <v>0.21489343604686106</v>
      </c>
      <c r="BC31" s="9"/>
      <c r="BD31" s="5">
        <f t="shared" si="146"/>
        <v>0.46260000000000001</v>
      </c>
      <c r="BE31" s="6">
        <f t="shared" si="25"/>
        <v>-0.344617927042282</v>
      </c>
      <c r="BF31" s="4">
        <f t="shared" si="26"/>
        <v>-0.47276424991080612</v>
      </c>
      <c r="BG31" s="5">
        <f t="shared" si="27"/>
        <v>-0.28486107966612462</v>
      </c>
      <c r="BH31" s="10">
        <f t="shared" si="28"/>
        <v>-0.55951136308914307</v>
      </c>
      <c r="BI31" s="9">
        <f t="shared" si="147"/>
        <v>-0.47276424991080612</v>
      </c>
      <c r="BJ31" s="5">
        <f t="shared" si="29"/>
        <v>8.4602440285425962E-2</v>
      </c>
      <c r="BK31" s="8">
        <f t="shared" si="30"/>
        <v>0.36973387226318855</v>
      </c>
      <c r="BL31" s="173">
        <f t="shared" si="31"/>
        <v>0.40842736137425373</v>
      </c>
      <c r="BM31" s="5">
        <f t="shared" si="32"/>
        <v>0.15444823599026936</v>
      </c>
      <c r="BN31" s="6">
        <f t="shared" si="33"/>
        <v>-0.73417867364939293</v>
      </c>
      <c r="BO31" s="4">
        <f t="shared" si="148"/>
        <v>-0.4727592877996582</v>
      </c>
      <c r="BP31" s="5">
        <f t="shared" si="239"/>
        <v>0.81884310621908574</v>
      </c>
      <c r="BQ31" s="5">
        <f t="shared" si="149"/>
        <v>-0.3255681544571567</v>
      </c>
      <c r="BR31" s="6">
        <f t="shared" si="150"/>
        <v>-0.17240624064898077</v>
      </c>
      <c r="BS31" s="4">
        <f t="shared" si="118"/>
        <v>0</v>
      </c>
      <c r="BT31" s="5">
        <f t="shared" si="118"/>
        <v>0</v>
      </c>
      <c r="BU31" s="10">
        <f t="shared" si="119"/>
        <v>-0.344617927042282</v>
      </c>
      <c r="BV31" s="9">
        <f t="shared" si="120"/>
        <v>0</v>
      </c>
      <c r="BW31" s="5">
        <f t="shared" si="121"/>
        <v>1</v>
      </c>
      <c r="BX31" s="8">
        <f t="shared" si="122"/>
        <v>-0.344617927042282</v>
      </c>
      <c r="BY31" s="173">
        <f t="shared" si="123"/>
        <v>1</v>
      </c>
      <c r="BZ31" s="5">
        <f t="shared" si="124"/>
        <v>0</v>
      </c>
      <c r="CA31" s="6">
        <f t="shared" si="125"/>
        <v>-0.344617927042282</v>
      </c>
      <c r="CB31" s="4">
        <f t="shared" si="151"/>
        <v>0</v>
      </c>
      <c r="CC31" s="5">
        <f t="shared" si="152"/>
        <v>0</v>
      </c>
      <c r="CD31" s="5">
        <f t="shared" si="153"/>
        <v>-1</v>
      </c>
      <c r="CE31" s="6">
        <f t="shared" si="154"/>
        <v>-0.344617927042282</v>
      </c>
      <c r="CF31" s="4">
        <f t="shared" si="155"/>
        <v>-0.81884310621908574</v>
      </c>
      <c r="CG31" s="5">
        <f t="shared" si="156"/>
        <v>-0.4727592877996582</v>
      </c>
      <c r="CH31" s="5">
        <f t="shared" si="157"/>
        <v>0</v>
      </c>
      <c r="CI31" s="4">
        <f t="shared" si="126"/>
        <v>0</v>
      </c>
      <c r="CJ31" s="5">
        <f t="shared" si="127"/>
        <v>7.3530103253827181E-2</v>
      </c>
      <c r="CK31" s="8">
        <f t="shared" si="128"/>
        <v>-0.344617927042282</v>
      </c>
      <c r="CL31" s="173">
        <f t="shared" si="129"/>
        <v>-0.81884310621908574</v>
      </c>
      <c r="CM31" s="5">
        <f t="shared" si="130"/>
        <v>-0.39922918454583101</v>
      </c>
      <c r="CN31" s="6">
        <f t="shared" si="131"/>
        <v>-0.344617927042282</v>
      </c>
      <c r="CO31" s="167">
        <f t="shared" si="35"/>
        <v>0.3125</v>
      </c>
      <c r="CP31" s="4">
        <f t="shared" si="240"/>
        <v>0.8940053768033609</v>
      </c>
      <c r="CQ31" s="5">
        <f t="shared" si="241"/>
        <v>-1.1131050145944281</v>
      </c>
      <c r="CR31" s="5">
        <f t="shared" si="158"/>
        <v>0.30047321484451589</v>
      </c>
      <c r="CS31" s="8">
        <f t="shared" si="159"/>
        <v>0.16450409488970741</v>
      </c>
      <c r="CT31" s="9">
        <f t="shared" si="160"/>
        <v>0.84937747461991886</v>
      </c>
      <c r="CU31" s="6">
        <f t="shared" si="161"/>
        <v>0.39569894603259231</v>
      </c>
      <c r="CV31" s="4">
        <f t="shared" si="242"/>
        <v>-0.69550688967029706</v>
      </c>
      <c r="CW31" s="5">
        <f t="shared" si="162"/>
        <v>-0.32802098672055791</v>
      </c>
      <c r="CX31" s="8">
        <f t="shared" si="163"/>
        <v>-0.344617927042282</v>
      </c>
      <c r="CY31" s="9">
        <f t="shared" si="164"/>
        <v>-0.32401535409694626</v>
      </c>
      <c r="CZ31" s="5">
        <f t="shared" si="165"/>
        <v>-0.11354024865561656</v>
      </c>
      <c r="DA31" s="6">
        <f t="shared" si="166"/>
        <v>-0.344617927042282</v>
      </c>
      <c r="DB31" s="4">
        <f t="shared" si="167"/>
        <v>0</v>
      </c>
      <c r="DC31" s="5">
        <f t="shared" si="167"/>
        <v>0</v>
      </c>
      <c r="DD31" s="10">
        <f t="shared" si="168"/>
        <v>-10</v>
      </c>
      <c r="DE31" s="9">
        <f t="shared" si="169"/>
        <v>0</v>
      </c>
      <c r="DF31" s="5">
        <f t="shared" si="169"/>
        <v>0</v>
      </c>
      <c r="DG31" s="10">
        <f t="shared" si="170"/>
        <v>10</v>
      </c>
      <c r="DH31" s="70">
        <f t="shared" si="171"/>
        <v>0.46260000000000001</v>
      </c>
      <c r="DI31" s="4">
        <f t="shared" si="172"/>
        <v>0</v>
      </c>
      <c r="DJ31" s="5">
        <f t="shared" si="173"/>
        <v>0</v>
      </c>
      <c r="DK31" s="10">
        <f t="shared" si="174"/>
        <v>20</v>
      </c>
      <c r="DL31" s="9">
        <f t="shared" si="175"/>
        <v>-0.69550688967029706</v>
      </c>
      <c r="DM31" s="173">
        <f t="shared" si="176"/>
        <v>-0.32802098672055791</v>
      </c>
      <c r="DN31" s="178">
        <f t="shared" si="177"/>
        <v>9.6553820729577176</v>
      </c>
      <c r="DO31" s="9">
        <f t="shared" si="178"/>
        <v>0.3714915355733508</v>
      </c>
      <c r="DP31" s="173">
        <f t="shared" si="179"/>
        <v>0.21448073806494133</v>
      </c>
      <c r="DQ31" s="11">
        <f t="shared" si="180"/>
        <v>0</v>
      </c>
      <c r="DR31" s="173">
        <f t="shared" si="181"/>
        <v>193.10764145915437</v>
      </c>
      <c r="DS31" s="5">
        <f t="shared" si="182"/>
        <v>0</v>
      </c>
      <c r="DT31" s="5">
        <f t="shared" si="183"/>
        <v>400</v>
      </c>
      <c r="DU31" s="5">
        <f t="shared" si="184"/>
        <v>0.18400794800352815</v>
      </c>
      <c r="DV31" s="5">
        <f t="shared" si="185"/>
        <v>-0.32872910577807929</v>
      </c>
      <c r="DW31" s="5">
        <f t="shared" si="186"/>
        <v>93.817730576101255</v>
      </c>
      <c r="DX31" s="167">
        <f t="shared" si="187"/>
        <v>93.603731816101259</v>
      </c>
      <c r="DY31" s="9">
        <f t="shared" si="188"/>
        <v>73.603179201411265</v>
      </c>
      <c r="DZ31" s="5">
        <f t="shared" si="189"/>
        <v>-131.49164231123171</v>
      </c>
      <c r="EA31" s="10">
        <f t="shared" si="190"/>
        <v>150.9315365231887</v>
      </c>
      <c r="EB31" s="6">
        <f t="shared" si="191"/>
        <v>6181.0110678442943</v>
      </c>
      <c r="EC31" s="173">
        <f t="shared" si="192"/>
        <v>2.8546463756553808</v>
      </c>
      <c r="ED31" s="5">
        <f t="shared" si="193"/>
        <v>0.71834174083376401</v>
      </c>
      <c r="EE31" s="4">
        <f t="shared" si="194"/>
        <v>0.36497007594082087</v>
      </c>
      <c r="EF31" s="5">
        <f t="shared" si="195"/>
        <v>0.28424567484441798</v>
      </c>
      <c r="EG31" s="10">
        <f t="shared" si="196"/>
        <v>-0.344617927042282</v>
      </c>
      <c r="EH31" s="9">
        <f t="shared" si="197"/>
        <v>-0.4286490133015281</v>
      </c>
      <c r="EI31" s="5">
        <f t="shared" si="198"/>
        <v>-0.17395051996367739</v>
      </c>
      <c r="EJ31" s="6">
        <f t="shared" si="199"/>
        <v>-0.344617927042282</v>
      </c>
      <c r="EK31" s="236" t="b">
        <f t="shared" si="200"/>
        <v>0</v>
      </c>
      <c r="EL31" s="238" t="b">
        <f t="shared" si="201"/>
        <v>1</v>
      </c>
      <c r="EM31" s="4">
        <f t="shared" si="202"/>
        <v>-0.4286490133015281</v>
      </c>
      <c r="EN31" s="5">
        <f t="shared" si="203"/>
        <v>-0.17395051996367739</v>
      </c>
      <c r="EO31" s="10">
        <f t="shared" si="204"/>
        <v>-0.344617927042282</v>
      </c>
      <c r="EP31" s="9">
        <f t="shared" si="205"/>
        <v>202.08785937927672</v>
      </c>
      <c r="EQ31" s="5">
        <f t="shared" si="206"/>
        <v>0.46260000000000795</v>
      </c>
      <c r="ER31" s="7">
        <f t="shared" si="207"/>
        <v>-0.344617927042282</v>
      </c>
      <c r="ES31" s="21">
        <f t="shared" si="132"/>
        <v>-0.47275928779965803</v>
      </c>
      <c r="ET31" s="5">
        <f t="shared" si="44"/>
        <v>0.81884310621908585</v>
      </c>
      <c r="EU31" s="10">
        <f t="shared" si="45"/>
        <v>-0.3255681544571567</v>
      </c>
      <c r="EV31" s="174">
        <f t="shared" si="254"/>
        <v>247.91214062072328</v>
      </c>
      <c r="EW31" s="9">
        <f t="shared" si="133"/>
        <v>0.93651753882397415</v>
      </c>
      <c r="EX31" s="5">
        <f t="shared" si="47"/>
        <v>0.13015481657797828</v>
      </c>
      <c r="EY31" s="6">
        <f t="shared" si="208"/>
        <v>-0.3255681544571567</v>
      </c>
      <c r="EZ31" s="51">
        <f t="shared" si="209"/>
        <v>4.9159743127611257</v>
      </c>
      <c r="FA31" s="266">
        <f t="shared" si="134"/>
        <v>-0.37464468879374246</v>
      </c>
      <c r="FB31" s="267">
        <f t="shared" si="135"/>
        <v>0.92319974797217541</v>
      </c>
      <c r="FC31" s="269">
        <f t="shared" si="48"/>
        <v>-8.569470522005275E-2</v>
      </c>
      <c r="FD31" s="4">
        <f t="shared" si="136"/>
        <v>0.99632144285729807</v>
      </c>
      <c r="FE31" s="5">
        <f t="shared" si="49"/>
        <v>-2.7755575615628914E-16</v>
      </c>
      <c r="FF31" s="7">
        <f t="shared" si="210"/>
        <v>-8.569470522005275E-2</v>
      </c>
      <c r="FG31" s="173">
        <f t="shared" si="211"/>
        <v>-5.9803904033323918E-2</v>
      </c>
      <c r="FH31" s="5">
        <f t="shared" si="50"/>
        <v>0.13015481657797856</v>
      </c>
      <c r="FI31" s="10">
        <f t="shared" si="51"/>
        <v>-0.23987344923710396</v>
      </c>
      <c r="FJ31" s="279">
        <f t="shared" si="212"/>
        <v>16.060113825108626</v>
      </c>
      <c r="FK31" s="4">
        <f t="shared" si="52"/>
        <v>0.94551857559931685</v>
      </c>
      <c r="FL31" s="5">
        <f t="shared" si="213"/>
        <v>0.99632144285729807</v>
      </c>
      <c r="FM31" s="8">
        <f t="shared" si="214"/>
        <v>0.14323680817469461</v>
      </c>
      <c r="FN31" s="9">
        <f t="shared" si="215"/>
        <v>7.9121406207231768</v>
      </c>
      <c r="FO31" s="10">
        <f t="shared" si="53"/>
        <v>-1</v>
      </c>
      <c r="FP31" s="277">
        <f t="shared" si="54"/>
        <v>-7.9121406207231768</v>
      </c>
      <c r="FQ31" s="173">
        <f t="shared" si="243"/>
        <v>0.13765442576892653</v>
      </c>
      <c r="FR31" s="10">
        <f t="shared" si="216"/>
        <v>0.99048031735427589</v>
      </c>
      <c r="FS31" s="9">
        <f t="shared" si="217"/>
        <v>0.12201948978881277</v>
      </c>
      <c r="FT31" s="6">
        <f t="shared" si="218"/>
        <v>0.87798051021118717</v>
      </c>
      <c r="FU31" s="4">
        <f t="shared" si="219"/>
        <v>0.99149368314757969</v>
      </c>
      <c r="FV31" s="5">
        <f t="shared" si="220"/>
        <v>1</v>
      </c>
      <c r="FW31" s="8">
        <f t="shared" si="244"/>
        <v>0.24721605649013276</v>
      </c>
      <c r="FX31" s="9">
        <f t="shared" si="245"/>
        <v>14.253368889048975</v>
      </c>
      <c r="FY31" s="10">
        <f t="shared" si="55"/>
        <v>1</v>
      </c>
      <c r="FZ31" s="277">
        <f t="shared" si="246"/>
        <v>14.253368889048975</v>
      </c>
      <c r="GA31" s="177">
        <f t="shared" si="221"/>
        <v>14.131419900046982</v>
      </c>
      <c r="GB31" s="4">
        <f t="shared" si="222"/>
        <v>0.13341693175883168</v>
      </c>
      <c r="GC31" s="5">
        <f t="shared" si="223"/>
        <v>0.95998980178631876</v>
      </c>
      <c r="GD31" s="10">
        <f t="shared" si="224"/>
        <v>-0.24621028164218434</v>
      </c>
      <c r="GE31" s="311">
        <f t="shared" si="225"/>
        <v>1.3396170151873348</v>
      </c>
      <c r="GF31" s="341">
        <f t="shared" si="247"/>
        <v>0.74648200841205192</v>
      </c>
      <c r="GG31" s="285">
        <f t="shared" si="56"/>
        <v>9.9593339175506349E-2</v>
      </c>
      <c r="GH31" s="286">
        <f t="shared" si="57"/>
        <v>0.71661511529253896</v>
      </c>
      <c r="GI31" s="281">
        <f t="shared" si="58"/>
        <v>0.18379154553195473</v>
      </c>
      <c r="GJ31" s="167">
        <f t="shared" si="226"/>
        <v>0.46260000000000001</v>
      </c>
      <c r="GK31" s="174">
        <f t="shared" si="59"/>
        <v>0.2431110916343748</v>
      </c>
      <c r="GL31" s="174">
        <f t="shared" si="227"/>
        <v>5.7200000000000001E-2</v>
      </c>
      <c r="GM31" s="177">
        <f t="shared" si="248"/>
        <v>0.16687145329783487</v>
      </c>
      <c r="GN31" s="280">
        <f t="shared" si="228"/>
        <v>2.9877749658484262E-2</v>
      </c>
      <c r="GO31" s="4">
        <f t="shared" si="229"/>
        <v>-7.9121406207231768</v>
      </c>
      <c r="GP31" s="8">
        <f t="shared" si="249"/>
        <v>14.253368889048975</v>
      </c>
      <c r="GQ31" s="177">
        <f t="shared" si="230"/>
        <v>16.060113825108626</v>
      </c>
      <c r="GR31" s="371">
        <f t="shared" si="250"/>
        <v>572.44906961860613</v>
      </c>
      <c r="GS31" s="342">
        <f t="shared" si="61"/>
        <v>57.012114351228888</v>
      </c>
      <c r="GT31" s="343">
        <f t="shared" si="62"/>
        <v>234.51054399842789</v>
      </c>
      <c r="GU31" s="344">
        <f t="shared" si="63"/>
        <v>410.22565602384407</v>
      </c>
      <c r="GV31" s="343">
        <f t="shared" si="252"/>
        <v>1687.4</v>
      </c>
      <c r="GW31" s="345">
        <f t="shared" si="64"/>
        <v>29500</v>
      </c>
      <c r="GX31" s="346">
        <f t="shared" si="65"/>
        <v>65.049270000000007</v>
      </c>
      <c r="GY31" s="344">
        <f t="shared" si="66"/>
        <v>105.21129924353318</v>
      </c>
      <c r="GZ31" s="345">
        <f t="shared" si="67"/>
        <v>432.77046117568739</v>
      </c>
      <c r="HA31" s="342">
        <f t="shared" si="68"/>
        <v>-57.012114351228888</v>
      </c>
      <c r="HB31" s="5">
        <f t="shared" si="231"/>
        <v>247.91214062072328</v>
      </c>
      <c r="HC31" s="343">
        <f t="shared" si="232"/>
        <v>21.438147288423547</v>
      </c>
      <c r="HD31" s="363">
        <f t="shared" si="233"/>
        <v>52.827900049476291</v>
      </c>
      <c r="HE31" s="344">
        <f t="shared" si="69"/>
        <v>1687.4</v>
      </c>
      <c r="HF31" s="5">
        <f t="shared" si="70"/>
        <v>337.91214062072328</v>
      </c>
      <c r="HG31" s="343">
        <f t="shared" si="234"/>
        <v>1563.5588954712193</v>
      </c>
      <c r="HH31" s="349">
        <f t="shared" si="235"/>
        <v>-634.5095274247825</v>
      </c>
      <c r="HI31" s="317">
        <f t="shared" si="71"/>
        <v>5.1020000000000003</v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5.1020000000000003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88"/>
        <v>1613</v>
      </c>
      <c r="IM31" s="482" t="str">
        <f t="shared" si="237"/>
        <v/>
      </c>
      <c r="IN31" s="670" t="str">
        <f t="shared" si="90"/>
        <v/>
      </c>
      <c r="IO31" s="702"/>
      <c r="IP31" s="5" t="str">
        <f t="shared" si="91"/>
        <v/>
      </c>
      <c r="IQ31" s="714"/>
      <c r="IR31" s="9" t="str">
        <f t="shared" si="139"/>
        <v/>
      </c>
      <c r="IS31" s="5" t="str">
        <f t="shared" si="92"/>
        <v/>
      </c>
      <c r="IT31" s="5" t="str">
        <f t="shared" si="93"/>
        <v/>
      </c>
      <c r="IU31" s="5" t="str">
        <f t="shared" si="94"/>
        <v/>
      </c>
      <c r="IV31" s="670" t="str">
        <f t="shared" si="95"/>
        <v/>
      </c>
      <c r="IW31" s="9" t="str">
        <f t="shared" si="96"/>
        <v/>
      </c>
      <c r="IX31" s="5" t="str">
        <f t="shared" si="97"/>
        <v/>
      </c>
      <c r="IY31" s="5" t="str">
        <f t="shared" si="98"/>
        <v/>
      </c>
      <c r="IZ31" s="5" t="str">
        <f t="shared" si="99"/>
        <v/>
      </c>
      <c r="JA31" s="705" t="str">
        <f t="shared" si="100"/>
        <v/>
      </c>
    </row>
    <row r="32" spans="1:271" ht="15" customHeight="1" x14ac:dyDescent="0.25">
      <c r="A32" s="75">
        <f t="shared" si="1"/>
        <v>0.02</v>
      </c>
      <c r="B32" s="578">
        <f t="shared" si="2"/>
        <v>-1.1044740468573166</v>
      </c>
      <c r="C32" s="572">
        <f t="shared" si="3"/>
        <v>-0.64910761571574982</v>
      </c>
      <c r="D32" s="576">
        <f t="shared" si="4"/>
        <v>-0.36277638090205044</v>
      </c>
      <c r="E32" s="580">
        <f t="shared" si="5"/>
        <v>0.48296291314453382</v>
      </c>
      <c r="F32" s="572">
        <f t="shared" si="6"/>
        <v>-0.83651630373780828</v>
      </c>
      <c r="G32" s="579">
        <f t="shared" si="7"/>
        <v>0.25881904510252074</v>
      </c>
      <c r="H32" s="580">
        <f t="shared" si="8"/>
        <v>0.3125</v>
      </c>
      <c r="I32" s="572">
        <f t="shared" si="9"/>
        <v>0.52</v>
      </c>
      <c r="J32" s="483">
        <f t="shared" si="10"/>
        <v>5.1050000000000004</v>
      </c>
      <c r="K32" s="806">
        <f t="shared" si="11"/>
        <v>1613</v>
      </c>
      <c r="L32" s="309"/>
      <c r="M32" s="164">
        <f t="shared" si="12"/>
        <v>5.1050000000000004</v>
      </c>
      <c r="N32" s="575">
        <f t="shared" si="13"/>
        <v>-1.1044740468573166</v>
      </c>
      <c r="O32" s="572">
        <f t="shared" si="14"/>
        <v>-0.64910761571574982</v>
      </c>
      <c r="P32" s="576">
        <f t="shared" si="15"/>
        <v>-0.36277638090205044</v>
      </c>
      <c r="Q32" s="528">
        <f t="shared" si="140"/>
        <v>210.44307072429709</v>
      </c>
      <c r="R32" s="572">
        <f t="shared" si="101"/>
        <v>1.2810946947675506</v>
      </c>
      <c r="S32" s="577">
        <f t="shared" si="102"/>
        <v>-0.36277638090205044</v>
      </c>
      <c r="T32" s="578">
        <f t="shared" si="103"/>
        <v>-0.65138744896454115</v>
      </c>
      <c r="U32" s="572">
        <f t="shared" si="104"/>
        <v>1.1031310023261203</v>
      </c>
      <c r="V32" s="579">
        <f t="shared" si="141"/>
        <v>-0.36277638090205044</v>
      </c>
      <c r="W32" s="528">
        <f t="shared" si="253"/>
        <v>120.56141143633728</v>
      </c>
      <c r="X32" s="572">
        <f t="shared" si="105"/>
        <v>1.2810946947675506</v>
      </c>
      <c r="Y32" s="573">
        <f t="shared" si="255"/>
        <v>-0.36277638090205044</v>
      </c>
      <c r="Z32" s="575">
        <f t="shared" si="18"/>
        <v>-0.48296291314453382</v>
      </c>
      <c r="AA32" s="572">
        <f t="shared" si="19"/>
        <v>0.83651630373780828</v>
      </c>
      <c r="AB32" s="572">
        <f t="shared" si="20"/>
        <v>-0.25881904510252074</v>
      </c>
      <c r="AC32" s="579">
        <f t="shared" si="106"/>
        <v>1</v>
      </c>
      <c r="AD32" s="580">
        <f t="shared" si="142"/>
        <v>-0.48296291314453382</v>
      </c>
      <c r="AE32" s="572">
        <f t="shared" si="107"/>
        <v>0.83651630373780828</v>
      </c>
      <c r="AF32" s="576">
        <f t="shared" si="108"/>
        <v>-0.25881904510252074</v>
      </c>
      <c r="AG32" s="545">
        <f t="shared" si="109"/>
        <v>72.807876265979033</v>
      </c>
      <c r="AH32" s="546">
        <f t="shared" si="110"/>
        <v>118.87909401742758</v>
      </c>
      <c r="AI32" s="528">
        <f t="shared" si="111"/>
        <v>-75</v>
      </c>
      <c r="AJ32" s="529">
        <f t="shared" si="112"/>
        <v>-150.00000000000003</v>
      </c>
      <c r="AK32" s="578">
        <f t="shared" si="238"/>
        <v>0.96589694527329595</v>
      </c>
      <c r="AL32" s="572">
        <f t="shared" si="113"/>
        <v>-7.4694714629160996E-3</v>
      </c>
      <c r="AM32" s="577">
        <f t="shared" si="114"/>
        <v>-0.25881904510252074</v>
      </c>
      <c r="AN32" s="524">
        <f t="shared" si="115"/>
        <v>-1.6530871296738316</v>
      </c>
      <c r="AO32" s="525">
        <f t="shared" si="116"/>
        <v>15.006392172163403</v>
      </c>
      <c r="AP32" s="528">
        <f t="shared" si="117"/>
        <v>-0.44307072429712452</v>
      </c>
      <c r="AQ32" s="529">
        <f t="shared" si="21"/>
        <v>1.7789426802737844</v>
      </c>
      <c r="AS32" s="932">
        <f t="shared" si="143"/>
        <v>-239.43858856366273</v>
      </c>
      <c r="AT32" s="928">
        <f t="shared" si="22"/>
        <v>-0.19502253295038055</v>
      </c>
      <c r="AU32" s="418"/>
      <c r="AV32" s="164">
        <f t="shared" si="23"/>
        <v>5.1050000000000004</v>
      </c>
      <c r="AW32" s="829">
        <f>IFERROR(INDEX(MassProp!C$9:C$150,MATCH($M32,MassProp!$B$9:$B$150,0)),"")</f>
        <v>1.161</v>
      </c>
      <c r="AX32" s="830">
        <f>IFERROR(INDEX(MassProp!D$9:D$150,MATCH($M32,MassProp!$B$9:$B$150,0)),"")</f>
        <v>0.2661</v>
      </c>
      <c r="AY32" s="831">
        <f>IFERROR(INDEX(MassProp!E$9:E$150,MATCH($M32,MassProp!$B$9:$B$150,0)),"")</f>
        <v>5.6800000000000003E-2</v>
      </c>
      <c r="AZ32" s="297">
        <f t="shared" si="144"/>
        <v>0.41458665178086257</v>
      </c>
      <c r="BA32" s="296">
        <f t="shared" si="24"/>
        <v>7.4230288937134334E-2</v>
      </c>
      <c r="BB32" s="190">
        <f t="shared" si="145"/>
        <v>0.21112253295038055</v>
      </c>
      <c r="BC32" s="9"/>
      <c r="BD32" s="5">
        <f t="shared" si="146"/>
        <v>1.161</v>
      </c>
      <c r="BE32" s="6">
        <f t="shared" si="25"/>
        <v>-0.15165384795166989</v>
      </c>
      <c r="BF32" s="4">
        <f t="shared" si="26"/>
        <v>-1.1044740468573166</v>
      </c>
      <c r="BG32" s="5">
        <f t="shared" si="27"/>
        <v>-0.64910761571574982</v>
      </c>
      <c r="BH32" s="10">
        <f t="shared" si="28"/>
        <v>-0.36277638090205044</v>
      </c>
      <c r="BI32" s="9">
        <f t="shared" si="147"/>
        <v>-1.1044740468573166</v>
      </c>
      <c r="BJ32" s="5">
        <f t="shared" si="29"/>
        <v>-0.35353088750010947</v>
      </c>
      <c r="BK32" s="8">
        <f t="shared" si="30"/>
        <v>0.59254262222587728</v>
      </c>
      <c r="BL32" s="173">
        <f t="shared" si="31"/>
        <v>-0.22883323891895557</v>
      </c>
      <c r="BM32" s="5">
        <f t="shared" si="32"/>
        <v>-0.18772396698275406</v>
      </c>
      <c r="BN32" s="6">
        <f t="shared" si="33"/>
        <v>-0.50552897861880619</v>
      </c>
      <c r="BO32" s="4">
        <f t="shared" si="148"/>
        <v>-0.4829629131445336</v>
      </c>
      <c r="BP32" s="5">
        <f t="shared" si="239"/>
        <v>0.83651630373780828</v>
      </c>
      <c r="BQ32" s="5">
        <f t="shared" si="149"/>
        <v>-0.25881904510252074</v>
      </c>
      <c r="BR32" s="6">
        <f t="shared" si="150"/>
        <v>-8.4324336226958063E-2</v>
      </c>
      <c r="BS32" s="4">
        <f t="shared" si="118"/>
        <v>0</v>
      </c>
      <c r="BT32" s="5">
        <f t="shared" si="118"/>
        <v>0</v>
      </c>
      <c r="BU32" s="10">
        <f t="shared" si="119"/>
        <v>-0.15165384795166989</v>
      </c>
      <c r="BV32" s="9">
        <f t="shared" si="120"/>
        <v>0</v>
      </c>
      <c r="BW32" s="5">
        <f t="shared" si="121"/>
        <v>1</v>
      </c>
      <c r="BX32" s="8">
        <f t="shared" si="122"/>
        <v>-0.15165384795166989</v>
      </c>
      <c r="BY32" s="173">
        <f t="shared" si="123"/>
        <v>1</v>
      </c>
      <c r="BZ32" s="5">
        <f t="shared" si="124"/>
        <v>0</v>
      </c>
      <c r="CA32" s="6">
        <f t="shared" si="125"/>
        <v>-0.15165384795166989</v>
      </c>
      <c r="CB32" s="4">
        <f t="shared" si="151"/>
        <v>0</v>
      </c>
      <c r="CC32" s="5">
        <f t="shared" si="152"/>
        <v>0</v>
      </c>
      <c r="CD32" s="5">
        <f t="shared" si="153"/>
        <v>-1</v>
      </c>
      <c r="CE32" s="6">
        <f t="shared" si="154"/>
        <v>-0.15165384795166989</v>
      </c>
      <c r="CF32" s="4">
        <f t="shared" si="155"/>
        <v>-0.83651630373780828</v>
      </c>
      <c r="CG32" s="5">
        <f t="shared" si="156"/>
        <v>-0.4829629131445336</v>
      </c>
      <c r="CH32" s="5">
        <f t="shared" si="157"/>
        <v>0</v>
      </c>
      <c r="CI32" s="4">
        <f t="shared" si="126"/>
        <v>0</v>
      </c>
      <c r="CJ32" s="5">
        <f t="shared" si="127"/>
        <v>5.3882311573106516E-2</v>
      </c>
      <c r="CK32" s="8">
        <f t="shared" si="128"/>
        <v>-0.15165384795166989</v>
      </c>
      <c r="CL32" s="173">
        <f t="shared" si="129"/>
        <v>-0.83651630373780828</v>
      </c>
      <c r="CM32" s="5">
        <f t="shared" si="130"/>
        <v>-0.42908060157142708</v>
      </c>
      <c r="CN32" s="6">
        <f t="shared" si="131"/>
        <v>-0.15165384795166989</v>
      </c>
      <c r="CO32" s="167">
        <f t="shared" si="35"/>
        <v>0.3125</v>
      </c>
      <c r="CP32" s="4">
        <f t="shared" si="240"/>
        <v>0.93301270189221941</v>
      </c>
      <c r="CQ32" s="5">
        <f t="shared" si="241"/>
        <v>-2.5268572208922224</v>
      </c>
      <c r="CR32" s="5">
        <f t="shared" si="158"/>
        <v>1.660974231970354</v>
      </c>
      <c r="CS32" s="8">
        <f t="shared" si="159"/>
        <v>0.18616719099911005</v>
      </c>
      <c r="CT32" s="9">
        <f t="shared" si="160"/>
        <v>1.5853632950732934</v>
      </c>
      <c r="CU32" s="6">
        <f t="shared" si="161"/>
        <v>1.1229141118339945</v>
      </c>
      <c r="CV32" s="4">
        <f t="shared" si="242"/>
        <v>-1.3261822436763038</v>
      </c>
      <c r="CW32" s="5">
        <f t="shared" si="162"/>
        <v>-0.71178936380790814</v>
      </c>
      <c r="CX32" s="8">
        <f t="shared" si="163"/>
        <v>-0.15165384795166989</v>
      </c>
      <c r="CY32" s="9">
        <f t="shared" si="164"/>
        <v>-0.93933596224639693</v>
      </c>
      <c r="CZ32" s="5">
        <f t="shared" si="165"/>
        <v>-0.488443559089346</v>
      </c>
      <c r="DA32" s="6">
        <f t="shared" si="166"/>
        <v>-0.15165384795166989</v>
      </c>
      <c r="DB32" s="4">
        <f t="shared" si="167"/>
        <v>0</v>
      </c>
      <c r="DC32" s="5">
        <f t="shared" si="167"/>
        <v>0</v>
      </c>
      <c r="DD32" s="10">
        <f t="shared" si="168"/>
        <v>-10</v>
      </c>
      <c r="DE32" s="9">
        <f t="shared" si="169"/>
        <v>0</v>
      </c>
      <c r="DF32" s="5">
        <f t="shared" si="169"/>
        <v>0</v>
      </c>
      <c r="DG32" s="10">
        <f t="shared" si="170"/>
        <v>10</v>
      </c>
      <c r="DH32" s="70">
        <f t="shared" si="171"/>
        <v>1.161</v>
      </c>
      <c r="DI32" s="4">
        <f t="shared" si="172"/>
        <v>0</v>
      </c>
      <c r="DJ32" s="5">
        <f t="shared" si="173"/>
        <v>0</v>
      </c>
      <c r="DK32" s="10">
        <f t="shared" si="174"/>
        <v>20</v>
      </c>
      <c r="DL32" s="9">
        <f t="shared" si="175"/>
        <v>-1.3261822436763038</v>
      </c>
      <c r="DM32" s="173">
        <f t="shared" si="176"/>
        <v>-0.71178936380790814</v>
      </c>
      <c r="DN32" s="178">
        <f t="shared" si="177"/>
        <v>9.8483461520483306</v>
      </c>
      <c r="DO32" s="9">
        <f t="shared" si="178"/>
        <v>0.38684628142990685</v>
      </c>
      <c r="DP32" s="173">
        <f t="shared" si="179"/>
        <v>0.22334580471856214</v>
      </c>
      <c r="DQ32" s="11">
        <f t="shared" si="180"/>
        <v>0</v>
      </c>
      <c r="DR32" s="173">
        <f t="shared" si="181"/>
        <v>196.96692304096661</v>
      </c>
      <c r="DS32" s="5">
        <f t="shared" si="182"/>
        <v>0</v>
      </c>
      <c r="DT32" s="5">
        <f t="shared" si="183"/>
        <v>400</v>
      </c>
      <c r="DU32" s="5">
        <f t="shared" si="184"/>
        <v>0.19953339394152877</v>
      </c>
      <c r="DV32" s="5">
        <f t="shared" si="185"/>
        <v>-0.67200383771433936</v>
      </c>
      <c r="DW32" s="5">
        <f t="shared" si="186"/>
        <v>99.255325372437539</v>
      </c>
      <c r="DX32" s="167">
        <f t="shared" si="187"/>
        <v>97.90740437243754</v>
      </c>
      <c r="DY32" s="9">
        <f t="shared" si="188"/>
        <v>79.813357576611509</v>
      </c>
      <c r="DZ32" s="5">
        <f t="shared" si="189"/>
        <v>-268.80153508573574</v>
      </c>
      <c r="EA32" s="10">
        <f t="shared" si="190"/>
        <v>366.99297674895206</v>
      </c>
      <c r="EB32" s="6">
        <f t="shared" si="191"/>
        <v>42963.323583078847</v>
      </c>
      <c r="EC32" s="173">
        <f t="shared" si="192"/>
        <v>5.9648849455130559</v>
      </c>
      <c r="ED32" s="5">
        <f t="shared" si="193"/>
        <v>0.77086814763849187</v>
      </c>
      <c r="EE32" s="4">
        <f t="shared" si="194"/>
        <v>0.98131131665265459</v>
      </c>
      <c r="EF32" s="5">
        <f t="shared" si="195"/>
        <v>0.62044266440134199</v>
      </c>
      <c r="EG32" s="10">
        <f t="shared" si="196"/>
        <v>-0.15165384795166989</v>
      </c>
      <c r="EH32" s="9">
        <f t="shared" si="197"/>
        <v>-1.0279747672895927</v>
      </c>
      <c r="EI32" s="5">
        <f t="shared" si="198"/>
        <v>-0.53961919704168182</v>
      </c>
      <c r="EJ32" s="6">
        <f t="shared" si="199"/>
        <v>-0.15165384795166989</v>
      </c>
      <c r="EK32" s="236" t="b">
        <f t="shared" si="200"/>
        <v>0</v>
      </c>
      <c r="EL32" s="238" t="b">
        <f t="shared" si="201"/>
        <v>1</v>
      </c>
      <c r="EM32" s="4">
        <f t="shared" si="202"/>
        <v>-1.0279747672895927</v>
      </c>
      <c r="EN32" s="5">
        <f t="shared" si="203"/>
        <v>-0.53961919704168182</v>
      </c>
      <c r="EO32" s="10">
        <f t="shared" si="204"/>
        <v>-0.15165384795166989</v>
      </c>
      <c r="EP32" s="9">
        <f t="shared" si="205"/>
        <v>207.69652097732961</v>
      </c>
      <c r="EQ32" s="5">
        <f t="shared" si="206"/>
        <v>1.1610000000000007</v>
      </c>
      <c r="ER32" s="7">
        <f t="shared" si="207"/>
        <v>-0.15165384795166989</v>
      </c>
      <c r="ES32" s="21">
        <f t="shared" si="132"/>
        <v>-0.48296291314453382</v>
      </c>
      <c r="ET32" s="5">
        <f t="shared" si="44"/>
        <v>0.83651630373780828</v>
      </c>
      <c r="EU32" s="10">
        <f t="shared" si="45"/>
        <v>-0.25881904510252074</v>
      </c>
      <c r="EV32" s="174">
        <f t="shared" si="254"/>
        <v>242.30347902267039</v>
      </c>
      <c r="EW32" s="9">
        <f t="shared" si="133"/>
        <v>0.96514531615916266</v>
      </c>
      <c r="EX32" s="5">
        <f t="shared" si="47"/>
        <v>3.8822938944000407E-2</v>
      </c>
      <c r="EY32" s="6">
        <f t="shared" si="208"/>
        <v>-0.25881904510252074</v>
      </c>
      <c r="EZ32" s="51">
        <f t="shared" si="209"/>
        <v>1.962820621546628</v>
      </c>
      <c r="FA32" s="266">
        <f t="shared" si="134"/>
        <v>-0.46451557492066864</v>
      </c>
      <c r="FB32" s="267">
        <f t="shared" si="135"/>
        <v>0.88490233974122601</v>
      </c>
      <c r="FC32" s="269">
        <f t="shared" si="48"/>
        <v>-3.4250982126423274E-2</v>
      </c>
      <c r="FD32" s="4">
        <f t="shared" si="136"/>
        <v>0.99941326298152333</v>
      </c>
      <c r="FE32" s="5">
        <f t="shared" si="49"/>
        <v>1.1102230246251565E-16</v>
      </c>
      <c r="FF32" s="7">
        <f t="shared" si="210"/>
        <v>-3.4250982126423274E-2</v>
      </c>
      <c r="FG32" s="173">
        <f t="shared" si="211"/>
        <v>-3.4267946822360673E-2</v>
      </c>
      <c r="FH32" s="5">
        <f t="shared" si="50"/>
        <v>3.8822938944000296E-2</v>
      </c>
      <c r="FI32" s="10">
        <f t="shared" si="51"/>
        <v>-0.22456806297609747</v>
      </c>
      <c r="FJ32" s="279">
        <f t="shared" si="212"/>
        <v>13.233847121407077</v>
      </c>
      <c r="FK32" s="4">
        <f t="shared" si="52"/>
        <v>0.96592582628906842</v>
      </c>
      <c r="FL32" s="5">
        <f t="shared" si="213"/>
        <v>0.99941326298152333</v>
      </c>
      <c r="FM32" s="8">
        <f t="shared" si="214"/>
        <v>5.1783325189386151E-2</v>
      </c>
      <c r="FN32" s="9">
        <f t="shared" si="215"/>
        <v>2.3034790226705231</v>
      </c>
      <c r="FO32" s="10">
        <f t="shared" si="53"/>
        <v>-1</v>
      </c>
      <c r="FP32" s="277">
        <f t="shared" si="54"/>
        <v>-2.3034790226705231</v>
      </c>
      <c r="FQ32" s="173">
        <f t="shared" si="243"/>
        <v>4.019246394224113E-2</v>
      </c>
      <c r="FR32" s="10">
        <f t="shared" si="216"/>
        <v>0.99919195645393966</v>
      </c>
      <c r="FS32" s="9">
        <f t="shared" si="217"/>
        <v>3.8669488548732547E-2</v>
      </c>
      <c r="FT32" s="6">
        <f t="shared" si="218"/>
        <v>0.96133051145126736</v>
      </c>
      <c r="FU32" s="4">
        <f t="shared" si="219"/>
        <v>0.99924610552743753</v>
      </c>
      <c r="FV32" s="5">
        <f t="shared" si="220"/>
        <v>1</v>
      </c>
      <c r="FW32" s="8">
        <f t="shared" si="244"/>
        <v>0.22716757490508327</v>
      </c>
      <c r="FX32" s="9">
        <f t="shared" si="245"/>
        <v>13.048762482183101</v>
      </c>
      <c r="FY32" s="10">
        <f t="shared" si="55"/>
        <v>1</v>
      </c>
      <c r="FZ32" s="277">
        <f t="shared" si="246"/>
        <v>13.048762482183101</v>
      </c>
      <c r="GA32" s="177">
        <f t="shared" si="221"/>
        <v>13.038264119457189</v>
      </c>
      <c r="GB32" s="4">
        <f t="shared" si="222"/>
        <v>3.9154624739894631E-2</v>
      </c>
      <c r="GC32" s="5">
        <f t="shared" si="223"/>
        <v>0.97339108531134222</v>
      </c>
      <c r="GD32" s="10">
        <f t="shared" si="224"/>
        <v>-0.22578022587880772</v>
      </c>
      <c r="GE32" s="311">
        <f t="shared" si="225"/>
        <v>1.2383259359300447</v>
      </c>
      <c r="GF32" s="341">
        <f t="shared" si="247"/>
        <v>0.80754183610710695</v>
      </c>
      <c r="GG32" s="285">
        <f t="shared" si="56"/>
        <v>3.1618997554539265E-2</v>
      </c>
      <c r="GH32" s="286">
        <f t="shared" si="57"/>
        <v>0.78605402428261084</v>
      </c>
      <c r="GI32" s="281">
        <f t="shared" si="58"/>
        <v>0.18232697816284973</v>
      </c>
      <c r="GJ32" s="167">
        <f t="shared" si="226"/>
        <v>1.161</v>
      </c>
      <c r="GK32" s="174">
        <f t="shared" si="59"/>
        <v>0.6082550642324861</v>
      </c>
      <c r="GL32" s="174">
        <f t="shared" si="227"/>
        <v>5.6800000000000003E-2</v>
      </c>
      <c r="GM32" s="177">
        <f t="shared" si="248"/>
        <v>0.41458665178086257</v>
      </c>
      <c r="GN32" s="280">
        <f t="shared" si="228"/>
        <v>7.4230288937134334E-2</v>
      </c>
      <c r="GO32" s="4">
        <f t="shared" si="229"/>
        <v>-2.3034790226705231</v>
      </c>
      <c r="GP32" s="8">
        <f t="shared" si="249"/>
        <v>13.048762482183101</v>
      </c>
      <c r="GQ32" s="177">
        <f t="shared" si="230"/>
        <v>13.233847121407077</v>
      </c>
      <c r="GR32" s="371">
        <f t="shared" si="250"/>
        <v>1296.5930510413905</v>
      </c>
      <c r="GS32" s="342">
        <f t="shared" si="61"/>
        <v>40.996972510110339</v>
      </c>
      <c r="GT32" s="343">
        <f t="shared" si="62"/>
        <v>67.400955488700305</v>
      </c>
      <c r="GU32" s="344">
        <f t="shared" si="63"/>
        <v>1019.1921856279538</v>
      </c>
      <c r="GV32" s="343">
        <f t="shared" si="252"/>
        <v>1675.6000000000001</v>
      </c>
      <c r="GW32" s="345">
        <f t="shared" si="64"/>
        <v>29500</v>
      </c>
      <c r="GX32" s="346">
        <f t="shared" si="65"/>
        <v>162.11430000000001</v>
      </c>
      <c r="GY32" s="344">
        <f t="shared" si="66"/>
        <v>236.40389290332635</v>
      </c>
      <c r="GZ32" s="345">
        <f t="shared" si="67"/>
        <v>388.65914450153844</v>
      </c>
      <c r="HA32" s="342">
        <f t="shared" si="68"/>
        <v>-40.996972510110339</v>
      </c>
      <c r="HB32" s="5">
        <f t="shared" si="231"/>
        <v>242.30347902267039</v>
      </c>
      <c r="HC32" s="343">
        <f t="shared" si="232"/>
        <v>19.054912478075469</v>
      </c>
      <c r="HD32" s="363">
        <f t="shared" si="233"/>
        <v>36.299615224512046</v>
      </c>
      <c r="HE32" s="344">
        <f t="shared" si="69"/>
        <v>1675.6000000000001</v>
      </c>
      <c r="HF32" s="5">
        <f t="shared" si="70"/>
        <v>332.30347902267039</v>
      </c>
      <c r="HG32" s="343">
        <f t="shared" si="234"/>
        <v>1483.612851051198</v>
      </c>
      <c r="HH32" s="349">
        <f t="shared" si="235"/>
        <v>-778.79924768565138</v>
      </c>
      <c r="HI32" s="317">
        <f t="shared" si="71"/>
        <v>5.1050000000000004</v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5.1050000000000004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88"/>
        <v>1613</v>
      </c>
      <c r="IM32" s="482" t="str">
        <f t="shared" si="237"/>
        <v/>
      </c>
      <c r="IN32" s="670" t="str">
        <f t="shared" si="90"/>
        <v/>
      </c>
      <c r="IO32" s="702"/>
      <c r="IP32" s="5" t="str">
        <f t="shared" si="91"/>
        <v/>
      </c>
      <c r="IQ32" s="714"/>
      <c r="IR32" s="9" t="str">
        <f t="shared" si="139"/>
        <v/>
      </c>
      <c r="IS32" s="5" t="str">
        <f t="shared" si="92"/>
        <v/>
      </c>
      <c r="IT32" s="5" t="str">
        <f t="shared" si="93"/>
        <v/>
      </c>
      <c r="IU32" s="5" t="str">
        <f t="shared" si="94"/>
        <v/>
      </c>
      <c r="IV32" s="670" t="str">
        <f t="shared" si="95"/>
        <v/>
      </c>
      <c r="IW32" s="9" t="str">
        <f t="shared" si="96"/>
        <v/>
      </c>
      <c r="IX32" s="5" t="str">
        <f t="shared" si="97"/>
        <v/>
      </c>
      <c r="IY32" s="5" t="str">
        <f t="shared" si="98"/>
        <v/>
      </c>
      <c r="IZ32" s="5" t="str">
        <f t="shared" si="99"/>
        <v/>
      </c>
      <c r="JA32" s="705" t="str">
        <f t="shared" si="100"/>
        <v/>
      </c>
    </row>
    <row r="33" spans="1:269" ht="15" customHeight="1" x14ac:dyDescent="0.25">
      <c r="A33" s="75">
        <f t="shared" si="1"/>
        <v>0.02</v>
      </c>
      <c r="B33" s="578">
        <f t="shared" si="2"/>
        <v>-1.757717008931919</v>
      </c>
      <c r="C33" s="572">
        <f t="shared" si="3"/>
        <v>-1.0262576157157497</v>
      </c>
      <c r="D33" s="576">
        <f t="shared" si="4"/>
        <v>-0.16497638090205041</v>
      </c>
      <c r="E33" s="580">
        <f t="shared" si="5"/>
        <v>0.48296291314453366</v>
      </c>
      <c r="F33" s="572">
        <f t="shared" si="6"/>
        <v>-0.83651630373780828</v>
      </c>
      <c r="G33" s="579">
        <f t="shared" si="7"/>
        <v>0.25881904510252079</v>
      </c>
      <c r="H33" s="580">
        <f t="shared" si="8"/>
        <v>0.3125</v>
      </c>
      <c r="I33" s="572">
        <f t="shared" si="9"/>
        <v>0.52</v>
      </c>
      <c r="J33" s="483">
        <f t="shared" si="10"/>
        <v>5.1079999999999997</v>
      </c>
      <c r="K33" s="806">
        <f t="shared" si="11"/>
        <v>1613</v>
      </c>
      <c r="L33" s="309"/>
      <c r="M33" s="164">
        <f t="shared" si="12"/>
        <v>5.1079999999999997</v>
      </c>
      <c r="N33" s="575">
        <f t="shared" si="13"/>
        <v>-1.757717008931919</v>
      </c>
      <c r="O33" s="572">
        <f t="shared" si="14"/>
        <v>-1.0262576157157497</v>
      </c>
      <c r="P33" s="576">
        <f t="shared" si="15"/>
        <v>-0.16497638090205041</v>
      </c>
      <c r="Q33" s="528">
        <f t="shared" si="140"/>
        <v>210.27887274069315</v>
      </c>
      <c r="R33" s="572">
        <f t="shared" si="101"/>
        <v>2.035380499391489</v>
      </c>
      <c r="S33" s="577">
        <f t="shared" si="102"/>
        <v>-0.16497638090205041</v>
      </c>
      <c r="T33" s="578">
        <f t="shared" si="103"/>
        <v>-1.029885874459767</v>
      </c>
      <c r="U33" s="572">
        <f t="shared" si="104"/>
        <v>1.7555935927461652</v>
      </c>
      <c r="V33" s="579">
        <f t="shared" si="141"/>
        <v>-0.16497638090205041</v>
      </c>
      <c r="W33" s="528">
        <f t="shared" si="253"/>
        <v>120.39721345273334</v>
      </c>
      <c r="X33" s="572">
        <f t="shared" si="105"/>
        <v>2.035380499391489</v>
      </c>
      <c r="Y33" s="573">
        <f t="shared" si="255"/>
        <v>-0.16497638090205041</v>
      </c>
      <c r="Z33" s="575">
        <f t="shared" si="18"/>
        <v>-0.48296291314453366</v>
      </c>
      <c r="AA33" s="572">
        <f t="shared" si="19"/>
        <v>0.83651630373780828</v>
      </c>
      <c r="AB33" s="572">
        <f t="shared" si="20"/>
        <v>-0.25881904510252079</v>
      </c>
      <c r="AC33" s="579">
        <f t="shared" si="106"/>
        <v>1</v>
      </c>
      <c r="AD33" s="580">
        <f t="shared" si="142"/>
        <v>-0.48296291314453366</v>
      </c>
      <c r="AE33" s="572">
        <f t="shared" si="107"/>
        <v>0.83651630373780828</v>
      </c>
      <c r="AF33" s="576">
        <f t="shared" si="108"/>
        <v>-0.25881904510252079</v>
      </c>
      <c r="AG33" s="545">
        <f t="shared" si="109"/>
        <v>72.807876265979033</v>
      </c>
      <c r="AH33" s="546">
        <f t="shared" si="110"/>
        <v>118.87909401742758</v>
      </c>
      <c r="AI33" s="528">
        <f t="shared" si="111"/>
        <v>-74.999999999999986</v>
      </c>
      <c r="AJ33" s="529">
        <f t="shared" si="112"/>
        <v>-150.00000000000003</v>
      </c>
      <c r="AK33" s="578">
        <f t="shared" si="238"/>
        <v>0.96591438487271375</v>
      </c>
      <c r="AL33" s="572">
        <f t="shared" si="113"/>
        <v>-4.7013815189445585E-3</v>
      </c>
      <c r="AM33" s="577">
        <f t="shared" si="114"/>
        <v>-0.25881904510252079</v>
      </c>
      <c r="AN33" s="524">
        <f t="shared" si="115"/>
        <v>-1.0406486811228461</v>
      </c>
      <c r="AO33" s="525">
        <f t="shared" si="116"/>
        <v>15.00253262197829</v>
      </c>
      <c r="AP33" s="528">
        <f t="shared" si="117"/>
        <v>-0.2788727406931687</v>
      </c>
      <c r="AQ33" s="529">
        <f t="shared" si="21"/>
        <v>1.1199067217325998</v>
      </c>
      <c r="AS33" s="932">
        <f t="shared" si="143"/>
        <v>-239.60278654726665</v>
      </c>
      <c r="AT33" s="928">
        <f t="shared" si="22"/>
        <v>2.8914934271221937E-3</v>
      </c>
      <c r="AU33" s="418"/>
      <c r="AV33" s="164">
        <f t="shared" si="23"/>
        <v>5.1079999999999997</v>
      </c>
      <c r="AW33" s="829">
        <f>IFERROR(INDEX(MassProp!C$9:C$150,MATCH($M33,MassProp!$B$9:$B$150,0)),"")</f>
        <v>1.8936999999999999</v>
      </c>
      <c r="AX33" s="830">
        <f>IFERROR(INDEX(MassProp!D$9:D$150,MATCH($M33,MassProp!$B$9:$B$150,0)),"")</f>
        <v>0.43959999999999999</v>
      </c>
      <c r="AY33" s="831">
        <f>IFERROR(INDEX(MassProp!E$9:E$150,MATCH($M33,MassProp!$B$9:$B$150,0)),"")</f>
        <v>6.4399999999999999E-2</v>
      </c>
      <c r="AZ33" s="297">
        <f t="shared" si="144"/>
        <v>0.76643046100218259</v>
      </c>
      <c r="BA33" s="296">
        <f t="shared" si="24"/>
        <v>0.13722669151558836</v>
      </c>
      <c r="BB33" s="190">
        <f t="shared" si="145"/>
        <v>0.1867085065728778</v>
      </c>
      <c r="BC33" s="9"/>
      <c r="BD33" s="5">
        <f t="shared" si="146"/>
        <v>1.8936999999999999</v>
      </c>
      <c r="BE33" s="6">
        <f t="shared" si="25"/>
        <v>2.1732125670827385E-2</v>
      </c>
      <c r="BF33" s="4">
        <f t="shared" si="26"/>
        <v>-1.757717008931919</v>
      </c>
      <c r="BG33" s="5">
        <f t="shared" si="27"/>
        <v>-1.0262576157157497</v>
      </c>
      <c r="BH33" s="10">
        <f t="shared" si="28"/>
        <v>-0.16497638090205041</v>
      </c>
      <c r="BI33" s="9">
        <f t="shared" si="147"/>
        <v>-1.757717008931919</v>
      </c>
      <c r="BJ33" s="5">
        <f t="shared" si="29"/>
        <v>-0.7306808875001094</v>
      </c>
      <c r="BK33" s="8">
        <f t="shared" si="30"/>
        <v>0.79034262222587737</v>
      </c>
      <c r="BL33" s="173">
        <f t="shared" si="31"/>
        <v>-0.88207620099355788</v>
      </c>
      <c r="BM33" s="5">
        <f t="shared" si="32"/>
        <v>-0.56487396698275394</v>
      </c>
      <c r="BN33" s="6">
        <f t="shared" si="33"/>
        <v>-0.3077289786188061</v>
      </c>
      <c r="BO33" s="4">
        <f t="shared" si="148"/>
        <v>-0.4829629131445336</v>
      </c>
      <c r="BP33" s="5">
        <f t="shared" si="239"/>
        <v>0.83651630373780839</v>
      </c>
      <c r="BQ33" s="5">
        <f t="shared" si="149"/>
        <v>-0.25881904510252063</v>
      </c>
      <c r="BR33" s="6">
        <f t="shared" si="150"/>
        <v>-3.3129929105679051E-2</v>
      </c>
      <c r="BS33" s="4">
        <f t="shared" si="118"/>
        <v>0</v>
      </c>
      <c r="BT33" s="5">
        <f t="shared" si="118"/>
        <v>0</v>
      </c>
      <c r="BU33" s="10">
        <f t="shared" si="119"/>
        <v>2.1732125670827385E-2</v>
      </c>
      <c r="BV33" s="9">
        <f t="shared" si="120"/>
        <v>0</v>
      </c>
      <c r="BW33" s="5">
        <f t="shared" si="121"/>
        <v>1</v>
      </c>
      <c r="BX33" s="8">
        <f t="shared" si="122"/>
        <v>2.1732125670827385E-2</v>
      </c>
      <c r="BY33" s="173">
        <f t="shared" si="123"/>
        <v>1</v>
      </c>
      <c r="BZ33" s="5">
        <f t="shared" si="124"/>
        <v>0</v>
      </c>
      <c r="CA33" s="6">
        <f t="shared" si="125"/>
        <v>2.1732125670827385E-2</v>
      </c>
      <c r="CB33" s="4">
        <f t="shared" si="151"/>
        <v>0</v>
      </c>
      <c r="CC33" s="5">
        <f t="shared" si="152"/>
        <v>0</v>
      </c>
      <c r="CD33" s="5">
        <f t="shared" si="153"/>
        <v>-1</v>
      </c>
      <c r="CE33" s="6">
        <f t="shared" si="154"/>
        <v>2.1732125670827385E-2</v>
      </c>
      <c r="CF33" s="4">
        <f t="shared" si="155"/>
        <v>-0.83651630373780839</v>
      </c>
      <c r="CG33" s="5">
        <f t="shared" si="156"/>
        <v>-0.4829629131445336</v>
      </c>
      <c r="CH33" s="5">
        <f t="shared" si="157"/>
        <v>0</v>
      </c>
      <c r="CI33" s="4">
        <f t="shared" si="126"/>
        <v>0</v>
      </c>
      <c r="CJ33" s="5">
        <f t="shared" si="127"/>
        <v>4.6328585523896182E-2</v>
      </c>
      <c r="CK33" s="8">
        <f t="shared" si="128"/>
        <v>2.1732125670827385E-2</v>
      </c>
      <c r="CL33" s="173">
        <f t="shared" si="129"/>
        <v>-0.83651630373780839</v>
      </c>
      <c r="CM33" s="5">
        <f t="shared" si="130"/>
        <v>-0.43663432762063742</v>
      </c>
      <c r="CN33" s="6">
        <f t="shared" si="131"/>
        <v>2.1732125670827385E-2</v>
      </c>
      <c r="CO33" s="167">
        <f t="shared" si="35"/>
        <v>0.3125</v>
      </c>
      <c r="CP33" s="4">
        <f t="shared" si="240"/>
        <v>0.93301270189221963</v>
      </c>
      <c r="CQ33" s="5">
        <f t="shared" si="241"/>
        <v>-3.9767565833562668</v>
      </c>
      <c r="CR33" s="5">
        <f t="shared" si="158"/>
        <v>4.1772140590049398</v>
      </c>
      <c r="CS33" s="8">
        <f t="shared" si="159"/>
        <v>0.22501782096994916</v>
      </c>
      <c r="CT33" s="9">
        <f t="shared" si="160"/>
        <v>2.3853464202224122</v>
      </c>
      <c r="CU33" s="6">
        <f t="shared" si="161"/>
        <v>1.8769284397994359</v>
      </c>
      <c r="CV33" s="4">
        <f t="shared" si="242"/>
        <v>-1.9953811705786653</v>
      </c>
      <c r="CW33" s="5">
        <f t="shared" si="162"/>
        <v>-1.1057052704456047</v>
      </c>
      <c r="CX33" s="8">
        <f t="shared" si="163"/>
        <v>2.1732125670827385E-2</v>
      </c>
      <c r="CY33" s="9">
        <f t="shared" si="164"/>
        <v>-1.5700812408413958</v>
      </c>
      <c r="CZ33" s="5">
        <f t="shared" si="165"/>
        <v>-0.86015824152546372</v>
      </c>
      <c r="DA33" s="6">
        <f t="shared" si="166"/>
        <v>2.1732125670827385E-2</v>
      </c>
      <c r="DB33" s="4">
        <f t="shared" si="167"/>
        <v>0</v>
      </c>
      <c r="DC33" s="5">
        <f t="shared" si="167"/>
        <v>0</v>
      </c>
      <c r="DD33" s="10">
        <f t="shared" si="168"/>
        <v>-10</v>
      </c>
      <c r="DE33" s="9">
        <f t="shared" si="169"/>
        <v>0</v>
      </c>
      <c r="DF33" s="5">
        <f t="shared" si="169"/>
        <v>0</v>
      </c>
      <c r="DG33" s="10">
        <f t="shared" si="170"/>
        <v>10</v>
      </c>
      <c r="DH33" s="70">
        <f t="shared" si="171"/>
        <v>1.8936999999999999</v>
      </c>
      <c r="DI33" s="4">
        <f t="shared" si="172"/>
        <v>0</v>
      </c>
      <c r="DJ33" s="5">
        <f t="shared" si="173"/>
        <v>0</v>
      </c>
      <c r="DK33" s="10">
        <f t="shared" si="174"/>
        <v>20</v>
      </c>
      <c r="DL33" s="9">
        <f t="shared" si="175"/>
        <v>-1.9953811705786653</v>
      </c>
      <c r="DM33" s="173">
        <f t="shared" si="176"/>
        <v>-1.1057052704456047</v>
      </c>
      <c r="DN33" s="178">
        <f t="shared" si="177"/>
        <v>10.021732125670827</v>
      </c>
      <c r="DO33" s="9">
        <f t="shared" si="178"/>
        <v>0.42529992973726949</v>
      </c>
      <c r="DP33" s="173">
        <f t="shared" si="179"/>
        <v>0.24554702892014102</v>
      </c>
      <c r="DQ33" s="11">
        <f t="shared" si="180"/>
        <v>0</v>
      </c>
      <c r="DR33" s="173">
        <f t="shared" si="181"/>
        <v>200.43464251341652</v>
      </c>
      <c r="DS33" s="5">
        <f t="shared" si="182"/>
        <v>0</v>
      </c>
      <c r="DT33" s="5">
        <f t="shared" si="183"/>
        <v>400</v>
      </c>
      <c r="DU33" s="5">
        <f t="shared" si="184"/>
        <v>0.24117337364603494</v>
      </c>
      <c r="DV33" s="5">
        <f t="shared" si="185"/>
        <v>-1.1201381156654362</v>
      </c>
      <c r="DW33" s="5">
        <f t="shared" si="186"/>
        <v>105.63924495969378</v>
      </c>
      <c r="DX33" s="167">
        <f t="shared" si="187"/>
        <v>102.05314526969379</v>
      </c>
      <c r="DY33" s="9">
        <f t="shared" si="188"/>
        <v>96.469349458413973</v>
      </c>
      <c r="DZ33" s="5">
        <f t="shared" si="189"/>
        <v>-448.05524626617449</v>
      </c>
      <c r="EA33" s="10">
        <f t="shared" si="190"/>
        <v>647.21218839643552</v>
      </c>
      <c r="EB33" s="6">
        <f t="shared" si="191"/>
        <v>138317.36493048168</v>
      </c>
      <c r="EC33" s="173">
        <f t="shared" si="192"/>
        <v>8.4997533083798373</v>
      </c>
      <c r="ED33" s="5">
        <f t="shared" si="193"/>
        <v>0.78931619984406354</v>
      </c>
      <c r="EE33" s="4">
        <f t="shared" si="194"/>
        <v>1.6195633142594035</v>
      </c>
      <c r="EF33" s="5">
        <f t="shared" si="195"/>
        <v>0.98138390098120332</v>
      </c>
      <c r="EG33" s="10">
        <f t="shared" si="196"/>
        <v>2.1732125670827385E-2</v>
      </c>
      <c r="EH33" s="9">
        <f t="shared" si="197"/>
        <v>-1.6596850462444965</v>
      </c>
      <c r="EI33" s="5">
        <f t="shared" si="198"/>
        <v>-0.91189102269535871</v>
      </c>
      <c r="EJ33" s="6">
        <f t="shared" si="199"/>
        <v>2.1732125670827385E-2</v>
      </c>
      <c r="EK33" s="236" t="b">
        <f t="shared" si="200"/>
        <v>0</v>
      </c>
      <c r="EL33" s="238" t="b">
        <f t="shared" si="201"/>
        <v>1</v>
      </c>
      <c r="EM33" s="272">
        <f t="shared" si="202"/>
        <v>-1.6596850462444965</v>
      </c>
      <c r="EN33" s="267">
        <f t="shared" si="203"/>
        <v>-0.91189102269535871</v>
      </c>
      <c r="EO33" s="273">
        <f t="shared" si="204"/>
        <v>2.1732125670827385E-2</v>
      </c>
      <c r="EP33" s="9">
        <f t="shared" si="205"/>
        <v>208.78598620254044</v>
      </c>
      <c r="EQ33" s="5">
        <f t="shared" si="206"/>
        <v>1.8936999999999957</v>
      </c>
      <c r="ER33" s="7">
        <f t="shared" si="207"/>
        <v>2.1732125670827385E-2</v>
      </c>
      <c r="ES33" s="274">
        <f t="shared" si="132"/>
        <v>-0.48296291314453366</v>
      </c>
      <c r="ET33" s="267">
        <f t="shared" si="44"/>
        <v>0.83651630373780828</v>
      </c>
      <c r="EU33" s="273">
        <f t="shared" si="45"/>
        <v>-0.25881904510252079</v>
      </c>
      <c r="EV33" s="174">
        <f t="shared" si="254"/>
        <v>241.21401379745956</v>
      </c>
      <c r="EW33" s="9">
        <f t="shared" si="133"/>
        <v>0.96570900620196554</v>
      </c>
      <c r="EX33" s="5">
        <f t="shared" si="47"/>
        <v>2.0465024618393168E-2</v>
      </c>
      <c r="EY33" s="6">
        <f t="shared" si="208"/>
        <v>-0.25881904510252079</v>
      </c>
      <c r="EZ33" s="51">
        <f t="shared" si="209"/>
        <v>1.2036707220479621</v>
      </c>
      <c r="FA33" s="266">
        <f t="shared" si="134"/>
        <v>-0.48143306995240875</v>
      </c>
      <c r="FB33" s="267">
        <f t="shared" si="135"/>
        <v>0.87623109240162977</v>
      </c>
      <c r="FC33" s="269">
        <f t="shared" si="48"/>
        <v>-2.1006471975223581E-2</v>
      </c>
      <c r="FD33" s="4">
        <f t="shared" si="136"/>
        <v>0.99977933972209798</v>
      </c>
      <c r="FE33" s="5">
        <f t="shared" si="49"/>
        <v>5.5511151231257827E-17</v>
      </c>
      <c r="FF33" s="7">
        <f t="shared" si="210"/>
        <v>-2.1006471975223581E-2</v>
      </c>
      <c r="FG33" s="173">
        <f t="shared" si="211"/>
        <v>-3.4070333520132445E-2</v>
      </c>
      <c r="FH33" s="5">
        <f t="shared" si="50"/>
        <v>2.0465024618393113E-2</v>
      </c>
      <c r="FI33" s="10">
        <f t="shared" si="51"/>
        <v>-0.2378125731272972</v>
      </c>
      <c r="FJ33" s="279">
        <f t="shared" si="212"/>
        <v>13.848315556803316</v>
      </c>
      <c r="FK33" s="4">
        <f t="shared" si="52"/>
        <v>0.96592582628906831</v>
      </c>
      <c r="FL33" s="5">
        <f t="shared" si="213"/>
        <v>0.99977933972209809</v>
      </c>
      <c r="FM33" s="8">
        <f t="shared" si="214"/>
        <v>3.9744243090094153E-2</v>
      </c>
      <c r="FN33" s="9">
        <f t="shared" si="215"/>
        <v>1.2140137974593341</v>
      </c>
      <c r="FO33" s="10">
        <f t="shared" si="53"/>
        <v>-1</v>
      </c>
      <c r="FP33" s="277">
        <f t="shared" si="54"/>
        <v>-1.2140137974593341</v>
      </c>
      <c r="FQ33" s="173">
        <f t="shared" si="243"/>
        <v>2.1186952518924822E-2</v>
      </c>
      <c r="FR33" s="10">
        <f t="shared" si="216"/>
        <v>0.99977553132838815</v>
      </c>
      <c r="FS33" s="9">
        <f t="shared" si="217"/>
        <v>2.0751940305470982E-2</v>
      </c>
      <c r="FT33" s="6">
        <f t="shared" si="218"/>
        <v>0.97924805969452899</v>
      </c>
      <c r="FU33" s="4">
        <f t="shared" si="219"/>
        <v>0.99979056945310729</v>
      </c>
      <c r="FV33" s="5">
        <f t="shared" si="220"/>
        <v>1</v>
      </c>
      <c r="FW33" s="8">
        <f t="shared" si="244"/>
        <v>0.24024072836136495</v>
      </c>
      <c r="FX33" s="9">
        <f t="shared" si="245"/>
        <v>13.799545228351054</v>
      </c>
      <c r="FY33" s="10">
        <f t="shared" si="55"/>
        <v>1</v>
      </c>
      <c r="FZ33" s="277">
        <f t="shared" si="246"/>
        <v>13.799545228351054</v>
      </c>
      <c r="GA33" s="177">
        <f t="shared" si="221"/>
        <v>13.79595503581656</v>
      </c>
      <c r="GB33" s="4">
        <f t="shared" si="222"/>
        <v>2.0575415990611967E-2</v>
      </c>
      <c r="GC33" s="5">
        <f t="shared" si="223"/>
        <v>0.97091818353499304</v>
      </c>
      <c r="GD33" s="10">
        <f t="shared" si="224"/>
        <v>-0.23852574942324936</v>
      </c>
      <c r="GE33" s="311">
        <f t="shared" si="225"/>
        <v>1.2300193489488545</v>
      </c>
      <c r="GF33" s="341">
        <f t="shared" si="247"/>
        <v>0.81299534097132409</v>
      </c>
      <c r="GG33" s="285">
        <f t="shared" si="56"/>
        <v>1.672771733891441E-2</v>
      </c>
      <c r="GH33" s="286">
        <f t="shared" si="57"/>
        <v>0.7893519596782903</v>
      </c>
      <c r="GI33" s="281">
        <f t="shared" si="58"/>
        <v>0.19392032298279524</v>
      </c>
      <c r="GJ33" s="167">
        <f t="shared" si="226"/>
        <v>1.8936999999999999</v>
      </c>
      <c r="GK33" s="174">
        <f t="shared" si="59"/>
        <v>0.99175784291172697</v>
      </c>
      <c r="GL33" s="174">
        <f t="shared" si="227"/>
        <v>6.4399999999999999E-2</v>
      </c>
      <c r="GM33" s="177">
        <f t="shared" si="248"/>
        <v>0.76643046100218259</v>
      </c>
      <c r="GN33" s="280">
        <f t="shared" si="228"/>
        <v>0.13722669151558836</v>
      </c>
      <c r="GO33" s="4">
        <f t="shared" si="229"/>
        <v>-1.2140137974593341</v>
      </c>
      <c r="GP33" s="8">
        <f t="shared" si="249"/>
        <v>13.799545228351054</v>
      </c>
      <c r="GQ33" s="177">
        <f t="shared" si="230"/>
        <v>13.848315556803316</v>
      </c>
      <c r="GR33" s="371">
        <f t="shared" si="250"/>
        <v>2386.9473266799805</v>
      </c>
      <c r="GS33" s="342">
        <f t="shared" si="61"/>
        <v>39.92818018358011</v>
      </c>
      <c r="GT33" s="343">
        <f t="shared" si="62"/>
        <v>40.260009506306453</v>
      </c>
      <c r="GU33" s="344">
        <f t="shared" si="63"/>
        <v>1884.1415499636989</v>
      </c>
      <c r="GV33" s="343">
        <f t="shared" si="252"/>
        <v>1899.8</v>
      </c>
      <c r="GW33" s="345">
        <f t="shared" si="64"/>
        <v>29500</v>
      </c>
      <c r="GX33" s="346">
        <f t="shared" si="65"/>
        <v>299.80427166666664</v>
      </c>
      <c r="GY33" s="344">
        <f t="shared" si="66"/>
        <v>462.87759653270149</v>
      </c>
      <c r="GZ33" s="345">
        <f t="shared" si="67"/>
        <v>466.7244124571049</v>
      </c>
      <c r="HA33" s="342">
        <f t="shared" si="68"/>
        <v>-39.92818018358011</v>
      </c>
      <c r="HB33" s="5">
        <f t="shared" si="231"/>
        <v>241.21401379745956</v>
      </c>
      <c r="HC33" s="343">
        <f t="shared" si="232"/>
        <v>19.226988996129005</v>
      </c>
      <c r="HD33" s="363">
        <f t="shared" si="233"/>
        <v>34.994034733296665</v>
      </c>
      <c r="HE33" s="344">
        <f t="shared" si="69"/>
        <v>1899.8</v>
      </c>
      <c r="HF33" s="5">
        <f t="shared" si="70"/>
        <v>331.21401379745953</v>
      </c>
      <c r="HG33" s="343">
        <f t="shared" si="234"/>
        <v>1665.0312355997783</v>
      </c>
      <c r="HH33" s="349">
        <f t="shared" si="235"/>
        <v>-914.82841258734175</v>
      </c>
      <c r="HI33" s="317">
        <f t="shared" si="71"/>
        <v>5.1079999999999997</v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5.1079999999999997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88"/>
        <v>1613</v>
      </c>
      <c r="IM33" s="482" t="str">
        <f t="shared" si="237"/>
        <v/>
      </c>
      <c r="IN33" s="670" t="str">
        <f t="shared" si="90"/>
        <v/>
      </c>
      <c r="IO33" s="702"/>
      <c r="IP33" s="5" t="str">
        <f t="shared" si="91"/>
        <v/>
      </c>
      <c r="IQ33" s="714"/>
      <c r="IR33" s="9" t="str">
        <f t="shared" si="139"/>
        <v/>
      </c>
      <c r="IS33" s="5" t="str">
        <f t="shared" si="92"/>
        <v/>
      </c>
      <c r="IT33" s="5" t="str">
        <f t="shared" si="93"/>
        <v/>
      </c>
      <c r="IU33" s="5" t="str">
        <f t="shared" si="94"/>
        <v/>
      </c>
      <c r="IV33" s="670" t="str">
        <f t="shared" si="95"/>
        <v/>
      </c>
      <c r="IW33" s="9" t="str">
        <f t="shared" si="96"/>
        <v/>
      </c>
      <c r="IX33" s="5" t="str">
        <f t="shared" si="97"/>
        <v/>
      </c>
      <c r="IY33" s="5" t="str">
        <f t="shared" si="98"/>
        <v/>
      </c>
      <c r="IZ33" s="5" t="str">
        <f t="shared" si="99"/>
        <v/>
      </c>
      <c r="JA33" s="705" t="str">
        <f t="shared" si="100"/>
        <v/>
      </c>
    </row>
    <row r="34" spans="1:269" ht="15" customHeight="1" x14ac:dyDescent="0.25">
      <c r="A34" s="75">
        <f t="shared" si="1"/>
        <v>0.02</v>
      </c>
      <c r="B34" s="578">
        <f t="shared" si="2"/>
        <v>-2.4346392800259831</v>
      </c>
      <c r="C34" s="572">
        <f t="shared" si="3"/>
        <v>-1.3834527181987262</v>
      </c>
      <c r="D34" s="576">
        <f t="shared" si="4"/>
        <v>-0.24651759663198175</v>
      </c>
      <c r="E34" s="580">
        <f t="shared" si="5"/>
        <v>0.34803108954422457</v>
      </c>
      <c r="F34" s="572">
        <f t="shared" si="6"/>
        <v>-0.90986409006369029</v>
      </c>
      <c r="G34" s="579">
        <f t="shared" si="7"/>
        <v>0.22587983159908892</v>
      </c>
      <c r="H34" s="580">
        <f t="shared" si="8"/>
        <v>0.3125</v>
      </c>
      <c r="I34" s="572">
        <f t="shared" si="9"/>
        <v>0.52</v>
      </c>
      <c r="J34" s="483">
        <f t="shared" si="10"/>
        <v>5.1109999999999998</v>
      </c>
      <c r="K34" s="806">
        <f t="shared" si="11"/>
        <v>1613</v>
      </c>
      <c r="L34" s="309"/>
      <c r="M34" s="164">
        <f t="shared" si="12"/>
        <v>5.1109999999999998</v>
      </c>
      <c r="N34" s="575">
        <f t="shared" si="13"/>
        <v>-2.4346392800259831</v>
      </c>
      <c r="O34" s="572">
        <f t="shared" si="14"/>
        <v>-1.3834527181987262</v>
      </c>
      <c r="P34" s="576">
        <f t="shared" si="15"/>
        <v>-0.24651759663198175</v>
      </c>
      <c r="Q34" s="528">
        <f t="shared" si="140"/>
        <v>209.60685141183149</v>
      </c>
      <c r="R34" s="572">
        <f>IF(M34="","",SQRT(N34^2+O34^2))</f>
        <v>2.8002517471357606</v>
      </c>
      <c r="S34" s="577">
        <f>IF(M34="","",P34)</f>
        <v>-0.24651759663198175</v>
      </c>
      <c r="T34" s="578">
        <f>IF(M34="","",X34*COS(RADIANS(W34)))</f>
        <v>-1.3884783530423417</v>
      </c>
      <c r="U34" s="572">
        <f>IF(M34="","",X34*SIN(RADIANS(W34)))</f>
        <v>2.4317766571931942</v>
      </c>
      <c r="V34" s="579">
        <f>IF(M34="","",Y34)</f>
        <v>-0.24651759663198175</v>
      </c>
      <c r="W34" s="528">
        <f t="shared" si="253"/>
        <v>119.72519212387168</v>
      </c>
      <c r="X34" s="572">
        <f>IF(M34="","",R34)</f>
        <v>2.8002517471357606</v>
      </c>
      <c r="Y34" s="573">
        <f t="shared" si="255"/>
        <v>-0.24651759663198175</v>
      </c>
      <c r="Z34" s="575">
        <f t="shared" si="18"/>
        <v>-0.34803108954422457</v>
      </c>
      <c r="AA34" s="572">
        <f t="shared" si="19"/>
        <v>0.90986409006369029</v>
      </c>
      <c r="AB34" s="572">
        <f t="shared" si="20"/>
        <v>-0.22587983159908892</v>
      </c>
      <c r="AC34" s="579">
        <f>IF(M34="","",SQRT(Z34^2+AA34^2+AB34^2))</f>
        <v>1</v>
      </c>
      <c r="AD34" s="580">
        <f>IF(M34="","",Z34*(1/SQRT(Z34^2+AA34^2+AB34^2)))</f>
        <v>-0.34803108954422457</v>
      </c>
      <c r="AE34" s="572">
        <f>IF(M34="","",AA34*(1/SQRT(Z34^2+AA34^2+AB34^2)))</f>
        <v>0.90986409006369029</v>
      </c>
      <c r="AF34" s="576">
        <f>IF(M34="","",AB34*(1/SQRT(Z34^2+AA34^2+AB34^2)))</f>
        <v>-0.22587983159908892</v>
      </c>
      <c r="AG34" s="545">
        <f>IF(M34="","",DEGREES(ATAN2(-AF34,AE34)))</f>
        <v>76.05780471717587</v>
      </c>
      <c r="AH34" s="546">
        <f>IF(M34="","",DEGREES(ACOS(AD34)))</f>
        <v>110.36693495238839</v>
      </c>
      <c r="AI34" s="528">
        <f>IF(M34="","",DEGREES(-ACOS(-AF34)))</f>
        <v>-76.945379190618993</v>
      </c>
      <c r="AJ34" s="529">
        <f>IF(M34="","",DEGREES(ATAN2(-AE34,AD34)))</f>
        <v>-159.06770385884548</v>
      </c>
      <c r="AK34" s="578">
        <f>IF(M34="","",(COS(RADIANS((90-$Q$8)-W34))*AD34)+(-SIN(RADIANS((90-$Q$8)-W34))*AE34))</f>
        <v>0.96301177662332571</v>
      </c>
      <c r="AL34" s="572">
        <f>IF(M34="","",(SIN(RADIANS((90-$Q$8)-W34))*AD34)+(COS(RADIANS((90-$Q$8)-W34))*AE34))</f>
        <v>-0.14692385701972616</v>
      </c>
      <c r="AM34" s="577">
        <f>IF(M34="","",AF34)</f>
        <v>-0.22587983159908892</v>
      </c>
      <c r="AN34" s="524">
        <f>IF(M34="","",DEGREES(ATAN2(-AM34,AL34)))</f>
        <v>-33.04204616872093</v>
      </c>
      <c r="AO34" s="525">
        <f t="shared" si="116"/>
        <v>15.632095004852658</v>
      </c>
      <c r="AP34" s="528">
        <f>IF(M34="","",DEGREES(ATAN2(AK34,AL34)))</f>
        <v>-8.6745552706769455</v>
      </c>
      <c r="AQ34" s="529">
        <f t="shared" si="21"/>
        <v>0.81406010401204787</v>
      </c>
      <c r="AS34" s="932">
        <f t="shared" si="143"/>
        <v>-240.27480787612831</v>
      </c>
      <c r="AT34" s="928">
        <f t="shared" si="22"/>
        <v>-7.8183040824433003E-2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5.1109999999999998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88"/>
        <v>1613</v>
      </c>
      <c r="IM34" s="482" t="str">
        <f t="shared" si="237"/>
        <v/>
      </c>
      <c r="IN34" s="670" t="str">
        <f t="shared" si="90"/>
        <v/>
      </c>
      <c r="IO34" s="702"/>
      <c r="IP34" s="5" t="str">
        <f t="shared" si="91"/>
        <v/>
      </c>
      <c r="IQ34" s="714"/>
      <c r="IR34" s="9" t="str">
        <f t="shared" si="139"/>
        <v/>
      </c>
      <c r="IS34" s="5" t="str">
        <f t="shared" si="92"/>
        <v/>
      </c>
      <c r="IT34" s="5" t="str">
        <f t="shared" si="93"/>
        <v/>
      </c>
      <c r="IU34" s="5" t="str">
        <f t="shared" si="94"/>
        <v/>
      </c>
      <c r="IV34" s="670" t="str">
        <f t="shared" si="95"/>
        <v/>
      </c>
      <c r="IW34" s="9" t="str">
        <f t="shared" si="96"/>
        <v/>
      </c>
      <c r="IX34" s="5" t="str">
        <f t="shared" si="97"/>
        <v/>
      </c>
      <c r="IY34" s="5" t="str">
        <f t="shared" si="98"/>
        <v/>
      </c>
      <c r="IZ34" s="5" t="str">
        <f t="shared" si="99"/>
        <v/>
      </c>
      <c r="JA34" s="705" t="str">
        <f t="shared" si="100"/>
        <v/>
      </c>
      <c r="JI34" s="419"/>
    </row>
    <row r="35" spans="1:269" ht="15" customHeight="1" x14ac:dyDescent="0.25">
      <c r="A35" s="75">
        <f t="shared" si="1"/>
        <v>0.02</v>
      </c>
      <c r="B35" s="578">
        <f t="shared" si="2"/>
        <v>-2.9756514852686253</v>
      </c>
      <c r="C35" s="572">
        <f t="shared" si="3"/>
        <v>-1.6382936217888382</v>
      </c>
      <c r="D35" s="576">
        <f t="shared" si="4"/>
        <v>-0.73397893180410145</v>
      </c>
      <c r="E35" s="580">
        <f t="shared" si="5"/>
        <v>0.25265165150270341</v>
      </c>
      <c r="F35" s="572">
        <f t="shared" si="6"/>
        <v>-0.95958552811591202</v>
      </c>
      <c r="G35" s="579">
        <f t="shared" si="7"/>
        <v>0.12394659020506731</v>
      </c>
      <c r="H35" s="580">
        <f t="shared" si="8"/>
        <v>0.3125</v>
      </c>
      <c r="I35" s="572">
        <f t="shared" si="9"/>
        <v>0.52</v>
      </c>
      <c r="J35" s="483">
        <f t="shared" si="10"/>
        <v>5.1139999999999999</v>
      </c>
      <c r="K35" s="806">
        <f t="shared" si="11"/>
        <v>1613</v>
      </c>
      <c r="L35" s="309"/>
      <c r="M35" s="164">
        <f t="shared" si="12"/>
        <v>5.1139999999999999</v>
      </c>
      <c r="N35" s="575">
        <f t="shared" si="13"/>
        <v>-2.9756514852686253</v>
      </c>
      <c r="O35" s="572">
        <f t="shared" si="14"/>
        <v>-1.6382936217888382</v>
      </c>
      <c r="P35" s="576">
        <f t="shared" si="15"/>
        <v>-0.73397893180410145</v>
      </c>
      <c r="Q35" s="528">
        <f t="shared" si="140"/>
        <v>208.83570166159797</v>
      </c>
      <c r="R35" s="572">
        <f>IF(M35="","",SQRT(N35^2+O35^2))</f>
        <v>3.3968379050192201</v>
      </c>
      <c r="S35" s="577">
        <f>IF(M35="","",P35)</f>
        <v>-0.73397893180410145</v>
      </c>
      <c r="T35" s="578">
        <f>IF(M35="","",X35*COS(RADIANS(W35)))</f>
        <v>-1.6444361378386001</v>
      </c>
      <c r="U35" s="572">
        <f>IF(M35="","",X35*SIN(RADIANS(W35)))</f>
        <v>2.9722613514874214</v>
      </c>
      <c r="V35" s="579">
        <f>IF(M35="","",Y35)</f>
        <v>-0.73397893180410145</v>
      </c>
      <c r="W35" s="528">
        <f t="shared" si="253"/>
        <v>118.95404237363816</v>
      </c>
      <c r="X35" s="572">
        <f>IF(M35="","",R35)</f>
        <v>3.3968379050192201</v>
      </c>
      <c r="Y35" s="573">
        <f t="shared" si="255"/>
        <v>-0.73397893180410145</v>
      </c>
      <c r="Z35" s="575">
        <f t="shared" si="18"/>
        <v>-0.25265165150270341</v>
      </c>
      <c r="AA35" s="572">
        <f t="shared" si="19"/>
        <v>0.95958552811591202</v>
      </c>
      <c r="AB35" s="572">
        <f t="shared" si="20"/>
        <v>-0.12394659020506731</v>
      </c>
      <c r="AC35" s="579">
        <f>IF(M35="","",SQRT(Z35^2+AA35^2+AB35^2))</f>
        <v>1</v>
      </c>
      <c r="AD35" s="580">
        <f>IF(M35="","",Z35*(1/SQRT(Z35^2+AA35^2+AB35^2)))</f>
        <v>-0.25265165150270341</v>
      </c>
      <c r="AE35" s="572">
        <f>IF(M35="","",AA35*(1/SQRT(Z35^2+AA35^2+AB35^2)))</f>
        <v>0.95958552811591202</v>
      </c>
      <c r="AF35" s="576">
        <f>IF(M35="","",AB35*(1/SQRT(Z35^2+AA35^2+AB35^2)))</f>
        <v>-0.12394659020506731</v>
      </c>
      <c r="AG35" s="545">
        <f>IF(M35="","",DEGREES(ATAN2(-AF35,AE35)))</f>
        <v>82.640038432101932</v>
      </c>
      <c r="AH35" s="546">
        <f>IF(M35="","",DEGREES(ACOS(AD35)))</f>
        <v>104.63447891604478</v>
      </c>
      <c r="AI35" s="528">
        <f>IF(M35="","",DEGREES(-ACOS(-AF35)))</f>
        <v>-82.880073226594931</v>
      </c>
      <c r="AJ35" s="529">
        <f>IF(M35="","",DEGREES(ATAN2(-AE35,AD35)))</f>
        <v>-165.24922577265946</v>
      </c>
      <c r="AK35" s="578">
        <f>IF(M35="","",(COS(RADIANS((90-$Q$8)-W35))*AD35)+(-SIN(RADIANS((90-$Q$8)-W35))*AE35))</f>
        <v>0.96245678557134118</v>
      </c>
      <c r="AL35" s="572">
        <f>IF(M35="","",(SIN(RADIANS((90-$Q$8)-W35))*AD35)+(COS(RADIANS((90-$Q$8)-W35))*AE35))</f>
        <v>-0.24148328862308208</v>
      </c>
      <c r="AM35" s="577">
        <f>IF(M35="","",AF35)</f>
        <v>-0.12394659020506731</v>
      </c>
      <c r="AN35" s="524">
        <f>IF(M35="","",DEGREES(ATAN2(-AM35,AL35)))</f>
        <v>-62.829843987714831</v>
      </c>
      <c r="AO35" s="525">
        <f t="shared" si="116"/>
        <v>15.749673008190467</v>
      </c>
      <c r="AP35" s="528">
        <f>IF(M35="","",DEGREES(ATAN2(AK35,AL35)))</f>
        <v>-14.084927434257446</v>
      </c>
      <c r="AQ35" s="529">
        <f t="shared" si="21"/>
        <v>0.67110131269495565</v>
      </c>
      <c r="AS35" s="932">
        <f t="shared" si="143"/>
        <v>-241.04595762636183</v>
      </c>
      <c r="AT35" s="928">
        <f t="shared" si="22"/>
        <v>-0.56510885533666833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5.1139999999999999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88"/>
        <v>1613</v>
      </c>
      <c r="IM35" s="482" t="str">
        <f t="shared" si="237"/>
        <v/>
      </c>
      <c r="IN35" s="670" t="str">
        <f t="shared" si="90"/>
        <v/>
      </c>
      <c r="IO35" s="702"/>
      <c r="IP35" s="5" t="str">
        <f t="shared" si="91"/>
        <v/>
      </c>
      <c r="IQ35" s="714"/>
      <c r="IR35" s="9" t="str">
        <f t="shared" si="139"/>
        <v/>
      </c>
      <c r="IS35" s="5" t="str">
        <f t="shared" si="92"/>
        <v/>
      </c>
      <c r="IT35" s="5" t="str">
        <f t="shared" si="93"/>
        <v/>
      </c>
      <c r="IU35" s="5" t="str">
        <f t="shared" si="94"/>
        <v/>
      </c>
      <c r="IV35" s="670" t="str">
        <f t="shared" si="95"/>
        <v/>
      </c>
      <c r="IW35" s="9" t="str">
        <f t="shared" si="96"/>
        <v/>
      </c>
      <c r="IX35" s="5" t="str">
        <f t="shared" si="97"/>
        <v/>
      </c>
      <c r="IY35" s="5" t="str">
        <f t="shared" si="98"/>
        <v/>
      </c>
      <c r="IZ35" s="5" t="str">
        <f t="shared" si="99"/>
        <v/>
      </c>
      <c r="JA35" s="705" t="str">
        <f t="shared" si="100"/>
        <v/>
      </c>
    </row>
    <row r="36" spans="1:269" ht="15" customHeight="1" x14ac:dyDescent="0.25">
      <c r="A36" s="75">
        <f t="shared" si="1"/>
        <v>0.02</v>
      </c>
      <c r="B36" s="578">
        <f t="shared" si="2"/>
        <v>-3.1870743076337527</v>
      </c>
      <c r="C36" s="572">
        <f t="shared" si="3"/>
        <v>-1.731450121279031</v>
      </c>
      <c r="D36" s="576">
        <f t="shared" si="4"/>
        <v>-1.4426686704420533</v>
      </c>
      <c r="E36" s="580">
        <f t="shared" si="5"/>
        <v>0.14655833989744854</v>
      </c>
      <c r="F36" s="572">
        <f t="shared" si="6"/>
        <v>-0.98824803676215811</v>
      </c>
      <c r="G36" s="579">
        <f t="shared" si="7"/>
        <v>4.3433522102683489E-2</v>
      </c>
      <c r="H36" s="580">
        <f t="shared" si="8"/>
        <v>0.3125</v>
      </c>
      <c r="I36" s="572">
        <f t="shared" si="9"/>
        <v>0.52</v>
      </c>
      <c r="J36" s="483">
        <f t="shared" si="10"/>
        <v>5.117</v>
      </c>
      <c r="K36" s="806">
        <f t="shared" si="11"/>
        <v>1613</v>
      </c>
      <c r="L36" s="309"/>
      <c r="M36" s="164">
        <f t="shared" si="12"/>
        <v>5.117</v>
      </c>
      <c r="N36" s="575">
        <f t="shared" si="13"/>
        <v>-3.1870743076337527</v>
      </c>
      <c r="O36" s="572">
        <f t="shared" si="14"/>
        <v>-1.731450121279031</v>
      </c>
      <c r="P36" s="576">
        <f t="shared" si="15"/>
        <v>-1.4426686704420533</v>
      </c>
      <c r="Q36" s="528">
        <f t="shared" si="140"/>
        <v>208.51402084685685</v>
      </c>
      <c r="R36" s="572">
        <f>IF(M36="","",SQRT(N36^2+O36^2))</f>
        <v>3.6270321427933796</v>
      </c>
      <c r="S36" s="577">
        <f>IF(M36="","",P36)</f>
        <v>-1.4426686704420533</v>
      </c>
      <c r="T36" s="578">
        <f>IF(M36="","",X36*COS(RADIANS(W36)))</f>
        <v>-1.7380291184252414</v>
      </c>
      <c r="U36" s="572">
        <f>IF(M36="","",X36*SIN(RADIANS(W36)))</f>
        <v>3.1834913143217953</v>
      </c>
      <c r="V36" s="579">
        <f>IF(M36="","",Y36)</f>
        <v>-1.4426686704420533</v>
      </c>
      <c r="W36" s="528">
        <f t="shared" si="253"/>
        <v>118.63236155889705</v>
      </c>
      <c r="X36" s="572">
        <f>IF(M36="","",R36)</f>
        <v>3.6270321427933796</v>
      </c>
      <c r="Y36" s="573">
        <f t="shared" si="255"/>
        <v>-1.4426686704420533</v>
      </c>
      <c r="Z36" s="575">
        <f t="shared" si="18"/>
        <v>-0.14655833989744854</v>
      </c>
      <c r="AA36" s="572">
        <f t="shared" si="19"/>
        <v>0.98824803676215811</v>
      </c>
      <c r="AB36" s="572">
        <f t="shared" si="20"/>
        <v>-4.3433522102683489E-2</v>
      </c>
      <c r="AC36" s="579">
        <f>IF(M36="","",SQRT(Z36^2+AA36^2+AB36^2))</f>
        <v>1</v>
      </c>
      <c r="AD36" s="580">
        <f>IF(M36="","",Z36*(1/SQRT(Z36^2+AA36^2+AB36^2)))</f>
        <v>-0.14655833989744854</v>
      </c>
      <c r="AE36" s="572">
        <f>IF(M36="","",AA36*(1/SQRT(Z36^2+AA36^2+AB36^2)))</f>
        <v>0.98824803676215811</v>
      </c>
      <c r="AF36" s="576">
        <f>IF(M36="","",AB36*(1/SQRT(Z36^2+AA36^2+AB36^2)))</f>
        <v>-4.3433522102683489E-2</v>
      </c>
      <c r="AG36" s="545">
        <f>IF(M36="","",DEGREES(ATAN2(-AF36,AE36)))</f>
        <v>87.483468759897704</v>
      </c>
      <c r="AH36" s="546">
        <f>IF(M36="","",DEGREES(ACOS(AD36)))</f>
        <v>98.42752962935495</v>
      </c>
      <c r="AI36" s="528">
        <f>IF(M36="","",DEGREES(-ACOS(-AF36)))</f>
        <v>-87.510659397303201</v>
      </c>
      <c r="AJ36" s="529">
        <f>IF(M36="","",DEGREES(ATAN2(-AE36,AD36)))</f>
        <v>-171.56445196965061</v>
      </c>
      <c r="AK36" s="578">
        <f>IF(M36="","",(COS(RADIANS((90-$Q$8)-W36))*AD36)+(-SIN(RADIANS((90-$Q$8)-W36))*AE36))</f>
        <v>0.93833697881236022</v>
      </c>
      <c r="AL36" s="572">
        <f>IF(M36="","",(SIN(RADIANS((90-$Q$8)-W36))*AD36)+(COS(RADIANS((90-$Q$8)-W36))*AE36))</f>
        <v>-0.34298286159959668</v>
      </c>
      <c r="AM36" s="577">
        <f>IF(M36="","",AF36)</f>
        <v>-4.3433522102683489E-2</v>
      </c>
      <c r="AN36" s="524">
        <f>IF(M36="","",DEGREES(ATAN2(-AM36,AL36)))</f>
        <v>-82.782783406876305</v>
      </c>
      <c r="AO36" s="525">
        <f t="shared" si="116"/>
        <v>20.225876694233541</v>
      </c>
      <c r="AP36" s="528">
        <f>IF(M36="","",DEGREES(ATAN2(AK36,AL36)))</f>
        <v>-20.078472816507439</v>
      </c>
      <c r="AQ36" s="529">
        <f t="shared" si="21"/>
        <v>0.62851254132898582</v>
      </c>
      <c r="AS36" s="932">
        <f t="shared" si="143"/>
        <v>-241.36763844110294</v>
      </c>
      <c r="AT36" s="928">
        <f t="shared" si="22"/>
        <v>-1.2735752045199389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6"/>
        <v>5.117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88"/>
        <v>1613</v>
      </c>
      <c r="IM36" s="482" t="str">
        <f t="shared" si="237"/>
        <v/>
      </c>
      <c r="IN36" s="670" t="str">
        <f t="shared" si="90"/>
        <v/>
      </c>
      <c r="IO36" s="702"/>
      <c r="IP36" s="5" t="str">
        <f t="shared" si="91"/>
        <v/>
      </c>
      <c r="IQ36" s="714"/>
      <c r="IR36" s="9" t="str">
        <f t="shared" si="139"/>
        <v/>
      </c>
      <c r="IS36" s="5" t="str">
        <f t="shared" si="92"/>
        <v/>
      </c>
      <c r="IT36" s="5" t="str">
        <f t="shared" si="93"/>
        <v/>
      </c>
      <c r="IU36" s="5" t="str">
        <f t="shared" si="94"/>
        <v/>
      </c>
      <c r="IV36" s="670" t="str">
        <f t="shared" si="95"/>
        <v/>
      </c>
      <c r="IW36" s="9" t="str">
        <f t="shared" si="96"/>
        <v/>
      </c>
      <c r="IX36" s="5" t="str">
        <f t="shared" si="97"/>
        <v/>
      </c>
      <c r="IY36" s="5" t="str">
        <f t="shared" si="98"/>
        <v/>
      </c>
      <c r="IZ36" s="5" t="str">
        <f t="shared" si="99"/>
        <v/>
      </c>
      <c r="JA36" s="705" t="str">
        <f t="shared" si="100"/>
        <v/>
      </c>
    </row>
    <row r="37" spans="1:269" ht="15" customHeight="1" x14ac:dyDescent="0.25">
      <c r="A37" s="75">
        <f t="shared" si="1"/>
        <v>0.02</v>
      </c>
      <c r="B37" s="578">
        <f t="shared" si="2"/>
        <v>-3.3077734042018259</v>
      </c>
      <c r="C37" s="572">
        <f t="shared" si="3"/>
        <v>-1.7774542166928522</v>
      </c>
      <c r="D37" s="576">
        <f t="shared" si="4"/>
        <v>-2.1010316525916561</v>
      </c>
      <c r="E37" s="580">
        <f t="shared" si="5"/>
        <v>-1.930259139240742E-2</v>
      </c>
      <c r="F37" s="572">
        <f t="shared" si="6"/>
        <v>-0.99791532190822962</v>
      </c>
      <c r="G37" s="579">
        <f t="shared" si="7"/>
        <v>6.1582629582798941E-2</v>
      </c>
      <c r="H37" s="580">
        <f t="shared" si="8"/>
        <v>0.26450000000000001</v>
      </c>
      <c r="I37" s="572">
        <f t="shared" si="9"/>
        <v>0.52</v>
      </c>
      <c r="J37" s="483">
        <f t="shared" si="10"/>
        <v>5.12</v>
      </c>
      <c r="K37" s="806">
        <f t="shared" si="11"/>
        <v>1313</v>
      </c>
      <c r="L37" s="309"/>
      <c r="M37" s="164">
        <f t="shared" si="12"/>
        <v>5.12</v>
      </c>
      <c r="N37" s="575">
        <f t="shared" si="13"/>
        <v>-3.3077734042018259</v>
      </c>
      <c r="O37" s="572">
        <f t="shared" si="14"/>
        <v>-1.7774542166928522</v>
      </c>
      <c r="P37" s="576">
        <f t="shared" si="15"/>
        <v>-2.1010316525916561</v>
      </c>
      <c r="Q37" s="528">
        <f t="shared" si="140"/>
        <v>208.25165932901535</v>
      </c>
      <c r="R37" s="572">
        <f t="shared" si="101"/>
        <v>3.7550909956995899</v>
      </c>
      <c r="S37" s="577">
        <f t="shared" si="102"/>
        <v>-2.1010316525916561</v>
      </c>
      <c r="T37" s="578">
        <f t="shared" si="103"/>
        <v>-1.7842824116808813</v>
      </c>
      <c r="U37" s="572">
        <f t="shared" si="104"/>
        <v>3.3040951350332506</v>
      </c>
      <c r="V37" s="579">
        <f t="shared" si="141"/>
        <v>-2.1010316525916561</v>
      </c>
      <c r="W37" s="528">
        <f t="shared" si="253"/>
        <v>118.37000004105555</v>
      </c>
      <c r="X37" s="572">
        <f t="shared" si="105"/>
        <v>3.7550909956995899</v>
      </c>
      <c r="Y37" s="573">
        <f t="shared" si="255"/>
        <v>-2.1010316525916561</v>
      </c>
      <c r="Z37" s="575">
        <f t="shared" si="18"/>
        <v>1.930259139240742E-2</v>
      </c>
      <c r="AA37" s="572">
        <f t="shared" si="19"/>
        <v>0.99791532190822962</v>
      </c>
      <c r="AB37" s="572">
        <f t="shared" si="20"/>
        <v>-6.1582629582798941E-2</v>
      </c>
      <c r="AC37" s="579">
        <f t="shared" si="106"/>
        <v>1</v>
      </c>
      <c r="AD37" s="580">
        <f t="shared" si="142"/>
        <v>1.930259139240742E-2</v>
      </c>
      <c r="AE37" s="572">
        <f t="shared" si="107"/>
        <v>0.99791532190822962</v>
      </c>
      <c r="AF37" s="576">
        <f t="shared" si="108"/>
        <v>-6.1582629582798941E-2</v>
      </c>
      <c r="AG37" s="545">
        <f t="shared" si="109"/>
        <v>86.468682445053972</v>
      </c>
      <c r="AH37" s="546">
        <f t="shared" si="110"/>
        <v>88.893974289937944</v>
      </c>
      <c r="AI37" s="528">
        <f t="shared" si="111"/>
        <v>-86.469341207320554</v>
      </c>
      <c r="AJ37" s="529">
        <f t="shared" si="112"/>
        <v>178.89187078657054</v>
      </c>
      <c r="AK37" s="578">
        <f t="shared" si="238"/>
        <v>0.86990389653165689</v>
      </c>
      <c r="AL37" s="572">
        <f t="shared" si="113"/>
        <v>-0.48936161530376299</v>
      </c>
      <c r="AM37" s="577">
        <f t="shared" si="114"/>
        <v>-6.1582629582798941E-2</v>
      </c>
      <c r="AN37" s="524">
        <f t="shared" si="115"/>
        <v>-82.827443342392868</v>
      </c>
      <c r="AO37" s="525">
        <f t="shared" si="116"/>
        <v>29.552526421184591</v>
      </c>
      <c r="AP37" s="528">
        <f t="shared" si="117"/>
        <v>-29.35978854244479</v>
      </c>
      <c r="AQ37" s="529">
        <f t="shared" si="21"/>
        <v>0.60708018055240309</v>
      </c>
      <c r="AS37" s="932">
        <f t="shared" si="143"/>
        <v>-241.62999995894444</v>
      </c>
      <c r="AT37" s="928">
        <f t="shared" si="22"/>
        <v>-1.9317559911710407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5.12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8"/>
        <v>1313</v>
      </c>
      <c r="IM37" s="482" t="str">
        <f t="shared" si="237"/>
        <v/>
      </c>
      <c r="IN37" s="670" t="str">
        <f t="shared" si="90"/>
        <v/>
      </c>
      <c r="IO37" s="702"/>
      <c r="IP37" s="5" t="str">
        <f t="shared" si="91"/>
        <v/>
      </c>
      <c r="IQ37" s="714"/>
      <c r="IR37" s="9" t="str">
        <f t="shared" si="139"/>
        <v/>
      </c>
      <c r="IS37" s="5" t="str">
        <f t="shared" si="92"/>
        <v/>
      </c>
      <c r="IT37" s="5" t="str">
        <f t="shared" si="93"/>
        <v/>
      </c>
      <c r="IU37" s="5" t="str">
        <f t="shared" si="94"/>
        <v/>
      </c>
      <c r="IV37" s="670" t="str">
        <f t="shared" si="95"/>
        <v/>
      </c>
      <c r="IW37" s="9" t="str">
        <f t="shared" si="96"/>
        <v/>
      </c>
      <c r="IX37" s="5" t="str">
        <f t="shared" si="97"/>
        <v/>
      </c>
      <c r="IY37" s="5" t="str">
        <f t="shared" si="98"/>
        <v/>
      </c>
      <c r="IZ37" s="5" t="str">
        <f t="shared" si="99"/>
        <v/>
      </c>
      <c r="JA37" s="705" t="str">
        <f t="shared" si="100"/>
        <v/>
      </c>
    </row>
    <row r="38" spans="1:269" ht="15" customHeight="1" x14ac:dyDescent="0.25">
      <c r="A38" s="75">
        <f t="shared" si="1"/>
        <v>0.02</v>
      </c>
      <c r="B38" s="578">
        <f t="shared" si="2"/>
        <v>-2.0803891627351674</v>
      </c>
      <c r="C38" s="572">
        <f t="shared" si="3"/>
        <v>0.96464657252568276</v>
      </c>
      <c r="D38" s="576">
        <f t="shared" si="4"/>
        <v>-0.14246885492899206</v>
      </c>
      <c r="E38" s="580">
        <f t="shared" si="5"/>
        <v>-0.45647848258653895</v>
      </c>
      <c r="F38" s="572">
        <f t="shared" si="6"/>
        <v>-0.85137226977572877</v>
      </c>
      <c r="G38" s="579">
        <f t="shared" si="7"/>
        <v>0.25844274644960463</v>
      </c>
      <c r="H38" s="580">
        <f t="shared" si="8"/>
        <v>0.3125</v>
      </c>
      <c r="I38" s="572">
        <f t="shared" si="9"/>
        <v>0.52</v>
      </c>
      <c r="J38" s="483">
        <f t="shared" si="10"/>
        <v>6.109</v>
      </c>
      <c r="K38" s="806">
        <f t="shared" si="11"/>
        <v>1613</v>
      </c>
      <c r="L38" s="309"/>
      <c r="M38" s="164">
        <f t="shared" si="12"/>
        <v>6.109</v>
      </c>
      <c r="N38" s="575">
        <f t="shared" si="13"/>
        <v>-2.0803891627351674</v>
      </c>
      <c r="O38" s="572">
        <f t="shared" si="14"/>
        <v>0.96464657252568276</v>
      </c>
      <c r="P38" s="576">
        <f t="shared" si="15"/>
        <v>-0.14246885492899206</v>
      </c>
      <c r="Q38" s="528">
        <f t="shared" si="140"/>
        <v>155.12352250191617</v>
      </c>
      <c r="R38" s="572">
        <f t="shared" si="101"/>
        <v>2.2931554849838416</v>
      </c>
      <c r="S38" s="577">
        <f t="shared" si="102"/>
        <v>-0.14246885492899206</v>
      </c>
      <c r="T38" s="578">
        <f t="shared" si="103"/>
        <v>0.96034760925576812</v>
      </c>
      <c r="U38" s="572">
        <f t="shared" si="104"/>
        <v>2.0823771386826664</v>
      </c>
      <c r="V38" s="579">
        <f t="shared" si="141"/>
        <v>-0.14246885492899206</v>
      </c>
      <c r="W38" s="528">
        <f t="shared" si="253"/>
        <v>65.241863213956364</v>
      </c>
      <c r="X38" s="572">
        <f t="shared" si="105"/>
        <v>2.2931554849838416</v>
      </c>
      <c r="Y38" s="573">
        <f t="shared" si="255"/>
        <v>-0.14246885492899206</v>
      </c>
      <c r="Z38" s="575">
        <f t="shared" si="18"/>
        <v>0.45647848258653895</v>
      </c>
      <c r="AA38" s="572">
        <f t="shared" si="19"/>
        <v>0.85137226977572877</v>
      </c>
      <c r="AB38" s="572">
        <f t="shared" si="20"/>
        <v>-0.25844274644960463</v>
      </c>
      <c r="AC38" s="579">
        <f t="shared" si="106"/>
        <v>1</v>
      </c>
      <c r="AD38" s="580">
        <f t="shared" si="142"/>
        <v>0.45647848258653895</v>
      </c>
      <c r="AE38" s="572">
        <f t="shared" si="107"/>
        <v>0.85137226977572877</v>
      </c>
      <c r="AF38" s="576">
        <f t="shared" si="108"/>
        <v>-0.25844274644960463</v>
      </c>
      <c r="AG38" s="545">
        <f t="shared" si="109"/>
        <v>73.113797328217089</v>
      </c>
      <c r="AH38" s="546">
        <f t="shared" si="110"/>
        <v>62.839897182363778</v>
      </c>
      <c r="AI38" s="528">
        <f t="shared" si="111"/>
        <v>-75.022319726244831</v>
      </c>
      <c r="AJ38" s="529">
        <f t="shared" si="112"/>
        <v>151.80121911945577</v>
      </c>
      <c r="AK38" s="578">
        <f t="shared" si="238"/>
        <v>0.96440300783576394</v>
      </c>
      <c r="AL38" s="572">
        <f t="shared" si="113"/>
        <v>-5.5983794842052015E-2</v>
      </c>
      <c r="AM38" s="577">
        <f t="shared" si="114"/>
        <v>-0.25844274644960463</v>
      </c>
      <c r="AN38" s="524">
        <f t="shared" si="115"/>
        <v>-12.222553303993035</v>
      </c>
      <c r="AO38" s="525">
        <f t="shared" si="116"/>
        <v>15.333491997758388</v>
      </c>
      <c r="AP38" s="528">
        <f t="shared" si="117"/>
        <v>-3.3223033824604165</v>
      </c>
      <c r="AQ38" s="529">
        <f t="shared" si="21"/>
        <v>0.99404419365130203</v>
      </c>
      <c r="AS38" s="932">
        <f t="shared" si="143"/>
        <v>-294.75813678604362</v>
      </c>
      <c r="AT38" s="928">
        <f t="shared" si="22"/>
        <v>6.3701345954886801E-2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4"/>
        <v/>
      </c>
      <c r="BA38" s="296" t="str">
        <f t="shared" si="24"/>
        <v/>
      </c>
      <c r="BB38" s="190" t="str">
        <f t="shared" si="145"/>
        <v/>
      </c>
      <c r="BC38" s="9"/>
      <c r="BD38" s="5" t="str">
        <f t="shared" si="146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7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8"/>
        <v/>
      </c>
      <c r="BP38" s="5" t="str">
        <f t="shared" si="239"/>
        <v/>
      </c>
      <c r="BQ38" s="5" t="str">
        <f t="shared" si="149"/>
        <v/>
      </c>
      <c r="BR38" s="6" t="str">
        <f t="shared" si="150"/>
        <v/>
      </c>
      <c r="BS38" s="4" t="str">
        <f t="shared" si="118"/>
        <v/>
      </c>
      <c r="BT38" s="5" t="str">
        <f t="shared" si="118"/>
        <v/>
      </c>
      <c r="BU38" s="10" t="str">
        <f t="shared" si="119"/>
        <v/>
      </c>
      <c r="BV38" s="9" t="str">
        <f t="shared" si="120"/>
        <v/>
      </c>
      <c r="BW38" s="5" t="str">
        <f t="shared" si="121"/>
        <v/>
      </c>
      <c r="BX38" s="8" t="str">
        <f t="shared" si="122"/>
        <v/>
      </c>
      <c r="BY38" s="173" t="str">
        <f t="shared" si="123"/>
        <v/>
      </c>
      <c r="BZ38" s="5" t="str">
        <f t="shared" si="124"/>
        <v/>
      </c>
      <c r="CA38" s="6" t="str">
        <f t="shared" si="125"/>
        <v/>
      </c>
      <c r="CB38" s="4" t="str">
        <f t="shared" si="151"/>
        <v/>
      </c>
      <c r="CC38" s="5" t="str">
        <f t="shared" si="152"/>
        <v/>
      </c>
      <c r="CD38" s="5" t="str">
        <f t="shared" si="153"/>
        <v/>
      </c>
      <c r="CE38" s="6" t="str">
        <f t="shared" si="154"/>
        <v/>
      </c>
      <c r="CF38" s="4" t="str">
        <f t="shared" si="155"/>
        <v/>
      </c>
      <c r="CG38" s="5" t="str">
        <f t="shared" si="156"/>
        <v/>
      </c>
      <c r="CH38" s="5" t="str">
        <f t="shared" si="157"/>
        <v/>
      </c>
      <c r="CI38" s="4" t="str">
        <f t="shared" si="126"/>
        <v/>
      </c>
      <c r="CJ38" s="5" t="str">
        <f t="shared" si="127"/>
        <v/>
      </c>
      <c r="CK38" s="8" t="str">
        <f t="shared" si="128"/>
        <v/>
      </c>
      <c r="CL38" s="173" t="str">
        <f t="shared" si="129"/>
        <v/>
      </c>
      <c r="CM38" s="5" t="str">
        <f t="shared" si="130"/>
        <v/>
      </c>
      <c r="CN38" s="6" t="str">
        <f t="shared" si="131"/>
        <v/>
      </c>
      <c r="CO38" s="167" t="str">
        <f t="shared" si="35"/>
        <v/>
      </c>
      <c r="CP38" s="4" t="str">
        <f t="shared" si="240"/>
        <v/>
      </c>
      <c r="CQ38" s="5" t="str">
        <f t="shared" si="241"/>
        <v/>
      </c>
      <c r="CR38" s="5" t="str">
        <f t="shared" si="158"/>
        <v/>
      </c>
      <c r="CS38" s="8" t="str">
        <f t="shared" si="159"/>
        <v/>
      </c>
      <c r="CT38" s="9" t="str">
        <f t="shared" si="160"/>
        <v/>
      </c>
      <c r="CU38" s="6" t="str">
        <f t="shared" si="161"/>
        <v/>
      </c>
      <c r="CV38" s="4" t="str">
        <f t="shared" si="242"/>
        <v/>
      </c>
      <c r="CW38" s="5" t="str">
        <f t="shared" si="162"/>
        <v/>
      </c>
      <c r="CX38" s="8" t="str">
        <f t="shared" si="163"/>
        <v/>
      </c>
      <c r="CY38" s="9" t="str">
        <f t="shared" si="164"/>
        <v/>
      </c>
      <c r="CZ38" s="5" t="str">
        <f t="shared" si="165"/>
        <v/>
      </c>
      <c r="DA38" s="6" t="str">
        <f t="shared" si="166"/>
        <v/>
      </c>
      <c r="DB38" s="4" t="str">
        <f t="shared" si="167"/>
        <v/>
      </c>
      <c r="DC38" s="5" t="str">
        <f t="shared" si="167"/>
        <v/>
      </c>
      <c r="DD38" s="10" t="str">
        <f t="shared" si="168"/>
        <v/>
      </c>
      <c r="DE38" s="9" t="str">
        <f t="shared" si="169"/>
        <v/>
      </c>
      <c r="DF38" s="5" t="str">
        <f t="shared" si="169"/>
        <v/>
      </c>
      <c r="DG38" s="10" t="str">
        <f t="shared" si="170"/>
        <v/>
      </c>
      <c r="DH38" s="70" t="str">
        <f t="shared" si="171"/>
        <v/>
      </c>
      <c r="DI38" s="4" t="str">
        <f t="shared" si="172"/>
        <v/>
      </c>
      <c r="DJ38" s="5" t="str">
        <f t="shared" si="173"/>
        <v/>
      </c>
      <c r="DK38" s="10" t="str">
        <f t="shared" si="174"/>
        <v/>
      </c>
      <c r="DL38" s="9" t="str">
        <f t="shared" si="175"/>
        <v/>
      </c>
      <c r="DM38" s="173" t="str">
        <f t="shared" si="176"/>
        <v/>
      </c>
      <c r="DN38" s="178" t="str">
        <f t="shared" si="177"/>
        <v/>
      </c>
      <c r="DO38" s="9" t="str">
        <f t="shared" si="178"/>
        <v/>
      </c>
      <c r="DP38" s="173" t="str">
        <f t="shared" si="179"/>
        <v/>
      </c>
      <c r="DQ38" s="11" t="str">
        <f t="shared" si="180"/>
        <v/>
      </c>
      <c r="DR38" s="173" t="str">
        <f t="shared" si="181"/>
        <v/>
      </c>
      <c r="DS38" s="5" t="str">
        <f t="shared" si="182"/>
        <v/>
      </c>
      <c r="DT38" s="5" t="str">
        <f t="shared" si="183"/>
        <v/>
      </c>
      <c r="DU38" s="5" t="str">
        <f t="shared" si="184"/>
        <v/>
      </c>
      <c r="DV38" s="5" t="str">
        <f t="shared" si="185"/>
        <v/>
      </c>
      <c r="DW38" s="5" t="str">
        <f t="shared" si="186"/>
        <v/>
      </c>
      <c r="DX38" s="167" t="str">
        <f t="shared" si="187"/>
        <v/>
      </c>
      <c r="DY38" s="9" t="str">
        <f t="shared" si="188"/>
        <v/>
      </c>
      <c r="DZ38" s="5" t="str">
        <f t="shared" si="189"/>
        <v/>
      </c>
      <c r="EA38" s="10" t="str">
        <f t="shared" si="190"/>
        <v/>
      </c>
      <c r="EB38" s="6" t="str">
        <f t="shared" si="191"/>
        <v/>
      </c>
      <c r="EC38" s="173" t="str">
        <f t="shared" si="192"/>
        <v/>
      </c>
      <c r="ED38" s="5" t="str">
        <f t="shared" si="193"/>
        <v/>
      </c>
      <c r="EE38" s="4" t="str">
        <f t="shared" si="194"/>
        <v/>
      </c>
      <c r="EF38" s="5" t="str">
        <f t="shared" si="195"/>
        <v/>
      </c>
      <c r="EG38" s="10" t="str">
        <f t="shared" si="196"/>
        <v/>
      </c>
      <c r="EH38" s="9" t="str">
        <f t="shared" si="197"/>
        <v/>
      </c>
      <c r="EI38" s="5" t="str">
        <f t="shared" si="198"/>
        <v/>
      </c>
      <c r="EJ38" s="6" t="str">
        <f t="shared" si="199"/>
        <v/>
      </c>
      <c r="EK38" s="236" t="str">
        <f t="shared" si="200"/>
        <v/>
      </c>
      <c r="EL38" s="238" t="str">
        <f t="shared" si="201"/>
        <v/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str">
        <f t="shared" si="205"/>
        <v/>
      </c>
      <c r="EQ38" s="5" t="str">
        <f t="shared" si="206"/>
        <v/>
      </c>
      <c r="ER38" s="7" t="str">
        <f t="shared" si="207"/>
        <v/>
      </c>
      <c r="ES38" s="21" t="str">
        <f t="shared" si="132"/>
        <v/>
      </c>
      <c r="ET38" s="5" t="str">
        <f t="shared" si="44"/>
        <v/>
      </c>
      <c r="EU38" s="10" t="str">
        <f t="shared" si="45"/>
        <v/>
      </c>
      <c r="EV38" s="174" t="str">
        <f t="shared" si="254"/>
        <v/>
      </c>
      <c r="EW38" s="9" t="str">
        <f t="shared" si="133"/>
        <v/>
      </c>
      <c r="EX38" s="5" t="str">
        <f t="shared" si="47"/>
        <v/>
      </c>
      <c r="EY38" s="6" t="str">
        <f t="shared" si="208"/>
        <v/>
      </c>
      <c r="EZ38" s="51" t="str">
        <f t="shared" si="209"/>
        <v/>
      </c>
      <c r="FA38" s="266" t="str">
        <f t="shared" si="134"/>
        <v/>
      </c>
      <c r="FB38" s="267" t="str">
        <f t="shared" si="135"/>
        <v/>
      </c>
      <c r="FC38" s="269" t="str">
        <f t="shared" si="48"/>
        <v/>
      </c>
      <c r="FD38" s="4" t="str">
        <f t="shared" si="136"/>
        <v/>
      </c>
      <c r="FE38" s="5" t="str">
        <f t="shared" si="49"/>
        <v/>
      </c>
      <c r="FF38" s="7" t="str">
        <f t="shared" si="210"/>
        <v/>
      </c>
      <c r="FG38" s="173" t="str">
        <f t="shared" si="211"/>
        <v/>
      </c>
      <c r="FH38" s="5" t="str">
        <f t="shared" si="50"/>
        <v/>
      </c>
      <c r="FI38" s="10" t="str">
        <f t="shared" si="51"/>
        <v/>
      </c>
      <c r="FJ38" s="279" t="str">
        <f t="shared" si="212"/>
        <v/>
      </c>
      <c r="FK38" s="4" t="str">
        <f t="shared" si="52"/>
        <v/>
      </c>
      <c r="FL38" s="5" t="str">
        <f t="shared" si="213"/>
        <v/>
      </c>
      <c r="FM38" s="8" t="str">
        <f t="shared" si="214"/>
        <v/>
      </c>
      <c r="FN38" s="9" t="str">
        <f t="shared" si="215"/>
        <v/>
      </c>
      <c r="FO38" s="10" t="str">
        <f t="shared" si="53"/>
        <v/>
      </c>
      <c r="FP38" s="277" t="str">
        <f t="shared" si="54"/>
        <v/>
      </c>
      <c r="FQ38" s="173" t="str">
        <f t="shared" si="243"/>
        <v/>
      </c>
      <c r="FR38" s="10" t="str">
        <f t="shared" si="216"/>
        <v/>
      </c>
      <c r="FS38" s="9" t="str">
        <f t="shared" si="217"/>
        <v/>
      </c>
      <c r="FT38" s="6" t="str">
        <f t="shared" si="218"/>
        <v/>
      </c>
      <c r="FU38" s="4" t="str">
        <f t="shared" si="219"/>
        <v/>
      </c>
      <c r="FV38" s="5" t="str">
        <f t="shared" si="220"/>
        <v/>
      </c>
      <c r="FW38" s="8" t="str">
        <f t="shared" si="244"/>
        <v/>
      </c>
      <c r="FX38" s="9" t="str">
        <f t="shared" si="245"/>
        <v/>
      </c>
      <c r="FY38" s="10" t="str">
        <f t="shared" si="55"/>
        <v/>
      </c>
      <c r="FZ38" s="277" t="str">
        <f t="shared" si="246"/>
        <v/>
      </c>
      <c r="GA38" s="177" t="str">
        <f t="shared" si="221"/>
        <v/>
      </c>
      <c r="GB38" s="4" t="str">
        <f t="shared" si="222"/>
        <v/>
      </c>
      <c r="GC38" s="5" t="str">
        <f t="shared" si="223"/>
        <v/>
      </c>
      <c r="GD38" s="10" t="str">
        <f t="shared" si="224"/>
        <v/>
      </c>
      <c r="GE38" s="311" t="str">
        <f t="shared" si="225"/>
        <v/>
      </c>
      <c r="GF38" s="341" t="str">
        <f t="shared" si="247"/>
        <v/>
      </c>
      <c r="GG38" s="285" t="str">
        <f t="shared" si="56"/>
        <v/>
      </c>
      <c r="GH38" s="286" t="str">
        <f t="shared" si="57"/>
        <v/>
      </c>
      <c r="GI38" s="281" t="str">
        <f t="shared" si="58"/>
        <v/>
      </c>
      <c r="GJ38" s="167" t="str">
        <f t="shared" si="226"/>
        <v/>
      </c>
      <c r="GK38" s="174" t="str">
        <f t="shared" si="59"/>
        <v/>
      </c>
      <c r="GL38" s="174" t="str">
        <f t="shared" si="227"/>
        <v/>
      </c>
      <c r="GM38" s="177" t="str">
        <f t="shared" si="248"/>
        <v/>
      </c>
      <c r="GN38" s="280" t="str">
        <f t="shared" si="228"/>
        <v/>
      </c>
      <c r="GO38" s="4" t="str">
        <f t="shared" si="229"/>
        <v/>
      </c>
      <c r="GP38" s="8" t="str">
        <f t="shared" si="249"/>
        <v/>
      </c>
      <c r="GQ38" s="177" t="str">
        <f t="shared" si="230"/>
        <v/>
      </c>
      <c r="GR38" s="371" t="str">
        <f t="shared" si="250"/>
        <v/>
      </c>
      <c r="GS38" s="342" t="str">
        <f t="shared" si="61"/>
        <v/>
      </c>
      <c r="GT38" s="343" t="str">
        <f t="shared" si="62"/>
        <v/>
      </c>
      <c r="GU38" s="344" t="str">
        <f t="shared" si="63"/>
        <v/>
      </c>
      <c r="GV38" s="343" t="str">
        <f t="shared" si="252"/>
        <v/>
      </c>
      <c r="GW38" s="345" t="str">
        <f t="shared" si="64"/>
        <v/>
      </c>
      <c r="GX38" s="346" t="str">
        <f t="shared" si="65"/>
        <v/>
      </c>
      <c r="GY38" s="344" t="str">
        <f t="shared" si="66"/>
        <v/>
      </c>
      <c r="GZ38" s="345" t="str">
        <f t="shared" si="67"/>
        <v/>
      </c>
      <c r="HA38" s="342" t="str">
        <f t="shared" si="68"/>
        <v/>
      </c>
      <c r="HB38" s="5" t="str">
        <f t="shared" si="231"/>
        <v/>
      </c>
      <c r="HC38" s="343" t="str">
        <f t="shared" si="232"/>
        <v/>
      </c>
      <c r="HD38" s="363" t="str">
        <f t="shared" si="233"/>
        <v/>
      </c>
      <c r="HE38" s="344" t="str">
        <f t="shared" si="69"/>
        <v/>
      </c>
      <c r="HF38" s="5" t="str">
        <f t="shared" si="70"/>
        <v/>
      </c>
      <c r="HG38" s="343" t="str">
        <f t="shared" si="234"/>
        <v/>
      </c>
      <c r="HH38" s="349" t="str">
        <f t="shared" si="235"/>
        <v/>
      </c>
      <c r="HI38" s="317" t="str">
        <f t="shared" si="71"/>
        <v/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6.109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8"/>
        <v>1613</v>
      </c>
      <c r="IM38" s="482" t="str">
        <f t="shared" si="237"/>
        <v/>
      </c>
      <c r="IN38" s="670" t="str">
        <f t="shared" si="90"/>
        <v/>
      </c>
      <c r="IO38" s="702"/>
      <c r="IP38" s="5" t="str">
        <f t="shared" si="91"/>
        <v/>
      </c>
      <c r="IQ38" s="714"/>
      <c r="IR38" s="9" t="str">
        <f t="shared" si="139"/>
        <v/>
      </c>
      <c r="IS38" s="5" t="str">
        <f t="shared" si="92"/>
        <v/>
      </c>
      <c r="IT38" s="5" t="str">
        <f t="shared" si="93"/>
        <v/>
      </c>
      <c r="IU38" s="5" t="str">
        <f t="shared" si="94"/>
        <v/>
      </c>
      <c r="IV38" s="670" t="str">
        <f t="shared" si="95"/>
        <v/>
      </c>
      <c r="IW38" s="9" t="str">
        <f t="shared" si="96"/>
        <v/>
      </c>
      <c r="IX38" s="5" t="str">
        <f t="shared" si="97"/>
        <v/>
      </c>
      <c r="IY38" s="5" t="str">
        <f t="shared" si="98"/>
        <v/>
      </c>
      <c r="IZ38" s="5" t="str">
        <f t="shared" si="99"/>
        <v/>
      </c>
      <c r="JA38" s="705" t="str">
        <f t="shared" si="100"/>
        <v/>
      </c>
    </row>
    <row r="39" spans="1:269" ht="15" customHeight="1" x14ac:dyDescent="0.25">
      <c r="A39" s="75">
        <f t="shared" si="1"/>
        <v>0.02</v>
      </c>
      <c r="B39" s="578">
        <f t="shared" si="2"/>
        <v>-2.7313360962150948</v>
      </c>
      <c r="C39" s="572">
        <f t="shared" si="3"/>
        <v>1.3130047057253782</v>
      </c>
      <c r="D39" s="576">
        <f t="shared" si="4"/>
        <v>-0.36998228034527364</v>
      </c>
      <c r="E39" s="580">
        <f t="shared" si="5"/>
        <v>-0.5870233052390561</v>
      </c>
      <c r="F39" s="572">
        <f t="shared" si="6"/>
        <v>-0.78595380742634813</v>
      </c>
      <c r="G39" s="579">
        <f t="shared" si="7"/>
        <v>0.1941140172636712</v>
      </c>
      <c r="H39" s="580">
        <f t="shared" si="8"/>
        <v>0.3125</v>
      </c>
      <c r="I39" s="572">
        <f t="shared" si="9"/>
        <v>0.52</v>
      </c>
      <c r="J39" s="483">
        <f t="shared" si="10"/>
        <v>6.1120000000000001</v>
      </c>
      <c r="K39" s="806">
        <f t="shared" si="11"/>
        <v>1613</v>
      </c>
      <c r="L39" s="309"/>
      <c r="M39" s="164">
        <f t="shared" si="12"/>
        <v>6.1120000000000001</v>
      </c>
      <c r="N39" s="575">
        <f t="shared" si="13"/>
        <v>-2.7313360962150948</v>
      </c>
      <c r="O39" s="572">
        <f t="shared" si="14"/>
        <v>1.3130047057253782</v>
      </c>
      <c r="P39" s="576">
        <f t="shared" si="15"/>
        <v>-0.36998228034527364</v>
      </c>
      <c r="Q39" s="528">
        <f t="shared" si="140"/>
        <v>154.32552973230645</v>
      </c>
      <c r="R39" s="572">
        <f t="shared" si="101"/>
        <v>3.0305409133922776</v>
      </c>
      <c r="S39" s="577">
        <f t="shared" si="102"/>
        <v>-0.36998228034527364</v>
      </c>
      <c r="T39" s="578">
        <f t="shared" si="103"/>
        <v>1.3073605117385543</v>
      </c>
      <c r="U39" s="572">
        <f t="shared" si="104"/>
        <v>2.7340421942777704</v>
      </c>
      <c r="V39" s="579">
        <f t="shared" si="141"/>
        <v>-0.36998228034527364</v>
      </c>
      <c r="W39" s="528">
        <f t="shared" si="253"/>
        <v>64.443870444346643</v>
      </c>
      <c r="X39" s="572">
        <f t="shared" si="105"/>
        <v>3.0305409133922776</v>
      </c>
      <c r="Y39" s="573">
        <f t="shared" si="255"/>
        <v>-0.36998228034527364</v>
      </c>
      <c r="Z39" s="575">
        <f t="shared" si="18"/>
        <v>0.5870233052390561</v>
      </c>
      <c r="AA39" s="572">
        <f t="shared" si="19"/>
        <v>0.78595380742634813</v>
      </c>
      <c r="AB39" s="572">
        <f t="shared" si="20"/>
        <v>-0.1941140172636712</v>
      </c>
      <c r="AC39" s="579">
        <f t="shared" si="106"/>
        <v>1</v>
      </c>
      <c r="AD39" s="580">
        <f t="shared" si="142"/>
        <v>0.5870233052390561</v>
      </c>
      <c r="AE39" s="572">
        <f t="shared" si="107"/>
        <v>0.78595380742634813</v>
      </c>
      <c r="AF39" s="576">
        <f t="shared" si="108"/>
        <v>-0.1941140172636712</v>
      </c>
      <c r="AG39" s="545">
        <f t="shared" si="109"/>
        <v>76.12678540858515</v>
      </c>
      <c r="AH39" s="546">
        <f t="shared" si="110"/>
        <v>54.053943774906337</v>
      </c>
      <c r="AI39" s="528">
        <f t="shared" si="111"/>
        <v>-78.807028398879254</v>
      </c>
      <c r="AJ39" s="529">
        <f t="shared" si="112"/>
        <v>143.24420817982065</v>
      </c>
      <c r="AK39" s="578">
        <f t="shared" si="238"/>
        <v>0.96268898843702111</v>
      </c>
      <c r="AL39" s="572">
        <f t="shared" si="113"/>
        <v>-0.18854617430185139</v>
      </c>
      <c r="AM39" s="577">
        <f t="shared" si="114"/>
        <v>-0.1941140172636712</v>
      </c>
      <c r="AN39" s="524">
        <f t="shared" si="115"/>
        <v>-44.166384694641643</v>
      </c>
      <c r="AO39" s="525">
        <f t="shared" si="116"/>
        <v>15.700583954289179</v>
      </c>
      <c r="AP39" s="528">
        <f t="shared" si="117"/>
        <v>-11.081321552485809</v>
      </c>
      <c r="AQ39" s="529">
        <f t="shared" si="21"/>
        <v>0.75220751662306373</v>
      </c>
      <c r="AS39" s="932">
        <f t="shared" si="143"/>
        <v>-295.55612955565334</v>
      </c>
      <c r="AT39" s="928">
        <f t="shared" si="22"/>
        <v>-0.16325791781583252</v>
      </c>
      <c r="AU39" s="418"/>
      <c r="AV39" s="164">
        <f t="shared" si="23"/>
        <v>6.1120000000000001</v>
      </c>
      <c r="AW39" s="829">
        <f>IFERROR(INDEX(MassProp!C$9:C$150,MATCH($M39,MassProp!$B$9:$B$150,0)),"")</f>
        <v>2.5207000000000002</v>
      </c>
      <c r="AX39" s="830">
        <f>IFERROR(INDEX(MassProp!D$9:D$150,MATCH($M39,MassProp!$B$9:$B$150,0)),"")</f>
        <v>0.26779999999999998</v>
      </c>
      <c r="AY39" s="831">
        <f>IFERROR(INDEX(MassProp!E$9:E$150,MATCH($M39,MassProp!$B$9:$B$150,0)),"")</f>
        <v>3.5200000000000002E-2</v>
      </c>
      <c r="AZ39" s="297">
        <f t="shared" si="144"/>
        <v>0.55756793595160115</v>
      </c>
      <c r="BA39" s="296">
        <f t="shared" si="24"/>
        <v>9.9830587429634798E-2</v>
      </c>
      <c r="BB39" s="190">
        <f t="shared" si="145"/>
        <v>0.1810579178158325</v>
      </c>
      <c r="BC39" s="9"/>
      <c r="BD39" s="5">
        <f t="shared" si="146"/>
        <v>2.5207000000000002</v>
      </c>
      <c r="BE39" s="6">
        <f t="shared" si="25"/>
        <v>-0.18892436252944114</v>
      </c>
      <c r="BF39" s="4">
        <f t="shared" si="26"/>
        <v>-2.7313360962150948</v>
      </c>
      <c r="BG39" s="5">
        <f t="shared" si="27"/>
        <v>1.3130047057253782</v>
      </c>
      <c r="BH39" s="10">
        <f t="shared" si="28"/>
        <v>-0.36998228034527364</v>
      </c>
      <c r="BI39" s="9">
        <f t="shared" si="147"/>
        <v>-2.7313360962150948</v>
      </c>
      <c r="BJ39" s="5">
        <f t="shared" si="29"/>
        <v>1.5527789182535285</v>
      </c>
      <c r="BK39" s="8">
        <f t="shared" si="30"/>
        <v>0.60084640021917357</v>
      </c>
      <c r="BL39" s="173">
        <f t="shared" si="31"/>
        <v>-1.921766062736697</v>
      </c>
      <c r="BM39" s="5">
        <f t="shared" si="32"/>
        <v>0.74310564483956465</v>
      </c>
      <c r="BN39" s="6">
        <f t="shared" si="33"/>
        <v>-0.22922922959590689</v>
      </c>
      <c r="BO39" s="4">
        <f t="shared" si="148"/>
        <v>0.58702330523905599</v>
      </c>
      <c r="BP39" s="5">
        <f t="shared" si="239"/>
        <v>0.78595380742634813</v>
      </c>
      <c r="BQ39" s="5">
        <f t="shared" si="149"/>
        <v>-0.19411401726367128</v>
      </c>
      <c r="BR39" s="6">
        <f t="shared" si="150"/>
        <v>0.49957814853115806</v>
      </c>
      <c r="BS39" s="4">
        <f t="shared" si="118"/>
        <v>0</v>
      </c>
      <c r="BT39" s="5">
        <f t="shared" si="118"/>
        <v>0</v>
      </c>
      <c r="BU39" s="10">
        <f t="shared" si="119"/>
        <v>-0.18892436252944114</v>
      </c>
      <c r="BV39" s="9">
        <f t="shared" si="120"/>
        <v>0</v>
      </c>
      <c r="BW39" s="5">
        <f t="shared" si="121"/>
        <v>1</v>
      </c>
      <c r="BX39" s="8">
        <f t="shared" si="122"/>
        <v>-0.18892436252944114</v>
      </c>
      <c r="BY39" s="173">
        <f t="shared" si="123"/>
        <v>1</v>
      </c>
      <c r="BZ39" s="5">
        <f t="shared" si="124"/>
        <v>0</v>
      </c>
      <c r="CA39" s="6">
        <f t="shared" si="125"/>
        <v>-0.18892436252944114</v>
      </c>
      <c r="CB39" s="4">
        <f t="shared" si="151"/>
        <v>0</v>
      </c>
      <c r="CC39" s="5">
        <f t="shared" si="152"/>
        <v>0</v>
      </c>
      <c r="CD39" s="5">
        <f t="shared" si="153"/>
        <v>-1</v>
      </c>
      <c r="CE39" s="6">
        <f t="shared" si="154"/>
        <v>-0.18892436252944114</v>
      </c>
      <c r="CF39" s="4">
        <f t="shared" si="155"/>
        <v>-0.78595380742634813</v>
      </c>
      <c r="CG39" s="5">
        <f t="shared" si="156"/>
        <v>0.58702330523905599</v>
      </c>
      <c r="CH39" s="5">
        <f t="shared" si="157"/>
        <v>0</v>
      </c>
      <c r="CI39" s="4">
        <f t="shared" si="126"/>
        <v>0</v>
      </c>
      <c r="CJ39" s="5">
        <f t="shared" si="127"/>
        <v>-0.68229329819867091</v>
      </c>
      <c r="CK39" s="8">
        <f t="shared" si="128"/>
        <v>-0.18892436252944111</v>
      </c>
      <c r="CL39" s="173">
        <f t="shared" si="129"/>
        <v>-0.78595380742634813</v>
      </c>
      <c r="CM39" s="5">
        <f t="shared" si="130"/>
        <v>-9.5269992959614913E-2</v>
      </c>
      <c r="CN39" s="6">
        <f t="shared" si="131"/>
        <v>-0.18892436252944111</v>
      </c>
      <c r="CO39" s="167">
        <f t="shared" si="35"/>
        <v>0.3125</v>
      </c>
      <c r="CP39" s="4">
        <f t="shared" si="240"/>
        <v>0.96231974830175915</v>
      </c>
      <c r="CQ39" s="5">
        <f t="shared" si="241"/>
        <v>-6.6359808667633162</v>
      </c>
      <c r="CR39" s="5">
        <f t="shared" si="158"/>
        <v>11.376536714554613</v>
      </c>
      <c r="CS39" s="8">
        <f t="shared" si="159"/>
        <v>0.24477827326514756</v>
      </c>
      <c r="CT39" s="9">
        <f t="shared" si="160"/>
        <v>3.7049699944607979</v>
      </c>
      <c r="CU39" s="6">
        <f t="shared" si="161"/>
        <v>3.190846992018046</v>
      </c>
      <c r="CV39" s="4">
        <f t="shared" si="242"/>
        <v>-2.91193527354684</v>
      </c>
      <c r="CW39" s="5">
        <f t="shared" si="162"/>
        <v>1.4926104337612338</v>
      </c>
      <c r="CX39" s="8">
        <f t="shared" si="163"/>
        <v>-0.18892436252944111</v>
      </c>
      <c r="CY39" s="9">
        <f t="shared" si="164"/>
        <v>-2.5078583422914935</v>
      </c>
      <c r="CZ39" s="5">
        <f t="shared" si="165"/>
        <v>1.1908082495678622</v>
      </c>
      <c r="DA39" s="6">
        <f t="shared" si="166"/>
        <v>-0.18892436252944111</v>
      </c>
      <c r="DB39" s="4">
        <f t="shared" si="167"/>
        <v>0</v>
      </c>
      <c r="DC39" s="5">
        <f t="shared" si="167"/>
        <v>0</v>
      </c>
      <c r="DD39" s="10">
        <f t="shared" si="168"/>
        <v>-10</v>
      </c>
      <c r="DE39" s="9">
        <f t="shared" si="169"/>
        <v>0</v>
      </c>
      <c r="DF39" s="5">
        <f t="shared" si="169"/>
        <v>0</v>
      </c>
      <c r="DG39" s="10">
        <f t="shared" si="170"/>
        <v>10</v>
      </c>
      <c r="DH39" s="70">
        <f t="shared" si="171"/>
        <v>2.5207000000000002</v>
      </c>
      <c r="DI39" s="4">
        <f t="shared" si="172"/>
        <v>0</v>
      </c>
      <c r="DJ39" s="5">
        <f t="shared" si="173"/>
        <v>0</v>
      </c>
      <c r="DK39" s="10">
        <f t="shared" si="174"/>
        <v>20</v>
      </c>
      <c r="DL39" s="9">
        <f t="shared" si="175"/>
        <v>-2.91193527354684</v>
      </c>
      <c r="DM39" s="173">
        <f t="shared" si="176"/>
        <v>1.4926104337612338</v>
      </c>
      <c r="DN39" s="178">
        <f t="shared" si="177"/>
        <v>9.8110756374705588</v>
      </c>
      <c r="DO39" s="9">
        <f t="shared" si="178"/>
        <v>0.40407693125534649</v>
      </c>
      <c r="DP39" s="173">
        <f t="shared" si="179"/>
        <v>-0.30180218419337157</v>
      </c>
      <c r="DQ39" s="11">
        <f t="shared" si="180"/>
        <v>0</v>
      </c>
      <c r="DR39" s="173">
        <f t="shared" si="181"/>
        <v>196.22151274941118</v>
      </c>
      <c r="DS39" s="5">
        <f t="shared" si="182"/>
        <v>0</v>
      </c>
      <c r="DT39" s="5">
        <f t="shared" si="183"/>
        <v>400</v>
      </c>
      <c r="DU39" s="5">
        <f t="shared" si="184"/>
        <v>0.2543627247566278</v>
      </c>
      <c r="DV39" s="5">
        <f t="shared" si="185"/>
        <v>-1.6271189584079613</v>
      </c>
      <c r="DW39" s="5">
        <f t="shared" si="186"/>
        <v>106.96445810846754</v>
      </c>
      <c r="DX39" s="167">
        <f t="shared" si="187"/>
        <v>100.61052961846754</v>
      </c>
      <c r="DY39" s="9">
        <f t="shared" si="188"/>
        <v>101.74508990265112</v>
      </c>
      <c r="DZ39" s="5">
        <f t="shared" si="189"/>
        <v>-650.84758336318453</v>
      </c>
      <c r="EA39" s="10">
        <f t="shared" si="190"/>
        <v>1741.3297817196799</v>
      </c>
      <c r="EB39" s="6">
        <f t="shared" si="191"/>
        <v>246430.82157846473</v>
      </c>
      <c r="EC39" s="173">
        <f t="shared" si="192"/>
        <v>11.275881472504986</v>
      </c>
      <c r="ED39" s="5">
        <f t="shared" si="193"/>
        <v>1.5178087976772956</v>
      </c>
      <c r="EE39" s="4">
        <f t="shared" si="194"/>
        <v>1.6443883090619922</v>
      </c>
      <c r="EF39" s="5">
        <f t="shared" si="195"/>
        <v>-1.910475223346342</v>
      </c>
      <c r="EG39" s="10">
        <f t="shared" si="196"/>
        <v>-0.18892436252944111</v>
      </c>
      <c r="EH39" s="9">
        <f t="shared" si="197"/>
        <v>-2.2986237523490312</v>
      </c>
      <c r="EI39" s="5">
        <f t="shared" si="198"/>
        <v>1.0345324234343107</v>
      </c>
      <c r="EJ39" s="6">
        <f t="shared" si="199"/>
        <v>-0.18892436252944111</v>
      </c>
      <c r="EK39" s="236" t="b">
        <f t="shared" si="200"/>
        <v>0</v>
      </c>
      <c r="EL39" s="238" t="b">
        <f t="shared" si="201"/>
        <v>0</v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e">
        <f t="shared" si="205"/>
        <v>#VALUE!</v>
      </c>
      <c r="EQ39" s="5" t="e">
        <f t="shared" si="206"/>
        <v>#VALUE!</v>
      </c>
      <c r="ER39" s="7" t="str">
        <f t="shared" si="207"/>
        <v/>
      </c>
      <c r="ES39" s="21">
        <f t="shared" si="132"/>
        <v>0.5870233052390561</v>
      </c>
      <c r="ET39" s="5">
        <f t="shared" si="44"/>
        <v>0.78595380742634813</v>
      </c>
      <c r="EU39" s="10">
        <f t="shared" si="45"/>
        <v>-0.1941140172636712</v>
      </c>
      <c r="EV39" s="174" t="e">
        <f t="shared" si="254"/>
        <v>#VALUE!</v>
      </c>
      <c r="EW39" s="9" t="e">
        <f t="shared" si="133"/>
        <v>#VALUE!</v>
      </c>
      <c r="EX39" s="5" t="e">
        <f t="shared" si="47"/>
        <v>#VALUE!</v>
      </c>
      <c r="EY39" s="6">
        <f t="shared" si="208"/>
        <v>-0.1941140172636712</v>
      </c>
      <c r="EZ39" s="51" t="e">
        <f t="shared" si="209"/>
        <v>#VALUE!</v>
      </c>
      <c r="FA39" s="266" t="e">
        <f t="shared" si="134"/>
        <v>#VALUE!</v>
      </c>
      <c r="FB39" s="267" t="e">
        <f t="shared" si="135"/>
        <v>#VALUE!</v>
      </c>
      <c r="FC39" s="269" t="e">
        <f t="shared" si="48"/>
        <v>#VALUE!</v>
      </c>
      <c r="FD39" s="4" t="e">
        <f t="shared" si="136"/>
        <v>#VALUE!</v>
      </c>
      <c r="FE39" s="5" t="e">
        <f t="shared" si="49"/>
        <v>#VALUE!</v>
      </c>
      <c r="FF39" s="7" t="e">
        <f t="shared" si="210"/>
        <v>#VALUE!</v>
      </c>
      <c r="FG39" s="173" t="e">
        <f t="shared" si="211"/>
        <v>#VALUE!</v>
      </c>
      <c r="FH39" s="5" t="e">
        <f t="shared" si="50"/>
        <v>#VALUE!</v>
      </c>
      <c r="FI39" s="10" t="e">
        <f t="shared" si="51"/>
        <v>#VALUE!</v>
      </c>
      <c r="FJ39" s="279" t="e">
        <f t="shared" si="212"/>
        <v>#VALUE!</v>
      </c>
      <c r="FK39" s="4">
        <f t="shared" si="52"/>
        <v>0.98097897444428395</v>
      </c>
      <c r="FL39" s="5" t="e">
        <f t="shared" si="213"/>
        <v>#VALUE!</v>
      </c>
      <c r="FM39" s="8" t="e">
        <f t="shared" si="214"/>
        <v>#VALUE!</v>
      </c>
      <c r="FN39" s="9" t="e">
        <f t="shared" si="215"/>
        <v>#VALUE!</v>
      </c>
      <c r="FO39" s="10" t="e">
        <f t="shared" si="53"/>
        <v>#VALUE!</v>
      </c>
      <c r="FP39" s="277" t="e">
        <f t="shared" si="54"/>
        <v>#VALUE!</v>
      </c>
      <c r="FQ39" s="173" t="e">
        <f t="shared" si="243"/>
        <v>#VALUE!</v>
      </c>
      <c r="FR39" s="10" t="e">
        <f t="shared" si="216"/>
        <v>#VALUE!</v>
      </c>
      <c r="FS39" s="9" t="e">
        <f t="shared" si="217"/>
        <v>#VALUE!</v>
      </c>
      <c r="FT39" s="6" t="e">
        <f t="shared" si="218"/>
        <v>#VALUE!</v>
      </c>
      <c r="FU39" s="4" t="e">
        <f t="shared" si="219"/>
        <v>#VALUE!</v>
      </c>
      <c r="FV39" s="5" t="e">
        <f t="shared" si="220"/>
        <v>#VALUE!</v>
      </c>
      <c r="FW39" s="8" t="e">
        <f t="shared" si="244"/>
        <v>#VALUE!</v>
      </c>
      <c r="FX39" s="9" t="e">
        <f t="shared" si="245"/>
        <v>#VALUE!</v>
      </c>
      <c r="FY39" s="10" t="e">
        <f t="shared" si="55"/>
        <v>#VALUE!</v>
      </c>
      <c r="FZ39" s="277" t="e">
        <f t="shared" si="246"/>
        <v>#VALUE!</v>
      </c>
      <c r="GA39" s="177" t="e">
        <f t="shared" si="221"/>
        <v>#VALUE!</v>
      </c>
      <c r="GB39" s="4" t="e">
        <f t="shared" si="222"/>
        <v>#VALUE!</v>
      </c>
      <c r="GC39" s="5" t="e">
        <f t="shared" si="223"/>
        <v>#VALUE!</v>
      </c>
      <c r="GD39" s="10" t="e">
        <f t="shared" si="224"/>
        <v>#VALUE!</v>
      </c>
      <c r="GE39" s="311" t="e">
        <f t="shared" si="225"/>
        <v>#VALUE!</v>
      </c>
      <c r="GF39" s="341" t="e">
        <f t="shared" si="247"/>
        <v>#VALUE!</v>
      </c>
      <c r="GG39" s="285" t="e">
        <f t="shared" si="56"/>
        <v>#VALUE!</v>
      </c>
      <c r="GH39" s="286" t="e">
        <f t="shared" si="57"/>
        <v>#VALUE!</v>
      </c>
      <c r="GI39" s="281" t="e">
        <f t="shared" si="58"/>
        <v>#VALUE!</v>
      </c>
      <c r="GJ39" s="167">
        <f t="shared" si="226"/>
        <v>2.5207000000000002</v>
      </c>
      <c r="GK39" s="174">
        <f t="shared" si="59"/>
        <v>1.3199998483702677</v>
      </c>
      <c r="GL39" s="174">
        <f t="shared" si="227"/>
        <v>3.5200000000000002E-2</v>
      </c>
      <c r="GM39" s="177">
        <f t="shared" si="248"/>
        <v>0.55756793595160115</v>
      </c>
      <c r="GN39" s="280">
        <f t="shared" si="228"/>
        <v>9.9830587429634798E-2</v>
      </c>
      <c r="GO39" s="4" t="e">
        <f t="shared" si="229"/>
        <v>#VALUE!</v>
      </c>
      <c r="GP39" s="8" t="e">
        <f t="shared" si="249"/>
        <v>#VALUE!</v>
      </c>
      <c r="GQ39" s="177" t="e">
        <f t="shared" si="230"/>
        <v>#VALUE!</v>
      </c>
      <c r="GR39" s="371" t="e">
        <f t="shared" si="250"/>
        <v>#VALUE!</v>
      </c>
      <c r="GS39" s="342" t="e">
        <f t="shared" si="61"/>
        <v>#VALUE!</v>
      </c>
      <c r="GT39" s="343" t="e">
        <f t="shared" si="62"/>
        <v>#VALUE!</v>
      </c>
      <c r="GU39" s="344">
        <f t="shared" si="63"/>
        <v>1370.6878425476862</v>
      </c>
      <c r="GV39" s="343">
        <f t="shared" si="252"/>
        <v>1038.4000000000001</v>
      </c>
      <c r="GW39" s="345">
        <f t="shared" si="64"/>
        <v>29500</v>
      </c>
      <c r="GX39" s="346">
        <f t="shared" si="65"/>
        <v>218.12457333333336</v>
      </c>
      <c r="GY39" s="344" t="e">
        <f t="shared" si="66"/>
        <v>#VALUE!</v>
      </c>
      <c r="GZ39" s="345" t="e">
        <f t="shared" si="67"/>
        <v>#VALUE!</v>
      </c>
      <c r="HA39" s="342" t="e">
        <f t="shared" si="68"/>
        <v>#VALUE!</v>
      </c>
      <c r="HB39" s="5" t="e">
        <f t="shared" si="231"/>
        <v>#VALUE!</v>
      </c>
      <c r="HC39" s="343" t="e">
        <f t="shared" si="232"/>
        <v>#VALUE!</v>
      </c>
      <c r="HD39" s="363" t="e">
        <f t="shared" si="233"/>
        <v>#VALUE!</v>
      </c>
      <c r="HE39" s="344" t="e">
        <f t="shared" si="69"/>
        <v>#VALUE!</v>
      </c>
      <c r="HF39" s="5" t="e">
        <f t="shared" si="70"/>
        <v>#VALUE!</v>
      </c>
      <c r="HG39" s="343" t="e">
        <f t="shared" si="234"/>
        <v>#VALUE!</v>
      </c>
      <c r="HH39" s="349" t="e">
        <f t="shared" si="235"/>
        <v>#VALUE!</v>
      </c>
      <c r="HI39" s="317">
        <f t="shared" si="71"/>
        <v>6.1120000000000001</v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6.1120000000000001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1613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0.02</v>
      </c>
      <c r="B40" s="578">
        <f t="shared" si="2"/>
        <v>-3.1540160405007307</v>
      </c>
      <c r="C40" s="572">
        <f t="shared" si="3"/>
        <v>1.5608545538537721</v>
      </c>
      <c r="D40" s="576">
        <f t="shared" si="4"/>
        <v>-0.96093053759380143</v>
      </c>
      <c r="E40" s="580">
        <f t="shared" si="5"/>
        <v>-0.70005555711045819</v>
      </c>
      <c r="F40" s="572">
        <f t="shared" si="6"/>
        <v>-0.69992310955129655</v>
      </c>
      <c r="G40" s="579">
        <f t="shared" si="7"/>
        <v>0.14152687969007807</v>
      </c>
      <c r="H40" s="580">
        <f t="shared" si="8"/>
        <v>0.3125</v>
      </c>
      <c r="I40" s="572">
        <f t="shared" si="9"/>
        <v>0.52</v>
      </c>
      <c r="J40" s="483">
        <f t="shared" si="10"/>
        <v>6.1150000000000002</v>
      </c>
      <c r="K40" s="806">
        <f t="shared" si="11"/>
        <v>1613</v>
      </c>
      <c r="L40" s="309"/>
      <c r="M40" s="164">
        <f t="shared" si="12"/>
        <v>6.1150000000000002</v>
      </c>
      <c r="N40" s="575">
        <f t="shared" si="13"/>
        <v>-3.1540160405007307</v>
      </c>
      <c r="O40" s="572">
        <f t="shared" si="14"/>
        <v>1.5608545538537721</v>
      </c>
      <c r="P40" s="576">
        <f t="shared" si="15"/>
        <v>-0.96093053759380143</v>
      </c>
      <c r="Q40" s="528">
        <f t="shared" si="140"/>
        <v>153.67018419780749</v>
      </c>
      <c r="R40" s="572">
        <f t="shared" si="101"/>
        <v>3.5191027438854303</v>
      </c>
      <c r="S40" s="577">
        <f t="shared" si="102"/>
        <v>-0.96093053759380143</v>
      </c>
      <c r="T40" s="578">
        <f t="shared" si="103"/>
        <v>1.5543368138435165</v>
      </c>
      <c r="U40" s="572">
        <f t="shared" si="104"/>
        <v>3.157233154385775</v>
      </c>
      <c r="V40" s="579">
        <f t="shared" si="141"/>
        <v>-0.96093053759380143</v>
      </c>
      <c r="W40" s="528">
        <f t="shared" si="253"/>
        <v>63.788524909847681</v>
      </c>
      <c r="X40" s="572">
        <f t="shared" si="105"/>
        <v>3.5191027438854303</v>
      </c>
      <c r="Y40" s="573">
        <f t="shared" si="255"/>
        <v>-0.96093053759380143</v>
      </c>
      <c r="Z40" s="575">
        <f t="shared" si="18"/>
        <v>0.70005555711045819</v>
      </c>
      <c r="AA40" s="572">
        <f t="shared" si="19"/>
        <v>0.69992310955129655</v>
      </c>
      <c r="AB40" s="572">
        <f t="shared" si="20"/>
        <v>-0.14152687969007807</v>
      </c>
      <c r="AC40" s="579">
        <f t="shared" si="106"/>
        <v>1</v>
      </c>
      <c r="AD40" s="580">
        <f t="shared" si="142"/>
        <v>0.70005555711045819</v>
      </c>
      <c r="AE40" s="572">
        <f t="shared" si="107"/>
        <v>0.69992310955129655</v>
      </c>
      <c r="AF40" s="576">
        <f t="shared" si="108"/>
        <v>-0.14152687969007807</v>
      </c>
      <c r="AG40" s="545">
        <f t="shared" si="109"/>
        <v>78.568725486557327</v>
      </c>
      <c r="AH40" s="546">
        <f t="shared" si="110"/>
        <v>45.568538474537583</v>
      </c>
      <c r="AI40" s="528">
        <f t="shared" si="111"/>
        <v>-81.863790168070409</v>
      </c>
      <c r="AJ40" s="529">
        <f t="shared" si="112"/>
        <v>134.99457942731212</v>
      </c>
      <c r="AK40" s="578">
        <f t="shared" si="238"/>
        <v>0.93781110103782828</v>
      </c>
      <c r="AL40" s="572">
        <f t="shared" si="113"/>
        <v>-0.31698656295718058</v>
      </c>
      <c r="AM40" s="577">
        <f t="shared" si="114"/>
        <v>-0.14152687969007807</v>
      </c>
      <c r="AN40" s="524">
        <f t="shared" si="115"/>
        <v>-65.940386675998184</v>
      </c>
      <c r="AO40" s="525">
        <f t="shared" si="116"/>
        <v>20.312850174991276</v>
      </c>
      <c r="AP40" s="528">
        <f t="shared" si="117"/>
        <v>-18.675604770495369</v>
      </c>
      <c r="AQ40" s="529">
        <f t="shared" si="21"/>
        <v>0.6477871380521234</v>
      </c>
      <c r="AS40" s="932">
        <f t="shared" si="143"/>
        <v>-296.21147509015231</v>
      </c>
      <c r="AT40" s="928">
        <f t="shared" si="22"/>
        <v>-0.75375107399873598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6.1150000000000002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1613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104" si="256">IF($K41="","",IF(AND($A$8="Y",ISNUMBER($K41)),$A$5,0))</f>
        <v>0.02</v>
      </c>
      <c r="B41" s="578">
        <f t="shared" ref="B41:B54" si="257">IFERROR(Q196+($A41*-E41),"")</f>
        <v>-3.3532444344536749</v>
      </c>
      <c r="C41" s="572">
        <f t="shared" ref="C41:C54" si="258">IFERROR(R196+($A41*-F41),"")</f>
        <v>1.6900434377527331</v>
      </c>
      <c r="D41" s="576">
        <f t="shared" ref="D41:D54" si="259">IFERROR(S196+($A41*-G41),"")</f>
        <v>-1.6309316525916562</v>
      </c>
      <c r="E41" s="580">
        <f t="shared" ref="E41:E54" si="260">T196</f>
        <v>-0.82851588755163097</v>
      </c>
      <c r="F41" s="572">
        <f t="shared" ref="F41:F54" si="261">U196</f>
        <v>-0.55656895692106378</v>
      </c>
      <c r="G41" s="579">
        <f t="shared" ref="G41:G54" si="262">V196</f>
        <v>6.1582629582798941E-2</v>
      </c>
      <c r="H41" s="580">
        <f t="shared" ref="H41:H54" si="263">W196</f>
        <v>0.26450000000000001</v>
      </c>
      <c r="I41" s="572">
        <f t="shared" ref="I41:I54" si="264">X196</f>
        <v>0.52</v>
      </c>
      <c r="J41" s="483">
        <f t="shared" ref="J41:J54" si="265">IF(Y196=0,"",Y196)</f>
        <v>6.1180000000000003</v>
      </c>
      <c r="K41" s="806">
        <f t="shared" ref="K41:K54" si="266">Z196</f>
        <v>1313</v>
      </c>
      <c r="L41" s="309"/>
      <c r="M41" s="164">
        <f t="shared" ref="M41:M72" si="267">IF(J41="","",VALUE(J41))</f>
        <v>6.1180000000000003</v>
      </c>
      <c r="N41" s="575">
        <f t="shared" ref="N41:N72" si="268">IF(M41="","",B41)</f>
        <v>-3.3532444344536749</v>
      </c>
      <c r="O41" s="572">
        <f t="shared" ref="O41:O72" si="269">IF(M41="","",C41)</f>
        <v>1.6900434377527331</v>
      </c>
      <c r="P41" s="576">
        <f t="shared" ref="P41:P72" si="270">IF(M41="","",D41)</f>
        <v>-1.6309316525916562</v>
      </c>
      <c r="Q41" s="528">
        <f t="shared" si="140"/>
        <v>153.25178352459065</v>
      </c>
      <c r="R41" s="572">
        <f t="shared" si="101"/>
        <v>3.7550625905150534</v>
      </c>
      <c r="S41" s="577">
        <f t="shared" si="102"/>
        <v>-1.6309316525916562</v>
      </c>
      <c r="T41" s="578">
        <f t="shared" si="103"/>
        <v>1.6831139291631712</v>
      </c>
      <c r="U41" s="572">
        <f t="shared" si="104"/>
        <v>3.3567279544435138</v>
      </c>
      <c r="V41" s="579">
        <f t="shared" si="141"/>
        <v>-1.6309316525916562</v>
      </c>
      <c r="W41" s="528">
        <f t="shared" si="253"/>
        <v>63.370124236630843</v>
      </c>
      <c r="X41" s="572">
        <f t="shared" si="105"/>
        <v>3.7550625905150534</v>
      </c>
      <c r="Y41" s="573">
        <f t="shared" si="255"/>
        <v>-1.6309316525916562</v>
      </c>
      <c r="Z41" s="575">
        <f t="shared" ref="Z41:Z72" si="271">IF(M41="","",-E41)</f>
        <v>0.82851588755163097</v>
      </c>
      <c r="AA41" s="572">
        <f t="shared" ref="AA41:AA72" si="272">IF(M41="","",-F41)</f>
        <v>0.55656895692106378</v>
      </c>
      <c r="AB41" s="572">
        <f t="shared" ref="AB41:AB72" si="273">IF(M41="","",-G41)</f>
        <v>-6.1582629582798941E-2</v>
      </c>
      <c r="AC41" s="579">
        <f t="shared" si="106"/>
        <v>1</v>
      </c>
      <c r="AD41" s="580">
        <f t="shared" si="142"/>
        <v>0.82851588755163097</v>
      </c>
      <c r="AE41" s="572">
        <f t="shared" si="107"/>
        <v>0.55656895692106378</v>
      </c>
      <c r="AF41" s="576">
        <f t="shared" si="108"/>
        <v>-6.1582629582798941E-2</v>
      </c>
      <c r="AG41" s="545">
        <f t="shared" si="109"/>
        <v>83.686082584528037</v>
      </c>
      <c r="AH41" s="546">
        <f t="shared" si="110"/>
        <v>34.053415754505217</v>
      </c>
      <c r="AI41" s="528">
        <f t="shared" si="111"/>
        <v>-86.469341207320554</v>
      </c>
      <c r="AJ41" s="529">
        <f t="shared" si="112"/>
        <v>123.89187078657055</v>
      </c>
      <c r="AK41" s="578">
        <f t="shared" si="238"/>
        <v>0.86990283577875416</v>
      </c>
      <c r="AL41" s="572">
        <f t="shared" si="113"/>
        <v>-0.48936350092518105</v>
      </c>
      <c r="AM41" s="577">
        <f t="shared" si="114"/>
        <v>-6.1582629582798941E-2</v>
      </c>
      <c r="AN41" s="524">
        <f t="shared" si="115"/>
        <v>-82.827470691940107</v>
      </c>
      <c r="AO41" s="525">
        <f t="shared" si="116"/>
        <v>29.552649644885918</v>
      </c>
      <c r="AP41" s="528">
        <f t="shared" si="117"/>
        <v>-29.359912738020089</v>
      </c>
      <c r="AQ41" s="529">
        <f t="shared" ref="AQ41:AQ72" si="274">IF(M41="","",DEGREES(ATAN(($AS$5*SIN(RADIANS(90)))/(($X41*2*PI())-($AS$5*COS(RADIANS(90)))))))</f>
        <v>0.60708477246892467</v>
      </c>
      <c r="AS41" s="932">
        <f t="shared" si="143"/>
        <v>-296.62987576336917</v>
      </c>
      <c r="AT41" s="928">
        <f t="shared" ref="AT41:AT72" si="275">IF(M41="","",Y41+(((AS41-$AS$9)*$AS$6)*-1))</f>
        <v>-1.4234616329735235</v>
      </c>
      <c r="AU41" s="418"/>
      <c r="AV41" s="164">
        <f t="shared" ref="AV41:AV72" si="276">IF(AND(ISNUMBER(VALUE(K41)),ISNUMBER(AW41),ISNUMBER(AX41),ISNUMBER(AY41),AY41&gt;=0.0001),$M41,"")</f>
        <v>6.1180000000000003</v>
      </c>
      <c r="AW41" s="829">
        <f>IFERROR(INDEX(MassProp!C$9:C$150,MATCH($M41,MassProp!$B$9:$B$150,0)),"")</f>
        <v>3.3212999999999999</v>
      </c>
      <c r="AX41" s="830">
        <f>IFERROR(INDEX(MassProp!D$9:D$150,MATCH($M41,MassProp!$B$9:$B$150,0)),"")</f>
        <v>0.29099999999999998</v>
      </c>
      <c r="AY41" s="831">
        <f>IFERROR(INDEX(MassProp!E$9:E$150,MATCH($M41,MassProp!$B$9:$B$150,0)),"")</f>
        <v>3.2000000000000001E-2</v>
      </c>
      <c r="AZ41" s="297">
        <f t="shared" ref="AZ41:AZ53" si="277">IF(ISNUMBER(AV41),$AY41*SQRT((2*PI()*$AW41)^2+$AS$5^2),"")</f>
        <v>0.66783490529656597</v>
      </c>
      <c r="BA41" s="296">
        <f t="shared" ref="BA41:BA72" si="278">IF(ISNUMBER(AV41),AZ41/$AZ$151,"")</f>
        <v>0.11957350235354626</v>
      </c>
      <c r="BB41" s="190">
        <f t="shared" si="145"/>
        <v>1.4644616329735234</v>
      </c>
      <c r="BC41" s="9"/>
      <c r="BD41" s="5">
        <f t="shared" ref="BD41:BD53" si="279">IF(ISNUMBER(AV41),AW41,"")</f>
        <v>3.3212999999999999</v>
      </c>
      <c r="BE41" s="6">
        <f t="shared" ref="BE41:BE72" si="280">IF(ISNUMBER(AV41),Y41+BB41,"")</f>
        <v>-0.16647001961813279</v>
      </c>
      <c r="BF41" s="4">
        <f t="shared" ref="BF41:BF72" si="281">IF(ISNUMBER($AV41),N41,"")</f>
        <v>-3.3532444344536749</v>
      </c>
      <c r="BG41" s="5">
        <f t="shared" ref="BG41:BG72" si="282">IF(ISNUMBER($AV41),O41,"")</f>
        <v>1.6900434377527331</v>
      </c>
      <c r="BH41" s="10">
        <f t="shared" ref="BH41:BH72" si="283">IF(ISNUMBER($AV41),P41,"")</f>
        <v>-1.6309316525916562</v>
      </c>
      <c r="BI41" s="9">
        <f t="shared" ref="BI41:BI53" si="284">IF(ISNUMBER($AV41),BF41+0,"")</f>
        <v>-3.3532444344536749</v>
      </c>
      <c r="BJ41" s="5">
        <f t="shared" ref="BJ41:BJ72" si="285">IF(ISNUMBER($AV41),BG41+COS(RADIANS($AG41)),"")</f>
        <v>1.8000191834150028</v>
      </c>
      <c r="BK41" s="8">
        <f t="shared" ref="BK41:BK72" si="286">IF(ISNUMBER($AV41),BH41+SIN(RADIANS($AG41)),"")</f>
        <v>-0.63699738144188456</v>
      </c>
      <c r="BL41" s="173">
        <f t="shared" ref="BL41:BL72" si="287">IF(ISNUMBER($AV41),BF41+SIN(RADIANS($AH41)),"")</f>
        <v>-2.7932788783035374</v>
      </c>
      <c r="BM41" s="5">
        <f t="shared" ref="BM41:BM72" si="288">IF(ISNUMBER($AV41),BG41-SIN(RADIANS($AG41))*COS(RADIANS($AH41)),"")</f>
        <v>0.86655310292309662</v>
      </c>
      <c r="BN41" s="6">
        <f t="shared" ref="BN41:BN72" si="289">IF(ISNUMBER($AV41),BH41+COS(RADIANS($AG41))*COS(RADIANS($AH41)),"")</f>
        <v>-1.5398150000651283</v>
      </c>
      <c r="BO41" s="4">
        <f t="shared" ref="BO41:BO53" si="290">IF(ISNUMBER($AV41),BJ41*BN41-BM41*BK41-BG41*(BN41-BK41)+BH41*(BM41-BJ41),"")</f>
        <v>0.82851588755163075</v>
      </c>
      <c r="BP41" s="5">
        <f t="shared" si="239"/>
        <v>0.55656895692106356</v>
      </c>
      <c r="BQ41" s="5">
        <f t="shared" ref="BQ41:BQ53" si="291">IF(ISNUMBER($AV41),BF41*(BJ41-BM41)-BG41*(BI41-BL41)+(BI41*BM41-BL41*BJ41),"")</f>
        <v>-6.1582629582798365E-2</v>
      </c>
      <c r="BR41" s="6">
        <f t="shared" ref="BR41:BR53" si="292">IF(ISNUMBER($AV41),-(BF41*(BJ41*BN41-BM41*BK41)-BG41*(BI41*BN41-BL41*BK41)+BH41*(BI41*BM41-BL41*BJ41)),"")</f>
        <v>1.7371535156512117</v>
      </c>
      <c r="BS41" s="4">
        <f t="shared" si="118"/>
        <v>0</v>
      </c>
      <c r="BT41" s="5">
        <f t="shared" si="118"/>
        <v>0</v>
      </c>
      <c r="BU41" s="10">
        <f t="shared" si="119"/>
        <v>-0.16647001961813279</v>
      </c>
      <c r="BV41" s="9">
        <f t="shared" si="120"/>
        <v>0</v>
      </c>
      <c r="BW41" s="5">
        <f t="shared" si="121"/>
        <v>1</v>
      </c>
      <c r="BX41" s="8">
        <f t="shared" si="122"/>
        <v>-0.16647001961813279</v>
      </c>
      <c r="BY41" s="173">
        <f t="shared" si="123"/>
        <v>1</v>
      </c>
      <c r="BZ41" s="5">
        <f t="shared" si="124"/>
        <v>0</v>
      </c>
      <c r="CA41" s="6">
        <f t="shared" si="125"/>
        <v>-0.16647001961813279</v>
      </c>
      <c r="CB41" s="4">
        <f t="shared" ref="CB41:CB53" si="293">IF(ISNUMBER($AV41),BW41*CA41-BZ41*BX41-BT41*(CA41-BX41)+BU41*(BZ41-BW41),"")</f>
        <v>0</v>
      </c>
      <c r="CC41" s="5">
        <f t="shared" ref="CC41:CC53" si="294">IF(ISNUMBER($AV41),BS41*(CA41-BX41)-(BV41*CA41-BY41*BX41)+BU41*(BV41-BY41),"")</f>
        <v>0</v>
      </c>
      <c r="CD41" s="5">
        <f t="shared" ref="CD41:CD53" si="295">IF(ISNUMBER($AV41),BS41*(BW41-BZ41)-BT41*(BV41-BY41)+(BV41*BZ41-BY41*BW41),"")</f>
        <v>-1</v>
      </c>
      <c r="CE41" s="6">
        <f t="shared" ref="CE41:CE53" si="296">IF(ISNUMBER($AV41),-(BS41*(BW41*CA41-BZ41*BX41)-BT41*(BV41*CA41-BY41*BX41)+BU41*(BV41*BZ41-BY41*BW41)),"")</f>
        <v>-0.16647001961813279</v>
      </c>
      <c r="CF41" s="4">
        <f t="shared" ref="CF41:CF53" si="297">IF(ISNUMBER($AV41),(BP41*CD41)-(BQ41*CC41),"")</f>
        <v>-0.55656895692106356</v>
      </c>
      <c r="CG41" s="5">
        <f t="shared" ref="CG41:CG53" si="298">IF(ISNUMBER($AV41),(BQ41*CB41)-(BO41*CD41),"")</f>
        <v>0.82851588755163075</v>
      </c>
      <c r="CH41" s="5">
        <f t="shared" ref="CH41:CH53" si="299">IF(ISNUMBER($AV41),(BO41*CC41)-(BP41*CB41),"")</f>
        <v>0</v>
      </c>
      <c r="CI41" s="4">
        <f t="shared" si="126"/>
        <v>0</v>
      </c>
      <c r="CJ41" s="5">
        <f t="shared" ref="CJ41:CJ53" si="300">IF(ISNUMBER($AV41),(CD41*BR41-BQ41*CE41)/(BQ41*CC41-CD41*BP41),"")</f>
        <v>-3.1396022999066142</v>
      </c>
      <c r="CK41" s="8">
        <f t="shared" ref="CK41:CK53" si="301">IF(ISNUMBER($AV41),(CC41*BR41-BP41*CE41)/(-CC41*BQ41+BP41*CD41),"")</f>
        <v>-0.16647001961813279</v>
      </c>
      <c r="CL41" s="173">
        <f t="shared" ref="CL41:CL53" si="302">IF(ISNUMBER($AV41),CI41+CF41,"")</f>
        <v>-0.55656895692106356</v>
      </c>
      <c r="CM41" s="5">
        <f t="shared" ref="CM41:CM53" si="303">IF(ISNUMBER($AV41),CJ41+CG41,"")</f>
        <v>-2.3110864123549835</v>
      </c>
      <c r="CN41" s="6">
        <f t="shared" ref="CN41:CN53" si="304">IF(ISNUMBER($AV41),CK41+CH41,"")</f>
        <v>-0.16647001961813279</v>
      </c>
      <c r="CO41" s="167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>0.26450000000000001</v>
      </c>
      <c r="CP41" s="4">
        <f t="shared" ref="CP41:CP53" si="306">IF(ISNUMBER($AV41),(CL41-CI41)^2+(CM41-CJ41)^2+(CN41-CK41)^2,"")</f>
        <v>0.99620757973366714</v>
      </c>
      <c r="CQ41" s="5">
        <f t="shared" ref="CQ41:CQ53" si="307">IF(ISNUMBER($AV41),2*((CL41-CI41)*(CI41-BF41)+(CM41-CJ41)*(CJ41-BG41)+(CN41-CK41)*(CK41-BH41)),"")</f>
        <v>-11.735499964164056</v>
      </c>
      <c r="CR41" s="5">
        <f t="shared" ref="CR41:CR53" si="308">IF(ISNUMBER($AV41),BF41^2+BG41^2+BH41^2+CI41^2+CJ41^2+CK41^2-2*(BF41*CI41+BG41*CJ41+BH41*CK41)-CO41^2,"")</f>
        <v>36.644413812937124</v>
      </c>
      <c r="CS41" s="8">
        <f t="shared" ref="CS41:CS53" si="309">IF(ISNUMBER($AV41),CQ41^2-(4*CP41*CR41),"")</f>
        <v>-8.2998117724856684</v>
      </c>
      <c r="CT41" s="9" t="e">
        <f t="shared" si="160"/>
        <v>#NUM!</v>
      </c>
      <c r="CU41" s="6" t="e">
        <f t="shared" ref="CU41:CU53" si="310">IF(ISNUMBER($AV41),(-CQ41-SQRT(CS41))/(CP41*2),"")</f>
        <v>#NUM!</v>
      </c>
      <c r="CV41" s="4" t="e">
        <f t="shared" ref="CV41:CV53" si="311">IF(ISNUMBER($AV41),CI41+($CT41*(CL41-CI41)),"")</f>
        <v>#NUM!</v>
      </c>
      <c r="CW41" s="5" t="e">
        <f t="shared" ref="CW41:CW53" si="312">IF(ISNUMBER($AV41),CJ41+($CT41*(CM41-CJ41)),"")</f>
        <v>#NUM!</v>
      </c>
      <c r="CX41" s="8" t="e">
        <f t="shared" ref="CX41:CX53" si="313">IF(ISNUMBER($AV41),CK41+($CT41*(CN41-CK41)),"")</f>
        <v>#NUM!</v>
      </c>
      <c r="CY41" s="9" t="e">
        <f t="shared" ref="CY41:CY53" si="314">IF(ISNUMBER($AV41),CI41+($CU41*(CL41-CI41)),"")</f>
        <v>#NUM!</v>
      </c>
      <c r="CZ41" s="5" t="e">
        <f t="shared" ref="CZ41:CZ53" si="315">IF(ISNUMBER($AV41),CJ41+($CU41*(CM41-CJ41)),"")</f>
        <v>#NUM!</v>
      </c>
      <c r="DA41" s="6" t="e">
        <f t="shared" ref="DA41:DA53" si="316">IF(ISNUMBER($AV41),CK41+($CU41*(CN41-CK41)),"")</f>
        <v>#NUM!</v>
      </c>
      <c r="DB41" s="4">
        <f t="shared" si="167"/>
        <v>0</v>
      </c>
      <c r="DC41" s="5">
        <f t="shared" si="167"/>
        <v>0</v>
      </c>
      <c r="DD41" s="10">
        <f t="shared" si="168"/>
        <v>-10</v>
      </c>
      <c r="DE41" s="9">
        <f t="shared" si="169"/>
        <v>0</v>
      </c>
      <c r="DF41" s="5">
        <f t="shared" si="169"/>
        <v>0</v>
      </c>
      <c r="DG41" s="10">
        <f t="shared" si="170"/>
        <v>10</v>
      </c>
      <c r="DH41" s="70">
        <f t="shared" ref="DH41:DH53" si="317">IF(ISNUMBER($AV41),BD41,"")</f>
        <v>3.3212999999999999</v>
      </c>
      <c r="DI41" s="4">
        <f t="shared" ref="DI41:DI53" si="318">IF(ISNUMBER($AV41),DE41-DB41,"")</f>
        <v>0</v>
      </c>
      <c r="DJ41" s="5">
        <f t="shared" ref="DJ41:DJ53" si="319">IF(ISNUMBER($AV41),DF41-DC41,"")</f>
        <v>0</v>
      </c>
      <c r="DK41" s="10">
        <f t="shared" ref="DK41:DK53" si="320">IF(ISNUMBER($AV41),DG41-DD41,"")</f>
        <v>20</v>
      </c>
      <c r="DL41" s="9" t="e">
        <f t="shared" ref="DL41:DL53" si="321">IF(ISNUMBER($AV41),CV41-DB41,"")</f>
        <v>#NUM!</v>
      </c>
      <c r="DM41" s="173" t="e">
        <f t="shared" ref="DM41:DM53" si="322">IF(ISNUMBER($AV41),CW41-DC41,"")</f>
        <v>#NUM!</v>
      </c>
      <c r="DN41" s="178" t="e">
        <f t="shared" ref="DN41:DN53" si="323">IF(ISNUMBER($AV41),CX41-DD41,"")</f>
        <v>#NUM!</v>
      </c>
      <c r="DO41" s="9" t="e">
        <f t="shared" ref="DO41:DO53" si="324">IF(ISNUMBER($AV41),CY41-CV41,"")</f>
        <v>#NUM!</v>
      </c>
      <c r="DP41" s="173" t="e">
        <f t="shared" ref="DP41:DP53" si="325">IF(ISNUMBER($AV41),CZ41-CW41,"")</f>
        <v>#NUM!</v>
      </c>
      <c r="DQ41" s="11" t="e">
        <f t="shared" ref="DQ41:DQ53" si="326">IF(ISNUMBER($AV41),DA41-CX41,"")</f>
        <v>#NUM!</v>
      </c>
      <c r="DR41" s="173" t="e">
        <f t="shared" ref="DR41:DR53" si="327">IF(ISNUMBER($AV41),SUMPRODUCT(DI41:DK41,DL41:DN41),"")</f>
        <v>#NUM!</v>
      </c>
      <c r="DS41" s="5" t="e">
        <f t="shared" ref="DS41:DS53" si="328">IF(ISNUMBER($AV41),SUMPRODUCT(DO41:DQ41,DI41:DK41),"")</f>
        <v>#NUM!</v>
      </c>
      <c r="DT41" s="5">
        <f t="shared" ref="DT41:DT53" si="329">IF(ISNUMBER($AV41),SUMPRODUCT(DI41:DK41,DI41:DK41),"")</f>
        <v>400</v>
      </c>
      <c r="DU41" s="5" t="e">
        <f t="shared" ref="DU41:DU53" si="330">IF(ISNUMBER($AV41),SUMPRODUCT(DO41:DQ41,DO41:DQ41),"")</f>
        <v>#NUM!</v>
      </c>
      <c r="DV41" s="5" t="e">
        <f t="shared" ref="DV41:DV53" si="331">IF(ISNUMBER($AV41),SUMPRODUCT(DL41:DN41,DO41:DQ41),"")</f>
        <v>#NUM!</v>
      </c>
      <c r="DW41" s="5" t="e">
        <f t="shared" ref="DW41:DW53" si="332">IF(ISNUMBER($AV41),SUMPRODUCT(DL41:DN41,DL41:DN41),"")</f>
        <v>#NUM!</v>
      </c>
      <c r="DX41" s="167" t="e">
        <f t="shared" ref="DX41:DX53" si="333">IF(ISNUMBER($AV41),DW41-DH41*DH41,"")</f>
        <v>#NUM!</v>
      </c>
      <c r="DY41" s="9" t="e">
        <f t="shared" ref="DY41:DY53" si="334">IF(ISNUMBER($AV41),DT41*DU41-DS41*DS41,"")</f>
        <v>#NUM!</v>
      </c>
      <c r="DZ41" s="5" t="e">
        <f t="shared" ref="DZ41:DZ53" si="335">IF(ISNUMBER($AV41),DT41*DV41-DS41*DR41,"")</f>
        <v>#NUM!</v>
      </c>
      <c r="EA41" s="10" t="e">
        <f t="shared" ref="EA41:EA53" si="336">IF(ISNUMBER($AV41),DT41*DX41-DR41*DR41,"")</f>
        <v>#NUM!</v>
      </c>
      <c r="EB41" s="6" t="e">
        <f t="shared" ref="EB41:EB53" si="337">IF(ISNUMBER($AV41),DZ41*DZ41-DY41*EA41,"")</f>
        <v>#NUM!</v>
      </c>
      <c r="EC41" s="173" t="e">
        <f t="shared" ref="EC41:EC53" si="338">IF(ISNUMBER($AV41),(-DZ41+SQRT(DZ41^2-DY41*EA41))/DY41,"")</f>
        <v>#NUM!</v>
      </c>
      <c r="ED41" s="5" t="e">
        <f t="shared" ref="ED41:ED53" si="339">IF(ISNUMBER($AV41),(-DZ41-SQRT(DZ41^2-DY41*EA41))/DY41,"")</f>
        <v>#NUM!</v>
      </c>
      <c r="EE41" s="4" t="e">
        <f t="shared" ref="EE41:EE53" si="340">IF(ISNUMBER($AV41),CV41+DO41*$EC41,"")</f>
        <v>#NUM!</v>
      </c>
      <c r="EF41" s="5" t="e">
        <f t="shared" ref="EF41:EF53" si="341">IF(ISNUMBER($AV41),CW41+DP41*$EC41,"")</f>
        <v>#NUM!</v>
      </c>
      <c r="EG41" s="10" t="e">
        <f t="shared" ref="EG41:EG53" si="342">IF(ISNUMBER($AV41),CX41+DQ41*$EC41,"")</f>
        <v>#NUM!</v>
      </c>
      <c r="EH41" s="9" t="e">
        <f t="shared" ref="EH41:EH53" si="343">IF(ISNUMBER($AV41),CV41+DO41*$ED41,"")</f>
        <v>#NUM!</v>
      </c>
      <c r="EI41" s="5" t="e">
        <f t="shared" ref="EI41:EI53" si="344">IF(ISNUMBER($AV41),CW41+DP41*$ED41,"")</f>
        <v>#NUM!</v>
      </c>
      <c r="EJ41" s="6" t="e">
        <f t="shared" ref="EJ41:EJ53" si="345">IF(ISNUMBER($AV41),CX41+DQ41*$ED41,"")</f>
        <v>#NUM!</v>
      </c>
      <c r="EK41" s="236" t="e">
        <f t="shared" si="200"/>
        <v>#NUM!</v>
      </c>
      <c r="EL41" s="238" t="e">
        <f t="shared" si="201"/>
        <v>#NUM!</v>
      </c>
      <c r="EM41" s="4" t="e">
        <f t="shared" ref="EM41:EM53" si="346">IF(ISNUMBER($AV41),IF($EK41=TRUE,EE41,IF($EL41=TRUE,EH41,"")),"")</f>
        <v>#NUM!</v>
      </c>
      <c r="EN41" s="5" t="e">
        <f t="shared" ref="EN41:EN53" si="347">IF(ISNUMBER($AV41),IF($EK41=TRUE,EF41,IF($EL41=TRUE,EI41,"")),"")</f>
        <v>#NUM!</v>
      </c>
      <c r="EO41" s="10" t="e">
        <f t="shared" ref="EO41:EO53" si="348">IF(ISNUMBER($AV41),IF($EK41=TRUE,EG41,IF($EL41=TRUE,EJ41,"")),"")</f>
        <v>#NUM!</v>
      </c>
      <c r="EP41" s="9" t="e">
        <f t="shared" ref="EP41:EP53" si="349">IF(ISNUMBER($AV41),IF(DEGREES(ATAN2(EM41,EN41))&lt;0,DEGREES(ATAN2(EM41,EN41))+360,IF(DEGREES(ATAN2(EM41,EN41))&gt;360,DEGREES(ATAN2(EM41,EN41))-360,DEGREES(ATAN2(EM41,EN41)))),"")</f>
        <v>#NUM!</v>
      </c>
      <c r="EQ41" s="5" t="e">
        <f t="shared" ref="EQ41:EQ53" si="350">IF(ISNUMBER($AV41),SQRT(EM41^2+EN41^2),"")</f>
        <v>#NUM!</v>
      </c>
      <c r="ER41" s="7" t="e">
        <f t="shared" ref="ER41:ER53" si="351">IF(ISNUMBER($AV41),EO41,"")</f>
        <v>#NUM!</v>
      </c>
      <c r="ES41" s="21">
        <f t="shared" ref="ES41:ES72" si="352">IF(ISNUMBER($AV41),AD41,"")</f>
        <v>0.82851588755163097</v>
      </c>
      <c r="ET41" s="5">
        <f t="shared" ref="ET41:ET72" si="353">IF(ISNUMBER($AV41),AE41,"")</f>
        <v>0.55656895692106378</v>
      </c>
      <c r="EU41" s="10">
        <f t="shared" ref="EU41:EU72" si="354">IF(ISNUMBER($AV41),AF41,"")</f>
        <v>-6.1582629582798941E-2</v>
      </c>
      <c r="EV41" s="174" t="e">
        <f t="shared" ref="EV41:EV53" si="355">IF(ISNUMBER($AV41),IF(($EV$1-EP41)&lt;0,(360+($EV$1-EP41)),($EV$1-EP41)),"")</f>
        <v>#NUM!</v>
      </c>
      <c r="EW41" s="9" t="e">
        <f t="shared" ref="EW41:EW53" si="356">IF(ISNUMBER($AV41),(COS(RADIANS($EV41))*ES41)+(-SIN(RADIANS($EV41))*ET41),"")</f>
        <v>#NUM!</v>
      </c>
      <c r="EX41" s="5" t="e">
        <f t="shared" ref="EX41:EX53" si="357">IF(ISNUMBER($AV41),(SIN(RADIANS($EV41))*ES41)+(COS(RADIANS($EV41))*ET41),"")</f>
        <v>#NUM!</v>
      </c>
      <c r="EY41" s="6">
        <f t="shared" ref="EY41:EY53" si="358">IF(ISNUMBER($AV41),EU41,"")</f>
        <v>-6.1582629582798941E-2</v>
      </c>
      <c r="EZ41" s="51" t="e">
        <f t="shared" si="209"/>
        <v>#NUM!</v>
      </c>
      <c r="FA41" s="266" t="e">
        <f t="shared" si="134"/>
        <v>#NUM!</v>
      </c>
      <c r="FB41" s="267" t="e">
        <f t="shared" si="135"/>
        <v>#NUM!</v>
      </c>
      <c r="FC41" s="269" t="e">
        <f t="shared" si="48"/>
        <v>#NUM!</v>
      </c>
      <c r="FD41" s="4" t="e">
        <f t="shared" ref="FD41:FD53" si="359">IF(ISNUMBER($AV41),(COS(RADIANS($EV41))*FA41)+(-SIN(RADIANS($EV41))*FB41),"")</f>
        <v>#NUM!</v>
      </c>
      <c r="FE41" s="5" t="e">
        <f t="shared" ref="FE41:FE53" si="360">IF(ISNUMBER($AV41),(SIN(RADIANS($EV41))*FA41)+(COS(RADIANS($EV41))*FB41),"")</f>
        <v>#NUM!</v>
      </c>
      <c r="FF41" s="7" t="e">
        <f t="shared" ref="FF41:FF53" si="361">IF(ISNUMBER($AV41),FC41,"")</f>
        <v>#NUM!</v>
      </c>
      <c r="FG41" s="173" t="e">
        <f t="shared" ref="FG41:FG53" si="362">IF(ISNUMBER($AV41),EW41-FD41,"")</f>
        <v>#NUM!</v>
      </c>
      <c r="FH41" s="5" t="e">
        <f t="shared" ref="FH41:FH53" si="363">IF(ISNUMBER($AV41),EX41-FE41,"")</f>
        <v>#NUM!</v>
      </c>
      <c r="FI41" s="10" t="e">
        <f t="shared" ref="FI41:FI53" si="364">IF(ISNUMBER($AV41),EY41-FF41,"")</f>
        <v>#NUM!</v>
      </c>
      <c r="FJ41" s="279" t="e">
        <f t="shared" ref="FJ41:FJ53" si="365">IF(ISNUMBER($AV41),DEGREES(ACOS((2-SQRT((FG41)^2+(FH41)^2+(FI41)^2)^2)/2)),"")</f>
        <v>#NUM!</v>
      </c>
      <c r="FK41" s="4">
        <f t="shared" ref="FK41:FK53" si="366">IF(ISNUMBER($AV41),SQRT(ES41^2+ET41^2),"")</f>
        <v>0.99810198864327881</v>
      </c>
      <c r="FL41" s="5" t="e">
        <f t="shared" ref="FL41:FL53" si="367">IF(ISNUMBER($AV41),SQRT(FA41^2+FB41^2),"")</f>
        <v>#NUM!</v>
      </c>
      <c r="FM41" s="8" t="e">
        <f t="shared" ref="FM41:FM53" si="368">IF(ISNUMBER($AV41),SQRT(FG41^2+FH41^2),"")</f>
        <v>#NUM!</v>
      </c>
      <c r="FN41" s="9" t="e">
        <f t="shared" ref="FN41:FN53" si="369">IF(ISNUMBER($AV41),DEGREES(ACOS((FK41^2+FL41^2-FM41^2)/(2*FK41*FL41))),"")</f>
        <v>#NUM!</v>
      </c>
      <c r="FO41" s="10" t="e">
        <f t="shared" ref="FO41:FO53" si="370">IF(ISNUMBER($AV41),IF(SQRT((EM41+(ES41/SQRT(ES41^2+(ET41/SQRT(ES41^2+ET41^2))^2)))^2+(EN41+ET41)^2)&gt;SQRT((EM41+(FA41/SQRT(FA41^2+FB41^2)))^2+(EN41+(FB41/SQRT(FA41^2+FB41^2)))^2),-1,1),"")</f>
        <v>#NUM!</v>
      </c>
      <c r="FP41" s="277" t="e">
        <f t="shared" ref="FP41:FP53" si="371">IF(ISNUMBER($AV41),FN41*FO41,"")</f>
        <v>#NUM!</v>
      </c>
      <c r="FQ41" s="173" t="e">
        <f t="shared" ref="FQ41:FQ53" si="372">IF(ISNUMBER($AV41),SIN(RADIANS(FN41)),"")</f>
        <v>#NUM!</v>
      </c>
      <c r="FR41" s="10" t="e">
        <f t="shared" ref="FR41:FR53" si="373">IF(ISNUMBER($AV41),COS(RADIANS(FN41)),"")</f>
        <v>#NUM!</v>
      </c>
      <c r="FS41" s="9" t="e">
        <f t="shared" ref="FS41:FS53" si="374">IF(ISNUMBER($AV41),FQ41/(FQ41+FR41),"")</f>
        <v>#NUM!</v>
      </c>
      <c r="FT41" s="6" t="e">
        <f t="shared" ref="FT41:FT53" si="375">IF(ISNUMBER($AV41),FR41/(FQ41+FR41),"")</f>
        <v>#NUM!</v>
      </c>
      <c r="FU41" s="4" t="e">
        <f t="shared" ref="FU41:FU53" si="376">IF(ISNUMBER($AV41),SQRT(EW41^2+EY41^2),"")</f>
        <v>#NUM!</v>
      </c>
      <c r="FV41" s="5" t="e">
        <f t="shared" ref="FV41:FV53" si="377">IF(ISNUMBER($AV41),SQRT(FD41^2+FF41^2),"")</f>
        <v>#NUM!</v>
      </c>
      <c r="FW41" s="8" t="e">
        <f t="shared" ref="FW41:FW53" si="378">IF(ISNUMBER($AV41),SQRT(FG41^2+FI41^2),"")</f>
        <v>#NUM!</v>
      </c>
      <c r="FX41" s="9" t="e">
        <f t="shared" ref="FX41:FX53" si="379">IF(ISNUMBER($AV41),DEGREES(ACOS((FU41^2+FV41^2-FW41^2)/(2*FU41*FV41))),"")</f>
        <v>#NUM!</v>
      </c>
      <c r="FY41" s="10" t="e">
        <f t="shared" ref="FY41:FY53" si="380">IF(ISNUMBER($AV41),IF(EU41&lt;FC41,1,-1),"")</f>
        <v>#NUM!</v>
      </c>
      <c r="FZ41" s="277" t="e">
        <f t="shared" ref="FZ41:FZ53" si="381">IF(ISNUMBER($AV41),FX41*FY41,"")</f>
        <v>#NUM!</v>
      </c>
      <c r="GA41" s="177" t="e">
        <f t="shared" ref="GA41:GA53" si="382">IF(ISNUMBER($AV41),DEGREES(FZ41*SIN(RADIANS(FU41))),"")</f>
        <v>#NUM!</v>
      </c>
      <c r="GB41" s="4" t="e">
        <f t="shared" ref="GB41:GB53" si="383">IF(ISNUMBER($AV41),COS(RADIANS(FP41+90))*COS(RADIANS(FZ41)),"")</f>
        <v>#NUM!</v>
      </c>
      <c r="GC41" s="5" t="e">
        <f t="shared" ref="GC41:GC53" si="384">IF(ISNUMBER($AV41),SIN(RADIANS(FP41+90))*COS(RADIANS(FZ41)),"")</f>
        <v>#NUM!</v>
      </c>
      <c r="GD41" s="10" t="e">
        <f t="shared" ref="GD41:GD53" si="385">IF(ISNUMBER($AV41),-SIN(RADIANS(FZ41)),"")</f>
        <v>#NUM!</v>
      </c>
      <c r="GE41" s="311" t="e">
        <f t="shared" ref="GE41:GE53" si="386">IF(ISNUMBER($AV41),SUM(ABS(GB41),ABS(GC41),ABS(GD41)),"")</f>
        <v>#NUM!</v>
      </c>
      <c r="GF41" s="341" t="e">
        <f t="shared" ref="GF41:GF53" si="387">IF(ISNUMBER($AV41),1/GE41,"")</f>
        <v>#NUM!</v>
      </c>
      <c r="GG41" s="285" t="e">
        <f t="shared" ref="GG41:GG53" si="388">IF(ISNUMBER($AV41),ABS(GB41)/(ABS($GB41)+ABS($GC41)+ABS($GD41)),"")</f>
        <v>#NUM!</v>
      </c>
      <c r="GH41" s="286" t="e">
        <f t="shared" ref="GH41:GH53" si="389">IF(ISNUMBER($AV41),ABS(GC41)/(ABS($GB41)+ABS($GC41)+ABS($GD41)),"")</f>
        <v>#NUM!</v>
      </c>
      <c r="GI41" s="281" t="e">
        <f t="shared" ref="GI41:GI53" si="390">IF(ISNUMBER($AV41),ABS(GD41)/(ABS($GB41)+ABS($GC41)+ABS($GD41)),"")</f>
        <v>#NUM!</v>
      </c>
      <c r="GJ41" s="167">
        <f t="shared" ref="GJ41:GJ53" si="391">IF(ISNUMBER($AV41),AW41,"")</f>
        <v>3.3212999999999999</v>
      </c>
      <c r="GK41" s="174">
        <f t="shared" si="59"/>
        <v>1.7391533992098072</v>
      </c>
      <c r="GL41" s="174">
        <f t="shared" ref="GL41:GL53" si="392">IF(ISNUMBER($AV41),AY41,"")</f>
        <v>3.2000000000000001E-2</v>
      </c>
      <c r="GM41" s="177">
        <f t="shared" ref="GM41:GM53" si="393">IF(ISNUMBER($AV41),AZ41,"")</f>
        <v>0.66783490529656597</v>
      </c>
      <c r="GN41" s="280">
        <f t="shared" ref="GN41:GN53" si="394">IF(ISNUMBER($AV41),BA41,"")</f>
        <v>0.11957350235354626</v>
      </c>
      <c r="GO41" s="4" t="e">
        <f t="shared" ref="GO41:GO53" si="395">IF(ISNUMBER($AV41),FP41,"")</f>
        <v>#NUM!</v>
      </c>
      <c r="GP41" s="8" t="e">
        <f t="shared" ref="GP41:GP53" si="396">IF(ISNUMBER($AV41),FZ41,"")</f>
        <v>#NUM!</v>
      </c>
      <c r="GQ41" s="177" t="e">
        <f t="shared" ref="GQ41:GQ53" si="397">IF(ISNUMBER($AV41),FJ41,"")</f>
        <v>#NUM!</v>
      </c>
      <c r="GR41" s="371" t="e">
        <f t="shared" ref="GR41:GR53" si="398">IF(ISNUMBER($AV41),GS41+GU41+GY41,"")</f>
        <v>#NUM!</v>
      </c>
      <c r="GS41" s="342" t="e">
        <f t="shared" ref="GS41:GS53" si="399">IF(ISNUMBER($AV41),GU41/GH41*GG41,"")</f>
        <v>#NUM!</v>
      </c>
      <c r="GT41" s="343" t="e">
        <f t="shared" ref="GT41:GT53" si="400">IF(ISNUMBER($AV41),GS41/$GK41,"")</f>
        <v>#NUM!</v>
      </c>
      <c r="GU41" s="344">
        <f t="shared" si="63"/>
        <v>1641.760808854058</v>
      </c>
      <c r="GV41" s="343">
        <f t="shared" ref="GV41:GV53" si="401">IF(ISNUMBER($AV41),GW41*$GL41,"")</f>
        <v>944</v>
      </c>
      <c r="GW41" s="345">
        <f t="shared" si="64"/>
        <v>29500</v>
      </c>
      <c r="GX41" s="346">
        <f t="shared" si="65"/>
        <v>261.2756</v>
      </c>
      <c r="GY41" s="344" t="e">
        <f t="shared" ref="GY41:GY53" si="402">IF(ISNUMBER($AV41),GU41/GH41*GI41,"")</f>
        <v>#NUM!</v>
      </c>
      <c r="GZ41" s="345" t="e">
        <f t="shared" ref="GZ41:GZ53" si="403">IF(ISNUMBER($AV41),GY41/$GK41,"")</f>
        <v>#NUM!</v>
      </c>
      <c r="HA41" s="342" t="e">
        <f t="shared" si="68"/>
        <v>#NUM!</v>
      </c>
      <c r="HB41" s="5" t="e">
        <f t="shared" si="231"/>
        <v>#NUM!</v>
      </c>
      <c r="HC41" s="343" t="e">
        <f t="shared" ref="HC41:HC53" si="404">IF(ISNUMBER($AV41),HA41*COS(RADIANS(HB41)),"")</f>
        <v>#NUM!</v>
      </c>
      <c r="HD41" s="345" t="e">
        <f t="shared" ref="HD41:HD53" si="405">IF(ISNUMBER($AV41),HA41*SIN(RADIANS(HB41)),"")</f>
        <v>#NUM!</v>
      </c>
      <c r="HE41" s="344" t="e">
        <f t="shared" si="69"/>
        <v>#NUM!</v>
      </c>
      <c r="HF41" s="5" t="e">
        <f t="shared" si="70"/>
        <v>#NUM!</v>
      </c>
      <c r="HG41" s="343" t="e">
        <f t="shared" ref="HG41:HG53" si="406">IF(ISNUMBER($AV41),HE41*COS(RADIANS(HF41)),"")</f>
        <v>#NUM!</v>
      </c>
      <c r="HH41" s="349" t="e">
        <f t="shared" ref="HH41:HH53" si="407">IF(ISNUMBER($AV41),HE41*SIN(RADIANS(HF41)),"")</f>
        <v>#NUM!</v>
      </c>
      <c r="HI41" s="317">
        <f t="shared" ref="HI41:HI72" si="408">IF(ISNUMBER($AV41),$M41,"")</f>
        <v>6.1180000000000003</v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6.1180000000000003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6">IF(ISNUMBER($IK41),INDEX($K$9:$K$150,MATCH($IK41,$M$9:$M$150,0)),$K41)</f>
        <v>1313</v>
      </c>
      <c r="IM41" s="482" t="str">
        <f t="shared" si="237"/>
        <v/>
      </c>
      <c r="IN41" s="670" t="str">
        <f t="shared" ref="IN41:IN72" si="427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8">IF(ISNUMBER($IK41),(($IQ41*12)/60)/$AS$3,"")</f>
        <v/>
      </c>
      <c r="IQ41" s="714"/>
      <c r="IR41" s="9" t="str">
        <f t="shared" ref="IR41:IR72" si="429">IF(ISNUMBER($IK41),(INDEX($X$9:$X$150,MATCH($IK41,$M$9:$M$150,0))*-1),"")</f>
        <v/>
      </c>
      <c r="IS41" s="5" t="str">
        <f t="shared" ref="IS41:IS72" si="430">IF(ISNUMBER($IK41),INDEX($Y$9:$Y$150,MATCH($IK41,$M$9:$M$150,0)),"")</f>
        <v/>
      </c>
      <c r="IT41" s="5" t="str">
        <f t="shared" ref="IT41:IT72" si="431">IF(ISNUMBER($IK41),INDEX($H$9:$H$150,MATCH($IK41,$M$9:$M$150,0)),"")</f>
        <v/>
      </c>
      <c r="IU41" s="5" t="str">
        <f t="shared" ref="IU41:IU72" si="432">IF(ISNUMBER($IK41),$IT41*COS(RADIANS(INDEX($AO$9:$AO$150,MATCH($IK41,$M$9:$M$150,0)))),"")</f>
        <v/>
      </c>
      <c r="IV41" s="670" t="str">
        <f t="shared" ref="IV41:IV72" si="433">IF(ISNUMBER($IK41),(-1*INDEX($AN$9:$AN$150,MATCH($IK41,$M$9:$M$150,0))),"")</f>
        <v/>
      </c>
      <c r="IW41" s="9" t="str">
        <f t="shared" ref="IW41:IW72" si="434">IF(ISNUMBER($IK41),-$X41,"")</f>
        <v/>
      </c>
      <c r="IX41" s="5" t="str">
        <f t="shared" ref="IX41:IX72" si="435">IF(ISNUMBER($IK41),$Y41,"")</f>
        <v/>
      </c>
      <c r="IY41" s="5" t="str">
        <f t="shared" ref="IY41:IY72" si="436">IF(ISNUMBER($IK41),$H41,"")</f>
        <v/>
      </c>
      <c r="IZ41" s="5" t="str">
        <f t="shared" ref="IZ41:IZ72" si="437">IF(ISNUMBER($IK41),$IY41*COS(RADIANS($AO41)),"")</f>
        <v/>
      </c>
      <c r="JA41" s="705" t="str">
        <f t="shared" ref="JA41:JA72" si="438">IF(ISNUMBER($IK41),(-1*$AN41),"")</f>
        <v/>
      </c>
    </row>
    <row r="42" spans="1:269" ht="15" customHeight="1" x14ac:dyDescent="0.25">
      <c r="A42" s="75" t="str">
        <f t="shared" si="256"/>
        <v/>
      </c>
      <c r="B42" s="578" t="str">
        <f t="shared" si="257"/>
        <v/>
      </c>
      <c r="C42" s="572" t="str">
        <f t="shared" si="258"/>
        <v/>
      </c>
      <c r="D42" s="576" t="str">
        <f t="shared" si="259"/>
        <v/>
      </c>
      <c r="E42" s="580" t="str">
        <f t="shared" si="260"/>
        <v/>
      </c>
      <c r="F42" s="572" t="str">
        <f t="shared" si="261"/>
        <v/>
      </c>
      <c r="G42" s="579" t="str">
        <f t="shared" si="262"/>
        <v/>
      </c>
      <c r="H42" s="580" t="str">
        <f t="shared" si="263"/>
        <v/>
      </c>
      <c r="I42" s="572" t="str">
        <f t="shared" si="264"/>
        <v/>
      </c>
      <c r="J42" s="483" t="str">
        <f t="shared" si="265"/>
        <v/>
      </c>
      <c r="K42" s="806" t="str">
        <f t="shared" si="266"/>
        <v/>
      </c>
      <c r="L42" s="309"/>
      <c r="M42" s="164" t="str">
        <f t="shared" si="267"/>
        <v/>
      </c>
      <c r="N42" s="575" t="str">
        <f t="shared" si="268"/>
        <v/>
      </c>
      <c r="O42" s="572" t="str">
        <f t="shared" si="269"/>
        <v/>
      </c>
      <c r="P42" s="576" t="str">
        <f t="shared" si="270"/>
        <v/>
      </c>
      <c r="Q42" s="528" t="str">
        <f t="shared" si="140"/>
        <v/>
      </c>
      <c r="R42" s="572" t="str">
        <f t="shared" ref="R42:R47" si="439">IF(M42="","",SQRT(N42^2+O42^2))</f>
        <v/>
      </c>
      <c r="S42" s="577" t="str">
        <f t="shared" ref="S42:S47" si="440">IF(M42="","",P42)</f>
        <v/>
      </c>
      <c r="T42" s="578" t="str">
        <f t="shared" ref="T42:T47" si="441">IF(M42="","",X42*COS(RADIANS(W42)))</f>
        <v/>
      </c>
      <c r="U42" s="572" t="str">
        <f t="shared" ref="U42:U47" si="442">IF(M42="","",X42*SIN(RADIANS(W42)))</f>
        <v/>
      </c>
      <c r="V42" s="579" t="str">
        <f t="shared" ref="V42:V47" si="443">IF(M42="","",Y42)</f>
        <v/>
      </c>
      <c r="W42" s="528" t="str">
        <f t="shared" si="253"/>
        <v/>
      </c>
      <c r="X42" s="572" t="str">
        <f t="shared" ref="X42:X47" si="444">IF(M42="","",R42)</f>
        <v/>
      </c>
      <c r="Y42" s="573" t="str">
        <f t="shared" si="255"/>
        <v/>
      </c>
      <c r="Z42" s="575" t="str">
        <f t="shared" si="271"/>
        <v/>
      </c>
      <c r="AA42" s="572" t="str">
        <f t="shared" si="272"/>
        <v/>
      </c>
      <c r="AB42" s="572" t="str">
        <f t="shared" si="273"/>
        <v/>
      </c>
      <c r="AC42" s="579" t="str">
        <f t="shared" ref="AC42:AC47" si="445">IF(M42="","",SQRT(Z42^2+AA42^2+AB42^2))</f>
        <v/>
      </c>
      <c r="AD42" s="580" t="str">
        <f t="shared" ref="AD42:AD47" si="446">IF(M42="","",Z42*(1/SQRT(Z42^2+AA42^2+AB42^2)))</f>
        <v/>
      </c>
      <c r="AE42" s="572" t="str">
        <f t="shared" ref="AE42:AE47" si="447">IF(M42="","",AA42*(1/SQRT(Z42^2+AA42^2+AB42^2)))</f>
        <v/>
      </c>
      <c r="AF42" s="576" t="str">
        <f t="shared" ref="AF42:AF47" si="448">IF(M42="","",AB42*(1/SQRT(Z42^2+AA42^2+AB42^2)))</f>
        <v/>
      </c>
      <c r="AG42" s="545" t="str">
        <f t="shared" ref="AG42:AG47" si="449">IF(M42="","",DEGREES(ATAN2(-AF42,AE42)))</f>
        <v/>
      </c>
      <c r="AH42" s="546" t="str">
        <f t="shared" ref="AH42:AH47" si="450">IF(M42="","",DEGREES(ACOS(AD42)))</f>
        <v/>
      </c>
      <c r="AI42" s="528" t="str">
        <f t="shared" ref="AI42:AI47" si="451">IF(M42="","",DEGREES(-ACOS(-AF42)))</f>
        <v/>
      </c>
      <c r="AJ42" s="529" t="str">
        <f t="shared" ref="AJ42:AJ47" si="452">IF(M42="","",DEGREES(ATAN2(-AE42,AD42)))</f>
        <v/>
      </c>
      <c r="AK42" s="578" t="str">
        <f t="shared" ref="AK42:AK47" si="453">IF(M42="","",(COS(RADIANS((90-$Q$8)-W42))*AD42)+(-SIN(RADIANS((90-$Q$8)-W42))*AE42))</f>
        <v/>
      </c>
      <c r="AL42" s="572" t="str">
        <f t="shared" ref="AL42:AL47" si="454">IF(M42="","",(SIN(RADIANS((90-$Q$8)-W42))*AD42)+(COS(RADIANS((90-$Q$8)-W42))*AE42))</f>
        <v/>
      </c>
      <c r="AM42" s="577" t="str">
        <f t="shared" ref="AM42:AM47" si="455">IF(M42="","",AF42)</f>
        <v/>
      </c>
      <c r="AN42" s="524" t="str">
        <f t="shared" ref="AN42:AN47" si="456">IF(M42="","",DEGREES(ATAN2(-AM42,AL42)))</f>
        <v/>
      </c>
      <c r="AO42" s="525" t="str">
        <f t="shared" si="116"/>
        <v/>
      </c>
      <c r="AP42" s="528" t="str">
        <f t="shared" ref="AP42:AP47" si="457">IF(M42="","",DEGREES(ATAN2(AK42,AL42)))</f>
        <v/>
      </c>
      <c r="AQ42" s="529" t="str">
        <f t="shared" si="274"/>
        <v/>
      </c>
      <c r="AS42" s="932" t="str">
        <f t="shared" si="143"/>
        <v/>
      </c>
      <c r="AT42" s="928" t="str">
        <f t="shared" si="275"/>
        <v/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 t="str">
        <f t="shared" si="236"/>
        <v/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 t="str">
        <f t="shared" si="426"/>
        <v/>
      </c>
      <c r="IM42" s="482" t="str">
        <f t="shared" si="237"/>
        <v/>
      </c>
      <c r="IN42" s="670" t="str">
        <f t="shared" si="427"/>
        <v/>
      </c>
      <c r="IO42" s="702"/>
      <c r="IP42" s="5" t="str">
        <f t="shared" si="428"/>
        <v/>
      </c>
      <c r="IQ42" s="714"/>
      <c r="IR42" s="9" t="str">
        <f t="shared" si="429"/>
        <v/>
      </c>
      <c r="IS42" s="5" t="str">
        <f t="shared" si="430"/>
        <v/>
      </c>
      <c r="IT42" s="5" t="str">
        <f t="shared" si="431"/>
        <v/>
      </c>
      <c r="IU42" s="5" t="str">
        <f t="shared" si="432"/>
        <v/>
      </c>
      <c r="IV42" s="670" t="str">
        <f t="shared" si="433"/>
        <v/>
      </c>
      <c r="IW42" s="9" t="str">
        <f t="shared" si="434"/>
        <v/>
      </c>
      <c r="IX42" s="5" t="str">
        <f t="shared" si="435"/>
        <v/>
      </c>
      <c r="IY42" s="5" t="str">
        <f t="shared" si="436"/>
        <v/>
      </c>
      <c r="IZ42" s="5" t="str">
        <f t="shared" si="437"/>
        <v/>
      </c>
      <c r="JA42" s="705" t="str">
        <f t="shared" si="438"/>
        <v/>
      </c>
    </row>
    <row r="43" spans="1:269" ht="15" customHeight="1" x14ac:dyDescent="0.25">
      <c r="A43" s="75" t="str">
        <f t="shared" si="256"/>
        <v/>
      </c>
      <c r="B43" s="578" t="str">
        <f t="shared" si="257"/>
        <v/>
      </c>
      <c r="C43" s="572" t="str">
        <f t="shared" si="258"/>
        <v/>
      </c>
      <c r="D43" s="576" t="str">
        <f t="shared" si="259"/>
        <v/>
      </c>
      <c r="E43" s="580" t="str">
        <f t="shared" si="260"/>
        <v/>
      </c>
      <c r="F43" s="572" t="str">
        <f t="shared" si="261"/>
        <v/>
      </c>
      <c r="G43" s="579" t="str">
        <f t="shared" si="262"/>
        <v/>
      </c>
      <c r="H43" s="580" t="str">
        <f t="shared" si="263"/>
        <v/>
      </c>
      <c r="I43" s="572" t="str">
        <f t="shared" si="264"/>
        <v/>
      </c>
      <c r="J43" s="483" t="str">
        <f t="shared" si="265"/>
        <v/>
      </c>
      <c r="K43" s="806" t="str">
        <f t="shared" si="266"/>
        <v/>
      </c>
      <c r="L43" s="309"/>
      <c r="M43" s="164" t="str">
        <f t="shared" si="267"/>
        <v/>
      </c>
      <c r="N43" s="575" t="str">
        <f t="shared" si="268"/>
        <v/>
      </c>
      <c r="O43" s="572" t="str">
        <f t="shared" si="269"/>
        <v/>
      </c>
      <c r="P43" s="576" t="str">
        <f t="shared" si="270"/>
        <v/>
      </c>
      <c r="Q43" s="528" t="str">
        <f t="shared" si="140"/>
        <v/>
      </c>
      <c r="R43" s="572" t="str">
        <f t="shared" si="439"/>
        <v/>
      </c>
      <c r="S43" s="577" t="str">
        <f t="shared" si="440"/>
        <v/>
      </c>
      <c r="T43" s="578" t="str">
        <f t="shared" si="441"/>
        <v/>
      </c>
      <c r="U43" s="572" t="str">
        <f t="shared" si="442"/>
        <v/>
      </c>
      <c r="V43" s="579" t="str">
        <f t="shared" si="443"/>
        <v/>
      </c>
      <c r="W43" s="528" t="str">
        <f t="shared" si="253"/>
        <v/>
      </c>
      <c r="X43" s="572" t="str">
        <f t="shared" si="444"/>
        <v/>
      </c>
      <c r="Y43" s="573" t="str">
        <f t="shared" si="255"/>
        <v/>
      </c>
      <c r="Z43" s="575" t="str">
        <f t="shared" si="271"/>
        <v/>
      </c>
      <c r="AA43" s="572" t="str">
        <f t="shared" si="272"/>
        <v/>
      </c>
      <c r="AB43" s="572" t="str">
        <f t="shared" si="273"/>
        <v/>
      </c>
      <c r="AC43" s="579" t="str">
        <f t="shared" si="445"/>
        <v/>
      </c>
      <c r="AD43" s="580" t="str">
        <f t="shared" si="446"/>
        <v/>
      </c>
      <c r="AE43" s="572" t="str">
        <f t="shared" si="447"/>
        <v/>
      </c>
      <c r="AF43" s="576" t="str">
        <f t="shared" si="448"/>
        <v/>
      </c>
      <c r="AG43" s="545" t="str">
        <f t="shared" si="449"/>
        <v/>
      </c>
      <c r="AH43" s="546" t="str">
        <f t="shared" si="450"/>
        <v/>
      </c>
      <c r="AI43" s="528" t="str">
        <f t="shared" si="451"/>
        <v/>
      </c>
      <c r="AJ43" s="529" t="str">
        <f t="shared" si="452"/>
        <v/>
      </c>
      <c r="AK43" s="578" t="str">
        <f t="shared" si="453"/>
        <v/>
      </c>
      <c r="AL43" s="572" t="str">
        <f t="shared" si="454"/>
        <v/>
      </c>
      <c r="AM43" s="577" t="str">
        <f t="shared" si="455"/>
        <v/>
      </c>
      <c r="AN43" s="524" t="str">
        <f t="shared" si="456"/>
        <v/>
      </c>
      <c r="AO43" s="525" t="str">
        <f t="shared" si="116"/>
        <v/>
      </c>
      <c r="AP43" s="528" t="str">
        <f t="shared" si="457"/>
        <v/>
      </c>
      <c r="AQ43" s="529" t="str">
        <f t="shared" si="274"/>
        <v/>
      </c>
      <c r="AS43" s="932" t="str">
        <f t="shared" ref="AS43:AS74" si="461">IF(G43="","",IF(AND(W43&lt;(AS42+180),W43&gt;(AS42-180)),W43,IF(W43&gt;(AS42+180),W43-360,IF(W43&lt;(AS42-180),W43+360,"Error"))))</f>
        <v/>
      </c>
      <c r="AT43" s="928" t="str">
        <f t="shared" si="275"/>
        <v/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 t="str">
        <f t="shared" si="236"/>
        <v/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 t="str">
        <f t="shared" si="426"/>
        <v/>
      </c>
      <c r="IM43" s="482" t="str">
        <f t="shared" si="237"/>
        <v/>
      </c>
      <c r="IN43" s="670" t="str">
        <f t="shared" si="427"/>
        <v/>
      </c>
      <c r="IO43" s="702"/>
      <c r="IP43" s="5" t="str">
        <f t="shared" si="428"/>
        <v/>
      </c>
      <c r="IQ43" s="714"/>
      <c r="IR43" s="9" t="str">
        <f t="shared" si="429"/>
        <v/>
      </c>
      <c r="IS43" s="5" t="str">
        <f t="shared" si="430"/>
        <v/>
      </c>
      <c r="IT43" s="5" t="str">
        <f t="shared" si="431"/>
        <v/>
      </c>
      <c r="IU43" s="5" t="str">
        <f t="shared" si="432"/>
        <v/>
      </c>
      <c r="IV43" s="670" t="str">
        <f t="shared" si="433"/>
        <v/>
      </c>
      <c r="IW43" s="9" t="str">
        <f t="shared" si="434"/>
        <v/>
      </c>
      <c r="IX43" s="5" t="str">
        <f t="shared" si="435"/>
        <v/>
      </c>
      <c r="IY43" s="5" t="str">
        <f t="shared" si="436"/>
        <v/>
      </c>
      <c r="IZ43" s="5" t="str">
        <f t="shared" si="437"/>
        <v/>
      </c>
      <c r="JA43" s="705" t="str">
        <f t="shared" si="438"/>
        <v/>
      </c>
    </row>
    <row r="44" spans="1:269" ht="15" customHeight="1" x14ac:dyDescent="0.25">
      <c r="A44" s="75" t="str">
        <f t="shared" si="256"/>
        <v/>
      </c>
      <c r="B44" s="578" t="str">
        <f t="shared" si="257"/>
        <v/>
      </c>
      <c r="C44" s="572" t="str">
        <f t="shared" si="258"/>
        <v/>
      </c>
      <c r="D44" s="576" t="str">
        <f t="shared" si="259"/>
        <v/>
      </c>
      <c r="E44" s="580" t="str">
        <f t="shared" si="260"/>
        <v/>
      </c>
      <c r="F44" s="572" t="str">
        <f t="shared" si="261"/>
        <v/>
      </c>
      <c r="G44" s="579" t="str">
        <f t="shared" si="262"/>
        <v/>
      </c>
      <c r="H44" s="580" t="str">
        <f t="shared" si="263"/>
        <v/>
      </c>
      <c r="I44" s="572" t="str">
        <f t="shared" si="264"/>
        <v/>
      </c>
      <c r="J44" s="483" t="str">
        <f t="shared" si="265"/>
        <v/>
      </c>
      <c r="K44" s="806" t="str">
        <f t="shared" si="266"/>
        <v/>
      </c>
      <c r="L44" s="309"/>
      <c r="M44" s="164" t="str">
        <f t="shared" si="267"/>
        <v/>
      </c>
      <c r="N44" s="575" t="str">
        <f t="shared" si="268"/>
        <v/>
      </c>
      <c r="O44" s="572" t="str">
        <f t="shared" si="269"/>
        <v/>
      </c>
      <c r="P44" s="576" t="str">
        <f t="shared" si="270"/>
        <v/>
      </c>
      <c r="Q44" s="528" t="str">
        <f t="shared" si="140"/>
        <v/>
      </c>
      <c r="R44" s="572" t="str">
        <f t="shared" si="439"/>
        <v/>
      </c>
      <c r="S44" s="577" t="str">
        <f t="shared" si="440"/>
        <v/>
      </c>
      <c r="T44" s="578" t="str">
        <f t="shared" si="441"/>
        <v/>
      </c>
      <c r="U44" s="572" t="str">
        <f t="shared" si="442"/>
        <v/>
      </c>
      <c r="V44" s="579" t="str">
        <f t="shared" si="443"/>
        <v/>
      </c>
      <c r="W44" s="528" t="str">
        <f t="shared" si="253"/>
        <v/>
      </c>
      <c r="X44" s="572" t="str">
        <f t="shared" si="444"/>
        <v/>
      </c>
      <c r="Y44" s="573" t="str">
        <f t="shared" si="255"/>
        <v/>
      </c>
      <c r="Z44" s="575" t="str">
        <f t="shared" si="271"/>
        <v/>
      </c>
      <c r="AA44" s="572" t="str">
        <f t="shared" si="272"/>
        <v/>
      </c>
      <c r="AB44" s="572" t="str">
        <f t="shared" si="273"/>
        <v/>
      </c>
      <c r="AC44" s="579" t="str">
        <f t="shared" si="445"/>
        <v/>
      </c>
      <c r="AD44" s="580" t="str">
        <f t="shared" si="446"/>
        <v/>
      </c>
      <c r="AE44" s="572" t="str">
        <f t="shared" si="447"/>
        <v/>
      </c>
      <c r="AF44" s="576" t="str">
        <f t="shared" si="448"/>
        <v/>
      </c>
      <c r="AG44" s="545" t="str">
        <f t="shared" si="449"/>
        <v/>
      </c>
      <c r="AH44" s="546" t="str">
        <f t="shared" si="450"/>
        <v/>
      </c>
      <c r="AI44" s="528" t="str">
        <f t="shared" si="451"/>
        <v/>
      </c>
      <c r="AJ44" s="529" t="str">
        <f t="shared" si="452"/>
        <v/>
      </c>
      <c r="AK44" s="578" t="str">
        <f t="shared" si="453"/>
        <v/>
      </c>
      <c r="AL44" s="572" t="str">
        <f t="shared" si="454"/>
        <v/>
      </c>
      <c r="AM44" s="577" t="str">
        <f t="shared" si="455"/>
        <v/>
      </c>
      <c r="AN44" s="524" t="str">
        <f t="shared" si="456"/>
        <v/>
      </c>
      <c r="AO44" s="525" t="str">
        <f t="shared" si="116"/>
        <v/>
      </c>
      <c r="AP44" s="528" t="str">
        <f t="shared" si="457"/>
        <v/>
      </c>
      <c r="AQ44" s="529" t="str">
        <f t="shared" si="274"/>
        <v/>
      </c>
      <c r="AS44" s="932" t="str">
        <f t="shared" si="461"/>
        <v/>
      </c>
      <c r="AT44" s="928" t="str">
        <f t="shared" si="275"/>
        <v/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 t="str">
        <f t="shared" si="236"/>
        <v/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 t="str">
        <f t="shared" si="426"/>
        <v/>
      </c>
      <c r="IM44" s="482" t="str">
        <f t="shared" si="237"/>
        <v/>
      </c>
      <c r="IN44" s="670" t="str">
        <f t="shared" si="427"/>
        <v/>
      </c>
      <c r="IO44" s="702"/>
      <c r="IP44" s="5" t="str">
        <f t="shared" si="428"/>
        <v/>
      </c>
      <c r="IQ44" s="714"/>
      <c r="IR44" s="9" t="str">
        <f t="shared" si="429"/>
        <v/>
      </c>
      <c r="IS44" s="5" t="str">
        <f t="shared" si="430"/>
        <v/>
      </c>
      <c r="IT44" s="5" t="str">
        <f t="shared" si="431"/>
        <v/>
      </c>
      <c r="IU44" s="5" t="str">
        <f t="shared" si="432"/>
        <v/>
      </c>
      <c r="IV44" s="670" t="str">
        <f t="shared" si="433"/>
        <v/>
      </c>
      <c r="IW44" s="9" t="str">
        <f t="shared" si="434"/>
        <v/>
      </c>
      <c r="IX44" s="5" t="str">
        <f t="shared" si="435"/>
        <v/>
      </c>
      <c r="IY44" s="5" t="str">
        <f t="shared" si="436"/>
        <v/>
      </c>
      <c r="IZ44" s="5" t="str">
        <f t="shared" si="437"/>
        <v/>
      </c>
      <c r="JA44" s="705" t="str">
        <f t="shared" si="438"/>
        <v/>
      </c>
    </row>
    <row r="45" spans="1:269" ht="15" customHeight="1" x14ac:dyDescent="0.25">
      <c r="A45" s="75" t="str">
        <f t="shared" si="256"/>
        <v/>
      </c>
      <c r="B45" s="578" t="str">
        <f t="shared" si="257"/>
        <v/>
      </c>
      <c r="C45" s="572" t="str">
        <f t="shared" si="258"/>
        <v/>
      </c>
      <c r="D45" s="576" t="str">
        <f t="shared" si="259"/>
        <v/>
      </c>
      <c r="E45" s="580" t="str">
        <f t="shared" si="260"/>
        <v/>
      </c>
      <c r="F45" s="572" t="str">
        <f t="shared" si="261"/>
        <v/>
      </c>
      <c r="G45" s="579" t="str">
        <f t="shared" si="262"/>
        <v/>
      </c>
      <c r="H45" s="580" t="str">
        <f t="shared" si="263"/>
        <v/>
      </c>
      <c r="I45" s="572" t="str">
        <f t="shared" si="264"/>
        <v/>
      </c>
      <c r="J45" s="483" t="str">
        <f t="shared" si="265"/>
        <v/>
      </c>
      <c r="K45" s="806" t="str">
        <f t="shared" si="266"/>
        <v/>
      </c>
      <c r="L45" s="309"/>
      <c r="M45" s="164" t="str">
        <f t="shared" si="267"/>
        <v/>
      </c>
      <c r="N45" s="575" t="str">
        <f t="shared" si="268"/>
        <v/>
      </c>
      <c r="O45" s="572" t="str">
        <f t="shared" si="269"/>
        <v/>
      </c>
      <c r="P45" s="576" t="str">
        <f t="shared" si="270"/>
        <v/>
      </c>
      <c r="Q45" s="528" t="str">
        <f t="shared" si="140"/>
        <v/>
      </c>
      <c r="R45" s="572" t="str">
        <f t="shared" si="439"/>
        <v/>
      </c>
      <c r="S45" s="577" t="str">
        <f t="shared" si="440"/>
        <v/>
      </c>
      <c r="T45" s="578" t="str">
        <f t="shared" si="441"/>
        <v/>
      </c>
      <c r="U45" s="572" t="str">
        <f t="shared" si="442"/>
        <v/>
      </c>
      <c r="V45" s="579" t="str">
        <f t="shared" si="443"/>
        <v/>
      </c>
      <c r="W45" s="528" t="str">
        <f t="shared" si="253"/>
        <v/>
      </c>
      <c r="X45" s="572" t="str">
        <f t="shared" si="444"/>
        <v/>
      </c>
      <c r="Y45" s="573" t="str">
        <f t="shared" si="255"/>
        <v/>
      </c>
      <c r="Z45" s="575" t="str">
        <f t="shared" si="271"/>
        <v/>
      </c>
      <c r="AA45" s="572" t="str">
        <f t="shared" si="272"/>
        <v/>
      </c>
      <c r="AB45" s="572" t="str">
        <f t="shared" si="273"/>
        <v/>
      </c>
      <c r="AC45" s="579" t="str">
        <f t="shared" si="445"/>
        <v/>
      </c>
      <c r="AD45" s="580" t="str">
        <f t="shared" si="446"/>
        <v/>
      </c>
      <c r="AE45" s="572" t="str">
        <f t="shared" si="447"/>
        <v/>
      </c>
      <c r="AF45" s="576" t="str">
        <f t="shared" si="448"/>
        <v/>
      </c>
      <c r="AG45" s="545" t="str">
        <f t="shared" si="449"/>
        <v/>
      </c>
      <c r="AH45" s="546" t="str">
        <f t="shared" si="450"/>
        <v/>
      </c>
      <c r="AI45" s="528" t="str">
        <f t="shared" si="451"/>
        <v/>
      </c>
      <c r="AJ45" s="529" t="str">
        <f t="shared" si="452"/>
        <v/>
      </c>
      <c r="AK45" s="578" t="str">
        <f t="shared" si="453"/>
        <v/>
      </c>
      <c r="AL45" s="572" t="str">
        <f t="shared" si="454"/>
        <v/>
      </c>
      <c r="AM45" s="577" t="str">
        <f t="shared" si="455"/>
        <v/>
      </c>
      <c r="AN45" s="524" t="str">
        <f t="shared" si="456"/>
        <v/>
      </c>
      <c r="AO45" s="525" t="str">
        <f t="shared" si="116"/>
        <v/>
      </c>
      <c r="AP45" s="528" t="str">
        <f t="shared" si="457"/>
        <v/>
      </c>
      <c r="AQ45" s="529" t="str">
        <f t="shared" si="274"/>
        <v/>
      </c>
      <c r="AS45" s="932" t="str">
        <f t="shared" si="461"/>
        <v/>
      </c>
      <c r="AT45" s="928" t="str">
        <f t="shared" si="275"/>
        <v/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 t="str">
        <f t="shared" si="236"/>
        <v/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 t="str">
        <f t="shared" si="426"/>
        <v/>
      </c>
      <c r="IM45" s="482" t="str">
        <f t="shared" si="237"/>
        <v/>
      </c>
      <c r="IN45" s="670" t="str">
        <f t="shared" si="427"/>
        <v/>
      </c>
      <c r="IO45" s="702"/>
      <c r="IP45" s="5" t="str">
        <f t="shared" si="428"/>
        <v/>
      </c>
      <c r="IQ45" s="714"/>
      <c r="IR45" s="9" t="str">
        <f t="shared" si="429"/>
        <v/>
      </c>
      <c r="IS45" s="5" t="str">
        <f t="shared" si="430"/>
        <v/>
      </c>
      <c r="IT45" s="5" t="str">
        <f t="shared" si="431"/>
        <v/>
      </c>
      <c r="IU45" s="5" t="str">
        <f t="shared" si="432"/>
        <v/>
      </c>
      <c r="IV45" s="670" t="str">
        <f t="shared" si="433"/>
        <v/>
      </c>
      <c r="IW45" s="9" t="str">
        <f t="shared" si="434"/>
        <v/>
      </c>
      <c r="IX45" s="5" t="str">
        <f t="shared" si="435"/>
        <v/>
      </c>
      <c r="IY45" s="5" t="str">
        <f t="shared" si="436"/>
        <v/>
      </c>
      <c r="IZ45" s="5" t="str">
        <f t="shared" si="437"/>
        <v/>
      </c>
      <c r="JA45" s="705" t="str">
        <f t="shared" si="438"/>
        <v/>
      </c>
    </row>
    <row r="46" spans="1:269" ht="15" customHeight="1" x14ac:dyDescent="0.25">
      <c r="A46" s="75" t="str">
        <f t="shared" si="256"/>
        <v/>
      </c>
      <c r="B46" s="578" t="str">
        <f t="shared" si="257"/>
        <v/>
      </c>
      <c r="C46" s="572" t="str">
        <f t="shared" si="258"/>
        <v/>
      </c>
      <c r="D46" s="576" t="str">
        <f t="shared" si="259"/>
        <v/>
      </c>
      <c r="E46" s="580" t="str">
        <f t="shared" si="260"/>
        <v/>
      </c>
      <c r="F46" s="572" t="str">
        <f t="shared" si="261"/>
        <v/>
      </c>
      <c r="G46" s="579" t="str">
        <f t="shared" si="262"/>
        <v/>
      </c>
      <c r="H46" s="580" t="str">
        <f t="shared" si="263"/>
        <v/>
      </c>
      <c r="I46" s="572" t="str">
        <f t="shared" si="264"/>
        <v/>
      </c>
      <c r="J46" s="483" t="str">
        <f t="shared" si="265"/>
        <v/>
      </c>
      <c r="K46" s="806" t="str">
        <f t="shared" si="266"/>
        <v/>
      </c>
      <c r="L46" s="309"/>
      <c r="M46" s="164" t="str">
        <f t="shared" si="267"/>
        <v/>
      </c>
      <c r="N46" s="575" t="str">
        <f t="shared" si="268"/>
        <v/>
      </c>
      <c r="O46" s="572" t="str">
        <f t="shared" si="269"/>
        <v/>
      </c>
      <c r="P46" s="576" t="str">
        <f t="shared" si="270"/>
        <v/>
      </c>
      <c r="Q46" s="528" t="str">
        <f t="shared" si="140"/>
        <v/>
      </c>
      <c r="R46" s="572" t="str">
        <f t="shared" si="439"/>
        <v/>
      </c>
      <c r="S46" s="577" t="str">
        <f t="shared" si="440"/>
        <v/>
      </c>
      <c r="T46" s="578" t="str">
        <f t="shared" si="441"/>
        <v/>
      </c>
      <c r="U46" s="572" t="str">
        <f t="shared" si="442"/>
        <v/>
      </c>
      <c r="V46" s="579" t="str">
        <f t="shared" si="443"/>
        <v/>
      </c>
      <c r="W46" s="528" t="str">
        <f t="shared" si="253"/>
        <v/>
      </c>
      <c r="X46" s="572" t="str">
        <f t="shared" si="444"/>
        <v/>
      </c>
      <c r="Y46" s="573" t="str">
        <f t="shared" si="255"/>
        <v/>
      </c>
      <c r="Z46" s="575" t="str">
        <f t="shared" si="271"/>
        <v/>
      </c>
      <c r="AA46" s="572" t="str">
        <f t="shared" si="272"/>
        <v/>
      </c>
      <c r="AB46" s="572" t="str">
        <f t="shared" si="273"/>
        <v/>
      </c>
      <c r="AC46" s="579" t="str">
        <f t="shared" si="445"/>
        <v/>
      </c>
      <c r="AD46" s="580" t="str">
        <f t="shared" si="446"/>
        <v/>
      </c>
      <c r="AE46" s="572" t="str">
        <f t="shared" si="447"/>
        <v/>
      </c>
      <c r="AF46" s="576" t="str">
        <f t="shared" si="448"/>
        <v/>
      </c>
      <c r="AG46" s="545" t="str">
        <f t="shared" si="449"/>
        <v/>
      </c>
      <c r="AH46" s="546" t="str">
        <f t="shared" si="450"/>
        <v/>
      </c>
      <c r="AI46" s="528" t="str">
        <f t="shared" si="451"/>
        <v/>
      </c>
      <c r="AJ46" s="529" t="str">
        <f t="shared" si="452"/>
        <v/>
      </c>
      <c r="AK46" s="578" t="str">
        <f t="shared" si="453"/>
        <v/>
      </c>
      <c r="AL46" s="572" t="str">
        <f t="shared" si="454"/>
        <v/>
      </c>
      <c r="AM46" s="577" t="str">
        <f t="shared" si="455"/>
        <v/>
      </c>
      <c r="AN46" s="524" t="str">
        <f t="shared" si="456"/>
        <v/>
      </c>
      <c r="AO46" s="525" t="str">
        <f t="shared" si="116"/>
        <v/>
      </c>
      <c r="AP46" s="528" t="str">
        <f t="shared" si="457"/>
        <v/>
      </c>
      <c r="AQ46" s="529" t="str">
        <f t="shared" si="274"/>
        <v/>
      </c>
      <c r="AS46" s="932" t="str">
        <f t="shared" si="461"/>
        <v/>
      </c>
      <c r="AT46" s="928" t="str">
        <f t="shared" si="275"/>
        <v/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 t="str">
        <f t="shared" si="236"/>
        <v/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 t="str">
        <f t="shared" si="426"/>
        <v/>
      </c>
      <c r="IM46" s="482" t="str">
        <f t="shared" si="237"/>
        <v/>
      </c>
      <c r="IN46" s="670" t="str">
        <f t="shared" si="427"/>
        <v/>
      </c>
      <c r="IO46" s="702"/>
      <c r="IP46" s="5" t="str">
        <f t="shared" si="428"/>
        <v/>
      </c>
      <c r="IQ46" s="714"/>
      <c r="IR46" s="9" t="str">
        <f t="shared" si="429"/>
        <v/>
      </c>
      <c r="IS46" s="5" t="str">
        <f t="shared" si="430"/>
        <v/>
      </c>
      <c r="IT46" s="5" t="str">
        <f t="shared" si="431"/>
        <v/>
      </c>
      <c r="IU46" s="5" t="str">
        <f t="shared" si="432"/>
        <v/>
      </c>
      <c r="IV46" s="670" t="str">
        <f t="shared" si="433"/>
        <v/>
      </c>
      <c r="IW46" s="9" t="str">
        <f t="shared" si="434"/>
        <v/>
      </c>
      <c r="IX46" s="5" t="str">
        <f t="shared" si="435"/>
        <v/>
      </c>
      <c r="IY46" s="5" t="str">
        <f t="shared" si="436"/>
        <v/>
      </c>
      <c r="IZ46" s="5" t="str">
        <f t="shared" si="437"/>
        <v/>
      </c>
      <c r="JA46" s="705" t="str">
        <f t="shared" si="438"/>
        <v/>
      </c>
    </row>
    <row r="47" spans="1:269" ht="15" customHeight="1" x14ac:dyDescent="0.25">
      <c r="A47" s="75" t="str">
        <f t="shared" si="256"/>
        <v/>
      </c>
      <c r="B47" s="578" t="str">
        <f t="shared" si="257"/>
        <v/>
      </c>
      <c r="C47" s="572" t="str">
        <f t="shared" si="258"/>
        <v/>
      </c>
      <c r="D47" s="576" t="str">
        <f t="shared" si="259"/>
        <v/>
      </c>
      <c r="E47" s="580" t="str">
        <f t="shared" si="260"/>
        <v/>
      </c>
      <c r="F47" s="572" t="str">
        <f t="shared" si="261"/>
        <v/>
      </c>
      <c r="G47" s="579" t="str">
        <f t="shared" si="262"/>
        <v/>
      </c>
      <c r="H47" s="580" t="str">
        <f t="shared" si="263"/>
        <v/>
      </c>
      <c r="I47" s="572" t="str">
        <f t="shared" si="264"/>
        <v/>
      </c>
      <c r="J47" s="483" t="str">
        <f t="shared" si="265"/>
        <v/>
      </c>
      <c r="K47" s="806" t="str">
        <f t="shared" si="266"/>
        <v/>
      </c>
      <c r="L47" s="309"/>
      <c r="M47" s="164" t="str">
        <f t="shared" si="267"/>
        <v/>
      </c>
      <c r="N47" s="575" t="str">
        <f t="shared" si="268"/>
        <v/>
      </c>
      <c r="O47" s="572" t="str">
        <f t="shared" si="269"/>
        <v/>
      </c>
      <c r="P47" s="576" t="str">
        <f t="shared" si="270"/>
        <v/>
      </c>
      <c r="Q47" s="528" t="str">
        <f t="shared" si="140"/>
        <v/>
      </c>
      <c r="R47" s="572" t="str">
        <f t="shared" si="439"/>
        <v/>
      </c>
      <c r="S47" s="577" t="str">
        <f t="shared" si="440"/>
        <v/>
      </c>
      <c r="T47" s="578" t="str">
        <f t="shared" si="441"/>
        <v/>
      </c>
      <c r="U47" s="572" t="str">
        <f t="shared" si="442"/>
        <v/>
      </c>
      <c r="V47" s="579" t="str">
        <f t="shared" si="443"/>
        <v/>
      </c>
      <c r="W47" s="528" t="str">
        <f t="shared" si="253"/>
        <v/>
      </c>
      <c r="X47" s="572" t="str">
        <f t="shared" si="444"/>
        <v/>
      </c>
      <c r="Y47" s="573" t="str">
        <f t="shared" si="255"/>
        <v/>
      </c>
      <c r="Z47" s="575" t="str">
        <f t="shared" si="271"/>
        <v/>
      </c>
      <c r="AA47" s="572" t="str">
        <f t="shared" si="272"/>
        <v/>
      </c>
      <c r="AB47" s="572" t="str">
        <f t="shared" si="273"/>
        <v/>
      </c>
      <c r="AC47" s="579" t="str">
        <f t="shared" si="445"/>
        <v/>
      </c>
      <c r="AD47" s="580" t="str">
        <f t="shared" si="446"/>
        <v/>
      </c>
      <c r="AE47" s="572" t="str">
        <f t="shared" si="447"/>
        <v/>
      </c>
      <c r="AF47" s="576" t="str">
        <f t="shared" si="448"/>
        <v/>
      </c>
      <c r="AG47" s="545" t="str">
        <f t="shared" si="449"/>
        <v/>
      </c>
      <c r="AH47" s="546" t="str">
        <f t="shared" si="450"/>
        <v/>
      </c>
      <c r="AI47" s="528" t="str">
        <f t="shared" si="451"/>
        <v/>
      </c>
      <c r="AJ47" s="529" t="str">
        <f t="shared" si="452"/>
        <v/>
      </c>
      <c r="AK47" s="578" t="str">
        <f t="shared" si="453"/>
        <v/>
      </c>
      <c r="AL47" s="572" t="str">
        <f t="shared" si="454"/>
        <v/>
      </c>
      <c r="AM47" s="577" t="str">
        <f t="shared" si="455"/>
        <v/>
      </c>
      <c r="AN47" s="524" t="str">
        <f t="shared" si="456"/>
        <v/>
      </c>
      <c r="AO47" s="525" t="str">
        <f t="shared" si="116"/>
        <v/>
      </c>
      <c r="AP47" s="528" t="str">
        <f t="shared" si="457"/>
        <v/>
      </c>
      <c r="AQ47" s="529" t="str">
        <f t="shared" si="274"/>
        <v/>
      </c>
      <c r="AS47" s="932" t="str">
        <f t="shared" si="461"/>
        <v/>
      </c>
      <c r="AT47" s="928" t="str">
        <f t="shared" si="275"/>
        <v/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7"/>
        <v/>
      </c>
      <c r="BA47" s="296" t="str">
        <f t="shared" si="278"/>
        <v/>
      </c>
      <c r="BB47" s="190" t="str">
        <f t="shared" si="145"/>
        <v/>
      </c>
      <c r="BC47" s="9"/>
      <c r="BD47" s="5" t="str">
        <f t="shared" si="279"/>
        <v/>
      </c>
      <c r="BE47" s="6" t="str">
        <f t="shared" si="280"/>
        <v/>
      </c>
      <c r="BF47" s="4" t="str">
        <f t="shared" si="281"/>
        <v/>
      </c>
      <c r="BG47" s="5" t="str">
        <f t="shared" si="282"/>
        <v/>
      </c>
      <c r="BH47" s="10" t="str">
        <f t="shared" si="283"/>
        <v/>
      </c>
      <c r="BI47" s="9" t="str">
        <f t="shared" si="284"/>
        <v/>
      </c>
      <c r="BJ47" s="5" t="str">
        <f t="shared" si="285"/>
        <v/>
      </c>
      <c r="BK47" s="8" t="str">
        <f t="shared" si="286"/>
        <v/>
      </c>
      <c r="BL47" s="173" t="str">
        <f t="shared" si="287"/>
        <v/>
      </c>
      <c r="BM47" s="5" t="str">
        <f t="shared" si="288"/>
        <v/>
      </c>
      <c r="BN47" s="6" t="str">
        <f t="shared" si="289"/>
        <v/>
      </c>
      <c r="BO47" s="4" t="str">
        <f t="shared" si="290"/>
        <v/>
      </c>
      <c r="BP47" s="5" t="str">
        <f t="shared" si="239"/>
        <v/>
      </c>
      <c r="BQ47" s="5" t="str">
        <f t="shared" si="291"/>
        <v/>
      </c>
      <c r="BR47" s="6" t="str">
        <f t="shared" si="292"/>
        <v/>
      </c>
      <c r="BS47" s="4" t="str">
        <f t="shared" si="458"/>
        <v/>
      </c>
      <c r="BT47" s="5" t="str">
        <f t="shared" si="458"/>
        <v/>
      </c>
      <c r="BU47" s="10" t="str">
        <f t="shared" si="119"/>
        <v/>
      </c>
      <c r="BV47" s="9" t="str">
        <f t="shared" si="120"/>
        <v/>
      </c>
      <c r="BW47" s="5" t="str">
        <f t="shared" si="121"/>
        <v/>
      </c>
      <c r="BX47" s="8" t="str">
        <f t="shared" si="122"/>
        <v/>
      </c>
      <c r="BY47" s="173" t="str">
        <f t="shared" si="123"/>
        <v/>
      </c>
      <c r="BZ47" s="5" t="str">
        <f t="shared" si="124"/>
        <v/>
      </c>
      <c r="CA47" s="6" t="str">
        <f t="shared" si="125"/>
        <v/>
      </c>
      <c r="CB47" s="4" t="str">
        <f t="shared" si="293"/>
        <v/>
      </c>
      <c r="CC47" s="5" t="str">
        <f t="shared" si="294"/>
        <v/>
      </c>
      <c r="CD47" s="5" t="str">
        <f t="shared" si="295"/>
        <v/>
      </c>
      <c r="CE47" s="6" t="str">
        <f t="shared" si="296"/>
        <v/>
      </c>
      <c r="CF47" s="4" t="str">
        <f t="shared" si="297"/>
        <v/>
      </c>
      <c r="CG47" s="5" t="str">
        <f t="shared" si="298"/>
        <v/>
      </c>
      <c r="CH47" s="5" t="str">
        <f t="shared" si="299"/>
        <v/>
      </c>
      <c r="CI47" s="4" t="str">
        <f t="shared" si="126"/>
        <v/>
      </c>
      <c r="CJ47" s="5" t="str">
        <f t="shared" si="300"/>
        <v/>
      </c>
      <c r="CK47" s="8" t="str">
        <f t="shared" si="301"/>
        <v/>
      </c>
      <c r="CL47" s="173" t="str">
        <f t="shared" si="302"/>
        <v/>
      </c>
      <c r="CM47" s="5" t="str">
        <f t="shared" si="303"/>
        <v/>
      </c>
      <c r="CN47" s="6" t="str">
        <f t="shared" si="304"/>
        <v/>
      </c>
      <c r="CO47" s="167" t="str">
        <f t="shared" si="305"/>
        <v/>
      </c>
      <c r="CP47" s="4" t="str">
        <f t="shared" si="306"/>
        <v/>
      </c>
      <c r="CQ47" s="5" t="str">
        <f t="shared" si="307"/>
        <v/>
      </c>
      <c r="CR47" s="5" t="str">
        <f t="shared" si="308"/>
        <v/>
      </c>
      <c r="CS47" s="8" t="str">
        <f t="shared" si="309"/>
        <v/>
      </c>
      <c r="CT47" s="9" t="str">
        <f t="shared" si="160"/>
        <v/>
      </c>
      <c r="CU47" s="6" t="str">
        <f t="shared" si="310"/>
        <v/>
      </c>
      <c r="CV47" s="4" t="str">
        <f t="shared" si="311"/>
        <v/>
      </c>
      <c r="CW47" s="5" t="str">
        <f t="shared" si="312"/>
        <v/>
      </c>
      <c r="CX47" s="8" t="str">
        <f t="shared" si="313"/>
        <v/>
      </c>
      <c r="CY47" s="9" t="str">
        <f t="shared" si="314"/>
        <v/>
      </c>
      <c r="CZ47" s="5" t="str">
        <f t="shared" si="315"/>
        <v/>
      </c>
      <c r="DA47" s="6" t="str">
        <f t="shared" si="316"/>
        <v/>
      </c>
      <c r="DB47" s="4" t="str">
        <f t="shared" si="462"/>
        <v/>
      </c>
      <c r="DC47" s="5" t="str">
        <f t="shared" si="462"/>
        <v/>
      </c>
      <c r="DD47" s="10" t="str">
        <f t="shared" si="168"/>
        <v/>
      </c>
      <c r="DE47" s="9" t="str">
        <f t="shared" si="463"/>
        <v/>
      </c>
      <c r="DF47" s="5" t="str">
        <f t="shared" si="463"/>
        <v/>
      </c>
      <c r="DG47" s="10" t="str">
        <f t="shared" si="170"/>
        <v/>
      </c>
      <c r="DH47" s="70" t="str">
        <f t="shared" si="317"/>
        <v/>
      </c>
      <c r="DI47" s="4" t="str">
        <f t="shared" si="318"/>
        <v/>
      </c>
      <c r="DJ47" s="5" t="str">
        <f t="shared" si="319"/>
        <v/>
      </c>
      <c r="DK47" s="10" t="str">
        <f t="shared" si="320"/>
        <v/>
      </c>
      <c r="DL47" s="9" t="str">
        <f t="shared" si="321"/>
        <v/>
      </c>
      <c r="DM47" s="173" t="str">
        <f t="shared" si="322"/>
        <v/>
      </c>
      <c r="DN47" s="178" t="str">
        <f t="shared" si="323"/>
        <v/>
      </c>
      <c r="DO47" s="9" t="str">
        <f t="shared" si="324"/>
        <v/>
      </c>
      <c r="DP47" s="173" t="str">
        <f t="shared" si="325"/>
        <v/>
      </c>
      <c r="DQ47" s="11" t="str">
        <f t="shared" si="326"/>
        <v/>
      </c>
      <c r="DR47" s="173" t="str">
        <f t="shared" si="327"/>
        <v/>
      </c>
      <c r="DS47" s="5" t="str">
        <f t="shared" si="328"/>
        <v/>
      </c>
      <c r="DT47" s="5" t="str">
        <f t="shared" si="329"/>
        <v/>
      </c>
      <c r="DU47" s="5" t="str">
        <f t="shared" si="330"/>
        <v/>
      </c>
      <c r="DV47" s="5" t="str">
        <f t="shared" si="331"/>
        <v/>
      </c>
      <c r="DW47" s="5" t="str">
        <f t="shared" si="332"/>
        <v/>
      </c>
      <c r="DX47" s="167" t="str">
        <f t="shared" si="333"/>
        <v/>
      </c>
      <c r="DY47" s="9" t="str">
        <f t="shared" si="334"/>
        <v/>
      </c>
      <c r="DZ47" s="5" t="str">
        <f t="shared" si="335"/>
        <v/>
      </c>
      <c r="EA47" s="10" t="str">
        <f t="shared" si="336"/>
        <v/>
      </c>
      <c r="EB47" s="6" t="str">
        <f t="shared" si="337"/>
        <v/>
      </c>
      <c r="EC47" s="173" t="str">
        <f t="shared" si="338"/>
        <v/>
      </c>
      <c r="ED47" s="5" t="str">
        <f t="shared" si="339"/>
        <v/>
      </c>
      <c r="EE47" s="4" t="str">
        <f t="shared" si="340"/>
        <v/>
      </c>
      <c r="EF47" s="5" t="str">
        <f t="shared" si="341"/>
        <v/>
      </c>
      <c r="EG47" s="10" t="str">
        <f t="shared" si="342"/>
        <v/>
      </c>
      <c r="EH47" s="9" t="str">
        <f t="shared" si="343"/>
        <v/>
      </c>
      <c r="EI47" s="5" t="str">
        <f t="shared" si="344"/>
        <v/>
      </c>
      <c r="EJ47" s="6" t="str">
        <f t="shared" si="345"/>
        <v/>
      </c>
      <c r="EK47" s="236" t="str">
        <f t="shared" si="200"/>
        <v/>
      </c>
      <c r="EL47" s="238" t="str">
        <f t="shared" si="201"/>
        <v/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str">
        <f t="shared" si="349"/>
        <v/>
      </c>
      <c r="EQ47" s="5" t="str">
        <f t="shared" si="350"/>
        <v/>
      </c>
      <c r="ER47" s="7" t="str">
        <f t="shared" si="351"/>
        <v/>
      </c>
      <c r="ES47" s="21" t="str">
        <f t="shared" si="352"/>
        <v/>
      </c>
      <c r="ET47" s="5" t="str">
        <f t="shared" si="353"/>
        <v/>
      </c>
      <c r="EU47" s="10" t="str">
        <f t="shared" si="354"/>
        <v/>
      </c>
      <c r="EV47" s="174" t="str">
        <f t="shared" si="355"/>
        <v/>
      </c>
      <c r="EW47" s="9" t="str">
        <f t="shared" si="356"/>
        <v/>
      </c>
      <c r="EX47" s="5" t="str">
        <f t="shared" si="357"/>
        <v/>
      </c>
      <c r="EY47" s="6" t="str">
        <f t="shared" si="358"/>
        <v/>
      </c>
      <c r="EZ47" s="51" t="str">
        <f t="shared" si="209"/>
        <v/>
      </c>
      <c r="FA47" s="266" t="str">
        <f t="shared" si="134"/>
        <v/>
      </c>
      <c r="FB47" s="267" t="str">
        <f t="shared" si="135"/>
        <v/>
      </c>
      <c r="FC47" s="269" t="str">
        <f t="shared" si="48"/>
        <v/>
      </c>
      <c r="FD47" s="4" t="str">
        <f t="shared" si="359"/>
        <v/>
      </c>
      <c r="FE47" s="5" t="str">
        <f t="shared" si="360"/>
        <v/>
      </c>
      <c r="FF47" s="7" t="str">
        <f t="shared" si="361"/>
        <v/>
      </c>
      <c r="FG47" s="173" t="str">
        <f t="shared" si="362"/>
        <v/>
      </c>
      <c r="FH47" s="5" t="str">
        <f t="shared" si="363"/>
        <v/>
      </c>
      <c r="FI47" s="10" t="str">
        <f t="shared" si="364"/>
        <v/>
      </c>
      <c r="FJ47" s="279" t="str">
        <f t="shared" si="365"/>
        <v/>
      </c>
      <c r="FK47" s="4" t="str">
        <f t="shared" si="366"/>
        <v/>
      </c>
      <c r="FL47" s="5" t="str">
        <f t="shared" si="367"/>
        <v/>
      </c>
      <c r="FM47" s="8" t="str">
        <f t="shared" si="368"/>
        <v/>
      </c>
      <c r="FN47" s="9" t="str">
        <f t="shared" si="369"/>
        <v/>
      </c>
      <c r="FO47" s="10" t="str">
        <f t="shared" si="370"/>
        <v/>
      </c>
      <c r="FP47" s="277" t="str">
        <f t="shared" si="371"/>
        <v/>
      </c>
      <c r="FQ47" s="173" t="str">
        <f t="shared" si="372"/>
        <v/>
      </c>
      <c r="FR47" s="10" t="str">
        <f t="shared" si="373"/>
        <v/>
      </c>
      <c r="FS47" s="9" t="str">
        <f t="shared" si="374"/>
        <v/>
      </c>
      <c r="FT47" s="6" t="str">
        <f t="shared" si="375"/>
        <v/>
      </c>
      <c r="FU47" s="4" t="str">
        <f t="shared" si="376"/>
        <v/>
      </c>
      <c r="FV47" s="5" t="str">
        <f t="shared" si="377"/>
        <v/>
      </c>
      <c r="FW47" s="8" t="str">
        <f t="shared" si="378"/>
        <v/>
      </c>
      <c r="FX47" s="9" t="str">
        <f t="shared" si="379"/>
        <v/>
      </c>
      <c r="FY47" s="10" t="str">
        <f t="shared" si="380"/>
        <v/>
      </c>
      <c r="FZ47" s="277" t="str">
        <f t="shared" si="381"/>
        <v/>
      </c>
      <c r="GA47" s="177" t="str">
        <f t="shared" si="382"/>
        <v/>
      </c>
      <c r="GB47" s="4" t="str">
        <f t="shared" si="383"/>
        <v/>
      </c>
      <c r="GC47" s="5" t="str">
        <f t="shared" si="384"/>
        <v/>
      </c>
      <c r="GD47" s="10" t="str">
        <f t="shared" si="385"/>
        <v/>
      </c>
      <c r="GE47" s="311" t="str">
        <f t="shared" si="386"/>
        <v/>
      </c>
      <c r="GF47" s="341" t="str">
        <f t="shared" si="387"/>
        <v/>
      </c>
      <c r="GG47" s="285" t="str">
        <f t="shared" si="388"/>
        <v/>
      </c>
      <c r="GH47" s="286" t="str">
        <f t="shared" si="389"/>
        <v/>
      </c>
      <c r="GI47" s="281" t="str">
        <f t="shared" si="390"/>
        <v/>
      </c>
      <c r="GJ47" s="167" t="str">
        <f t="shared" si="391"/>
        <v/>
      </c>
      <c r="GK47" s="174" t="str">
        <f t="shared" si="59"/>
        <v/>
      </c>
      <c r="GL47" s="174" t="str">
        <f t="shared" si="392"/>
        <v/>
      </c>
      <c r="GM47" s="177" t="str">
        <f t="shared" si="393"/>
        <v/>
      </c>
      <c r="GN47" s="280" t="str">
        <f t="shared" si="394"/>
        <v/>
      </c>
      <c r="GO47" s="4" t="str">
        <f t="shared" si="395"/>
        <v/>
      </c>
      <c r="GP47" s="8" t="str">
        <f t="shared" si="396"/>
        <v/>
      </c>
      <c r="GQ47" s="177" t="str">
        <f t="shared" si="397"/>
        <v/>
      </c>
      <c r="GR47" s="371" t="str">
        <f t="shared" si="398"/>
        <v/>
      </c>
      <c r="GS47" s="342" t="str">
        <f t="shared" si="399"/>
        <v/>
      </c>
      <c r="GT47" s="343" t="str">
        <f t="shared" si="400"/>
        <v/>
      </c>
      <c r="GU47" s="344" t="str">
        <f t="shared" si="63"/>
        <v/>
      </c>
      <c r="GV47" s="343" t="str">
        <f t="shared" si="401"/>
        <v/>
      </c>
      <c r="GW47" s="345" t="str">
        <f t="shared" si="64"/>
        <v/>
      </c>
      <c r="GX47" s="346" t="str">
        <f t="shared" si="65"/>
        <v/>
      </c>
      <c r="GY47" s="344" t="str">
        <f t="shared" si="402"/>
        <v/>
      </c>
      <c r="GZ47" s="345" t="str">
        <f t="shared" si="403"/>
        <v/>
      </c>
      <c r="HA47" s="342" t="str">
        <f t="shared" si="68"/>
        <v/>
      </c>
      <c r="HB47" s="5" t="str">
        <f t="shared" si="231"/>
        <v/>
      </c>
      <c r="HC47" s="343" t="str">
        <f t="shared" si="404"/>
        <v/>
      </c>
      <c r="HD47" s="345" t="str">
        <f t="shared" si="405"/>
        <v/>
      </c>
      <c r="HE47" s="344" t="str">
        <f t="shared" si="69"/>
        <v/>
      </c>
      <c r="HF47" s="5" t="str">
        <f t="shared" si="70"/>
        <v/>
      </c>
      <c r="HG47" s="343" t="str">
        <f t="shared" si="406"/>
        <v/>
      </c>
      <c r="HH47" s="349" t="str">
        <f t="shared" si="407"/>
        <v/>
      </c>
      <c r="HI47" s="317" t="str">
        <f t="shared" si="408"/>
        <v/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 t="str">
        <f t="shared" si="236"/>
        <v/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 t="str">
        <f t="shared" si="426"/>
        <v/>
      </c>
      <c r="IM47" s="482" t="str">
        <f t="shared" si="237"/>
        <v/>
      </c>
      <c r="IN47" s="670" t="str">
        <f t="shared" si="427"/>
        <v/>
      </c>
      <c r="IO47" s="702"/>
      <c r="IP47" s="5" t="str">
        <f t="shared" si="428"/>
        <v/>
      </c>
      <c r="IQ47" s="714"/>
      <c r="IR47" s="9" t="str">
        <f t="shared" si="429"/>
        <v/>
      </c>
      <c r="IS47" s="5" t="str">
        <f t="shared" si="430"/>
        <v/>
      </c>
      <c r="IT47" s="5" t="str">
        <f t="shared" si="431"/>
        <v/>
      </c>
      <c r="IU47" s="5" t="str">
        <f t="shared" si="432"/>
        <v/>
      </c>
      <c r="IV47" s="670" t="str">
        <f t="shared" si="433"/>
        <v/>
      </c>
      <c r="IW47" s="9" t="str">
        <f t="shared" si="434"/>
        <v/>
      </c>
      <c r="IX47" s="5" t="str">
        <f t="shared" si="435"/>
        <v/>
      </c>
      <c r="IY47" s="5" t="str">
        <f t="shared" si="436"/>
        <v/>
      </c>
      <c r="IZ47" s="5" t="str">
        <f t="shared" si="437"/>
        <v/>
      </c>
      <c r="JA47" s="705" t="str">
        <f t="shared" si="438"/>
        <v/>
      </c>
    </row>
    <row r="48" spans="1:269" ht="15" customHeight="1" x14ac:dyDescent="0.25">
      <c r="A48" s="75" t="str">
        <f t="shared" si="256"/>
        <v/>
      </c>
      <c r="B48" s="578" t="str">
        <f t="shared" si="257"/>
        <v/>
      </c>
      <c r="C48" s="572" t="str">
        <f t="shared" si="258"/>
        <v/>
      </c>
      <c r="D48" s="576" t="str">
        <f t="shared" si="259"/>
        <v/>
      </c>
      <c r="E48" s="580" t="str">
        <f t="shared" si="260"/>
        <v/>
      </c>
      <c r="F48" s="572" t="str">
        <f t="shared" si="261"/>
        <v/>
      </c>
      <c r="G48" s="579" t="str">
        <f t="shared" si="262"/>
        <v/>
      </c>
      <c r="H48" s="580" t="str">
        <f t="shared" si="263"/>
        <v/>
      </c>
      <c r="I48" s="572" t="str">
        <f t="shared" si="264"/>
        <v/>
      </c>
      <c r="J48" s="483" t="str">
        <f t="shared" si="265"/>
        <v/>
      </c>
      <c r="K48" s="806" t="str">
        <f t="shared" si="266"/>
        <v/>
      </c>
      <c r="L48" s="309"/>
      <c r="M48" s="164" t="str">
        <f t="shared" si="267"/>
        <v/>
      </c>
      <c r="N48" s="575" t="str">
        <f t="shared" si="268"/>
        <v/>
      </c>
      <c r="O48" s="572" t="str">
        <f t="shared" si="269"/>
        <v/>
      </c>
      <c r="P48" s="576" t="str">
        <f t="shared" si="270"/>
        <v/>
      </c>
      <c r="Q48" s="528" t="str">
        <f t="shared" si="140"/>
        <v/>
      </c>
      <c r="R48" s="572" t="str">
        <f t="shared" si="101"/>
        <v/>
      </c>
      <c r="S48" s="577" t="str">
        <f t="shared" si="102"/>
        <v/>
      </c>
      <c r="T48" s="578" t="str">
        <f t="shared" si="103"/>
        <v/>
      </c>
      <c r="U48" s="572" t="str">
        <f t="shared" si="104"/>
        <v/>
      </c>
      <c r="V48" s="579" t="str">
        <f t="shared" si="141"/>
        <v/>
      </c>
      <c r="W48" s="528" t="str">
        <f t="shared" si="253"/>
        <v/>
      </c>
      <c r="X48" s="572" t="str">
        <f t="shared" si="105"/>
        <v/>
      </c>
      <c r="Y48" s="573" t="str">
        <f t="shared" si="255"/>
        <v/>
      </c>
      <c r="Z48" s="575" t="str">
        <f t="shared" si="271"/>
        <v/>
      </c>
      <c r="AA48" s="572" t="str">
        <f t="shared" si="272"/>
        <v/>
      </c>
      <c r="AB48" s="572" t="str">
        <f t="shared" si="273"/>
        <v/>
      </c>
      <c r="AC48" s="579" t="str">
        <f t="shared" si="106"/>
        <v/>
      </c>
      <c r="AD48" s="580" t="str">
        <f t="shared" si="142"/>
        <v/>
      </c>
      <c r="AE48" s="572" t="str">
        <f t="shared" si="107"/>
        <v/>
      </c>
      <c r="AF48" s="576" t="str">
        <f t="shared" si="108"/>
        <v/>
      </c>
      <c r="AG48" s="545" t="str">
        <f t="shared" si="109"/>
        <v/>
      </c>
      <c r="AH48" s="546" t="str">
        <f t="shared" si="110"/>
        <v/>
      </c>
      <c r="AI48" s="528" t="str">
        <f t="shared" si="111"/>
        <v/>
      </c>
      <c r="AJ48" s="529" t="str">
        <f t="shared" si="112"/>
        <v/>
      </c>
      <c r="AK48" s="578" t="str">
        <f t="shared" si="238"/>
        <v/>
      </c>
      <c r="AL48" s="572" t="str">
        <f t="shared" si="113"/>
        <v/>
      </c>
      <c r="AM48" s="577" t="str">
        <f t="shared" si="114"/>
        <v/>
      </c>
      <c r="AN48" s="524" t="str">
        <f t="shared" si="115"/>
        <v/>
      </c>
      <c r="AO48" s="525" t="str">
        <f t="shared" si="116"/>
        <v/>
      </c>
      <c r="AP48" s="528" t="str">
        <f t="shared" si="117"/>
        <v/>
      </c>
      <c r="AQ48" s="529" t="str">
        <f t="shared" si="274"/>
        <v/>
      </c>
      <c r="AS48" s="932" t="str">
        <f t="shared" si="461"/>
        <v/>
      </c>
      <c r="AT48" s="928" t="str">
        <f t="shared" si="275"/>
        <v/>
      </c>
      <c r="AU48" s="418"/>
      <c r="AV48" s="164" t="str">
        <f t="shared" si="276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7"/>
        <v/>
      </c>
      <c r="BA48" s="296" t="str">
        <f t="shared" si="278"/>
        <v/>
      </c>
      <c r="BB48" s="190" t="str">
        <f t="shared" si="145"/>
        <v/>
      </c>
      <c r="BC48" s="9"/>
      <c r="BD48" s="5" t="str">
        <f t="shared" si="279"/>
        <v/>
      </c>
      <c r="BE48" s="6" t="str">
        <f t="shared" si="280"/>
        <v/>
      </c>
      <c r="BF48" s="4" t="str">
        <f t="shared" si="281"/>
        <v/>
      </c>
      <c r="BG48" s="5" t="str">
        <f t="shared" si="282"/>
        <v/>
      </c>
      <c r="BH48" s="10" t="str">
        <f t="shared" si="283"/>
        <v/>
      </c>
      <c r="BI48" s="9" t="str">
        <f t="shared" si="284"/>
        <v/>
      </c>
      <c r="BJ48" s="5" t="str">
        <f t="shared" si="285"/>
        <v/>
      </c>
      <c r="BK48" s="8" t="str">
        <f t="shared" si="286"/>
        <v/>
      </c>
      <c r="BL48" s="173" t="str">
        <f t="shared" si="287"/>
        <v/>
      </c>
      <c r="BM48" s="5" t="str">
        <f t="shared" si="288"/>
        <v/>
      </c>
      <c r="BN48" s="6" t="str">
        <f t="shared" si="289"/>
        <v/>
      </c>
      <c r="BO48" s="4" t="str">
        <f t="shared" si="290"/>
        <v/>
      </c>
      <c r="BP48" s="5" t="str">
        <f t="shared" si="239"/>
        <v/>
      </c>
      <c r="BQ48" s="5" t="str">
        <f t="shared" si="291"/>
        <v/>
      </c>
      <c r="BR48" s="6" t="str">
        <f t="shared" si="292"/>
        <v/>
      </c>
      <c r="BS48" s="4" t="str">
        <f t="shared" si="458"/>
        <v/>
      </c>
      <c r="BT48" s="5" t="str">
        <f t="shared" si="458"/>
        <v/>
      </c>
      <c r="BU48" s="10" t="str">
        <f t="shared" si="119"/>
        <v/>
      </c>
      <c r="BV48" s="9" t="str">
        <f t="shared" si="120"/>
        <v/>
      </c>
      <c r="BW48" s="5" t="str">
        <f t="shared" si="121"/>
        <v/>
      </c>
      <c r="BX48" s="8" t="str">
        <f t="shared" si="122"/>
        <v/>
      </c>
      <c r="BY48" s="173" t="str">
        <f t="shared" si="123"/>
        <v/>
      </c>
      <c r="BZ48" s="5" t="str">
        <f t="shared" si="124"/>
        <v/>
      </c>
      <c r="CA48" s="6" t="str">
        <f t="shared" si="125"/>
        <v/>
      </c>
      <c r="CB48" s="4" t="str">
        <f t="shared" si="293"/>
        <v/>
      </c>
      <c r="CC48" s="5" t="str">
        <f t="shared" si="294"/>
        <v/>
      </c>
      <c r="CD48" s="5" t="str">
        <f t="shared" si="295"/>
        <v/>
      </c>
      <c r="CE48" s="6" t="str">
        <f t="shared" si="296"/>
        <v/>
      </c>
      <c r="CF48" s="4" t="str">
        <f t="shared" si="297"/>
        <v/>
      </c>
      <c r="CG48" s="5" t="str">
        <f t="shared" si="298"/>
        <v/>
      </c>
      <c r="CH48" s="5" t="str">
        <f t="shared" si="299"/>
        <v/>
      </c>
      <c r="CI48" s="4" t="str">
        <f t="shared" si="126"/>
        <v/>
      </c>
      <c r="CJ48" s="5" t="str">
        <f t="shared" si="300"/>
        <v/>
      </c>
      <c r="CK48" s="8" t="str">
        <f t="shared" si="301"/>
        <v/>
      </c>
      <c r="CL48" s="173" t="str">
        <f t="shared" si="302"/>
        <v/>
      </c>
      <c r="CM48" s="5" t="str">
        <f t="shared" si="303"/>
        <v/>
      </c>
      <c r="CN48" s="6" t="str">
        <f t="shared" si="304"/>
        <v/>
      </c>
      <c r="CO48" s="167" t="str">
        <f t="shared" si="305"/>
        <v/>
      </c>
      <c r="CP48" s="4" t="str">
        <f t="shared" si="306"/>
        <v/>
      </c>
      <c r="CQ48" s="5" t="str">
        <f t="shared" si="307"/>
        <v/>
      </c>
      <c r="CR48" s="5" t="str">
        <f t="shared" si="308"/>
        <v/>
      </c>
      <c r="CS48" s="8" t="str">
        <f t="shared" si="309"/>
        <v/>
      </c>
      <c r="CT48" s="9" t="str">
        <f t="shared" si="160"/>
        <v/>
      </c>
      <c r="CU48" s="6" t="str">
        <f t="shared" si="310"/>
        <v/>
      </c>
      <c r="CV48" s="4" t="str">
        <f t="shared" si="311"/>
        <v/>
      </c>
      <c r="CW48" s="5" t="str">
        <f t="shared" si="312"/>
        <v/>
      </c>
      <c r="CX48" s="8" t="str">
        <f t="shared" si="313"/>
        <v/>
      </c>
      <c r="CY48" s="9" t="str">
        <f t="shared" si="314"/>
        <v/>
      </c>
      <c r="CZ48" s="5" t="str">
        <f t="shared" si="315"/>
        <v/>
      </c>
      <c r="DA48" s="6" t="str">
        <f t="shared" si="316"/>
        <v/>
      </c>
      <c r="DB48" s="4" t="str">
        <f t="shared" si="462"/>
        <v/>
      </c>
      <c r="DC48" s="5" t="str">
        <f t="shared" si="462"/>
        <v/>
      </c>
      <c r="DD48" s="10" t="str">
        <f t="shared" si="168"/>
        <v/>
      </c>
      <c r="DE48" s="9" t="str">
        <f t="shared" si="463"/>
        <v/>
      </c>
      <c r="DF48" s="5" t="str">
        <f t="shared" si="463"/>
        <v/>
      </c>
      <c r="DG48" s="10" t="str">
        <f t="shared" si="170"/>
        <v/>
      </c>
      <c r="DH48" s="70" t="str">
        <f t="shared" si="317"/>
        <v/>
      </c>
      <c r="DI48" s="4" t="str">
        <f t="shared" si="318"/>
        <v/>
      </c>
      <c r="DJ48" s="5" t="str">
        <f t="shared" si="319"/>
        <v/>
      </c>
      <c r="DK48" s="10" t="str">
        <f t="shared" si="320"/>
        <v/>
      </c>
      <c r="DL48" s="9" t="str">
        <f t="shared" si="321"/>
        <v/>
      </c>
      <c r="DM48" s="173" t="str">
        <f t="shared" si="322"/>
        <v/>
      </c>
      <c r="DN48" s="178" t="str">
        <f t="shared" si="323"/>
        <v/>
      </c>
      <c r="DO48" s="9" t="str">
        <f t="shared" si="324"/>
        <v/>
      </c>
      <c r="DP48" s="173" t="str">
        <f t="shared" si="325"/>
        <v/>
      </c>
      <c r="DQ48" s="11" t="str">
        <f t="shared" si="326"/>
        <v/>
      </c>
      <c r="DR48" s="173" t="str">
        <f t="shared" si="327"/>
        <v/>
      </c>
      <c r="DS48" s="5" t="str">
        <f t="shared" si="328"/>
        <v/>
      </c>
      <c r="DT48" s="5" t="str">
        <f t="shared" si="329"/>
        <v/>
      </c>
      <c r="DU48" s="5" t="str">
        <f t="shared" si="330"/>
        <v/>
      </c>
      <c r="DV48" s="5" t="str">
        <f t="shared" si="331"/>
        <v/>
      </c>
      <c r="DW48" s="5" t="str">
        <f t="shared" si="332"/>
        <v/>
      </c>
      <c r="DX48" s="167" t="str">
        <f t="shared" si="333"/>
        <v/>
      </c>
      <c r="DY48" s="9" t="str">
        <f t="shared" si="334"/>
        <v/>
      </c>
      <c r="DZ48" s="5" t="str">
        <f t="shared" si="335"/>
        <v/>
      </c>
      <c r="EA48" s="10" t="str">
        <f t="shared" si="336"/>
        <v/>
      </c>
      <c r="EB48" s="6" t="str">
        <f t="shared" si="337"/>
        <v/>
      </c>
      <c r="EC48" s="173" t="str">
        <f t="shared" si="338"/>
        <v/>
      </c>
      <c r="ED48" s="5" t="str">
        <f t="shared" si="339"/>
        <v/>
      </c>
      <c r="EE48" s="4" t="str">
        <f t="shared" si="340"/>
        <v/>
      </c>
      <c r="EF48" s="5" t="str">
        <f t="shared" si="341"/>
        <v/>
      </c>
      <c r="EG48" s="10" t="str">
        <f t="shared" si="342"/>
        <v/>
      </c>
      <c r="EH48" s="9" t="str">
        <f t="shared" si="343"/>
        <v/>
      </c>
      <c r="EI48" s="5" t="str">
        <f t="shared" si="344"/>
        <v/>
      </c>
      <c r="EJ48" s="6" t="str">
        <f t="shared" si="345"/>
        <v/>
      </c>
      <c r="EK48" s="236" t="str">
        <f t="shared" si="200"/>
        <v/>
      </c>
      <c r="EL48" s="238" t="str">
        <f t="shared" si="201"/>
        <v/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str">
        <f t="shared" si="349"/>
        <v/>
      </c>
      <c r="EQ48" s="5" t="str">
        <f t="shared" si="350"/>
        <v/>
      </c>
      <c r="ER48" s="7" t="str">
        <f t="shared" si="351"/>
        <v/>
      </c>
      <c r="ES48" s="21" t="str">
        <f t="shared" si="352"/>
        <v/>
      </c>
      <c r="ET48" s="5" t="str">
        <f t="shared" si="353"/>
        <v/>
      </c>
      <c r="EU48" s="10" t="str">
        <f t="shared" si="354"/>
        <v/>
      </c>
      <c r="EV48" s="174" t="str">
        <f t="shared" si="355"/>
        <v/>
      </c>
      <c r="EW48" s="9" t="str">
        <f t="shared" si="356"/>
        <v/>
      </c>
      <c r="EX48" s="5" t="str">
        <f t="shared" si="357"/>
        <v/>
      </c>
      <c r="EY48" s="6" t="str">
        <f t="shared" si="358"/>
        <v/>
      </c>
      <c r="EZ48" s="51" t="str">
        <f t="shared" si="209"/>
        <v/>
      </c>
      <c r="FA48" s="266" t="str">
        <f t="shared" si="134"/>
        <v/>
      </c>
      <c r="FB48" s="267" t="str">
        <f t="shared" si="135"/>
        <v/>
      </c>
      <c r="FC48" s="269" t="str">
        <f t="shared" si="48"/>
        <v/>
      </c>
      <c r="FD48" s="4" t="str">
        <f t="shared" si="359"/>
        <v/>
      </c>
      <c r="FE48" s="5" t="str">
        <f t="shared" si="360"/>
        <v/>
      </c>
      <c r="FF48" s="7" t="str">
        <f t="shared" si="361"/>
        <v/>
      </c>
      <c r="FG48" s="173" t="str">
        <f t="shared" si="362"/>
        <v/>
      </c>
      <c r="FH48" s="5" t="str">
        <f t="shared" si="363"/>
        <v/>
      </c>
      <c r="FI48" s="10" t="str">
        <f t="shared" si="364"/>
        <v/>
      </c>
      <c r="FJ48" s="279" t="str">
        <f t="shared" si="365"/>
        <v/>
      </c>
      <c r="FK48" s="4" t="str">
        <f t="shared" si="366"/>
        <v/>
      </c>
      <c r="FL48" s="5" t="str">
        <f t="shared" si="367"/>
        <v/>
      </c>
      <c r="FM48" s="8" t="str">
        <f t="shared" si="368"/>
        <v/>
      </c>
      <c r="FN48" s="9" t="str">
        <f t="shared" si="369"/>
        <v/>
      </c>
      <c r="FO48" s="10" t="str">
        <f t="shared" si="370"/>
        <v/>
      </c>
      <c r="FP48" s="277" t="str">
        <f t="shared" si="371"/>
        <v/>
      </c>
      <c r="FQ48" s="173" t="str">
        <f t="shared" si="372"/>
        <v/>
      </c>
      <c r="FR48" s="10" t="str">
        <f t="shared" si="373"/>
        <v/>
      </c>
      <c r="FS48" s="9" t="str">
        <f t="shared" si="374"/>
        <v/>
      </c>
      <c r="FT48" s="6" t="str">
        <f t="shared" si="375"/>
        <v/>
      </c>
      <c r="FU48" s="4" t="str">
        <f t="shared" si="376"/>
        <v/>
      </c>
      <c r="FV48" s="5" t="str">
        <f t="shared" si="377"/>
        <v/>
      </c>
      <c r="FW48" s="8" t="str">
        <f t="shared" si="378"/>
        <v/>
      </c>
      <c r="FX48" s="9" t="str">
        <f t="shared" si="379"/>
        <v/>
      </c>
      <c r="FY48" s="10" t="str">
        <f t="shared" si="380"/>
        <v/>
      </c>
      <c r="FZ48" s="277" t="str">
        <f t="shared" si="381"/>
        <v/>
      </c>
      <c r="GA48" s="177" t="str">
        <f t="shared" si="382"/>
        <v/>
      </c>
      <c r="GB48" s="4" t="str">
        <f t="shared" si="383"/>
        <v/>
      </c>
      <c r="GC48" s="5" t="str">
        <f t="shared" si="384"/>
        <v/>
      </c>
      <c r="GD48" s="10" t="str">
        <f t="shared" si="385"/>
        <v/>
      </c>
      <c r="GE48" s="311" t="str">
        <f t="shared" si="386"/>
        <v/>
      </c>
      <c r="GF48" s="341" t="str">
        <f t="shared" si="387"/>
        <v/>
      </c>
      <c r="GG48" s="285" t="str">
        <f t="shared" si="388"/>
        <v/>
      </c>
      <c r="GH48" s="286" t="str">
        <f t="shared" si="389"/>
        <v/>
      </c>
      <c r="GI48" s="281" t="str">
        <f t="shared" si="390"/>
        <v/>
      </c>
      <c r="GJ48" s="167" t="str">
        <f t="shared" si="391"/>
        <v/>
      </c>
      <c r="GK48" s="174" t="str">
        <f t="shared" si="59"/>
        <v/>
      </c>
      <c r="GL48" s="174" t="str">
        <f t="shared" si="392"/>
        <v/>
      </c>
      <c r="GM48" s="177" t="str">
        <f t="shared" si="393"/>
        <v/>
      </c>
      <c r="GN48" s="280" t="str">
        <f t="shared" si="394"/>
        <v/>
      </c>
      <c r="GO48" s="4" t="str">
        <f t="shared" si="395"/>
        <v/>
      </c>
      <c r="GP48" s="8" t="str">
        <f t="shared" si="396"/>
        <v/>
      </c>
      <c r="GQ48" s="177" t="str">
        <f t="shared" si="397"/>
        <v/>
      </c>
      <c r="GR48" s="371" t="str">
        <f t="shared" si="398"/>
        <v/>
      </c>
      <c r="GS48" s="342" t="str">
        <f t="shared" si="399"/>
        <v/>
      </c>
      <c r="GT48" s="343" t="str">
        <f t="shared" si="400"/>
        <v/>
      </c>
      <c r="GU48" s="344" t="str">
        <f t="shared" si="63"/>
        <v/>
      </c>
      <c r="GV48" s="343" t="str">
        <f t="shared" si="401"/>
        <v/>
      </c>
      <c r="GW48" s="345" t="str">
        <f t="shared" si="64"/>
        <v/>
      </c>
      <c r="GX48" s="346" t="str">
        <f t="shared" si="65"/>
        <v/>
      </c>
      <c r="GY48" s="344" t="str">
        <f t="shared" si="402"/>
        <v/>
      </c>
      <c r="GZ48" s="345" t="str">
        <f t="shared" si="403"/>
        <v/>
      </c>
      <c r="HA48" s="342" t="str">
        <f t="shared" si="68"/>
        <v/>
      </c>
      <c r="HB48" s="5" t="str">
        <f t="shared" si="231"/>
        <v/>
      </c>
      <c r="HC48" s="343" t="str">
        <f t="shared" si="404"/>
        <v/>
      </c>
      <c r="HD48" s="345" t="str">
        <f t="shared" si="405"/>
        <v/>
      </c>
      <c r="HE48" s="344" t="str">
        <f t="shared" si="69"/>
        <v/>
      </c>
      <c r="HF48" s="5" t="str">
        <f t="shared" si="70"/>
        <v/>
      </c>
      <c r="HG48" s="343" t="str">
        <f t="shared" si="406"/>
        <v/>
      </c>
      <c r="HH48" s="349" t="str">
        <f t="shared" si="407"/>
        <v/>
      </c>
      <c r="HI48" s="317" t="str">
        <f t="shared" si="408"/>
        <v/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 t="str">
        <f t="shared" si="236"/>
        <v/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 t="str">
        <f t="shared" si="426"/>
        <v/>
      </c>
      <c r="IM48" s="482" t="str">
        <f t="shared" si="237"/>
        <v/>
      </c>
      <c r="IN48" s="670" t="str">
        <f t="shared" si="427"/>
        <v/>
      </c>
      <c r="IO48" s="702"/>
      <c r="IP48" s="5" t="str">
        <f t="shared" si="428"/>
        <v/>
      </c>
      <c r="IQ48" s="714"/>
      <c r="IR48" s="9" t="str">
        <f t="shared" si="429"/>
        <v/>
      </c>
      <c r="IS48" s="5" t="str">
        <f t="shared" si="430"/>
        <v/>
      </c>
      <c r="IT48" s="5" t="str">
        <f t="shared" si="431"/>
        <v/>
      </c>
      <c r="IU48" s="5" t="str">
        <f t="shared" si="432"/>
        <v/>
      </c>
      <c r="IV48" s="670" t="str">
        <f t="shared" si="433"/>
        <v/>
      </c>
      <c r="IW48" s="9" t="str">
        <f t="shared" si="434"/>
        <v/>
      </c>
      <c r="IX48" s="5" t="str">
        <f t="shared" si="435"/>
        <v/>
      </c>
      <c r="IY48" s="5" t="str">
        <f t="shared" si="436"/>
        <v/>
      </c>
      <c r="IZ48" s="5" t="str">
        <f t="shared" si="437"/>
        <v/>
      </c>
      <c r="JA48" s="705" t="str">
        <f t="shared" si="438"/>
        <v/>
      </c>
    </row>
    <row r="49" spans="1:261" ht="15" customHeight="1" x14ac:dyDescent="0.25">
      <c r="A49" s="75" t="str">
        <f t="shared" si="256"/>
        <v/>
      </c>
      <c r="B49" s="578" t="str">
        <f t="shared" si="257"/>
        <v/>
      </c>
      <c r="C49" s="572" t="str">
        <f t="shared" si="258"/>
        <v/>
      </c>
      <c r="D49" s="576" t="str">
        <f t="shared" si="259"/>
        <v/>
      </c>
      <c r="E49" s="580" t="str">
        <f t="shared" si="260"/>
        <v/>
      </c>
      <c r="F49" s="572" t="str">
        <f t="shared" si="261"/>
        <v/>
      </c>
      <c r="G49" s="579" t="str">
        <f t="shared" si="262"/>
        <v/>
      </c>
      <c r="H49" s="580" t="str">
        <f t="shared" si="263"/>
        <v/>
      </c>
      <c r="I49" s="572" t="str">
        <f t="shared" si="264"/>
        <v/>
      </c>
      <c r="J49" s="483" t="str">
        <f t="shared" si="265"/>
        <v/>
      </c>
      <c r="K49" s="806" t="str">
        <f t="shared" si="266"/>
        <v/>
      </c>
      <c r="L49" s="309"/>
      <c r="M49" s="164" t="str">
        <f t="shared" si="267"/>
        <v/>
      </c>
      <c r="N49" s="575" t="str">
        <f t="shared" si="268"/>
        <v/>
      </c>
      <c r="O49" s="572" t="str">
        <f t="shared" si="269"/>
        <v/>
      </c>
      <c r="P49" s="576" t="str">
        <f t="shared" si="270"/>
        <v/>
      </c>
      <c r="Q49" s="528" t="str">
        <f t="shared" si="140"/>
        <v/>
      </c>
      <c r="R49" s="572" t="str">
        <f t="shared" si="101"/>
        <v/>
      </c>
      <c r="S49" s="577" t="str">
        <f t="shared" si="102"/>
        <v/>
      </c>
      <c r="T49" s="578" t="str">
        <f t="shared" si="103"/>
        <v/>
      </c>
      <c r="U49" s="572" t="str">
        <f t="shared" si="104"/>
        <v/>
      </c>
      <c r="V49" s="579" t="str">
        <f t="shared" si="141"/>
        <v/>
      </c>
      <c r="W49" s="528" t="str">
        <f t="shared" si="253"/>
        <v/>
      </c>
      <c r="X49" s="572" t="str">
        <f t="shared" si="105"/>
        <v/>
      </c>
      <c r="Y49" s="573" t="str">
        <f t="shared" si="255"/>
        <v/>
      </c>
      <c r="Z49" s="575" t="str">
        <f t="shared" si="271"/>
        <v/>
      </c>
      <c r="AA49" s="572" t="str">
        <f t="shared" si="272"/>
        <v/>
      </c>
      <c r="AB49" s="572" t="str">
        <f t="shared" si="273"/>
        <v/>
      </c>
      <c r="AC49" s="579" t="str">
        <f t="shared" si="106"/>
        <v/>
      </c>
      <c r="AD49" s="580" t="str">
        <f t="shared" si="142"/>
        <v/>
      </c>
      <c r="AE49" s="572" t="str">
        <f t="shared" si="107"/>
        <v/>
      </c>
      <c r="AF49" s="576" t="str">
        <f t="shared" si="108"/>
        <v/>
      </c>
      <c r="AG49" s="545" t="str">
        <f t="shared" si="109"/>
        <v/>
      </c>
      <c r="AH49" s="546" t="str">
        <f t="shared" si="110"/>
        <v/>
      </c>
      <c r="AI49" s="528" t="str">
        <f t="shared" si="111"/>
        <v/>
      </c>
      <c r="AJ49" s="529" t="str">
        <f t="shared" si="112"/>
        <v/>
      </c>
      <c r="AK49" s="578" t="str">
        <f t="shared" si="238"/>
        <v/>
      </c>
      <c r="AL49" s="572" t="str">
        <f t="shared" si="113"/>
        <v/>
      </c>
      <c r="AM49" s="577" t="str">
        <f t="shared" si="114"/>
        <v/>
      </c>
      <c r="AN49" s="524" t="str">
        <f t="shared" si="115"/>
        <v/>
      </c>
      <c r="AO49" s="525" t="str">
        <f t="shared" si="116"/>
        <v/>
      </c>
      <c r="AP49" s="528" t="str">
        <f t="shared" si="117"/>
        <v/>
      </c>
      <c r="AQ49" s="529" t="str">
        <f t="shared" si="274"/>
        <v/>
      </c>
      <c r="AS49" s="932" t="str">
        <f t="shared" si="461"/>
        <v/>
      </c>
      <c r="AT49" s="928" t="str">
        <f t="shared" si="275"/>
        <v/>
      </c>
      <c r="AU49" s="418"/>
      <c r="AV49" s="164" t="str">
        <f t="shared" si="276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7"/>
        <v/>
      </c>
      <c r="BA49" s="296" t="str">
        <f t="shared" si="278"/>
        <v/>
      </c>
      <c r="BB49" s="190" t="str">
        <f t="shared" si="145"/>
        <v/>
      </c>
      <c r="BC49" s="9"/>
      <c r="BD49" s="5" t="str">
        <f t="shared" si="279"/>
        <v/>
      </c>
      <c r="BE49" s="6" t="str">
        <f t="shared" si="280"/>
        <v/>
      </c>
      <c r="BF49" s="4" t="str">
        <f t="shared" si="281"/>
        <v/>
      </c>
      <c r="BG49" s="5" t="str">
        <f t="shared" si="282"/>
        <v/>
      </c>
      <c r="BH49" s="10" t="str">
        <f t="shared" si="283"/>
        <v/>
      </c>
      <c r="BI49" s="9" t="str">
        <f t="shared" si="284"/>
        <v/>
      </c>
      <c r="BJ49" s="5" t="str">
        <f t="shared" si="285"/>
        <v/>
      </c>
      <c r="BK49" s="8" t="str">
        <f t="shared" si="286"/>
        <v/>
      </c>
      <c r="BL49" s="173" t="str">
        <f t="shared" si="287"/>
        <v/>
      </c>
      <c r="BM49" s="5" t="str">
        <f t="shared" si="288"/>
        <v/>
      </c>
      <c r="BN49" s="6" t="str">
        <f t="shared" si="289"/>
        <v/>
      </c>
      <c r="BO49" s="4" t="str">
        <f t="shared" si="290"/>
        <v/>
      </c>
      <c r="BP49" s="5" t="str">
        <f t="shared" si="239"/>
        <v/>
      </c>
      <c r="BQ49" s="5" t="str">
        <f t="shared" si="291"/>
        <v/>
      </c>
      <c r="BR49" s="6" t="str">
        <f t="shared" si="292"/>
        <v/>
      </c>
      <c r="BS49" s="4" t="str">
        <f t="shared" si="458"/>
        <v/>
      </c>
      <c r="BT49" s="5" t="str">
        <f t="shared" si="458"/>
        <v/>
      </c>
      <c r="BU49" s="10" t="str">
        <f t="shared" si="119"/>
        <v/>
      </c>
      <c r="BV49" s="9" t="str">
        <f t="shared" si="120"/>
        <v/>
      </c>
      <c r="BW49" s="5" t="str">
        <f t="shared" si="121"/>
        <v/>
      </c>
      <c r="BX49" s="8" t="str">
        <f t="shared" si="122"/>
        <v/>
      </c>
      <c r="BY49" s="173" t="str">
        <f t="shared" si="123"/>
        <v/>
      </c>
      <c r="BZ49" s="5" t="str">
        <f t="shared" si="124"/>
        <v/>
      </c>
      <c r="CA49" s="6" t="str">
        <f t="shared" si="125"/>
        <v/>
      </c>
      <c r="CB49" s="4" t="str">
        <f t="shared" si="293"/>
        <v/>
      </c>
      <c r="CC49" s="5" t="str">
        <f t="shared" si="294"/>
        <v/>
      </c>
      <c r="CD49" s="5" t="str">
        <f t="shared" si="295"/>
        <v/>
      </c>
      <c r="CE49" s="6" t="str">
        <f t="shared" si="296"/>
        <v/>
      </c>
      <c r="CF49" s="4" t="str">
        <f t="shared" si="297"/>
        <v/>
      </c>
      <c r="CG49" s="5" t="str">
        <f t="shared" si="298"/>
        <v/>
      </c>
      <c r="CH49" s="5" t="str">
        <f t="shared" si="299"/>
        <v/>
      </c>
      <c r="CI49" s="4" t="str">
        <f t="shared" si="126"/>
        <v/>
      </c>
      <c r="CJ49" s="5" t="str">
        <f t="shared" si="300"/>
        <v/>
      </c>
      <c r="CK49" s="8" t="str">
        <f t="shared" si="301"/>
        <v/>
      </c>
      <c r="CL49" s="173" t="str">
        <f t="shared" si="302"/>
        <v/>
      </c>
      <c r="CM49" s="5" t="str">
        <f t="shared" si="303"/>
        <v/>
      </c>
      <c r="CN49" s="6" t="str">
        <f t="shared" si="304"/>
        <v/>
      </c>
      <c r="CO49" s="167" t="str">
        <f t="shared" si="305"/>
        <v/>
      </c>
      <c r="CP49" s="4" t="str">
        <f t="shared" si="306"/>
        <v/>
      </c>
      <c r="CQ49" s="5" t="str">
        <f t="shared" si="307"/>
        <v/>
      </c>
      <c r="CR49" s="5" t="str">
        <f t="shared" si="308"/>
        <v/>
      </c>
      <c r="CS49" s="8" t="str">
        <f t="shared" si="309"/>
        <v/>
      </c>
      <c r="CT49" s="9" t="str">
        <f t="shared" si="160"/>
        <v/>
      </c>
      <c r="CU49" s="6" t="str">
        <f t="shared" si="310"/>
        <v/>
      </c>
      <c r="CV49" s="4" t="str">
        <f t="shared" si="311"/>
        <v/>
      </c>
      <c r="CW49" s="5" t="str">
        <f t="shared" si="312"/>
        <v/>
      </c>
      <c r="CX49" s="8" t="str">
        <f t="shared" si="313"/>
        <v/>
      </c>
      <c r="CY49" s="9" t="str">
        <f t="shared" si="314"/>
        <v/>
      </c>
      <c r="CZ49" s="5" t="str">
        <f t="shared" si="315"/>
        <v/>
      </c>
      <c r="DA49" s="6" t="str">
        <f t="shared" si="316"/>
        <v/>
      </c>
      <c r="DB49" s="4" t="str">
        <f t="shared" si="462"/>
        <v/>
      </c>
      <c r="DC49" s="5" t="str">
        <f t="shared" si="462"/>
        <v/>
      </c>
      <c r="DD49" s="10" t="str">
        <f t="shared" si="168"/>
        <v/>
      </c>
      <c r="DE49" s="9" t="str">
        <f t="shared" si="463"/>
        <v/>
      </c>
      <c r="DF49" s="5" t="str">
        <f t="shared" si="463"/>
        <v/>
      </c>
      <c r="DG49" s="10" t="str">
        <f t="shared" si="170"/>
        <v/>
      </c>
      <c r="DH49" s="70" t="str">
        <f t="shared" si="317"/>
        <v/>
      </c>
      <c r="DI49" s="4" t="str">
        <f t="shared" si="318"/>
        <v/>
      </c>
      <c r="DJ49" s="5" t="str">
        <f t="shared" si="319"/>
        <v/>
      </c>
      <c r="DK49" s="10" t="str">
        <f t="shared" si="320"/>
        <v/>
      </c>
      <c r="DL49" s="9" t="str">
        <f t="shared" si="321"/>
        <v/>
      </c>
      <c r="DM49" s="173" t="str">
        <f t="shared" si="322"/>
        <v/>
      </c>
      <c r="DN49" s="178" t="str">
        <f t="shared" si="323"/>
        <v/>
      </c>
      <c r="DO49" s="9" t="str">
        <f t="shared" si="324"/>
        <v/>
      </c>
      <c r="DP49" s="173" t="str">
        <f t="shared" si="325"/>
        <v/>
      </c>
      <c r="DQ49" s="11" t="str">
        <f t="shared" si="326"/>
        <v/>
      </c>
      <c r="DR49" s="173" t="str">
        <f t="shared" si="327"/>
        <v/>
      </c>
      <c r="DS49" s="5" t="str">
        <f t="shared" si="328"/>
        <v/>
      </c>
      <c r="DT49" s="5" t="str">
        <f t="shared" si="329"/>
        <v/>
      </c>
      <c r="DU49" s="5" t="str">
        <f t="shared" si="330"/>
        <v/>
      </c>
      <c r="DV49" s="5" t="str">
        <f t="shared" si="331"/>
        <v/>
      </c>
      <c r="DW49" s="5" t="str">
        <f t="shared" si="332"/>
        <v/>
      </c>
      <c r="DX49" s="167" t="str">
        <f t="shared" si="333"/>
        <v/>
      </c>
      <c r="DY49" s="9" t="str">
        <f t="shared" si="334"/>
        <v/>
      </c>
      <c r="DZ49" s="5" t="str">
        <f t="shared" si="335"/>
        <v/>
      </c>
      <c r="EA49" s="10" t="str">
        <f t="shared" si="336"/>
        <v/>
      </c>
      <c r="EB49" s="6" t="str">
        <f t="shared" si="337"/>
        <v/>
      </c>
      <c r="EC49" s="173" t="str">
        <f t="shared" si="338"/>
        <v/>
      </c>
      <c r="ED49" s="5" t="str">
        <f t="shared" si="339"/>
        <v/>
      </c>
      <c r="EE49" s="4" t="str">
        <f t="shared" si="340"/>
        <v/>
      </c>
      <c r="EF49" s="5" t="str">
        <f t="shared" si="341"/>
        <v/>
      </c>
      <c r="EG49" s="10" t="str">
        <f t="shared" si="342"/>
        <v/>
      </c>
      <c r="EH49" s="9" t="str">
        <f t="shared" si="343"/>
        <v/>
      </c>
      <c r="EI49" s="5" t="str">
        <f t="shared" si="344"/>
        <v/>
      </c>
      <c r="EJ49" s="6" t="str">
        <f t="shared" si="345"/>
        <v/>
      </c>
      <c r="EK49" s="236" t="str">
        <f t="shared" si="200"/>
        <v/>
      </c>
      <c r="EL49" s="238" t="str">
        <f t="shared" si="201"/>
        <v/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str">
        <f t="shared" si="349"/>
        <v/>
      </c>
      <c r="EQ49" s="5" t="str">
        <f t="shared" si="350"/>
        <v/>
      </c>
      <c r="ER49" s="7" t="str">
        <f t="shared" si="351"/>
        <v/>
      </c>
      <c r="ES49" s="21" t="str">
        <f t="shared" si="352"/>
        <v/>
      </c>
      <c r="ET49" s="5" t="str">
        <f t="shared" si="353"/>
        <v/>
      </c>
      <c r="EU49" s="10" t="str">
        <f t="shared" si="354"/>
        <v/>
      </c>
      <c r="EV49" s="174" t="str">
        <f t="shared" si="355"/>
        <v/>
      </c>
      <c r="EW49" s="9" t="str">
        <f t="shared" si="356"/>
        <v/>
      </c>
      <c r="EX49" s="5" t="str">
        <f t="shared" si="357"/>
        <v/>
      </c>
      <c r="EY49" s="6" t="str">
        <f t="shared" si="358"/>
        <v/>
      </c>
      <c r="EZ49" s="51" t="str">
        <f t="shared" si="209"/>
        <v/>
      </c>
      <c r="FA49" s="266" t="str">
        <f t="shared" si="134"/>
        <v/>
      </c>
      <c r="FB49" s="267" t="str">
        <f t="shared" si="135"/>
        <v/>
      </c>
      <c r="FC49" s="269" t="str">
        <f t="shared" si="48"/>
        <v/>
      </c>
      <c r="FD49" s="4" t="str">
        <f t="shared" si="359"/>
        <v/>
      </c>
      <c r="FE49" s="5" t="str">
        <f t="shared" si="360"/>
        <v/>
      </c>
      <c r="FF49" s="7" t="str">
        <f t="shared" si="361"/>
        <v/>
      </c>
      <c r="FG49" s="173" t="str">
        <f t="shared" si="362"/>
        <v/>
      </c>
      <c r="FH49" s="5" t="str">
        <f t="shared" si="363"/>
        <v/>
      </c>
      <c r="FI49" s="10" t="str">
        <f t="shared" si="364"/>
        <v/>
      </c>
      <c r="FJ49" s="279" t="str">
        <f t="shared" si="365"/>
        <v/>
      </c>
      <c r="FK49" s="4" t="str">
        <f t="shared" si="366"/>
        <v/>
      </c>
      <c r="FL49" s="5" t="str">
        <f t="shared" si="367"/>
        <v/>
      </c>
      <c r="FM49" s="8" t="str">
        <f t="shared" si="368"/>
        <v/>
      </c>
      <c r="FN49" s="9" t="str">
        <f t="shared" si="369"/>
        <v/>
      </c>
      <c r="FO49" s="10" t="str">
        <f t="shared" si="370"/>
        <v/>
      </c>
      <c r="FP49" s="277" t="str">
        <f t="shared" si="371"/>
        <v/>
      </c>
      <c r="FQ49" s="173" t="str">
        <f t="shared" si="372"/>
        <v/>
      </c>
      <c r="FR49" s="10" t="str">
        <f t="shared" si="373"/>
        <v/>
      </c>
      <c r="FS49" s="9" t="str">
        <f t="shared" si="374"/>
        <v/>
      </c>
      <c r="FT49" s="6" t="str">
        <f t="shared" si="375"/>
        <v/>
      </c>
      <c r="FU49" s="4" t="str">
        <f t="shared" si="376"/>
        <v/>
      </c>
      <c r="FV49" s="5" t="str">
        <f t="shared" si="377"/>
        <v/>
      </c>
      <c r="FW49" s="8" t="str">
        <f t="shared" si="378"/>
        <v/>
      </c>
      <c r="FX49" s="9" t="str">
        <f t="shared" si="379"/>
        <v/>
      </c>
      <c r="FY49" s="10" t="str">
        <f t="shared" si="380"/>
        <v/>
      </c>
      <c r="FZ49" s="277" t="str">
        <f t="shared" si="381"/>
        <v/>
      </c>
      <c r="GA49" s="177" t="str">
        <f t="shared" si="382"/>
        <v/>
      </c>
      <c r="GB49" s="4" t="str">
        <f t="shared" si="383"/>
        <v/>
      </c>
      <c r="GC49" s="5" t="str">
        <f t="shared" si="384"/>
        <v/>
      </c>
      <c r="GD49" s="10" t="str">
        <f t="shared" si="385"/>
        <v/>
      </c>
      <c r="GE49" s="311" t="str">
        <f t="shared" si="386"/>
        <v/>
      </c>
      <c r="GF49" s="341" t="str">
        <f t="shared" si="387"/>
        <v/>
      </c>
      <c r="GG49" s="285" t="str">
        <f t="shared" si="388"/>
        <v/>
      </c>
      <c r="GH49" s="286" t="str">
        <f t="shared" si="389"/>
        <v/>
      </c>
      <c r="GI49" s="281" t="str">
        <f t="shared" si="390"/>
        <v/>
      </c>
      <c r="GJ49" s="167" t="str">
        <f t="shared" si="391"/>
        <v/>
      </c>
      <c r="GK49" s="174" t="str">
        <f t="shared" si="59"/>
        <v/>
      </c>
      <c r="GL49" s="174" t="str">
        <f t="shared" si="392"/>
        <v/>
      </c>
      <c r="GM49" s="177" t="str">
        <f t="shared" si="393"/>
        <v/>
      </c>
      <c r="GN49" s="280" t="str">
        <f t="shared" si="394"/>
        <v/>
      </c>
      <c r="GO49" s="4" t="str">
        <f t="shared" si="395"/>
        <v/>
      </c>
      <c r="GP49" s="8" t="str">
        <f t="shared" si="396"/>
        <v/>
      </c>
      <c r="GQ49" s="177" t="str">
        <f t="shared" si="397"/>
        <v/>
      </c>
      <c r="GR49" s="371" t="str">
        <f t="shared" si="398"/>
        <v/>
      </c>
      <c r="GS49" s="342" t="str">
        <f t="shared" si="399"/>
        <v/>
      </c>
      <c r="GT49" s="343" t="str">
        <f t="shared" si="400"/>
        <v/>
      </c>
      <c r="GU49" s="344" t="str">
        <f t="shared" si="63"/>
        <v/>
      </c>
      <c r="GV49" s="343" t="str">
        <f t="shared" si="401"/>
        <v/>
      </c>
      <c r="GW49" s="345" t="str">
        <f t="shared" si="64"/>
        <v/>
      </c>
      <c r="GX49" s="346" t="str">
        <f t="shared" si="65"/>
        <v/>
      </c>
      <c r="GY49" s="344" t="str">
        <f t="shared" si="402"/>
        <v/>
      </c>
      <c r="GZ49" s="345" t="str">
        <f t="shared" si="403"/>
        <v/>
      </c>
      <c r="HA49" s="342" t="str">
        <f t="shared" si="68"/>
        <v/>
      </c>
      <c r="HB49" s="5" t="str">
        <f t="shared" si="231"/>
        <v/>
      </c>
      <c r="HC49" s="343" t="str">
        <f t="shared" si="404"/>
        <v/>
      </c>
      <c r="HD49" s="345" t="str">
        <f t="shared" si="405"/>
        <v/>
      </c>
      <c r="HE49" s="344" t="str">
        <f t="shared" si="69"/>
        <v/>
      </c>
      <c r="HF49" s="5" t="str">
        <f t="shared" si="70"/>
        <v/>
      </c>
      <c r="HG49" s="343" t="str">
        <f t="shared" si="406"/>
        <v/>
      </c>
      <c r="HH49" s="349" t="str">
        <f t="shared" si="407"/>
        <v/>
      </c>
      <c r="HI49" s="317" t="str">
        <f t="shared" si="408"/>
        <v/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 t="str">
        <f t="shared" si="236"/>
        <v/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 t="str">
        <f t="shared" si="426"/>
        <v/>
      </c>
      <c r="IM49" s="482" t="str">
        <f t="shared" si="237"/>
        <v/>
      </c>
      <c r="IN49" s="670" t="str">
        <f t="shared" si="427"/>
        <v/>
      </c>
      <c r="IO49" s="702"/>
      <c r="IP49" s="5" t="str">
        <f t="shared" si="428"/>
        <v/>
      </c>
      <c r="IQ49" s="714"/>
      <c r="IR49" s="9" t="str">
        <f t="shared" si="429"/>
        <v/>
      </c>
      <c r="IS49" s="5" t="str">
        <f t="shared" si="430"/>
        <v/>
      </c>
      <c r="IT49" s="5" t="str">
        <f t="shared" si="431"/>
        <v/>
      </c>
      <c r="IU49" s="5" t="str">
        <f t="shared" si="432"/>
        <v/>
      </c>
      <c r="IV49" s="670" t="str">
        <f t="shared" si="433"/>
        <v/>
      </c>
      <c r="IW49" s="9" t="str">
        <f t="shared" si="434"/>
        <v/>
      </c>
      <c r="IX49" s="5" t="str">
        <f t="shared" si="435"/>
        <v/>
      </c>
      <c r="IY49" s="5" t="str">
        <f t="shared" si="436"/>
        <v/>
      </c>
      <c r="IZ49" s="5" t="str">
        <f t="shared" si="437"/>
        <v/>
      </c>
      <c r="JA49" s="705" t="str">
        <f t="shared" si="438"/>
        <v/>
      </c>
    </row>
    <row r="50" spans="1:261" ht="15" customHeight="1" x14ac:dyDescent="0.25">
      <c r="A50" s="75" t="str">
        <f t="shared" si="256"/>
        <v/>
      </c>
      <c r="B50" s="578" t="str">
        <f t="shared" si="257"/>
        <v/>
      </c>
      <c r="C50" s="572" t="str">
        <f t="shared" si="258"/>
        <v/>
      </c>
      <c r="D50" s="576" t="str">
        <f t="shared" si="259"/>
        <v/>
      </c>
      <c r="E50" s="580" t="str">
        <f t="shared" si="260"/>
        <v/>
      </c>
      <c r="F50" s="572" t="str">
        <f t="shared" si="261"/>
        <v/>
      </c>
      <c r="G50" s="579" t="str">
        <f t="shared" si="262"/>
        <v/>
      </c>
      <c r="H50" s="580" t="str">
        <f t="shared" si="263"/>
        <v/>
      </c>
      <c r="I50" s="572" t="str">
        <f t="shared" si="264"/>
        <v/>
      </c>
      <c r="J50" s="483" t="str">
        <f t="shared" si="265"/>
        <v/>
      </c>
      <c r="K50" s="806" t="str">
        <f t="shared" si="266"/>
        <v/>
      </c>
      <c r="L50" s="309"/>
      <c r="M50" s="164" t="str">
        <f t="shared" si="267"/>
        <v/>
      </c>
      <c r="N50" s="575" t="str">
        <f t="shared" si="268"/>
        <v/>
      </c>
      <c r="O50" s="572" t="str">
        <f t="shared" si="269"/>
        <v/>
      </c>
      <c r="P50" s="576" t="str">
        <f t="shared" si="270"/>
        <v/>
      </c>
      <c r="Q50" s="528" t="str">
        <f t="shared" si="140"/>
        <v/>
      </c>
      <c r="R50" s="572" t="str">
        <f t="shared" si="101"/>
        <v/>
      </c>
      <c r="S50" s="577" t="str">
        <f t="shared" si="102"/>
        <v/>
      </c>
      <c r="T50" s="578" t="str">
        <f t="shared" si="103"/>
        <v/>
      </c>
      <c r="U50" s="572" t="str">
        <f t="shared" si="104"/>
        <v/>
      </c>
      <c r="V50" s="579" t="str">
        <f t="shared" si="141"/>
        <v/>
      </c>
      <c r="W50" s="528" t="str">
        <f t="shared" si="253"/>
        <v/>
      </c>
      <c r="X50" s="572" t="str">
        <f t="shared" si="105"/>
        <v/>
      </c>
      <c r="Y50" s="573" t="str">
        <f t="shared" si="255"/>
        <v/>
      </c>
      <c r="Z50" s="575" t="str">
        <f t="shared" si="271"/>
        <v/>
      </c>
      <c r="AA50" s="572" t="str">
        <f t="shared" si="272"/>
        <v/>
      </c>
      <c r="AB50" s="572" t="str">
        <f t="shared" si="273"/>
        <v/>
      </c>
      <c r="AC50" s="579" t="str">
        <f t="shared" si="106"/>
        <v/>
      </c>
      <c r="AD50" s="580" t="str">
        <f t="shared" si="142"/>
        <v/>
      </c>
      <c r="AE50" s="572" t="str">
        <f t="shared" si="107"/>
        <v/>
      </c>
      <c r="AF50" s="576" t="str">
        <f t="shared" si="108"/>
        <v/>
      </c>
      <c r="AG50" s="545" t="str">
        <f t="shared" si="109"/>
        <v/>
      </c>
      <c r="AH50" s="546" t="str">
        <f t="shared" si="110"/>
        <v/>
      </c>
      <c r="AI50" s="528" t="str">
        <f t="shared" si="111"/>
        <v/>
      </c>
      <c r="AJ50" s="529" t="str">
        <f t="shared" si="112"/>
        <v/>
      </c>
      <c r="AK50" s="578" t="str">
        <f t="shared" si="238"/>
        <v/>
      </c>
      <c r="AL50" s="572" t="str">
        <f t="shared" si="113"/>
        <v/>
      </c>
      <c r="AM50" s="577" t="str">
        <f t="shared" si="114"/>
        <v/>
      </c>
      <c r="AN50" s="524" t="str">
        <f t="shared" si="115"/>
        <v/>
      </c>
      <c r="AO50" s="525" t="str">
        <f t="shared" si="116"/>
        <v/>
      </c>
      <c r="AP50" s="528" t="str">
        <f t="shared" si="117"/>
        <v/>
      </c>
      <c r="AQ50" s="529" t="str">
        <f t="shared" si="274"/>
        <v/>
      </c>
      <c r="AS50" s="932" t="str">
        <f t="shared" si="461"/>
        <v/>
      </c>
      <c r="AT50" s="928" t="str">
        <f t="shared" si="275"/>
        <v/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 t="str">
        <f t="shared" si="236"/>
        <v/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 t="str">
        <f t="shared" si="426"/>
        <v/>
      </c>
      <c r="IM50" s="482" t="str">
        <f t="shared" si="237"/>
        <v/>
      </c>
      <c r="IN50" s="670" t="str">
        <f t="shared" si="427"/>
        <v/>
      </c>
      <c r="IO50" s="702"/>
      <c r="IP50" s="5" t="str">
        <f t="shared" si="428"/>
        <v/>
      </c>
      <c r="IQ50" s="714"/>
      <c r="IR50" s="9" t="str">
        <f t="shared" si="429"/>
        <v/>
      </c>
      <c r="IS50" s="5" t="str">
        <f t="shared" si="430"/>
        <v/>
      </c>
      <c r="IT50" s="5" t="str">
        <f t="shared" si="431"/>
        <v/>
      </c>
      <c r="IU50" s="5" t="str">
        <f t="shared" si="432"/>
        <v/>
      </c>
      <c r="IV50" s="670" t="str">
        <f t="shared" si="433"/>
        <v/>
      </c>
      <c r="IW50" s="9" t="str">
        <f t="shared" si="434"/>
        <v/>
      </c>
      <c r="IX50" s="5" t="str">
        <f t="shared" si="435"/>
        <v/>
      </c>
      <c r="IY50" s="5" t="str">
        <f t="shared" si="436"/>
        <v/>
      </c>
      <c r="IZ50" s="5" t="str">
        <f t="shared" si="437"/>
        <v/>
      </c>
      <c r="JA50" s="705" t="str">
        <f t="shared" si="438"/>
        <v/>
      </c>
    </row>
    <row r="51" spans="1:261" ht="15" customHeight="1" x14ac:dyDescent="0.25">
      <c r="A51" s="75" t="str">
        <f t="shared" si="256"/>
        <v/>
      </c>
      <c r="B51" s="578" t="str">
        <f t="shared" si="257"/>
        <v/>
      </c>
      <c r="C51" s="572" t="str">
        <f t="shared" si="258"/>
        <v/>
      </c>
      <c r="D51" s="576" t="str">
        <f t="shared" si="259"/>
        <v/>
      </c>
      <c r="E51" s="580" t="str">
        <f t="shared" si="260"/>
        <v/>
      </c>
      <c r="F51" s="572" t="str">
        <f t="shared" si="261"/>
        <v/>
      </c>
      <c r="G51" s="579" t="str">
        <f t="shared" si="262"/>
        <v/>
      </c>
      <c r="H51" s="580" t="str">
        <f t="shared" si="263"/>
        <v/>
      </c>
      <c r="I51" s="572" t="str">
        <f t="shared" si="264"/>
        <v/>
      </c>
      <c r="J51" s="483" t="str">
        <f t="shared" si="265"/>
        <v/>
      </c>
      <c r="K51" s="806" t="str">
        <f t="shared" si="266"/>
        <v/>
      </c>
      <c r="L51" s="309"/>
      <c r="M51" s="164" t="str">
        <f t="shared" si="267"/>
        <v/>
      </c>
      <c r="N51" s="575" t="str">
        <f t="shared" si="268"/>
        <v/>
      </c>
      <c r="O51" s="572" t="str">
        <f t="shared" si="269"/>
        <v/>
      </c>
      <c r="P51" s="576" t="str">
        <f t="shared" si="270"/>
        <v/>
      </c>
      <c r="Q51" s="528" t="str">
        <f t="shared" si="140"/>
        <v/>
      </c>
      <c r="R51" s="572" t="str">
        <f t="shared" si="101"/>
        <v/>
      </c>
      <c r="S51" s="577" t="str">
        <f t="shared" si="102"/>
        <v/>
      </c>
      <c r="T51" s="578" t="str">
        <f t="shared" si="103"/>
        <v/>
      </c>
      <c r="U51" s="572" t="str">
        <f t="shared" si="104"/>
        <v/>
      </c>
      <c r="V51" s="579" t="str">
        <f t="shared" si="141"/>
        <v/>
      </c>
      <c r="W51" s="528" t="str">
        <f t="shared" si="253"/>
        <v/>
      </c>
      <c r="X51" s="572" t="str">
        <f t="shared" si="105"/>
        <v/>
      </c>
      <c r="Y51" s="573" t="str">
        <f t="shared" si="255"/>
        <v/>
      </c>
      <c r="Z51" s="575" t="str">
        <f t="shared" si="271"/>
        <v/>
      </c>
      <c r="AA51" s="572" t="str">
        <f t="shared" si="272"/>
        <v/>
      </c>
      <c r="AB51" s="572" t="str">
        <f t="shared" si="273"/>
        <v/>
      </c>
      <c r="AC51" s="579" t="str">
        <f t="shared" si="106"/>
        <v/>
      </c>
      <c r="AD51" s="580" t="str">
        <f t="shared" si="142"/>
        <v/>
      </c>
      <c r="AE51" s="572" t="str">
        <f t="shared" si="107"/>
        <v/>
      </c>
      <c r="AF51" s="576" t="str">
        <f t="shared" si="108"/>
        <v/>
      </c>
      <c r="AG51" s="545" t="str">
        <f t="shared" si="109"/>
        <v/>
      </c>
      <c r="AH51" s="546" t="str">
        <f t="shared" si="110"/>
        <v/>
      </c>
      <c r="AI51" s="528" t="str">
        <f t="shared" si="111"/>
        <v/>
      </c>
      <c r="AJ51" s="529" t="str">
        <f t="shared" si="112"/>
        <v/>
      </c>
      <c r="AK51" s="578" t="str">
        <f t="shared" si="238"/>
        <v/>
      </c>
      <c r="AL51" s="572" t="str">
        <f t="shared" si="113"/>
        <v/>
      </c>
      <c r="AM51" s="577" t="str">
        <f t="shared" si="114"/>
        <v/>
      </c>
      <c r="AN51" s="524" t="str">
        <f t="shared" si="115"/>
        <v/>
      </c>
      <c r="AO51" s="525" t="str">
        <f t="shared" si="116"/>
        <v/>
      </c>
      <c r="AP51" s="528" t="str">
        <f t="shared" si="117"/>
        <v/>
      </c>
      <c r="AQ51" s="529" t="str">
        <f t="shared" si="274"/>
        <v/>
      </c>
      <c r="AS51" s="932" t="str">
        <f t="shared" si="461"/>
        <v/>
      </c>
      <c r="AT51" s="928" t="str">
        <f t="shared" si="275"/>
        <v/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 t="str">
        <f t="shared" si="236"/>
        <v/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 t="str">
        <f t="shared" si="426"/>
        <v/>
      </c>
      <c r="IM51" s="482" t="str">
        <f t="shared" si="237"/>
        <v/>
      </c>
      <c r="IN51" s="670" t="str">
        <f t="shared" si="427"/>
        <v/>
      </c>
      <c r="IO51" s="702"/>
      <c r="IP51" s="5" t="str">
        <f t="shared" si="428"/>
        <v/>
      </c>
      <c r="IQ51" s="714"/>
      <c r="IR51" s="9" t="str">
        <f t="shared" si="429"/>
        <v/>
      </c>
      <c r="IS51" s="5" t="str">
        <f t="shared" si="430"/>
        <v/>
      </c>
      <c r="IT51" s="5" t="str">
        <f t="shared" si="431"/>
        <v/>
      </c>
      <c r="IU51" s="5" t="str">
        <f t="shared" si="432"/>
        <v/>
      </c>
      <c r="IV51" s="670" t="str">
        <f t="shared" si="433"/>
        <v/>
      </c>
      <c r="IW51" s="9" t="str">
        <f t="shared" si="434"/>
        <v/>
      </c>
      <c r="IX51" s="5" t="str">
        <f t="shared" si="435"/>
        <v/>
      </c>
      <c r="IY51" s="5" t="str">
        <f t="shared" si="436"/>
        <v/>
      </c>
      <c r="IZ51" s="5" t="str">
        <f t="shared" si="437"/>
        <v/>
      </c>
      <c r="JA51" s="705" t="str">
        <f t="shared" si="438"/>
        <v/>
      </c>
    </row>
    <row r="52" spans="1:261" ht="15" customHeight="1" x14ac:dyDescent="0.25">
      <c r="A52" s="75" t="str">
        <f t="shared" si="256"/>
        <v/>
      </c>
      <c r="B52" s="578" t="str">
        <f t="shared" si="257"/>
        <v/>
      </c>
      <c r="C52" s="572" t="str">
        <f t="shared" si="258"/>
        <v/>
      </c>
      <c r="D52" s="576" t="str">
        <f t="shared" si="259"/>
        <v/>
      </c>
      <c r="E52" s="580" t="str">
        <f t="shared" si="260"/>
        <v/>
      </c>
      <c r="F52" s="572" t="str">
        <f t="shared" si="261"/>
        <v/>
      </c>
      <c r="G52" s="579" t="str">
        <f t="shared" si="262"/>
        <v/>
      </c>
      <c r="H52" s="580" t="str">
        <f t="shared" si="263"/>
        <v/>
      </c>
      <c r="I52" s="572" t="str">
        <f t="shared" si="264"/>
        <v/>
      </c>
      <c r="J52" s="483" t="str">
        <f t="shared" si="265"/>
        <v/>
      </c>
      <c r="K52" s="806" t="str">
        <f t="shared" si="266"/>
        <v/>
      </c>
      <c r="L52" s="309"/>
      <c r="M52" s="164" t="str">
        <f t="shared" si="267"/>
        <v/>
      </c>
      <c r="N52" s="575" t="str">
        <f t="shared" si="268"/>
        <v/>
      </c>
      <c r="O52" s="572" t="str">
        <f t="shared" si="269"/>
        <v/>
      </c>
      <c r="P52" s="576" t="str">
        <f t="shared" si="270"/>
        <v/>
      </c>
      <c r="Q52" s="528" t="str">
        <f t="shared" si="140"/>
        <v/>
      </c>
      <c r="R52" s="572" t="str">
        <f t="shared" si="101"/>
        <v/>
      </c>
      <c r="S52" s="577" t="str">
        <f t="shared" si="102"/>
        <v/>
      </c>
      <c r="T52" s="578" t="str">
        <f t="shared" si="103"/>
        <v/>
      </c>
      <c r="U52" s="572" t="str">
        <f t="shared" si="104"/>
        <v/>
      </c>
      <c r="V52" s="579" t="str">
        <f t="shared" si="141"/>
        <v/>
      </c>
      <c r="W52" s="528" t="str">
        <f t="shared" si="253"/>
        <v/>
      </c>
      <c r="X52" s="572" t="str">
        <f t="shared" si="105"/>
        <v/>
      </c>
      <c r="Y52" s="573" t="str">
        <f t="shared" si="255"/>
        <v/>
      </c>
      <c r="Z52" s="575" t="str">
        <f t="shared" si="271"/>
        <v/>
      </c>
      <c r="AA52" s="572" t="str">
        <f t="shared" si="272"/>
        <v/>
      </c>
      <c r="AB52" s="572" t="str">
        <f t="shared" si="273"/>
        <v/>
      </c>
      <c r="AC52" s="579" t="str">
        <f t="shared" si="106"/>
        <v/>
      </c>
      <c r="AD52" s="580" t="str">
        <f t="shared" si="142"/>
        <v/>
      </c>
      <c r="AE52" s="572" t="str">
        <f t="shared" si="107"/>
        <v/>
      </c>
      <c r="AF52" s="576" t="str">
        <f t="shared" si="108"/>
        <v/>
      </c>
      <c r="AG52" s="545" t="str">
        <f t="shared" si="109"/>
        <v/>
      </c>
      <c r="AH52" s="546" t="str">
        <f t="shared" si="110"/>
        <v/>
      </c>
      <c r="AI52" s="528" t="str">
        <f t="shared" si="111"/>
        <v/>
      </c>
      <c r="AJ52" s="529" t="str">
        <f t="shared" si="112"/>
        <v/>
      </c>
      <c r="AK52" s="578" t="str">
        <f t="shared" si="238"/>
        <v/>
      </c>
      <c r="AL52" s="572" t="str">
        <f t="shared" si="113"/>
        <v/>
      </c>
      <c r="AM52" s="577" t="str">
        <f t="shared" si="114"/>
        <v/>
      </c>
      <c r="AN52" s="524" t="str">
        <f t="shared" si="115"/>
        <v/>
      </c>
      <c r="AO52" s="525" t="str">
        <f t="shared" si="116"/>
        <v/>
      </c>
      <c r="AP52" s="528" t="str">
        <f t="shared" si="117"/>
        <v/>
      </c>
      <c r="AQ52" s="529" t="str">
        <f t="shared" si="274"/>
        <v/>
      </c>
      <c r="AS52" s="932" t="str">
        <f t="shared" si="461"/>
        <v/>
      </c>
      <c r="AT52" s="928" t="str">
        <f t="shared" si="275"/>
        <v/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 t="str">
        <f t="shared" si="236"/>
        <v/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 t="str">
        <f t="shared" si="426"/>
        <v/>
      </c>
      <c r="IM52" s="482" t="str">
        <f t="shared" si="237"/>
        <v/>
      </c>
      <c r="IN52" s="670" t="str">
        <f t="shared" si="427"/>
        <v/>
      </c>
      <c r="IO52" s="702"/>
      <c r="IP52" s="5" t="str">
        <f t="shared" si="428"/>
        <v/>
      </c>
      <c r="IQ52" s="714"/>
      <c r="IR52" s="9" t="str">
        <f t="shared" si="429"/>
        <v/>
      </c>
      <c r="IS52" s="5" t="str">
        <f t="shared" si="430"/>
        <v/>
      </c>
      <c r="IT52" s="5" t="str">
        <f t="shared" si="431"/>
        <v/>
      </c>
      <c r="IU52" s="5" t="str">
        <f t="shared" si="432"/>
        <v/>
      </c>
      <c r="IV52" s="670" t="str">
        <f t="shared" si="433"/>
        <v/>
      </c>
      <c r="IW52" s="9" t="str">
        <f t="shared" si="434"/>
        <v/>
      </c>
      <c r="IX52" s="5" t="str">
        <f t="shared" si="435"/>
        <v/>
      </c>
      <c r="IY52" s="5" t="str">
        <f t="shared" si="436"/>
        <v/>
      </c>
      <c r="IZ52" s="5" t="str">
        <f t="shared" si="437"/>
        <v/>
      </c>
      <c r="JA52" s="705" t="str">
        <f t="shared" si="438"/>
        <v/>
      </c>
    </row>
    <row r="53" spans="1:261" ht="15" customHeight="1" x14ac:dyDescent="0.25">
      <c r="A53" s="75" t="str">
        <f t="shared" si="256"/>
        <v/>
      </c>
      <c r="B53" s="578" t="str">
        <f t="shared" si="257"/>
        <v/>
      </c>
      <c r="C53" s="572" t="str">
        <f t="shared" si="258"/>
        <v/>
      </c>
      <c r="D53" s="576" t="str">
        <f t="shared" si="259"/>
        <v/>
      </c>
      <c r="E53" s="580" t="str">
        <f t="shared" si="260"/>
        <v/>
      </c>
      <c r="F53" s="572" t="str">
        <f t="shared" si="261"/>
        <v/>
      </c>
      <c r="G53" s="579" t="str">
        <f t="shared" si="262"/>
        <v/>
      </c>
      <c r="H53" s="580" t="str">
        <f t="shared" si="263"/>
        <v/>
      </c>
      <c r="I53" s="572" t="str">
        <f t="shared" si="264"/>
        <v/>
      </c>
      <c r="J53" s="483" t="str">
        <f t="shared" si="265"/>
        <v/>
      </c>
      <c r="K53" s="806" t="str">
        <f t="shared" si="266"/>
        <v/>
      </c>
      <c r="L53" s="309"/>
      <c r="M53" s="164" t="str">
        <f t="shared" si="267"/>
        <v/>
      </c>
      <c r="N53" s="575" t="str">
        <f t="shared" si="268"/>
        <v/>
      </c>
      <c r="O53" s="572" t="str">
        <f t="shared" si="269"/>
        <v/>
      </c>
      <c r="P53" s="576" t="str">
        <f t="shared" si="270"/>
        <v/>
      </c>
      <c r="Q53" s="528" t="str">
        <f t="shared" si="140"/>
        <v/>
      </c>
      <c r="R53" s="572" t="str">
        <f t="shared" ref="R53:R58" si="464">IF(M53="","",SQRT(N53^2+O53^2))</f>
        <v/>
      </c>
      <c r="S53" s="577" t="str">
        <f t="shared" ref="S53:S58" si="465">IF(M53="","",P53)</f>
        <v/>
      </c>
      <c r="T53" s="578" t="str">
        <f t="shared" ref="T53:T58" si="466">IF(M53="","",X53*COS(RADIANS(W53)))</f>
        <v/>
      </c>
      <c r="U53" s="572" t="str">
        <f t="shared" ref="U53:U58" si="467">IF(M53="","",X53*SIN(RADIANS(W53)))</f>
        <v/>
      </c>
      <c r="V53" s="579" t="str">
        <f t="shared" ref="V53:V58" si="468">IF(M53="","",Y53)</f>
        <v/>
      </c>
      <c r="W53" s="528" t="str">
        <f t="shared" si="253"/>
        <v/>
      </c>
      <c r="X53" s="572" t="str">
        <f t="shared" ref="X53:X58" si="469">IF(M53="","",R53)</f>
        <v/>
      </c>
      <c r="Y53" s="573" t="str">
        <f t="shared" si="255"/>
        <v/>
      </c>
      <c r="Z53" s="575" t="str">
        <f t="shared" si="271"/>
        <v/>
      </c>
      <c r="AA53" s="572" t="str">
        <f t="shared" si="272"/>
        <v/>
      </c>
      <c r="AB53" s="572" t="str">
        <f t="shared" si="273"/>
        <v/>
      </c>
      <c r="AC53" s="579" t="str">
        <f t="shared" ref="AC53:AC58" si="470">IF(M53="","",SQRT(Z53^2+AA53^2+AB53^2))</f>
        <v/>
      </c>
      <c r="AD53" s="580" t="str">
        <f t="shared" ref="AD53:AD58" si="471">IF(M53="","",Z53*(1/SQRT(Z53^2+AA53^2+AB53^2)))</f>
        <v/>
      </c>
      <c r="AE53" s="572" t="str">
        <f t="shared" ref="AE53:AE58" si="472">IF(M53="","",AA53*(1/SQRT(Z53^2+AA53^2+AB53^2)))</f>
        <v/>
      </c>
      <c r="AF53" s="576" t="str">
        <f t="shared" ref="AF53:AF58" si="473">IF(M53="","",AB53*(1/SQRT(Z53^2+AA53^2+AB53^2)))</f>
        <v/>
      </c>
      <c r="AG53" s="545" t="str">
        <f t="shared" ref="AG53:AG58" si="474">IF(M53="","",DEGREES(ATAN2(-AF53,AE53)))</f>
        <v/>
      </c>
      <c r="AH53" s="546" t="str">
        <f t="shared" ref="AH53:AH58" si="475">IF(M53="","",DEGREES(ACOS(AD53)))</f>
        <v/>
      </c>
      <c r="AI53" s="528" t="str">
        <f t="shared" ref="AI53:AI58" si="476">IF(M53="","",DEGREES(-ACOS(-AF53)))</f>
        <v/>
      </c>
      <c r="AJ53" s="529" t="str">
        <f t="shared" ref="AJ53:AJ58" si="477">IF(M53="","",DEGREES(ATAN2(-AE53,AD53)))</f>
        <v/>
      </c>
      <c r="AK53" s="578" t="str">
        <f t="shared" ref="AK53:AK58" si="478">IF(M53="","",(COS(RADIANS((90-$Q$8)-W53))*AD53)+(-SIN(RADIANS((90-$Q$8)-W53))*AE53))</f>
        <v/>
      </c>
      <c r="AL53" s="572" t="str">
        <f t="shared" ref="AL53:AL58" si="479">IF(M53="","",(SIN(RADIANS((90-$Q$8)-W53))*AD53)+(COS(RADIANS((90-$Q$8)-W53))*AE53))</f>
        <v/>
      </c>
      <c r="AM53" s="577" t="str">
        <f t="shared" ref="AM53:AM58" si="480">IF(M53="","",AF53)</f>
        <v/>
      </c>
      <c r="AN53" s="524" t="str">
        <f t="shared" ref="AN53:AN58" si="481">IF(M53="","",DEGREES(ATAN2(-AM53,AL53)))</f>
        <v/>
      </c>
      <c r="AO53" s="525" t="str">
        <f t="shared" si="116"/>
        <v/>
      </c>
      <c r="AP53" s="528" t="str">
        <f t="shared" ref="AP53:AP58" si="482">IF(M53="","",DEGREES(ATAN2(AK53,AL53)))</f>
        <v/>
      </c>
      <c r="AQ53" s="529" t="str">
        <f t="shared" si="274"/>
        <v/>
      </c>
      <c r="AS53" s="932" t="str">
        <f t="shared" si="461"/>
        <v/>
      </c>
      <c r="AT53" s="928" t="str">
        <f t="shared" si="275"/>
        <v/>
      </c>
      <c r="AU53" s="418"/>
      <c r="AV53" s="164" t="str">
        <f t="shared" si="276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7"/>
        <v/>
      </c>
      <c r="BA53" s="296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9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266" t="str">
        <f t="shared" si="134"/>
        <v/>
      </c>
      <c r="FB53" s="267" t="str">
        <f t="shared" si="135"/>
        <v/>
      </c>
      <c r="FC53" s="269" t="str">
        <f t="shared" si="48"/>
        <v/>
      </c>
      <c r="FD53" s="4" t="str">
        <f t="shared" si="359"/>
        <v/>
      </c>
      <c r="FE53" s="5" t="str">
        <f t="shared" si="360"/>
        <v/>
      </c>
      <c r="FF53" s="7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9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7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7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11" t="str">
        <f t="shared" si="386"/>
        <v/>
      </c>
      <c r="GF53" s="341" t="str">
        <f t="shared" si="387"/>
        <v/>
      </c>
      <c r="GG53" s="285" t="str">
        <f t="shared" si="388"/>
        <v/>
      </c>
      <c r="GH53" s="286" t="str">
        <f t="shared" si="389"/>
        <v/>
      </c>
      <c r="GI53" s="281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80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71" t="str">
        <f t="shared" si="398"/>
        <v/>
      </c>
      <c r="GS53" s="342" t="str">
        <f t="shared" si="399"/>
        <v/>
      </c>
      <c r="GT53" s="343" t="str">
        <f t="shared" si="400"/>
        <v/>
      </c>
      <c r="GU53" s="344" t="str">
        <f t="shared" si="63"/>
        <v/>
      </c>
      <c r="GV53" s="343" t="str">
        <f t="shared" si="401"/>
        <v/>
      </c>
      <c r="GW53" s="345" t="str">
        <f t="shared" si="64"/>
        <v/>
      </c>
      <c r="GX53" s="346" t="str">
        <f t="shared" si="65"/>
        <v/>
      </c>
      <c r="GY53" s="344" t="str">
        <f t="shared" si="402"/>
        <v/>
      </c>
      <c r="GZ53" s="345" t="str">
        <f t="shared" si="403"/>
        <v/>
      </c>
      <c r="HA53" s="342" t="str">
        <f t="shared" si="68"/>
        <v/>
      </c>
      <c r="HB53" s="5" t="str">
        <f t="shared" si="231"/>
        <v/>
      </c>
      <c r="HC53" s="343" t="str">
        <f t="shared" si="404"/>
        <v/>
      </c>
      <c r="HD53" s="345" t="str">
        <f t="shared" si="405"/>
        <v/>
      </c>
      <c r="HE53" s="344" t="str">
        <f t="shared" si="69"/>
        <v/>
      </c>
      <c r="HF53" s="5" t="str">
        <f t="shared" si="70"/>
        <v/>
      </c>
      <c r="HG53" s="343" t="str">
        <f t="shared" si="406"/>
        <v/>
      </c>
      <c r="HH53" s="349" t="str">
        <f t="shared" si="407"/>
        <v/>
      </c>
      <c r="HI53" s="317" t="str">
        <f t="shared" si="408"/>
        <v/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 t="str">
        <f t="shared" si="236"/>
        <v/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 t="str">
        <f t="shared" si="426"/>
        <v/>
      </c>
      <c r="IM53" s="482" t="str">
        <f t="shared" si="237"/>
        <v/>
      </c>
      <c r="IN53" s="670" t="str">
        <f t="shared" si="427"/>
        <v/>
      </c>
      <c r="IO53" s="702"/>
      <c r="IP53" s="5" t="str">
        <f t="shared" si="428"/>
        <v/>
      </c>
      <c r="IQ53" s="714"/>
      <c r="IR53" s="9" t="str">
        <f t="shared" si="429"/>
        <v/>
      </c>
      <c r="IS53" s="5" t="str">
        <f t="shared" si="430"/>
        <v/>
      </c>
      <c r="IT53" s="5" t="str">
        <f t="shared" si="431"/>
        <v/>
      </c>
      <c r="IU53" s="5" t="str">
        <f t="shared" si="432"/>
        <v/>
      </c>
      <c r="IV53" s="670" t="str">
        <f t="shared" si="433"/>
        <v/>
      </c>
      <c r="IW53" s="9" t="str">
        <f t="shared" si="434"/>
        <v/>
      </c>
      <c r="IX53" s="5" t="str">
        <f t="shared" si="435"/>
        <v/>
      </c>
      <c r="IY53" s="5" t="str">
        <f t="shared" si="436"/>
        <v/>
      </c>
      <c r="IZ53" s="5" t="str">
        <f t="shared" si="437"/>
        <v/>
      </c>
      <c r="JA53" s="705" t="str">
        <f t="shared" si="438"/>
        <v/>
      </c>
    </row>
    <row r="54" spans="1:261" ht="15" customHeight="1" x14ac:dyDescent="0.25">
      <c r="A54" s="75" t="str">
        <f t="shared" si="256"/>
        <v/>
      </c>
      <c r="B54" s="578" t="str">
        <f t="shared" si="257"/>
        <v/>
      </c>
      <c r="C54" s="572" t="str">
        <f t="shared" si="258"/>
        <v/>
      </c>
      <c r="D54" s="576" t="str">
        <f t="shared" si="259"/>
        <v/>
      </c>
      <c r="E54" s="580" t="str">
        <f t="shared" si="260"/>
        <v/>
      </c>
      <c r="F54" s="572" t="str">
        <f t="shared" si="261"/>
        <v/>
      </c>
      <c r="G54" s="579" t="str">
        <f t="shared" si="262"/>
        <v/>
      </c>
      <c r="H54" s="580" t="str">
        <f t="shared" si="263"/>
        <v/>
      </c>
      <c r="I54" s="572" t="str">
        <f t="shared" si="264"/>
        <v/>
      </c>
      <c r="J54" s="483" t="str">
        <f t="shared" si="265"/>
        <v/>
      </c>
      <c r="K54" s="806" t="str">
        <f t="shared" si="266"/>
        <v/>
      </c>
      <c r="L54" s="309"/>
      <c r="M54" s="164" t="str">
        <f t="shared" si="267"/>
        <v/>
      </c>
      <c r="N54" s="575" t="str">
        <f t="shared" si="268"/>
        <v/>
      </c>
      <c r="O54" s="572" t="str">
        <f t="shared" si="269"/>
        <v/>
      </c>
      <c r="P54" s="576" t="str">
        <f t="shared" si="270"/>
        <v/>
      </c>
      <c r="Q54" s="528" t="str">
        <f t="shared" si="140"/>
        <v/>
      </c>
      <c r="R54" s="572" t="str">
        <f t="shared" si="464"/>
        <v/>
      </c>
      <c r="S54" s="577" t="str">
        <f t="shared" si="465"/>
        <v/>
      </c>
      <c r="T54" s="578" t="str">
        <f t="shared" si="466"/>
        <v/>
      </c>
      <c r="U54" s="572" t="str">
        <f t="shared" si="467"/>
        <v/>
      </c>
      <c r="V54" s="579" t="str">
        <f t="shared" si="468"/>
        <v/>
      </c>
      <c r="W54" s="528" t="str">
        <f t="shared" si="253"/>
        <v/>
      </c>
      <c r="X54" s="572" t="str">
        <f t="shared" si="469"/>
        <v/>
      </c>
      <c r="Y54" s="573" t="str">
        <f t="shared" si="255"/>
        <v/>
      </c>
      <c r="Z54" s="575" t="str">
        <f t="shared" si="271"/>
        <v/>
      </c>
      <c r="AA54" s="572" t="str">
        <f t="shared" si="272"/>
        <v/>
      </c>
      <c r="AB54" s="572" t="str">
        <f t="shared" si="273"/>
        <v/>
      </c>
      <c r="AC54" s="579" t="str">
        <f t="shared" si="470"/>
        <v/>
      </c>
      <c r="AD54" s="580" t="str">
        <f t="shared" si="471"/>
        <v/>
      </c>
      <c r="AE54" s="572" t="str">
        <f t="shared" si="472"/>
        <v/>
      </c>
      <c r="AF54" s="576" t="str">
        <f t="shared" si="473"/>
        <v/>
      </c>
      <c r="AG54" s="545" t="str">
        <f t="shared" si="474"/>
        <v/>
      </c>
      <c r="AH54" s="546" t="str">
        <f t="shared" si="475"/>
        <v/>
      </c>
      <c r="AI54" s="528" t="str">
        <f t="shared" si="476"/>
        <v/>
      </c>
      <c r="AJ54" s="529" t="str">
        <f t="shared" si="477"/>
        <v/>
      </c>
      <c r="AK54" s="578" t="str">
        <f t="shared" si="478"/>
        <v/>
      </c>
      <c r="AL54" s="572" t="str">
        <f t="shared" si="479"/>
        <v/>
      </c>
      <c r="AM54" s="577" t="str">
        <f t="shared" si="480"/>
        <v/>
      </c>
      <c r="AN54" s="524" t="str">
        <f t="shared" si="481"/>
        <v/>
      </c>
      <c r="AO54" s="525" t="str">
        <f t="shared" si="116"/>
        <v/>
      </c>
      <c r="AP54" s="528" t="str">
        <f t="shared" si="482"/>
        <v/>
      </c>
      <c r="AQ54" s="529" t="str">
        <f t="shared" si="274"/>
        <v/>
      </c>
      <c r="AS54" s="932" t="str">
        <f t="shared" si="461"/>
        <v/>
      </c>
      <c r="AT54" s="928" t="str">
        <f t="shared" si="275"/>
        <v/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 t="str">
        <f t="shared" si="236"/>
        <v/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 t="str">
        <f t="shared" si="426"/>
        <v/>
      </c>
      <c r="IM54" s="482" t="str">
        <f t="shared" si="237"/>
        <v/>
      </c>
      <c r="IN54" s="670" t="str">
        <f t="shared" si="427"/>
        <v/>
      </c>
      <c r="IO54" s="702"/>
      <c r="IP54" s="5" t="str">
        <f t="shared" si="428"/>
        <v/>
      </c>
      <c r="IQ54" s="714"/>
      <c r="IR54" s="9" t="str">
        <f t="shared" si="429"/>
        <v/>
      </c>
      <c r="IS54" s="5" t="str">
        <f t="shared" si="430"/>
        <v/>
      </c>
      <c r="IT54" s="5" t="str">
        <f t="shared" si="431"/>
        <v/>
      </c>
      <c r="IU54" s="5" t="str">
        <f t="shared" si="432"/>
        <v/>
      </c>
      <c r="IV54" s="670" t="str">
        <f t="shared" si="433"/>
        <v/>
      </c>
      <c r="IW54" s="9" t="str">
        <f t="shared" si="434"/>
        <v/>
      </c>
      <c r="IX54" s="5" t="str">
        <f t="shared" si="435"/>
        <v/>
      </c>
      <c r="IY54" s="5" t="str">
        <f t="shared" si="436"/>
        <v/>
      </c>
      <c r="IZ54" s="5" t="str">
        <f t="shared" si="437"/>
        <v/>
      </c>
      <c r="JA54" s="705" t="str">
        <f t="shared" si="438"/>
        <v/>
      </c>
    </row>
    <row r="55" spans="1:261" ht="15" customHeight="1" x14ac:dyDescent="0.25">
      <c r="A55" s="75" t="str">
        <f t="shared" si="256"/>
        <v/>
      </c>
      <c r="B55" s="578" t="str">
        <f t="shared" ref="B55:B118" si="515">IFERROR(Q210+($A55*-E55),"")</f>
        <v/>
      </c>
      <c r="C55" s="572" t="str">
        <f t="shared" ref="C55:C118" si="516">IFERROR(R210+($A55*-F55),"")</f>
        <v/>
      </c>
      <c r="D55" s="576" t="str">
        <f t="shared" ref="D55:D118" si="517">IFERROR(S210+($A55*-G55),"")</f>
        <v/>
      </c>
      <c r="E55" s="580" t="str">
        <f t="shared" ref="E55:E118" si="518">T210</f>
        <v/>
      </c>
      <c r="F55" s="572" t="str">
        <f t="shared" ref="F55:F118" si="519">U210</f>
        <v/>
      </c>
      <c r="G55" s="579" t="str">
        <f t="shared" ref="G55:G118" si="520">V210</f>
        <v/>
      </c>
      <c r="H55" s="580" t="str">
        <f t="shared" ref="H55:H118" si="521">W210</f>
        <v/>
      </c>
      <c r="I55" s="572" t="str">
        <f t="shared" ref="I55:I118" si="522">X210</f>
        <v/>
      </c>
      <c r="J55" s="483" t="str">
        <f t="shared" ref="J55:J118" si="523">IF(Y210=0,"",Y210)</f>
        <v/>
      </c>
      <c r="K55" s="806" t="str">
        <f t="shared" ref="K55:K118" si="524">Z210</f>
        <v/>
      </c>
      <c r="L55" s="309"/>
      <c r="M55" s="164" t="str">
        <f t="shared" si="267"/>
        <v/>
      </c>
      <c r="N55" s="575" t="str">
        <f t="shared" si="268"/>
        <v/>
      </c>
      <c r="O55" s="572" t="str">
        <f t="shared" si="269"/>
        <v/>
      </c>
      <c r="P55" s="576" t="str">
        <f t="shared" si="270"/>
        <v/>
      </c>
      <c r="Q55" s="528" t="str">
        <f t="shared" si="140"/>
        <v/>
      </c>
      <c r="R55" s="572" t="str">
        <f t="shared" si="464"/>
        <v/>
      </c>
      <c r="S55" s="577" t="str">
        <f t="shared" si="465"/>
        <v/>
      </c>
      <c r="T55" s="578" t="str">
        <f t="shared" si="466"/>
        <v/>
      </c>
      <c r="U55" s="572" t="str">
        <f t="shared" si="467"/>
        <v/>
      </c>
      <c r="V55" s="579" t="str">
        <f t="shared" si="468"/>
        <v/>
      </c>
      <c r="W55" s="528" t="str">
        <f t="shared" si="253"/>
        <v/>
      </c>
      <c r="X55" s="572" t="str">
        <f t="shared" si="469"/>
        <v/>
      </c>
      <c r="Y55" s="573" t="str">
        <f t="shared" si="255"/>
        <v/>
      </c>
      <c r="Z55" s="575" t="str">
        <f t="shared" si="271"/>
        <v/>
      </c>
      <c r="AA55" s="572" t="str">
        <f t="shared" si="272"/>
        <v/>
      </c>
      <c r="AB55" s="572" t="str">
        <f t="shared" si="273"/>
        <v/>
      </c>
      <c r="AC55" s="579" t="str">
        <f t="shared" si="470"/>
        <v/>
      </c>
      <c r="AD55" s="580" t="str">
        <f t="shared" si="471"/>
        <v/>
      </c>
      <c r="AE55" s="572" t="str">
        <f t="shared" si="472"/>
        <v/>
      </c>
      <c r="AF55" s="576" t="str">
        <f t="shared" si="473"/>
        <v/>
      </c>
      <c r="AG55" s="545" t="str">
        <f t="shared" si="474"/>
        <v/>
      </c>
      <c r="AH55" s="546" t="str">
        <f t="shared" si="475"/>
        <v/>
      </c>
      <c r="AI55" s="528" t="str">
        <f t="shared" si="476"/>
        <v/>
      </c>
      <c r="AJ55" s="529" t="str">
        <f t="shared" si="477"/>
        <v/>
      </c>
      <c r="AK55" s="578" t="str">
        <f t="shared" si="478"/>
        <v/>
      </c>
      <c r="AL55" s="572" t="str">
        <f t="shared" si="479"/>
        <v/>
      </c>
      <c r="AM55" s="577" t="str">
        <f t="shared" si="480"/>
        <v/>
      </c>
      <c r="AN55" s="524" t="str">
        <f t="shared" si="481"/>
        <v/>
      </c>
      <c r="AO55" s="525" t="str">
        <f>IF(ROUND(IF(M55="",0,DEGREES(ACOS(AK55))),4)=90,0,IF(M55="","",DEGREES(ACOS(AK55))))</f>
        <v/>
      </c>
      <c r="AP55" s="528" t="str">
        <f t="shared" si="482"/>
        <v/>
      </c>
      <c r="AQ55" s="529" t="str">
        <f t="shared" si="274"/>
        <v/>
      </c>
      <c r="AS55" s="932" t="str">
        <f t="shared" si="461"/>
        <v/>
      </c>
      <c r="AT55" s="928" t="str">
        <f t="shared" si="275"/>
        <v/>
      </c>
      <c r="AU55" s="418"/>
      <c r="AV55" s="164" t="str">
        <f t="shared" si="276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4"/>
        <v/>
      </c>
      <c r="BA55" s="296" t="str">
        <f t="shared" si="278"/>
        <v/>
      </c>
      <c r="BB55" s="177" t="str">
        <f t="shared" si="145"/>
        <v/>
      </c>
      <c r="BC55" s="9"/>
      <c r="BD55" s="5" t="str">
        <f t="shared" si="146"/>
        <v/>
      </c>
      <c r="BE55" s="6" t="str">
        <f t="shared" si="280"/>
        <v/>
      </c>
      <c r="BF55" s="4" t="str">
        <f t="shared" si="281"/>
        <v/>
      </c>
      <c r="BG55" s="5" t="str">
        <f t="shared" si="282"/>
        <v/>
      </c>
      <c r="BH55" s="10" t="str">
        <f t="shared" si="283"/>
        <v/>
      </c>
      <c r="BI55" s="9" t="str">
        <f t="shared" si="147"/>
        <v/>
      </c>
      <c r="BJ55" s="5" t="str">
        <f t="shared" si="285"/>
        <v/>
      </c>
      <c r="BK55" s="8" t="str">
        <f t="shared" si="286"/>
        <v/>
      </c>
      <c r="BL55" s="173" t="str">
        <f t="shared" si="287"/>
        <v/>
      </c>
      <c r="BM55" s="5" t="str">
        <f t="shared" si="288"/>
        <v/>
      </c>
      <c r="BN55" s="6" t="str">
        <f t="shared" si="289"/>
        <v/>
      </c>
      <c r="BO55" s="4" t="str">
        <f t="shared" si="148"/>
        <v/>
      </c>
      <c r="BP55" s="5" t="str">
        <f t="shared" si="239"/>
        <v/>
      </c>
      <c r="BQ55" s="5" t="str">
        <f t="shared" si="149"/>
        <v/>
      </c>
      <c r="BR55" s="6" t="str">
        <f t="shared" si="150"/>
        <v/>
      </c>
      <c r="BS55" s="4" t="str">
        <f t="shared" si="483"/>
        <v/>
      </c>
      <c r="BT55" s="5" t="str">
        <f t="shared" si="483"/>
        <v/>
      </c>
      <c r="BU55" s="10" t="str">
        <f t="shared" si="119"/>
        <v/>
      </c>
      <c r="BV55" s="9" t="str">
        <f t="shared" si="120"/>
        <v/>
      </c>
      <c r="BW55" s="5" t="str">
        <f t="shared" si="121"/>
        <v/>
      </c>
      <c r="BX55" s="8" t="str">
        <f t="shared" si="122"/>
        <v/>
      </c>
      <c r="BY55" s="173" t="str">
        <f t="shared" si="123"/>
        <v/>
      </c>
      <c r="BZ55" s="5" t="str">
        <f t="shared" si="124"/>
        <v/>
      </c>
      <c r="CA55" s="6" t="str">
        <f t="shared" si="125"/>
        <v/>
      </c>
      <c r="CB55" s="4" t="str">
        <f t="shared" si="151"/>
        <v/>
      </c>
      <c r="CC55" s="5" t="str">
        <f t="shared" si="152"/>
        <v/>
      </c>
      <c r="CD55" s="5" t="str">
        <f t="shared" si="153"/>
        <v/>
      </c>
      <c r="CE55" s="6" t="str">
        <f t="shared" si="154"/>
        <v/>
      </c>
      <c r="CF55" s="4" t="str">
        <f t="shared" si="155"/>
        <v/>
      </c>
      <c r="CG55" s="5" t="str">
        <f t="shared" si="156"/>
        <v/>
      </c>
      <c r="CH55" s="5" t="str">
        <f t="shared" si="157"/>
        <v/>
      </c>
      <c r="CI55" s="4" t="str">
        <f t="shared" si="126"/>
        <v/>
      </c>
      <c r="CJ55" s="5" t="str">
        <f t="shared" si="127"/>
        <v/>
      </c>
      <c r="CK55" s="8" t="str">
        <f t="shared" si="128"/>
        <v/>
      </c>
      <c r="CL55" s="173" t="str">
        <f t="shared" si="129"/>
        <v/>
      </c>
      <c r="CM55" s="5" t="str">
        <f t="shared" si="130"/>
        <v/>
      </c>
      <c r="CN55" s="6" t="str">
        <f t="shared" si="131"/>
        <v/>
      </c>
      <c r="CO55" s="167" t="str">
        <f t="shared" si="305"/>
        <v/>
      </c>
      <c r="CP55" s="4" t="str">
        <f t="shared" si="240"/>
        <v/>
      </c>
      <c r="CQ55" s="5" t="str">
        <f t="shared" si="241"/>
        <v/>
      </c>
      <c r="CR55" s="5" t="str">
        <f t="shared" si="158"/>
        <v/>
      </c>
      <c r="CS55" s="8" t="str">
        <f t="shared" si="159"/>
        <v/>
      </c>
      <c r="CT55" s="9" t="str">
        <f t="shared" si="160"/>
        <v/>
      </c>
      <c r="CU55" s="6" t="str">
        <f t="shared" si="161"/>
        <v/>
      </c>
      <c r="CV55" s="4" t="str">
        <f t="shared" si="242"/>
        <v/>
      </c>
      <c r="CW55" s="5" t="str">
        <f t="shared" si="162"/>
        <v/>
      </c>
      <c r="CX55" s="8" t="str">
        <f t="shared" si="163"/>
        <v/>
      </c>
      <c r="CY55" s="9" t="str">
        <f t="shared" si="164"/>
        <v/>
      </c>
      <c r="CZ55" s="5" t="str">
        <f t="shared" si="165"/>
        <v/>
      </c>
      <c r="DA55" s="6" t="str">
        <f t="shared" si="166"/>
        <v/>
      </c>
      <c r="DB55" s="4" t="str">
        <f t="shared" si="484"/>
        <v/>
      </c>
      <c r="DC55" s="5" t="str">
        <f t="shared" si="484"/>
        <v/>
      </c>
      <c r="DD55" s="10" t="str">
        <f t="shared" si="168"/>
        <v/>
      </c>
      <c r="DE55" s="9" t="str">
        <f t="shared" si="485"/>
        <v/>
      </c>
      <c r="DF55" s="5" t="str">
        <f t="shared" si="485"/>
        <v/>
      </c>
      <c r="DG55" s="10" t="str">
        <f t="shared" si="170"/>
        <v/>
      </c>
      <c r="DH55" s="70" t="str">
        <f t="shared" si="171"/>
        <v/>
      </c>
      <c r="DI55" s="4" t="str">
        <f t="shared" si="172"/>
        <v/>
      </c>
      <c r="DJ55" s="5" t="str">
        <f t="shared" si="173"/>
        <v/>
      </c>
      <c r="DK55" s="10" t="str">
        <f t="shared" si="174"/>
        <v/>
      </c>
      <c r="DL55" s="9" t="str">
        <f t="shared" si="175"/>
        <v/>
      </c>
      <c r="DM55" s="173" t="str">
        <f t="shared" si="176"/>
        <v/>
      </c>
      <c r="DN55" s="178" t="str">
        <f t="shared" si="177"/>
        <v/>
      </c>
      <c r="DO55" s="9" t="str">
        <f t="shared" si="178"/>
        <v/>
      </c>
      <c r="DP55" s="173" t="str">
        <f t="shared" si="179"/>
        <v/>
      </c>
      <c r="DQ55" s="11" t="str">
        <f t="shared" si="180"/>
        <v/>
      </c>
      <c r="DR55" s="173" t="str">
        <f t="shared" si="181"/>
        <v/>
      </c>
      <c r="DS55" s="5" t="str">
        <f t="shared" si="182"/>
        <v/>
      </c>
      <c r="DT55" s="5" t="str">
        <f t="shared" si="183"/>
        <v/>
      </c>
      <c r="DU55" s="5" t="str">
        <f t="shared" si="184"/>
        <v/>
      </c>
      <c r="DV55" s="5" t="str">
        <f t="shared" si="185"/>
        <v/>
      </c>
      <c r="DW55" s="5" t="str">
        <f t="shared" si="186"/>
        <v/>
      </c>
      <c r="DX55" s="167" t="str">
        <f t="shared" si="187"/>
        <v/>
      </c>
      <c r="DY55" s="9" t="str">
        <f t="shared" si="188"/>
        <v/>
      </c>
      <c r="DZ55" s="5" t="str">
        <f t="shared" si="189"/>
        <v/>
      </c>
      <c r="EA55" s="10" t="str">
        <f t="shared" si="190"/>
        <v/>
      </c>
      <c r="EB55" s="6" t="str">
        <f t="shared" si="191"/>
        <v/>
      </c>
      <c r="EC55" s="173" t="str">
        <f t="shared" si="192"/>
        <v/>
      </c>
      <c r="ED55" s="5" t="str">
        <f t="shared" si="193"/>
        <v/>
      </c>
      <c r="EE55" s="4" t="str">
        <f t="shared" si="194"/>
        <v/>
      </c>
      <c r="EF55" s="5" t="str">
        <f t="shared" si="195"/>
        <v/>
      </c>
      <c r="EG55" s="10" t="str">
        <f t="shared" si="196"/>
        <v/>
      </c>
      <c r="EH55" s="9" t="str">
        <f t="shared" si="197"/>
        <v/>
      </c>
      <c r="EI55" s="5" t="str">
        <f t="shared" si="198"/>
        <v/>
      </c>
      <c r="EJ55" s="6" t="str">
        <f t="shared" si="199"/>
        <v/>
      </c>
      <c r="EK55" s="236" t="str">
        <f t="shared" si="200"/>
        <v/>
      </c>
      <c r="EL55" s="238" t="str">
        <f t="shared" si="201"/>
        <v/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str">
        <f t="shared" si="205"/>
        <v/>
      </c>
      <c r="EQ55" s="5" t="str">
        <f t="shared" si="206"/>
        <v/>
      </c>
      <c r="ER55" s="7" t="str">
        <f t="shared" si="207"/>
        <v/>
      </c>
      <c r="ES55" s="21" t="str">
        <f t="shared" si="352"/>
        <v/>
      </c>
      <c r="ET55" s="5" t="str">
        <f t="shared" si="353"/>
        <v/>
      </c>
      <c r="EU55" s="10" t="str">
        <f t="shared" si="354"/>
        <v/>
      </c>
      <c r="EV55" s="174" t="str">
        <f t="shared" si="486"/>
        <v/>
      </c>
      <c r="EW55" s="9" t="str">
        <f t="shared" si="487"/>
        <v/>
      </c>
      <c r="EX55" s="5" t="str">
        <f t="shared" si="488"/>
        <v/>
      </c>
      <c r="EY55" s="6" t="str">
        <f t="shared" si="208"/>
        <v/>
      </c>
      <c r="EZ55" s="51" t="str">
        <f t="shared" si="209"/>
        <v/>
      </c>
      <c r="FA55" s="173" t="str">
        <f t="shared" si="489"/>
        <v/>
      </c>
      <c r="FB55" s="5" t="str">
        <f t="shared" si="490"/>
        <v/>
      </c>
      <c r="FC55" s="6" t="str">
        <f t="shared" si="491"/>
        <v/>
      </c>
      <c r="FD55" s="4" t="str">
        <f t="shared" si="492"/>
        <v/>
      </c>
      <c r="FE55" s="5" t="str">
        <f t="shared" si="493"/>
        <v/>
      </c>
      <c r="FF55" s="7" t="str">
        <f t="shared" si="210"/>
        <v/>
      </c>
      <c r="FG55" s="173" t="str">
        <f t="shared" si="494"/>
        <v/>
      </c>
      <c r="FH55" s="5" t="str">
        <f t="shared" si="495"/>
        <v/>
      </c>
      <c r="FI55" s="10" t="str">
        <f t="shared" si="496"/>
        <v/>
      </c>
      <c r="FJ55" s="279" t="str">
        <f t="shared" si="212"/>
        <v/>
      </c>
      <c r="FK55" s="4" t="str">
        <f t="shared" si="497"/>
        <v/>
      </c>
      <c r="FL55" s="5" t="str">
        <f t="shared" si="213"/>
        <v/>
      </c>
      <c r="FM55" s="8" t="str">
        <f t="shared" si="214"/>
        <v/>
      </c>
      <c r="FN55" s="9" t="str">
        <f t="shared" si="215"/>
        <v/>
      </c>
      <c r="FO55" s="10" t="str">
        <f t="shared" si="498"/>
        <v/>
      </c>
      <c r="FP55" s="277" t="str">
        <f t="shared" si="499"/>
        <v/>
      </c>
      <c r="FQ55" s="173" t="str">
        <f t="shared" si="243"/>
        <v/>
      </c>
      <c r="FR55" s="10" t="str">
        <f t="shared" si="216"/>
        <v/>
      </c>
      <c r="FS55" s="9" t="str">
        <f t="shared" si="217"/>
        <v/>
      </c>
      <c r="FT55" s="6" t="str">
        <f t="shared" si="218"/>
        <v/>
      </c>
      <c r="FU55" s="4" t="str">
        <f t="shared" si="219"/>
        <v/>
      </c>
      <c r="FV55" s="5" t="str">
        <f t="shared" si="220"/>
        <v/>
      </c>
      <c r="FW55" s="8" t="str">
        <f t="shared" si="244"/>
        <v/>
      </c>
      <c r="FX55" s="9" t="str">
        <f t="shared" si="245"/>
        <v/>
      </c>
      <c r="FY55" s="10" t="str">
        <f t="shared" si="500"/>
        <v/>
      </c>
      <c r="FZ55" s="277" t="str">
        <f t="shared" si="246"/>
        <v/>
      </c>
      <c r="GA55" s="177" t="str">
        <f t="shared" si="221"/>
        <v/>
      </c>
      <c r="GB55" s="4" t="str">
        <f t="shared" si="222"/>
        <v/>
      </c>
      <c r="GC55" s="5" t="str">
        <f t="shared" si="223"/>
        <v/>
      </c>
      <c r="GD55" s="10" t="str">
        <f t="shared" si="224"/>
        <v/>
      </c>
      <c r="GE55" s="311" t="str">
        <f t="shared" si="225"/>
        <v/>
      </c>
      <c r="GF55" s="341" t="str">
        <f t="shared" si="247"/>
        <v/>
      </c>
      <c r="GG55" s="285" t="str">
        <f t="shared" si="501"/>
        <v/>
      </c>
      <c r="GH55" s="286" t="str">
        <f t="shared" si="502"/>
        <v/>
      </c>
      <c r="GI55" s="281" t="str">
        <f t="shared" si="503"/>
        <v/>
      </c>
      <c r="GJ55" s="167" t="str">
        <f t="shared" si="226"/>
        <v/>
      </c>
      <c r="GK55" s="174" t="str">
        <f t="shared" si="504"/>
        <v/>
      </c>
      <c r="GL55" s="174" t="str">
        <f t="shared" si="227"/>
        <v/>
      </c>
      <c r="GM55" s="177" t="str">
        <f t="shared" si="248"/>
        <v/>
      </c>
      <c r="GN55" s="280" t="str">
        <f t="shared" si="228"/>
        <v/>
      </c>
      <c r="GO55" s="4" t="str">
        <f t="shared" si="229"/>
        <v/>
      </c>
      <c r="GP55" s="8" t="str">
        <f t="shared" si="249"/>
        <v/>
      </c>
      <c r="GQ55" s="177" t="str">
        <f t="shared" si="230"/>
        <v/>
      </c>
      <c r="GR55" s="371" t="str">
        <f t="shared" si="250"/>
        <v/>
      </c>
      <c r="GS55" s="342" t="str">
        <f t="shared" si="505"/>
        <v/>
      </c>
      <c r="GT55" s="343" t="str">
        <f t="shared" si="506"/>
        <v/>
      </c>
      <c r="GU55" s="344" t="str">
        <f t="shared" si="507"/>
        <v/>
      </c>
      <c r="GV55" s="343" t="str">
        <f t="shared" si="252"/>
        <v/>
      </c>
      <c r="GW55" s="345" t="str">
        <f t="shared" si="508"/>
        <v/>
      </c>
      <c r="GX55" s="346" t="str">
        <f t="shared" si="509"/>
        <v/>
      </c>
      <c r="GY55" s="344" t="str">
        <f t="shared" si="510"/>
        <v/>
      </c>
      <c r="GZ55" s="345" t="str">
        <f t="shared" si="511"/>
        <v/>
      </c>
      <c r="HA55" s="342" t="str">
        <f t="shared" si="512"/>
        <v/>
      </c>
      <c r="HB55" s="5" t="str">
        <f t="shared" si="231"/>
        <v/>
      </c>
      <c r="HC55" s="343" t="str">
        <f t="shared" si="232"/>
        <v/>
      </c>
      <c r="HD55" s="363" t="str">
        <f t="shared" si="233"/>
        <v/>
      </c>
      <c r="HE55" s="344" t="str">
        <f t="shared" si="513"/>
        <v/>
      </c>
      <c r="HF55" s="5" t="str">
        <f t="shared" si="514"/>
        <v/>
      </c>
      <c r="HG55" s="343" t="str">
        <f t="shared" si="234"/>
        <v/>
      </c>
      <c r="HH55" s="349" t="str">
        <f t="shared" si="235"/>
        <v/>
      </c>
      <c r="HI55" s="317" t="str">
        <f t="shared" si="408"/>
        <v/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 t="str">
        <f t="shared" si="236"/>
        <v/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 t="str">
        <f t="shared" si="426"/>
        <v/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 t="str">
        <f t="shared" si="256"/>
        <v/>
      </c>
      <c r="B56" s="578" t="str">
        <f t="shared" si="515"/>
        <v/>
      </c>
      <c r="C56" s="572" t="str">
        <f t="shared" si="516"/>
        <v/>
      </c>
      <c r="D56" s="576" t="str">
        <f t="shared" si="517"/>
        <v/>
      </c>
      <c r="E56" s="580" t="str">
        <f t="shared" si="518"/>
        <v/>
      </c>
      <c r="F56" s="572" t="str">
        <f t="shared" si="519"/>
        <v/>
      </c>
      <c r="G56" s="579" t="str">
        <f t="shared" si="520"/>
        <v/>
      </c>
      <c r="H56" s="580" t="str">
        <f t="shared" si="521"/>
        <v/>
      </c>
      <c r="I56" s="572" t="str">
        <f t="shared" si="522"/>
        <v/>
      </c>
      <c r="J56" s="483" t="str">
        <f t="shared" si="523"/>
        <v/>
      </c>
      <c r="K56" s="806" t="str">
        <f t="shared" si="524"/>
        <v/>
      </c>
      <c r="L56" s="309"/>
      <c r="M56" s="164" t="str">
        <f t="shared" si="267"/>
        <v/>
      </c>
      <c r="N56" s="575" t="str">
        <f t="shared" si="268"/>
        <v/>
      </c>
      <c r="O56" s="572" t="str">
        <f t="shared" si="269"/>
        <v/>
      </c>
      <c r="P56" s="576" t="str">
        <f t="shared" si="270"/>
        <v/>
      </c>
      <c r="Q56" s="528" t="str">
        <f t="shared" si="140"/>
        <v/>
      </c>
      <c r="R56" s="572" t="str">
        <f t="shared" si="464"/>
        <v/>
      </c>
      <c r="S56" s="577" t="str">
        <f t="shared" si="465"/>
        <v/>
      </c>
      <c r="T56" s="578" t="str">
        <f t="shared" si="466"/>
        <v/>
      </c>
      <c r="U56" s="572" t="str">
        <f t="shared" si="467"/>
        <v/>
      </c>
      <c r="V56" s="579" t="str">
        <f t="shared" si="468"/>
        <v/>
      </c>
      <c r="W56" s="528" t="str">
        <f t="shared" si="253"/>
        <v/>
      </c>
      <c r="X56" s="572" t="str">
        <f t="shared" si="469"/>
        <v/>
      </c>
      <c r="Y56" s="573" t="str">
        <f t="shared" si="255"/>
        <v/>
      </c>
      <c r="Z56" s="575" t="str">
        <f t="shared" si="271"/>
        <v/>
      </c>
      <c r="AA56" s="572" t="str">
        <f t="shared" si="272"/>
        <v/>
      </c>
      <c r="AB56" s="572" t="str">
        <f t="shared" si="273"/>
        <v/>
      </c>
      <c r="AC56" s="579" t="str">
        <f t="shared" si="470"/>
        <v/>
      </c>
      <c r="AD56" s="580" t="str">
        <f t="shared" si="471"/>
        <v/>
      </c>
      <c r="AE56" s="572" t="str">
        <f t="shared" si="472"/>
        <v/>
      </c>
      <c r="AF56" s="576" t="str">
        <f t="shared" si="473"/>
        <v/>
      </c>
      <c r="AG56" s="545" t="str">
        <f t="shared" si="474"/>
        <v/>
      </c>
      <c r="AH56" s="546" t="str">
        <f t="shared" si="475"/>
        <v/>
      </c>
      <c r="AI56" s="528" t="str">
        <f t="shared" si="476"/>
        <v/>
      </c>
      <c r="AJ56" s="529" t="str">
        <f t="shared" si="477"/>
        <v/>
      </c>
      <c r="AK56" s="578" t="str">
        <f t="shared" si="478"/>
        <v/>
      </c>
      <c r="AL56" s="572" t="str">
        <f t="shared" si="479"/>
        <v/>
      </c>
      <c r="AM56" s="577" t="str">
        <f t="shared" si="480"/>
        <v/>
      </c>
      <c r="AN56" s="524" t="str">
        <f t="shared" si="481"/>
        <v/>
      </c>
      <c r="AO56" s="525" t="str">
        <f t="shared" ref="AO56:AO119" si="525">IF(ROUND(IF(M56="",0,DEGREES(ACOS(AK56))),4)=90,0,IF(M56="","",DEGREES(ACOS(AK56))))</f>
        <v/>
      </c>
      <c r="AP56" s="528" t="str">
        <f t="shared" si="482"/>
        <v/>
      </c>
      <c r="AQ56" s="529" t="str">
        <f t="shared" si="274"/>
        <v/>
      </c>
      <c r="AS56" s="932" t="str">
        <f t="shared" si="461"/>
        <v/>
      </c>
      <c r="AT56" s="928" t="str">
        <f t="shared" si="275"/>
        <v/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 t="str">
        <f t="shared" si="236"/>
        <v/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 t="str">
        <f t="shared" si="426"/>
        <v/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 t="str">
        <f t="shared" si="256"/>
        <v/>
      </c>
      <c r="B57" s="578" t="str">
        <f t="shared" si="515"/>
        <v/>
      </c>
      <c r="C57" s="572" t="str">
        <f t="shared" si="516"/>
        <v/>
      </c>
      <c r="D57" s="576" t="str">
        <f t="shared" si="517"/>
        <v/>
      </c>
      <c r="E57" s="580" t="str">
        <f t="shared" si="518"/>
        <v/>
      </c>
      <c r="F57" s="572" t="str">
        <f t="shared" si="519"/>
        <v/>
      </c>
      <c r="G57" s="579" t="str">
        <f t="shared" si="520"/>
        <v/>
      </c>
      <c r="H57" s="580" t="str">
        <f t="shared" si="521"/>
        <v/>
      </c>
      <c r="I57" s="572" t="str">
        <f t="shared" si="522"/>
        <v/>
      </c>
      <c r="J57" s="483" t="str">
        <f t="shared" si="523"/>
        <v/>
      </c>
      <c r="K57" s="806" t="str">
        <f t="shared" si="524"/>
        <v/>
      </c>
      <c r="L57" s="309"/>
      <c r="M57" s="164" t="str">
        <f t="shared" si="267"/>
        <v/>
      </c>
      <c r="N57" s="575" t="str">
        <f t="shared" si="268"/>
        <v/>
      </c>
      <c r="O57" s="572" t="str">
        <f t="shared" si="269"/>
        <v/>
      </c>
      <c r="P57" s="576" t="str">
        <f t="shared" si="270"/>
        <v/>
      </c>
      <c r="Q57" s="528" t="str">
        <f t="shared" si="140"/>
        <v/>
      </c>
      <c r="R57" s="572" t="str">
        <f t="shared" si="464"/>
        <v/>
      </c>
      <c r="S57" s="577" t="str">
        <f t="shared" si="465"/>
        <v/>
      </c>
      <c r="T57" s="578" t="str">
        <f t="shared" si="466"/>
        <v/>
      </c>
      <c r="U57" s="572" t="str">
        <f t="shared" si="467"/>
        <v/>
      </c>
      <c r="V57" s="579" t="str">
        <f t="shared" si="468"/>
        <v/>
      </c>
      <c r="W57" s="528" t="str">
        <f t="shared" si="253"/>
        <v/>
      </c>
      <c r="X57" s="572" t="str">
        <f t="shared" si="469"/>
        <v/>
      </c>
      <c r="Y57" s="573" t="str">
        <f t="shared" si="255"/>
        <v/>
      </c>
      <c r="Z57" s="575" t="str">
        <f t="shared" si="271"/>
        <v/>
      </c>
      <c r="AA57" s="572" t="str">
        <f t="shared" si="272"/>
        <v/>
      </c>
      <c r="AB57" s="572" t="str">
        <f t="shared" si="273"/>
        <v/>
      </c>
      <c r="AC57" s="579" t="str">
        <f t="shared" si="470"/>
        <v/>
      </c>
      <c r="AD57" s="580" t="str">
        <f t="shared" si="471"/>
        <v/>
      </c>
      <c r="AE57" s="572" t="str">
        <f t="shared" si="472"/>
        <v/>
      </c>
      <c r="AF57" s="576" t="str">
        <f t="shared" si="473"/>
        <v/>
      </c>
      <c r="AG57" s="545" t="str">
        <f t="shared" si="474"/>
        <v/>
      </c>
      <c r="AH57" s="546" t="str">
        <f t="shared" si="475"/>
        <v/>
      </c>
      <c r="AI57" s="528" t="str">
        <f t="shared" si="476"/>
        <v/>
      </c>
      <c r="AJ57" s="529" t="str">
        <f t="shared" si="477"/>
        <v/>
      </c>
      <c r="AK57" s="578" t="str">
        <f t="shared" si="478"/>
        <v/>
      </c>
      <c r="AL57" s="572" t="str">
        <f t="shared" si="479"/>
        <v/>
      </c>
      <c r="AM57" s="577" t="str">
        <f t="shared" si="480"/>
        <v/>
      </c>
      <c r="AN57" s="524" t="str">
        <f t="shared" si="481"/>
        <v/>
      </c>
      <c r="AO57" s="525" t="str">
        <f t="shared" si="525"/>
        <v/>
      </c>
      <c r="AP57" s="528" t="str">
        <f t="shared" si="482"/>
        <v/>
      </c>
      <c r="AQ57" s="529" t="str">
        <f t="shared" si="274"/>
        <v/>
      </c>
      <c r="AS57" s="932" t="str">
        <f t="shared" si="461"/>
        <v/>
      </c>
      <c r="AT57" s="928" t="str">
        <f t="shared" si="275"/>
        <v/>
      </c>
      <c r="AU57" s="418"/>
      <c r="AV57" s="164" t="str">
        <f t="shared" si="276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4"/>
        <v/>
      </c>
      <c r="BA57" s="296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9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40"/>
        <v/>
      </c>
      <c r="CQ57" s="5" t="str">
        <f t="shared" si="241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2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73" t="str">
        <f t="shared" si="489"/>
        <v/>
      </c>
      <c r="FB57" s="5" t="str">
        <f t="shared" si="490"/>
        <v/>
      </c>
      <c r="FC57" s="6" t="str">
        <f t="shared" si="491"/>
        <v/>
      </c>
      <c r="FD57" s="4" t="str">
        <f t="shared" si="492"/>
        <v/>
      </c>
      <c r="FE57" s="5" t="str">
        <f t="shared" si="493"/>
        <v/>
      </c>
      <c r="FF57" s="7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9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7" t="str">
        <f t="shared" si="499"/>
        <v/>
      </c>
      <c r="FQ57" s="173" t="str">
        <f t="shared" si="243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4"/>
        <v/>
      </c>
      <c r="FX57" s="9" t="str">
        <f t="shared" si="245"/>
        <v/>
      </c>
      <c r="FY57" s="10" t="str">
        <f t="shared" si="500"/>
        <v/>
      </c>
      <c r="FZ57" s="277" t="str">
        <f t="shared" si="246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11" t="str">
        <f t="shared" si="225"/>
        <v/>
      </c>
      <c r="GF57" s="341" t="str">
        <f t="shared" si="247"/>
        <v/>
      </c>
      <c r="GG57" s="285" t="str">
        <f t="shared" si="501"/>
        <v/>
      </c>
      <c r="GH57" s="286" t="str">
        <f t="shared" si="502"/>
        <v/>
      </c>
      <c r="GI57" s="281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8"/>
        <v/>
      </c>
      <c r="GN57" s="280" t="str">
        <f t="shared" si="228"/>
        <v/>
      </c>
      <c r="GO57" s="4" t="str">
        <f t="shared" si="229"/>
        <v/>
      </c>
      <c r="GP57" s="8" t="str">
        <f t="shared" si="249"/>
        <v/>
      </c>
      <c r="GQ57" s="177" t="str">
        <f t="shared" si="230"/>
        <v/>
      </c>
      <c r="GR57" s="371" t="str">
        <f t="shared" si="250"/>
        <v/>
      </c>
      <c r="GS57" s="342" t="str">
        <f t="shared" si="505"/>
        <v/>
      </c>
      <c r="GT57" s="343" t="str">
        <f t="shared" si="506"/>
        <v/>
      </c>
      <c r="GU57" s="344" t="str">
        <f t="shared" si="507"/>
        <v/>
      </c>
      <c r="GV57" s="343" t="str">
        <f t="shared" si="252"/>
        <v/>
      </c>
      <c r="GW57" s="345" t="str">
        <f t="shared" si="508"/>
        <v/>
      </c>
      <c r="GX57" s="346" t="str">
        <f t="shared" si="509"/>
        <v/>
      </c>
      <c r="GY57" s="344" t="str">
        <f t="shared" si="510"/>
        <v/>
      </c>
      <c r="GZ57" s="345" t="str">
        <f t="shared" si="511"/>
        <v/>
      </c>
      <c r="HA57" s="342" t="str">
        <f t="shared" si="512"/>
        <v/>
      </c>
      <c r="HB57" s="5" t="str">
        <f t="shared" si="231"/>
        <v/>
      </c>
      <c r="HC57" s="343" t="str">
        <f t="shared" si="232"/>
        <v/>
      </c>
      <c r="HD57" s="363" t="str">
        <f t="shared" si="233"/>
        <v/>
      </c>
      <c r="HE57" s="344" t="str">
        <f t="shared" si="513"/>
        <v/>
      </c>
      <c r="HF57" s="5" t="str">
        <f t="shared" si="514"/>
        <v/>
      </c>
      <c r="HG57" s="343" t="str">
        <f t="shared" si="234"/>
        <v/>
      </c>
      <c r="HH57" s="349" t="str">
        <f t="shared" si="235"/>
        <v/>
      </c>
      <c r="HI57" s="317" t="str">
        <f t="shared" si="408"/>
        <v/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 t="str">
        <f t="shared" si="236"/>
        <v/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 t="str">
        <f t="shared" si="426"/>
        <v/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 t="str">
        <f t="shared" si="256"/>
        <v/>
      </c>
      <c r="B58" s="578" t="str">
        <f t="shared" si="515"/>
        <v/>
      </c>
      <c r="C58" s="572" t="str">
        <f t="shared" si="516"/>
        <v/>
      </c>
      <c r="D58" s="576" t="str">
        <f t="shared" si="517"/>
        <v/>
      </c>
      <c r="E58" s="580" t="str">
        <f t="shared" si="518"/>
        <v/>
      </c>
      <c r="F58" s="572" t="str">
        <f t="shared" si="519"/>
        <v/>
      </c>
      <c r="G58" s="579" t="str">
        <f t="shared" si="520"/>
        <v/>
      </c>
      <c r="H58" s="580" t="str">
        <f t="shared" si="521"/>
        <v/>
      </c>
      <c r="I58" s="572" t="str">
        <f t="shared" si="522"/>
        <v/>
      </c>
      <c r="J58" s="483" t="str">
        <f t="shared" si="523"/>
        <v/>
      </c>
      <c r="K58" s="806" t="str">
        <f t="shared" si="524"/>
        <v/>
      </c>
      <c r="L58" s="309"/>
      <c r="M58" s="164" t="str">
        <f t="shared" si="267"/>
        <v/>
      </c>
      <c r="N58" s="575" t="str">
        <f t="shared" si="268"/>
        <v/>
      </c>
      <c r="O58" s="572" t="str">
        <f t="shared" si="269"/>
        <v/>
      </c>
      <c r="P58" s="576" t="str">
        <f t="shared" si="270"/>
        <v/>
      </c>
      <c r="Q58" s="528" t="str">
        <f t="shared" si="140"/>
        <v/>
      </c>
      <c r="R58" s="572" t="str">
        <f t="shared" si="464"/>
        <v/>
      </c>
      <c r="S58" s="577" t="str">
        <f t="shared" si="465"/>
        <v/>
      </c>
      <c r="T58" s="578" t="str">
        <f t="shared" si="466"/>
        <v/>
      </c>
      <c r="U58" s="572" t="str">
        <f t="shared" si="467"/>
        <v/>
      </c>
      <c r="V58" s="579" t="str">
        <f t="shared" si="468"/>
        <v/>
      </c>
      <c r="W58" s="528" t="str">
        <f t="shared" si="253"/>
        <v/>
      </c>
      <c r="X58" s="572" t="str">
        <f t="shared" si="469"/>
        <v/>
      </c>
      <c r="Y58" s="573" t="str">
        <f t="shared" si="255"/>
        <v/>
      </c>
      <c r="Z58" s="575" t="str">
        <f t="shared" si="271"/>
        <v/>
      </c>
      <c r="AA58" s="572" t="str">
        <f t="shared" si="272"/>
        <v/>
      </c>
      <c r="AB58" s="572" t="str">
        <f t="shared" si="273"/>
        <v/>
      </c>
      <c r="AC58" s="579" t="str">
        <f t="shared" si="470"/>
        <v/>
      </c>
      <c r="AD58" s="580" t="str">
        <f t="shared" si="471"/>
        <v/>
      </c>
      <c r="AE58" s="572" t="str">
        <f t="shared" si="472"/>
        <v/>
      </c>
      <c r="AF58" s="576" t="str">
        <f t="shared" si="473"/>
        <v/>
      </c>
      <c r="AG58" s="545" t="str">
        <f t="shared" si="474"/>
        <v/>
      </c>
      <c r="AH58" s="546" t="str">
        <f t="shared" si="475"/>
        <v/>
      </c>
      <c r="AI58" s="528" t="str">
        <f t="shared" si="476"/>
        <v/>
      </c>
      <c r="AJ58" s="529" t="str">
        <f t="shared" si="477"/>
        <v/>
      </c>
      <c r="AK58" s="578" t="str">
        <f t="shared" si="478"/>
        <v/>
      </c>
      <c r="AL58" s="572" t="str">
        <f t="shared" si="479"/>
        <v/>
      </c>
      <c r="AM58" s="577" t="str">
        <f t="shared" si="480"/>
        <v/>
      </c>
      <c r="AN58" s="524" t="str">
        <f t="shared" si="481"/>
        <v/>
      </c>
      <c r="AO58" s="525" t="str">
        <f t="shared" si="525"/>
        <v/>
      </c>
      <c r="AP58" s="528" t="str">
        <f t="shared" si="482"/>
        <v/>
      </c>
      <c r="AQ58" s="529" t="str">
        <f t="shared" si="274"/>
        <v/>
      </c>
      <c r="AS58" s="932" t="str">
        <f t="shared" si="461"/>
        <v/>
      </c>
      <c r="AT58" s="928" t="str">
        <f t="shared" si="275"/>
        <v/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 t="str">
        <f t="shared" si="236"/>
        <v/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 t="str">
        <f t="shared" si="426"/>
        <v/>
      </c>
      <c r="IM58" s="482" t="str">
        <f t="shared" si="237"/>
        <v/>
      </c>
      <c r="IN58" s="670" t="str">
        <f t="shared" si="427"/>
        <v/>
      </c>
      <c r="IO58" s="702"/>
      <c r="IP58" s="5" t="str">
        <f t="shared" si="428"/>
        <v/>
      </c>
      <c r="IQ58" s="714"/>
      <c r="IR58" s="9" t="str">
        <f t="shared" si="429"/>
        <v/>
      </c>
      <c r="IS58" s="5" t="str">
        <f t="shared" si="430"/>
        <v/>
      </c>
      <c r="IT58" s="5" t="str">
        <f t="shared" si="431"/>
        <v/>
      </c>
      <c r="IU58" s="5" t="str">
        <f t="shared" si="432"/>
        <v/>
      </c>
      <c r="IV58" s="670" t="str">
        <f t="shared" si="433"/>
        <v/>
      </c>
      <c r="IW58" s="9" t="str">
        <f t="shared" si="434"/>
        <v/>
      </c>
      <c r="IX58" s="5" t="str">
        <f t="shared" si="435"/>
        <v/>
      </c>
      <c r="IY58" s="5" t="str">
        <f t="shared" si="436"/>
        <v/>
      </c>
      <c r="IZ58" s="5" t="str">
        <f t="shared" si="437"/>
        <v/>
      </c>
      <c r="JA58" s="705" t="str">
        <f t="shared" si="438"/>
        <v/>
      </c>
    </row>
    <row r="59" spans="1:261" ht="15" customHeight="1" x14ac:dyDescent="0.25">
      <c r="A59" s="75" t="str">
        <f t="shared" si="256"/>
        <v/>
      </c>
      <c r="B59" s="578" t="str">
        <f t="shared" si="515"/>
        <v/>
      </c>
      <c r="C59" s="572" t="str">
        <f t="shared" si="516"/>
        <v/>
      </c>
      <c r="D59" s="576" t="str">
        <f t="shared" si="517"/>
        <v/>
      </c>
      <c r="E59" s="580" t="str">
        <f t="shared" si="518"/>
        <v/>
      </c>
      <c r="F59" s="572" t="str">
        <f t="shared" si="519"/>
        <v/>
      </c>
      <c r="G59" s="579" t="str">
        <f t="shared" si="520"/>
        <v/>
      </c>
      <c r="H59" s="580" t="str">
        <f t="shared" si="521"/>
        <v/>
      </c>
      <c r="I59" s="572" t="str">
        <f t="shared" si="522"/>
        <v/>
      </c>
      <c r="J59" s="483" t="str">
        <f t="shared" si="523"/>
        <v/>
      </c>
      <c r="K59" s="806" t="str">
        <f t="shared" si="524"/>
        <v/>
      </c>
      <c r="L59" s="309"/>
      <c r="M59" s="164" t="str">
        <f t="shared" si="267"/>
        <v/>
      </c>
      <c r="N59" s="575" t="str">
        <f t="shared" si="268"/>
        <v/>
      </c>
      <c r="O59" s="572" t="str">
        <f t="shared" si="269"/>
        <v/>
      </c>
      <c r="P59" s="576" t="str">
        <f t="shared" si="270"/>
        <v/>
      </c>
      <c r="Q59" s="528" t="str">
        <f t="shared" si="140"/>
        <v/>
      </c>
      <c r="R59" s="572" t="str">
        <f t="shared" si="101"/>
        <v/>
      </c>
      <c r="S59" s="577" t="str">
        <f t="shared" si="102"/>
        <v/>
      </c>
      <c r="T59" s="578" t="str">
        <f t="shared" si="103"/>
        <v/>
      </c>
      <c r="U59" s="572" t="str">
        <f t="shared" si="104"/>
        <v/>
      </c>
      <c r="V59" s="579" t="str">
        <f t="shared" si="141"/>
        <v/>
      </c>
      <c r="W59" s="528" t="str">
        <f t="shared" si="253"/>
        <v/>
      </c>
      <c r="X59" s="572" t="str">
        <f t="shared" si="105"/>
        <v/>
      </c>
      <c r="Y59" s="573" t="str">
        <f t="shared" si="255"/>
        <v/>
      </c>
      <c r="Z59" s="575" t="str">
        <f t="shared" si="271"/>
        <v/>
      </c>
      <c r="AA59" s="572" t="str">
        <f t="shared" si="272"/>
        <v/>
      </c>
      <c r="AB59" s="572" t="str">
        <f t="shared" si="273"/>
        <v/>
      </c>
      <c r="AC59" s="579" t="str">
        <f t="shared" si="106"/>
        <v/>
      </c>
      <c r="AD59" s="580" t="str">
        <f t="shared" si="142"/>
        <v/>
      </c>
      <c r="AE59" s="572" t="str">
        <f t="shared" si="107"/>
        <v/>
      </c>
      <c r="AF59" s="576" t="str">
        <f t="shared" si="108"/>
        <v/>
      </c>
      <c r="AG59" s="545" t="str">
        <f t="shared" si="109"/>
        <v/>
      </c>
      <c r="AH59" s="546" t="str">
        <f t="shared" si="110"/>
        <v/>
      </c>
      <c r="AI59" s="528" t="str">
        <f t="shared" si="111"/>
        <v/>
      </c>
      <c r="AJ59" s="529" t="str">
        <f t="shared" si="112"/>
        <v/>
      </c>
      <c r="AK59" s="578" t="str">
        <f t="shared" si="238"/>
        <v/>
      </c>
      <c r="AL59" s="572" t="str">
        <f t="shared" si="113"/>
        <v/>
      </c>
      <c r="AM59" s="577" t="str">
        <f t="shared" si="114"/>
        <v/>
      </c>
      <c r="AN59" s="524" t="str">
        <f t="shared" si="115"/>
        <v/>
      </c>
      <c r="AO59" s="525" t="str">
        <f t="shared" si="525"/>
        <v/>
      </c>
      <c r="AP59" s="528" t="str">
        <f t="shared" si="117"/>
        <v/>
      </c>
      <c r="AQ59" s="529" t="str">
        <f t="shared" si="274"/>
        <v/>
      </c>
      <c r="AS59" s="932" t="str">
        <f t="shared" si="461"/>
        <v/>
      </c>
      <c r="AT59" s="928" t="str">
        <f t="shared" si="275"/>
        <v/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 t="str">
        <f t="shared" si="236"/>
        <v/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 t="str">
        <f t="shared" si="426"/>
        <v/>
      </c>
      <c r="IM59" s="482" t="str">
        <f t="shared" si="237"/>
        <v/>
      </c>
      <c r="IN59" s="670" t="str">
        <f t="shared" si="427"/>
        <v/>
      </c>
      <c r="IO59" s="702"/>
      <c r="IP59" s="5" t="str">
        <f t="shared" si="428"/>
        <v/>
      </c>
      <c r="IQ59" s="714"/>
      <c r="IR59" s="9" t="str">
        <f t="shared" si="429"/>
        <v/>
      </c>
      <c r="IS59" s="5" t="str">
        <f t="shared" si="430"/>
        <v/>
      </c>
      <c r="IT59" s="5" t="str">
        <f t="shared" si="431"/>
        <v/>
      </c>
      <c r="IU59" s="5" t="str">
        <f t="shared" si="432"/>
        <v/>
      </c>
      <c r="IV59" s="670" t="str">
        <f t="shared" si="433"/>
        <v/>
      </c>
      <c r="IW59" s="9" t="str">
        <f t="shared" si="434"/>
        <v/>
      </c>
      <c r="IX59" s="5" t="str">
        <f t="shared" si="435"/>
        <v/>
      </c>
      <c r="IY59" s="5" t="str">
        <f t="shared" si="436"/>
        <v/>
      </c>
      <c r="IZ59" s="5" t="str">
        <f t="shared" si="437"/>
        <v/>
      </c>
      <c r="JA59" s="705" t="str">
        <f t="shared" si="438"/>
        <v/>
      </c>
    </row>
    <row r="60" spans="1:261" ht="15" customHeight="1" x14ac:dyDescent="0.25">
      <c r="A60" s="75" t="str">
        <f t="shared" si="256"/>
        <v/>
      </c>
      <c r="B60" s="578" t="str">
        <f t="shared" si="515"/>
        <v/>
      </c>
      <c r="C60" s="572" t="str">
        <f t="shared" si="516"/>
        <v/>
      </c>
      <c r="D60" s="576" t="str">
        <f t="shared" si="517"/>
        <v/>
      </c>
      <c r="E60" s="580" t="str">
        <f t="shared" si="518"/>
        <v/>
      </c>
      <c r="F60" s="572" t="str">
        <f t="shared" si="519"/>
        <v/>
      </c>
      <c r="G60" s="579" t="str">
        <f t="shared" si="520"/>
        <v/>
      </c>
      <c r="H60" s="580" t="str">
        <f t="shared" si="521"/>
        <v/>
      </c>
      <c r="I60" s="572" t="str">
        <f t="shared" si="522"/>
        <v/>
      </c>
      <c r="J60" s="483" t="str">
        <f t="shared" si="523"/>
        <v/>
      </c>
      <c r="K60" s="806" t="str">
        <f t="shared" si="524"/>
        <v/>
      </c>
      <c r="L60" s="309"/>
      <c r="M60" s="164" t="str">
        <f t="shared" si="267"/>
        <v/>
      </c>
      <c r="N60" s="575" t="str">
        <f t="shared" si="268"/>
        <v/>
      </c>
      <c r="O60" s="572" t="str">
        <f t="shared" si="269"/>
        <v/>
      </c>
      <c r="P60" s="576" t="str">
        <f t="shared" si="270"/>
        <v/>
      </c>
      <c r="Q60" s="528" t="str">
        <f t="shared" si="140"/>
        <v/>
      </c>
      <c r="R60" s="572" t="str">
        <f t="shared" si="101"/>
        <v/>
      </c>
      <c r="S60" s="577" t="str">
        <f t="shared" si="102"/>
        <v/>
      </c>
      <c r="T60" s="578" t="str">
        <f t="shared" si="103"/>
        <v/>
      </c>
      <c r="U60" s="572" t="str">
        <f t="shared" si="104"/>
        <v/>
      </c>
      <c r="V60" s="579" t="str">
        <f t="shared" si="141"/>
        <v/>
      </c>
      <c r="W60" s="528" t="str">
        <f t="shared" si="253"/>
        <v/>
      </c>
      <c r="X60" s="572" t="str">
        <f t="shared" si="105"/>
        <v/>
      </c>
      <c r="Y60" s="573" t="str">
        <f t="shared" si="255"/>
        <v/>
      </c>
      <c r="Z60" s="575" t="str">
        <f t="shared" si="271"/>
        <v/>
      </c>
      <c r="AA60" s="572" t="str">
        <f t="shared" si="272"/>
        <v/>
      </c>
      <c r="AB60" s="572" t="str">
        <f t="shared" si="273"/>
        <v/>
      </c>
      <c r="AC60" s="579" t="str">
        <f t="shared" si="106"/>
        <v/>
      </c>
      <c r="AD60" s="580" t="str">
        <f t="shared" si="142"/>
        <v/>
      </c>
      <c r="AE60" s="572" t="str">
        <f t="shared" si="107"/>
        <v/>
      </c>
      <c r="AF60" s="576" t="str">
        <f t="shared" si="108"/>
        <v/>
      </c>
      <c r="AG60" s="545" t="str">
        <f t="shared" si="109"/>
        <v/>
      </c>
      <c r="AH60" s="546" t="str">
        <f t="shared" si="110"/>
        <v/>
      </c>
      <c r="AI60" s="528" t="str">
        <f t="shared" si="111"/>
        <v/>
      </c>
      <c r="AJ60" s="529" t="str">
        <f t="shared" si="112"/>
        <v/>
      </c>
      <c r="AK60" s="578" t="str">
        <f t="shared" si="238"/>
        <v/>
      </c>
      <c r="AL60" s="572" t="str">
        <f t="shared" si="113"/>
        <v/>
      </c>
      <c r="AM60" s="577" t="str">
        <f t="shared" si="114"/>
        <v/>
      </c>
      <c r="AN60" s="524" t="str">
        <f t="shared" si="115"/>
        <v/>
      </c>
      <c r="AO60" s="525" t="str">
        <f t="shared" si="525"/>
        <v/>
      </c>
      <c r="AP60" s="528" t="str">
        <f t="shared" si="117"/>
        <v/>
      </c>
      <c r="AQ60" s="529" t="str">
        <f t="shared" si="274"/>
        <v/>
      </c>
      <c r="AS60" s="932" t="str">
        <f t="shared" si="461"/>
        <v/>
      </c>
      <c r="AT60" s="928" t="str">
        <f t="shared" si="275"/>
        <v/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 t="str">
        <f t="shared" si="236"/>
        <v/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 t="str">
        <f t="shared" si="426"/>
        <v/>
      </c>
      <c r="IM60" s="482" t="str">
        <f t="shared" si="237"/>
        <v/>
      </c>
      <c r="IN60" s="670" t="str">
        <f t="shared" si="427"/>
        <v/>
      </c>
      <c r="IO60" s="702"/>
      <c r="IP60" s="5" t="str">
        <f t="shared" si="428"/>
        <v/>
      </c>
      <c r="IQ60" s="714"/>
      <c r="IR60" s="9" t="str">
        <f t="shared" si="429"/>
        <v/>
      </c>
      <c r="IS60" s="5" t="str">
        <f t="shared" si="430"/>
        <v/>
      </c>
      <c r="IT60" s="5" t="str">
        <f t="shared" si="431"/>
        <v/>
      </c>
      <c r="IU60" s="5" t="str">
        <f t="shared" si="432"/>
        <v/>
      </c>
      <c r="IV60" s="670" t="str">
        <f t="shared" si="433"/>
        <v/>
      </c>
      <c r="IW60" s="9" t="str">
        <f t="shared" si="434"/>
        <v/>
      </c>
      <c r="IX60" s="5" t="str">
        <f t="shared" si="435"/>
        <v/>
      </c>
      <c r="IY60" s="5" t="str">
        <f t="shared" si="436"/>
        <v/>
      </c>
      <c r="IZ60" s="5" t="str">
        <f t="shared" si="437"/>
        <v/>
      </c>
      <c r="JA60" s="705" t="str">
        <f t="shared" si="438"/>
        <v/>
      </c>
    </row>
    <row r="61" spans="1:261" ht="15" customHeight="1" x14ac:dyDescent="0.25">
      <c r="A61" s="75" t="str">
        <f t="shared" si="256"/>
        <v/>
      </c>
      <c r="B61" s="578" t="str">
        <f t="shared" si="515"/>
        <v/>
      </c>
      <c r="C61" s="572" t="str">
        <f t="shared" si="516"/>
        <v/>
      </c>
      <c r="D61" s="576" t="str">
        <f t="shared" si="517"/>
        <v/>
      </c>
      <c r="E61" s="580" t="str">
        <f t="shared" si="518"/>
        <v/>
      </c>
      <c r="F61" s="572" t="str">
        <f t="shared" si="519"/>
        <v/>
      </c>
      <c r="G61" s="579" t="str">
        <f t="shared" si="520"/>
        <v/>
      </c>
      <c r="H61" s="580" t="str">
        <f t="shared" si="521"/>
        <v/>
      </c>
      <c r="I61" s="572" t="str">
        <f t="shared" si="522"/>
        <v/>
      </c>
      <c r="J61" s="483" t="str">
        <f t="shared" si="523"/>
        <v/>
      </c>
      <c r="K61" s="806" t="str">
        <f t="shared" si="524"/>
        <v/>
      </c>
      <c r="L61" s="309"/>
      <c r="M61" s="164" t="str">
        <f t="shared" si="267"/>
        <v/>
      </c>
      <c r="N61" s="575" t="str">
        <f t="shared" si="268"/>
        <v/>
      </c>
      <c r="O61" s="572" t="str">
        <f t="shared" si="269"/>
        <v/>
      </c>
      <c r="P61" s="576" t="str">
        <f t="shared" si="270"/>
        <v/>
      </c>
      <c r="Q61" s="528" t="str">
        <f t="shared" si="140"/>
        <v/>
      </c>
      <c r="R61" s="572" t="str">
        <f t="shared" si="101"/>
        <v/>
      </c>
      <c r="S61" s="577" t="str">
        <f t="shared" si="102"/>
        <v/>
      </c>
      <c r="T61" s="578" t="str">
        <f t="shared" si="103"/>
        <v/>
      </c>
      <c r="U61" s="572" t="str">
        <f t="shared" si="104"/>
        <v/>
      </c>
      <c r="V61" s="579" t="str">
        <f t="shared" si="141"/>
        <v/>
      </c>
      <c r="W61" s="528" t="str">
        <f t="shared" si="253"/>
        <v/>
      </c>
      <c r="X61" s="572" t="str">
        <f t="shared" si="105"/>
        <v/>
      </c>
      <c r="Y61" s="573" t="str">
        <f t="shared" si="255"/>
        <v/>
      </c>
      <c r="Z61" s="575" t="str">
        <f t="shared" si="271"/>
        <v/>
      </c>
      <c r="AA61" s="572" t="str">
        <f t="shared" si="272"/>
        <v/>
      </c>
      <c r="AB61" s="572" t="str">
        <f t="shared" si="273"/>
        <v/>
      </c>
      <c r="AC61" s="579" t="str">
        <f t="shared" si="106"/>
        <v/>
      </c>
      <c r="AD61" s="580" t="str">
        <f t="shared" si="142"/>
        <v/>
      </c>
      <c r="AE61" s="572" t="str">
        <f t="shared" si="107"/>
        <v/>
      </c>
      <c r="AF61" s="576" t="str">
        <f t="shared" si="108"/>
        <v/>
      </c>
      <c r="AG61" s="545" t="str">
        <f t="shared" si="109"/>
        <v/>
      </c>
      <c r="AH61" s="546" t="str">
        <f t="shared" si="110"/>
        <v/>
      </c>
      <c r="AI61" s="528" t="str">
        <f t="shared" si="111"/>
        <v/>
      </c>
      <c r="AJ61" s="529" t="str">
        <f t="shared" si="112"/>
        <v/>
      </c>
      <c r="AK61" s="578" t="str">
        <f t="shared" si="238"/>
        <v/>
      </c>
      <c r="AL61" s="572" t="str">
        <f t="shared" si="113"/>
        <v/>
      </c>
      <c r="AM61" s="577" t="str">
        <f t="shared" si="114"/>
        <v/>
      </c>
      <c r="AN61" s="524" t="str">
        <f t="shared" si="115"/>
        <v/>
      </c>
      <c r="AO61" s="525" t="str">
        <f t="shared" si="525"/>
        <v/>
      </c>
      <c r="AP61" s="528" t="str">
        <f t="shared" si="117"/>
        <v/>
      </c>
      <c r="AQ61" s="529" t="str">
        <f t="shared" si="274"/>
        <v/>
      </c>
      <c r="AS61" s="932" t="str">
        <f t="shared" si="461"/>
        <v/>
      </c>
      <c r="AT61" s="928" t="str">
        <f t="shared" si="275"/>
        <v/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 t="str">
        <f t="shared" si="236"/>
        <v/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 t="str">
        <f t="shared" si="426"/>
        <v/>
      </c>
      <c r="IM61" s="482" t="str">
        <f t="shared" si="237"/>
        <v/>
      </c>
      <c r="IN61" s="670" t="str">
        <f t="shared" si="427"/>
        <v/>
      </c>
      <c r="IO61" s="702"/>
      <c r="IP61" s="5" t="str">
        <f t="shared" si="428"/>
        <v/>
      </c>
      <c r="IQ61" s="714"/>
      <c r="IR61" s="9" t="str">
        <f t="shared" si="429"/>
        <v/>
      </c>
      <c r="IS61" s="5" t="str">
        <f t="shared" si="430"/>
        <v/>
      </c>
      <c r="IT61" s="5" t="str">
        <f t="shared" si="431"/>
        <v/>
      </c>
      <c r="IU61" s="5" t="str">
        <f t="shared" si="432"/>
        <v/>
      </c>
      <c r="IV61" s="670" t="str">
        <f t="shared" si="433"/>
        <v/>
      </c>
      <c r="IW61" s="9" t="str">
        <f t="shared" si="434"/>
        <v/>
      </c>
      <c r="IX61" s="5" t="str">
        <f t="shared" si="435"/>
        <v/>
      </c>
      <c r="IY61" s="5" t="str">
        <f t="shared" si="436"/>
        <v/>
      </c>
      <c r="IZ61" s="5" t="str">
        <f t="shared" si="437"/>
        <v/>
      </c>
      <c r="JA61" s="705" t="str">
        <f t="shared" si="438"/>
        <v/>
      </c>
    </row>
    <row r="62" spans="1:261" ht="15" customHeight="1" x14ac:dyDescent="0.25">
      <c r="A62" s="75" t="str">
        <f t="shared" si="256"/>
        <v/>
      </c>
      <c r="B62" s="578" t="str">
        <f t="shared" si="515"/>
        <v/>
      </c>
      <c r="C62" s="572" t="str">
        <f t="shared" si="516"/>
        <v/>
      </c>
      <c r="D62" s="576" t="str">
        <f t="shared" si="517"/>
        <v/>
      </c>
      <c r="E62" s="580" t="str">
        <f t="shared" si="518"/>
        <v/>
      </c>
      <c r="F62" s="572" t="str">
        <f t="shared" si="519"/>
        <v/>
      </c>
      <c r="G62" s="579" t="str">
        <f t="shared" si="520"/>
        <v/>
      </c>
      <c r="H62" s="580" t="str">
        <f t="shared" si="521"/>
        <v/>
      </c>
      <c r="I62" s="572" t="str">
        <f t="shared" si="522"/>
        <v/>
      </c>
      <c r="J62" s="483" t="str">
        <f t="shared" si="523"/>
        <v/>
      </c>
      <c r="K62" s="806" t="str">
        <f t="shared" si="524"/>
        <v/>
      </c>
      <c r="L62" s="309"/>
      <c r="M62" s="164" t="str">
        <f t="shared" si="267"/>
        <v/>
      </c>
      <c r="N62" s="575" t="str">
        <f t="shared" si="268"/>
        <v/>
      </c>
      <c r="O62" s="572" t="str">
        <f t="shared" si="269"/>
        <v/>
      </c>
      <c r="P62" s="576" t="str">
        <f t="shared" si="270"/>
        <v/>
      </c>
      <c r="Q62" s="528" t="str">
        <f t="shared" si="140"/>
        <v/>
      </c>
      <c r="R62" s="572" t="str">
        <f t="shared" si="101"/>
        <v/>
      </c>
      <c r="S62" s="577" t="str">
        <f t="shared" si="102"/>
        <v/>
      </c>
      <c r="T62" s="578" t="str">
        <f t="shared" si="103"/>
        <v/>
      </c>
      <c r="U62" s="572" t="str">
        <f t="shared" si="104"/>
        <v/>
      </c>
      <c r="V62" s="579" t="str">
        <f t="shared" si="141"/>
        <v/>
      </c>
      <c r="W62" s="528" t="str">
        <f t="shared" si="253"/>
        <v/>
      </c>
      <c r="X62" s="572" t="str">
        <f t="shared" si="105"/>
        <v/>
      </c>
      <c r="Y62" s="573" t="str">
        <f t="shared" si="255"/>
        <v/>
      </c>
      <c r="Z62" s="575" t="str">
        <f t="shared" si="271"/>
        <v/>
      </c>
      <c r="AA62" s="572" t="str">
        <f t="shared" si="272"/>
        <v/>
      </c>
      <c r="AB62" s="572" t="str">
        <f t="shared" si="273"/>
        <v/>
      </c>
      <c r="AC62" s="579" t="str">
        <f t="shared" si="106"/>
        <v/>
      </c>
      <c r="AD62" s="580" t="str">
        <f t="shared" si="142"/>
        <v/>
      </c>
      <c r="AE62" s="572" t="str">
        <f t="shared" si="107"/>
        <v/>
      </c>
      <c r="AF62" s="576" t="str">
        <f t="shared" si="108"/>
        <v/>
      </c>
      <c r="AG62" s="545" t="str">
        <f t="shared" si="109"/>
        <v/>
      </c>
      <c r="AH62" s="546" t="str">
        <f t="shared" si="110"/>
        <v/>
      </c>
      <c r="AI62" s="528" t="str">
        <f t="shared" si="111"/>
        <v/>
      </c>
      <c r="AJ62" s="529" t="str">
        <f t="shared" si="112"/>
        <v/>
      </c>
      <c r="AK62" s="578" t="str">
        <f t="shared" si="238"/>
        <v/>
      </c>
      <c r="AL62" s="572" t="str">
        <f t="shared" si="113"/>
        <v/>
      </c>
      <c r="AM62" s="577" t="str">
        <f t="shared" si="114"/>
        <v/>
      </c>
      <c r="AN62" s="524" t="str">
        <f t="shared" si="115"/>
        <v/>
      </c>
      <c r="AO62" s="525" t="str">
        <f t="shared" si="525"/>
        <v/>
      </c>
      <c r="AP62" s="528" t="str">
        <f t="shared" si="117"/>
        <v/>
      </c>
      <c r="AQ62" s="529" t="str">
        <f t="shared" si="274"/>
        <v/>
      </c>
      <c r="AS62" s="932" t="str">
        <f t="shared" si="461"/>
        <v/>
      </c>
      <c r="AT62" s="928" t="str">
        <f t="shared" si="275"/>
        <v/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 t="str">
        <f t="shared" si="236"/>
        <v/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 t="str">
        <f t="shared" si="426"/>
        <v/>
      </c>
      <c r="IM62" s="482" t="str">
        <f t="shared" si="237"/>
        <v/>
      </c>
      <c r="IN62" s="670" t="str">
        <f t="shared" si="427"/>
        <v/>
      </c>
      <c r="IO62" s="702"/>
      <c r="IP62" s="5" t="str">
        <f t="shared" si="428"/>
        <v/>
      </c>
      <c r="IQ62" s="714"/>
      <c r="IR62" s="9" t="str">
        <f t="shared" si="429"/>
        <v/>
      </c>
      <c r="IS62" s="5" t="str">
        <f t="shared" si="430"/>
        <v/>
      </c>
      <c r="IT62" s="5" t="str">
        <f t="shared" si="431"/>
        <v/>
      </c>
      <c r="IU62" s="5" t="str">
        <f t="shared" si="432"/>
        <v/>
      </c>
      <c r="IV62" s="670" t="str">
        <f t="shared" si="433"/>
        <v/>
      </c>
      <c r="IW62" s="9" t="str">
        <f t="shared" si="434"/>
        <v/>
      </c>
      <c r="IX62" s="5" t="str">
        <f t="shared" si="435"/>
        <v/>
      </c>
      <c r="IY62" s="5" t="str">
        <f t="shared" si="436"/>
        <v/>
      </c>
      <c r="IZ62" s="5" t="str">
        <f t="shared" si="437"/>
        <v/>
      </c>
      <c r="JA62" s="705" t="str">
        <f t="shared" si="438"/>
        <v/>
      </c>
    </row>
    <row r="63" spans="1:261" ht="15" customHeight="1" x14ac:dyDescent="0.25">
      <c r="A63" s="75" t="str">
        <f t="shared" si="256"/>
        <v/>
      </c>
      <c r="B63" s="578" t="str">
        <f t="shared" si="515"/>
        <v/>
      </c>
      <c r="C63" s="572" t="str">
        <f t="shared" si="516"/>
        <v/>
      </c>
      <c r="D63" s="576" t="str">
        <f t="shared" si="517"/>
        <v/>
      </c>
      <c r="E63" s="580" t="str">
        <f t="shared" si="518"/>
        <v/>
      </c>
      <c r="F63" s="572" t="str">
        <f t="shared" si="519"/>
        <v/>
      </c>
      <c r="G63" s="579" t="str">
        <f t="shared" si="520"/>
        <v/>
      </c>
      <c r="H63" s="580" t="str">
        <f t="shared" si="521"/>
        <v/>
      </c>
      <c r="I63" s="572" t="str">
        <f t="shared" si="522"/>
        <v/>
      </c>
      <c r="J63" s="483" t="str">
        <f t="shared" si="523"/>
        <v/>
      </c>
      <c r="K63" s="806" t="str">
        <f t="shared" si="524"/>
        <v/>
      </c>
      <c r="L63" s="309"/>
      <c r="M63" s="164" t="str">
        <f t="shared" si="267"/>
        <v/>
      </c>
      <c r="N63" s="575" t="str">
        <f t="shared" si="268"/>
        <v/>
      </c>
      <c r="O63" s="572" t="str">
        <f t="shared" si="269"/>
        <v/>
      </c>
      <c r="P63" s="576" t="str">
        <f t="shared" si="270"/>
        <v/>
      </c>
      <c r="Q63" s="528" t="str">
        <f t="shared" si="140"/>
        <v/>
      </c>
      <c r="R63" s="572" t="str">
        <f t="shared" si="101"/>
        <v/>
      </c>
      <c r="S63" s="577" t="str">
        <f t="shared" si="102"/>
        <v/>
      </c>
      <c r="T63" s="578" t="str">
        <f t="shared" si="103"/>
        <v/>
      </c>
      <c r="U63" s="572" t="str">
        <f t="shared" si="104"/>
        <v/>
      </c>
      <c r="V63" s="579" t="str">
        <f t="shared" si="141"/>
        <v/>
      </c>
      <c r="W63" s="528" t="str">
        <f t="shared" si="253"/>
        <v/>
      </c>
      <c r="X63" s="572" t="str">
        <f t="shared" si="105"/>
        <v/>
      </c>
      <c r="Y63" s="573" t="str">
        <f t="shared" si="255"/>
        <v/>
      </c>
      <c r="Z63" s="575" t="str">
        <f t="shared" si="271"/>
        <v/>
      </c>
      <c r="AA63" s="572" t="str">
        <f t="shared" si="272"/>
        <v/>
      </c>
      <c r="AB63" s="572" t="str">
        <f t="shared" si="273"/>
        <v/>
      </c>
      <c r="AC63" s="579" t="str">
        <f t="shared" si="106"/>
        <v/>
      </c>
      <c r="AD63" s="580" t="str">
        <f t="shared" si="142"/>
        <v/>
      </c>
      <c r="AE63" s="572" t="str">
        <f t="shared" si="107"/>
        <v/>
      </c>
      <c r="AF63" s="576" t="str">
        <f t="shared" si="108"/>
        <v/>
      </c>
      <c r="AG63" s="545" t="str">
        <f t="shared" si="109"/>
        <v/>
      </c>
      <c r="AH63" s="546" t="str">
        <f t="shared" si="110"/>
        <v/>
      </c>
      <c r="AI63" s="528" t="str">
        <f t="shared" si="111"/>
        <v/>
      </c>
      <c r="AJ63" s="529" t="str">
        <f t="shared" si="112"/>
        <v/>
      </c>
      <c r="AK63" s="578" t="str">
        <f t="shared" si="238"/>
        <v/>
      </c>
      <c r="AL63" s="572" t="str">
        <f t="shared" si="113"/>
        <v/>
      </c>
      <c r="AM63" s="577" t="str">
        <f t="shared" si="114"/>
        <v/>
      </c>
      <c r="AN63" s="524" t="str">
        <f t="shared" si="115"/>
        <v/>
      </c>
      <c r="AO63" s="525" t="str">
        <f t="shared" si="525"/>
        <v/>
      </c>
      <c r="AP63" s="528" t="str">
        <f t="shared" si="117"/>
        <v/>
      </c>
      <c r="AQ63" s="529" t="str">
        <f t="shared" si="274"/>
        <v/>
      </c>
      <c r="AS63" s="932" t="str">
        <f t="shared" si="461"/>
        <v/>
      </c>
      <c r="AT63" s="928" t="str">
        <f t="shared" si="275"/>
        <v/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 t="str">
        <f t="shared" si="236"/>
        <v/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 t="str">
        <f t="shared" si="426"/>
        <v/>
      </c>
      <c r="IM63" s="482" t="str">
        <f t="shared" si="237"/>
        <v/>
      </c>
      <c r="IN63" s="670" t="str">
        <f t="shared" si="427"/>
        <v/>
      </c>
      <c r="IO63" s="702"/>
      <c r="IP63" s="5" t="str">
        <f t="shared" si="428"/>
        <v/>
      </c>
      <c r="IQ63" s="714"/>
      <c r="IR63" s="9" t="str">
        <f t="shared" si="429"/>
        <v/>
      </c>
      <c r="IS63" s="5" t="str">
        <f t="shared" si="430"/>
        <v/>
      </c>
      <c r="IT63" s="5" t="str">
        <f t="shared" si="431"/>
        <v/>
      </c>
      <c r="IU63" s="5" t="str">
        <f t="shared" si="432"/>
        <v/>
      </c>
      <c r="IV63" s="670" t="str">
        <f t="shared" si="433"/>
        <v/>
      </c>
      <c r="IW63" s="9" t="str">
        <f t="shared" si="434"/>
        <v/>
      </c>
      <c r="IX63" s="5" t="str">
        <f t="shared" si="435"/>
        <v/>
      </c>
      <c r="IY63" s="5" t="str">
        <f t="shared" si="436"/>
        <v/>
      </c>
      <c r="IZ63" s="5" t="str">
        <f t="shared" si="437"/>
        <v/>
      </c>
      <c r="JA63" s="705" t="str">
        <f t="shared" si="438"/>
        <v/>
      </c>
    </row>
    <row r="64" spans="1:261" ht="15" customHeight="1" x14ac:dyDescent="0.25">
      <c r="A64" s="75" t="str">
        <f t="shared" si="256"/>
        <v/>
      </c>
      <c r="B64" s="578" t="str">
        <f t="shared" si="515"/>
        <v/>
      </c>
      <c r="C64" s="572" t="str">
        <f t="shared" si="516"/>
        <v/>
      </c>
      <c r="D64" s="576" t="str">
        <f t="shared" si="517"/>
        <v/>
      </c>
      <c r="E64" s="580" t="str">
        <f t="shared" si="518"/>
        <v/>
      </c>
      <c r="F64" s="572" t="str">
        <f t="shared" si="519"/>
        <v/>
      </c>
      <c r="G64" s="579" t="str">
        <f t="shared" si="520"/>
        <v/>
      </c>
      <c r="H64" s="580" t="str">
        <f t="shared" si="521"/>
        <v/>
      </c>
      <c r="I64" s="572" t="str">
        <f t="shared" si="522"/>
        <v/>
      </c>
      <c r="J64" s="483" t="str">
        <f t="shared" si="523"/>
        <v/>
      </c>
      <c r="K64" s="806" t="str">
        <f t="shared" si="524"/>
        <v/>
      </c>
      <c r="L64" s="309"/>
      <c r="M64" s="164" t="str">
        <f t="shared" si="267"/>
        <v/>
      </c>
      <c r="N64" s="575" t="str">
        <f t="shared" si="268"/>
        <v/>
      </c>
      <c r="O64" s="572" t="str">
        <f t="shared" si="269"/>
        <v/>
      </c>
      <c r="P64" s="576" t="str">
        <f t="shared" si="270"/>
        <v/>
      </c>
      <c r="Q64" s="528" t="str">
        <f t="shared" si="140"/>
        <v/>
      </c>
      <c r="R64" s="572" t="str">
        <f t="shared" si="101"/>
        <v/>
      </c>
      <c r="S64" s="577" t="str">
        <f t="shared" si="102"/>
        <v/>
      </c>
      <c r="T64" s="578" t="str">
        <f t="shared" si="103"/>
        <v/>
      </c>
      <c r="U64" s="572" t="str">
        <f t="shared" si="104"/>
        <v/>
      </c>
      <c r="V64" s="579" t="str">
        <f t="shared" si="141"/>
        <v/>
      </c>
      <c r="W64" s="528" t="str">
        <f t="shared" si="253"/>
        <v/>
      </c>
      <c r="X64" s="572" t="str">
        <f t="shared" si="105"/>
        <v/>
      </c>
      <c r="Y64" s="573" t="str">
        <f t="shared" si="255"/>
        <v/>
      </c>
      <c r="Z64" s="575" t="str">
        <f t="shared" si="271"/>
        <v/>
      </c>
      <c r="AA64" s="572" t="str">
        <f t="shared" si="272"/>
        <v/>
      </c>
      <c r="AB64" s="572" t="str">
        <f t="shared" si="273"/>
        <v/>
      </c>
      <c r="AC64" s="579" t="str">
        <f t="shared" si="106"/>
        <v/>
      </c>
      <c r="AD64" s="580" t="str">
        <f t="shared" si="142"/>
        <v/>
      </c>
      <c r="AE64" s="572" t="str">
        <f t="shared" si="107"/>
        <v/>
      </c>
      <c r="AF64" s="576" t="str">
        <f t="shared" si="108"/>
        <v/>
      </c>
      <c r="AG64" s="545" t="str">
        <f t="shared" si="109"/>
        <v/>
      </c>
      <c r="AH64" s="546" t="str">
        <f t="shared" si="110"/>
        <v/>
      </c>
      <c r="AI64" s="528" t="str">
        <f t="shared" si="111"/>
        <v/>
      </c>
      <c r="AJ64" s="529" t="str">
        <f t="shared" si="112"/>
        <v/>
      </c>
      <c r="AK64" s="578" t="str">
        <f t="shared" si="238"/>
        <v/>
      </c>
      <c r="AL64" s="572" t="str">
        <f t="shared" si="113"/>
        <v/>
      </c>
      <c r="AM64" s="577" t="str">
        <f t="shared" si="114"/>
        <v/>
      </c>
      <c r="AN64" s="524" t="str">
        <f t="shared" si="115"/>
        <v/>
      </c>
      <c r="AO64" s="525" t="str">
        <f t="shared" si="525"/>
        <v/>
      </c>
      <c r="AP64" s="528" t="str">
        <f t="shared" si="117"/>
        <v/>
      </c>
      <c r="AQ64" s="529" t="str">
        <f t="shared" si="274"/>
        <v/>
      </c>
      <c r="AS64" s="932" t="str">
        <f t="shared" si="461"/>
        <v/>
      </c>
      <c r="AT64" s="928" t="str">
        <f t="shared" si="275"/>
        <v/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 t="str">
        <f t="shared" si="236"/>
        <v/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 t="str">
        <f t="shared" si="426"/>
        <v/>
      </c>
      <c r="IM64" s="482" t="str">
        <f t="shared" si="237"/>
        <v/>
      </c>
      <c r="IN64" s="670" t="str">
        <f t="shared" si="427"/>
        <v/>
      </c>
      <c r="IO64" s="702"/>
      <c r="IP64" s="5" t="str">
        <f t="shared" si="428"/>
        <v/>
      </c>
      <c r="IQ64" s="714"/>
      <c r="IR64" s="9" t="str">
        <f t="shared" si="429"/>
        <v/>
      </c>
      <c r="IS64" s="5" t="str">
        <f t="shared" si="430"/>
        <v/>
      </c>
      <c r="IT64" s="5" t="str">
        <f t="shared" si="431"/>
        <v/>
      </c>
      <c r="IU64" s="5" t="str">
        <f t="shared" si="432"/>
        <v/>
      </c>
      <c r="IV64" s="670" t="str">
        <f t="shared" si="433"/>
        <v/>
      </c>
      <c r="IW64" s="9" t="str">
        <f t="shared" si="434"/>
        <v/>
      </c>
      <c r="IX64" s="5" t="str">
        <f t="shared" si="435"/>
        <v/>
      </c>
      <c r="IY64" s="5" t="str">
        <f t="shared" si="436"/>
        <v/>
      </c>
      <c r="IZ64" s="5" t="str">
        <f t="shared" si="437"/>
        <v/>
      </c>
      <c r="JA64" s="705" t="str">
        <f t="shared" si="438"/>
        <v/>
      </c>
    </row>
    <row r="65" spans="1:261" ht="15" customHeight="1" x14ac:dyDescent="0.25">
      <c r="A65" s="75" t="str">
        <f t="shared" si="256"/>
        <v/>
      </c>
      <c r="B65" s="578" t="str">
        <f t="shared" si="515"/>
        <v/>
      </c>
      <c r="C65" s="572" t="str">
        <f t="shared" si="516"/>
        <v/>
      </c>
      <c r="D65" s="576" t="str">
        <f t="shared" si="517"/>
        <v/>
      </c>
      <c r="E65" s="580" t="str">
        <f t="shared" si="518"/>
        <v/>
      </c>
      <c r="F65" s="572" t="str">
        <f t="shared" si="519"/>
        <v/>
      </c>
      <c r="G65" s="579" t="str">
        <f t="shared" si="520"/>
        <v/>
      </c>
      <c r="H65" s="580" t="str">
        <f t="shared" si="521"/>
        <v/>
      </c>
      <c r="I65" s="572" t="str">
        <f t="shared" si="522"/>
        <v/>
      </c>
      <c r="J65" s="483" t="str">
        <f t="shared" si="523"/>
        <v/>
      </c>
      <c r="K65" s="806" t="str">
        <f t="shared" si="524"/>
        <v/>
      </c>
      <c r="L65" s="309"/>
      <c r="M65" s="164" t="str">
        <f t="shared" si="267"/>
        <v/>
      </c>
      <c r="N65" s="575" t="str">
        <f t="shared" si="268"/>
        <v/>
      </c>
      <c r="O65" s="572" t="str">
        <f t="shared" si="269"/>
        <v/>
      </c>
      <c r="P65" s="576" t="str">
        <f t="shared" si="270"/>
        <v/>
      </c>
      <c r="Q65" s="528" t="str">
        <f t="shared" si="140"/>
        <v/>
      </c>
      <c r="R65" s="572" t="str">
        <f t="shared" si="101"/>
        <v/>
      </c>
      <c r="S65" s="577" t="str">
        <f t="shared" si="102"/>
        <v/>
      </c>
      <c r="T65" s="578" t="str">
        <f t="shared" si="103"/>
        <v/>
      </c>
      <c r="U65" s="572" t="str">
        <f t="shared" si="104"/>
        <v/>
      </c>
      <c r="V65" s="579" t="str">
        <f t="shared" si="141"/>
        <v/>
      </c>
      <c r="W65" s="528" t="str">
        <f t="shared" si="253"/>
        <v/>
      </c>
      <c r="X65" s="572" t="str">
        <f t="shared" si="105"/>
        <v/>
      </c>
      <c r="Y65" s="573" t="str">
        <f t="shared" si="255"/>
        <v/>
      </c>
      <c r="Z65" s="575" t="str">
        <f t="shared" si="271"/>
        <v/>
      </c>
      <c r="AA65" s="572" t="str">
        <f t="shared" si="272"/>
        <v/>
      </c>
      <c r="AB65" s="572" t="str">
        <f t="shared" si="273"/>
        <v/>
      </c>
      <c r="AC65" s="579" t="str">
        <f t="shared" si="106"/>
        <v/>
      </c>
      <c r="AD65" s="580" t="str">
        <f t="shared" si="142"/>
        <v/>
      </c>
      <c r="AE65" s="572" t="str">
        <f t="shared" si="107"/>
        <v/>
      </c>
      <c r="AF65" s="576" t="str">
        <f t="shared" si="108"/>
        <v/>
      </c>
      <c r="AG65" s="545" t="str">
        <f t="shared" si="109"/>
        <v/>
      </c>
      <c r="AH65" s="546" t="str">
        <f t="shared" si="110"/>
        <v/>
      </c>
      <c r="AI65" s="528" t="str">
        <f t="shared" si="111"/>
        <v/>
      </c>
      <c r="AJ65" s="529" t="str">
        <f t="shared" si="112"/>
        <v/>
      </c>
      <c r="AK65" s="578" t="str">
        <f t="shared" si="238"/>
        <v/>
      </c>
      <c r="AL65" s="572" t="str">
        <f t="shared" si="113"/>
        <v/>
      </c>
      <c r="AM65" s="577" t="str">
        <f t="shared" si="114"/>
        <v/>
      </c>
      <c r="AN65" s="524" t="str">
        <f t="shared" si="115"/>
        <v/>
      </c>
      <c r="AO65" s="525" t="str">
        <f t="shared" si="525"/>
        <v/>
      </c>
      <c r="AP65" s="528" t="str">
        <f t="shared" si="117"/>
        <v/>
      </c>
      <c r="AQ65" s="529" t="str">
        <f t="shared" si="274"/>
        <v/>
      </c>
      <c r="AS65" s="932" t="str">
        <f t="shared" si="461"/>
        <v/>
      </c>
      <c r="AT65" s="928" t="str">
        <f t="shared" si="275"/>
        <v/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 t="str">
        <f t="shared" si="236"/>
        <v/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 t="str">
        <f t="shared" si="426"/>
        <v/>
      </c>
      <c r="IM65" s="482" t="str">
        <f t="shared" si="237"/>
        <v/>
      </c>
      <c r="IN65" s="670" t="str">
        <f t="shared" si="427"/>
        <v/>
      </c>
      <c r="IO65" s="702"/>
      <c r="IP65" s="5" t="str">
        <f t="shared" si="428"/>
        <v/>
      </c>
      <c r="IQ65" s="714"/>
      <c r="IR65" s="9" t="str">
        <f t="shared" si="429"/>
        <v/>
      </c>
      <c r="IS65" s="5" t="str">
        <f t="shared" si="430"/>
        <v/>
      </c>
      <c r="IT65" s="5" t="str">
        <f t="shared" si="431"/>
        <v/>
      </c>
      <c r="IU65" s="5" t="str">
        <f t="shared" si="432"/>
        <v/>
      </c>
      <c r="IV65" s="670" t="str">
        <f t="shared" si="433"/>
        <v/>
      </c>
      <c r="IW65" s="9" t="str">
        <f t="shared" si="434"/>
        <v/>
      </c>
      <c r="IX65" s="5" t="str">
        <f t="shared" si="435"/>
        <v/>
      </c>
      <c r="IY65" s="5" t="str">
        <f t="shared" si="436"/>
        <v/>
      </c>
      <c r="IZ65" s="5" t="str">
        <f t="shared" si="437"/>
        <v/>
      </c>
      <c r="JA65" s="705" t="str">
        <f t="shared" si="438"/>
        <v/>
      </c>
    </row>
    <row r="66" spans="1:261" ht="15" customHeight="1" x14ac:dyDescent="0.25">
      <c r="A66" s="75" t="str">
        <f t="shared" si="256"/>
        <v/>
      </c>
      <c r="B66" s="578" t="str">
        <f t="shared" si="515"/>
        <v/>
      </c>
      <c r="C66" s="572" t="str">
        <f t="shared" si="516"/>
        <v/>
      </c>
      <c r="D66" s="576" t="str">
        <f t="shared" si="517"/>
        <v/>
      </c>
      <c r="E66" s="580" t="str">
        <f t="shared" si="518"/>
        <v/>
      </c>
      <c r="F66" s="572" t="str">
        <f t="shared" si="519"/>
        <v/>
      </c>
      <c r="G66" s="579" t="str">
        <f t="shared" si="520"/>
        <v/>
      </c>
      <c r="H66" s="580" t="str">
        <f t="shared" si="521"/>
        <v/>
      </c>
      <c r="I66" s="572" t="str">
        <f t="shared" si="522"/>
        <v/>
      </c>
      <c r="J66" s="483" t="str">
        <f t="shared" si="523"/>
        <v/>
      </c>
      <c r="K66" s="806" t="str">
        <f t="shared" si="524"/>
        <v/>
      </c>
      <c r="L66" s="309"/>
      <c r="M66" s="164" t="str">
        <f t="shared" si="267"/>
        <v/>
      </c>
      <c r="N66" s="575" t="str">
        <f t="shared" si="268"/>
        <v/>
      </c>
      <c r="O66" s="572" t="str">
        <f t="shared" si="269"/>
        <v/>
      </c>
      <c r="P66" s="576" t="str">
        <f t="shared" si="270"/>
        <v/>
      </c>
      <c r="Q66" s="528" t="str">
        <f t="shared" si="140"/>
        <v/>
      </c>
      <c r="R66" s="572" t="str">
        <f t="shared" si="101"/>
        <v/>
      </c>
      <c r="S66" s="577" t="str">
        <f t="shared" si="102"/>
        <v/>
      </c>
      <c r="T66" s="578" t="str">
        <f t="shared" si="103"/>
        <v/>
      </c>
      <c r="U66" s="572" t="str">
        <f t="shared" si="104"/>
        <v/>
      </c>
      <c r="V66" s="579" t="str">
        <f t="shared" si="141"/>
        <v/>
      </c>
      <c r="W66" s="528" t="str">
        <f t="shared" si="253"/>
        <v/>
      </c>
      <c r="X66" s="572" t="str">
        <f t="shared" si="105"/>
        <v/>
      </c>
      <c r="Y66" s="573" t="str">
        <f t="shared" si="255"/>
        <v/>
      </c>
      <c r="Z66" s="575" t="str">
        <f t="shared" si="271"/>
        <v/>
      </c>
      <c r="AA66" s="572" t="str">
        <f t="shared" si="272"/>
        <v/>
      </c>
      <c r="AB66" s="572" t="str">
        <f t="shared" si="273"/>
        <v/>
      </c>
      <c r="AC66" s="579" t="str">
        <f t="shared" si="106"/>
        <v/>
      </c>
      <c r="AD66" s="580" t="str">
        <f t="shared" si="142"/>
        <v/>
      </c>
      <c r="AE66" s="572" t="str">
        <f t="shared" si="107"/>
        <v/>
      </c>
      <c r="AF66" s="576" t="str">
        <f t="shared" si="108"/>
        <v/>
      </c>
      <c r="AG66" s="545" t="str">
        <f t="shared" si="109"/>
        <v/>
      </c>
      <c r="AH66" s="546" t="str">
        <f t="shared" si="110"/>
        <v/>
      </c>
      <c r="AI66" s="528" t="str">
        <f t="shared" si="111"/>
        <v/>
      </c>
      <c r="AJ66" s="529" t="str">
        <f t="shared" si="112"/>
        <v/>
      </c>
      <c r="AK66" s="578" t="str">
        <f t="shared" si="238"/>
        <v/>
      </c>
      <c r="AL66" s="572" t="str">
        <f t="shared" si="113"/>
        <v/>
      </c>
      <c r="AM66" s="577" t="str">
        <f t="shared" si="114"/>
        <v/>
      </c>
      <c r="AN66" s="524" t="str">
        <f t="shared" si="115"/>
        <v/>
      </c>
      <c r="AO66" s="525" t="str">
        <f t="shared" si="525"/>
        <v/>
      </c>
      <c r="AP66" s="528" t="str">
        <f t="shared" si="117"/>
        <v/>
      </c>
      <c r="AQ66" s="529" t="str">
        <f t="shared" si="274"/>
        <v/>
      </c>
      <c r="AS66" s="932" t="str">
        <f t="shared" si="461"/>
        <v/>
      </c>
      <c r="AT66" s="928" t="str">
        <f t="shared" si="275"/>
        <v/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 t="str">
        <f t="shared" si="236"/>
        <v/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 t="str">
        <f t="shared" si="426"/>
        <v/>
      </c>
      <c r="IM66" s="482" t="str">
        <f t="shared" si="237"/>
        <v/>
      </c>
      <c r="IN66" s="670" t="str">
        <f t="shared" si="427"/>
        <v/>
      </c>
      <c r="IO66" s="702"/>
      <c r="IP66" s="5" t="str">
        <f t="shared" si="428"/>
        <v/>
      </c>
      <c r="IQ66" s="714"/>
      <c r="IR66" s="9" t="str">
        <f t="shared" si="429"/>
        <v/>
      </c>
      <c r="IS66" s="5" t="str">
        <f t="shared" si="430"/>
        <v/>
      </c>
      <c r="IT66" s="5" t="str">
        <f t="shared" si="431"/>
        <v/>
      </c>
      <c r="IU66" s="5" t="str">
        <f t="shared" si="432"/>
        <v/>
      </c>
      <c r="IV66" s="670" t="str">
        <f t="shared" si="433"/>
        <v/>
      </c>
      <c r="IW66" s="9" t="str">
        <f t="shared" si="434"/>
        <v/>
      </c>
      <c r="IX66" s="5" t="str">
        <f t="shared" si="435"/>
        <v/>
      </c>
      <c r="IY66" s="5" t="str">
        <f t="shared" si="436"/>
        <v/>
      </c>
      <c r="IZ66" s="5" t="str">
        <f t="shared" si="437"/>
        <v/>
      </c>
      <c r="JA66" s="705" t="str">
        <f t="shared" si="438"/>
        <v/>
      </c>
    </row>
    <row r="67" spans="1:261" ht="15" customHeight="1" x14ac:dyDescent="0.25">
      <c r="A67" s="75" t="str">
        <f t="shared" si="256"/>
        <v/>
      </c>
      <c r="B67" s="578" t="str">
        <f t="shared" si="515"/>
        <v/>
      </c>
      <c r="C67" s="572" t="str">
        <f t="shared" si="516"/>
        <v/>
      </c>
      <c r="D67" s="576" t="str">
        <f t="shared" si="517"/>
        <v/>
      </c>
      <c r="E67" s="580" t="str">
        <f t="shared" si="518"/>
        <v/>
      </c>
      <c r="F67" s="572" t="str">
        <f t="shared" si="519"/>
        <v/>
      </c>
      <c r="G67" s="579" t="str">
        <f t="shared" si="520"/>
        <v/>
      </c>
      <c r="H67" s="580" t="str">
        <f t="shared" si="521"/>
        <v/>
      </c>
      <c r="I67" s="572" t="str">
        <f t="shared" si="522"/>
        <v/>
      </c>
      <c r="J67" s="483" t="str">
        <f t="shared" si="523"/>
        <v/>
      </c>
      <c r="K67" s="806" t="str">
        <f t="shared" si="524"/>
        <v/>
      </c>
      <c r="L67" s="309"/>
      <c r="M67" s="164" t="str">
        <f t="shared" si="267"/>
        <v/>
      </c>
      <c r="N67" s="575" t="str">
        <f t="shared" si="268"/>
        <v/>
      </c>
      <c r="O67" s="572" t="str">
        <f t="shared" si="269"/>
        <v/>
      </c>
      <c r="P67" s="576" t="str">
        <f t="shared" si="270"/>
        <v/>
      </c>
      <c r="Q67" s="528" t="str">
        <f t="shared" si="140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53"/>
        <v/>
      </c>
      <c r="X67" s="572" t="str">
        <f>IF(M67="","",R67)</f>
        <v/>
      </c>
      <c r="Y67" s="573" t="str">
        <f t="shared" si="255"/>
        <v/>
      </c>
      <c r="Z67" s="575" t="str">
        <f t="shared" si="271"/>
        <v/>
      </c>
      <c r="AA67" s="572" t="str">
        <f t="shared" si="272"/>
        <v/>
      </c>
      <c r="AB67" s="572" t="str">
        <f t="shared" si="273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525"/>
        <v/>
      </c>
      <c r="AP67" s="528" t="str">
        <f>IF(M67="","",DEGREES(ATAN2(AK67,AL67)))</f>
        <v/>
      </c>
      <c r="AQ67" s="529" t="str">
        <f t="shared" si="274"/>
        <v/>
      </c>
      <c r="AS67" s="932" t="str">
        <f t="shared" si="461"/>
        <v/>
      </c>
      <c r="AT67" s="928" t="str">
        <f t="shared" si="275"/>
        <v/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 t="str">
        <f t="shared" si="236"/>
        <v/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26"/>
        <v/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 t="str">
        <f t="shared" si="256"/>
        <v/>
      </c>
      <c r="B68" s="578" t="str">
        <f t="shared" si="515"/>
        <v/>
      </c>
      <c r="C68" s="572" t="str">
        <f t="shared" si="516"/>
        <v/>
      </c>
      <c r="D68" s="576" t="str">
        <f t="shared" si="517"/>
        <v/>
      </c>
      <c r="E68" s="580" t="str">
        <f t="shared" si="518"/>
        <v/>
      </c>
      <c r="F68" s="572" t="str">
        <f t="shared" si="519"/>
        <v/>
      </c>
      <c r="G68" s="579" t="str">
        <f t="shared" si="520"/>
        <v/>
      </c>
      <c r="H68" s="580" t="str">
        <f t="shared" si="521"/>
        <v/>
      </c>
      <c r="I68" s="572" t="str">
        <f t="shared" si="522"/>
        <v/>
      </c>
      <c r="J68" s="483" t="str">
        <f t="shared" si="523"/>
        <v/>
      </c>
      <c r="K68" s="806" t="str">
        <f t="shared" si="524"/>
        <v/>
      </c>
      <c r="L68" s="309"/>
      <c r="M68" s="164" t="str">
        <f t="shared" si="267"/>
        <v/>
      </c>
      <c r="N68" s="575" t="str">
        <f t="shared" si="268"/>
        <v/>
      </c>
      <c r="O68" s="572" t="str">
        <f t="shared" si="269"/>
        <v/>
      </c>
      <c r="P68" s="576" t="str">
        <f t="shared" si="270"/>
        <v/>
      </c>
      <c r="Q68" s="528" t="str">
        <f t="shared" si="140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53"/>
        <v/>
      </c>
      <c r="X68" s="572" t="str">
        <f>IF(M68="","",R68)</f>
        <v/>
      </c>
      <c r="Y68" s="573" t="str">
        <f t="shared" si="255"/>
        <v/>
      </c>
      <c r="Z68" s="575" t="str">
        <f t="shared" si="271"/>
        <v/>
      </c>
      <c r="AA68" s="572" t="str">
        <f t="shared" si="272"/>
        <v/>
      </c>
      <c r="AB68" s="572" t="str">
        <f t="shared" si="273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525"/>
        <v/>
      </c>
      <c r="AP68" s="528" t="str">
        <f>IF(M68="","",DEGREES(ATAN2(AK68,AL68)))</f>
        <v/>
      </c>
      <c r="AQ68" s="529" t="str">
        <f t="shared" si="274"/>
        <v/>
      </c>
      <c r="AS68" s="932" t="str">
        <f t="shared" si="461"/>
        <v/>
      </c>
      <c r="AT68" s="928" t="str">
        <f t="shared" si="275"/>
        <v/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 t="str">
        <f t="shared" si="236"/>
        <v/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26"/>
        <v/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 t="str">
        <f t="shared" si="256"/>
        <v/>
      </c>
      <c r="B69" s="578" t="str">
        <f t="shared" si="515"/>
        <v/>
      </c>
      <c r="C69" s="572" t="str">
        <f t="shared" si="516"/>
        <v/>
      </c>
      <c r="D69" s="576" t="str">
        <f t="shared" si="517"/>
        <v/>
      </c>
      <c r="E69" s="580" t="str">
        <f t="shared" si="518"/>
        <v/>
      </c>
      <c r="F69" s="572" t="str">
        <f t="shared" si="519"/>
        <v/>
      </c>
      <c r="G69" s="579" t="str">
        <f t="shared" si="520"/>
        <v/>
      </c>
      <c r="H69" s="580" t="str">
        <f t="shared" si="521"/>
        <v/>
      </c>
      <c r="I69" s="572" t="str">
        <f t="shared" si="522"/>
        <v/>
      </c>
      <c r="J69" s="483" t="str">
        <f t="shared" si="523"/>
        <v/>
      </c>
      <c r="K69" s="806" t="str">
        <f t="shared" si="524"/>
        <v/>
      </c>
      <c r="L69" s="309"/>
      <c r="M69" s="164" t="str">
        <f t="shared" si="267"/>
        <v/>
      </c>
      <c r="N69" s="575" t="str">
        <f t="shared" si="268"/>
        <v/>
      </c>
      <c r="O69" s="572" t="str">
        <f t="shared" si="269"/>
        <v/>
      </c>
      <c r="P69" s="576" t="str">
        <f t="shared" si="270"/>
        <v/>
      </c>
      <c r="Q69" s="528" t="str">
        <f t="shared" si="140"/>
        <v/>
      </c>
      <c r="R69" s="572" t="str">
        <f t="shared" si="101"/>
        <v/>
      </c>
      <c r="S69" s="577" t="str">
        <f t="shared" si="102"/>
        <v/>
      </c>
      <c r="T69" s="578" t="str">
        <f t="shared" si="103"/>
        <v/>
      </c>
      <c r="U69" s="572" t="str">
        <f t="shared" si="104"/>
        <v/>
      </c>
      <c r="V69" s="579" t="str">
        <f t="shared" si="141"/>
        <v/>
      </c>
      <c r="W69" s="528" t="str">
        <f t="shared" si="253"/>
        <v/>
      </c>
      <c r="X69" s="572" t="str">
        <f t="shared" si="105"/>
        <v/>
      </c>
      <c r="Y69" s="573" t="str">
        <f t="shared" si="255"/>
        <v/>
      </c>
      <c r="Z69" s="575" t="str">
        <f t="shared" si="271"/>
        <v/>
      </c>
      <c r="AA69" s="572" t="str">
        <f t="shared" si="272"/>
        <v/>
      </c>
      <c r="AB69" s="572" t="str">
        <f t="shared" si="273"/>
        <v/>
      </c>
      <c r="AC69" s="579" t="str">
        <f t="shared" si="106"/>
        <v/>
      </c>
      <c r="AD69" s="580" t="str">
        <f t="shared" si="142"/>
        <v/>
      </c>
      <c r="AE69" s="572" t="str">
        <f t="shared" si="107"/>
        <v/>
      </c>
      <c r="AF69" s="576" t="str">
        <f t="shared" si="108"/>
        <v/>
      </c>
      <c r="AG69" s="545" t="str">
        <f t="shared" si="109"/>
        <v/>
      </c>
      <c r="AH69" s="546" t="str">
        <f t="shared" si="110"/>
        <v/>
      </c>
      <c r="AI69" s="528" t="str">
        <f t="shared" si="111"/>
        <v/>
      </c>
      <c r="AJ69" s="529" t="str">
        <f t="shared" si="112"/>
        <v/>
      </c>
      <c r="AK69" s="578" t="str">
        <f t="shared" si="238"/>
        <v/>
      </c>
      <c r="AL69" s="572" t="str">
        <f t="shared" si="113"/>
        <v/>
      </c>
      <c r="AM69" s="577" t="str">
        <f t="shared" si="114"/>
        <v/>
      </c>
      <c r="AN69" s="524" t="str">
        <f t="shared" si="115"/>
        <v/>
      </c>
      <c r="AO69" s="525" t="str">
        <f t="shared" si="525"/>
        <v/>
      </c>
      <c r="AP69" s="528" t="str">
        <f t="shared" si="117"/>
        <v/>
      </c>
      <c r="AQ69" s="529" t="str">
        <f t="shared" si="274"/>
        <v/>
      </c>
      <c r="AS69" s="932" t="str">
        <f t="shared" si="461"/>
        <v/>
      </c>
      <c r="AT69" s="928" t="str">
        <f t="shared" si="275"/>
        <v/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 t="str">
        <f t="shared" si="236"/>
        <v/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26"/>
        <v/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 t="str">
        <f t="shared" si="256"/>
        <v/>
      </c>
      <c r="B70" s="578" t="str">
        <f t="shared" si="515"/>
        <v/>
      </c>
      <c r="C70" s="572" t="str">
        <f t="shared" si="516"/>
        <v/>
      </c>
      <c r="D70" s="576" t="str">
        <f t="shared" si="517"/>
        <v/>
      </c>
      <c r="E70" s="580" t="str">
        <f t="shared" si="518"/>
        <v/>
      </c>
      <c r="F70" s="572" t="str">
        <f t="shared" si="519"/>
        <v/>
      </c>
      <c r="G70" s="579" t="str">
        <f t="shared" si="520"/>
        <v/>
      </c>
      <c r="H70" s="580" t="str">
        <f t="shared" si="521"/>
        <v/>
      </c>
      <c r="I70" s="572" t="str">
        <f t="shared" si="522"/>
        <v/>
      </c>
      <c r="J70" s="483" t="str">
        <f t="shared" si="523"/>
        <v/>
      </c>
      <c r="K70" s="806" t="str">
        <f t="shared" si="524"/>
        <v/>
      </c>
      <c r="L70" s="309"/>
      <c r="M70" s="164" t="str">
        <f t="shared" si="267"/>
        <v/>
      </c>
      <c r="N70" s="575" t="str">
        <f t="shared" si="268"/>
        <v/>
      </c>
      <c r="O70" s="572" t="str">
        <f t="shared" si="269"/>
        <v/>
      </c>
      <c r="P70" s="576" t="str">
        <f t="shared" si="270"/>
        <v/>
      </c>
      <c r="Q70" s="528" t="str">
        <f t="shared" si="140"/>
        <v/>
      </c>
      <c r="R70" s="572" t="str">
        <f t="shared" si="101"/>
        <v/>
      </c>
      <c r="S70" s="577" t="str">
        <f t="shared" si="102"/>
        <v/>
      </c>
      <c r="T70" s="578" t="str">
        <f t="shared" si="103"/>
        <v/>
      </c>
      <c r="U70" s="572" t="str">
        <f t="shared" si="104"/>
        <v/>
      </c>
      <c r="V70" s="579" t="str">
        <f t="shared" si="141"/>
        <v/>
      </c>
      <c r="W70" s="528" t="str">
        <f t="shared" si="253"/>
        <v/>
      </c>
      <c r="X70" s="572" t="str">
        <f t="shared" si="105"/>
        <v/>
      </c>
      <c r="Y70" s="573" t="str">
        <f t="shared" si="255"/>
        <v/>
      </c>
      <c r="Z70" s="575" t="str">
        <f t="shared" si="271"/>
        <v/>
      </c>
      <c r="AA70" s="572" t="str">
        <f t="shared" si="272"/>
        <v/>
      </c>
      <c r="AB70" s="572" t="str">
        <f t="shared" si="273"/>
        <v/>
      </c>
      <c r="AC70" s="579" t="str">
        <f t="shared" si="106"/>
        <v/>
      </c>
      <c r="AD70" s="580" t="str">
        <f t="shared" si="142"/>
        <v/>
      </c>
      <c r="AE70" s="572" t="str">
        <f t="shared" si="107"/>
        <v/>
      </c>
      <c r="AF70" s="576" t="str">
        <f t="shared" si="108"/>
        <v/>
      </c>
      <c r="AG70" s="545" t="str">
        <f t="shared" si="109"/>
        <v/>
      </c>
      <c r="AH70" s="546" t="str">
        <f t="shared" si="110"/>
        <v/>
      </c>
      <c r="AI70" s="528" t="str">
        <f t="shared" si="111"/>
        <v/>
      </c>
      <c r="AJ70" s="529" t="str">
        <f t="shared" si="112"/>
        <v/>
      </c>
      <c r="AK70" s="578" t="str">
        <f t="shared" si="238"/>
        <v/>
      </c>
      <c r="AL70" s="572" t="str">
        <f t="shared" si="113"/>
        <v/>
      </c>
      <c r="AM70" s="577" t="str">
        <f t="shared" si="114"/>
        <v/>
      </c>
      <c r="AN70" s="524" t="str">
        <f t="shared" si="115"/>
        <v/>
      </c>
      <c r="AO70" s="525" t="str">
        <f t="shared" si="525"/>
        <v/>
      </c>
      <c r="AP70" s="528" t="str">
        <f t="shared" si="117"/>
        <v/>
      </c>
      <c r="AQ70" s="529" t="str">
        <f t="shared" si="274"/>
        <v/>
      </c>
      <c r="AS70" s="932" t="str">
        <f t="shared" si="461"/>
        <v/>
      </c>
      <c r="AT70" s="928" t="str">
        <f t="shared" si="275"/>
        <v/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 t="str">
        <f t="shared" si="236"/>
        <v/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26"/>
        <v/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 t="str">
        <f t="shared" si="256"/>
        <v/>
      </c>
      <c r="B71" s="578" t="str">
        <f t="shared" si="515"/>
        <v/>
      </c>
      <c r="C71" s="572" t="str">
        <f t="shared" si="516"/>
        <v/>
      </c>
      <c r="D71" s="576" t="str">
        <f t="shared" si="517"/>
        <v/>
      </c>
      <c r="E71" s="580" t="str">
        <f t="shared" si="518"/>
        <v/>
      </c>
      <c r="F71" s="572" t="str">
        <f t="shared" si="519"/>
        <v/>
      </c>
      <c r="G71" s="579" t="str">
        <f t="shared" si="520"/>
        <v/>
      </c>
      <c r="H71" s="580" t="str">
        <f t="shared" si="521"/>
        <v/>
      </c>
      <c r="I71" s="572" t="str">
        <f t="shared" si="522"/>
        <v/>
      </c>
      <c r="J71" s="483" t="str">
        <f t="shared" si="523"/>
        <v/>
      </c>
      <c r="K71" s="806" t="str">
        <f t="shared" si="524"/>
        <v/>
      </c>
      <c r="L71" s="309"/>
      <c r="M71" s="164" t="str">
        <f t="shared" si="267"/>
        <v/>
      </c>
      <c r="N71" s="575" t="str">
        <f t="shared" si="268"/>
        <v/>
      </c>
      <c r="O71" s="572" t="str">
        <f t="shared" si="269"/>
        <v/>
      </c>
      <c r="P71" s="576" t="str">
        <f t="shared" si="270"/>
        <v/>
      </c>
      <c r="Q71" s="528" t="str">
        <f t="shared" si="140"/>
        <v/>
      </c>
      <c r="R71" s="572" t="str">
        <f t="shared" si="101"/>
        <v/>
      </c>
      <c r="S71" s="577" t="str">
        <f t="shared" si="102"/>
        <v/>
      </c>
      <c r="T71" s="578" t="str">
        <f t="shared" si="103"/>
        <v/>
      </c>
      <c r="U71" s="572" t="str">
        <f t="shared" si="104"/>
        <v/>
      </c>
      <c r="V71" s="579" t="str">
        <f t="shared" si="141"/>
        <v/>
      </c>
      <c r="W71" s="528" t="str">
        <f t="shared" si="253"/>
        <v/>
      </c>
      <c r="X71" s="572" t="str">
        <f t="shared" si="105"/>
        <v/>
      </c>
      <c r="Y71" s="573" t="str">
        <f t="shared" si="255"/>
        <v/>
      </c>
      <c r="Z71" s="575" t="str">
        <f t="shared" si="271"/>
        <v/>
      </c>
      <c r="AA71" s="572" t="str">
        <f t="shared" si="272"/>
        <v/>
      </c>
      <c r="AB71" s="572" t="str">
        <f t="shared" si="273"/>
        <v/>
      </c>
      <c r="AC71" s="579" t="str">
        <f t="shared" si="106"/>
        <v/>
      </c>
      <c r="AD71" s="580" t="str">
        <f t="shared" si="142"/>
        <v/>
      </c>
      <c r="AE71" s="572" t="str">
        <f t="shared" si="107"/>
        <v/>
      </c>
      <c r="AF71" s="576" t="str">
        <f t="shared" si="108"/>
        <v/>
      </c>
      <c r="AG71" s="545" t="str">
        <f t="shared" si="109"/>
        <v/>
      </c>
      <c r="AH71" s="546" t="str">
        <f t="shared" si="110"/>
        <v/>
      </c>
      <c r="AI71" s="528" t="str">
        <f t="shared" si="111"/>
        <v/>
      </c>
      <c r="AJ71" s="529" t="str">
        <f t="shared" si="112"/>
        <v/>
      </c>
      <c r="AK71" s="578" t="str">
        <f t="shared" si="238"/>
        <v/>
      </c>
      <c r="AL71" s="572" t="str">
        <f t="shared" si="113"/>
        <v/>
      </c>
      <c r="AM71" s="577" t="str">
        <f t="shared" si="114"/>
        <v/>
      </c>
      <c r="AN71" s="524" t="str">
        <f t="shared" si="115"/>
        <v/>
      </c>
      <c r="AO71" s="525" t="str">
        <f t="shared" si="525"/>
        <v/>
      </c>
      <c r="AP71" s="528" t="str">
        <f t="shared" si="117"/>
        <v/>
      </c>
      <c r="AQ71" s="529" t="str">
        <f t="shared" si="274"/>
        <v/>
      </c>
      <c r="AS71" s="932" t="str">
        <f t="shared" si="461"/>
        <v/>
      </c>
      <c r="AT71" s="928" t="str">
        <f t="shared" si="275"/>
        <v/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 t="str">
        <f t="shared" si="236"/>
        <v/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26"/>
        <v/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 t="str">
        <f t="shared" si="256"/>
        <v/>
      </c>
      <c r="B72" s="578" t="str">
        <f t="shared" si="515"/>
        <v/>
      </c>
      <c r="C72" s="572" t="str">
        <f t="shared" si="516"/>
        <v/>
      </c>
      <c r="D72" s="576" t="str">
        <f t="shared" si="517"/>
        <v/>
      </c>
      <c r="E72" s="580" t="str">
        <f t="shared" si="518"/>
        <v/>
      </c>
      <c r="F72" s="572" t="str">
        <f t="shared" si="519"/>
        <v/>
      </c>
      <c r="G72" s="579" t="str">
        <f t="shared" si="520"/>
        <v/>
      </c>
      <c r="H72" s="580" t="str">
        <f t="shared" si="521"/>
        <v/>
      </c>
      <c r="I72" s="572" t="str">
        <f t="shared" si="522"/>
        <v/>
      </c>
      <c r="J72" s="483" t="str">
        <f t="shared" si="523"/>
        <v/>
      </c>
      <c r="K72" s="806" t="str">
        <f t="shared" si="524"/>
        <v/>
      </c>
      <c r="L72" s="309"/>
      <c r="M72" s="164" t="str">
        <f t="shared" si="267"/>
        <v/>
      </c>
      <c r="N72" s="575" t="str">
        <f t="shared" si="268"/>
        <v/>
      </c>
      <c r="O72" s="572" t="str">
        <f t="shared" si="269"/>
        <v/>
      </c>
      <c r="P72" s="576" t="str">
        <f t="shared" si="270"/>
        <v/>
      </c>
      <c r="Q72" s="528" t="str">
        <f t="shared" si="140"/>
        <v/>
      </c>
      <c r="R72" s="572" t="str">
        <f t="shared" si="101"/>
        <v/>
      </c>
      <c r="S72" s="577" t="str">
        <f t="shared" si="102"/>
        <v/>
      </c>
      <c r="T72" s="578" t="str">
        <f t="shared" si="103"/>
        <v/>
      </c>
      <c r="U72" s="572" t="str">
        <f t="shared" si="104"/>
        <v/>
      </c>
      <c r="V72" s="579" t="str">
        <f t="shared" si="141"/>
        <v/>
      </c>
      <c r="W72" s="528" t="str">
        <f t="shared" si="253"/>
        <v/>
      </c>
      <c r="X72" s="572" t="str">
        <f t="shared" si="105"/>
        <v/>
      </c>
      <c r="Y72" s="573" t="str">
        <f t="shared" si="255"/>
        <v/>
      </c>
      <c r="Z72" s="575" t="str">
        <f t="shared" si="271"/>
        <v/>
      </c>
      <c r="AA72" s="572" t="str">
        <f t="shared" si="272"/>
        <v/>
      </c>
      <c r="AB72" s="572" t="str">
        <f t="shared" si="273"/>
        <v/>
      </c>
      <c r="AC72" s="579" t="str">
        <f t="shared" si="106"/>
        <v/>
      </c>
      <c r="AD72" s="580" t="str">
        <f t="shared" si="142"/>
        <v/>
      </c>
      <c r="AE72" s="572" t="str">
        <f t="shared" si="107"/>
        <v/>
      </c>
      <c r="AF72" s="576" t="str">
        <f t="shared" si="108"/>
        <v/>
      </c>
      <c r="AG72" s="545" t="str">
        <f t="shared" si="109"/>
        <v/>
      </c>
      <c r="AH72" s="546" t="str">
        <f t="shared" si="110"/>
        <v/>
      </c>
      <c r="AI72" s="528" t="str">
        <f t="shared" si="111"/>
        <v/>
      </c>
      <c r="AJ72" s="529" t="str">
        <f t="shared" si="112"/>
        <v/>
      </c>
      <c r="AK72" s="578" t="str">
        <f t="shared" si="238"/>
        <v/>
      </c>
      <c r="AL72" s="572" t="str">
        <f t="shared" si="113"/>
        <v/>
      </c>
      <c r="AM72" s="577" t="str">
        <f t="shared" si="114"/>
        <v/>
      </c>
      <c r="AN72" s="524" t="str">
        <f t="shared" si="115"/>
        <v/>
      </c>
      <c r="AO72" s="525" t="str">
        <f t="shared" si="525"/>
        <v/>
      </c>
      <c r="AP72" s="528" t="str">
        <f t="shared" si="117"/>
        <v/>
      </c>
      <c r="AQ72" s="529" t="str">
        <f t="shared" si="274"/>
        <v/>
      </c>
      <c r="AS72" s="932" t="str">
        <f t="shared" si="461"/>
        <v/>
      </c>
      <c r="AT72" s="928" t="str">
        <f t="shared" si="275"/>
        <v/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 t="str">
        <f t="shared" si="236"/>
        <v/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26"/>
        <v/>
      </c>
      <c r="IM72" s="482" t="str">
        <f t="shared" si="237"/>
        <v/>
      </c>
      <c r="IN72" s="670" t="str">
        <f t="shared" si="427"/>
        <v/>
      </c>
      <c r="IO72" s="702"/>
      <c r="IP72" s="5" t="str">
        <f t="shared" si="428"/>
        <v/>
      </c>
      <c r="IQ72" s="714"/>
      <c r="IR72" s="9" t="str">
        <f t="shared" si="429"/>
        <v/>
      </c>
      <c r="IS72" s="5" t="str">
        <f t="shared" si="430"/>
        <v/>
      </c>
      <c r="IT72" s="5" t="str">
        <f t="shared" si="431"/>
        <v/>
      </c>
      <c r="IU72" s="5" t="str">
        <f t="shared" si="432"/>
        <v/>
      </c>
      <c r="IV72" s="670" t="str">
        <f t="shared" si="433"/>
        <v/>
      </c>
      <c r="IW72" s="9" t="str">
        <f t="shared" si="434"/>
        <v/>
      </c>
      <c r="IX72" s="5" t="str">
        <f t="shared" si="435"/>
        <v/>
      </c>
      <c r="IY72" s="5" t="str">
        <f t="shared" si="436"/>
        <v/>
      </c>
      <c r="IZ72" s="5" t="str">
        <f t="shared" si="437"/>
        <v/>
      </c>
      <c r="JA72" s="705" t="str">
        <f t="shared" si="438"/>
        <v/>
      </c>
    </row>
    <row r="73" spans="1:261" ht="15" customHeight="1" x14ac:dyDescent="0.25">
      <c r="A73" s="75" t="str">
        <f t="shared" si="256"/>
        <v/>
      </c>
      <c r="B73" s="578" t="str">
        <f t="shared" si="515"/>
        <v/>
      </c>
      <c r="C73" s="572" t="str">
        <f t="shared" si="516"/>
        <v/>
      </c>
      <c r="D73" s="576" t="str">
        <f t="shared" si="517"/>
        <v/>
      </c>
      <c r="E73" s="580" t="str">
        <f t="shared" si="518"/>
        <v/>
      </c>
      <c r="F73" s="572" t="str">
        <f t="shared" si="519"/>
        <v/>
      </c>
      <c r="G73" s="579" t="str">
        <f t="shared" si="520"/>
        <v/>
      </c>
      <c r="H73" s="580" t="str">
        <f t="shared" si="521"/>
        <v/>
      </c>
      <c r="I73" s="572" t="str">
        <f t="shared" si="522"/>
        <v/>
      </c>
      <c r="J73" s="483" t="str">
        <f t="shared" si="523"/>
        <v/>
      </c>
      <c r="K73" s="806" t="str">
        <f t="shared" si="524"/>
        <v/>
      </c>
      <c r="L73" s="309"/>
      <c r="M73" s="164" t="str">
        <f t="shared" ref="M73:M104" si="526">IF(J73="","",VALUE(J73))</f>
        <v/>
      </c>
      <c r="N73" s="575" t="str">
        <f t="shared" ref="N73:N104" si="527">IF(M73="","",B73)</f>
        <v/>
      </c>
      <c r="O73" s="572" t="str">
        <f t="shared" ref="O73:O104" si="528">IF(M73="","",C73)</f>
        <v/>
      </c>
      <c r="P73" s="576" t="str">
        <f t="shared" ref="P73:P104" si="529">IF(M73="","",D73)</f>
        <v/>
      </c>
      <c r="Q73" s="528" t="str">
        <f t="shared" si="140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53"/>
        <v/>
      </c>
      <c r="X73" s="572" t="str">
        <f>IF(M73="","",R73)</f>
        <v/>
      </c>
      <c r="Y73" s="573" t="str">
        <f t="shared" si="255"/>
        <v/>
      </c>
      <c r="Z73" s="575" t="str">
        <f t="shared" ref="Z73:Z104" si="530">IF(M73="","",-E73)</f>
        <v/>
      </c>
      <c r="AA73" s="572" t="str">
        <f t="shared" ref="AA73:AA104" si="531">IF(M73="","",-F73)</f>
        <v/>
      </c>
      <c r="AB73" s="572" t="str">
        <f t="shared" ref="AB73:AB104" si="532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525"/>
        <v/>
      </c>
      <c r="AP73" s="528" t="str">
        <f>IF(M73="","",DEGREES(ATAN2(AK73,AL73)))</f>
        <v/>
      </c>
      <c r="AQ73" s="529" t="str">
        <f t="shared" ref="AQ73:AQ104" si="533">IF(M73="","",DEGREES(ATAN(($AS$5*SIN(RADIANS(90)))/(($X73*2*PI())-($AS$5*COS(RADIANS(90)))))))</f>
        <v/>
      </c>
      <c r="AS73" s="932" t="str">
        <f t="shared" si="461"/>
        <v/>
      </c>
      <c r="AT73" s="928" t="str">
        <f t="shared" ref="AT73:AT104" si="534">IF(M73="","",Y73+(((AS73-$AS$9)*$AS$6)*-1))</f>
        <v/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 t="str">
        <f t="shared" si="236"/>
        <v/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596">IF(ISNUMBER($IK73),INDEX($K$9:$K$150,MATCH($IK73,$M$9:$M$150,0)),$K73)</f>
        <v/>
      </c>
      <c r="IM73" s="482" t="str">
        <f t="shared" si="237"/>
        <v/>
      </c>
      <c r="IN73" s="670" t="str">
        <f t="shared" ref="IN73:IN104" si="5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598">IF(ISNUMBER($IK73),(($IQ73*12)/60)/$AS$3,"")</f>
        <v/>
      </c>
      <c r="IQ73" s="714"/>
      <c r="IR73" s="9" t="str">
        <f t="shared" ref="IR73:IR104" si="599">IF(ISNUMBER($IK73),(INDEX($X$9:$X$150,MATCH($IK73,$M$9:$M$150,0))*-1),"")</f>
        <v/>
      </c>
      <c r="IS73" s="5" t="str">
        <f t="shared" ref="IS73:IS104" si="600">IF(ISNUMBER($IK73),INDEX($Y$9:$Y$150,MATCH($IK73,$M$9:$M$150,0)),"")</f>
        <v/>
      </c>
      <c r="IT73" s="5" t="str">
        <f t="shared" ref="IT73:IT104" si="601">IF(ISNUMBER($IK73),INDEX($H$9:$H$150,MATCH($IK73,$M$9:$M$150,0)),"")</f>
        <v/>
      </c>
      <c r="IU73" s="5" t="str">
        <f t="shared" ref="IU73:IU104" si="602">IF(ISNUMBER($IK73),$IT73*COS(RADIANS(INDEX($AO$9:$AO$150,MATCH($IK73,$M$9:$M$150,0)))),"")</f>
        <v/>
      </c>
      <c r="IV73" s="670" t="str">
        <f t="shared" ref="IV73:IV104" si="603">IF(ISNUMBER($IK73),(-1*INDEX($AN$9:$AN$150,MATCH($IK73,$M$9:$M$150,0))),"")</f>
        <v/>
      </c>
      <c r="IW73" s="9" t="str">
        <f t="shared" ref="IW73:IW104" si="604">IF(ISNUMBER($IK73),-$X73,"")</f>
        <v/>
      </c>
      <c r="IX73" s="5" t="str">
        <f t="shared" ref="IX73:IX104" si="605">IF(ISNUMBER($IK73),$Y73,"")</f>
        <v/>
      </c>
      <c r="IY73" s="5" t="str">
        <f t="shared" ref="IY73:IY104" si="606">IF(ISNUMBER($IK73),$H73,"")</f>
        <v/>
      </c>
      <c r="IZ73" s="5" t="str">
        <f t="shared" ref="IZ73:IZ104" si="607">IF(ISNUMBER($IK73),$IY73*COS(RADIANS($AO73)),"")</f>
        <v/>
      </c>
      <c r="JA73" s="705" t="str">
        <f t="shared" ref="JA73:JA104" si="608">IF(ISNUMBER($IK73),(-1*$AN73),"")</f>
        <v/>
      </c>
    </row>
    <row r="74" spans="1:261" ht="15" customHeight="1" x14ac:dyDescent="0.25">
      <c r="A74" s="75" t="str">
        <f t="shared" si="256"/>
        <v/>
      </c>
      <c r="B74" s="578" t="str">
        <f t="shared" si="515"/>
        <v/>
      </c>
      <c r="C74" s="572" t="str">
        <f t="shared" si="516"/>
        <v/>
      </c>
      <c r="D74" s="576" t="str">
        <f t="shared" si="517"/>
        <v/>
      </c>
      <c r="E74" s="580" t="str">
        <f t="shared" si="518"/>
        <v/>
      </c>
      <c r="F74" s="572" t="str">
        <f t="shared" si="519"/>
        <v/>
      </c>
      <c r="G74" s="579" t="str">
        <f t="shared" si="520"/>
        <v/>
      </c>
      <c r="H74" s="580" t="str">
        <f t="shared" si="521"/>
        <v/>
      </c>
      <c r="I74" s="572" t="str">
        <f t="shared" si="522"/>
        <v/>
      </c>
      <c r="J74" s="483" t="str">
        <f t="shared" si="523"/>
        <v/>
      </c>
      <c r="K74" s="806" t="str">
        <f t="shared" si="524"/>
        <v/>
      </c>
      <c r="L74" s="309"/>
      <c r="M74" s="164" t="str">
        <f t="shared" si="526"/>
        <v/>
      </c>
      <c r="N74" s="575" t="str">
        <f t="shared" si="527"/>
        <v/>
      </c>
      <c r="O74" s="572" t="str">
        <f t="shared" si="528"/>
        <v/>
      </c>
      <c r="P74" s="576" t="str">
        <f t="shared" si="529"/>
        <v/>
      </c>
      <c r="Q74" s="528" t="str">
        <f t="shared" ref="Q74:Q129" si="609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53"/>
        <v/>
      </c>
      <c r="X74" s="572" t="str">
        <f>IF(M74="","",R74)</f>
        <v/>
      </c>
      <c r="Y74" s="573" t="str">
        <f t="shared" si="255"/>
        <v/>
      </c>
      <c r="Z74" s="575" t="str">
        <f t="shared" si="530"/>
        <v/>
      </c>
      <c r="AA74" s="572" t="str">
        <f t="shared" si="531"/>
        <v/>
      </c>
      <c r="AB74" s="572" t="str">
        <f t="shared" si="532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525"/>
        <v/>
      </c>
      <c r="AP74" s="528" t="str">
        <f>IF(M74="","",DEGREES(ATAN2(AK74,AL74)))</f>
        <v/>
      </c>
      <c r="AQ74" s="529" t="str">
        <f t="shared" si="533"/>
        <v/>
      </c>
      <c r="AS74" s="932" t="str">
        <f t="shared" si="461"/>
        <v/>
      </c>
      <c r="AT74" s="928" t="str">
        <f t="shared" si="534"/>
        <v/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36"/>
        <v/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596"/>
        <v/>
      </c>
      <c r="IM74" s="482" t="str">
        <f t="shared" si="237"/>
        <v/>
      </c>
      <c r="IN74" s="670" t="str">
        <f t="shared" si="597"/>
        <v/>
      </c>
      <c r="IO74" s="702"/>
      <c r="IP74" s="5" t="str">
        <f t="shared" si="598"/>
        <v/>
      </c>
      <c r="IQ74" s="714"/>
      <c r="IR74" s="9" t="str">
        <f t="shared" si="599"/>
        <v/>
      </c>
      <c r="IS74" s="5" t="str">
        <f t="shared" si="600"/>
        <v/>
      </c>
      <c r="IT74" s="5" t="str">
        <f t="shared" si="601"/>
        <v/>
      </c>
      <c r="IU74" s="5" t="str">
        <f t="shared" si="602"/>
        <v/>
      </c>
      <c r="IV74" s="670" t="str">
        <f t="shared" si="603"/>
        <v/>
      </c>
      <c r="IW74" s="9" t="str">
        <f t="shared" si="604"/>
        <v/>
      </c>
      <c r="IX74" s="5" t="str">
        <f t="shared" si="605"/>
        <v/>
      </c>
      <c r="IY74" s="5" t="str">
        <f t="shared" si="606"/>
        <v/>
      </c>
      <c r="IZ74" s="5" t="str">
        <f t="shared" si="607"/>
        <v/>
      </c>
      <c r="JA74" s="705" t="str">
        <f t="shared" si="608"/>
        <v/>
      </c>
    </row>
    <row r="75" spans="1:261" ht="15" customHeight="1" x14ac:dyDescent="0.25">
      <c r="A75" s="75" t="str">
        <f t="shared" si="256"/>
        <v/>
      </c>
      <c r="B75" s="578" t="str">
        <f t="shared" si="515"/>
        <v/>
      </c>
      <c r="C75" s="572" t="str">
        <f t="shared" si="516"/>
        <v/>
      </c>
      <c r="D75" s="576" t="str">
        <f t="shared" si="517"/>
        <v/>
      </c>
      <c r="E75" s="580" t="str">
        <f t="shared" si="518"/>
        <v/>
      </c>
      <c r="F75" s="572" t="str">
        <f t="shared" si="519"/>
        <v/>
      </c>
      <c r="G75" s="579" t="str">
        <f t="shared" si="520"/>
        <v/>
      </c>
      <c r="H75" s="580" t="str">
        <f t="shared" si="521"/>
        <v/>
      </c>
      <c r="I75" s="572" t="str">
        <f t="shared" si="522"/>
        <v/>
      </c>
      <c r="J75" s="483" t="str">
        <f t="shared" si="523"/>
        <v/>
      </c>
      <c r="K75" s="806" t="str">
        <f t="shared" si="524"/>
        <v/>
      </c>
      <c r="L75" s="309"/>
      <c r="M75" s="164" t="str">
        <f t="shared" si="526"/>
        <v/>
      </c>
      <c r="N75" s="575" t="str">
        <f t="shared" si="527"/>
        <v/>
      </c>
      <c r="O75" s="572" t="str">
        <f t="shared" si="528"/>
        <v/>
      </c>
      <c r="P75" s="576" t="str">
        <f t="shared" si="529"/>
        <v/>
      </c>
      <c r="Q75" s="528" t="str">
        <f t="shared" si="609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53"/>
        <v/>
      </c>
      <c r="X75" s="572" t="str">
        <f>IF(M75="","",R75)</f>
        <v/>
      </c>
      <c r="Y75" s="573" t="str">
        <f t="shared" si="255"/>
        <v/>
      </c>
      <c r="Z75" s="575" t="str">
        <f t="shared" si="530"/>
        <v/>
      </c>
      <c r="AA75" s="572" t="str">
        <f t="shared" si="531"/>
        <v/>
      </c>
      <c r="AB75" s="572" t="str">
        <f t="shared" si="532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525"/>
        <v/>
      </c>
      <c r="AP75" s="528" t="str">
        <f>IF(M75="","",DEGREES(ATAN2(AK75,AL75)))</f>
        <v/>
      </c>
      <c r="AQ75" s="529" t="str">
        <f t="shared" si="533"/>
        <v/>
      </c>
      <c r="AS75" s="932" t="str">
        <f t="shared" ref="AS75:AS106" si="632">IF(G75="","",IF(AND(W75&lt;(AS74+180),W75&gt;(AS74-180)),W75,IF(W75&gt;(AS74+180),W75-360,IF(W75&lt;(AS74-180),W75+360,"Error"))))</f>
        <v/>
      </c>
      <c r="AT75" s="928" t="str">
        <f t="shared" si="534"/>
        <v/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731">$M75</f>
        <v/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596"/>
        <v/>
      </c>
      <c r="IM75" s="482" t="str">
        <f t="shared" ref="IM75:IM138" si="732">IF(ISNUMBER($IK75),INDEX($K$9:$K$150,MATCH($II75,$M$9:$M$150,0)),"")</f>
        <v/>
      </c>
      <c r="IN75" s="670" t="str">
        <f t="shared" si="597"/>
        <v/>
      </c>
      <c r="IO75" s="702"/>
      <c r="IP75" s="5" t="str">
        <f t="shared" si="598"/>
        <v/>
      </c>
      <c r="IQ75" s="714"/>
      <c r="IR75" s="9" t="str">
        <f t="shared" si="599"/>
        <v/>
      </c>
      <c r="IS75" s="5" t="str">
        <f t="shared" si="600"/>
        <v/>
      </c>
      <c r="IT75" s="5" t="str">
        <f t="shared" si="601"/>
        <v/>
      </c>
      <c r="IU75" s="5" t="str">
        <f t="shared" si="602"/>
        <v/>
      </c>
      <c r="IV75" s="670" t="str">
        <f t="shared" si="603"/>
        <v/>
      </c>
      <c r="IW75" s="9" t="str">
        <f t="shared" si="604"/>
        <v/>
      </c>
      <c r="IX75" s="5" t="str">
        <f t="shared" si="605"/>
        <v/>
      </c>
      <c r="IY75" s="5" t="str">
        <f t="shared" si="606"/>
        <v/>
      </c>
      <c r="IZ75" s="5" t="str">
        <f t="shared" si="607"/>
        <v/>
      </c>
      <c r="JA75" s="705" t="str">
        <f t="shared" si="608"/>
        <v/>
      </c>
    </row>
    <row r="76" spans="1:261" ht="15" customHeight="1" x14ac:dyDescent="0.25">
      <c r="A76" s="75" t="str">
        <f t="shared" si="256"/>
        <v/>
      </c>
      <c r="B76" s="578" t="str">
        <f t="shared" si="515"/>
        <v/>
      </c>
      <c r="C76" s="572" t="str">
        <f t="shared" si="516"/>
        <v/>
      </c>
      <c r="D76" s="576" t="str">
        <f t="shared" si="517"/>
        <v/>
      </c>
      <c r="E76" s="580" t="str">
        <f t="shared" si="518"/>
        <v/>
      </c>
      <c r="F76" s="572" t="str">
        <f t="shared" si="519"/>
        <v/>
      </c>
      <c r="G76" s="579" t="str">
        <f t="shared" si="520"/>
        <v/>
      </c>
      <c r="H76" s="580" t="str">
        <f t="shared" si="521"/>
        <v/>
      </c>
      <c r="I76" s="572" t="str">
        <f t="shared" si="522"/>
        <v/>
      </c>
      <c r="J76" s="483" t="str">
        <f t="shared" si="523"/>
        <v/>
      </c>
      <c r="K76" s="806" t="str">
        <f t="shared" si="524"/>
        <v/>
      </c>
      <c r="L76" s="309"/>
      <c r="M76" s="164" t="str">
        <f t="shared" si="526"/>
        <v/>
      </c>
      <c r="N76" s="575" t="str">
        <f t="shared" si="527"/>
        <v/>
      </c>
      <c r="O76" s="572" t="str">
        <f t="shared" si="528"/>
        <v/>
      </c>
      <c r="P76" s="576" t="str">
        <f t="shared" si="529"/>
        <v/>
      </c>
      <c r="Q76" s="528" t="str">
        <f t="shared" si="609"/>
        <v/>
      </c>
      <c r="R76" s="572" t="str">
        <f t="shared" si="101"/>
        <v/>
      </c>
      <c r="S76" s="577" t="str">
        <f t="shared" si="102"/>
        <v/>
      </c>
      <c r="T76" s="578" t="str">
        <f t="shared" si="103"/>
        <v/>
      </c>
      <c r="U76" s="572" t="str">
        <f t="shared" si="104"/>
        <v/>
      </c>
      <c r="V76" s="579" t="str">
        <f t="shared" si="141"/>
        <v/>
      </c>
      <c r="W76" s="528" t="str">
        <f t="shared" si="253"/>
        <v/>
      </c>
      <c r="X76" s="572" t="str">
        <f t="shared" si="105"/>
        <v/>
      </c>
      <c r="Y76" s="573" t="str">
        <f t="shared" ref="Y76:Y129" si="733">IF(M76="","",S76)</f>
        <v/>
      </c>
      <c r="Z76" s="575" t="str">
        <f t="shared" si="530"/>
        <v/>
      </c>
      <c r="AA76" s="572" t="str">
        <f t="shared" si="531"/>
        <v/>
      </c>
      <c r="AB76" s="572" t="str">
        <f t="shared" si="532"/>
        <v/>
      </c>
      <c r="AC76" s="579" t="str">
        <f t="shared" si="106"/>
        <v/>
      </c>
      <c r="AD76" s="580" t="str">
        <f t="shared" si="142"/>
        <v/>
      </c>
      <c r="AE76" s="572" t="str">
        <f t="shared" si="107"/>
        <v/>
      </c>
      <c r="AF76" s="576" t="str">
        <f t="shared" si="108"/>
        <v/>
      </c>
      <c r="AG76" s="545" t="str">
        <f t="shared" si="109"/>
        <v/>
      </c>
      <c r="AH76" s="546" t="str">
        <f t="shared" si="110"/>
        <v/>
      </c>
      <c r="AI76" s="528" t="str">
        <f t="shared" si="111"/>
        <v/>
      </c>
      <c r="AJ76" s="529" t="str">
        <f t="shared" si="112"/>
        <v/>
      </c>
      <c r="AK76" s="578" t="str">
        <f t="shared" si="238"/>
        <v/>
      </c>
      <c r="AL76" s="572" t="str">
        <f t="shared" si="113"/>
        <v/>
      </c>
      <c r="AM76" s="577" t="str">
        <f t="shared" si="114"/>
        <v/>
      </c>
      <c r="AN76" s="524" t="str">
        <f t="shared" si="115"/>
        <v/>
      </c>
      <c r="AO76" s="525" t="str">
        <f t="shared" si="525"/>
        <v/>
      </c>
      <c r="AP76" s="528" t="str">
        <f t="shared" si="117"/>
        <v/>
      </c>
      <c r="AQ76" s="529" t="str">
        <f t="shared" si="533"/>
        <v/>
      </c>
      <c r="AS76" s="932" t="str">
        <f t="shared" si="632"/>
        <v/>
      </c>
      <c r="AT76" s="928" t="str">
        <f t="shared" si="534"/>
        <v/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731"/>
        <v/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596"/>
        <v/>
      </c>
      <c r="IM76" s="482" t="str">
        <f t="shared" si="732"/>
        <v/>
      </c>
      <c r="IN76" s="670" t="str">
        <f t="shared" si="597"/>
        <v/>
      </c>
      <c r="IO76" s="702"/>
      <c r="IP76" s="5" t="str">
        <f t="shared" si="598"/>
        <v/>
      </c>
      <c r="IQ76" s="714"/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 t="str">
        <f t="shared" si="256"/>
        <v/>
      </c>
      <c r="B77" s="578" t="str">
        <f t="shared" si="515"/>
        <v/>
      </c>
      <c r="C77" s="572" t="str">
        <f t="shared" si="516"/>
        <v/>
      </c>
      <c r="D77" s="576" t="str">
        <f t="shared" si="517"/>
        <v/>
      </c>
      <c r="E77" s="580" t="str">
        <f t="shared" si="518"/>
        <v/>
      </c>
      <c r="F77" s="572" t="str">
        <f t="shared" si="519"/>
        <v/>
      </c>
      <c r="G77" s="579" t="str">
        <f t="shared" si="520"/>
        <v/>
      </c>
      <c r="H77" s="580" t="str">
        <f t="shared" si="521"/>
        <v/>
      </c>
      <c r="I77" s="572" t="str">
        <f t="shared" si="522"/>
        <v/>
      </c>
      <c r="J77" s="483" t="str">
        <f t="shared" si="523"/>
        <v/>
      </c>
      <c r="K77" s="806" t="str">
        <f t="shared" si="524"/>
        <v/>
      </c>
      <c r="L77" s="309"/>
      <c r="M77" s="164" t="str">
        <f t="shared" si="526"/>
        <v/>
      </c>
      <c r="N77" s="575" t="str">
        <f t="shared" si="527"/>
        <v/>
      </c>
      <c r="O77" s="572" t="str">
        <f t="shared" si="528"/>
        <v/>
      </c>
      <c r="P77" s="576" t="str">
        <f t="shared" si="529"/>
        <v/>
      </c>
      <c r="Q77" s="528" t="str">
        <f t="shared" si="609"/>
        <v/>
      </c>
      <c r="R77" s="572" t="str">
        <f t="shared" si="101"/>
        <v/>
      </c>
      <c r="S77" s="577" t="str">
        <f t="shared" si="102"/>
        <v/>
      </c>
      <c r="T77" s="578" t="str">
        <f t="shared" si="103"/>
        <v/>
      </c>
      <c r="U77" s="572" t="str">
        <f t="shared" si="104"/>
        <v/>
      </c>
      <c r="V77" s="579" t="str">
        <f t="shared" si="141"/>
        <v/>
      </c>
      <c r="W77" s="528" t="str">
        <f t="shared" si="253"/>
        <v/>
      </c>
      <c r="X77" s="572" t="str">
        <f t="shared" si="105"/>
        <v/>
      </c>
      <c r="Y77" s="573" t="str">
        <f t="shared" si="733"/>
        <v/>
      </c>
      <c r="Z77" s="575" t="str">
        <f t="shared" si="530"/>
        <v/>
      </c>
      <c r="AA77" s="572" t="str">
        <f t="shared" si="531"/>
        <v/>
      </c>
      <c r="AB77" s="572" t="str">
        <f t="shared" si="532"/>
        <v/>
      </c>
      <c r="AC77" s="579" t="str">
        <f t="shared" si="106"/>
        <v/>
      </c>
      <c r="AD77" s="580" t="str">
        <f t="shared" si="142"/>
        <v/>
      </c>
      <c r="AE77" s="572" t="str">
        <f t="shared" si="107"/>
        <v/>
      </c>
      <c r="AF77" s="576" t="str">
        <f t="shared" si="108"/>
        <v/>
      </c>
      <c r="AG77" s="545" t="str">
        <f t="shared" si="109"/>
        <v/>
      </c>
      <c r="AH77" s="546" t="str">
        <f t="shared" si="110"/>
        <v/>
      </c>
      <c r="AI77" s="528" t="str">
        <f t="shared" si="111"/>
        <v/>
      </c>
      <c r="AJ77" s="529" t="str">
        <f t="shared" si="112"/>
        <v/>
      </c>
      <c r="AK77" s="578" t="str">
        <f t="shared" si="238"/>
        <v/>
      </c>
      <c r="AL77" s="572" t="str">
        <f t="shared" si="113"/>
        <v/>
      </c>
      <c r="AM77" s="577" t="str">
        <f t="shared" si="114"/>
        <v/>
      </c>
      <c r="AN77" s="524" t="str">
        <f t="shared" si="115"/>
        <v/>
      </c>
      <c r="AO77" s="525" t="str">
        <f t="shared" si="525"/>
        <v/>
      </c>
      <c r="AP77" s="528" t="str">
        <f t="shared" si="117"/>
        <v/>
      </c>
      <c r="AQ77" s="529" t="str">
        <f t="shared" si="533"/>
        <v/>
      </c>
      <c r="AS77" s="932" t="str">
        <f t="shared" si="632"/>
        <v/>
      </c>
      <c r="AT77" s="928" t="str">
        <f t="shared" si="534"/>
        <v/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731"/>
        <v/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596"/>
        <v/>
      </c>
      <c r="IM77" s="482" t="str">
        <f t="shared" si="732"/>
        <v/>
      </c>
      <c r="IN77" s="670" t="str">
        <f t="shared" si="597"/>
        <v/>
      </c>
      <c r="IO77" s="702"/>
      <c r="IP77" s="5" t="str">
        <f t="shared" si="598"/>
        <v/>
      </c>
      <c r="IQ77" s="714"/>
      <c r="IR77" s="9" t="str">
        <f t="shared" si="599"/>
        <v/>
      </c>
      <c r="IS77" s="5" t="str">
        <f t="shared" si="600"/>
        <v/>
      </c>
      <c r="IT77" s="5" t="str">
        <f t="shared" si="601"/>
        <v/>
      </c>
      <c r="IU77" s="5" t="str">
        <f t="shared" si="602"/>
        <v/>
      </c>
      <c r="IV77" s="670" t="str">
        <f t="shared" si="603"/>
        <v/>
      </c>
      <c r="IW77" s="9" t="str">
        <f t="shared" si="604"/>
        <v/>
      </c>
      <c r="IX77" s="5" t="str">
        <f t="shared" si="605"/>
        <v/>
      </c>
      <c r="IY77" s="5" t="str">
        <f t="shared" si="606"/>
        <v/>
      </c>
      <c r="IZ77" s="5" t="str">
        <f t="shared" si="607"/>
        <v/>
      </c>
      <c r="JA77" s="705" t="str">
        <f t="shared" si="608"/>
        <v/>
      </c>
    </row>
    <row r="78" spans="1:261" ht="15" customHeight="1" x14ac:dyDescent="0.25">
      <c r="A78" s="75" t="str">
        <f t="shared" si="256"/>
        <v/>
      </c>
      <c r="B78" s="578" t="str">
        <f t="shared" si="515"/>
        <v/>
      </c>
      <c r="C78" s="572" t="str">
        <f t="shared" si="516"/>
        <v/>
      </c>
      <c r="D78" s="576" t="str">
        <f t="shared" si="517"/>
        <v/>
      </c>
      <c r="E78" s="580" t="str">
        <f t="shared" si="518"/>
        <v/>
      </c>
      <c r="F78" s="572" t="str">
        <f t="shared" si="519"/>
        <v/>
      </c>
      <c r="G78" s="579" t="str">
        <f t="shared" si="520"/>
        <v/>
      </c>
      <c r="H78" s="580" t="str">
        <f t="shared" si="521"/>
        <v/>
      </c>
      <c r="I78" s="572" t="str">
        <f t="shared" si="522"/>
        <v/>
      </c>
      <c r="J78" s="483" t="str">
        <f t="shared" si="523"/>
        <v/>
      </c>
      <c r="K78" s="806" t="str">
        <f t="shared" si="524"/>
        <v/>
      </c>
      <c r="L78" s="309"/>
      <c r="M78" s="164" t="str">
        <f t="shared" si="526"/>
        <v/>
      </c>
      <c r="N78" s="575" t="str">
        <f t="shared" si="527"/>
        <v/>
      </c>
      <c r="O78" s="572" t="str">
        <f t="shared" si="528"/>
        <v/>
      </c>
      <c r="P78" s="576" t="str">
        <f t="shared" si="529"/>
        <v/>
      </c>
      <c r="Q78" s="528" t="str">
        <f t="shared" si="609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53"/>
        <v/>
      </c>
      <c r="X78" s="572" t="str">
        <f>IF(M78="","",R78)</f>
        <v/>
      </c>
      <c r="Y78" s="573" t="str">
        <f t="shared" si="733"/>
        <v/>
      </c>
      <c r="Z78" s="575" t="str">
        <f t="shared" si="530"/>
        <v/>
      </c>
      <c r="AA78" s="572" t="str">
        <f t="shared" si="531"/>
        <v/>
      </c>
      <c r="AB78" s="572" t="str">
        <f t="shared" si="532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525"/>
        <v/>
      </c>
      <c r="AP78" s="528" t="str">
        <f>IF(M78="","",DEGREES(ATAN2(AK78,AL78)))</f>
        <v/>
      </c>
      <c r="AQ78" s="529" t="str">
        <f t="shared" si="533"/>
        <v/>
      </c>
      <c r="AS78" s="932" t="str">
        <f t="shared" si="632"/>
        <v/>
      </c>
      <c r="AT78" s="928" t="str">
        <f t="shared" si="534"/>
        <v/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731"/>
        <v/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596"/>
        <v/>
      </c>
      <c r="IM78" s="482" t="str">
        <f t="shared" si="732"/>
        <v/>
      </c>
      <c r="IN78" s="670" t="str">
        <f t="shared" si="597"/>
        <v/>
      </c>
      <c r="IO78" s="702"/>
      <c r="IP78" s="5" t="str">
        <f t="shared" si="598"/>
        <v/>
      </c>
      <c r="IQ78" s="714"/>
      <c r="IR78" s="9" t="str">
        <f t="shared" si="599"/>
        <v/>
      </c>
      <c r="IS78" s="5" t="str">
        <f t="shared" si="600"/>
        <v/>
      </c>
      <c r="IT78" s="5" t="str">
        <f t="shared" si="601"/>
        <v/>
      </c>
      <c r="IU78" s="5" t="str">
        <f t="shared" si="602"/>
        <v/>
      </c>
      <c r="IV78" s="670" t="str">
        <f t="shared" si="603"/>
        <v/>
      </c>
      <c r="IW78" s="9" t="str">
        <f t="shared" si="604"/>
        <v/>
      </c>
      <c r="IX78" s="5" t="str">
        <f t="shared" si="605"/>
        <v/>
      </c>
      <c r="IY78" s="5" t="str">
        <f t="shared" si="606"/>
        <v/>
      </c>
      <c r="IZ78" s="5" t="str">
        <f t="shared" si="607"/>
        <v/>
      </c>
      <c r="JA78" s="705" t="str">
        <f t="shared" si="608"/>
        <v/>
      </c>
    </row>
    <row r="79" spans="1:261" ht="15" customHeight="1" x14ac:dyDescent="0.25">
      <c r="A79" s="75" t="str">
        <f t="shared" si="256"/>
        <v/>
      </c>
      <c r="B79" s="578" t="str">
        <f t="shared" si="515"/>
        <v/>
      </c>
      <c r="C79" s="572" t="str">
        <f t="shared" si="516"/>
        <v/>
      </c>
      <c r="D79" s="576" t="str">
        <f t="shared" si="517"/>
        <v/>
      </c>
      <c r="E79" s="580" t="str">
        <f t="shared" si="518"/>
        <v/>
      </c>
      <c r="F79" s="572" t="str">
        <f t="shared" si="519"/>
        <v/>
      </c>
      <c r="G79" s="579" t="str">
        <f t="shared" si="520"/>
        <v/>
      </c>
      <c r="H79" s="580" t="str">
        <f t="shared" si="521"/>
        <v/>
      </c>
      <c r="I79" s="572" t="str">
        <f t="shared" si="522"/>
        <v/>
      </c>
      <c r="J79" s="483" t="str">
        <f t="shared" si="523"/>
        <v/>
      </c>
      <c r="K79" s="806" t="str">
        <f t="shared" si="524"/>
        <v/>
      </c>
      <c r="L79" s="309"/>
      <c r="M79" s="164" t="str">
        <f t="shared" si="526"/>
        <v/>
      </c>
      <c r="N79" s="575" t="str">
        <f t="shared" si="527"/>
        <v/>
      </c>
      <c r="O79" s="572" t="str">
        <f t="shared" si="528"/>
        <v/>
      </c>
      <c r="P79" s="576" t="str">
        <f t="shared" si="529"/>
        <v/>
      </c>
      <c r="Q79" s="528" t="str">
        <f t="shared" si="609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735">IF(M79="","",IF(Q79-$Q$8&lt;0,360+Q79-$Q$8,Q79-$Q$8))</f>
        <v/>
      </c>
      <c r="X79" s="572" t="str">
        <f>IF(M79="","",R79)</f>
        <v/>
      </c>
      <c r="Y79" s="573" t="str">
        <f t="shared" si="733"/>
        <v/>
      </c>
      <c r="Z79" s="575" t="str">
        <f t="shared" si="530"/>
        <v/>
      </c>
      <c r="AA79" s="572" t="str">
        <f t="shared" si="531"/>
        <v/>
      </c>
      <c r="AB79" s="572" t="str">
        <f t="shared" si="532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525"/>
        <v/>
      </c>
      <c r="AP79" s="528" t="str">
        <f>IF(M79="","",DEGREES(ATAN2(AK79,AL79)))</f>
        <v/>
      </c>
      <c r="AQ79" s="529" t="str">
        <f t="shared" si="533"/>
        <v/>
      </c>
      <c r="AS79" s="932" t="str">
        <f t="shared" si="632"/>
        <v/>
      </c>
      <c r="AT79" s="928" t="str">
        <f t="shared" si="534"/>
        <v/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731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596"/>
        <v/>
      </c>
      <c r="IM79" s="482" t="str">
        <f t="shared" si="732"/>
        <v/>
      </c>
      <c r="IN79" s="670" t="str">
        <f t="shared" si="597"/>
        <v/>
      </c>
      <c r="IO79" s="702"/>
      <c r="IP79" s="5" t="str">
        <f t="shared" si="598"/>
        <v/>
      </c>
      <c r="IQ79" s="714"/>
      <c r="IR79" s="9" t="str">
        <f t="shared" si="599"/>
        <v/>
      </c>
      <c r="IS79" s="5" t="str">
        <f t="shared" si="600"/>
        <v/>
      </c>
      <c r="IT79" s="5" t="str">
        <f t="shared" si="601"/>
        <v/>
      </c>
      <c r="IU79" s="5" t="str">
        <f t="shared" si="602"/>
        <v/>
      </c>
      <c r="IV79" s="670" t="str">
        <f t="shared" si="603"/>
        <v/>
      </c>
      <c r="IW79" s="9" t="str">
        <f t="shared" si="604"/>
        <v/>
      </c>
      <c r="IX79" s="5" t="str">
        <f t="shared" si="605"/>
        <v/>
      </c>
      <c r="IY79" s="5" t="str">
        <f t="shared" si="606"/>
        <v/>
      </c>
      <c r="IZ79" s="5" t="str">
        <f t="shared" si="607"/>
        <v/>
      </c>
      <c r="JA79" s="705" t="str">
        <f t="shared" si="608"/>
        <v/>
      </c>
    </row>
    <row r="80" spans="1:261" ht="15" customHeight="1" x14ac:dyDescent="0.25">
      <c r="A80" s="75" t="str">
        <f t="shared" si="256"/>
        <v/>
      </c>
      <c r="B80" s="578" t="str">
        <f t="shared" si="515"/>
        <v/>
      </c>
      <c r="C80" s="572" t="str">
        <f t="shared" si="516"/>
        <v/>
      </c>
      <c r="D80" s="576" t="str">
        <f t="shared" si="517"/>
        <v/>
      </c>
      <c r="E80" s="580" t="str">
        <f t="shared" si="518"/>
        <v/>
      </c>
      <c r="F80" s="572" t="str">
        <f t="shared" si="519"/>
        <v/>
      </c>
      <c r="G80" s="579" t="str">
        <f t="shared" si="520"/>
        <v/>
      </c>
      <c r="H80" s="580" t="str">
        <f t="shared" si="521"/>
        <v/>
      </c>
      <c r="I80" s="572" t="str">
        <f t="shared" si="522"/>
        <v/>
      </c>
      <c r="J80" s="483" t="str">
        <f t="shared" si="523"/>
        <v/>
      </c>
      <c r="K80" s="806" t="str">
        <f t="shared" si="524"/>
        <v/>
      </c>
      <c r="L80" s="309"/>
      <c r="M80" s="164" t="str">
        <f t="shared" si="526"/>
        <v/>
      </c>
      <c r="N80" s="575" t="str">
        <f t="shared" si="527"/>
        <v/>
      </c>
      <c r="O80" s="572" t="str">
        <f t="shared" si="528"/>
        <v/>
      </c>
      <c r="P80" s="576" t="str">
        <f t="shared" si="529"/>
        <v/>
      </c>
      <c r="Q80" s="528" t="str">
        <f t="shared" si="609"/>
        <v/>
      </c>
      <c r="R80" s="572" t="str">
        <f t="shared" si="101"/>
        <v/>
      </c>
      <c r="S80" s="577" t="str">
        <f t="shared" si="102"/>
        <v/>
      </c>
      <c r="T80" s="578" t="str">
        <f t="shared" si="103"/>
        <v/>
      </c>
      <c r="U80" s="572" t="str">
        <f t="shared" si="104"/>
        <v/>
      </c>
      <c r="V80" s="579" t="str">
        <f t="shared" si="141"/>
        <v/>
      </c>
      <c r="W80" s="528" t="str">
        <f t="shared" si="735"/>
        <v/>
      </c>
      <c r="X80" s="572" t="str">
        <f t="shared" si="105"/>
        <v/>
      </c>
      <c r="Y80" s="573" t="str">
        <f t="shared" si="733"/>
        <v/>
      </c>
      <c r="Z80" s="575" t="str">
        <f t="shared" si="530"/>
        <v/>
      </c>
      <c r="AA80" s="572" t="str">
        <f t="shared" si="531"/>
        <v/>
      </c>
      <c r="AB80" s="572" t="str">
        <f t="shared" si="532"/>
        <v/>
      </c>
      <c r="AC80" s="579" t="str">
        <f t="shared" si="106"/>
        <v/>
      </c>
      <c r="AD80" s="580" t="str">
        <f t="shared" si="142"/>
        <v/>
      </c>
      <c r="AE80" s="572" t="str">
        <f t="shared" si="107"/>
        <v/>
      </c>
      <c r="AF80" s="576" t="str">
        <f t="shared" si="108"/>
        <v/>
      </c>
      <c r="AG80" s="545" t="str">
        <f t="shared" si="109"/>
        <v/>
      </c>
      <c r="AH80" s="546" t="str">
        <f t="shared" si="110"/>
        <v/>
      </c>
      <c r="AI80" s="528" t="str">
        <f t="shared" si="111"/>
        <v/>
      </c>
      <c r="AJ80" s="529" t="str">
        <f t="shared" si="112"/>
        <v/>
      </c>
      <c r="AK80" s="578" t="str">
        <f t="shared" si="238"/>
        <v/>
      </c>
      <c r="AL80" s="572" t="str">
        <f t="shared" si="113"/>
        <v/>
      </c>
      <c r="AM80" s="577" t="str">
        <f t="shared" si="114"/>
        <v/>
      </c>
      <c r="AN80" s="524" t="str">
        <f t="shared" si="115"/>
        <v/>
      </c>
      <c r="AO80" s="525" t="str">
        <f t="shared" si="525"/>
        <v/>
      </c>
      <c r="AP80" s="528" t="str">
        <f t="shared" si="117"/>
        <v/>
      </c>
      <c r="AQ80" s="529" t="str">
        <f t="shared" si="533"/>
        <v/>
      </c>
      <c r="AS80" s="932" t="str">
        <f t="shared" si="632"/>
        <v/>
      </c>
      <c r="AT80" s="928" t="str">
        <f t="shared" si="534"/>
        <v/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731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596"/>
        <v/>
      </c>
      <c r="IM80" s="482" t="str">
        <f t="shared" si="732"/>
        <v/>
      </c>
      <c r="IN80" s="670" t="str">
        <f t="shared" si="597"/>
        <v/>
      </c>
      <c r="IO80" s="702"/>
      <c r="IP80" s="5" t="str">
        <f t="shared" si="598"/>
        <v/>
      </c>
      <c r="IQ80" s="714"/>
      <c r="IR80" s="9" t="str">
        <f t="shared" si="599"/>
        <v/>
      </c>
      <c r="IS80" s="5" t="str">
        <f t="shared" si="600"/>
        <v/>
      </c>
      <c r="IT80" s="5" t="str">
        <f t="shared" si="601"/>
        <v/>
      </c>
      <c r="IU80" s="5" t="str">
        <f t="shared" si="602"/>
        <v/>
      </c>
      <c r="IV80" s="670" t="str">
        <f t="shared" si="603"/>
        <v/>
      </c>
      <c r="IW80" s="9" t="str">
        <f t="shared" si="604"/>
        <v/>
      </c>
      <c r="IX80" s="5" t="str">
        <f t="shared" si="605"/>
        <v/>
      </c>
      <c r="IY80" s="5" t="str">
        <f t="shared" si="606"/>
        <v/>
      </c>
      <c r="IZ80" s="5" t="str">
        <f t="shared" si="607"/>
        <v/>
      </c>
      <c r="JA80" s="705" t="str">
        <f t="shared" si="608"/>
        <v/>
      </c>
    </row>
    <row r="81" spans="1:261" ht="15" customHeight="1" x14ac:dyDescent="0.25">
      <c r="A81" s="75" t="str">
        <f t="shared" si="256"/>
        <v/>
      </c>
      <c r="B81" s="578" t="str">
        <f t="shared" si="515"/>
        <v/>
      </c>
      <c r="C81" s="572" t="str">
        <f t="shared" si="516"/>
        <v/>
      </c>
      <c r="D81" s="576" t="str">
        <f t="shared" si="517"/>
        <v/>
      </c>
      <c r="E81" s="580" t="str">
        <f t="shared" si="518"/>
        <v/>
      </c>
      <c r="F81" s="572" t="str">
        <f t="shared" si="519"/>
        <v/>
      </c>
      <c r="G81" s="579" t="str">
        <f t="shared" si="520"/>
        <v/>
      </c>
      <c r="H81" s="580" t="str">
        <f t="shared" si="521"/>
        <v/>
      </c>
      <c r="I81" s="572" t="str">
        <f t="shared" si="522"/>
        <v/>
      </c>
      <c r="J81" s="483" t="str">
        <f t="shared" si="523"/>
        <v/>
      </c>
      <c r="K81" s="806" t="str">
        <f t="shared" si="524"/>
        <v/>
      </c>
      <c r="L81" s="309"/>
      <c r="M81" s="164" t="str">
        <f t="shared" si="526"/>
        <v/>
      </c>
      <c r="N81" s="575" t="str">
        <f t="shared" si="527"/>
        <v/>
      </c>
      <c r="O81" s="572" t="str">
        <f t="shared" si="528"/>
        <v/>
      </c>
      <c r="P81" s="576" t="str">
        <f t="shared" si="529"/>
        <v/>
      </c>
      <c r="Q81" s="528" t="str">
        <f t="shared" si="609"/>
        <v/>
      </c>
      <c r="R81" s="572" t="str">
        <f t="shared" si="101"/>
        <v/>
      </c>
      <c r="S81" s="577" t="str">
        <f t="shared" si="102"/>
        <v/>
      </c>
      <c r="T81" s="578" t="str">
        <f t="shared" si="103"/>
        <v/>
      </c>
      <c r="U81" s="572" t="str">
        <f t="shared" si="104"/>
        <v/>
      </c>
      <c r="V81" s="579" t="str">
        <f t="shared" si="141"/>
        <v/>
      </c>
      <c r="W81" s="528" t="str">
        <f t="shared" si="735"/>
        <v/>
      </c>
      <c r="X81" s="572" t="str">
        <f t="shared" si="105"/>
        <v/>
      </c>
      <c r="Y81" s="573" t="str">
        <f t="shared" si="733"/>
        <v/>
      </c>
      <c r="Z81" s="575" t="str">
        <f t="shared" si="530"/>
        <v/>
      </c>
      <c r="AA81" s="572" t="str">
        <f t="shared" si="531"/>
        <v/>
      </c>
      <c r="AB81" s="572" t="str">
        <f t="shared" si="532"/>
        <v/>
      </c>
      <c r="AC81" s="579" t="str">
        <f t="shared" si="106"/>
        <v/>
      </c>
      <c r="AD81" s="580" t="str">
        <f t="shared" si="142"/>
        <v/>
      </c>
      <c r="AE81" s="572" t="str">
        <f t="shared" si="107"/>
        <v/>
      </c>
      <c r="AF81" s="576" t="str">
        <f t="shared" si="108"/>
        <v/>
      </c>
      <c r="AG81" s="545" t="str">
        <f t="shared" si="109"/>
        <v/>
      </c>
      <c r="AH81" s="546" t="str">
        <f t="shared" si="110"/>
        <v/>
      </c>
      <c r="AI81" s="528" t="str">
        <f t="shared" si="111"/>
        <v/>
      </c>
      <c r="AJ81" s="529" t="str">
        <f t="shared" si="112"/>
        <v/>
      </c>
      <c r="AK81" s="578" t="str">
        <f t="shared" si="238"/>
        <v/>
      </c>
      <c r="AL81" s="572" t="str">
        <f t="shared" si="113"/>
        <v/>
      </c>
      <c r="AM81" s="577" t="str">
        <f t="shared" si="114"/>
        <v/>
      </c>
      <c r="AN81" s="524" t="str">
        <f t="shared" si="115"/>
        <v/>
      </c>
      <c r="AO81" s="525" t="str">
        <f t="shared" si="525"/>
        <v/>
      </c>
      <c r="AP81" s="528" t="str">
        <f t="shared" si="117"/>
        <v/>
      </c>
      <c r="AQ81" s="529" t="str">
        <f t="shared" si="533"/>
        <v/>
      </c>
      <c r="AS81" s="932" t="str">
        <f t="shared" si="632"/>
        <v/>
      </c>
      <c r="AT81" s="928" t="str">
        <f t="shared" si="534"/>
        <v/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731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596"/>
        <v/>
      </c>
      <c r="IM81" s="482" t="str">
        <f t="shared" si="732"/>
        <v/>
      </c>
      <c r="IN81" s="670" t="str">
        <f t="shared" si="597"/>
        <v/>
      </c>
      <c r="IO81" s="702"/>
      <c r="IP81" s="5" t="str">
        <f t="shared" si="598"/>
        <v/>
      </c>
      <c r="IQ81" s="714"/>
      <c r="IR81" s="9" t="str">
        <f t="shared" si="599"/>
        <v/>
      </c>
      <c r="IS81" s="5" t="str">
        <f t="shared" si="600"/>
        <v/>
      </c>
      <c r="IT81" s="5" t="str">
        <f t="shared" si="601"/>
        <v/>
      </c>
      <c r="IU81" s="5" t="str">
        <f t="shared" si="602"/>
        <v/>
      </c>
      <c r="IV81" s="670" t="str">
        <f t="shared" si="603"/>
        <v/>
      </c>
      <c r="IW81" s="9" t="str">
        <f t="shared" si="604"/>
        <v/>
      </c>
      <c r="IX81" s="5" t="str">
        <f t="shared" si="605"/>
        <v/>
      </c>
      <c r="IY81" s="5" t="str">
        <f t="shared" si="606"/>
        <v/>
      </c>
      <c r="IZ81" s="5" t="str">
        <f t="shared" si="607"/>
        <v/>
      </c>
      <c r="JA81" s="705" t="str">
        <f t="shared" si="608"/>
        <v/>
      </c>
    </row>
    <row r="82" spans="1:261" ht="15" customHeight="1" x14ac:dyDescent="0.25">
      <c r="A82" s="75" t="str">
        <f t="shared" si="256"/>
        <v/>
      </c>
      <c r="B82" s="578" t="str">
        <f t="shared" si="515"/>
        <v/>
      </c>
      <c r="C82" s="572" t="str">
        <f t="shared" si="516"/>
        <v/>
      </c>
      <c r="D82" s="576" t="str">
        <f t="shared" si="517"/>
        <v/>
      </c>
      <c r="E82" s="580" t="str">
        <f t="shared" si="518"/>
        <v/>
      </c>
      <c r="F82" s="572" t="str">
        <f t="shared" si="519"/>
        <v/>
      </c>
      <c r="G82" s="579" t="str">
        <f t="shared" si="520"/>
        <v/>
      </c>
      <c r="H82" s="580" t="str">
        <f t="shared" si="521"/>
        <v/>
      </c>
      <c r="I82" s="572" t="str">
        <f t="shared" si="522"/>
        <v/>
      </c>
      <c r="J82" s="483" t="str">
        <f t="shared" si="523"/>
        <v/>
      </c>
      <c r="K82" s="806" t="str">
        <f t="shared" si="524"/>
        <v/>
      </c>
      <c r="L82" s="309"/>
      <c r="M82" s="164" t="str">
        <f t="shared" si="526"/>
        <v/>
      </c>
      <c r="N82" s="575" t="str">
        <f t="shared" si="527"/>
        <v/>
      </c>
      <c r="O82" s="572" t="str">
        <f t="shared" si="528"/>
        <v/>
      </c>
      <c r="P82" s="576" t="str">
        <f t="shared" si="529"/>
        <v/>
      </c>
      <c r="Q82" s="528" t="str">
        <f t="shared" si="609"/>
        <v/>
      </c>
      <c r="R82" s="572" t="str">
        <f t="shared" si="101"/>
        <v/>
      </c>
      <c r="S82" s="577" t="str">
        <f t="shared" si="102"/>
        <v/>
      </c>
      <c r="T82" s="578" t="str">
        <f t="shared" si="103"/>
        <v/>
      </c>
      <c r="U82" s="572" t="str">
        <f t="shared" si="104"/>
        <v/>
      </c>
      <c r="V82" s="579" t="str">
        <f t="shared" si="141"/>
        <v/>
      </c>
      <c r="W82" s="528" t="str">
        <f t="shared" si="735"/>
        <v/>
      </c>
      <c r="X82" s="572" t="str">
        <f t="shared" si="105"/>
        <v/>
      </c>
      <c r="Y82" s="573" t="str">
        <f t="shared" si="733"/>
        <v/>
      </c>
      <c r="Z82" s="575" t="str">
        <f t="shared" si="530"/>
        <v/>
      </c>
      <c r="AA82" s="572" t="str">
        <f t="shared" si="531"/>
        <v/>
      </c>
      <c r="AB82" s="572" t="str">
        <f t="shared" si="532"/>
        <v/>
      </c>
      <c r="AC82" s="579" t="str">
        <f t="shared" si="106"/>
        <v/>
      </c>
      <c r="AD82" s="580" t="str">
        <f t="shared" si="142"/>
        <v/>
      </c>
      <c r="AE82" s="572" t="str">
        <f t="shared" si="107"/>
        <v/>
      </c>
      <c r="AF82" s="576" t="str">
        <f t="shared" si="108"/>
        <v/>
      </c>
      <c r="AG82" s="545" t="str">
        <f t="shared" si="109"/>
        <v/>
      </c>
      <c r="AH82" s="546" t="str">
        <f t="shared" si="110"/>
        <v/>
      </c>
      <c r="AI82" s="528" t="str">
        <f t="shared" si="111"/>
        <v/>
      </c>
      <c r="AJ82" s="529" t="str">
        <f t="shared" si="112"/>
        <v/>
      </c>
      <c r="AK82" s="578" t="str">
        <f t="shared" si="238"/>
        <v/>
      </c>
      <c r="AL82" s="572" t="str">
        <f t="shared" si="113"/>
        <v/>
      </c>
      <c r="AM82" s="577" t="str">
        <f t="shared" si="114"/>
        <v/>
      </c>
      <c r="AN82" s="524" t="str">
        <f t="shared" si="115"/>
        <v/>
      </c>
      <c r="AO82" s="525" t="str">
        <f t="shared" si="525"/>
        <v/>
      </c>
      <c r="AP82" s="528" t="str">
        <f t="shared" si="117"/>
        <v/>
      </c>
      <c r="AQ82" s="529" t="str">
        <f t="shared" si="533"/>
        <v/>
      </c>
      <c r="AS82" s="932" t="str">
        <f t="shared" si="632"/>
        <v/>
      </c>
      <c r="AT82" s="928" t="str">
        <f t="shared" si="534"/>
        <v/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731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596"/>
        <v/>
      </c>
      <c r="IM82" s="482" t="str">
        <f t="shared" si="732"/>
        <v/>
      </c>
      <c r="IN82" s="670" t="str">
        <f t="shared" si="597"/>
        <v/>
      </c>
      <c r="IO82" s="702"/>
      <c r="IP82" s="5" t="str">
        <f t="shared" si="598"/>
        <v/>
      </c>
      <c r="IQ82" s="714"/>
      <c r="IR82" s="9" t="str">
        <f t="shared" si="599"/>
        <v/>
      </c>
      <c r="IS82" s="5" t="str">
        <f t="shared" si="600"/>
        <v/>
      </c>
      <c r="IT82" s="5" t="str">
        <f t="shared" si="601"/>
        <v/>
      </c>
      <c r="IU82" s="5" t="str">
        <f t="shared" si="602"/>
        <v/>
      </c>
      <c r="IV82" s="670" t="str">
        <f t="shared" si="603"/>
        <v/>
      </c>
      <c r="IW82" s="9" t="str">
        <f t="shared" si="604"/>
        <v/>
      </c>
      <c r="IX82" s="5" t="str">
        <f t="shared" si="605"/>
        <v/>
      </c>
      <c r="IY82" s="5" t="str">
        <f t="shared" si="606"/>
        <v/>
      </c>
      <c r="IZ82" s="5" t="str">
        <f t="shared" si="607"/>
        <v/>
      </c>
      <c r="JA82" s="705" t="str">
        <f t="shared" si="608"/>
        <v/>
      </c>
    </row>
    <row r="83" spans="1:261" ht="15" customHeight="1" x14ac:dyDescent="0.25">
      <c r="A83" s="75" t="str">
        <f t="shared" si="256"/>
        <v/>
      </c>
      <c r="B83" s="578" t="str">
        <f t="shared" si="515"/>
        <v/>
      </c>
      <c r="C83" s="572" t="str">
        <f t="shared" si="516"/>
        <v/>
      </c>
      <c r="D83" s="576" t="str">
        <f t="shared" si="517"/>
        <v/>
      </c>
      <c r="E83" s="580" t="str">
        <f t="shared" si="518"/>
        <v/>
      </c>
      <c r="F83" s="572" t="str">
        <f t="shared" si="519"/>
        <v/>
      </c>
      <c r="G83" s="579" t="str">
        <f t="shared" si="520"/>
        <v/>
      </c>
      <c r="H83" s="580" t="str">
        <f t="shared" si="521"/>
        <v/>
      </c>
      <c r="I83" s="572" t="str">
        <f t="shared" si="522"/>
        <v/>
      </c>
      <c r="J83" s="483" t="str">
        <f t="shared" si="523"/>
        <v/>
      </c>
      <c r="K83" s="806" t="str">
        <f t="shared" si="524"/>
        <v/>
      </c>
      <c r="L83" s="309"/>
      <c r="M83" s="164" t="str">
        <f t="shared" si="526"/>
        <v/>
      </c>
      <c r="N83" s="575" t="str">
        <f t="shared" si="527"/>
        <v/>
      </c>
      <c r="O83" s="572" t="str">
        <f t="shared" si="528"/>
        <v/>
      </c>
      <c r="P83" s="576" t="str">
        <f t="shared" si="529"/>
        <v/>
      </c>
      <c r="Q83" s="528" t="str">
        <f t="shared" si="609"/>
        <v/>
      </c>
      <c r="R83" s="572" t="str">
        <f t="shared" si="101"/>
        <v/>
      </c>
      <c r="S83" s="577" t="str">
        <f t="shared" si="102"/>
        <v/>
      </c>
      <c r="T83" s="578" t="str">
        <f t="shared" si="103"/>
        <v/>
      </c>
      <c r="U83" s="572" t="str">
        <f t="shared" si="104"/>
        <v/>
      </c>
      <c r="V83" s="579" t="str">
        <f t="shared" si="141"/>
        <v/>
      </c>
      <c r="W83" s="528" t="str">
        <f t="shared" si="735"/>
        <v/>
      </c>
      <c r="X83" s="572" t="str">
        <f t="shared" si="105"/>
        <v/>
      </c>
      <c r="Y83" s="573" t="str">
        <f t="shared" si="733"/>
        <v/>
      </c>
      <c r="Z83" s="575" t="str">
        <f t="shared" si="530"/>
        <v/>
      </c>
      <c r="AA83" s="572" t="str">
        <f t="shared" si="531"/>
        <v/>
      </c>
      <c r="AB83" s="572" t="str">
        <f t="shared" si="532"/>
        <v/>
      </c>
      <c r="AC83" s="579" t="str">
        <f t="shared" si="106"/>
        <v/>
      </c>
      <c r="AD83" s="580" t="str">
        <f t="shared" si="142"/>
        <v/>
      </c>
      <c r="AE83" s="572" t="str">
        <f t="shared" si="107"/>
        <v/>
      </c>
      <c r="AF83" s="576" t="str">
        <f t="shared" si="108"/>
        <v/>
      </c>
      <c r="AG83" s="545" t="str">
        <f t="shared" si="109"/>
        <v/>
      </c>
      <c r="AH83" s="546" t="str">
        <f t="shared" si="110"/>
        <v/>
      </c>
      <c r="AI83" s="528" t="str">
        <f t="shared" si="111"/>
        <v/>
      </c>
      <c r="AJ83" s="529" t="str">
        <f t="shared" si="112"/>
        <v/>
      </c>
      <c r="AK83" s="578" t="str">
        <f t="shared" si="238"/>
        <v/>
      </c>
      <c r="AL83" s="572" t="str">
        <f t="shared" si="113"/>
        <v/>
      </c>
      <c r="AM83" s="577" t="str">
        <f t="shared" si="114"/>
        <v/>
      </c>
      <c r="AN83" s="524" t="str">
        <f t="shared" si="115"/>
        <v/>
      </c>
      <c r="AO83" s="525" t="str">
        <f t="shared" si="525"/>
        <v/>
      </c>
      <c r="AP83" s="528" t="str">
        <f t="shared" si="117"/>
        <v/>
      </c>
      <c r="AQ83" s="529" t="str">
        <f t="shared" si="533"/>
        <v/>
      </c>
      <c r="AS83" s="932" t="str">
        <f t="shared" si="632"/>
        <v/>
      </c>
      <c r="AT83" s="928" t="str">
        <f t="shared" si="534"/>
        <v/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731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596"/>
        <v/>
      </c>
      <c r="IM83" s="482" t="str">
        <f t="shared" si="732"/>
        <v/>
      </c>
      <c r="IN83" s="670" t="str">
        <f t="shared" si="597"/>
        <v/>
      </c>
      <c r="IO83" s="702"/>
      <c r="IP83" s="5" t="str">
        <f t="shared" si="598"/>
        <v/>
      </c>
      <c r="IQ83" s="714"/>
      <c r="IR83" s="9" t="str">
        <f t="shared" si="599"/>
        <v/>
      </c>
      <c r="IS83" s="5" t="str">
        <f t="shared" si="600"/>
        <v/>
      </c>
      <c r="IT83" s="5" t="str">
        <f t="shared" si="601"/>
        <v/>
      </c>
      <c r="IU83" s="5" t="str">
        <f t="shared" si="602"/>
        <v/>
      </c>
      <c r="IV83" s="670" t="str">
        <f t="shared" si="603"/>
        <v/>
      </c>
      <c r="IW83" s="9" t="str">
        <f t="shared" si="604"/>
        <v/>
      </c>
      <c r="IX83" s="5" t="str">
        <f t="shared" si="605"/>
        <v/>
      </c>
      <c r="IY83" s="5" t="str">
        <f t="shared" si="606"/>
        <v/>
      </c>
      <c r="IZ83" s="5" t="str">
        <f t="shared" si="607"/>
        <v/>
      </c>
      <c r="JA83" s="705" t="str">
        <f t="shared" si="608"/>
        <v/>
      </c>
    </row>
    <row r="84" spans="1:261" ht="15" customHeight="1" x14ac:dyDescent="0.25">
      <c r="A84" s="75" t="str">
        <f t="shared" si="256"/>
        <v/>
      </c>
      <c r="B84" s="578" t="str">
        <f t="shared" si="515"/>
        <v/>
      </c>
      <c r="C84" s="572" t="str">
        <f t="shared" si="516"/>
        <v/>
      </c>
      <c r="D84" s="576" t="str">
        <f t="shared" si="517"/>
        <v/>
      </c>
      <c r="E84" s="580" t="str">
        <f t="shared" si="518"/>
        <v/>
      </c>
      <c r="F84" s="572" t="str">
        <f t="shared" si="519"/>
        <v/>
      </c>
      <c r="G84" s="579" t="str">
        <f t="shared" si="520"/>
        <v/>
      </c>
      <c r="H84" s="580" t="str">
        <f t="shared" si="521"/>
        <v/>
      </c>
      <c r="I84" s="572" t="str">
        <f t="shared" si="522"/>
        <v/>
      </c>
      <c r="J84" s="483" t="str">
        <f t="shared" si="523"/>
        <v/>
      </c>
      <c r="K84" s="806" t="str">
        <f t="shared" si="524"/>
        <v/>
      </c>
      <c r="L84" s="309"/>
      <c r="M84" s="164" t="str">
        <f t="shared" si="526"/>
        <v/>
      </c>
      <c r="N84" s="575" t="str">
        <f t="shared" si="527"/>
        <v/>
      </c>
      <c r="O84" s="572" t="str">
        <f t="shared" si="528"/>
        <v/>
      </c>
      <c r="P84" s="576" t="str">
        <f t="shared" si="529"/>
        <v/>
      </c>
      <c r="Q84" s="528" t="str">
        <f t="shared" si="609"/>
        <v/>
      </c>
      <c r="R84" s="572" t="str">
        <f t="shared" si="101"/>
        <v/>
      </c>
      <c r="S84" s="577" t="str">
        <f t="shared" si="102"/>
        <v/>
      </c>
      <c r="T84" s="578" t="str">
        <f t="shared" si="103"/>
        <v/>
      </c>
      <c r="U84" s="572" t="str">
        <f t="shared" si="104"/>
        <v/>
      </c>
      <c r="V84" s="579" t="str">
        <f t="shared" si="141"/>
        <v/>
      </c>
      <c r="W84" s="528" t="str">
        <f t="shared" si="735"/>
        <v/>
      </c>
      <c r="X84" s="572" t="str">
        <f t="shared" si="105"/>
        <v/>
      </c>
      <c r="Y84" s="573" t="str">
        <f t="shared" si="733"/>
        <v/>
      </c>
      <c r="Z84" s="575" t="str">
        <f t="shared" si="530"/>
        <v/>
      </c>
      <c r="AA84" s="572" t="str">
        <f t="shared" si="531"/>
        <v/>
      </c>
      <c r="AB84" s="572" t="str">
        <f t="shared" si="532"/>
        <v/>
      </c>
      <c r="AC84" s="579" t="str">
        <f t="shared" si="106"/>
        <v/>
      </c>
      <c r="AD84" s="580" t="str">
        <f t="shared" si="142"/>
        <v/>
      </c>
      <c r="AE84" s="572" t="str">
        <f t="shared" si="107"/>
        <v/>
      </c>
      <c r="AF84" s="576" t="str">
        <f t="shared" si="108"/>
        <v/>
      </c>
      <c r="AG84" s="545" t="str">
        <f t="shared" si="109"/>
        <v/>
      </c>
      <c r="AH84" s="546" t="str">
        <f t="shared" si="110"/>
        <v/>
      </c>
      <c r="AI84" s="528" t="str">
        <f t="shared" si="111"/>
        <v/>
      </c>
      <c r="AJ84" s="529" t="str">
        <f t="shared" si="112"/>
        <v/>
      </c>
      <c r="AK84" s="578" t="str">
        <f t="shared" si="238"/>
        <v/>
      </c>
      <c r="AL84" s="572" t="str">
        <f t="shared" si="113"/>
        <v/>
      </c>
      <c r="AM84" s="577" t="str">
        <f t="shared" si="114"/>
        <v/>
      </c>
      <c r="AN84" s="524" t="str">
        <f t="shared" si="115"/>
        <v/>
      </c>
      <c r="AO84" s="525" t="str">
        <f t="shared" si="525"/>
        <v/>
      </c>
      <c r="AP84" s="528" t="str">
        <f t="shared" si="117"/>
        <v/>
      </c>
      <c r="AQ84" s="529" t="str">
        <f t="shared" si="533"/>
        <v/>
      </c>
      <c r="AS84" s="932" t="str">
        <f t="shared" si="632"/>
        <v/>
      </c>
      <c r="AT84" s="928" t="str">
        <f t="shared" si="534"/>
        <v/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731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596"/>
        <v/>
      </c>
      <c r="IM84" s="482" t="str">
        <f t="shared" si="732"/>
        <v/>
      </c>
      <c r="IN84" s="670" t="str">
        <f t="shared" si="597"/>
        <v/>
      </c>
      <c r="IO84" s="702"/>
      <c r="IP84" s="5" t="str">
        <f t="shared" si="598"/>
        <v/>
      </c>
      <c r="IQ84" s="714"/>
      <c r="IR84" s="9" t="str">
        <f t="shared" si="599"/>
        <v/>
      </c>
      <c r="IS84" s="5" t="str">
        <f t="shared" si="600"/>
        <v/>
      </c>
      <c r="IT84" s="5" t="str">
        <f t="shared" si="601"/>
        <v/>
      </c>
      <c r="IU84" s="5" t="str">
        <f t="shared" si="602"/>
        <v/>
      </c>
      <c r="IV84" s="670" t="str">
        <f t="shared" si="603"/>
        <v/>
      </c>
      <c r="IW84" s="9" t="str">
        <f t="shared" si="604"/>
        <v/>
      </c>
      <c r="IX84" s="5" t="str">
        <f t="shared" si="605"/>
        <v/>
      </c>
      <c r="IY84" s="5" t="str">
        <f t="shared" si="606"/>
        <v/>
      </c>
      <c r="IZ84" s="5" t="str">
        <f t="shared" si="607"/>
        <v/>
      </c>
      <c r="JA84" s="705" t="str">
        <f t="shared" si="608"/>
        <v/>
      </c>
    </row>
    <row r="85" spans="1:261" ht="15" customHeight="1" x14ac:dyDescent="0.25">
      <c r="A85" s="75" t="str">
        <f t="shared" si="256"/>
        <v/>
      </c>
      <c r="B85" s="578" t="str">
        <f t="shared" si="515"/>
        <v/>
      </c>
      <c r="C85" s="572" t="str">
        <f t="shared" si="516"/>
        <v/>
      </c>
      <c r="D85" s="576" t="str">
        <f t="shared" si="517"/>
        <v/>
      </c>
      <c r="E85" s="580" t="str">
        <f t="shared" si="518"/>
        <v/>
      </c>
      <c r="F85" s="572" t="str">
        <f t="shared" si="519"/>
        <v/>
      </c>
      <c r="G85" s="579" t="str">
        <f t="shared" si="520"/>
        <v/>
      </c>
      <c r="H85" s="580" t="str">
        <f t="shared" si="521"/>
        <v/>
      </c>
      <c r="I85" s="572" t="str">
        <f t="shared" si="522"/>
        <v/>
      </c>
      <c r="J85" s="483" t="str">
        <f t="shared" si="523"/>
        <v/>
      </c>
      <c r="K85" s="806" t="str">
        <f t="shared" si="524"/>
        <v/>
      </c>
      <c r="L85" s="309"/>
      <c r="M85" s="164" t="str">
        <f t="shared" si="526"/>
        <v/>
      </c>
      <c r="N85" s="575" t="str">
        <f t="shared" si="527"/>
        <v/>
      </c>
      <c r="O85" s="572" t="str">
        <f t="shared" si="528"/>
        <v/>
      </c>
      <c r="P85" s="576" t="str">
        <f t="shared" si="529"/>
        <v/>
      </c>
      <c r="Q85" s="528" t="str">
        <f t="shared" si="609"/>
        <v/>
      </c>
      <c r="R85" s="572" t="str">
        <f t="shared" si="101"/>
        <v/>
      </c>
      <c r="S85" s="577" t="str">
        <f t="shared" si="102"/>
        <v/>
      </c>
      <c r="T85" s="578" t="str">
        <f t="shared" si="103"/>
        <v/>
      </c>
      <c r="U85" s="572" t="str">
        <f t="shared" si="104"/>
        <v/>
      </c>
      <c r="V85" s="579" t="str">
        <f t="shared" si="141"/>
        <v/>
      </c>
      <c r="W85" s="528" t="str">
        <f t="shared" si="735"/>
        <v/>
      </c>
      <c r="X85" s="572" t="str">
        <f t="shared" si="105"/>
        <v/>
      </c>
      <c r="Y85" s="573" t="str">
        <f t="shared" si="733"/>
        <v/>
      </c>
      <c r="Z85" s="575" t="str">
        <f t="shared" si="530"/>
        <v/>
      </c>
      <c r="AA85" s="572" t="str">
        <f t="shared" si="531"/>
        <v/>
      </c>
      <c r="AB85" s="572" t="str">
        <f t="shared" si="532"/>
        <v/>
      </c>
      <c r="AC85" s="579" t="str">
        <f t="shared" si="106"/>
        <v/>
      </c>
      <c r="AD85" s="580" t="str">
        <f t="shared" si="142"/>
        <v/>
      </c>
      <c r="AE85" s="572" t="str">
        <f t="shared" si="107"/>
        <v/>
      </c>
      <c r="AF85" s="576" t="str">
        <f t="shared" si="108"/>
        <v/>
      </c>
      <c r="AG85" s="545" t="str">
        <f t="shared" si="109"/>
        <v/>
      </c>
      <c r="AH85" s="546" t="str">
        <f t="shared" si="110"/>
        <v/>
      </c>
      <c r="AI85" s="528" t="str">
        <f t="shared" si="111"/>
        <v/>
      </c>
      <c r="AJ85" s="529" t="str">
        <f t="shared" si="112"/>
        <v/>
      </c>
      <c r="AK85" s="578" t="str">
        <f t="shared" si="238"/>
        <v/>
      </c>
      <c r="AL85" s="572" t="str">
        <f t="shared" si="113"/>
        <v/>
      </c>
      <c r="AM85" s="577" t="str">
        <f t="shared" si="114"/>
        <v/>
      </c>
      <c r="AN85" s="524" t="str">
        <f t="shared" si="115"/>
        <v/>
      </c>
      <c r="AO85" s="525" t="str">
        <f t="shared" si="525"/>
        <v/>
      </c>
      <c r="AP85" s="528" t="str">
        <f t="shared" si="117"/>
        <v/>
      </c>
      <c r="AQ85" s="529" t="str">
        <f t="shared" si="533"/>
        <v/>
      </c>
      <c r="AS85" s="932" t="str">
        <f t="shared" si="632"/>
        <v/>
      </c>
      <c r="AT85" s="928" t="str">
        <f t="shared" si="534"/>
        <v/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731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596"/>
        <v/>
      </c>
      <c r="IM85" s="482" t="str">
        <f t="shared" si="732"/>
        <v/>
      </c>
      <c r="IN85" s="670" t="str">
        <f t="shared" si="597"/>
        <v/>
      </c>
      <c r="IO85" s="702"/>
      <c r="IP85" s="5" t="str">
        <f t="shared" si="598"/>
        <v/>
      </c>
      <c r="IQ85" s="714"/>
      <c r="IR85" s="9" t="str">
        <f t="shared" si="599"/>
        <v/>
      </c>
      <c r="IS85" s="5" t="str">
        <f t="shared" si="600"/>
        <v/>
      </c>
      <c r="IT85" s="5" t="str">
        <f t="shared" si="601"/>
        <v/>
      </c>
      <c r="IU85" s="5" t="str">
        <f t="shared" si="602"/>
        <v/>
      </c>
      <c r="IV85" s="670" t="str">
        <f t="shared" si="603"/>
        <v/>
      </c>
      <c r="IW85" s="9" t="str">
        <f t="shared" si="604"/>
        <v/>
      </c>
      <c r="IX85" s="5" t="str">
        <f t="shared" si="605"/>
        <v/>
      </c>
      <c r="IY85" s="5" t="str">
        <f t="shared" si="606"/>
        <v/>
      </c>
      <c r="IZ85" s="5" t="str">
        <f t="shared" si="607"/>
        <v/>
      </c>
      <c r="JA85" s="705" t="str">
        <f t="shared" si="608"/>
        <v/>
      </c>
    </row>
    <row r="86" spans="1:261" ht="15" customHeight="1" x14ac:dyDescent="0.25">
      <c r="A86" s="75" t="str">
        <f t="shared" si="256"/>
        <v/>
      </c>
      <c r="B86" s="578" t="str">
        <f t="shared" si="515"/>
        <v/>
      </c>
      <c r="C86" s="572" t="str">
        <f t="shared" si="516"/>
        <v/>
      </c>
      <c r="D86" s="576" t="str">
        <f t="shared" si="517"/>
        <v/>
      </c>
      <c r="E86" s="580" t="str">
        <f t="shared" si="518"/>
        <v/>
      </c>
      <c r="F86" s="572" t="str">
        <f t="shared" si="519"/>
        <v/>
      </c>
      <c r="G86" s="579" t="str">
        <f t="shared" si="520"/>
        <v/>
      </c>
      <c r="H86" s="580" t="str">
        <f t="shared" si="521"/>
        <v/>
      </c>
      <c r="I86" s="572" t="str">
        <f t="shared" si="522"/>
        <v/>
      </c>
      <c r="J86" s="483" t="str">
        <f t="shared" si="523"/>
        <v/>
      </c>
      <c r="K86" s="806" t="str">
        <f t="shared" si="524"/>
        <v/>
      </c>
      <c r="L86" s="309"/>
      <c r="M86" s="164" t="str">
        <f t="shared" si="526"/>
        <v/>
      </c>
      <c r="N86" s="575" t="str">
        <f t="shared" si="527"/>
        <v/>
      </c>
      <c r="O86" s="572" t="str">
        <f t="shared" si="528"/>
        <v/>
      </c>
      <c r="P86" s="576" t="str">
        <f t="shared" si="529"/>
        <v/>
      </c>
      <c r="Q86" s="528" t="str">
        <f t="shared" si="609"/>
        <v/>
      </c>
      <c r="R86" s="572" t="str">
        <f t="shared" si="101"/>
        <v/>
      </c>
      <c r="S86" s="577" t="str">
        <f t="shared" si="102"/>
        <v/>
      </c>
      <c r="T86" s="578" t="str">
        <f t="shared" si="103"/>
        <v/>
      </c>
      <c r="U86" s="572" t="str">
        <f t="shared" si="104"/>
        <v/>
      </c>
      <c r="V86" s="579" t="str">
        <f t="shared" si="141"/>
        <v/>
      </c>
      <c r="W86" s="528" t="str">
        <f t="shared" si="735"/>
        <v/>
      </c>
      <c r="X86" s="572" t="str">
        <f t="shared" si="105"/>
        <v/>
      </c>
      <c r="Y86" s="573" t="str">
        <f t="shared" si="733"/>
        <v/>
      </c>
      <c r="Z86" s="575" t="str">
        <f t="shared" si="530"/>
        <v/>
      </c>
      <c r="AA86" s="572" t="str">
        <f t="shared" si="531"/>
        <v/>
      </c>
      <c r="AB86" s="572" t="str">
        <f t="shared" si="532"/>
        <v/>
      </c>
      <c r="AC86" s="579" t="str">
        <f t="shared" si="106"/>
        <v/>
      </c>
      <c r="AD86" s="580" t="str">
        <f t="shared" si="142"/>
        <v/>
      </c>
      <c r="AE86" s="572" t="str">
        <f t="shared" si="107"/>
        <v/>
      </c>
      <c r="AF86" s="576" t="str">
        <f t="shared" si="108"/>
        <v/>
      </c>
      <c r="AG86" s="545" t="str">
        <f t="shared" si="109"/>
        <v/>
      </c>
      <c r="AH86" s="546" t="str">
        <f t="shared" si="110"/>
        <v/>
      </c>
      <c r="AI86" s="528" t="str">
        <f t="shared" si="111"/>
        <v/>
      </c>
      <c r="AJ86" s="529" t="str">
        <f t="shared" si="112"/>
        <v/>
      </c>
      <c r="AK86" s="578" t="str">
        <f t="shared" si="238"/>
        <v/>
      </c>
      <c r="AL86" s="572" t="str">
        <f t="shared" si="113"/>
        <v/>
      </c>
      <c r="AM86" s="577" t="str">
        <f t="shared" si="114"/>
        <v/>
      </c>
      <c r="AN86" s="524" t="str">
        <f t="shared" si="115"/>
        <v/>
      </c>
      <c r="AO86" s="525" t="str">
        <f t="shared" si="525"/>
        <v/>
      </c>
      <c r="AP86" s="528" t="str">
        <f t="shared" si="117"/>
        <v/>
      </c>
      <c r="AQ86" s="529" t="str">
        <f t="shared" si="533"/>
        <v/>
      </c>
      <c r="AS86" s="932" t="str">
        <f t="shared" si="632"/>
        <v/>
      </c>
      <c r="AT86" s="928" t="str">
        <f t="shared" si="534"/>
        <v/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731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596"/>
        <v/>
      </c>
      <c r="IM86" s="482" t="str">
        <f t="shared" si="732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 t="str">
        <f t="shared" si="256"/>
        <v/>
      </c>
      <c r="B87" s="578" t="str">
        <f t="shared" si="515"/>
        <v/>
      </c>
      <c r="C87" s="572" t="str">
        <f t="shared" si="516"/>
        <v/>
      </c>
      <c r="D87" s="576" t="str">
        <f t="shared" si="517"/>
        <v/>
      </c>
      <c r="E87" s="580" t="str">
        <f t="shared" si="518"/>
        <v/>
      </c>
      <c r="F87" s="572" t="str">
        <f t="shared" si="519"/>
        <v/>
      </c>
      <c r="G87" s="579" t="str">
        <f t="shared" si="520"/>
        <v/>
      </c>
      <c r="H87" s="580" t="str">
        <f t="shared" si="521"/>
        <v/>
      </c>
      <c r="I87" s="572" t="str">
        <f t="shared" si="522"/>
        <v/>
      </c>
      <c r="J87" s="483" t="str">
        <f t="shared" si="523"/>
        <v/>
      </c>
      <c r="K87" s="806" t="str">
        <f t="shared" si="524"/>
        <v/>
      </c>
      <c r="L87" s="309"/>
      <c r="M87" s="164" t="str">
        <f t="shared" si="526"/>
        <v/>
      </c>
      <c r="N87" s="575" t="str">
        <f t="shared" si="527"/>
        <v/>
      </c>
      <c r="O87" s="572" t="str">
        <f t="shared" si="528"/>
        <v/>
      </c>
      <c r="P87" s="576" t="str">
        <f t="shared" si="529"/>
        <v/>
      </c>
      <c r="Q87" s="528" t="str">
        <f t="shared" si="609"/>
        <v/>
      </c>
      <c r="R87" s="572" t="str">
        <f t="shared" si="101"/>
        <v/>
      </c>
      <c r="S87" s="577" t="str">
        <f t="shared" si="102"/>
        <v/>
      </c>
      <c r="T87" s="578" t="str">
        <f t="shared" si="103"/>
        <v/>
      </c>
      <c r="U87" s="572" t="str">
        <f t="shared" si="104"/>
        <v/>
      </c>
      <c r="V87" s="579" t="str">
        <f t="shared" si="141"/>
        <v/>
      </c>
      <c r="W87" s="528" t="str">
        <f t="shared" si="735"/>
        <v/>
      </c>
      <c r="X87" s="572" t="str">
        <f t="shared" si="105"/>
        <v/>
      </c>
      <c r="Y87" s="573" t="str">
        <f t="shared" si="733"/>
        <v/>
      </c>
      <c r="Z87" s="575" t="str">
        <f t="shared" si="530"/>
        <v/>
      </c>
      <c r="AA87" s="572" t="str">
        <f t="shared" si="531"/>
        <v/>
      </c>
      <c r="AB87" s="572" t="str">
        <f t="shared" si="532"/>
        <v/>
      </c>
      <c r="AC87" s="579" t="str">
        <f t="shared" si="106"/>
        <v/>
      </c>
      <c r="AD87" s="580" t="str">
        <f t="shared" si="142"/>
        <v/>
      </c>
      <c r="AE87" s="572" t="str">
        <f t="shared" si="107"/>
        <v/>
      </c>
      <c r="AF87" s="576" t="str">
        <f t="shared" si="108"/>
        <v/>
      </c>
      <c r="AG87" s="545" t="str">
        <f t="shared" si="109"/>
        <v/>
      </c>
      <c r="AH87" s="546" t="str">
        <f t="shared" si="110"/>
        <v/>
      </c>
      <c r="AI87" s="528" t="str">
        <f t="shared" si="111"/>
        <v/>
      </c>
      <c r="AJ87" s="529" t="str">
        <f t="shared" si="112"/>
        <v/>
      </c>
      <c r="AK87" s="578" t="str">
        <f t="shared" si="238"/>
        <v/>
      </c>
      <c r="AL87" s="572" t="str">
        <f t="shared" si="113"/>
        <v/>
      </c>
      <c r="AM87" s="577" t="str">
        <f t="shared" si="114"/>
        <v/>
      </c>
      <c r="AN87" s="524" t="str">
        <f t="shared" si="115"/>
        <v/>
      </c>
      <c r="AO87" s="525" t="str">
        <f t="shared" si="525"/>
        <v/>
      </c>
      <c r="AP87" s="528" t="str">
        <f t="shared" si="117"/>
        <v/>
      </c>
      <c r="AQ87" s="529" t="str">
        <f t="shared" si="533"/>
        <v/>
      </c>
      <c r="AS87" s="932" t="str">
        <f t="shared" si="632"/>
        <v/>
      </c>
      <c r="AT87" s="928" t="str">
        <f t="shared" si="534"/>
        <v/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731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596"/>
        <v/>
      </c>
      <c r="IM87" s="482" t="str">
        <f t="shared" si="732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 t="str">
        <f t="shared" si="256"/>
        <v/>
      </c>
      <c r="B88" s="578" t="str">
        <f t="shared" si="515"/>
        <v/>
      </c>
      <c r="C88" s="572" t="str">
        <f t="shared" si="516"/>
        <v/>
      </c>
      <c r="D88" s="576" t="str">
        <f t="shared" si="517"/>
        <v/>
      </c>
      <c r="E88" s="580" t="str">
        <f t="shared" si="518"/>
        <v/>
      </c>
      <c r="F88" s="572" t="str">
        <f t="shared" si="519"/>
        <v/>
      </c>
      <c r="G88" s="579" t="str">
        <f t="shared" si="520"/>
        <v/>
      </c>
      <c r="H88" s="580" t="str">
        <f t="shared" si="521"/>
        <v/>
      </c>
      <c r="I88" s="572" t="str">
        <f t="shared" si="522"/>
        <v/>
      </c>
      <c r="J88" s="483" t="str">
        <f t="shared" si="523"/>
        <v/>
      </c>
      <c r="K88" s="806" t="str">
        <f t="shared" si="524"/>
        <v/>
      </c>
      <c r="L88" s="309"/>
      <c r="M88" s="164" t="str">
        <f t="shared" si="526"/>
        <v/>
      </c>
      <c r="N88" s="575" t="str">
        <f t="shared" si="527"/>
        <v/>
      </c>
      <c r="O88" s="572" t="str">
        <f t="shared" si="528"/>
        <v/>
      </c>
      <c r="P88" s="576" t="str">
        <f t="shared" si="529"/>
        <v/>
      </c>
      <c r="Q88" s="528" t="str">
        <f t="shared" si="609"/>
        <v/>
      </c>
      <c r="R88" s="572" t="str">
        <f t="shared" si="101"/>
        <v/>
      </c>
      <c r="S88" s="577" t="str">
        <f t="shared" si="102"/>
        <v/>
      </c>
      <c r="T88" s="578" t="str">
        <f t="shared" si="103"/>
        <v/>
      </c>
      <c r="U88" s="572" t="str">
        <f t="shared" si="104"/>
        <v/>
      </c>
      <c r="V88" s="579" t="str">
        <f t="shared" si="141"/>
        <v/>
      </c>
      <c r="W88" s="528" t="str">
        <f t="shared" si="735"/>
        <v/>
      </c>
      <c r="X88" s="572" t="str">
        <f t="shared" si="105"/>
        <v/>
      </c>
      <c r="Y88" s="573" t="str">
        <f t="shared" si="733"/>
        <v/>
      </c>
      <c r="Z88" s="575" t="str">
        <f t="shared" si="530"/>
        <v/>
      </c>
      <c r="AA88" s="572" t="str">
        <f t="shared" si="531"/>
        <v/>
      </c>
      <c r="AB88" s="572" t="str">
        <f t="shared" si="532"/>
        <v/>
      </c>
      <c r="AC88" s="579" t="str">
        <f t="shared" si="106"/>
        <v/>
      </c>
      <c r="AD88" s="580" t="str">
        <f t="shared" si="142"/>
        <v/>
      </c>
      <c r="AE88" s="572" t="str">
        <f t="shared" si="107"/>
        <v/>
      </c>
      <c r="AF88" s="576" t="str">
        <f t="shared" si="108"/>
        <v/>
      </c>
      <c r="AG88" s="545" t="str">
        <f t="shared" si="109"/>
        <v/>
      </c>
      <c r="AH88" s="546" t="str">
        <f t="shared" si="110"/>
        <v/>
      </c>
      <c r="AI88" s="528" t="str">
        <f t="shared" si="111"/>
        <v/>
      </c>
      <c r="AJ88" s="529" t="str">
        <f t="shared" si="112"/>
        <v/>
      </c>
      <c r="AK88" s="578" t="str">
        <f t="shared" si="238"/>
        <v/>
      </c>
      <c r="AL88" s="572" t="str">
        <f t="shared" si="113"/>
        <v/>
      </c>
      <c r="AM88" s="577" t="str">
        <f t="shared" si="114"/>
        <v/>
      </c>
      <c r="AN88" s="524" t="str">
        <f t="shared" si="115"/>
        <v/>
      </c>
      <c r="AO88" s="525" t="str">
        <f t="shared" si="525"/>
        <v/>
      </c>
      <c r="AP88" s="528" t="str">
        <f t="shared" si="117"/>
        <v/>
      </c>
      <c r="AQ88" s="529" t="str">
        <f t="shared" si="533"/>
        <v/>
      </c>
      <c r="AS88" s="932" t="str">
        <f t="shared" si="632"/>
        <v/>
      </c>
      <c r="AT88" s="928" t="str">
        <f t="shared" si="534"/>
        <v/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731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596"/>
        <v/>
      </c>
      <c r="IM88" s="482" t="str">
        <f t="shared" si="732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 t="str">
        <f t="shared" si="256"/>
        <v/>
      </c>
      <c r="B89" s="578" t="str">
        <f t="shared" si="515"/>
        <v/>
      </c>
      <c r="C89" s="572" t="str">
        <f t="shared" si="516"/>
        <v/>
      </c>
      <c r="D89" s="576" t="str">
        <f t="shared" si="517"/>
        <v/>
      </c>
      <c r="E89" s="580" t="str">
        <f t="shared" si="518"/>
        <v/>
      </c>
      <c r="F89" s="572" t="str">
        <f t="shared" si="519"/>
        <v/>
      </c>
      <c r="G89" s="579" t="str">
        <f t="shared" si="520"/>
        <v/>
      </c>
      <c r="H89" s="580" t="str">
        <f t="shared" si="521"/>
        <v/>
      </c>
      <c r="I89" s="572" t="str">
        <f t="shared" si="522"/>
        <v/>
      </c>
      <c r="J89" s="483" t="str">
        <f t="shared" si="523"/>
        <v/>
      </c>
      <c r="K89" s="806" t="str">
        <f t="shared" si="524"/>
        <v/>
      </c>
      <c r="L89" s="309"/>
      <c r="M89" s="164" t="str">
        <f t="shared" si="526"/>
        <v/>
      </c>
      <c r="N89" s="575" t="str">
        <f t="shared" si="527"/>
        <v/>
      </c>
      <c r="O89" s="572" t="str">
        <f t="shared" si="528"/>
        <v/>
      </c>
      <c r="P89" s="576" t="str">
        <f t="shared" si="529"/>
        <v/>
      </c>
      <c r="Q89" s="528" t="str">
        <f t="shared" si="609"/>
        <v/>
      </c>
      <c r="R89" s="572" t="str">
        <f t="shared" si="101"/>
        <v/>
      </c>
      <c r="S89" s="577" t="str">
        <f t="shared" si="102"/>
        <v/>
      </c>
      <c r="T89" s="578" t="str">
        <f t="shared" si="103"/>
        <v/>
      </c>
      <c r="U89" s="572" t="str">
        <f t="shared" si="104"/>
        <v/>
      </c>
      <c r="V89" s="579" t="str">
        <f t="shared" si="141"/>
        <v/>
      </c>
      <c r="W89" s="528" t="str">
        <f t="shared" si="735"/>
        <v/>
      </c>
      <c r="X89" s="572" t="str">
        <f t="shared" si="105"/>
        <v/>
      </c>
      <c r="Y89" s="573" t="str">
        <f t="shared" si="733"/>
        <v/>
      </c>
      <c r="Z89" s="575" t="str">
        <f t="shared" si="530"/>
        <v/>
      </c>
      <c r="AA89" s="572" t="str">
        <f t="shared" si="531"/>
        <v/>
      </c>
      <c r="AB89" s="572" t="str">
        <f t="shared" si="532"/>
        <v/>
      </c>
      <c r="AC89" s="579" t="str">
        <f t="shared" si="106"/>
        <v/>
      </c>
      <c r="AD89" s="580" t="str">
        <f t="shared" si="142"/>
        <v/>
      </c>
      <c r="AE89" s="572" t="str">
        <f t="shared" si="107"/>
        <v/>
      </c>
      <c r="AF89" s="576" t="str">
        <f t="shared" si="108"/>
        <v/>
      </c>
      <c r="AG89" s="545" t="str">
        <f t="shared" si="109"/>
        <v/>
      </c>
      <c r="AH89" s="546" t="str">
        <f t="shared" si="110"/>
        <v/>
      </c>
      <c r="AI89" s="528" t="str">
        <f t="shared" si="111"/>
        <v/>
      </c>
      <c r="AJ89" s="529" t="str">
        <f t="shared" si="112"/>
        <v/>
      </c>
      <c r="AK89" s="578" t="str">
        <f t="shared" si="238"/>
        <v/>
      </c>
      <c r="AL89" s="572" t="str">
        <f t="shared" si="113"/>
        <v/>
      </c>
      <c r="AM89" s="577" t="str">
        <f t="shared" si="114"/>
        <v/>
      </c>
      <c r="AN89" s="524" t="str">
        <f t="shared" si="115"/>
        <v/>
      </c>
      <c r="AO89" s="525" t="str">
        <f t="shared" si="525"/>
        <v/>
      </c>
      <c r="AP89" s="528" t="str">
        <f t="shared" si="117"/>
        <v/>
      </c>
      <c r="AQ89" s="529" t="str">
        <f t="shared" si="533"/>
        <v/>
      </c>
      <c r="AS89" s="932" t="str">
        <f t="shared" si="632"/>
        <v/>
      </c>
      <c r="AT89" s="928" t="str">
        <f t="shared" si="534"/>
        <v/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731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596"/>
        <v/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 t="str">
        <f t="shared" si="256"/>
        <v/>
      </c>
      <c r="B90" s="578" t="str">
        <f t="shared" si="515"/>
        <v/>
      </c>
      <c r="C90" s="572" t="str">
        <f t="shared" si="516"/>
        <v/>
      </c>
      <c r="D90" s="576" t="str">
        <f t="shared" si="517"/>
        <v/>
      </c>
      <c r="E90" s="580" t="str">
        <f t="shared" si="518"/>
        <v/>
      </c>
      <c r="F90" s="572" t="str">
        <f t="shared" si="519"/>
        <v/>
      </c>
      <c r="G90" s="579" t="str">
        <f t="shared" si="520"/>
        <v/>
      </c>
      <c r="H90" s="580" t="str">
        <f t="shared" si="521"/>
        <v/>
      </c>
      <c r="I90" s="572" t="str">
        <f t="shared" si="522"/>
        <v/>
      </c>
      <c r="J90" s="483" t="str">
        <f t="shared" si="523"/>
        <v/>
      </c>
      <c r="K90" s="806" t="str">
        <f t="shared" si="524"/>
        <v/>
      </c>
      <c r="L90" s="309"/>
      <c r="M90" s="164" t="str">
        <f t="shared" si="526"/>
        <v/>
      </c>
      <c r="N90" s="575" t="str">
        <f t="shared" si="527"/>
        <v/>
      </c>
      <c r="O90" s="572" t="str">
        <f t="shared" si="528"/>
        <v/>
      </c>
      <c r="P90" s="576" t="str">
        <f t="shared" si="529"/>
        <v/>
      </c>
      <c r="Q90" s="528" t="str">
        <f t="shared" si="609"/>
        <v/>
      </c>
      <c r="R90" s="572" t="str">
        <f t="shared" si="101"/>
        <v/>
      </c>
      <c r="S90" s="577" t="str">
        <f t="shared" si="102"/>
        <v/>
      </c>
      <c r="T90" s="578" t="str">
        <f t="shared" si="103"/>
        <v/>
      </c>
      <c r="U90" s="572" t="str">
        <f t="shared" si="104"/>
        <v/>
      </c>
      <c r="V90" s="579" t="str">
        <f t="shared" si="141"/>
        <v/>
      </c>
      <c r="W90" s="528" t="str">
        <f t="shared" si="735"/>
        <v/>
      </c>
      <c r="X90" s="572" t="str">
        <f t="shared" si="105"/>
        <v/>
      </c>
      <c r="Y90" s="573" t="str">
        <f t="shared" si="733"/>
        <v/>
      </c>
      <c r="Z90" s="575" t="str">
        <f t="shared" si="530"/>
        <v/>
      </c>
      <c r="AA90" s="572" t="str">
        <f t="shared" si="531"/>
        <v/>
      </c>
      <c r="AB90" s="572" t="str">
        <f t="shared" si="532"/>
        <v/>
      </c>
      <c r="AC90" s="579" t="str">
        <f t="shared" si="106"/>
        <v/>
      </c>
      <c r="AD90" s="580" t="str">
        <f t="shared" si="142"/>
        <v/>
      </c>
      <c r="AE90" s="572" t="str">
        <f t="shared" si="107"/>
        <v/>
      </c>
      <c r="AF90" s="576" t="str">
        <f t="shared" si="108"/>
        <v/>
      </c>
      <c r="AG90" s="545" t="str">
        <f t="shared" si="109"/>
        <v/>
      </c>
      <c r="AH90" s="546" t="str">
        <f t="shared" si="110"/>
        <v/>
      </c>
      <c r="AI90" s="528" t="str">
        <f t="shared" si="111"/>
        <v/>
      </c>
      <c r="AJ90" s="529" t="str">
        <f t="shared" si="112"/>
        <v/>
      </c>
      <c r="AK90" s="578" t="str">
        <f t="shared" si="238"/>
        <v/>
      </c>
      <c r="AL90" s="572" t="str">
        <f t="shared" si="113"/>
        <v/>
      </c>
      <c r="AM90" s="577" t="str">
        <f t="shared" si="114"/>
        <v/>
      </c>
      <c r="AN90" s="524" t="str">
        <f t="shared" si="115"/>
        <v/>
      </c>
      <c r="AO90" s="525" t="str">
        <f t="shared" si="525"/>
        <v/>
      </c>
      <c r="AP90" s="528" t="str">
        <f t="shared" si="117"/>
        <v/>
      </c>
      <c r="AQ90" s="529" t="str">
        <f t="shared" si="533"/>
        <v/>
      </c>
      <c r="AS90" s="932" t="str">
        <f t="shared" si="632"/>
        <v/>
      </c>
      <c r="AT90" s="928" t="str">
        <f t="shared" si="534"/>
        <v/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731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596"/>
        <v/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 t="str">
        <f t="shared" si="256"/>
        <v/>
      </c>
      <c r="B91" s="578" t="str">
        <f t="shared" si="515"/>
        <v/>
      </c>
      <c r="C91" s="572" t="str">
        <f t="shared" si="516"/>
        <v/>
      </c>
      <c r="D91" s="576" t="str">
        <f t="shared" si="517"/>
        <v/>
      </c>
      <c r="E91" s="580" t="str">
        <f t="shared" si="518"/>
        <v/>
      </c>
      <c r="F91" s="572" t="str">
        <f t="shared" si="519"/>
        <v/>
      </c>
      <c r="G91" s="579" t="str">
        <f t="shared" si="520"/>
        <v/>
      </c>
      <c r="H91" s="580" t="str">
        <f t="shared" si="521"/>
        <v/>
      </c>
      <c r="I91" s="572" t="str">
        <f t="shared" si="522"/>
        <v/>
      </c>
      <c r="J91" s="483" t="str">
        <f t="shared" si="523"/>
        <v/>
      </c>
      <c r="K91" s="806" t="str">
        <f t="shared" si="524"/>
        <v/>
      </c>
      <c r="L91" s="309"/>
      <c r="M91" s="164" t="str">
        <f t="shared" si="526"/>
        <v/>
      </c>
      <c r="N91" s="575" t="str">
        <f t="shared" si="527"/>
        <v/>
      </c>
      <c r="O91" s="572" t="str">
        <f t="shared" si="528"/>
        <v/>
      </c>
      <c r="P91" s="576" t="str">
        <f t="shared" si="529"/>
        <v/>
      </c>
      <c r="Q91" s="528" t="str">
        <f t="shared" si="609"/>
        <v/>
      </c>
      <c r="R91" s="572" t="str">
        <f t="shared" si="101"/>
        <v/>
      </c>
      <c r="S91" s="577" t="str">
        <f t="shared" si="102"/>
        <v/>
      </c>
      <c r="T91" s="578" t="str">
        <f t="shared" si="103"/>
        <v/>
      </c>
      <c r="U91" s="572" t="str">
        <f t="shared" si="104"/>
        <v/>
      </c>
      <c r="V91" s="579" t="str">
        <f t="shared" si="141"/>
        <v/>
      </c>
      <c r="W91" s="528" t="str">
        <f t="shared" si="735"/>
        <v/>
      </c>
      <c r="X91" s="572" t="str">
        <f t="shared" si="105"/>
        <v/>
      </c>
      <c r="Y91" s="573" t="str">
        <f t="shared" si="733"/>
        <v/>
      </c>
      <c r="Z91" s="575" t="str">
        <f t="shared" si="530"/>
        <v/>
      </c>
      <c r="AA91" s="572" t="str">
        <f t="shared" si="531"/>
        <v/>
      </c>
      <c r="AB91" s="572" t="str">
        <f t="shared" si="532"/>
        <v/>
      </c>
      <c r="AC91" s="579" t="str">
        <f t="shared" si="106"/>
        <v/>
      </c>
      <c r="AD91" s="580" t="str">
        <f t="shared" si="142"/>
        <v/>
      </c>
      <c r="AE91" s="572" t="str">
        <f t="shared" si="107"/>
        <v/>
      </c>
      <c r="AF91" s="576" t="str">
        <f t="shared" si="108"/>
        <v/>
      </c>
      <c r="AG91" s="545" t="str">
        <f t="shared" si="109"/>
        <v/>
      </c>
      <c r="AH91" s="546" t="str">
        <f t="shared" si="110"/>
        <v/>
      </c>
      <c r="AI91" s="528" t="str">
        <f t="shared" si="111"/>
        <v/>
      </c>
      <c r="AJ91" s="529" t="str">
        <f t="shared" si="112"/>
        <v/>
      </c>
      <c r="AK91" s="578" t="str">
        <f t="shared" si="238"/>
        <v/>
      </c>
      <c r="AL91" s="572" t="str">
        <f t="shared" si="113"/>
        <v/>
      </c>
      <c r="AM91" s="577" t="str">
        <f t="shared" si="114"/>
        <v/>
      </c>
      <c r="AN91" s="524" t="str">
        <f t="shared" si="115"/>
        <v/>
      </c>
      <c r="AO91" s="525" t="str">
        <f t="shared" si="525"/>
        <v/>
      </c>
      <c r="AP91" s="528" t="str">
        <f t="shared" si="117"/>
        <v/>
      </c>
      <c r="AQ91" s="529" t="str">
        <f t="shared" si="533"/>
        <v/>
      </c>
      <c r="AS91" s="932" t="str">
        <f t="shared" si="632"/>
        <v/>
      </c>
      <c r="AT91" s="928" t="str">
        <f t="shared" si="534"/>
        <v/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731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596"/>
        <v/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 t="str">
        <f t="shared" si="256"/>
        <v/>
      </c>
      <c r="B92" s="578" t="str">
        <f t="shared" si="515"/>
        <v/>
      </c>
      <c r="C92" s="572" t="str">
        <f t="shared" si="516"/>
        <v/>
      </c>
      <c r="D92" s="576" t="str">
        <f t="shared" si="517"/>
        <v/>
      </c>
      <c r="E92" s="580" t="str">
        <f t="shared" si="518"/>
        <v/>
      </c>
      <c r="F92" s="572" t="str">
        <f t="shared" si="519"/>
        <v/>
      </c>
      <c r="G92" s="579" t="str">
        <f t="shared" si="520"/>
        <v/>
      </c>
      <c r="H92" s="580" t="str">
        <f t="shared" si="521"/>
        <v/>
      </c>
      <c r="I92" s="572" t="str">
        <f t="shared" si="522"/>
        <v/>
      </c>
      <c r="J92" s="483" t="str">
        <f t="shared" si="523"/>
        <v/>
      </c>
      <c r="K92" s="806" t="str">
        <f t="shared" si="524"/>
        <v/>
      </c>
      <c r="L92" s="309"/>
      <c r="M92" s="164" t="str">
        <f t="shared" si="526"/>
        <v/>
      </c>
      <c r="N92" s="575" t="str">
        <f t="shared" si="527"/>
        <v/>
      </c>
      <c r="O92" s="572" t="str">
        <f t="shared" si="528"/>
        <v/>
      </c>
      <c r="P92" s="576" t="str">
        <f t="shared" si="529"/>
        <v/>
      </c>
      <c r="Q92" s="528" t="str">
        <f t="shared" si="609"/>
        <v/>
      </c>
      <c r="R92" s="572" t="str">
        <f t="shared" si="101"/>
        <v/>
      </c>
      <c r="S92" s="577" t="str">
        <f t="shared" si="102"/>
        <v/>
      </c>
      <c r="T92" s="578" t="str">
        <f t="shared" si="103"/>
        <v/>
      </c>
      <c r="U92" s="572" t="str">
        <f t="shared" si="104"/>
        <v/>
      </c>
      <c r="V92" s="579" t="str">
        <f t="shared" si="141"/>
        <v/>
      </c>
      <c r="W92" s="528" t="str">
        <f t="shared" si="735"/>
        <v/>
      </c>
      <c r="X92" s="572" t="str">
        <f t="shared" si="105"/>
        <v/>
      </c>
      <c r="Y92" s="573" t="str">
        <f t="shared" si="733"/>
        <v/>
      </c>
      <c r="Z92" s="575" t="str">
        <f t="shared" si="530"/>
        <v/>
      </c>
      <c r="AA92" s="572" t="str">
        <f t="shared" si="531"/>
        <v/>
      </c>
      <c r="AB92" s="572" t="str">
        <f t="shared" si="532"/>
        <v/>
      </c>
      <c r="AC92" s="579" t="str">
        <f t="shared" si="106"/>
        <v/>
      </c>
      <c r="AD92" s="580" t="str">
        <f t="shared" si="142"/>
        <v/>
      </c>
      <c r="AE92" s="572" t="str">
        <f t="shared" si="107"/>
        <v/>
      </c>
      <c r="AF92" s="576" t="str">
        <f t="shared" si="108"/>
        <v/>
      </c>
      <c r="AG92" s="545" t="str">
        <f t="shared" si="109"/>
        <v/>
      </c>
      <c r="AH92" s="546" t="str">
        <f t="shared" si="110"/>
        <v/>
      </c>
      <c r="AI92" s="528" t="str">
        <f t="shared" si="111"/>
        <v/>
      </c>
      <c r="AJ92" s="529" t="str">
        <f t="shared" si="112"/>
        <v/>
      </c>
      <c r="AK92" s="578" t="str">
        <f t="shared" si="238"/>
        <v/>
      </c>
      <c r="AL92" s="572" t="str">
        <f t="shared" si="113"/>
        <v/>
      </c>
      <c r="AM92" s="577" t="str">
        <f t="shared" si="114"/>
        <v/>
      </c>
      <c r="AN92" s="524" t="str">
        <f t="shared" si="115"/>
        <v/>
      </c>
      <c r="AO92" s="525" t="str">
        <f t="shared" si="525"/>
        <v/>
      </c>
      <c r="AP92" s="528" t="str">
        <f t="shared" si="117"/>
        <v/>
      </c>
      <c r="AQ92" s="529" t="str">
        <f t="shared" si="533"/>
        <v/>
      </c>
      <c r="AS92" s="932" t="str">
        <f t="shared" si="632"/>
        <v/>
      </c>
      <c r="AT92" s="928" t="str">
        <f t="shared" si="534"/>
        <v/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731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596"/>
        <v/>
      </c>
      <c r="IM92" s="482" t="str">
        <f t="shared" si="732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 t="str">
        <f t="shared" si="256"/>
        <v/>
      </c>
      <c r="B93" s="578" t="str">
        <f t="shared" si="515"/>
        <v/>
      </c>
      <c r="C93" s="572" t="str">
        <f t="shared" si="516"/>
        <v/>
      </c>
      <c r="D93" s="576" t="str">
        <f t="shared" si="517"/>
        <v/>
      </c>
      <c r="E93" s="580" t="str">
        <f t="shared" si="518"/>
        <v/>
      </c>
      <c r="F93" s="572" t="str">
        <f t="shared" si="519"/>
        <v/>
      </c>
      <c r="G93" s="579" t="str">
        <f t="shared" si="520"/>
        <v/>
      </c>
      <c r="H93" s="580" t="str">
        <f t="shared" si="521"/>
        <v/>
      </c>
      <c r="I93" s="572" t="str">
        <f t="shared" si="522"/>
        <v/>
      </c>
      <c r="J93" s="483" t="str">
        <f t="shared" si="523"/>
        <v/>
      </c>
      <c r="K93" s="806" t="str">
        <f t="shared" si="524"/>
        <v/>
      </c>
      <c r="L93" s="309"/>
      <c r="M93" s="164" t="str">
        <f t="shared" si="526"/>
        <v/>
      </c>
      <c r="N93" s="575" t="str">
        <f t="shared" si="527"/>
        <v/>
      </c>
      <c r="O93" s="572" t="str">
        <f t="shared" si="528"/>
        <v/>
      </c>
      <c r="P93" s="576" t="str">
        <f t="shared" si="529"/>
        <v/>
      </c>
      <c r="Q93" s="528" t="str">
        <f t="shared" si="609"/>
        <v/>
      </c>
      <c r="R93" s="572" t="str">
        <f t="shared" si="101"/>
        <v/>
      </c>
      <c r="S93" s="577" t="str">
        <f t="shared" si="102"/>
        <v/>
      </c>
      <c r="T93" s="578" t="str">
        <f t="shared" si="103"/>
        <v/>
      </c>
      <c r="U93" s="572" t="str">
        <f t="shared" si="104"/>
        <v/>
      </c>
      <c r="V93" s="579" t="str">
        <f t="shared" si="141"/>
        <v/>
      </c>
      <c r="W93" s="528" t="str">
        <f t="shared" si="735"/>
        <v/>
      </c>
      <c r="X93" s="572" t="str">
        <f t="shared" si="105"/>
        <v/>
      </c>
      <c r="Y93" s="573" t="str">
        <f t="shared" si="733"/>
        <v/>
      </c>
      <c r="Z93" s="575" t="str">
        <f t="shared" si="530"/>
        <v/>
      </c>
      <c r="AA93" s="572" t="str">
        <f t="shared" si="531"/>
        <v/>
      </c>
      <c r="AB93" s="572" t="str">
        <f t="shared" si="532"/>
        <v/>
      </c>
      <c r="AC93" s="579" t="str">
        <f t="shared" si="106"/>
        <v/>
      </c>
      <c r="AD93" s="580" t="str">
        <f t="shared" si="142"/>
        <v/>
      </c>
      <c r="AE93" s="572" t="str">
        <f t="shared" si="107"/>
        <v/>
      </c>
      <c r="AF93" s="576" t="str">
        <f t="shared" si="108"/>
        <v/>
      </c>
      <c r="AG93" s="545" t="str">
        <f t="shared" si="109"/>
        <v/>
      </c>
      <c r="AH93" s="546" t="str">
        <f t="shared" si="110"/>
        <v/>
      </c>
      <c r="AI93" s="528" t="str">
        <f t="shared" si="111"/>
        <v/>
      </c>
      <c r="AJ93" s="529" t="str">
        <f t="shared" si="112"/>
        <v/>
      </c>
      <c r="AK93" s="578" t="str">
        <f t="shared" si="238"/>
        <v/>
      </c>
      <c r="AL93" s="572" t="str">
        <f t="shared" si="113"/>
        <v/>
      </c>
      <c r="AM93" s="577" t="str">
        <f t="shared" si="114"/>
        <v/>
      </c>
      <c r="AN93" s="524" t="str">
        <f t="shared" si="115"/>
        <v/>
      </c>
      <c r="AO93" s="525" t="str">
        <f t="shared" si="525"/>
        <v/>
      </c>
      <c r="AP93" s="528" t="str">
        <f t="shared" si="117"/>
        <v/>
      </c>
      <c r="AQ93" s="529" t="str">
        <f t="shared" si="533"/>
        <v/>
      </c>
      <c r="AS93" s="932" t="str">
        <f t="shared" si="632"/>
        <v/>
      </c>
      <c r="AT93" s="928" t="str">
        <f t="shared" si="534"/>
        <v/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731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596"/>
        <v/>
      </c>
      <c r="IM93" s="482" t="str">
        <f t="shared" si="732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 t="str">
        <f t="shared" si="256"/>
        <v/>
      </c>
      <c r="B94" s="578" t="str">
        <f t="shared" si="515"/>
        <v/>
      </c>
      <c r="C94" s="572" t="str">
        <f t="shared" si="516"/>
        <v/>
      </c>
      <c r="D94" s="576" t="str">
        <f t="shared" si="517"/>
        <v/>
      </c>
      <c r="E94" s="580" t="str">
        <f t="shared" si="518"/>
        <v/>
      </c>
      <c r="F94" s="572" t="str">
        <f t="shared" si="519"/>
        <v/>
      </c>
      <c r="G94" s="579" t="str">
        <f t="shared" si="520"/>
        <v/>
      </c>
      <c r="H94" s="580" t="str">
        <f t="shared" si="521"/>
        <v/>
      </c>
      <c r="I94" s="572" t="str">
        <f t="shared" si="522"/>
        <v/>
      </c>
      <c r="J94" s="483" t="str">
        <f t="shared" si="523"/>
        <v/>
      </c>
      <c r="K94" s="806" t="str">
        <f t="shared" si="524"/>
        <v/>
      </c>
      <c r="L94" s="309"/>
      <c r="M94" s="164" t="str">
        <f t="shared" si="526"/>
        <v/>
      </c>
      <c r="N94" s="575" t="str">
        <f t="shared" si="527"/>
        <v/>
      </c>
      <c r="O94" s="572" t="str">
        <f t="shared" si="528"/>
        <v/>
      </c>
      <c r="P94" s="576" t="str">
        <f t="shared" si="529"/>
        <v/>
      </c>
      <c r="Q94" s="528" t="str">
        <f t="shared" si="609"/>
        <v/>
      </c>
      <c r="R94" s="572" t="str">
        <f t="shared" si="101"/>
        <v/>
      </c>
      <c r="S94" s="577" t="str">
        <f t="shared" si="102"/>
        <v/>
      </c>
      <c r="T94" s="578" t="str">
        <f t="shared" si="103"/>
        <v/>
      </c>
      <c r="U94" s="572" t="str">
        <f t="shared" si="104"/>
        <v/>
      </c>
      <c r="V94" s="579" t="str">
        <f t="shared" si="141"/>
        <v/>
      </c>
      <c r="W94" s="528" t="str">
        <f t="shared" si="735"/>
        <v/>
      </c>
      <c r="X94" s="572" t="str">
        <f t="shared" si="105"/>
        <v/>
      </c>
      <c r="Y94" s="573" t="str">
        <f t="shared" si="733"/>
        <v/>
      </c>
      <c r="Z94" s="575" t="str">
        <f t="shared" si="530"/>
        <v/>
      </c>
      <c r="AA94" s="572" t="str">
        <f t="shared" si="531"/>
        <v/>
      </c>
      <c r="AB94" s="572" t="str">
        <f t="shared" si="532"/>
        <v/>
      </c>
      <c r="AC94" s="579" t="str">
        <f t="shared" si="106"/>
        <v/>
      </c>
      <c r="AD94" s="580" t="str">
        <f t="shared" si="142"/>
        <v/>
      </c>
      <c r="AE94" s="572" t="str">
        <f t="shared" si="107"/>
        <v/>
      </c>
      <c r="AF94" s="576" t="str">
        <f t="shared" si="108"/>
        <v/>
      </c>
      <c r="AG94" s="545" t="str">
        <f t="shared" si="109"/>
        <v/>
      </c>
      <c r="AH94" s="546" t="str">
        <f t="shared" si="110"/>
        <v/>
      </c>
      <c r="AI94" s="528" t="str">
        <f t="shared" si="111"/>
        <v/>
      </c>
      <c r="AJ94" s="529" t="str">
        <f t="shared" si="112"/>
        <v/>
      </c>
      <c r="AK94" s="578" t="str">
        <f t="shared" si="238"/>
        <v/>
      </c>
      <c r="AL94" s="572" t="str">
        <f t="shared" si="113"/>
        <v/>
      </c>
      <c r="AM94" s="577" t="str">
        <f t="shared" si="114"/>
        <v/>
      </c>
      <c r="AN94" s="524" t="str">
        <f t="shared" si="115"/>
        <v/>
      </c>
      <c r="AO94" s="525" t="str">
        <f t="shared" si="525"/>
        <v/>
      </c>
      <c r="AP94" s="528" t="str">
        <f t="shared" si="117"/>
        <v/>
      </c>
      <c r="AQ94" s="529" t="str">
        <f t="shared" si="533"/>
        <v/>
      </c>
      <c r="AS94" s="932" t="str">
        <f t="shared" si="632"/>
        <v/>
      </c>
      <c r="AT94" s="928" t="str">
        <f t="shared" si="534"/>
        <v/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731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596"/>
        <v/>
      </c>
      <c r="IM94" s="482" t="str">
        <f t="shared" si="732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 t="str">
        <f t="shared" si="256"/>
        <v/>
      </c>
      <c r="B95" s="578" t="str">
        <f t="shared" si="515"/>
        <v/>
      </c>
      <c r="C95" s="572" t="str">
        <f t="shared" si="516"/>
        <v/>
      </c>
      <c r="D95" s="576" t="str">
        <f t="shared" si="517"/>
        <v/>
      </c>
      <c r="E95" s="580" t="str">
        <f t="shared" si="518"/>
        <v/>
      </c>
      <c r="F95" s="572" t="str">
        <f t="shared" si="519"/>
        <v/>
      </c>
      <c r="G95" s="579" t="str">
        <f t="shared" si="520"/>
        <v/>
      </c>
      <c r="H95" s="580" t="str">
        <f t="shared" si="521"/>
        <v/>
      </c>
      <c r="I95" s="572" t="str">
        <f t="shared" si="522"/>
        <v/>
      </c>
      <c r="J95" s="483" t="str">
        <f t="shared" si="523"/>
        <v/>
      </c>
      <c r="K95" s="806" t="str">
        <f t="shared" si="524"/>
        <v/>
      </c>
      <c r="L95" s="309"/>
      <c r="M95" s="164" t="str">
        <f t="shared" si="526"/>
        <v/>
      </c>
      <c r="N95" s="575" t="str">
        <f t="shared" si="527"/>
        <v/>
      </c>
      <c r="O95" s="572" t="str">
        <f t="shared" si="528"/>
        <v/>
      </c>
      <c r="P95" s="576" t="str">
        <f t="shared" si="529"/>
        <v/>
      </c>
      <c r="Q95" s="528" t="str">
        <f t="shared" si="609"/>
        <v/>
      </c>
      <c r="R95" s="572" t="str">
        <f t="shared" si="101"/>
        <v/>
      </c>
      <c r="S95" s="577" t="str">
        <f t="shared" si="102"/>
        <v/>
      </c>
      <c r="T95" s="578" t="str">
        <f t="shared" si="103"/>
        <v/>
      </c>
      <c r="U95" s="572" t="str">
        <f t="shared" si="104"/>
        <v/>
      </c>
      <c r="V95" s="579" t="str">
        <f t="shared" si="141"/>
        <v/>
      </c>
      <c r="W95" s="528" t="str">
        <f t="shared" si="735"/>
        <v/>
      </c>
      <c r="X95" s="572" t="str">
        <f t="shared" si="105"/>
        <v/>
      </c>
      <c r="Y95" s="573" t="str">
        <f t="shared" si="733"/>
        <v/>
      </c>
      <c r="Z95" s="575" t="str">
        <f t="shared" si="530"/>
        <v/>
      </c>
      <c r="AA95" s="572" t="str">
        <f t="shared" si="531"/>
        <v/>
      </c>
      <c r="AB95" s="572" t="str">
        <f t="shared" si="532"/>
        <v/>
      </c>
      <c r="AC95" s="579" t="str">
        <f t="shared" si="106"/>
        <v/>
      </c>
      <c r="AD95" s="580" t="str">
        <f t="shared" si="142"/>
        <v/>
      </c>
      <c r="AE95" s="572" t="str">
        <f t="shared" si="107"/>
        <v/>
      </c>
      <c r="AF95" s="576" t="str">
        <f t="shared" si="108"/>
        <v/>
      </c>
      <c r="AG95" s="545" t="str">
        <f t="shared" si="109"/>
        <v/>
      </c>
      <c r="AH95" s="546" t="str">
        <f t="shared" si="110"/>
        <v/>
      </c>
      <c r="AI95" s="528" t="str">
        <f t="shared" si="111"/>
        <v/>
      </c>
      <c r="AJ95" s="529" t="str">
        <f t="shared" si="112"/>
        <v/>
      </c>
      <c r="AK95" s="578" t="str">
        <f t="shared" si="238"/>
        <v/>
      </c>
      <c r="AL95" s="572" t="str">
        <f t="shared" si="113"/>
        <v/>
      </c>
      <c r="AM95" s="577" t="str">
        <f t="shared" si="114"/>
        <v/>
      </c>
      <c r="AN95" s="524" t="str">
        <f t="shared" si="115"/>
        <v/>
      </c>
      <c r="AO95" s="525" t="str">
        <f t="shared" si="525"/>
        <v/>
      </c>
      <c r="AP95" s="528" t="str">
        <f t="shared" si="117"/>
        <v/>
      </c>
      <c r="AQ95" s="529" t="str">
        <f t="shared" si="533"/>
        <v/>
      </c>
      <c r="AS95" s="932" t="str">
        <f t="shared" si="632"/>
        <v/>
      </c>
      <c r="AT95" s="928" t="str">
        <f t="shared" si="534"/>
        <v/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731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596"/>
        <v/>
      </c>
      <c r="IM95" s="482" t="str">
        <f t="shared" si="732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 t="str">
        <f t="shared" si="256"/>
        <v/>
      </c>
      <c r="B96" s="578" t="str">
        <f t="shared" si="515"/>
        <v/>
      </c>
      <c r="C96" s="572" t="str">
        <f t="shared" si="516"/>
        <v/>
      </c>
      <c r="D96" s="576" t="str">
        <f t="shared" si="517"/>
        <v/>
      </c>
      <c r="E96" s="580" t="str">
        <f t="shared" si="518"/>
        <v/>
      </c>
      <c r="F96" s="572" t="str">
        <f t="shared" si="519"/>
        <v/>
      </c>
      <c r="G96" s="579" t="str">
        <f t="shared" si="520"/>
        <v/>
      </c>
      <c r="H96" s="580" t="str">
        <f t="shared" si="521"/>
        <v/>
      </c>
      <c r="I96" s="572" t="str">
        <f t="shared" si="522"/>
        <v/>
      </c>
      <c r="J96" s="483" t="str">
        <f t="shared" si="523"/>
        <v/>
      </c>
      <c r="K96" s="806" t="str">
        <f t="shared" si="524"/>
        <v/>
      </c>
      <c r="L96" s="309"/>
      <c r="M96" s="164" t="str">
        <f t="shared" si="526"/>
        <v/>
      </c>
      <c r="N96" s="575" t="str">
        <f t="shared" si="527"/>
        <v/>
      </c>
      <c r="O96" s="572" t="str">
        <f t="shared" si="528"/>
        <v/>
      </c>
      <c r="P96" s="576" t="str">
        <f t="shared" si="529"/>
        <v/>
      </c>
      <c r="Q96" s="528" t="str">
        <f t="shared" si="609"/>
        <v/>
      </c>
      <c r="R96" s="572" t="str">
        <f t="shared" si="101"/>
        <v/>
      </c>
      <c r="S96" s="577" t="str">
        <f t="shared" si="102"/>
        <v/>
      </c>
      <c r="T96" s="578" t="str">
        <f t="shared" si="103"/>
        <v/>
      </c>
      <c r="U96" s="572" t="str">
        <f t="shared" si="104"/>
        <v/>
      </c>
      <c r="V96" s="579" t="str">
        <f t="shared" si="141"/>
        <v/>
      </c>
      <c r="W96" s="528" t="str">
        <f t="shared" si="735"/>
        <v/>
      </c>
      <c r="X96" s="572" t="str">
        <f t="shared" si="105"/>
        <v/>
      </c>
      <c r="Y96" s="573" t="str">
        <f t="shared" si="733"/>
        <v/>
      </c>
      <c r="Z96" s="575" t="str">
        <f t="shared" si="530"/>
        <v/>
      </c>
      <c r="AA96" s="572" t="str">
        <f t="shared" si="531"/>
        <v/>
      </c>
      <c r="AB96" s="572" t="str">
        <f t="shared" si="532"/>
        <v/>
      </c>
      <c r="AC96" s="579" t="str">
        <f t="shared" si="106"/>
        <v/>
      </c>
      <c r="AD96" s="580" t="str">
        <f t="shared" si="142"/>
        <v/>
      </c>
      <c r="AE96" s="572" t="str">
        <f t="shared" si="107"/>
        <v/>
      </c>
      <c r="AF96" s="576" t="str">
        <f t="shared" si="108"/>
        <v/>
      </c>
      <c r="AG96" s="545" t="str">
        <f t="shared" si="109"/>
        <v/>
      </c>
      <c r="AH96" s="546" t="str">
        <f t="shared" si="110"/>
        <v/>
      </c>
      <c r="AI96" s="528" t="str">
        <f t="shared" si="111"/>
        <v/>
      </c>
      <c r="AJ96" s="529" t="str">
        <f t="shared" si="112"/>
        <v/>
      </c>
      <c r="AK96" s="578" t="str">
        <f t="shared" si="238"/>
        <v/>
      </c>
      <c r="AL96" s="572" t="str">
        <f t="shared" si="113"/>
        <v/>
      </c>
      <c r="AM96" s="577" t="str">
        <f t="shared" si="114"/>
        <v/>
      </c>
      <c r="AN96" s="524" t="str">
        <f t="shared" si="115"/>
        <v/>
      </c>
      <c r="AO96" s="525" t="str">
        <f t="shared" si="525"/>
        <v/>
      </c>
      <c r="AP96" s="528" t="str">
        <f t="shared" si="117"/>
        <v/>
      </c>
      <c r="AQ96" s="529" t="str">
        <f t="shared" si="533"/>
        <v/>
      </c>
      <c r="AS96" s="932" t="str">
        <f t="shared" si="632"/>
        <v/>
      </c>
      <c r="AT96" s="928" t="str">
        <f t="shared" si="534"/>
        <v/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731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596"/>
        <v/>
      </c>
      <c r="IM96" s="482" t="str">
        <f t="shared" si="732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 t="str">
        <f t="shared" si="256"/>
        <v/>
      </c>
      <c r="B97" s="578" t="str">
        <f t="shared" si="515"/>
        <v/>
      </c>
      <c r="C97" s="572" t="str">
        <f t="shared" si="516"/>
        <v/>
      </c>
      <c r="D97" s="576" t="str">
        <f t="shared" si="517"/>
        <v/>
      </c>
      <c r="E97" s="580" t="str">
        <f t="shared" si="518"/>
        <v/>
      </c>
      <c r="F97" s="572" t="str">
        <f t="shared" si="519"/>
        <v/>
      </c>
      <c r="G97" s="579" t="str">
        <f t="shared" si="520"/>
        <v/>
      </c>
      <c r="H97" s="580" t="str">
        <f t="shared" si="521"/>
        <v/>
      </c>
      <c r="I97" s="572" t="str">
        <f t="shared" si="522"/>
        <v/>
      </c>
      <c r="J97" s="483" t="str">
        <f t="shared" si="523"/>
        <v/>
      </c>
      <c r="K97" s="806" t="str">
        <f t="shared" si="524"/>
        <v/>
      </c>
      <c r="L97" s="309"/>
      <c r="M97" s="164" t="str">
        <f t="shared" si="526"/>
        <v/>
      </c>
      <c r="N97" s="575" t="str">
        <f t="shared" si="527"/>
        <v/>
      </c>
      <c r="O97" s="572" t="str">
        <f t="shared" si="528"/>
        <v/>
      </c>
      <c r="P97" s="576" t="str">
        <f t="shared" si="529"/>
        <v/>
      </c>
      <c r="Q97" s="528" t="str">
        <f t="shared" si="609"/>
        <v/>
      </c>
      <c r="R97" s="572" t="str">
        <f t="shared" si="101"/>
        <v/>
      </c>
      <c r="S97" s="577" t="str">
        <f t="shared" si="102"/>
        <v/>
      </c>
      <c r="T97" s="578" t="str">
        <f t="shared" si="103"/>
        <v/>
      </c>
      <c r="U97" s="572" t="str">
        <f t="shared" si="104"/>
        <v/>
      </c>
      <c r="V97" s="579" t="str">
        <f t="shared" si="141"/>
        <v/>
      </c>
      <c r="W97" s="528" t="str">
        <f t="shared" si="735"/>
        <v/>
      </c>
      <c r="X97" s="572" t="str">
        <f t="shared" si="105"/>
        <v/>
      </c>
      <c r="Y97" s="573" t="str">
        <f t="shared" si="733"/>
        <v/>
      </c>
      <c r="Z97" s="575" t="str">
        <f t="shared" si="530"/>
        <v/>
      </c>
      <c r="AA97" s="572" t="str">
        <f t="shared" si="531"/>
        <v/>
      </c>
      <c r="AB97" s="572" t="str">
        <f t="shared" si="532"/>
        <v/>
      </c>
      <c r="AC97" s="579" t="str">
        <f t="shared" si="106"/>
        <v/>
      </c>
      <c r="AD97" s="580" t="str">
        <f t="shared" si="142"/>
        <v/>
      </c>
      <c r="AE97" s="572" t="str">
        <f t="shared" si="107"/>
        <v/>
      </c>
      <c r="AF97" s="576" t="str">
        <f t="shared" si="108"/>
        <v/>
      </c>
      <c r="AG97" s="545" t="str">
        <f t="shared" si="109"/>
        <v/>
      </c>
      <c r="AH97" s="546" t="str">
        <f t="shared" si="110"/>
        <v/>
      </c>
      <c r="AI97" s="528" t="str">
        <f t="shared" si="111"/>
        <v/>
      </c>
      <c r="AJ97" s="529" t="str">
        <f t="shared" si="112"/>
        <v/>
      </c>
      <c r="AK97" s="578" t="str">
        <f t="shared" si="238"/>
        <v/>
      </c>
      <c r="AL97" s="572" t="str">
        <f t="shared" si="113"/>
        <v/>
      </c>
      <c r="AM97" s="577" t="str">
        <f t="shared" si="114"/>
        <v/>
      </c>
      <c r="AN97" s="524" t="str">
        <f t="shared" si="115"/>
        <v/>
      </c>
      <c r="AO97" s="525" t="str">
        <f t="shared" si="525"/>
        <v/>
      </c>
      <c r="AP97" s="528" t="str">
        <f t="shared" si="117"/>
        <v/>
      </c>
      <c r="AQ97" s="529" t="str">
        <f t="shared" si="533"/>
        <v/>
      </c>
      <c r="AS97" s="932" t="str">
        <f t="shared" si="632"/>
        <v/>
      </c>
      <c r="AT97" s="928" t="str">
        <f t="shared" si="534"/>
        <v/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731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596"/>
        <v/>
      </c>
      <c r="IM97" s="482" t="str">
        <f t="shared" si="732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 t="str">
        <f t="shared" si="256"/>
        <v/>
      </c>
      <c r="B98" s="578" t="str">
        <f t="shared" si="515"/>
        <v/>
      </c>
      <c r="C98" s="572" t="str">
        <f t="shared" si="516"/>
        <v/>
      </c>
      <c r="D98" s="576" t="str">
        <f t="shared" si="517"/>
        <v/>
      </c>
      <c r="E98" s="580" t="str">
        <f t="shared" si="518"/>
        <v/>
      </c>
      <c r="F98" s="572" t="str">
        <f t="shared" si="519"/>
        <v/>
      </c>
      <c r="G98" s="579" t="str">
        <f t="shared" si="520"/>
        <v/>
      </c>
      <c r="H98" s="580" t="str">
        <f t="shared" si="521"/>
        <v/>
      </c>
      <c r="I98" s="572" t="str">
        <f t="shared" si="522"/>
        <v/>
      </c>
      <c r="J98" s="483" t="str">
        <f t="shared" si="523"/>
        <v/>
      </c>
      <c r="K98" s="806" t="str">
        <f t="shared" si="524"/>
        <v/>
      </c>
      <c r="L98" s="309"/>
      <c r="M98" s="164" t="str">
        <f t="shared" si="526"/>
        <v/>
      </c>
      <c r="N98" s="575" t="str">
        <f t="shared" si="527"/>
        <v/>
      </c>
      <c r="O98" s="572" t="str">
        <f t="shared" si="528"/>
        <v/>
      </c>
      <c r="P98" s="576" t="str">
        <f t="shared" si="529"/>
        <v/>
      </c>
      <c r="Q98" s="528" t="str">
        <f t="shared" si="609"/>
        <v/>
      </c>
      <c r="R98" s="572" t="str">
        <f t="shared" si="101"/>
        <v/>
      </c>
      <c r="S98" s="577" t="str">
        <f t="shared" si="102"/>
        <v/>
      </c>
      <c r="T98" s="578" t="str">
        <f t="shared" si="103"/>
        <v/>
      </c>
      <c r="U98" s="572" t="str">
        <f t="shared" si="104"/>
        <v/>
      </c>
      <c r="V98" s="579" t="str">
        <f t="shared" si="141"/>
        <v/>
      </c>
      <c r="W98" s="528" t="str">
        <f t="shared" si="735"/>
        <v/>
      </c>
      <c r="X98" s="572" t="str">
        <f t="shared" si="105"/>
        <v/>
      </c>
      <c r="Y98" s="573" t="str">
        <f t="shared" si="733"/>
        <v/>
      </c>
      <c r="Z98" s="575" t="str">
        <f t="shared" si="530"/>
        <v/>
      </c>
      <c r="AA98" s="572" t="str">
        <f t="shared" si="531"/>
        <v/>
      </c>
      <c r="AB98" s="572" t="str">
        <f t="shared" si="532"/>
        <v/>
      </c>
      <c r="AC98" s="579" t="str">
        <f t="shared" si="106"/>
        <v/>
      </c>
      <c r="AD98" s="580" t="str">
        <f t="shared" si="142"/>
        <v/>
      </c>
      <c r="AE98" s="572" t="str">
        <f t="shared" si="107"/>
        <v/>
      </c>
      <c r="AF98" s="576" t="str">
        <f t="shared" si="108"/>
        <v/>
      </c>
      <c r="AG98" s="545" t="str">
        <f t="shared" si="109"/>
        <v/>
      </c>
      <c r="AH98" s="546" t="str">
        <f t="shared" si="110"/>
        <v/>
      </c>
      <c r="AI98" s="528" t="str">
        <f t="shared" si="111"/>
        <v/>
      </c>
      <c r="AJ98" s="529" t="str">
        <f t="shared" si="112"/>
        <v/>
      </c>
      <c r="AK98" s="578" t="str">
        <f t="shared" si="238"/>
        <v/>
      </c>
      <c r="AL98" s="572" t="str">
        <f t="shared" si="113"/>
        <v/>
      </c>
      <c r="AM98" s="577" t="str">
        <f t="shared" si="114"/>
        <v/>
      </c>
      <c r="AN98" s="524" t="str">
        <f t="shared" si="115"/>
        <v/>
      </c>
      <c r="AO98" s="525" t="str">
        <f t="shared" si="525"/>
        <v/>
      </c>
      <c r="AP98" s="528" t="str">
        <f t="shared" si="117"/>
        <v/>
      </c>
      <c r="AQ98" s="529" t="str">
        <f t="shared" si="533"/>
        <v/>
      </c>
      <c r="AS98" s="932" t="str">
        <f t="shared" si="632"/>
        <v/>
      </c>
      <c r="AT98" s="928" t="str">
        <f t="shared" si="534"/>
        <v/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731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596"/>
        <v/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93" t="str">
        <f t="shared" si="845"/>
        <v/>
      </c>
      <c r="C150" s="590" t="str">
        <f t="shared" si="846"/>
        <v/>
      </c>
      <c r="D150" s="591" t="str">
        <f t="shared" si="847"/>
        <v/>
      </c>
      <c r="E150" s="596" t="str">
        <f t="shared" si="848"/>
        <v/>
      </c>
      <c r="F150" s="590" t="str">
        <f t="shared" si="849"/>
        <v/>
      </c>
      <c r="G150" s="594" t="str">
        <f t="shared" si="850"/>
        <v/>
      </c>
      <c r="H150" s="596" t="str">
        <f t="shared" si="851"/>
        <v/>
      </c>
      <c r="I150" s="590" t="str">
        <f t="shared" si="852"/>
        <v/>
      </c>
      <c r="J150" s="485" t="str">
        <f t="shared" si="853"/>
        <v/>
      </c>
      <c r="K150" s="808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5.5851412909355131</v>
      </c>
      <c r="BA151" s="288">
        <f>SUM(BA9:BA150)</f>
        <v>1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354" t="s">
        <v>42</v>
      </c>
      <c r="C157" s="1355"/>
      <c r="D157" s="1355"/>
      <c r="E157" s="1355"/>
      <c r="F157" s="1355"/>
      <c r="G157" s="1355"/>
      <c r="H157" s="1355"/>
      <c r="I157" s="1355"/>
      <c r="J157" s="1355"/>
      <c r="K157" s="1355"/>
      <c r="L157" s="1355"/>
      <c r="M157" s="1355"/>
      <c r="N157" s="1355"/>
      <c r="O157" s="1356"/>
      <c r="BC157" t="s">
        <v>101</v>
      </c>
      <c r="BD157" s="219">
        <v>0</v>
      </c>
    </row>
    <row r="158" spans="1:261" ht="15" customHeight="1" x14ac:dyDescent="0.25">
      <c r="B158" s="1357"/>
      <c r="C158" s="1358"/>
      <c r="D158" s="1358"/>
      <c r="E158" s="1358"/>
      <c r="F158" s="1358"/>
      <c r="G158" s="1358"/>
      <c r="H158" s="1358"/>
      <c r="I158" s="1358"/>
      <c r="J158" s="1358"/>
      <c r="K158" s="1358"/>
      <c r="L158" s="1358"/>
      <c r="M158" s="1358"/>
      <c r="N158" s="1358"/>
      <c r="O158" s="1359"/>
      <c r="BC158" t="s">
        <v>102</v>
      </c>
      <c r="BD158" s="219">
        <v>0.01</v>
      </c>
    </row>
    <row r="159" spans="1:261" ht="15" customHeight="1" x14ac:dyDescent="0.25">
      <c r="B159" s="1357"/>
      <c r="C159" s="1358"/>
      <c r="D159" s="1358"/>
      <c r="E159" s="1358"/>
      <c r="F159" s="1358"/>
      <c r="G159" s="1358"/>
      <c r="H159" s="1358"/>
      <c r="I159" s="1358"/>
      <c r="J159" s="1358"/>
      <c r="K159" s="1358"/>
      <c r="L159" s="1358"/>
      <c r="M159" s="1358"/>
      <c r="N159" s="1358"/>
      <c r="O159" s="1359"/>
      <c r="AJ159" s="31" t="s">
        <v>349</v>
      </c>
      <c r="AU159"/>
    </row>
    <row r="160" spans="1:261" ht="15" customHeight="1" x14ac:dyDescent="0.25">
      <c r="B160" s="1360" t="str">
        <f>CONCATENATE(B162," ; ",E162," ; ",H163)</f>
        <v>Absolute-Point ; Incremental-Vector Point ; Radius</v>
      </c>
      <c r="C160" s="1361"/>
      <c r="D160" s="1361"/>
      <c r="E160" s="1361"/>
      <c r="F160" s="1361"/>
      <c r="G160" s="1361"/>
      <c r="H160" s="1361"/>
      <c r="I160" s="1361"/>
      <c r="J160" s="1361"/>
      <c r="K160" s="1361"/>
      <c r="L160" s="1361"/>
      <c r="M160" s="1361"/>
      <c r="N160" s="1361"/>
      <c r="O160" s="1362"/>
      <c r="AJ160" s="82">
        <f>COUNT(_xlfn.ANCHORARRAY($AJ$164))</f>
        <v>198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360"/>
      <c r="C161" s="1361"/>
      <c r="D161" s="1361"/>
      <c r="E161" s="1361"/>
      <c r="F161" s="1361"/>
      <c r="G161" s="1361"/>
      <c r="H161" s="1361"/>
      <c r="I161" s="1361"/>
      <c r="J161" s="1361"/>
      <c r="K161" s="1361"/>
      <c r="L161" s="1361"/>
      <c r="M161" s="1361"/>
      <c r="N161" s="1361"/>
      <c r="O161" s="1362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1089" t="s">
        <v>40</v>
      </c>
      <c r="C162" s="1090"/>
      <c r="D162" s="1091"/>
      <c r="E162" s="1092" t="s">
        <v>41</v>
      </c>
      <c r="F162" s="1090"/>
      <c r="G162" s="1093"/>
      <c r="H162" s="989" t="s">
        <v>305</v>
      </c>
      <c r="I162" s="987"/>
      <c r="J162" s="988"/>
      <c r="K162" s="989" t="s">
        <v>386</v>
      </c>
      <c r="L162" s="1158"/>
      <c r="M162" s="937"/>
      <c r="N162" s="1094" t="s">
        <v>398</v>
      </c>
      <c r="O162" s="1095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-2.92E-2</v>
      </c>
      <c r="C164" s="646">
        <v>0.30019999999999969</v>
      </c>
      <c r="D164" s="647">
        <v>-0.57069999999999999</v>
      </c>
      <c r="E164" s="648">
        <v>0.93358042649720174</v>
      </c>
      <c r="F164" s="646">
        <v>0</v>
      </c>
      <c r="G164" s="649">
        <v>-0.35836794954530027</v>
      </c>
      <c r="H164" s="648">
        <v>0.26600000000000001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1313</v>
      </c>
      <c r="L164" s="940" t="s">
        <v>419</v>
      </c>
      <c r="M164" s="969">
        <v>15</v>
      </c>
      <c r="N164" s="938" t="s">
        <v>9</v>
      </c>
      <c r="O164" s="939"/>
      <c r="P164" s="1"/>
      <c r="Q164" s="162">
        <f t="shared" ref="Q164:Q195" si="1059">IFERROR(INDEX(B$164:B$305,MATCH($Y164,$J$164:$J$305,0)),"")</f>
        <v>-2.92E-2</v>
      </c>
      <c r="R164" s="162">
        <f t="shared" ref="R164:R195" si="1060">IFERROR(INDEX(C$164:C$305,MATCH($Y164,$J$164:$J$305,0)),"")</f>
        <v>0.30019999999999969</v>
      </c>
      <c r="S164" s="162">
        <f t="shared" ref="S164:S195" si="1061">IFERROR(INDEX(D$164:D$305,MATCH($Y164,$J$164:$J$305,0)),"")</f>
        <v>-0.57069999999999999</v>
      </c>
      <c r="T164" s="162">
        <f t="shared" ref="T164:T195" si="1062">IFERROR(IF($N164="Y",-1*INDEX(E$164:E$305,MATCH($Y164,$J$164:$J$305,0)),INDEX(E$164:E$305,MATCH($Y164,$J$164:$J$305,0))),"")</f>
        <v>-0.93358042649720174</v>
      </c>
      <c r="U164" s="162">
        <f t="shared" ref="U164:U195" si="1063">IFERROR(IF($N164="Y",-1*INDEX(F$164:F$305,MATCH($Y164,$J$164:$J$305,0)),INDEX(F$164:F$305,MATCH($Y164,$J$164:$J$305,0))),"")</f>
        <v>0</v>
      </c>
      <c r="V164" s="162">
        <f t="shared" ref="V164:V195" si="1064">IFERROR(IF($N164="Y",-1*INDEX(G$164:G$305,MATCH($Y164,$J$164:$J$305,0)),INDEX(G$164:G$305,MATCH($Y164,$J$164:$J$305,0))),"")</f>
        <v>0.35836794954530027</v>
      </c>
      <c r="W164" s="162">
        <f>IFERROR(IF(ISNUMBER(MATCH($Z164,Settings!$AK$28:$AK$36,0)),INDEX(Settings!$AO$14:$AO$36,MATCH($Z164,Settings!$AK$14:$AK$36,0))/2,INDEX(Settings!$AM$14:$AM$36,MATCH($Z164,Settings!$AK$14:$AK$36,0))/2),"")</f>
        <v>0.26450000000000001</v>
      </c>
      <c r="X164" s="162">
        <f t="shared" ref="X164:X195" si="1065">IFERROR(INDEX(I$164:I$305,MATCH($Y164,$J$164:$J$305,0)),"")</f>
        <v>0.52</v>
      </c>
      <c r="Y164" s="75" cm="1">
        <f t="array" ref="Y164:Y196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1313</v>
      </c>
      <c r="AC164" s="166" cm="1">
        <f t="array" ref="AC164:AC181">_xlfn.UNIQUE(VALUE(_xlfn.ANCHORARRAY($AF$164)+ROUND((_xlfn.ANCHORARRAY($AG$164)/10),2)+ROUND((_xlfn.ANCHORARRAY($AI$164)/100000),5)))</f>
        <v>6.1000099999999993</v>
      </c>
      <c r="AD164" s="75" cm="1">
        <f t="array" ref="AD164:AD181">(ROW(_xlfn.ANCHORARRAY($AC$164):$AC164)-ROW($AC$164)-COUNT(_xlfn.ANCHORARRAY($AC$164))+1)*0.75</f>
        <v>-12.75</v>
      </c>
      <c r="AE164" s="75" cm="1">
        <f t="array" ref="AE164:AE361">ROUNDDOWN((_xlfn.ANCHORARRAY(AJ164)*1000),0)/1000</f>
        <v>6.1180000000000003</v>
      </c>
      <c r="AF164" s="166" cm="1">
        <f t="array" ref="AF164:AF361">ROUNDDOWN(_xlfn.ANCHORARRAY(AJ164),0)</f>
        <v>6</v>
      </c>
      <c r="AG164" s="82" cm="1">
        <f t="array" ref="AG164:AG361">VALUE(RIGHT(ROUNDDOWN(_xlfn.ANCHORARRAY(AJ164)*10,0),1))</f>
        <v>1</v>
      </c>
      <c r="AH164" s="82" cm="1">
        <f t="array" ref="AH164:AH361">VALUE(LEFT(RIGHT((_xlfn.ANCHORARRAY($AJ$164)*100000),2),1))</f>
        <v>1</v>
      </c>
      <c r="AI164" s="82" cm="1">
        <f t="array" ref="AI164:AI361">MOD(_xlfn.ANCHORARRAY($AJ$164)*10000,1)*10</f>
        <v>1.0000000000582077</v>
      </c>
      <c r="AJ164" s="166" cm="1">
        <f t="array" ref="AJ164:AJ361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6.1181100000000006</v>
      </c>
      <c r="AK164" s="82" t="str" cm="1">
        <f t="array" ref="AK164:AK361">IF(_xlfn.ANCHORARRAY($AH$164)=1,"Base",_xlfn.ANCHORARRAY($AJ$164)-0.0001)</f>
        <v>Base</v>
      </c>
      <c r="AL164" s="162" cm="1">
        <f t="array" ref="AL164:AL361">IF(_xlfn.ANCHORARRAY($AH$164)=1,INDEX(_xlfn.ANCHORARRAY($AD$164),MATCH((_xlfn.ANCHORARRAY($AF$164)+(_xlfn.ANCHORARRAY($AG$164)/10)+ROUND((_xlfn.ANCHORARRAY($AI$164)/100000),5)),_xlfn.ANCHORARRAY($AC$164),0)),0)</f>
        <v>-12.75</v>
      </c>
      <c r="AM164" s="162" cm="1">
        <f t="array" ref="AM164:AM361">IF(_xlfn.ANCHORARRAY($AH$164)=1,-INDEX($R$9:$R$150,MATCH(_xlfn.ANCHORARRAY($AE$164),$M$9:$M$150,0)),0)</f>
        <v>-3.7550625905150534</v>
      </c>
      <c r="AN164" s="162" cm="1">
        <f t="array" ref="AN164:AN361">IF(_xlfn.ANCHORARRAY($AH$164)=1,INDEX($AT$9:$AT$150,MATCH(_xlfn.ANCHORARRAY($AE$164),$M$9:$M$150,0))+((_xlfn.ANCHORARRAY($AI$164)-1)*-AS5),0)</f>
        <v>-1.4234616329880754</v>
      </c>
      <c r="AO164" s="162" cm="1">
        <f t="array" ref="AO164:AO361">IF(_xlfn.ANCHORARRAY($AH$164)=1,-INDEX($AN$9:$AN$150,MATCH(_xlfn.ANCHORARRAY($AE$164),$M$9:$M$150,0)),IF(_xlfn.ANCHORARRAY($AH$164)=2,_xlfn.ANCHORARRAY($AY$164),0))</f>
        <v>82.827470691940107</v>
      </c>
      <c r="AP164" s="162" cm="1">
        <f t="array" ref="AP164:AP361">IF(_xlfn.ANCHORARRAY($AH$164)=1,-INDEX($AO$9:$AO$150,MATCH(_xlfn.ANCHORARRAY($AE$164),$M$9:$M$150,0)),0)</f>
        <v>-29.552649644885918</v>
      </c>
      <c r="AQ164" s="162" cm="1">
        <f t="array" ref="AQ164:AQ361">IF(_xlfn.ANCHORARRAY($AJ$164)="value",0,0)</f>
        <v>0</v>
      </c>
      <c r="AR164" s="710" t="str" cm="1">
        <f t="array" ref="AR164:AR361">INDEX($L$164:$L$305,MATCH(_xlfn.ANCHORARRAY($AE$164),$J$164:$J$305,0))</f>
        <v>1313.par</v>
      </c>
      <c r="AV164" s="82" t="str" cm="1">
        <f t="array" ref="AV164:AV361">INDEX(Settings!$C$3:$K$4,_xlfn.ANCHORARRAY(Assy.Model!$AG$164),_xlfn.ANCHORARRAY(Assy.Model!$AF$164))</f>
        <v>127,0,255</v>
      </c>
      <c r="AW164" s="947" cm="1">
        <f t="array" ref="AW164:AW361">-INDEX($M$164:$M$305,MATCH(_xlfn.ANCHORARRAY($AE$164),$J$164:$J$305,0))</f>
        <v>85</v>
      </c>
      <c r="AX164" s="947" cm="1">
        <f t="array" ref="AX164:AX361">-INDEX($AN$9:$AN$150,MATCH(_xlfn.ANCHORARRAY($AE$164),$M$9:$M$150,0))</f>
        <v>82.827470691940107</v>
      </c>
      <c r="AY164" s="947" cm="1">
        <f t="array" ref="AY164:AY361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-2.92E-2</v>
      </c>
      <c r="C165" s="651">
        <v>1.0299999999999996</v>
      </c>
      <c r="D165" s="652">
        <v>-0.4249</v>
      </c>
      <c r="E165" s="653">
        <v>0.96592582628906831</v>
      </c>
      <c r="F165" s="651">
        <v>0</v>
      </c>
      <c r="G165" s="654">
        <v>-0.25881904510252074</v>
      </c>
      <c r="H165" s="653">
        <v>0.314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40" t="s">
        <v>424</v>
      </c>
      <c r="M165" s="970">
        <v>15</v>
      </c>
      <c r="N165" s="941" t="s">
        <v>9</v>
      </c>
      <c r="O165" s="942"/>
      <c r="Q165" s="162">
        <f t="shared" si="1059"/>
        <v>-2.92E-2</v>
      </c>
      <c r="R165" s="162">
        <f t="shared" si="1060"/>
        <v>1.0299999999999996</v>
      </c>
      <c r="S165" s="162">
        <f t="shared" si="1061"/>
        <v>-0.4249</v>
      </c>
      <c r="T165" s="162">
        <f t="shared" si="1062"/>
        <v>-0.96592582628906831</v>
      </c>
      <c r="U165" s="162">
        <f t="shared" si="1063"/>
        <v>0</v>
      </c>
      <c r="V165" s="162">
        <f t="shared" si="1064"/>
        <v>0.25881904510252074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65"/>
        <v>0.52</v>
      </c>
      <c r="Y165" s="75">
        <v>1.1040000000000001</v>
      </c>
      <c r="Z165" s="917">
        <f t="shared" si="1066"/>
        <v>1613</v>
      </c>
      <c r="AA165" s="82"/>
      <c r="AB165" s="75"/>
      <c r="AC165" s="166">
        <v>5.1000099999999993</v>
      </c>
      <c r="AD165" s="166">
        <v>-12</v>
      </c>
      <c r="AE165" s="75">
        <v>6.1150000000000002</v>
      </c>
      <c r="AF165" s="82">
        <v>6</v>
      </c>
      <c r="AG165" s="82">
        <v>1</v>
      </c>
      <c r="AH165" s="82">
        <v>1</v>
      </c>
      <c r="AI165" s="82">
        <v>1.0000000000582077</v>
      </c>
      <c r="AJ165" s="166">
        <v>6.1151100000000005</v>
      </c>
      <c r="AK165" s="82" t="str">
        <v>Base</v>
      </c>
      <c r="AL165" s="162">
        <v>-12.75</v>
      </c>
      <c r="AM165" s="162">
        <v>-3.5191027438854303</v>
      </c>
      <c r="AN165" s="162">
        <v>-0.75375107401328789</v>
      </c>
      <c r="AO165" s="162">
        <v>65.940386675998184</v>
      </c>
      <c r="AP165" s="162">
        <v>-20.312850174991276</v>
      </c>
      <c r="AQ165" s="162">
        <v>0</v>
      </c>
      <c r="AR165" s="710" t="str">
        <v>1613 Ripper.par</v>
      </c>
      <c r="AV165" s="82" t="str">
        <v>127,0,255</v>
      </c>
      <c r="AW165" s="947">
        <v>67.400000000000006</v>
      </c>
      <c r="AX165" s="947">
        <v>65.940386675998184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-2.92E-2</v>
      </c>
      <c r="C166" s="651">
        <v>1.7829999999999997</v>
      </c>
      <c r="D166" s="652">
        <v>-0.22310000000000013</v>
      </c>
      <c r="E166" s="653">
        <v>0.96592582628906831</v>
      </c>
      <c r="F166" s="651">
        <v>0</v>
      </c>
      <c r="G166" s="654">
        <v>-0.25881904510252074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0" t="s">
        <v>423</v>
      </c>
      <c r="M166" s="970">
        <v>15</v>
      </c>
      <c r="N166" s="941" t="s">
        <v>9</v>
      </c>
      <c r="O166" s="942"/>
      <c r="Q166" s="162">
        <f t="shared" si="1059"/>
        <v>-2.92E-2</v>
      </c>
      <c r="R166" s="162">
        <f t="shared" si="1060"/>
        <v>1.7829999999999997</v>
      </c>
      <c r="S166" s="162">
        <f t="shared" si="1061"/>
        <v>-0.22310000000000013</v>
      </c>
      <c r="T166" s="162">
        <f t="shared" si="1062"/>
        <v>-0.96592582628906831</v>
      </c>
      <c r="U166" s="162">
        <f t="shared" si="1063"/>
        <v>0</v>
      </c>
      <c r="V166" s="162">
        <f t="shared" si="1064"/>
        <v>0.25881904510252074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65"/>
        <v>0.52</v>
      </c>
      <c r="Y166" s="75">
        <v>1.107</v>
      </c>
      <c r="Z166" s="917">
        <f t="shared" si="1066"/>
        <v>1613</v>
      </c>
      <c r="AA166" s="82"/>
      <c r="AB166" s="75"/>
      <c r="AC166" s="166">
        <v>4.1000099999999993</v>
      </c>
      <c r="AD166" s="166">
        <v>-11.25</v>
      </c>
      <c r="AE166" s="75">
        <v>6.1120000000000001</v>
      </c>
      <c r="AF166" s="82">
        <v>6</v>
      </c>
      <c r="AG166" s="82">
        <v>1</v>
      </c>
      <c r="AH166" s="82">
        <v>1</v>
      </c>
      <c r="AI166" s="82">
        <v>1.0000000000582077</v>
      </c>
      <c r="AJ166" s="166">
        <v>6.1121100000000004</v>
      </c>
      <c r="AK166" s="82" t="str">
        <v>Base</v>
      </c>
      <c r="AL166" s="162">
        <v>-12.75</v>
      </c>
      <c r="AM166" s="162">
        <v>-3.0305409133922776</v>
      </c>
      <c r="AN166" s="162">
        <v>-0.16325791783038443</v>
      </c>
      <c r="AO166" s="162">
        <v>44.166384694641643</v>
      </c>
      <c r="AP166" s="162">
        <v>-15.700583954289179</v>
      </c>
      <c r="AQ166" s="162">
        <v>0</v>
      </c>
      <c r="AR166" s="710" t="str">
        <v>1613.par</v>
      </c>
      <c r="AV166" s="82" t="str">
        <v>127,0,255</v>
      </c>
      <c r="AW166" s="947">
        <v>34.1</v>
      </c>
      <c r="AX166" s="947">
        <v>44.166384694641643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-1.4000000000000002E-2</v>
      </c>
      <c r="C167" s="651">
        <v>2.5526</v>
      </c>
      <c r="D167" s="652">
        <v>-0.16470000000000001</v>
      </c>
      <c r="E167" s="653">
        <v>0.96339317828794302</v>
      </c>
      <c r="F167" s="651">
        <v>-0.10587285650845474</v>
      </c>
      <c r="G167" s="654">
        <v>-0.24630168956585693</v>
      </c>
      <c r="H167" s="653">
        <v>0.314</v>
      </c>
      <c r="I167" s="920">
        <v>0.52</v>
      </c>
      <c r="J167" s="924">
        <v>1.1100000000000001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0" t="s">
        <v>423</v>
      </c>
      <c r="M167" s="970">
        <v>-11.6</v>
      </c>
      <c r="N167" s="941" t="s">
        <v>9</v>
      </c>
      <c r="O167" s="942"/>
      <c r="Q167" s="162">
        <f t="shared" si="1059"/>
        <v>-1.4000000000000002E-2</v>
      </c>
      <c r="R167" s="162">
        <f t="shared" si="1060"/>
        <v>2.5526</v>
      </c>
      <c r="S167" s="162">
        <f t="shared" si="1061"/>
        <v>-0.16470000000000001</v>
      </c>
      <c r="T167" s="162">
        <f t="shared" si="1062"/>
        <v>-0.96339317828794302</v>
      </c>
      <c r="U167" s="162">
        <f t="shared" si="1063"/>
        <v>0.10587285650845474</v>
      </c>
      <c r="V167" s="162">
        <f t="shared" si="1064"/>
        <v>0.24630168956585693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65"/>
        <v>0.52</v>
      </c>
      <c r="Y167" s="75">
        <v>1.1100000000000001</v>
      </c>
      <c r="Z167" s="917">
        <f t="shared" si="1066"/>
        <v>1613</v>
      </c>
      <c r="AA167" s="82"/>
      <c r="AB167" s="75"/>
      <c r="AC167" s="166">
        <v>3.1000100000000002</v>
      </c>
      <c r="AD167" s="166">
        <v>-10.5</v>
      </c>
      <c r="AE167" s="75">
        <v>6.109</v>
      </c>
      <c r="AF167" s="82">
        <v>6</v>
      </c>
      <c r="AG167" s="82">
        <v>1</v>
      </c>
      <c r="AH167" s="82">
        <v>1</v>
      </c>
      <c r="AI167" s="82">
        <v>1.0000000000582077</v>
      </c>
      <c r="AJ167" s="166">
        <v>6.1091100000000003</v>
      </c>
      <c r="AK167" s="82" t="str">
        <v>Base</v>
      </c>
      <c r="AL167" s="162">
        <v>-12.75</v>
      </c>
      <c r="AM167" s="162">
        <v>-2.2931554849838416</v>
      </c>
      <c r="AN167" s="162">
        <v>6.3701345940334886E-2</v>
      </c>
      <c r="AO167" s="162">
        <v>12.222553303993035</v>
      </c>
      <c r="AP167" s="162">
        <v>-15.333491997758388</v>
      </c>
      <c r="AQ167" s="162">
        <v>0</v>
      </c>
      <c r="AR167" s="710" t="str">
        <v>1613 Ripper.par</v>
      </c>
      <c r="AV167" s="82" t="str">
        <v>127,0,255</v>
      </c>
      <c r="AW167" s="947">
        <v>-0.4</v>
      </c>
      <c r="AX167" s="947">
        <v>12.222553303993035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3.3800000000000031E-2</v>
      </c>
      <c r="C168" s="651">
        <v>3.2368999999999994</v>
      </c>
      <c r="D168" s="652">
        <v>-0.53249999999999986</v>
      </c>
      <c r="E168" s="653">
        <v>0.95880790980406616</v>
      </c>
      <c r="F168" s="651">
        <v>-0.23283115881656075</v>
      </c>
      <c r="G168" s="654">
        <v>-0.16271768060446049</v>
      </c>
      <c r="H168" s="653">
        <v>0.314</v>
      </c>
      <c r="I168" s="920">
        <v>0.52</v>
      </c>
      <c r="J168" s="924">
        <v>1.113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0" t="s">
        <v>424</v>
      </c>
      <c r="M168" s="970">
        <v>-45.3</v>
      </c>
      <c r="N168" s="941" t="s">
        <v>9</v>
      </c>
      <c r="O168" s="942"/>
      <c r="Q168" s="162">
        <f t="shared" si="1059"/>
        <v>3.3800000000000031E-2</v>
      </c>
      <c r="R168" s="162">
        <f t="shared" si="1060"/>
        <v>3.2368999999999994</v>
      </c>
      <c r="S168" s="162">
        <f t="shared" si="1061"/>
        <v>-0.53249999999999986</v>
      </c>
      <c r="T168" s="162">
        <f t="shared" si="1062"/>
        <v>-0.95880790980406616</v>
      </c>
      <c r="U168" s="162">
        <f t="shared" si="1063"/>
        <v>0.23283115881656075</v>
      </c>
      <c r="V168" s="162">
        <f t="shared" si="1064"/>
        <v>0.16271768060446049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65"/>
        <v>0.52</v>
      </c>
      <c r="Y168" s="75">
        <v>1.113</v>
      </c>
      <c r="Z168" s="917">
        <f t="shared" si="1066"/>
        <v>1613</v>
      </c>
      <c r="AA168" s="82"/>
      <c r="AB168" s="75"/>
      <c r="AC168" s="166">
        <v>2.1000100000000002</v>
      </c>
      <c r="AD168" s="166">
        <v>-9.75</v>
      </c>
      <c r="AE168" s="75">
        <v>5.12</v>
      </c>
      <c r="AF168" s="82">
        <v>5</v>
      </c>
      <c r="AG168" s="82">
        <v>1</v>
      </c>
      <c r="AH168" s="82">
        <v>1</v>
      </c>
      <c r="AI168" s="82">
        <v>1.0000000000582077</v>
      </c>
      <c r="AJ168" s="166">
        <v>5.1201100000000004</v>
      </c>
      <c r="AK168" s="82" t="str">
        <v>Base</v>
      </c>
      <c r="AL168" s="162">
        <v>-12</v>
      </c>
      <c r="AM168" s="162">
        <v>-3.7550909956995899</v>
      </c>
      <c r="AN168" s="162">
        <v>-1.9317559911855926</v>
      </c>
      <c r="AO168" s="162">
        <v>82.827443342392868</v>
      </c>
      <c r="AP168" s="162">
        <v>-29.552526421184591</v>
      </c>
      <c r="AQ168" s="162">
        <v>0</v>
      </c>
      <c r="AR168" s="710" t="str">
        <v>1313.par</v>
      </c>
      <c r="AV168" s="82" t="str">
        <v>0,102,204</v>
      </c>
      <c r="AW168" s="947">
        <v>85</v>
      </c>
      <c r="AX168" s="947">
        <v>82.827443342392868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7.1999999999999911E-2</v>
      </c>
      <c r="C169" s="651">
        <v>3.6032999999999999</v>
      </c>
      <c r="D169" s="652">
        <v>-1.2041000000000002</v>
      </c>
      <c r="E169" s="653">
        <v>0.92944350671006348</v>
      </c>
      <c r="F169" s="651">
        <v>-0.35773558925588733</v>
      </c>
      <c r="G169" s="654">
        <v>-9.0332806965372658E-2</v>
      </c>
      <c r="H169" s="653">
        <v>0.314</v>
      </c>
      <c r="I169" s="920">
        <v>0.52</v>
      </c>
      <c r="J169" s="924">
        <v>1.1160000000000001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0" t="s">
        <v>423</v>
      </c>
      <c r="M169" s="970">
        <v>-78.400000000000006</v>
      </c>
      <c r="N169" s="941" t="s">
        <v>9</v>
      </c>
      <c r="O169" s="942"/>
      <c r="Q169" s="162">
        <f t="shared" si="1059"/>
        <v>7.1999999999999911E-2</v>
      </c>
      <c r="R169" s="162">
        <f t="shared" si="1060"/>
        <v>3.6032999999999999</v>
      </c>
      <c r="S169" s="162">
        <f t="shared" si="1061"/>
        <v>-1.2041000000000002</v>
      </c>
      <c r="T169" s="162">
        <f t="shared" si="1062"/>
        <v>-0.92944350671006348</v>
      </c>
      <c r="U169" s="162">
        <f t="shared" si="1063"/>
        <v>0.35773558925588733</v>
      </c>
      <c r="V169" s="162">
        <f t="shared" si="1064"/>
        <v>9.0332806965372658E-2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65"/>
        <v>0.52</v>
      </c>
      <c r="Y169" s="75">
        <v>1.1160000000000001</v>
      </c>
      <c r="Z169" s="917">
        <f t="shared" si="1066"/>
        <v>1613</v>
      </c>
      <c r="AA169" s="82"/>
      <c r="AB169" s="75"/>
      <c r="AC169" s="166">
        <v>1.1000100000000002</v>
      </c>
      <c r="AD169" s="166">
        <v>-9</v>
      </c>
      <c r="AE169" s="75">
        <v>5.117</v>
      </c>
      <c r="AF169" s="82">
        <v>5</v>
      </c>
      <c r="AG169" s="82">
        <v>1</v>
      </c>
      <c r="AH169" s="82">
        <v>1</v>
      </c>
      <c r="AI169" s="82">
        <v>1.0000000000582077</v>
      </c>
      <c r="AJ169" s="166">
        <v>5.1171100000000003</v>
      </c>
      <c r="AK169" s="82" t="str">
        <v>Base</v>
      </c>
      <c r="AL169" s="162">
        <v>-12</v>
      </c>
      <c r="AM169" s="162">
        <v>-3.6270321427933796</v>
      </c>
      <c r="AN169" s="162">
        <v>-1.2735752045344908</v>
      </c>
      <c r="AO169" s="162">
        <v>82.782783406876305</v>
      </c>
      <c r="AP169" s="162">
        <v>-20.225876694233541</v>
      </c>
      <c r="AQ169" s="162">
        <v>0</v>
      </c>
      <c r="AR169" s="710" t="str">
        <v>1613.par</v>
      </c>
      <c r="AV169" s="82" t="str">
        <v>0,102,204</v>
      </c>
      <c r="AW169" s="947">
        <v>85</v>
      </c>
      <c r="AX169" s="947">
        <v>82.782783406876305</v>
      </c>
      <c r="AY169" s="947">
        <v>0</v>
      </c>
    </row>
    <row r="170" spans="2:58" x14ac:dyDescent="0.25">
      <c r="B170" s="650">
        <v>9.7500000000000031E-2</v>
      </c>
      <c r="C170" s="651">
        <v>3.7636000000000003</v>
      </c>
      <c r="D170" s="652">
        <v>-1.8642000000000003</v>
      </c>
      <c r="E170" s="653">
        <v>0.85456872390204919</v>
      </c>
      <c r="F170" s="651">
        <v>-0.51567419545881021</v>
      </c>
      <c r="G170" s="654">
        <v>-6.1582629582798941E-2</v>
      </c>
      <c r="H170" s="653">
        <v>0.26600000000000001</v>
      </c>
      <c r="I170" s="920">
        <v>0.52</v>
      </c>
      <c r="J170" s="924">
        <v>1.119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1313</v>
      </c>
      <c r="L170" s="940" t="s">
        <v>419</v>
      </c>
      <c r="M170" s="970">
        <v>-85</v>
      </c>
      <c r="N170" s="941" t="s">
        <v>9</v>
      </c>
      <c r="O170" s="942"/>
      <c r="Q170" s="162">
        <f t="shared" si="1059"/>
        <v>9.7500000000000031E-2</v>
      </c>
      <c r="R170" s="162">
        <f t="shared" si="1060"/>
        <v>3.7636000000000003</v>
      </c>
      <c r="S170" s="162">
        <f t="shared" si="1061"/>
        <v>-1.8642000000000003</v>
      </c>
      <c r="T170" s="162">
        <f t="shared" si="1062"/>
        <v>-0.85456872390204919</v>
      </c>
      <c r="U170" s="162">
        <f t="shared" si="1063"/>
        <v>0.51567419545881021</v>
      </c>
      <c r="V170" s="162">
        <f t="shared" si="1064"/>
        <v>6.1582629582798941E-2</v>
      </c>
      <c r="W170" s="162">
        <f>IFERROR(IF(ISNUMBER(MATCH($Z170,Settings!$AK$28:$AK$36,0)),INDEX(Settings!$AO$14:$AO$36,MATCH($Z170,Settings!$AK$14:$AK$36,0))/2,INDEX(Settings!$AM$14:$AM$36,MATCH($Z170,Settings!$AK$14:$AK$36,0))/2),"")</f>
        <v>0.26450000000000001</v>
      </c>
      <c r="X170" s="162">
        <f t="shared" si="1065"/>
        <v>0.52</v>
      </c>
      <c r="Y170" s="75">
        <v>1.119</v>
      </c>
      <c r="Z170" s="917">
        <f t="shared" si="1066"/>
        <v>1313</v>
      </c>
      <c r="AA170" s="82"/>
      <c r="AB170" s="75"/>
      <c r="AC170" s="166">
        <v>6.1000199999999998</v>
      </c>
      <c r="AD170" s="166">
        <v>-8.25</v>
      </c>
      <c r="AE170" s="75">
        <v>5.1139999999999999</v>
      </c>
      <c r="AF170" s="82">
        <v>5</v>
      </c>
      <c r="AG170" s="82">
        <v>1</v>
      </c>
      <c r="AH170" s="82">
        <v>1</v>
      </c>
      <c r="AI170" s="82">
        <v>0.99999999998544808</v>
      </c>
      <c r="AJ170" s="166">
        <v>5.1141100000000002</v>
      </c>
      <c r="AK170" s="82" t="str">
        <v>Base</v>
      </c>
      <c r="AL170" s="162">
        <v>-12</v>
      </c>
      <c r="AM170" s="162">
        <v>-3.3968379050192201</v>
      </c>
      <c r="AN170" s="162">
        <v>-0.56510885533303035</v>
      </c>
      <c r="AO170" s="162">
        <v>62.829843987714831</v>
      </c>
      <c r="AP170" s="162">
        <v>-15.749673008190467</v>
      </c>
      <c r="AQ170" s="162">
        <v>0</v>
      </c>
      <c r="AR170" s="710" t="str">
        <v>1613 Ripper.par</v>
      </c>
      <c r="AV170" s="82" t="str">
        <v>0,102,204</v>
      </c>
      <c r="AW170" s="947">
        <v>56.3</v>
      </c>
      <c r="AX170" s="947">
        <v>62.829843987714831</v>
      </c>
      <c r="AY170" s="947">
        <v>0</v>
      </c>
    </row>
    <row r="171" spans="2:58" x14ac:dyDescent="0.25">
      <c r="B171" s="650">
        <v>1.7480577506690282</v>
      </c>
      <c r="C171" s="651">
        <v>1.0429879417905057</v>
      </c>
      <c r="D171" s="652">
        <v>-0.1598</v>
      </c>
      <c r="E171" s="653">
        <v>0.48296291314453421</v>
      </c>
      <c r="F171" s="651">
        <v>-0.83651630373780794</v>
      </c>
      <c r="G171" s="654">
        <v>-0.25881904510252079</v>
      </c>
      <c r="H171" s="653">
        <v>0.314</v>
      </c>
      <c r="I171" s="920">
        <v>0.52</v>
      </c>
      <c r="J171" s="924">
        <v>2.1080000000000001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40" t="s">
        <v>424</v>
      </c>
      <c r="M171" s="970">
        <v>10.7</v>
      </c>
      <c r="N171" s="941" t="s">
        <v>9</v>
      </c>
      <c r="O171" s="942"/>
      <c r="Q171" s="162">
        <f t="shared" si="1059"/>
        <v>1.7480577506690282</v>
      </c>
      <c r="R171" s="162">
        <f t="shared" si="1060"/>
        <v>1.0429879417905057</v>
      </c>
      <c r="S171" s="162">
        <f t="shared" si="1061"/>
        <v>-0.1598</v>
      </c>
      <c r="T171" s="162">
        <f t="shared" si="1062"/>
        <v>-0.48296291314453421</v>
      </c>
      <c r="U171" s="162">
        <f t="shared" si="1063"/>
        <v>0.83651630373780794</v>
      </c>
      <c r="V171" s="162">
        <f t="shared" si="1064"/>
        <v>0.25881904510252079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65"/>
        <v>0.52</v>
      </c>
      <c r="Y171" s="75">
        <v>2.1080000000000001</v>
      </c>
      <c r="Z171" s="917">
        <f t="shared" si="1066"/>
        <v>1613</v>
      </c>
      <c r="AA171" s="82"/>
      <c r="AB171" s="75"/>
      <c r="AC171" s="166">
        <v>5.1000199999999998</v>
      </c>
      <c r="AD171" s="166">
        <v>-7.5</v>
      </c>
      <c r="AE171" s="75">
        <v>5.1109999999999998</v>
      </c>
      <c r="AF171" s="82">
        <v>5</v>
      </c>
      <c r="AG171" s="82">
        <v>1</v>
      </c>
      <c r="AH171" s="82">
        <v>1</v>
      </c>
      <c r="AI171" s="82">
        <v>0.99999999998544808</v>
      </c>
      <c r="AJ171" s="166">
        <v>5.11111</v>
      </c>
      <c r="AK171" s="82" t="str">
        <v>Base</v>
      </c>
      <c r="AL171" s="162">
        <v>-12</v>
      </c>
      <c r="AM171" s="162">
        <v>-2.8002517471357606</v>
      </c>
      <c r="AN171" s="162">
        <v>-7.8183040820795024E-2</v>
      </c>
      <c r="AO171" s="162">
        <v>33.04204616872093</v>
      </c>
      <c r="AP171" s="162">
        <v>-15.632095004852658</v>
      </c>
      <c r="AQ171" s="162">
        <v>0</v>
      </c>
      <c r="AR171" s="710" t="str">
        <v>1613 Ripper.par</v>
      </c>
      <c r="AV171" s="82" t="str">
        <v>0,102,204</v>
      </c>
      <c r="AW171" s="947">
        <v>22.8</v>
      </c>
      <c r="AX171" s="947">
        <v>33.04204616872093</v>
      </c>
      <c r="AY171" s="947">
        <v>0</v>
      </c>
    </row>
    <row r="172" spans="2:58" x14ac:dyDescent="0.25">
      <c r="B172" s="650">
        <v>2.4276786582350982</v>
      </c>
      <c r="C172" s="651">
        <v>1.4016500000000003</v>
      </c>
      <c r="D172" s="652">
        <v>-0.24199999999999991</v>
      </c>
      <c r="E172" s="653">
        <v>0.34803108954422579</v>
      </c>
      <c r="F172" s="651">
        <v>-0.90986409006368996</v>
      </c>
      <c r="G172" s="654">
        <v>-0.22587983159908895</v>
      </c>
      <c r="H172" s="653">
        <v>0.314</v>
      </c>
      <c r="I172" s="920">
        <v>0.52</v>
      </c>
      <c r="J172" s="924">
        <v>2.1110000000000002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40" t="s">
        <v>423</v>
      </c>
      <c r="M172" s="970">
        <v>-22.8</v>
      </c>
      <c r="N172" s="941" t="s">
        <v>9</v>
      </c>
      <c r="O172" s="942"/>
      <c r="Q172" s="162">
        <f t="shared" si="1059"/>
        <v>2.4276786582350982</v>
      </c>
      <c r="R172" s="162">
        <f t="shared" si="1060"/>
        <v>1.4016500000000003</v>
      </c>
      <c r="S172" s="162">
        <f t="shared" si="1061"/>
        <v>-0.24199999999999991</v>
      </c>
      <c r="T172" s="162">
        <f t="shared" si="1062"/>
        <v>-0.34803108954422579</v>
      </c>
      <c r="U172" s="162">
        <f t="shared" si="1063"/>
        <v>0.90986409006368996</v>
      </c>
      <c r="V172" s="162">
        <f t="shared" si="1064"/>
        <v>0.22587983159908895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65"/>
        <v>0.52</v>
      </c>
      <c r="Y172" s="75">
        <v>2.1110000000000002</v>
      </c>
      <c r="Z172" s="917">
        <f t="shared" si="1066"/>
        <v>1613</v>
      </c>
      <c r="AA172" s="82"/>
      <c r="AB172" s="75"/>
      <c r="AC172" s="166">
        <v>4.1000199999999998</v>
      </c>
      <c r="AD172" s="166">
        <v>-6.75</v>
      </c>
      <c r="AE172" s="75">
        <v>5.1079999999999997</v>
      </c>
      <c r="AF172" s="82">
        <v>5</v>
      </c>
      <c r="AG172" s="82">
        <v>1</v>
      </c>
      <c r="AH172" s="82">
        <v>1</v>
      </c>
      <c r="AI172" s="82">
        <v>0.99999999998544808</v>
      </c>
      <c r="AJ172" s="166">
        <v>5.1081099999999999</v>
      </c>
      <c r="AK172" s="82" t="str">
        <v>Base</v>
      </c>
      <c r="AL172" s="162">
        <v>-12</v>
      </c>
      <c r="AM172" s="162">
        <v>-2.035380499391489</v>
      </c>
      <c r="AN172" s="162">
        <v>2.8914934307601725E-3</v>
      </c>
      <c r="AO172" s="162">
        <v>1.0406486811228461</v>
      </c>
      <c r="AP172" s="162">
        <v>-15.00253262197829</v>
      </c>
      <c r="AQ172" s="162">
        <v>0</v>
      </c>
      <c r="AR172" s="710" t="str">
        <v>1613 Ripper.par</v>
      </c>
      <c r="AV172" s="82" t="str">
        <v>0,102,204</v>
      </c>
      <c r="AW172" s="947">
        <v>-10.7</v>
      </c>
      <c r="AX172" s="947">
        <v>1.0406486811228461</v>
      </c>
      <c r="AY172" s="947">
        <v>0</v>
      </c>
    </row>
    <row r="173" spans="2:58" x14ac:dyDescent="0.25">
      <c r="B173" s="650">
        <v>2.9705984522385704</v>
      </c>
      <c r="C173" s="651">
        <v>1.6574853323511569</v>
      </c>
      <c r="D173" s="652">
        <v>-0.73150000000000037</v>
      </c>
      <c r="E173" s="653">
        <v>0.25265165150270386</v>
      </c>
      <c r="F173" s="651">
        <v>-0.95958552811591191</v>
      </c>
      <c r="G173" s="654">
        <v>-0.12394659020506718</v>
      </c>
      <c r="H173" s="653">
        <v>0.314</v>
      </c>
      <c r="I173" s="920">
        <v>0.52</v>
      </c>
      <c r="J173" s="924">
        <v>2.1139999999999999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940" t="s">
        <v>424</v>
      </c>
      <c r="M173" s="970">
        <v>-56.3</v>
      </c>
      <c r="N173" s="941" t="s">
        <v>9</v>
      </c>
      <c r="O173" s="942"/>
      <c r="Q173" s="162">
        <f t="shared" si="1059"/>
        <v>2.9705984522385704</v>
      </c>
      <c r="R173" s="162">
        <f t="shared" si="1060"/>
        <v>1.6574853323511569</v>
      </c>
      <c r="S173" s="162">
        <f t="shared" si="1061"/>
        <v>-0.73150000000000037</v>
      </c>
      <c r="T173" s="162">
        <f t="shared" si="1062"/>
        <v>-0.25265165150270386</v>
      </c>
      <c r="U173" s="162">
        <f t="shared" si="1063"/>
        <v>0.95958552811591191</v>
      </c>
      <c r="V173" s="162">
        <f t="shared" si="1064"/>
        <v>0.12394659020506718</v>
      </c>
      <c r="W173" s="162">
        <f>IFERROR(IF(ISNUMBER(MATCH($Z173,Settings!$AK$28:$AK$36,0)),INDEX(Settings!$AO$14:$AO$36,MATCH($Z173,Settings!$AK$14:$AK$36,0))/2,INDEX(Settings!$AM$14:$AM$36,MATCH($Z173,Settings!$AK$14:$AK$36,0))/2),"")</f>
        <v>0.3125</v>
      </c>
      <c r="X173" s="162">
        <f t="shared" si="1065"/>
        <v>0.52</v>
      </c>
      <c r="Y173" s="75">
        <v>2.1139999999999999</v>
      </c>
      <c r="Z173" s="917">
        <f t="shared" si="1066"/>
        <v>1613</v>
      </c>
      <c r="AA173" s="82"/>
      <c r="AB173" s="75"/>
      <c r="AC173" s="166">
        <v>3.1000200000000002</v>
      </c>
      <c r="AD173" s="166">
        <v>-6</v>
      </c>
      <c r="AE173" s="75">
        <v>5.1050000000000004</v>
      </c>
      <c r="AF173" s="82">
        <v>5</v>
      </c>
      <c r="AG173" s="82">
        <v>1</v>
      </c>
      <c r="AH173" s="82">
        <v>1</v>
      </c>
      <c r="AI173" s="82">
        <v>1.0000000000582077</v>
      </c>
      <c r="AJ173" s="166">
        <v>5.1051100000000007</v>
      </c>
      <c r="AK173" s="82" t="str">
        <v>Base</v>
      </c>
      <c r="AL173" s="162">
        <v>-12</v>
      </c>
      <c r="AM173" s="162">
        <v>-1.2810946947675506</v>
      </c>
      <c r="AN173" s="162">
        <v>-0.19502253296493247</v>
      </c>
      <c r="AO173" s="162">
        <v>1.6530871296738316</v>
      </c>
      <c r="AP173" s="162">
        <v>-15.006392172163403</v>
      </c>
      <c r="AQ173" s="162">
        <v>0</v>
      </c>
      <c r="AR173" s="710" t="str">
        <v>1613 Ripper.par</v>
      </c>
      <c r="AV173" s="82" t="str">
        <v>0,102,204</v>
      </c>
      <c r="AW173" s="947">
        <v>-15</v>
      </c>
      <c r="AX173" s="947">
        <v>1.6530871296738316</v>
      </c>
      <c r="AY173" s="947">
        <v>0</v>
      </c>
    </row>
    <row r="174" spans="2:58" x14ac:dyDescent="0.25">
      <c r="B174" s="650">
        <v>3.1841431408358041</v>
      </c>
      <c r="C174" s="651">
        <v>1.7512150820142753</v>
      </c>
      <c r="D174" s="652">
        <v>-1.4418</v>
      </c>
      <c r="E174" s="653">
        <v>0.14655833989744946</v>
      </c>
      <c r="F174" s="651">
        <v>-0.988248036762158</v>
      </c>
      <c r="G174" s="654">
        <v>-4.3433522102683253E-2</v>
      </c>
      <c r="H174" s="653">
        <v>0.314</v>
      </c>
      <c r="I174" s="920">
        <v>0.52</v>
      </c>
      <c r="J174" s="924">
        <v>2.117</v>
      </c>
      <c r="K174" s="790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1613</v>
      </c>
      <c r="L174" s="940" t="s">
        <v>424</v>
      </c>
      <c r="M174" s="970">
        <v>-85</v>
      </c>
      <c r="N174" s="941" t="s">
        <v>9</v>
      </c>
      <c r="O174" s="942"/>
      <c r="Q174" s="162">
        <f t="shared" si="1059"/>
        <v>3.1841431408358041</v>
      </c>
      <c r="R174" s="162">
        <f t="shared" si="1060"/>
        <v>1.7512150820142753</v>
      </c>
      <c r="S174" s="162">
        <f t="shared" si="1061"/>
        <v>-1.4418</v>
      </c>
      <c r="T174" s="162">
        <f t="shared" si="1062"/>
        <v>-0.14655833989744946</v>
      </c>
      <c r="U174" s="162">
        <f t="shared" si="1063"/>
        <v>0.988248036762158</v>
      </c>
      <c r="V174" s="162">
        <f t="shared" si="1064"/>
        <v>4.3433522102683253E-2</v>
      </c>
      <c r="W174" s="162">
        <f>IFERROR(IF(ISNUMBER(MATCH($Z174,Settings!$AK$28:$AK$36,0)),INDEX(Settings!$AO$14:$AO$36,MATCH($Z174,Settings!$AK$14:$AK$36,0))/2,INDEX(Settings!$AM$14:$AM$36,MATCH($Z174,Settings!$AK$14:$AK$36,0))/2),"")</f>
        <v>0.3125</v>
      </c>
      <c r="X174" s="162">
        <f t="shared" si="1065"/>
        <v>0.52</v>
      </c>
      <c r="Y174" s="75">
        <v>2.117</v>
      </c>
      <c r="Z174" s="917">
        <f t="shared" si="1066"/>
        <v>1613</v>
      </c>
      <c r="AA174" s="82"/>
      <c r="AB174" s="75"/>
      <c r="AC174" s="166">
        <v>2.1000200000000002</v>
      </c>
      <c r="AD174" s="166">
        <v>-5.25</v>
      </c>
      <c r="AE174" s="75">
        <v>5.1020000000000003</v>
      </c>
      <c r="AF174" s="82">
        <v>5</v>
      </c>
      <c r="AG174" s="82">
        <v>1</v>
      </c>
      <c r="AH174" s="82">
        <v>1</v>
      </c>
      <c r="AI174" s="82">
        <v>1.0000000000582077</v>
      </c>
      <c r="AJ174" s="166">
        <v>5.1021100000000006</v>
      </c>
      <c r="AK174" s="82" t="str">
        <v>Base</v>
      </c>
      <c r="AL174" s="162">
        <v>-12</v>
      </c>
      <c r="AM174" s="162">
        <v>-0.55195277941349052</v>
      </c>
      <c r="AN174" s="162">
        <v>-0.39219343606141299</v>
      </c>
      <c r="AO174" s="162">
        <v>3.1065909129673352</v>
      </c>
      <c r="AP174" s="162">
        <v>-19.02903738908725</v>
      </c>
      <c r="AQ174" s="162">
        <v>0</v>
      </c>
      <c r="AR174" s="710" t="str">
        <v>1613.par</v>
      </c>
      <c r="AV174" s="82" t="str">
        <v>0,102,204</v>
      </c>
      <c r="AW174" s="947">
        <v>-15</v>
      </c>
      <c r="AX174" s="947">
        <v>3.1065909129673352</v>
      </c>
      <c r="AY174" s="947">
        <v>0</v>
      </c>
    </row>
    <row r="175" spans="2:58" x14ac:dyDescent="0.25">
      <c r="B175" s="650">
        <v>3.3081594560296725</v>
      </c>
      <c r="C175" s="651">
        <v>1.7974125231310174</v>
      </c>
      <c r="D175" s="652">
        <v>-2.0998000000000001</v>
      </c>
      <c r="E175" s="653">
        <v>-1.9302591392406955E-2</v>
      </c>
      <c r="F175" s="651">
        <v>-0.99791532190822962</v>
      </c>
      <c r="G175" s="654">
        <v>-6.1582629582798941E-2</v>
      </c>
      <c r="H175" s="653">
        <v>0.26600000000000001</v>
      </c>
      <c r="I175" s="920">
        <v>0.52</v>
      </c>
      <c r="J175" s="924">
        <v>2.12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40" t="s">
        <v>419</v>
      </c>
      <c r="M175" s="970">
        <v>-85</v>
      </c>
      <c r="N175" s="941" t="s">
        <v>9</v>
      </c>
      <c r="O175" s="942"/>
      <c r="Q175" s="162">
        <f t="shared" si="1059"/>
        <v>3.3081594560296725</v>
      </c>
      <c r="R175" s="162">
        <f t="shared" si="1060"/>
        <v>1.7974125231310174</v>
      </c>
      <c r="S175" s="162">
        <f t="shared" si="1061"/>
        <v>-2.0998000000000001</v>
      </c>
      <c r="T175" s="162">
        <f t="shared" si="1062"/>
        <v>1.9302591392406955E-2</v>
      </c>
      <c r="U175" s="162">
        <f t="shared" si="1063"/>
        <v>0.99791532190822962</v>
      </c>
      <c r="V175" s="162">
        <f t="shared" si="1064"/>
        <v>6.1582629582798941E-2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65"/>
        <v>0.52</v>
      </c>
      <c r="Y175" s="75">
        <v>2.12</v>
      </c>
      <c r="Z175" s="917">
        <f t="shared" si="1066"/>
        <v>1313</v>
      </c>
      <c r="AA175" s="82"/>
      <c r="AB175" s="75"/>
      <c r="AC175" s="166">
        <v>1.10002</v>
      </c>
      <c r="AD175" s="166">
        <v>-4.5</v>
      </c>
      <c r="AE175" s="75">
        <v>4.1189999999999998</v>
      </c>
      <c r="AF175" s="82">
        <v>4</v>
      </c>
      <c r="AG175" s="82">
        <v>1</v>
      </c>
      <c r="AH175" s="82">
        <v>1</v>
      </c>
      <c r="AI175" s="82">
        <v>0.99999999998544808</v>
      </c>
      <c r="AJ175" s="166">
        <v>4.11911</v>
      </c>
      <c r="AK175" s="82" t="str">
        <v>Base</v>
      </c>
      <c r="AL175" s="162">
        <v>-11.25</v>
      </c>
      <c r="AM175" s="162">
        <v>-3.7550353999628232</v>
      </c>
      <c r="AN175" s="162">
        <v>-1.7378223729386189</v>
      </c>
      <c r="AO175" s="162">
        <v>82.827352998197895</v>
      </c>
      <c r="AP175" s="162">
        <v>-29.552119382134194</v>
      </c>
      <c r="AQ175" s="162">
        <v>0</v>
      </c>
      <c r="AR175" s="710" t="str">
        <v>1313.par</v>
      </c>
      <c r="AV175" s="82" t="str">
        <v>0,204,204</v>
      </c>
      <c r="AW175" s="947">
        <v>85</v>
      </c>
      <c r="AX175" s="947">
        <v>82.827352998197895</v>
      </c>
      <c r="AY175" s="947">
        <v>0</v>
      </c>
    </row>
    <row r="176" spans="2:58" x14ac:dyDescent="0.25">
      <c r="B176" s="650">
        <v>0.66458422513313709</v>
      </c>
      <c r="C176" s="651">
        <v>-0.42972243956916201</v>
      </c>
      <c r="D176" s="652">
        <v>-0.4889</v>
      </c>
      <c r="E176" s="653">
        <v>-0.54851387399083507</v>
      </c>
      <c r="F176" s="651">
        <v>-0.78335899581040569</v>
      </c>
      <c r="G176" s="654">
        <v>-0.29237170472273688</v>
      </c>
      <c r="H176" s="653">
        <v>0.314</v>
      </c>
      <c r="I176" s="920">
        <v>0.52</v>
      </c>
      <c r="J176" s="924">
        <v>3.1030000000000002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1613</v>
      </c>
      <c r="L176" s="940" t="s">
        <v>424</v>
      </c>
      <c r="M176" s="970">
        <v>15</v>
      </c>
      <c r="N176" s="941" t="s">
        <v>9</v>
      </c>
      <c r="O176" s="942"/>
      <c r="Q176" s="162">
        <f t="shared" si="1059"/>
        <v>0.66458422513313709</v>
      </c>
      <c r="R176" s="162">
        <f t="shared" si="1060"/>
        <v>-0.42972243956916201</v>
      </c>
      <c r="S176" s="162">
        <f t="shared" si="1061"/>
        <v>-0.4889</v>
      </c>
      <c r="T176" s="162">
        <f t="shared" si="1062"/>
        <v>0.54851387399083507</v>
      </c>
      <c r="U176" s="162">
        <f t="shared" si="1063"/>
        <v>0.78335899581040569</v>
      </c>
      <c r="V176" s="162">
        <f t="shared" si="1064"/>
        <v>0.29237170472273688</v>
      </c>
      <c r="W176" s="162">
        <f>IFERROR(IF(ISNUMBER(MATCH($Z176,Settings!$AK$28:$AK$36,0)),INDEX(Settings!$AO$14:$AO$36,MATCH($Z176,Settings!$AK$14:$AK$36,0))/2,INDEX(Settings!$AM$14:$AM$36,MATCH($Z176,Settings!$AK$14:$AK$36,0))/2),"")</f>
        <v>0.3125</v>
      </c>
      <c r="X176" s="162">
        <f t="shared" si="1065"/>
        <v>0.52</v>
      </c>
      <c r="Y176" s="75">
        <v>3.1030000000000002</v>
      </c>
      <c r="Z176" s="917">
        <f t="shared" si="1066"/>
        <v>1613</v>
      </c>
      <c r="AA176" s="82"/>
      <c r="AB176" s="75"/>
      <c r="AC176" s="166">
        <v>6.1000299999999994</v>
      </c>
      <c r="AD176" s="166">
        <v>-3.75</v>
      </c>
      <c r="AE176" s="75">
        <v>4.1159999999999997</v>
      </c>
      <c r="AF176" s="82">
        <v>4</v>
      </c>
      <c r="AG176" s="82">
        <v>1</v>
      </c>
      <c r="AH176" s="82">
        <v>1</v>
      </c>
      <c r="AI176" s="82">
        <v>0.99999999998544808</v>
      </c>
      <c r="AJ176" s="166">
        <v>4.1161099999999999</v>
      </c>
      <c r="AK176" s="82" t="str">
        <v>Base</v>
      </c>
      <c r="AL176" s="162">
        <v>-11.25</v>
      </c>
      <c r="AM176" s="162">
        <v>-3.5972860989004318</v>
      </c>
      <c r="AN176" s="162">
        <v>-1.0785096987204184</v>
      </c>
      <c r="AO176" s="162">
        <v>74.8753445016591</v>
      </c>
      <c r="AP176" s="162">
        <v>-20.255608840893746</v>
      </c>
      <c r="AQ176" s="162">
        <v>0</v>
      </c>
      <c r="AR176" s="710" t="str">
        <v>1613.par</v>
      </c>
      <c r="AV176" s="82" t="str">
        <v>0,204,204</v>
      </c>
      <c r="AW176" s="947">
        <v>78.400000000000006</v>
      </c>
      <c r="AX176" s="947">
        <v>74.8753445016591</v>
      </c>
      <c r="AY176" s="947">
        <v>0</v>
      </c>
    </row>
    <row r="177" spans="2:51" x14ac:dyDescent="0.25">
      <c r="B177" s="650">
        <v>1.271657805155709</v>
      </c>
      <c r="C177" s="651">
        <v>-0.85479993654892239</v>
      </c>
      <c r="D177" s="652">
        <v>-0.29039999999999999</v>
      </c>
      <c r="E177" s="653">
        <v>-0.55403229322232361</v>
      </c>
      <c r="F177" s="651">
        <v>-0.79124011523622373</v>
      </c>
      <c r="G177" s="654">
        <v>-0.25881904510252074</v>
      </c>
      <c r="H177" s="653">
        <v>0.314</v>
      </c>
      <c r="I177" s="920">
        <v>0.52</v>
      </c>
      <c r="J177" s="924">
        <v>3.1059999999999999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1613</v>
      </c>
      <c r="L177" s="940" t="s">
        <v>423</v>
      </c>
      <c r="M177" s="970">
        <v>15</v>
      </c>
      <c r="N177" s="941" t="s">
        <v>9</v>
      </c>
      <c r="O177" s="942"/>
      <c r="Q177" s="162">
        <f t="shared" si="1059"/>
        <v>1.271657805155709</v>
      </c>
      <c r="R177" s="162">
        <f t="shared" si="1060"/>
        <v>-0.85479993654892239</v>
      </c>
      <c r="S177" s="162">
        <f t="shared" si="1061"/>
        <v>-0.29039999999999999</v>
      </c>
      <c r="T177" s="162">
        <f t="shared" si="1062"/>
        <v>0.55403229322232361</v>
      </c>
      <c r="U177" s="162">
        <f t="shared" si="1063"/>
        <v>0.79124011523622373</v>
      </c>
      <c r="V177" s="162">
        <f t="shared" si="1064"/>
        <v>0.25881904510252074</v>
      </c>
      <c r="W177" s="162">
        <f>IFERROR(IF(ISNUMBER(MATCH($Z177,Settings!$AK$28:$AK$36,0)),INDEX(Settings!$AO$14:$AO$36,MATCH($Z177,Settings!$AK$14:$AK$36,0))/2,INDEX(Settings!$AM$14:$AM$36,MATCH($Z177,Settings!$AK$14:$AK$36,0))/2),"")</f>
        <v>0.3125</v>
      </c>
      <c r="X177" s="162">
        <f t="shared" si="1065"/>
        <v>0.52</v>
      </c>
      <c r="Y177" s="75">
        <v>3.1059999999999999</v>
      </c>
      <c r="Z177" s="917">
        <f t="shared" si="1066"/>
        <v>1613</v>
      </c>
      <c r="AA177" s="82"/>
      <c r="AB177" s="75"/>
      <c r="AC177" s="166">
        <v>5.1000299999999994</v>
      </c>
      <c r="AD177" s="166">
        <v>-3</v>
      </c>
      <c r="AE177" s="75">
        <v>4.1130000000000004</v>
      </c>
      <c r="AF177" s="82">
        <v>4</v>
      </c>
      <c r="AG177" s="82">
        <v>1</v>
      </c>
      <c r="AH177" s="82">
        <v>1</v>
      </c>
      <c r="AI177" s="82">
        <v>1.0000000000582077</v>
      </c>
      <c r="AJ177" s="166">
        <v>4.1131100000000007</v>
      </c>
      <c r="AK177" s="82" t="str">
        <v>Base</v>
      </c>
      <c r="AL177" s="162">
        <v>-11.25</v>
      </c>
      <c r="AM177" s="162">
        <v>-3.2326774847419726</v>
      </c>
      <c r="AN177" s="162">
        <v>-0.40870740916922432</v>
      </c>
      <c r="AO177" s="162">
        <v>53.146616424137292</v>
      </c>
      <c r="AP177" s="162">
        <v>-15.741663259343115</v>
      </c>
      <c r="AQ177" s="162">
        <v>0</v>
      </c>
      <c r="AR177" s="710" t="str">
        <v>1613 Ripper.par</v>
      </c>
      <c r="AV177" s="82" t="str">
        <v>0,204,204</v>
      </c>
      <c r="AW177" s="947">
        <v>45.3</v>
      </c>
      <c r="AX177" s="947">
        <v>53.146616424137292</v>
      </c>
      <c r="AY177" s="947">
        <v>0</v>
      </c>
    </row>
    <row r="178" spans="2:51" x14ac:dyDescent="0.25">
      <c r="B178" s="650">
        <v>1.8931476111310235</v>
      </c>
      <c r="C178" s="651">
        <v>-1.296075656557135</v>
      </c>
      <c r="D178" s="652">
        <v>-0.13729999999999995</v>
      </c>
      <c r="E178" s="653">
        <v>-0.59738279189718546</v>
      </c>
      <c r="F178" s="651">
        <v>-0.75917135532942071</v>
      </c>
      <c r="G178" s="654">
        <v>-0.25844274644960458</v>
      </c>
      <c r="H178" s="653">
        <v>0.314</v>
      </c>
      <c r="I178" s="920">
        <v>0.52</v>
      </c>
      <c r="J178" s="924">
        <v>3.109</v>
      </c>
      <c r="K178" s="790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1613</v>
      </c>
      <c r="L178" s="940" t="s">
        <v>423</v>
      </c>
      <c r="M178" s="970">
        <v>0.4</v>
      </c>
      <c r="N178" s="941" t="s">
        <v>9</v>
      </c>
      <c r="O178" s="942"/>
      <c r="Q178" s="162">
        <f t="shared" si="1059"/>
        <v>1.8931476111310235</v>
      </c>
      <c r="R178" s="162">
        <f t="shared" si="1060"/>
        <v>-1.296075656557135</v>
      </c>
      <c r="S178" s="162">
        <f t="shared" si="1061"/>
        <v>-0.13729999999999995</v>
      </c>
      <c r="T178" s="162">
        <f t="shared" si="1062"/>
        <v>0.59738279189718546</v>
      </c>
      <c r="U178" s="162">
        <f t="shared" si="1063"/>
        <v>0.75917135532942071</v>
      </c>
      <c r="V178" s="162">
        <f t="shared" si="1064"/>
        <v>0.25844274644960458</v>
      </c>
      <c r="W178" s="162">
        <f>IFERROR(IF(ISNUMBER(MATCH($Z178,Settings!$AK$28:$AK$36,0)),INDEX(Settings!$AO$14:$AO$36,MATCH($Z178,Settings!$AK$14:$AK$36,0))/2,INDEX(Settings!$AM$14:$AM$36,MATCH($Z178,Settings!$AK$14:$AK$36,0))/2),"")</f>
        <v>0.3125</v>
      </c>
      <c r="X178" s="162">
        <f t="shared" si="1065"/>
        <v>0.52</v>
      </c>
      <c r="Y178" s="75">
        <v>3.109</v>
      </c>
      <c r="Z178" s="917">
        <f t="shared" si="1066"/>
        <v>1613</v>
      </c>
      <c r="AA178" s="82"/>
      <c r="AB178" s="75"/>
      <c r="AC178" s="166">
        <v>4.1000299999999994</v>
      </c>
      <c r="AD178" s="166">
        <v>-2.25</v>
      </c>
      <c r="AE178" s="75">
        <v>4.1100000000000003</v>
      </c>
      <c r="AF178" s="82">
        <v>4</v>
      </c>
      <c r="AG178" s="82">
        <v>1</v>
      </c>
      <c r="AH178" s="82">
        <v>1</v>
      </c>
      <c r="AI178" s="82">
        <v>1.0000000000582077</v>
      </c>
      <c r="AJ178" s="166">
        <v>4.1101100000000006</v>
      </c>
      <c r="AK178" s="82" t="str">
        <v>Base</v>
      </c>
      <c r="AL178" s="162">
        <v>-11.25</v>
      </c>
      <c r="AM178" s="162">
        <v>-2.5504879830868261</v>
      </c>
      <c r="AN178" s="162">
        <v>-4.3148983467853869E-2</v>
      </c>
      <c r="AO178" s="162">
        <v>22.868586026272375</v>
      </c>
      <c r="AP178" s="162">
        <v>-15.504428125270769</v>
      </c>
      <c r="AQ178" s="162">
        <v>0</v>
      </c>
      <c r="AR178" s="710" t="str">
        <v>1613.par</v>
      </c>
      <c r="AV178" s="82" t="str">
        <v>0,204,204</v>
      </c>
      <c r="AW178" s="947">
        <v>11.6</v>
      </c>
      <c r="AX178" s="947">
        <v>22.868586026272375</v>
      </c>
      <c r="AY178" s="947">
        <v>0</v>
      </c>
    </row>
    <row r="179" spans="2:51" x14ac:dyDescent="0.25">
      <c r="B179" s="650">
        <v>2.4760574781498184</v>
      </c>
      <c r="C179" s="651">
        <v>-1.753919065303106</v>
      </c>
      <c r="D179" s="652">
        <v>-0.36610000000000009</v>
      </c>
      <c r="E179" s="653">
        <v>-0.71458454858824527</v>
      </c>
      <c r="F179" s="651">
        <v>-0.67207787586015122</v>
      </c>
      <c r="G179" s="654">
        <v>-0.1941140172636712</v>
      </c>
      <c r="H179" s="653">
        <v>0.314</v>
      </c>
      <c r="I179" s="920">
        <v>0.52</v>
      </c>
      <c r="J179" s="924">
        <v>3.1120000000000001</v>
      </c>
      <c r="K179" s="790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1613</v>
      </c>
      <c r="L179" s="940" t="s">
        <v>423</v>
      </c>
      <c r="M179" s="970">
        <v>-34.1</v>
      </c>
      <c r="N179" s="941" t="s">
        <v>9</v>
      </c>
      <c r="O179" s="942"/>
      <c r="Q179" s="162">
        <f t="shared" si="1059"/>
        <v>2.4760574781498184</v>
      </c>
      <c r="R179" s="162">
        <f t="shared" si="1060"/>
        <v>-1.753919065303106</v>
      </c>
      <c r="S179" s="162">
        <f t="shared" si="1061"/>
        <v>-0.36610000000000009</v>
      </c>
      <c r="T179" s="162">
        <f t="shared" si="1062"/>
        <v>0.71458454858824527</v>
      </c>
      <c r="U179" s="162">
        <f t="shared" si="1063"/>
        <v>0.67207787586015122</v>
      </c>
      <c r="V179" s="162">
        <f t="shared" si="1064"/>
        <v>0.1941140172636712</v>
      </c>
      <c r="W179" s="162">
        <f>IFERROR(IF(ISNUMBER(MATCH($Z179,Settings!$AK$28:$AK$36,0)),INDEX(Settings!$AO$14:$AO$36,MATCH($Z179,Settings!$AK$14:$AK$36,0))/2,INDEX(Settings!$AM$14:$AM$36,MATCH($Z179,Settings!$AK$14:$AK$36,0))/2),"")</f>
        <v>0.3125</v>
      </c>
      <c r="X179" s="162">
        <f t="shared" si="1065"/>
        <v>0.52</v>
      </c>
      <c r="Y179" s="75">
        <v>3.1120000000000001</v>
      </c>
      <c r="Z179" s="917">
        <f t="shared" si="1066"/>
        <v>1613</v>
      </c>
      <c r="AA179" s="82"/>
      <c r="AB179" s="75"/>
      <c r="AC179" s="166">
        <v>3.1000300000000003</v>
      </c>
      <c r="AD179" s="166">
        <v>-1.5</v>
      </c>
      <c r="AE179" s="75">
        <v>3.1179999999999999</v>
      </c>
      <c r="AF179" s="82">
        <v>3</v>
      </c>
      <c r="AG179" s="82">
        <v>1</v>
      </c>
      <c r="AH179" s="82">
        <v>1</v>
      </c>
      <c r="AI179" s="82">
        <v>0.99999999998544808</v>
      </c>
      <c r="AJ179" s="166">
        <v>3.1181099999999997</v>
      </c>
      <c r="AK179" s="82" t="str">
        <v>Base</v>
      </c>
      <c r="AL179" s="162">
        <v>-10.5</v>
      </c>
      <c r="AM179" s="162">
        <v>-3.7550101584443385</v>
      </c>
      <c r="AN179" s="162">
        <v>-1.5415166166655385</v>
      </c>
      <c r="AO179" s="162">
        <v>82.827289346382216</v>
      </c>
      <c r="AP179" s="162">
        <v>-29.551832610771214</v>
      </c>
      <c r="AQ179" s="162">
        <v>0</v>
      </c>
      <c r="AR179" s="710" t="str">
        <v>1313.par</v>
      </c>
      <c r="AV179" s="82" t="str">
        <v>0,204,0</v>
      </c>
      <c r="AW179" s="947">
        <v>85</v>
      </c>
      <c r="AX179" s="947">
        <v>82.827289346382216</v>
      </c>
      <c r="AY179" s="947">
        <v>0</v>
      </c>
    </row>
    <row r="180" spans="2:51" x14ac:dyDescent="0.25">
      <c r="B180" s="650">
        <v>2.8512048091440381</v>
      </c>
      <c r="C180" s="651">
        <v>-2.0734881502407956</v>
      </c>
      <c r="D180" s="652">
        <v>-0.95810000000000006</v>
      </c>
      <c r="E180" s="653">
        <v>-0.81096051266221358</v>
      </c>
      <c r="F180" s="651">
        <v>-0.56772633304069142</v>
      </c>
      <c r="G180" s="654">
        <v>-0.14152687969007821</v>
      </c>
      <c r="H180" s="653">
        <v>0.314</v>
      </c>
      <c r="I180" s="920">
        <v>0.52</v>
      </c>
      <c r="J180" s="924">
        <v>3.1150000000000002</v>
      </c>
      <c r="K180" s="790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1613</v>
      </c>
      <c r="L180" s="940" t="s">
        <v>424</v>
      </c>
      <c r="M180" s="970">
        <v>-67.400000000000006</v>
      </c>
      <c r="N180" s="941" t="s">
        <v>9</v>
      </c>
      <c r="O180" s="942"/>
      <c r="Q180" s="162">
        <f t="shared" si="1059"/>
        <v>2.8512048091440381</v>
      </c>
      <c r="R180" s="162">
        <f t="shared" si="1060"/>
        <v>-2.0734881502407956</v>
      </c>
      <c r="S180" s="162">
        <f t="shared" si="1061"/>
        <v>-0.95810000000000006</v>
      </c>
      <c r="T180" s="162">
        <f t="shared" si="1062"/>
        <v>0.81096051266221358</v>
      </c>
      <c r="U180" s="162">
        <f t="shared" si="1063"/>
        <v>0.56772633304069142</v>
      </c>
      <c r="V180" s="162">
        <f t="shared" si="1064"/>
        <v>0.14152687969007821</v>
      </c>
      <c r="W180" s="162">
        <f>IFERROR(IF(ISNUMBER(MATCH($Z180,Settings!$AK$28:$AK$36,0)),INDEX(Settings!$AO$14:$AO$36,MATCH($Z180,Settings!$AK$14:$AK$36,0))/2,INDEX(Settings!$AM$14:$AM$36,MATCH($Z180,Settings!$AK$14:$AK$36,0))/2),"")</f>
        <v>0.3125</v>
      </c>
      <c r="X180" s="162">
        <f t="shared" si="1065"/>
        <v>0.52</v>
      </c>
      <c r="Y180" s="75">
        <v>3.1150000000000002</v>
      </c>
      <c r="Z180" s="917">
        <f t="shared" si="1066"/>
        <v>1613</v>
      </c>
      <c r="AA180" s="82"/>
      <c r="AB180" s="75"/>
      <c r="AC180" s="166">
        <v>2.1000300000000003</v>
      </c>
      <c r="AD180" s="166">
        <v>-0.75</v>
      </c>
      <c r="AE180" s="75">
        <v>3.1150000000000002</v>
      </c>
      <c r="AF180" s="82">
        <v>3</v>
      </c>
      <c r="AG180" s="82">
        <v>1</v>
      </c>
      <c r="AH180" s="82">
        <v>1</v>
      </c>
      <c r="AI180" s="82">
        <v>1.0000000000218279</v>
      </c>
      <c r="AJ180" s="166">
        <v>3.11511</v>
      </c>
      <c r="AK180" s="82" t="str">
        <v>Base</v>
      </c>
      <c r="AL180" s="162">
        <v>-10.5</v>
      </c>
      <c r="AM180" s="162">
        <v>-3.5190499191327853</v>
      </c>
      <c r="AN180" s="162">
        <v>-0.87180602370075111</v>
      </c>
      <c r="AO180" s="162">
        <v>65.939425768729748</v>
      </c>
      <c r="AP180" s="162">
        <v>-20.312053536791677</v>
      </c>
      <c r="AQ180" s="162">
        <v>0</v>
      </c>
      <c r="AR180" s="710" t="str">
        <v>1613.par</v>
      </c>
      <c r="AV180" s="82" t="str">
        <v>0,204,0</v>
      </c>
      <c r="AW180" s="947">
        <v>67.400000000000006</v>
      </c>
      <c r="AX180" s="947">
        <v>65.939425768729748</v>
      </c>
      <c r="AY180" s="947">
        <v>0</v>
      </c>
    </row>
    <row r="181" spans="2:51" x14ac:dyDescent="0.25">
      <c r="B181" s="650">
        <v>3.0270053727053452</v>
      </c>
      <c r="C181" s="651">
        <v>-2.2385796759213319</v>
      </c>
      <c r="D181" s="652">
        <v>-1.6296999999999999</v>
      </c>
      <c r="E181" s="653">
        <v>-0.91257605466996394</v>
      </c>
      <c r="F181" s="651">
        <v>-0.40424314982034115</v>
      </c>
      <c r="G181" s="654">
        <v>-6.1582629582798941E-2</v>
      </c>
      <c r="H181" s="653">
        <v>0.26600000000000001</v>
      </c>
      <c r="I181" s="920">
        <v>0.52</v>
      </c>
      <c r="J181" s="924">
        <v>3.1179999999999999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1313</v>
      </c>
      <c r="L181" s="940" t="s">
        <v>419</v>
      </c>
      <c r="M181" s="970">
        <v>-85</v>
      </c>
      <c r="N181" s="941" t="s">
        <v>9</v>
      </c>
      <c r="O181" s="942"/>
      <c r="Q181" s="162">
        <f t="shared" si="1059"/>
        <v>3.0270053727053452</v>
      </c>
      <c r="R181" s="162">
        <f t="shared" si="1060"/>
        <v>-2.2385796759213319</v>
      </c>
      <c r="S181" s="162">
        <f t="shared" si="1061"/>
        <v>-1.6296999999999999</v>
      </c>
      <c r="T181" s="162">
        <f t="shared" si="1062"/>
        <v>0.91257605466996394</v>
      </c>
      <c r="U181" s="162">
        <f t="shared" si="1063"/>
        <v>0.40424314982034115</v>
      </c>
      <c r="V181" s="162">
        <f t="shared" si="1064"/>
        <v>6.1582629582798941E-2</v>
      </c>
      <c r="W181" s="162">
        <f>IFERROR(IF(ISNUMBER(MATCH($Z181,Settings!$AK$28:$AK$36,0)),INDEX(Settings!$AO$14:$AO$36,MATCH($Z181,Settings!$AK$14:$AK$36,0))/2,INDEX(Settings!$AM$14:$AM$36,MATCH($Z181,Settings!$AK$14:$AK$36,0))/2),"")</f>
        <v>0.26450000000000001</v>
      </c>
      <c r="X181" s="162">
        <f t="shared" si="1065"/>
        <v>0.52</v>
      </c>
      <c r="Y181" s="75">
        <v>3.1179999999999999</v>
      </c>
      <c r="Z181" s="917">
        <f t="shared" si="1066"/>
        <v>1313</v>
      </c>
      <c r="AA181" s="82"/>
      <c r="AB181" s="75"/>
      <c r="AC181" s="166">
        <v>1.1000300000000001</v>
      </c>
      <c r="AD181" s="166">
        <v>0</v>
      </c>
      <c r="AE181" s="75">
        <v>3.1120000000000001</v>
      </c>
      <c r="AF181" s="82">
        <v>3</v>
      </c>
      <c r="AG181" s="82">
        <v>1</v>
      </c>
      <c r="AH181" s="82">
        <v>1</v>
      </c>
      <c r="AI181" s="82">
        <v>0.99999999998544808</v>
      </c>
      <c r="AJ181" s="166">
        <v>3.1121099999999999</v>
      </c>
      <c r="AK181" s="82" t="str">
        <v>Base</v>
      </c>
      <c r="AL181" s="162">
        <v>-10.5</v>
      </c>
      <c r="AM181" s="162">
        <v>-3.0304874792706493</v>
      </c>
      <c r="AN181" s="162">
        <v>-0.2813127778135377</v>
      </c>
      <c r="AO181" s="162">
        <v>44.163828655907125</v>
      </c>
      <c r="AP181" s="162">
        <v>-15.699886112498646</v>
      </c>
      <c r="AQ181" s="162">
        <v>0</v>
      </c>
      <c r="AR181" s="710" t="str">
        <v>1613 Ripper.par</v>
      </c>
      <c r="AV181" s="82" t="str">
        <v>0,204,0</v>
      </c>
      <c r="AW181" s="947">
        <v>34.1</v>
      </c>
      <c r="AX181" s="947">
        <v>44.163828655907125</v>
      </c>
      <c r="AY181" s="947">
        <v>0</v>
      </c>
    </row>
    <row r="182" spans="2:51" x14ac:dyDescent="0.25">
      <c r="B182" s="650">
        <v>1.3999999999999967E-2</v>
      </c>
      <c r="C182" s="651">
        <v>-2.5526</v>
      </c>
      <c r="D182" s="652">
        <v>-0.16470000000000001</v>
      </c>
      <c r="E182" s="653">
        <v>-0.96339317828794302</v>
      </c>
      <c r="F182" s="651">
        <v>0.1058728565084552</v>
      </c>
      <c r="G182" s="654">
        <v>-0.24630168956585693</v>
      </c>
      <c r="H182" s="653">
        <v>0.314</v>
      </c>
      <c r="I182" s="920">
        <v>0.52</v>
      </c>
      <c r="J182" s="924">
        <v>4.1100000000000003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40" t="s">
        <v>424</v>
      </c>
      <c r="M182" s="970">
        <v>-11.6</v>
      </c>
      <c r="N182" s="941" t="s">
        <v>9</v>
      </c>
      <c r="O182" s="942"/>
      <c r="Q182" s="162">
        <f t="shared" si="1059"/>
        <v>1.3999999999999967E-2</v>
      </c>
      <c r="R182" s="162">
        <f t="shared" si="1060"/>
        <v>-2.5526</v>
      </c>
      <c r="S182" s="162">
        <f t="shared" si="1061"/>
        <v>-0.16470000000000001</v>
      </c>
      <c r="T182" s="162">
        <f t="shared" si="1062"/>
        <v>0.96339317828794302</v>
      </c>
      <c r="U182" s="162">
        <f t="shared" si="1063"/>
        <v>-0.1058728565084552</v>
      </c>
      <c r="V182" s="162">
        <f t="shared" si="1064"/>
        <v>0.24630168956585693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65"/>
        <v>0.52</v>
      </c>
      <c r="Y182" s="75">
        <v>4.1100000000000003</v>
      </c>
      <c r="Z182" s="917">
        <f t="shared" si="1066"/>
        <v>1613</v>
      </c>
      <c r="AA182" s="82"/>
      <c r="AB182" s="75"/>
      <c r="AC182" s="75"/>
      <c r="AD182" s="166"/>
      <c r="AE182" s="75">
        <v>3.109</v>
      </c>
      <c r="AF182" s="82">
        <v>3</v>
      </c>
      <c r="AG182" s="82">
        <v>1</v>
      </c>
      <c r="AH182" s="82">
        <v>1</v>
      </c>
      <c r="AI182" s="82">
        <v>0.99999999998544808</v>
      </c>
      <c r="AJ182" s="166">
        <v>3.1091099999999998</v>
      </c>
      <c r="AK182" s="82" t="str">
        <v>Base</v>
      </c>
      <c r="AL182" s="162">
        <v>-10.5</v>
      </c>
      <c r="AM182" s="162">
        <v>-2.2931013183645668</v>
      </c>
      <c r="AN182" s="162">
        <v>-5.4353303377389181E-2</v>
      </c>
      <c r="AO182" s="162">
        <v>12.217901912472621</v>
      </c>
      <c r="AP182" s="162">
        <v>-15.333215777859115</v>
      </c>
      <c r="AQ182" s="162">
        <v>0</v>
      </c>
      <c r="AR182" s="710" t="str">
        <v>1613 Ripper.par</v>
      </c>
      <c r="AV182" s="82" t="str">
        <v>0,204,0</v>
      </c>
      <c r="AW182" s="947">
        <v>-0.4</v>
      </c>
      <c r="AX182" s="947">
        <v>12.217901912472621</v>
      </c>
      <c r="AY182" s="947">
        <v>0</v>
      </c>
    </row>
    <row r="183" spans="2:51" x14ac:dyDescent="0.25">
      <c r="B183" s="650">
        <v>-3.3800000000000122E-2</v>
      </c>
      <c r="C183" s="651">
        <v>-3.2368999999999994</v>
      </c>
      <c r="D183" s="652">
        <v>-0.53249999999999997</v>
      </c>
      <c r="E183" s="653">
        <v>-0.95880790980406616</v>
      </c>
      <c r="F183" s="651">
        <v>0.23283115881656075</v>
      </c>
      <c r="G183" s="654">
        <v>-0.16271768060446049</v>
      </c>
      <c r="H183" s="653">
        <v>0.314</v>
      </c>
      <c r="I183" s="920">
        <v>0.52</v>
      </c>
      <c r="J183" s="924">
        <v>4.1130000000000004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40" t="s">
        <v>423</v>
      </c>
      <c r="M183" s="970">
        <v>-45.3</v>
      </c>
      <c r="N183" s="941" t="s">
        <v>9</v>
      </c>
      <c r="O183" s="942"/>
      <c r="Q183" s="162">
        <f t="shared" si="1059"/>
        <v>-3.3800000000000122E-2</v>
      </c>
      <c r="R183" s="162">
        <f t="shared" si="1060"/>
        <v>-3.2368999999999994</v>
      </c>
      <c r="S183" s="162">
        <f t="shared" si="1061"/>
        <v>-0.53249999999999997</v>
      </c>
      <c r="T183" s="162">
        <f t="shared" si="1062"/>
        <v>0.95880790980406616</v>
      </c>
      <c r="U183" s="162">
        <f t="shared" si="1063"/>
        <v>-0.23283115881656075</v>
      </c>
      <c r="V183" s="162">
        <f t="shared" si="1064"/>
        <v>0.16271768060446049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65"/>
        <v>0.52</v>
      </c>
      <c r="Y183" s="75">
        <v>4.1130000000000004</v>
      </c>
      <c r="Z183" s="917">
        <f t="shared" si="1066"/>
        <v>1613</v>
      </c>
      <c r="AA183" s="82"/>
      <c r="AB183" s="75"/>
      <c r="AC183" s="75"/>
      <c r="AD183" s="166"/>
      <c r="AE183" s="75">
        <v>3.1059999999999999</v>
      </c>
      <c r="AF183" s="82">
        <v>3</v>
      </c>
      <c r="AG183" s="82">
        <v>1</v>
      </c>
      <c r="AH183" s="82">
        <v>1</v>
      </c>
      <c r="AI183" s="82">
        <v>0.99999999998544808</v>
      </c>
      <c r="AJ183" s="166">
        <v>3.1061099999999997</v>
      </c>
      <c r="AK183" s="82" t="str">
        <v>Base</v>
      </c>
      <c r="AL183" s="162">
        <v>-10.5</v>
      </c>
      <c r="AM183" s="162">
        <v>-1.5320059433405635</v>
      </c>
      <c r="AN183" s="162">
        <v>-0.2076321246105321</v>
      </c>
      <c r="AO183" s="162">
        <v>1.3764147040654124</v>
      </c>
      <c r="AP183" s="162">
        <v>-15.004431057378628</v>
      </c>
      <c r="AQ183" s="162">
        <v>0</v>
      </c>
      <c r="AR183" s="710" t="str">
        <v>1613 Ripper.par</v>
      </c>
      <c r="AV183" s="82" t="str">
        <v>0,204,0</v>
      </c>
      <c r="AW183" s="947">
        <v>-15</v>
      </c>
      <c r="AX183" s="947">
        <v>1.3764147040654124</v>
      </c>
      <c r="AY183" s="947">
        <v>0</v>
      </c>
    </row>
    <row r="184" spans="2:51" x14ac:dyDescent="0.25">
      <c r="B184" s="650">
        <v>-7.2000000000000064E-2</v>
      </c>
      <c r="C184" s="651">
        <v>-3.6032999999999999</v>
      </c>
      <c r="D184" s="652">
        <v>-1.2041000000000002</v>
      </c>
      <c r="E184" s="653">
        <v>-0.92944350671006348</v>
      </c>
      <c r="F184" s="651">
        <v>0.35773558925588733</v>
      </c>
      <c r="G184" s="654">
        <v>-9.0332806965372658E-2</v>
      </c>
      <c r="H184" s="653">
        <v>0.314</v>
      </c>
      <c r="I184" s="920">
        <v>0.52</v>
      </c>
      <c r="J184" s="924">
        <v>4.1159999999999997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40" t="s">
        <v>424</v>
      </c>
      <c r="M184" s="970">
        <v>-78.400000000000006</v>
      </c>
      <c r="N184" s="941" t="s">
        <v>9</v>
      </c>
      <c r="O184" s="942"/>
      <c r="Q184" s="162">
        <f t="shared" si="1059"/>
        <v>-7.2000000000000064E-2</v>
      </c>
      <c r="R184" s="162">
        <f t="shared" si="1060"/>
        <v>-3.6032999999999999</v>
      </c>
      <c r="S184" s="162">
        <f t="shared" si="1061"/>
        <v>-1.2041000000000002</v>
      </c>
      <c r="T184" s="162">
        <f t="shared" si="1062"/>
        <v>0.92944350671006348</v>
      </c>
      <c r="U184" s="162">
        <f t="shared" si="1063"/>
        <v>-0.35773558925588733</v>
      </c>
      <c r="V184" s="162">
        <f t="shared" si="1064"/>
        <v>9.0332806965372658E-2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65"/>
        <v>0.52</v>
      </c>
      <c r="Y184" s="75">
        <v>4.1159999999999997</v>
      </c>
      <c r="Z184" s="917">
        <f t="shared" si="1066"/>
        <v>1613</v>
      </c>
      <c r="AA184" s="82"/>
      <c r="AB184" s="75"/>
      <c r="AC184" s="75"/>
      <c r="AD184" s="166"/>
      <c r="AE184" s="75">
        <v>3.1030000000000002</v>
      </c>
      <c r="AF184" s="82">
        <v>3</v>
      </c>
      <c r="AG184" s="82">
        <v>1</v>
      </c>
      <c r="AH184" s="82">
        <v>1</v>
      </c>
      <c r="AI184" s="82">
        <v>0.99999999998544808</v>
      </c>
      <c r="AJ184" s="166">
        <v>3.10311</v>
      </c>
      <c r="AK184" s="82" t="str">
        <v>Base</v>
      </c>
      <c r="AL184" s="162">
        <v>-10.5</v>
      </c>
      <c r="AM184" s="162">
        <v>-0.7909381174986323</v>
      </c>
      <c r="AN184" s="162">
        <v>-0.40705288450309429</v>
      </c>
      <c r="AO184" s="162">
        <v>2.3812503284625786</v>
      </c>
      <c r="AP184" s="162">
        <v>-17.015140029473987</v>
      </c>
      <c r="AQ184" s="162">
        <v>0</v>
      </c>
      <c r="AR184" s="710" t="str">
        <v>1613.par</v>
      </c>
      <c r="AV184" s="82" t="str">
        <v>0,204,0</v>
      </c>
      <c r="AW184" s="947">
        <v>-15</v>
      </c>
      <c r="AX184" s="947">
        <v>2.3812503284625786</v>
      </c>
      <c r="AY184" s="947">
        <v>0</v>
      </c>
    </row>
    <row r="185" spans="2:51" x14ac:dyDescent="0.25">
      <c r="B185" s="650">
        <v>-9.7500000000000211E-2</v>
      </c>
      <c r="C185" s="651">
        <v>-3.7636000000000003</v>
      </c>
      <c r="D185" s="652">
        <v>-1.8642000000000003</v>
      </c>
      <c r="E185" s="653">
        <v>-0.85456872390204919</v>
      </c>
      <c r="F185" s="651">
        <v>0.51567419545881021</v>
      </c>
      <c r="G185" s="654">
        <v>-6.1582629582798941E-2</v>
      </c>
      <c r="H185" s="653">
        <v>0.26600000000000001</v>
      </c>
      <c r="I185" s="920">
        <v>0.52</v>
      </c>
      <c r="J185" s="924">
        <v>4.1189999999999998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1313</v>
      </c>
      <c r="L185" s="940" t="s">
        <v>419</v>
      </c>
      <c r="M185" s="970">
        <v>-85</v>
      </c>
      <c r="N185" s="941" t="s">
        <v>9</v>
      </c>
      <c r="O185" s="942"/>
      <c r="Q185" s="162">
        <f t="shared" si="1059"/>
        <v>-9.7500000000000211E-2</v>
      </c>
      <c r="R185" s="162">
        <f t="shared" si="1060"/>
        <v>-3.7636000000000003</v>
      </c>
      <c r="S185" s="162">
        <f t="shared" si="1061"/>
        <v>-1.8642000000000003</v>
      </c>
      <c r="T185" s="162">
        <f t="shared" si="1062"/>
        <v>0.85456872390204919</v>
      </c>
      <c r="U185" s="162">
        <f t="shared" si="1063"/>
        <v>-0.51567419545881021</v>
      </c>
      <c r="V185" s="162">
        <f t="shared" si="1064"/>
        <v>6.1582629582798941E-2</v>
      </c>
      <c r="W185" s="162">
        <f>IFERROR(IF(ISNUMBER(MATCH($Z185,Settings!$AK$28:$AK$36,0)),INDEX(Settings!$AO$14:$AO$36,MATCH($Z185,Settings!$AK$14:$AK$36,0))/2,INDEX(Settings!$AM$14:$AM$36,MATCH($Z185,Settings!$AK$14:$AK$36,0))/2),"")</f>
        <v>0.26450000000000001</v>
      </c>
      <c r="X185" s="162">
        <f t="shared" si="1065"/>
        <v>0.52</v>
      </c>
      <c r="Y185" s="75">
        <v>4.1189999999999998</v>
      </c>
      <c r="Z185" s="917">
        <f t="shared" si="1066"/>
        <v>1313</v>
      </c>
      <c r="AA185" s="82"/>
      <c r="AB185" s="75"/>
      <c r="AC185" s="75"/>
      <c r="AD185" s="166"/>
      <c r="AE185" s="75">
        <v>2.12</v>
      </c>
      <c r="AF185" s="82">
        <v>2</v>
      </c>
      <c r="AG185" s="82">
        <v>1</v>
      </c>
      <c r="AH185" s="82">
        <v>1</v>
      </c>
      <c r="AI185" s="82">
        <v>0.99999999998544808</v>
      </c>
      <c r="AJ185" s="166">
        <v>2.1201099999999999</v>
      </c>
      <c r="AK185" s="82" t="str">
        <v>Base</v>
      </c>
      <c r="AL185" s="162">
        <v>-9.75</v>
      </c>
      <c r="AM185" s="162">
        <v>-3.755090995699589</v>
      </c>
      <c r="AN185" s="162">
        <v>-2.0567559911674027</v>
      </c>
      <c r="AO185" s="162">
        <v>82.827443342392854</v>
      </c>
      <c r="AP185" s="162">
        <v>-29.552526421184567</v>
      </c>
      <c r="AQ185" s="162">
        <v>0</v>
      </c>
      <c r="AR185" s="710" t="str">
        <v>1313.par</v>
      </c>
      <c r="AV185" s="82" t="str">
        <v>204,204,0</v>
      </c>
      <c r="AW185" s="947">
        <v>85</v>
      </c>
      <c r="AX185" s="947">
        <v>82.827443342392854</v>
      </c>
      <c r="AY185" s="947">
        <v>0</v>
      </c>
    </row>
    <row r="186" spans="2:51" x14ac:dyDescent="0.25">
      <c r="B186" s="650">
        <v>-0.46330906415481299</v>
      </c>
      <c r="C186" s="651">
        <v>-0.30123794179050634</v>
      </c>
      <c r="D186" s="652">
        <v>-0.55299999999999994</v>
      </c>
      <c r="E186" s="653">
        <v>-0.47275928779965803</v>
      </c>
      <c r="F186" s="651">
        <v>0.81884310621908585</v>
      </c>
      <c r="G186" s="654">
        <v>-0.3255681544571567</v>
      </c>
      <c r="H186" s="653">
        <v>0.314</v>
      </c>
      <c r="I186" s="920">
        <v>0.52</v>
      </c>
      <c r="J186" s="924">
        <v>5.1020000000000003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40" t="s">
        <v>424</v>
      </c>
      <c r="M186" s="970">
        <v>15</v>
      </c>
      <c r="N186" s="941" t="s">
        <v>9</v>
      </c>
      <c r="O186" s="942"/>
      <c r="Q186" s="162">
        <f t="shared" si="1059"/>
        <v>-0.46330906415481299</v>
      </c>
      <c r="R186" s="162">
        <f t="shared" si="1060"/>
        <v>-0.30123794179050634</v>
      </c>
      <c r="S186" s="162">
        <f t="shared" si="1061"/>
        <v>-0.55299999999999994</v>
      </c>
      <c r="T186" s="162">
        <f t="shared" si="1062"/>
        <v>0.47275928779965803</v>
      </c>
      <c r="U186" s="162">
        <f t="shared" si="1063"/>
        <v>-0.81884310621908585</v>
      </c>
      <c r="V186" s="162">
        <f t="shared" si="1064"/>
        <v>0.3255681544571567</v>
      </c>
      <c r="W186" s="162">
        <f>IFERROR(IF(ISNUMBER(MATCH($Z186,Settings!$AK$28:$AK$36,0)),INDEX(Settings!$AO$14:$AO$36,MATCH($Z186,Settings!$AK$14:$AK$36,0))/2,INDEX(Settings!$AM$14:$AM$36,MATCH($Z186,Settings!$AK$14:$AK$36,0))/2),"")</f>
        <v>0.3125</v>
      </c>
      <c r="X186" s="162">
        <f t="shared" si="1065"/>
        <v>0.52</v>
      </c>
      <c r="Y186" s="75">
        <v>5.1020000000000003</v>
      </c>
      <c r="Z186" s="917">
        <f t="shared" si="1066"/>
        <v>1613</v>
      </c>
      <c r="AA186" s="82"/>
      <c r="AB186" s="75"/>
      <c r="AC186" s="75"/>
      <c r="AD186" s="166"/>
      <c r="AE186" s="75">
        <v>2.117</v>
      </c>
      <c r="AF186" s="82">
        <v>2</v>
      </c>
      <c r="AG186" s="82">
        <v>1</v>
      </c>
      <c r="AH186" s="82">
        <v>1</v>
      </c>
      <c r="AI186" s="82">
        <v>0.99999999998544808</v>
      </c>
      <c r="AJ186" s="166">
        <v>2.1171099999999998</v>
      </c>
      <c r="AK186" s="82" t="str">
        <v>Base</v>
      </c>
      <c r="AL186" s="162">
        <v>-9.75</v>
      </c>
      <c r="AM186" s="162">
        <v>-3.6270321427933805</v>
      </c>
      <c r="AN186" s="162">
        <v>-1.3985752045163014</v>
      </c>
      <c r="AO186" s="162">
        <v>82.78278340687632</v>
      </c>
      <c r="AP186" s="162">
        <v>-20.225876694233467</v>
      </c>
      <c r="AQ186" s="162">
        <v>0</v>
      </c>
      <c r="AR186" s="710" t="str">
        <v>1613.par</v>
      </c>
      <c r="AV186" s="82" t="str">
        <v>204,204,0</v>
      </c>
      <c r="AW186" s="947">
        <v>85</v>
      </c>
      <c r="AX186" s="947">
        <v>82.78278340687632</v>
      </c>
      <c r="AY186" s="947">
        <v>0</v>
      </c>
    </row>
    <row r="187" spans="2:51" x14ac:dyDescent="0.25">
      <c r="B187" s="650">
        <v>-1.0948147885944259</v>
      </c>
      <c r="C187" s="651">
        <v>-0.66583794179050604</v>
      </c>
      <c r="D187" s="652">
        <v>-0.35760000000000003</v>
      </c>
      <c r="E187" s="653">
        <v>-0.48296291314453382</v>
      </c>
      <c r="F187" s="651">
        <v>0.83651630373780828</v>
      </c>
      <c r="G187" s="654">
        <v>-0.25881904510252074</v>
      </c>
      <c r="H187" s="653">
        <v>0.314</v>
      </c>
      <c r="I187" s="920">
        <v>0.52</v>
      </c>
      <c r="J187" s="924">
        <v>5.1050000000000004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940" t="s">
        <v>423</v>
      </c>
      <c r="M187" s="970">
        <v>15</v>
      </c>
      <c r="N187" s="941" t="s">
        <v>9</v>
      </c>
      <c r="O187" s="942"/>
      <c r="Q187" s="162">
        <f t="shared" si="1059"/>
        <v>-1.0948147885944259</v>
      </c>
      <c r="R187" s="162">
        <f t="shared" si="1060"/>
        <v>-0.66583794179050604</v>
      </c>
      <c r="S187" s="162">
        <f t="shared" si="1061"/>
        <v>-0.35760000000000003</v>
      </c>
      <c r="T187" s="162">
        <f t="shared" si="1062"/>
        <v>0.48296291314453382</v>
      </c>
      <c r="U187" s="162">
        <f t="shared" si="1063"/>
        <v>-0.83651630373780828</v>
      </c>
      <c r="V187" s="162">
        <f t="shared" si="1064"/>
        <v>0.25881904510252074</v>
      </c>
      <c r="W187" s="162">
        <f>IFERROR(IF(ISNUMBER(MATCH($Z187,Settings!$AK$28:$AK$36,0)),INDEX(Settings!$AO$14:$AO$36,MATCH($Z187,Settings!$AK$14:$AK$36,0))/2,INDEX(Settings!$AM$14:$AM$36,MATCH($Z187,Settings!$AK$14:$AK$36,0))/2),"")</f>
        <v>0.3125</v>
      </c>
      <c r="X187" s="162">
        <f t="shared" si="1065"/>
        <v>0.52</v>
      </c>
      <c r="Y187" s="75">
        <v>5.1050000000000004</v>
      </c>
      <c r="Z187" s="917">
        <f t="shared" si="1066"/>
        <v>1613</v>
      </c>
      <c r="AA187" s="82"/>
      <c r="AB187" s="75"/>
      <c r="AC187" s="75"/>
      <c r="AD187" s="166"/>
      <c r="AE187" s="75">
        <v>2.1139999999999999</v>
      </c>
      <c r="AF187" s="82">
        <v>2</v>
      </c>
      <c r="AG187" s="82">
        <v>1</v>
      </c>
      <c r="AH187" s="82">
        <v>1</v>
      </c>
      <c r="AI187" s="82">
        <v>0.99999999998544808</v>
      </c>
      <c r="AJ187" s="166">
        <v>2.1141099999999997</v>
      </c>
      <c r="AK187" s="82" t="str">
        <v>Base</v>
      </c>
      <c r="AL187" s="162">
        <v>-9.75</v>
      </c>
      <c r="AM187" s="162">
        <v>-3.3968379050192197</v>
      </c>
      <c r="AN187" s="162">
        <v>-0.69010885533303057</v>
      </c>
      <c r="AO187" s="162">
        <v>62.82984398771481</v>
      </c>
      <c r="AP187" s="162">
        <v>-15.749673008190417</v>
      </c>
      <c r="AQ187" s="162">
        <v>0</v>
      </c>
      <c r="AR187" s="710" t="str">
        <v>1613.par</v>
      </c>
      <c r="AV187" s="82" t="str">
        <v>204,204,0</v>
      </c>
      <c r="AW187" s="947">
        <v>56.3</v>
      </c>
      <c r="AX187" s="947">
        <v>62.82984398771481</v>
      </c>
      <c r="AY187" s="947">
        <v>0</v>
      </c>
    </row>
    <row r="188" spans="2:51" x14ac:dyDescent="0.25">
      <c r="B188" s="650">
        <v>-1.7480577506690282</v>
      </c>
      <c r="C188" s="651">
        <v>-1.0429879417905059</v>
      </c>
      <c r="D188" s="652">
        <v>-0.1598</v>
      </c>
      <c r="E188" s="653">
        <v>-0.48296291314453366</v>
      </c>
      <c r="F188" s="651">
        <v>0.83651630373780828</v>
      </c>
      <c r="G188" s="654">
        <v>-0.25881904510252079</v>
      </c>
      <c r="H188" s="653">
        <v>0.314</v>
      </c>
      <c r="I188" s="920">
        <v>0.52</v>
      </c>
      <c r="J188" s="924">
        <v>5.1079999999999997</v>
      </c>
      <c r="K188" s="790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1613</v>
      </c>
      <c r="L188" s="940" t="s">
        <v>423</v>
      </c>
      <c r="M188" s="970">
        <v>10.7</v>
      </c>
      <c r="N188" s="941" t="s">
        <v>9</v>
      </c>
      <c r="O188" s="942"/>
      <c r="Q188" s="162">
        <f t="shared" si="1059"/>
        <v>-1.7480577506690282</v>
      </c>
      <c r="R188" s="162">
        <f t="shared" si="1060"/>
        <v>-1.0429879417905059</v>
      </c>
      <c r="S188" s="162">
        <f t="shared" si="1061"/>
        <v>-0.1598</v>
      </c>
      <c r="T188" s="162">
        <f t="shared" si="1062"/>
        <v>0.48296291314453366</v>
      </c>
      <c r="U188" s="162">
        <f t="shared" si="1063"/>
        <v>-0.83651630373780828</v>
      </c>
      <c r="V188" s="162">
        <f t="shared" si="1064"/>
        <v>0.25881904510252079</v>
      </c>
      <c r="W188" s="162">
        <f>IFERROR(IF(ISNUMBER(MATCH($Z188,Settings!$AK$28:$AK$36,0)),INDEX(Settings!$AO$14:$AO$36,MATCH($Z188,Settings!$AK$14:$AK$36,0))/2,INDEX(Settings!$AM$14:$AM$36,MATCH($Z188,Settings!$AK$14:$AK$36,0))/2),"")</f>
        <v>0.3125</v>
      </c>
      <c r="X188" s="162">
        <f t="shared" si="1065"/>
        <v>0.52</v>
      </c>
      <c r="Y188" s="75">
        <v>5.1079999999999997</v>
      </c>
      <c r="Z188" s="917">
        <f t="shared" si="1066"/>
        <v>1613</v>
      </c>
      <c r="AA188" s="82"/>
      <c r="AB188" s="75"/>
      <c r="AC188" s="75"/>
      <c r="AD188" s="166"/>
      <c r="AE188" s="75">
        <v>2.1110000000000002</v>
      </c>
      <c r="AF188" s="82">
        <v>2</v>
      </c>
      <c r="AG188" s="82">
        <v>1</v>
      </c>
      <c r="AH188" s="82">
        <v>1</v>
      </c>
      <c r="AI188" s="82">
        <v>1.0000000000218279</v>
      </c>
      <c r="AJ188" s="166">
        <v>2.11111</v>
      </c>
      <c r="AK188" s="82" t="str">
        <v>Base</v>
      </c>
      <c r="AL188" s="162">
        <v>-9.75</v>
      </c>
      <c r="AM188" s="162">
        <v>-2.8002517471357606</v>
      </c>
      <c r="AN188" s="162">
        <v>-0.20318304082988992</v>
      </c>
      <c r="AO188" s="162">
        <v>33.042046168720674</v>
      </c>
      <c r="AP188" s="162">
        <v>-15.632095004852555</v>
      </c>
      <c r="AQ188" s="162">
        <v>0</v>
      </c>
      <c r="AR188" s="710" t="str">
        <v>1613 Ripper.par</v>
      </c>
      <c r="AV188" s="82" t="str">
        <v>204,204,0</v>
      </c>
      <c r="AW188" s="947">
        <v>22.8</v>
      </c>
      <c r="AX188" s="947">
        <v>33.042046168720674</v>
      </c>
      <c r="AY188" s="947">
        <v>0</v>
      </c>
    </row>
    <row r="189" spans="2:51" x14ac:dyDescent="0.25">
      <c r="B189" s="650">
        <v>-2.4276786582350987</v>
      </c>
      <c r="C189" s="651">
        <v>-1.4016500000000001</v>
      </c>
      <c r="D189" s="652">
        <v>-0.24199999999999997</v>
      </c>
      <c r="E189" s="653">
        <v>-0.34803108954422457</v>
      </c>
      <c r="F189" s="651">
        <v>0.90986409006369029</v>
      </c>
      <c r="G189" s="654">
        <v>-0.22587983159908892</v>
      </c>
      <c r="H189" s="653">
        <v>0.314</v>
      </c>
      <c r="I189" s="920">
        <v>0.52</v>
      </c>
      <c r="J189" s="924">
        <v>5.1109999999999998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1613</v>
      </c>
      <c r="L189" s="940" t="s">
        <v>423</v>
      </c>
      <c r="M189" s="970">
        <v>-22.8</v>
      </c>
      <c r="N189" s="941" t="s">
        <v>9</v>
      </c>
      <c r="O189" s="942"/>
      <c r="Q189" s="162">
        <f t="shared" si="1059"/>
        <v>-2.4276786582350987</v>
      </c>
      <c r="R189" s="162">
        <f t="shared" si="1060"/>
        <v>-1.4016500000000001</v>
      </c>
      <c r="S189" s="162">
        <f t="shared" si="1061"/>
        <v>-0.24199999999999997</v>
      </c>
      <c r="T189" s="162">
        <f t="shared" si="1062"/>
        <v>0.34803108954422457</v>
      </c>
      <c r="U189" s="162">
        <f t="shared" si="1063"/>
        <v>-0.90986409006369029</v>
      </c>
      <c r="V189" s="162">
        <f t="shared" si="1064"/>
        <v>0.22587983159908892</v>
      </c>
      <c r="W189" s="162">
        <f>IFERROR(IF(ISNUMBER(MATCH($Z189,Settings!$AK$28:$AK$36,0)),INDEX(Settings!$AO$14:$AO$36,MATCH($Z189,Settings!$AK$14:$AK$36,0))/2,INDEX(Settings!$AM$14:$AM$36,MATCH($Z189,Settings!$AK$14:$AK$36,0))/2),"")</f>
        <v>0.3125</v>
      </c>
      <c r="X189" s="162">
        <f t="shared" si="1065"/>
        <v>0.52</v>
      </c>
      <c r="Y189" s="75">
        <v>5.1109999999999998</v>
      </c>
      <c r="Z189" s="917">
        <f t="shared" si="1066"/>
        <v>1613</v>
      </c>
      <c r="AA189" s="82"/>
      <c r="AB189" s="75"/>
      <c r="AC189" s="75"/>
      <c r="AD189" s="166"/>
      <c r="AE189" s="75">
        <v>2.1080000000000001</v>
      </c>
      <c r="AF189" s="82">
        <v>2</v>
      </c>
      <c r="AG189" s="82">
        <v>1</v>
      </c>
      <c r="AH189" s="82">
        <v>1</v>
      </c>
      <c r="AI189" s="82">
        <v>0.99999999998544808</v>
      </c>
      <c r="AJ189" s="166">
        <v>2.1081099999999999</v>
      </c>
      <c r="AK189" s="82" t="str">
        <v>Base</v>
      </c>
      <c r="AL189" s="162">
        <v>-9.75</v>
      </c>
      <c r="AM189" s="162">
        <v>-2.035380499391489</v>
      </c>
      <c r="AN189" s="162">
        <v>-0.12210850656923984</v>
      </c>
      <c r="AO189" s="162">
        <v>1.0406486811226867</v>
      </c>
      <c r="AP189" s="162">
        <v>-15.002532621978315</v>
      </c>
      <c r="AQ189" s="162">
        <v>0</v>
      </c>
      <c r="AR189" s="710" t="str">
        <v>1613.par</v>
      </c>
      <c r="AV189" s="82" t="str">
        <v>204,204,0</v>
      </c>
      <c r="AW189" s="947">
        <v>-10.7</v>
      </c>
      <c r="AX189" s="947">
        <v>1.0406486811226867</v>
      </c>
      <c r="AY189" s="947">
        <v>0</v>
      </c>
    </row>
    <row r="190" spans="2:51" x14ac:dyDescent="0.25">
      <c r="B190" s="650">
        <v>-2.9705984522385713</v>
      </c>
      <c r="C190" s="651">
        <v>-1.6574853323511565</v>
      </c>
      <c r="D190" s="652">
        <v>-0.73150000000000015</v>
      </c>
      <c r="E190" s="653">
        <v>-0.25265165150270341</v>
      </c>
      <c r="F190" s="651">
        <v>0.95958552811591202</v>
      </c>
      <c r="G190" s="654">
        <v>-0.12394659020506731</v>
      </c>
      <c r="H190" s="653">
        <v>0.314</v>
      </c>
      <c r="I190" s="920">
        <v>0.52</v>
      </c>
      <c r="J190" s="924">
        <v>5.1139999999999999</v>
      </c>
      <c r="K190" s="790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1613</v>
      </c>
      <c r="L190" s="940" t="s">
        <v>423</v>
      </c>
      <c r="M190" s="970">
        <v>-56.3</v>
      </c>
      <c r="N190" s="941" t="s">
        <v>9</v>
      </c>
      <c r="O190" s="942"/>
      <c r="Q190" s="162">
        <f t="shared" si="1059"/>
        <v>-2.9705984522385713</v>
      </c>
      <c r="R190" s="162">
        <f t="shared" si="1060"/>
        <v>-1.6574853323511565</v>
      </c>
      <c r="S190" s="162">
        <f t="shared" si="1061"/>
        <v>-0.73150000000000015</v>
      </c>
      <c r="T190" s="162">
        <f t="shared" si="1062"/>
        <v>0.25265165150270341</v>
      </c>
      <c r="U190" s="162">
        <f t="shared" si="1063"/>
        <v>-0.95958552811591202</v>
      </c>
      <c r="V190" s="162">
        <f t="shared" si="1064"/>
        <v>0.12394659020506731</v>
      </c>
      <c r="W190" s="162">
        <f>IFERROR(IF(ISNUMBER(MATCH($Z190,Settings!$AK$28:$AK$36,0)),INDEX(Settings!$AO$14:$AO$36,MATCH($Z190,Settings!$AK$14:$AK$36,0))/2,INDEX(Settings!$AM$14:$AM$36,MATCH($Z190,Settings!$AK$14:$AK$36,0))/2),"")</f>
        <v>0.3125</v>
      </c>
      <c r="X190" s="162">
        <f t="shared" si="1065"/>
        <v>0.52</v>
      </c>
      <c r="Y190" s="75">
        <v>5.1139999999999999</v>
      </c>
      <c r="Z190" s="917">
        <f t="shared" si="1066"/>
        <v>1613</v>
      </c>
      <c r="AA190" s="82"/>
      <c r="AB190" s="75"/>
      <c r="AC190" s="75"/>
      <c r="AD190" s="166"/>
      <c r="AE190" s="75">
        <v>1.119</v>
      </c>
      <c r="AF190" s="82">
        <v>1</v>
      </c>
      <c r="AG190" s="82">
        <v>1</v>
      </c>
      <c r="AH190" s="82">
        <v>1</v>
      </c>
      <c r="AI190" s="82">
        <v>1.000000000003638</v>
      </c>
      <c r="AJ190" s="166">
        <v>1.11911</v>
      </c>
      <c r="AK190" s="82" t="str">
        <v>Base</v>
      </c>
      <c r="AL190" s="162">
        <v>-9</v>
      </c>
      <c r="AM190" s="162">
        <v>-3.7550353999628232</v>
      </c>
      <c r="AN190" s="162">
        <v>-1.8628223729431663</v>
      </c>
      <c r="AO190" s="162">
        <v>82.827352998197881</v>
      </c>
      <c r="AP190" s="162">
        <v>-29.552119382134169</v>
      </c>
      <c r="AQ190" s="162">
        <v>0</v>
      </c>
      <c r="AR190" s="710" t="str">
        <v>1313.par</v>
      </c>
      <c r="AV190" s="82" t="str">
        <v>255,127,0</v>
      </c>
      <c r="AW190" s="947">
        <v>85</v>
      </c>
      <c r="AX190" s="947">
        <v>82.827352998197881</v>
      </c>
      <c r="AY190" s="947">
        <v>0</v>
      </c>
    </row>
    <row r="191" spans="2:51" x14ac:dyDescent="0.25">
      <c r="B191" s="650">
        <v>-3.1841431408358036</v>
      </c>
      <c r="C191" s="651">
        <v>-1.7512150820142742</v>
      </c>
      <c r="D191" s="652">
        <v>-1.4417999999999995</v>
      </c>
      <c r="E191" s="653">
        <v>-0.14655833989744854</v>
      </c>
      <c r="F191" s="651">
        <v>0.98824803676215811</v>
      </c>
      <c r="G191" s="654">
        <v>-4.3433522102683489E-2</v>
      </c>
      <c r="H191" s="653">
        <v>0.314</v>
      </c>
      <c r="I191" s="920">
        <v>0.52</v>
      </c>
      <c r="J191" s="924">
        <v>5.117</v>
      </c>
      <c r="K191" s="790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1613</v>
      </c>
      <c r="L191" s="940" t="s">
        <v>424</v>
      </c>
      <c r="M191" s="970">
        <v>-85</v>
      </c>
      <c r="N191" s="941" t="s">
        <v>9</v>
      </c>
      <c r="O191" s="942"/>
      <c r="Q191" s="162">
        <f t="shared" si="1059"/>
        <v>-3.1841431408358036</v>
      </c>
      <c r="R191" s="162">
        <f t="shared" si="1060"/>
        <v>-1.7512150820142742</v>
      </c>
      <c r="S191" s="162">
        <f t="shared" si="1061"/>
        <v>-1.4417999999999995</v>
      </c>
      <c r="T191" s="162">
        <f t="shared" si="1062"/>
        <v>0.14655833989744854</v>
      </c>
      <c r="U191" s="162">
        <f t="shared" si="1063"/>
        <v>-0.98824803676215811</v>
      </c>
      <c r="V191" s="162">
        <f t="shared" si="1064"/>
        <v>4.3433522102683489E-2</v>
      </c>
      <c r="W191" s="162">
        <f>IFERROR(IF(ISNUMBER(MATCH($Z191,Settings!$AK$28:$AK$36,0)),INDEX(Settings!$AO$14:$AO$36,MATCH($Z191,Settings!$AK$14:$AK$36,0))/2,INDEX(Settings!$AM$14:$AM$36,MATCH($Z191,Settings!$AK$14:$AK$36,0))/2),"")</f>
        <v>0.3125</v>
      </c>
      <c r="X191" s="162">
        <f t="shared" si="1065"/>
        <v>0.52</v>
      </c>
      <c r="Y191" s="75">
        <v>5.117</v>
      </c>
      <c r="Z191" s="917">
        <f t="shared" si="1066"/>
        <v>1613</v>
      </c>
      <c r="AA191" s="82"/>
      <c r="AB191" s="75"/>
      <c r="AC191" s="75"/>
      <c r="AD191" s="166"/>
      <c r="AE191" s="75">
        <v>1.1160000000000001</v>
      </c>
      <c r="AF191" s="82">
        <v>1</v>
      </c>
      <c r="AG191" s="82">
        <v>1</v>
      </c>
      <c r="AH191" s="82">
        <v>1</v>
      </c>
      <c r="AI191" s="82">
        <v>1.0000000000218279</v>
      </c>
      <c r="AJ191" s="166">
        <v>1.1161100000000002</v>
      </c>
      <c r="AK191" s="82" t="str">
        <v>Base</v>
      </c>
      <c r="AL191" s="162">
        <v>-9</v>
      </c>
      <c r="AM191" s="162">
        <v>-3.5972860989004318</v>
      </c>
      <c r="AN191" s="162">
        <v>-1.2035096987295133</v>
      </c>
      <c r="AO191" s="162">
        <v>74.875344501659086</v>
      </c>
      <c r="AP191" s="162">
        <v>-20.255608840893711</v>
      </c>
      <c r="AQ191" s="162">
        <v>0</v>
      </c>
      <c r="AR191" s="710" t="str">
        <v>1613 Ripper.par</v>
      </c>
      <c r="AV191" s="82" t="str">
        <v>255,127,0</v>
      </c>
      <c r="AW191" s="947">
        <v>78.400000000000006</v>
      </c>
      <c r="AX191" s="947">
        <v>74.875344501659086</v>
      </c>
      <c r="AY191" s="947">
        <v>0</v>
      </c>
    </row>
    <row r="192" spans="2:51" x14ac:dyDescent="0.25">
      <c r="B192" s="650">
        <v>-3.3081594560296739</v>
      </c>
      <c r="C192" s="651">
        <v>-1.7974125231310167</v>
      </c>
      <c r="D192" s="652">
        <v>-2.0998000000000001</v>
      </c>
      <c r="E192" s="653">
        <v>1.930259139240742E-2</v>
      </c>
      <c r="F192" s="651">
        <v>0.99791532190822962</v>
      </c>
      <c r="G192" s="654">
        <v>-6.1582629582798941E-2</v>
      </c>
      <c r="H192" s="653">
        <v>0.26600000000000001</v>
      </c>
      <c r="I192" s="920">
        <v>0.52</v>
      </c>
      <c r="J192" s="924">
        <v>5.12</v>
      </c>
      <c r="K192" s="790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1313</v>
      </c>
      <c r="L192" s="940" t="s">
        <v>419</v>
      </c>
      <c r="M192" s="970">
        <v>-85</v>
      </c>
      <c r="N192" s="941" t="s">
        <v>9</v>
      </c>
      <c r="O192" s="942"/>
      <c r="Q192" s="162">
        <f t="shared" si="1059"/>
        <v>-3.3081594560296739</v>
      </c>
      <c r="R192" s="162">
        <f t="shared" si="1060"/>
        <v>-1.7974125231310167</v>
      </c>
      <c r="S192" s="162">
        <f t="shared" si="1061"/>
        <v>-2.0998000000000001</v>
      </c>
      <c r="T192" s="162">
        <f t="shared" si="1062"/>
        <v>-1.930259139240742E-2</v>
      </c>
      <c r="U192" s="162">
        <f t="shared" si="1063"/>
        <v>-0.99791532190822962</v>
      </c>
      <c r="V192" s="162">
        <f t="shared" si="1064"/>
        <v>6.1582629582798941E-2</v>
      </c>
      <c r="W192" s="162">
        <f>IFERROR(IF(ISNUMBER(MATCH($Z192,Settings!$AK$28:$AK$36,0)),INDEX(Settings!$AO$14:$AO$36,MATCH($Z192,Settings!$AK$14:$AK$36,0))/2,INDEX(Settings!$AM$14:$AM$36,MATCH($Z192,Settings!$AK$14:$AK$36,0))/2),"")</f>
        <v>0.26450000000000001</v>
      </c>
      <c r="X192" s="162">
        <f t="shared" si="1065"/>
        <v>0.52</v>
      </c>
      <c r="Y192" s="75">
        <v>5.12</v>
      </c>
      <c r="Z192" s="917">
        <f t="shared" si="1066"/>
        <v>1313</v>
      </c>
      <c r="AA192" s="82"/>
      <c r="AB192" s="75"/>
      <c r="AC192" s="75"/>
      <c r="AD192" s="166"/>
      <c r="AE192" s="75">
        <v>1.113</v>
      </c>
      <c r="AF192" s="82">
        <v>1</v>
      </c>
      <c r="AG192" s="82">
        <v>1</v>
      </c>
      <c r="AH192" s="82">
        <v>1</v>
      </c>
      <c r="AI192" s="82">
        <v>1.000000000003638</v>
      </c>
      <c r="AJ192" s="166">
        <v>1.11311</v>
      </c>
      <c r="AK192" s="82" t="str">
        <v>Base</v>
      </c>
      <c r="AL192" s="162">
        <v>-9</v>
      </c>
      <c r="AM192" s="162">
        <v>-3.2326774847419726</v>
      </c>
      <c r="AN192" s="162">
        <v>-0.53370740915558179</v>
      </c>
      <c r="AO192" s="162">
        <v>53.146616424137278</v>
      </c>
      <c r="AP192" s="162">
        <v>-15.741663259343115</v>
      </c>
      <c r="AQ192" s="162">
        <v>0</v>
      </c>
      <c r="AR192" s="710" t="str">
        <v>1613.par</v>
      </c>
      <c r="AV192" s="82" t="str">
        <v>255,127,0</v>
      </c>
      <c r="AW192" s="947">
        <v>45.3</v>
      </c>
      <c r="AX192" s="947">
        <v>53.146616424137278</v>
      </c>
      <c r="AY192" s="947">
        <v>0</v>
      </c>
    </row>
    <row r="193" spans="2:51" x14ac:dyDescent="0.25">
      <c r="B193" s="650">
        <v>-2.0895187323868982</v>
      </c>
      <c r="C193" s="651">
        <v>0.94761912713016816</v>
      </c>
      <c r="D193" s="652">
        <v>-0.13729999999999995</v>
      </c>
      <c r="E193" s="653">
        <v>0.45647848258653895</v>
      </c>
      <c r="F193" s="651">
        <v>0.85137226977572877</v>
      </c>
      <c r="G193" s="654">
        <v>-0.25844274644960463</v>
      </c>
      <c r="H193" s="653">
        <v>0.314</v>
      </c>
      <c r="I193" s="920">
        <v>0.52</v>
      </c>
      <c r="J193" s="924">
        <v>6.109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1613</v>
      </c>
      <c r="L193" s="940" t="s">
        <v>423</v>
      </c>
      <c r="M193" s="970">
        <v>0.4</v>
      </c>
      <c r="N193" s="941" t="s">
        <v>9</v>
      </c>
      <c r="O193" s="942"/>
      <c r="Q193" s="162">
        <f t="shared" si="1059"/>
        <v>-2.0895187323868982</v>
      </c>
      <c r="R193" s="162">
        <f t="shared" si="1060"/>
        <v>0.94761912713016816</v>
      </c>
      <c r="S193" s="162">
        <f t="shared" si="1061"/>
        <v>-0.13729999999999995</v>
      </c>
      <c r="T193" s="162">
        <f t="shared" si="1062"/>
        <v>-0.45647848258653895</v>
      </c>
      <c r="U193" s="162">
        <f t="shared" si="1063"/>
        <v>-0.85137226977572877</v>
      </c>
      <c r="V193" s="162">
        <f t="shared" si="1064"/>
        <v>0.25844274644960463</v>
      </c>
      <c r="W193" s="162">
        <f>IFERROR(IF(ISNUMBER(MATCH($Z193,Settings!$AK$28:$AK$36,0)),INDEX(Settings!$AO$14:$AO$36,MATCH($Z193,Settings!$AK$14:$AK$36,0))/2,INDEX(Settings!$AM$14:$AM$36,MATCH($Z193,Settings!$AK$14:$AK$36,0))/2),"")</f>
        <v>0.3125</v>
      </c>
      <c r="X193" s="162">
        <f t="shared" si="1065"/>
        <v>0.52</v>
      </c>
      <c r="Y193" s="75">
        <v>6.109</v>
      </c>
      <c r="Z193" s="917">
        <f t="shared" si="1066"/>
        <v>1613</v>
      </c>
      <c r="AA193" s="82"/>
      <c r="AB193" s="75"/>
      <c r="AC193" s="75"/>
      <c r="AD193" s="166"/>
      <c r="AE193" s="75">
        <v>1.1100000000000001</v>
      </c>
      <c r="AF193" s="82">
        <v>1</v>
      </c>
      <c r="AG193" s="82">
        <v>1</v>
      </c>
      <c r="AH193" s="82">
        <v>1</v>
      </c>
      <c r="AI193" s="82">
        <v>1.0000000000218279</v>
      </c>
      <c r="AJ193" s="166">
        <v>1.1101100000000002</v>
      </c>
      <c r="AK193" s="82" t="str">
        <v>Base</v>
      </c>
      <c r="AL193" s="162">
        <v>-9</v>
      </c>
      <c r="AM193" s="162">
        <v>-2.5504879830868261</v>
      </c>
      <c r="AN193" s="162">
        <v>-0.16814898345875892</v>
      </c>
      <c r="AO193" s="162">
        <v>22.868586026272361</v>
      </c>
      <c r="AP193" s="162">
        <v>-15.504428125270795</v>
      </c>
      <c r="AQ193" s="162">
        <v>0</v>
      </c>
      <c r="AR193" s="710" t="str">
        <v>1613 Ripper.par</v>
      </c>
      <c r="AV193" s="82" t="str">
        <v>255,127,0</v>
      </c>
      <c r="AW193" s="947">
        <v>11.6</v>
      </c>
      <c r="AX193" s="947">
        <v>22.868586026272361</v>
      </c>
      <c r="AY193" s="947">
        <v>0</v>
      </c>
    </row>
    <row r="194" spans="2:51" x14ac:dyDescent="0.25">
      <c r="B194" s="650">
        <v>-2.7430765623198758</v>
      </c>
      <c r="C194" s="651">
        <v>1.2972856295768513</v>
      </c>
      <c r="D194" s="652">
        <v>-0.3661000000000002</v>
      </c>
      <c r="E194" s="653">
        <v>0.5870233052390561</v>
      </c>
      <c r="F194" s="651">
        <v>0.78595380742634813</v>
      </c>
      <c r="G194" s="654">
        <v>-0.1941140172636712</v>
      </c>
      <c r="H194" s="653">
        <v>0.314</v>
      </c>
      <c r="I194" s="920">
        <v>0.52</v>
      </c>
      <c r="J194" s="924">
        <v>6.1120000000000001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940" t="s">
        <v>424</v>
      </c>
      <c r="M194" s="970">
        <v>-34.1</v>
      </c>
      <c r="N194" s="941" t="s">
        <v>9</v>
      </c>
      <c r="O194" s="942"/>
      <c r="Q194" s="162">
        <f t="shared" si="1059"/>
        <v>-2.7430765623198758</v>
      </c>
      <c r="R194" s="162">
        <f t="shared" si="1060"/>
        <v>1.2972856295768513</v>
      </c>
      <c r="S194" s="162">
        <f t="shared" si="1061"/>
        <v>-0.3661000000000002</v>
      </c>
      <c r="T194" s="162">
        <f t="shared" si="1062"/>
        <v>-0.5870233052390561</v>
      </c>
      <c r="U194" s="162">
        <f t="shared" si="1063"/>
        <v>-0.78595380742634813</v>
      </c>
      <c r="V194" s="162">
        <f t="shared" si="1064"/>
        <v>0.1941140172636712</v>
      </c>
      <c r="W194" s="162">
        <f>IFERROR(IF(ISNUMBER(MATCH($Z194,Settings!$AK$28:$AK$36,0)),INDEX(Settings!$AO$14:$AO$36,MATCH($Z194,Settings!$AK$14:$AK$36,0))/2,INDEX(Settings!$AM$14:$AM$36,MATCH($Z194,Settings!$AK$14:$AK$36,0))/2),"")</f>
        <v>0.3125</v>
      </c>
      <c r="X194" s="162">
        <f t="shared" si="1065"/>
        <v>0.52</v>
      </c>
      <c r="Y194" s="75">
        <v>6.1120000000000001</v>
      </c>
      <c r="Z194" s="917">
        <f t="shared" si="1066"/>
        <v>1613</v>
      </c>
      <c r="AA194" s="82"/>
      <c r="AB194" s="75"/>
      <c r="AC194" s="75"/>
      <c r="AD194" s="166"/>
      <c r="AE194" s="75">
        <v>1.107</v>
      </c>
      <c r="AF194" s="82">
        <v>1</v>
      </c>
      <c r="AG194" s="82">
        <v>1</v>
      </c>
      <c r="AH194" s="82">
        <v>1</v>
      </c>
      <c r="AI194" s="82">
        <v>1.000000000003638</v>
      </c>
      <c r="AJ194" s="166">
        <v>1.10711</v>
      </c>
      <c r="AK194" s="82" t="str">
        <v>Base</v>
      </c>
      <c r="AL194" s="162">
        <v>-9</v>
      </c>
      <c r="AM194" s="162">
        <v>-1.7830273816505595</v>
      </c>
      <c r="AN194" s="162">
        <v>-0.22710202070624261</v>
      </c>
      <c r="AO194" s="162">
        <v>1.1848746270094432</v>
      </c>
      <c r="AP194" s="162">
        <v>-15.003283411783807</v>
      </c>
      <c r="AQ194" s="162">
        <v>0</v>
      </c>
      <c r="AR194" s="710" t="str">
        <v>1613 Ripper.par</v>
      </c>
      <c r="AV194" s="82" t="str">
        <v>255,127,0</v>
      </c>
      <c r="AW194" s="947">
        <v>-15</v>
      </c>
      <c r="AX194" s="947">
        <v>1.1848746270094432</v>
      </c>
      <c r="AY194" s="947">
        <v>0</v>
      </c>
    </row>
    <row r="195" spans="2:51" x14ac:dyDescent="0.25">
      <c r="B195" s="650">
        <v>-3.1680171516429398</v>
      </c>
      <c r="C195" s="651">
        <v>1.5468560916627463</v>
      </c>
      <c r="D195" s="652">
        <v>-0.95809999999999984</v>
      </c>
      <c r="E195" s="653">
        <v>0.70005555711045819</v>
      </c>
      <c r="F195" s="651">
        <v>0.69992310955129655</v>
      </c>
      <c r="G195" s="654">
        <v>-0.14152687969007807</v>
      </c>
      <c r="H195" s="653">
        <v>0.314</v>
      </c>
      <c r="I195" s="920">
        <v>0.52</v>
      </c>
      <c r="J195" s="924">
        <v>6.1150000000000002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40" t="s">
        <v>423</v>
      </c>
      <c r="M195" s="970">
        <v>-67.400000000000006</v>
      </c>
      <c r="N195" s="941" t="s">
        <v>9</v>
      </c>
      <c r="O195" s="942"/>
      <c r="Q195" s="162">
        <f t="shared" si="1059"/>
        <v>-3.1680171516429398</v>
      </c>
      <c r="R195" s="162">
        <f t="shared" si="1060"/>
        <v>1.5468560916627463</v>
      </c>
      <c r="S195" s="162">
        <f t="shared" si="1061"/>
        <v>-0.95809999999999984</v>
      </c>
      <c r="T195" s="162">
        <f t="shared" si="1062"/>
        <v>-0.70005555711045819</v>
      </c>
      <c r="U195" s="162">
        <f t="shared" si="1063"/>
        <v>-0.69992310955129655</v>
      </c>
      <c r="V195" s="162">
        <f t="shared" si="1064"/>
        <v>0.14152687969007807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65"/>
        <v>0.52</v>
      </c>
      <c r="Y195" s="75">
        <v>6.1150000000000002</v>
      </c>
      <c r="Z195" s="917">
        <f t="shared" si="1066"/>
        <v>1613</v>
      </c>
      <c r="AA195" s="82"/>
      <c r="AB195" s="75"/>
      <c r="AC195" s="75"/>
      <c r="AD195" s="166"/>
      <c r="AE195" s="75">
        <v>1.1040000000000001</v>
      </c>
      <c r="AF195" s="82">
        <v>1</v>
      </c>
      <c r="AG195" s="82">
        <v>1</v>
      </c>
      <c r="AH195" s="82">
        <v>1</v>
      </c>
      <c r="AI195" s="82">
        <v>1.0000000000218279</v>
      </c>
      <c r="AJ195" s="166">
        <v>1.1041100000000001</v>
      </c>
      <c r="AK195" s="82" t="str">
        <v>Base</v>
      </c>
      <c r="AL195" s="162">
        <v>-9</v>
      </c>
      <c r="AM195" s="162">
        <v>-1.0300473987713625</v>
      </c>
      <c r="AN195" s="162">
        <v>-0.42906322004024411</v>
      </c>
      <c r="AO195" s="162">
        <v>2.0504522511231897</v>
      </c>
      <c r="AP195" s="162">
        <v>-15.00983650799305</v>
      </c>
      <c r="AQ195" s="162">
        <v>0</v>
      </c>
      <c r="AR195" s="710" t="str">
        <v>1613.par</v>
      </c>
      <c r="AV195" s="82" t="str">
        <v>255,127,0</v>
      </c>
      <c r="AW195" s="947">
        <v>-15</v>
      </c>
      <c r="AX195" s="947">
        <v>2.0504522511231897</v>
      </c>
      <c r="AY195" s="947">
        <v>0</v>
      </c>
    </row>
    <row r="196" spans="2:51" x14ac:dyDescent="0.25">
      <c r="B196" s="650">
        <v>-3.3698147522047077</v>
      </c>
      <c r="C196" s="651">
        <v>1.6789120586143118</v>
      </c>
      <c r="D196" s="652">
        <v>-1.6297000000000001</v>
      </c>
      <c r="E196" s="653">
        <v>0.82851588755163097</v>
      </c>
      <c r="F196" s="651">
        <v>0.55656895692106378</v>
      </c>
      <c r="G196" s="654">
        <v>-6.1582629582798941E-2</v>
      </c>
      <c r="H196" s="653">
        <v>0.26600000000000001</v>
      </c>
      <c r="I196" s="920">
        <v>0.52</v>
      </c>
      <c r="J196" s="924">
        <v>6.1180000000000003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1313</v>
      </c>
      <c r="L196" s="940" t="s">
        <v>419</v>
      </c>
      <c r="M196" s="970">
        <v>-85</v>
      </c>
      <c r="N196" s="941" t="s">
        <v>9</v>
      </c>
      <c r="O196" s="942"/>
      <c r="Q196" s="162">
        <f t="shared" ref="Q196:Q209" si="1067">IFERROR(INDEX(B$164:B$305,MATCH($Y196,$J$164:$J$305,0)),"")</f>
        <v>-3.3698147522047077</v>
      </c>
      <c r="R196" s="162">
        <f t="shared" ref="R196:R209" si="1068">IFERROR(INDEX(C$164:C$305,MATCH($Y196,$J$164:$J$305,0)),"")</f>
        <v>1.6789120586143118</v>
      </c>
      <c r="S196" s="162">
        <f t="shared" ref="S196:S209" si="1069">IFERROR(INDEX(D$164:D$305,MATCH($Y196,$J$164:$J$305,0)),"")</f>
        <v>-1.6297000000000001</v>
      </c>
      <c r="T196" s="162">
        <f t="shared" ref="T196:T209" si="1070">IFERROR(IF($N196="Y",-1*INDEX(E$164:E$305,MATCH($Y196,$J$164:$J$305,0)),INDEX(E$164:E$305,MATCH($Y196,$J$164:$J$305,0))),"")</f>
        <v>-0.82851588755163097</v>
      </c>
      <c r="U196" s="162">
        <f t="shared" ref="U196:U209" si="1071">IFERROR(IF($N196="Y",-1*INDEX(F$164:F$305,MATCH($Y196,$J$164:$J$305,0)),INDEX(F$164:F$305,MATCH($Y196,$J$164:$J$305,0))),"")</f>
        <v>-0.55656895692106378</v>
      </c>
      <c r="V196" s="162">
        <f t="shared" ref="V196:V209" si="1072">IFERROR(IF($N196="Y",-1*INDEX(G$164:G$305,MATCH($Y196,$J$164:$J$305,0)),INDEX(G$164:G$305,MATCH($Y196,$J$164:$J$305,0))),"")</f>
        <v>6.1582629582798941E-2</v>
      </c>
      <c r="W196" s="162">
        <f>IFERROR(IF(ISNUMBER(MATCH($Z196,Settings!$AK$28:$AK$36,0)),INDEX(Settings!$AO$14:$AO$36,MATCH($Z196,Settings!$AK$14:$AK$36,0))/2,INDEX(Settings!$AM$14:$AM$36,MATCH($Z196,Settings!$AK$14:$AK$36,0))/2),"")</f>
        <v>0.26450000000000001</v>
      </c>
      <c r="X196" s="162">
        <f t="shared" ref="X196:X209" si="1073">IFERROR(INDEX(I$164:I$305,MATCH($Y196,$J$164:$J$305,0)),"")</f>
        <v>0.52</v>
      </c>
      <c r="Y196" s="75">
        <v>6.1180000000000003</v>
      </c>
      <c r="Z196" s="917">
        <f t="shared" ref="Z196:Z209" si="1074">IFERROR(INDEX(K$164:K$305,MATCH($Y196,$J$164:$J$305,0)),"")</f>
        <v>1313</v>
      </c>
      <c r="AA196" s="82"/>
      <c r="AB196" s="75"/>
      <c r="AC196" s="75"/>
      <c r="AD196" s="166"/>
      <c r="AE196" s="75">
        <v>1.101</v>
      </c>
      <c r="AF196" s="82">
        <v>1</v>
      </c>
      <c r="AG196" s="82">
        <v>1</v>
      </c>
      <c r="AH196" s="82">
        <v>1</v>
      </c>
      <c r="AI196" s="82">
        <v>1.000000000003638</v>
      </c>
      <c r="AJ196" s="166">
        <v>1.10111</v>
      </c>
      <c r="AK196" s="82" t="str">
        <v>Base</v>
      </c>
      <c r="AL196" s="162">
        <v>-9</v>
      </c>
      <c r="AM196" s="162">
        <v>-0.30038456522755386</v>
      </c>
      <c r="AN196" s="162">
        <v>-0.57786735899181552</v>
      </c>
      <c r="AO196" s="162">
        <v>5.2170745382373731</v>
      </c>
      <c r="AP196" s="162">
        <v>-21.091519790015408</v>
      </c>
      <c r="AQ196" s="162">
        <v>0</v>
      </c>
      <c r="AR196" s="710" t="str">
        <v>1313.par</v>
      </c>
      <c r="AV196" s="82" t="str">
        <v>255,127,0</v>
      </c>
      <c r="AW196" s="947">
        <v>-15</v>
      </c>
      <c r="AX196" s="947">
        <v>5.2170745382373731</v>
      </c>
      <c r="AY196" s="947">
        <v>0</v>
      </c>
    </row>
    <row r="197" spans="2:51" x14ac:dyDescent="0.25">
      <c r="B197" s="650"/>
      <c r="C197" s="651"/>
      <c r="D197" s="652"/>
      <c r="E197" s="653"/>
      <c r="F197" s="651"/>
      <c r="G197" s="654"/>
      <c r="H197" s="653"/>
      <c r="I197" s="920"/>
      <c r="J197" s="924"/>
      <c r="K197" s="790" t="str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/>
      </c>
      <c r="L197" s="940"/>
      <c r="M197" s="970"/>
      <c r="N197" s="941"/>
      <c r="O197" s="942"/>
      <c r="Q197" s="162" t="str">
        <f t="shared" si="1067"/>
        <v/>
      </c>
      <c r="R197" s="162" t="str">
        <f t="shared" si="1068"/>
        <v/>
      </c>
      <c r="S197" s="162" t="str">
        <f t="shared" si="1069"/>
        <v/>
      </c>
      <c r="T197" s="162" t="str">
        <f t="shared" si="1070"/>
        <v/>
      </c>
      <c r="U197" s="162" t="str">
        <f t="shared" si="1071"/>
        <v/>
      </c>
      <c r="V197" s="162" t="str">
        <f t="shared" si="1072"/>
        <v/>
      </c>
      <c r="W197" s="162" t="str">
        <f>IFERROR(IF(ISNUMBER(MATCH($Z197,Settings!$AK$28:$AK$36,0)),INDEX(Settings!$AO$14:$AO$36,MATCH($Z197,Settings!$AK$14:$AK$36,0))/2,INDEX(Settings!$AM$14:$AM$36,MATCH($Z197,Settings!$AK$14:$AK$36,0))/2),"")</f>
        <v/>
      </c>
      <c r="X197" s="162" t="str">
        <f t="shared" si="1073"/>
        <v/>
      </c>
      <c r="Y197" s="75"/>
      <c r="Z197" s="917" t="str">
        <f t="shared" si="1074"/>
        <v/>
      </c>
      <c r="AA197" s="82"/>
      <c r="AB197" s="75"/>
      <c r="AC197" s="75"/>
      <c r="AD197" s="166"/>
      <c r="AE197" s="75">
        <v>6.1180000000000003</v>
      </c>
      <c r="AF197" s="82">
        <v>6</v>
      </c>
      <c r="AG197" s="82">
        <v>1</v>
      </c>
      <c r="AH197" s="82">
        <v>2</v>
      </c>
      <c r="AI197" s="82">
        <v>1.0000000000582077</v>
      </c>
      <c r="AJ197" s="166">
        <v>6.1182100000000004</v>
      </c>
      <c r="AK197" s="82">
        <v>6.1181100000000006</v>
      </c>
      <c r="AL197" s="162">
        <v>0</v>
      </c>
      <c r="AM197" s="162">
        <v>0</v>
      </c>
      <c r="AN197" s="162">
        <v>0</v>
      </c>
      <c r="AO197" s="162">
        <v>2.1725293080598931</v>
      </c>
      <c r="AP197" s="162">
        <v>0</v>
      </c>
      <c r="AQ197" s="162">
        <v>0</v>
      </c>
      <c r="AR197" s="710" t="str">
        <v>1313.par</v>
      </c>
      <c r="AV197" s="82" t="str">
        <v>127,0,255</v>
      </c>
      <c r="AW197" s="947">
        <v>85</v>
      </c>
      <c r="AX197" s="947">
        <v>82.827470691940107</v>
      </c>
      <c r="AY197" s="947">
        <v>2.1725293080598931</v>
      </c>
    </row>
    <row r="198" spans="2:51" x14ac:dyDescent="0.25">
      <c r="B198" s="650"/>
      <c r="C198" s="651"/>
      <c r="D198" s="652"/>
      <c r="E198" s="653"/>
      <c r="F198" s="651"/>
      <c r="G198" s="654"/>
      <c r="H198" s="653"/>
      <c r="I198" s="920"/>
      <c r="J198" s="924"/>
      <c r="K198" s="790" t="str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/>
      </c>
      <c r="L198" s="940"/>
      <c r="M198" s="970"/>
      <c r="N198" s="941"/>
      <c r="O198" s="942"/>
      <c r="Q198" s="162" t="str">
        <f t="shared" si="1067"/>
        <v/>
      </c>
      <c r="R198" s="162" t="str">
        <f t="shared" si="1068"/>
        <v/>
      </c>
      <c r="S198" s="162" t="str">
        <f t="shared" si="1069"/>
        <v/>
      </c>
      <c r="T198" s="162" t="str">
        <f t="shared" si="1070"/>
        <v/>
      </c>
      <c r="U198" s="162" t="str">
        <f t="shared" si="1071"/>
        <v/>
      </c>
      <c r="V198" s="162" t="str">
        <f t="shared" si="1072"/>
        <v/>
      </c>
      <c r="W198" s="162" t="str">
        <f>IFERROR(IF(ISNUMBER(MATCH($Z198,Settings!$AK$28:$AK$36,0)),INDEX(Settings!$AO$14:$AO$36,MATCH($Z198,Settings!$AK$14:$AK$36,0))/2,INDEX(Settings!$AM$14:$AM$36,MATCH($Z198,Settings!$AK$14:$AK$36,0))/2),"")</f>
        <v/>
      </c>
      <c r="X198" s="162" t="str">
        <f t="shared" si="1073"/>
        <v/>
      </c>
      <c r="Y198" s="75"/>
      <c r="Z198" s="917" t="str">
        <f t="shared" si="1074"/>
        <v/>
      </c>
      <c r="AA198" s="82"/>
      <c r="AB198" s="75"/>
      <c r="AC198" s="75"/>
      <c r="AD198" s="166"/>
      <c r="AE198" s="75">
        <v>6.1150000000000002</v>
      </c>
      <c r="AF198" s="82">
        <v>6</v>
      </c>
      <c r="AG198" s="82">
        <v>1</v>
      </c>
      <c r="AH198" s="82">
        <v>2</v>
      </c>
      <c r="AI198" s="82">
        <v>1.0000000000582077</v>
      </c>
      <c r="AJ198" s="166">
        <v>6.1152100000000003</v>
      </c>
      <c r="AK198" s="82">
        <v>6.1151100000000005</v>
      </c>
      <c r="AL198" s="162">
        <v>0</v>
      </c>
      <c r="AM198" s="162">
        <v>0</v>
      </c>
      <c r="AN198" s="162">
        <v>0</v>
      </c>
      <c r="AO198" s="162">
        <v>1.4596133240018219</v>
      </c>
      <c r="AP198" s="162">
        <v>0</v>
      </c>
      <c r="AQ198" s="162">
        <v>0</v>
      </c>
      <c r="AR198" s="710" t="str">
        <v>1613 Ripper.par</v>
      </c>
      <c r="AV198" s="82" t="str">
        <v>127,0,255</v>
      </c>
      <c r="AW198" s="947">
        <v>67.400000000000006</v>
      </c>
      <c r="AX198" s="947">
        <v>65.940386675998184</v>
      </c>
      <c r="AY198" s="947">
        <v>1.4596133240018219</v>
      </c>
    </row>
    <row r="199" spans="2:51" x14ac:dyDescent="0.25">
      <c r="B199" s="650"/>
      <c r="C199" s="651"/>
      <c r="D199" s="652"/>
      <c r="E199" s="653"/>
      <c r="F199" s="651"/>
      <c r="G199" s="654"/>
      <c r="H199" s="653"/>
      <c r="I199" s="920"/>
      <c r="J199" s="924"/>
      <c r="K199" s="790" t="str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/>
      </c>
      <c r="L199" s="940"/>
      <c r="M199" s="970"/>
      <c r="N199" s="941"/>
      <c r="O199" s="942"/>
      <c r="Q199" s="162" t="str">
        <f t="shared" si="1067"/>
        <v/>
      </c>
      <c r="R199" s="162" t="str">
        <f t="shared" si="1068"/>
        <v/>
      </c>
      <c r="S199" s="162" t="str">
        <f t="shared" si="1069"/>
        <v/>
      </c>
      <c r="T199" s="162" t="str">
        <f t="shared" si="1070"/>
        <v/>
      </c>
      <c r="U199" s="162" t="str">
        <f t="shared" si="1071"/>
        <v/>
      </c>
      <c r="V199" s="162" t="str">
        <f t="shared" si="1072"/>
        <v/>
      </c>
      <c r="W199" s="162" t="str">
        <f>IFERROR(IF(ISNUMBER(MATCH($Z199,Settings!$AK$28:$AK$36,0)),INDEX(Settings!$AO$14:$AO$36,MATCH($Z199,Settings!$AK$14:$AK$36,0))/2,INDEX(Settings!$AM$14:$AM$36,MATCH($Z199,Settings!$AK$14:$AK$36,0))/2),"")</f>
        <v/>
      </c>
      <c r="X199" s="162" t="str">
        <f t="shared" si="1073"/>
        <v/>
      </c>
      <c r="Y199" s="75"/>
      <c r="Z199" s="917" t="str">
        <f t="shared" si="1074"/>
        <v/>
      </c>
      <c r="AA199" s="82"/>
      <c r="AB199" s="75"/>
      <c r="AC199" s="75"/>
      <c r="AD199" s="166"/>
      <c r="AE199" s="75">
        <v>6.1120000000000001</v>
      </c>
      <c r="AF199" s="82">
        <v>6</v>
      </c>
      <c r="AG199" s="82">
        <v>1</v>
      </c>
      <c r="AH199" s="82">
        <v>2</v>
      </c>
      <c r="AI199" s="82">
        <v>0.99999999998544808</v>
      </c>
      <c r="AJ199" s="166">
        <v>6.1122100000000001</v>
      </c>
      <c r="AK199" s="82">
        <v>6.1121100000000004</v>
      </c>
      <c r="AL199" s="162">
        <v>0</v>
      </c>
      <c r="AM199" s="162">
        <v>0</v>
      </c>
      <c r="AN199" s="162">
        <v>0</v>
      </c>
      <c r="AO199" s="162">
        <v>-10.066384694641641</v>
      </c>
      <c r="AP199" s="162">
        <v>0</v>
      </c>
      <c r="AQ199" s="162">
        <v>0</v>
      </c>
      <c r="AR199" s="710" t="str">
        <v>1613.par</v>
      </c>
      <c r="AV199" s="82" t="str">
        <v>127,0,255</v>
      </c>
      <c r="AW199" s="947">
        <v>34.1</v>
      </c>
      <c r="AX199" s="947">
        <v>44.166384694641643</v>
      </c>
      <c r="AY199" s="947">
        <v>-10.066384694641641</v>
      </c>
    </row>
    <row r="200" spans="2:51" x14ac:dyDescent="0.25">
      <c r="B200" s="650"/>
      <c r="C200" s="651"/>
      <c r="D200" s="652"/>
      <c r="E200" s="653"/>
      <c r="F200" s="651"/>
      <c r="G200" s="654"/>
      <c r="H200" s="653"/>
      <c r="I200" s="920"/>
      <c r="J200" s="924"/>
      <c r="K200" s="790" t="str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/>
      </c>
      <c r="L200" s="940"/>
      <c r="M200" s="970"/>
      <c r="N200" s="941"/>
      <c r="O200" s="942"/>
      <c r="Q200" s="162" t="str">
        <f t="shared" si="1067"/>
        <v/>
      </c>
      <c r="R200" s="162" t="str">
        <f t="shared" si="1068"/>
        <v/>
      </c>
      <c r="S200" s="162" t="str">
        <f t="shared" si="1069"/>
        <v/>
      </c>
      <c r="T200" s="162" t="str">
        <f t="shared" si="1070"/>
        <v/>
      </c>
      <c r="U200" s="162" t="str">
        <f t="shared" si="1071"/>
        <v/>
      </c>
      <c r="V200" s="162" t="str">
        <f t="shared" si="1072"/>
        <v/>
      </c>
      <c r="W200" s="162" t="str">
        <f>IFERROR(IF(ISNUMBER(MATCH($Z200,Settings!$AK$28:$AK$36,0)),INDEX(Settings!$AO$14:$AO$36,MATCH($Z200,Settings!$AK$14:$AK$36,0))/2,INDEX(Settings!$AM$14:$AM$36,MATCH($Z200,Settings!$AK$14:$AK$36,0))/2),"")</f>
        <v/>
      </c>
      <c r="X200" s="162" t="str">
        <f t="shared" si="1073"/>
        <v/>
      </c>
      <c r="Y200" s="75"/>
      <c r="Z200" s="917" t="str">
        <f t="shared" si="1074"/>
        <v/>
      </c>
      <c r="AA200" s="82"/>
      <c r="AB200" s="75"/>
      <c r="AC200" s="75"/>
      <c r="AD200" s="166"/>
      <c r="AE200" s="75">
        <v>6.109</v>
      </c>
      <c r="AF200" s="82">
        <v>6</v>
      </c>
      <c r="AG200" s="82">
        <v>1</v>
      </c>
      <c r="AH200" s="82">
        <v>2</v>
      </c>
      <c r="AI200" s="82">
        <v>0.99999999998544808</v>
      </c>
      <c r="AJ200" s="166">
        <v>6.10921</v>
      </c>
      <c r="AK200" s="82">
        <v>6.1091100000000003</v>
      </c>
      <c r="AL200" s="162">
        <v>0</v>
      </c>
      <c r="AM200" s="162">
        <v>0</v>
      </c>
      <c r="AN200" s="162">
        <v>0</v>
      </c>
      <c r="AO200" s="162">
        <v>-12.622553303993035</v>
      </c>
      <c r="AP200" s="162">
        <v>0</v>
      </c>
      <c r="AQ200" s="162">
        <v>0</v>
      </c>
      <c r="AR200" s="710" t="str">
        <v>1613 Ripper.par</v>
      </c>
      <c r="AV200" s="82" t="str">
        <v>127,0,255</v>
      </c>
      <c r="AW200" s="947">
        <v>-0.4</v>
      </c>
      <c r="AX200" s="947">
        <v>12.222553303993035</v>
      </c>
      <c r="AY200" s="947">
        <v>-12.622553303993035</v>
      </c>
    </row>
    <row r="201" spans="2:51" x14ac:dyDescent="0.25">
      <c r="B201" s="650"/>
      <c r="C201" s="651"/>
      <c r="D201" s="652"/>
      <c r="E201" s="653"/>
      <c r="F201" s="651"/>
      <c r="G201" s="654"/>
      <c r="H201" s="653"/>
      <c r="I201" s="920"/>
      <c r="J201" s="924"/>
      <c r="K201" s="790" t="str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/>
      </c>
      <c r="L201" s="940"/>
      <c r="M201" s="970"/>
      <c r="N201" s="941"/>
      <c r="O201" s="942"/>
      <c r="Q201" s="162" t="str">
        <f t="shared" si="1067"/>
        <v/>
      </c>
      <c r="R201" s="162" t="str">
        <f t="shared" si="1068"/>
        <v/>
      </c>
      <c r="S201" s="162" t="str">
        <f t="shared" si="1069"/>
        <v/>
      </c>
      <c r="T201" s="162" t="str">
        <f t="shared" si="1070"/>
        <v/>
      </c>
      <c r="U201" s="162" t="str">
        <f t="shared" si="1071"/>
        <v/>
      </c>
      <c r="V201" s="162" t="str">
        <f t="shared" si="1072"/>
        <v/>
      </c>
      <c r="W201" s="162" t="str">
        <f>IFERROR(IF(ISNUMBER(MATCH($Z201,Settings!$AK$28:$AK$36,0)),INDEX(Settings!$AO$14:$AO$36,MATCH($Z201,Settings!$AK$14:$AK$36,0))/2,INDEX(Settings!$AM$14:$AM$36,MATCH($Z201,Settings!$AK$14:$AK$36,0))/2),"")</f>
        <v/>
      </c>
      <c r="X201" s="162" t="str">
        <f t="shared" si="1073"/>
        <v/>
      </c>
      <c r="Y201" s="75"/>
      <c r="Z201" s="917" t="str">
        <f t="shared" si="1074"/>
        <v/>
      </c>
      <c r="AA201" s="82"/>
      <c r="AB201" s="75"/>
      <c r="AC201" s="75"/>
      <c r="AD201" s="166"/>
      <c r="AE201" s="75">
        <v>5.12</v>
      </c>
      <c r="AF201" s="82">
        <v>5</v>
      </c>
      <c r="AG201" s="82">
        <v>1</v>
      </c>
      <c r="AH201" s="82">
        <v>2</v>
      </c>
      <c r="AI201" s="82">
        <v>0.99999999998544808</v>
      </c>
      <c r="AJ201" s="166">
        <v>5.1202100000000002</v>
      </c>
      <c r="AK201" s="82">
        <v>5.1201100000000004</v>
      </c>
      <c r="AL201" s="162">
        <v>0</v>
      </c>
      <c r="AM201" s="162">
        <v>0</v>
      </c>
      <c r="AN201" s="162">
        <v>0</v>
      </c>
      <c r="AO201" s="162">
        <v>2.1725566576071316</v>
      </c>
      <c r="AP201" s="162">
        <v>0</v>
      </c>
      <c r="AQ201" s="162">
        <v>0</v>
      </c>
      <c r="AR201" s="710" t="str">
        <v>1313.par</v>
      </c>
      <c r="AV201" s="82" t="str">
        <v>0,102,204</v>
      </c>
      <c r="AW201" s="947">
        <v>85</v>
      </c>
      <c r="AX201" s="947">
        <v>82.827443342392868</v>
      </c>
      <c r="AY201" s="947">
        <v>2.1725566576071316</v>
      </c>
    </row>
    <row r="202" spans="2:51" x14ac:dyDescent="0.25">
      <c r="B202" s="650"/>
      <c r="C202" s="651"/>
      <c r="D202" s="652"/>
      <c r="E202" s="653"/>
      <c r="F202" s="651"/>
      <c r="G202" s="654"/>
      <c r="H202" s="653"/>
      <c r="I202" s="920"/>
      <c r="J202" s="924"/>
      <c r="K202" s="790" t="str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/>
      </c>
      <c r="L202" s="940"/>
      <c r="M202" s="970"/>
      <c r="N202" s="941"/>
      <c r="O202" s="942"/>
      <c r="Q202" s="162" t="str">
        <f t="shared" si="1067"/>
        <v/>
      </c>
      <c r="R202" s="162" t="str">
        <f t="shared" si="1068"/>
        <v/>
      </c>
      <c r="S202" s="162" t="str">
        <f t="shared" si="1069"/>
        <v/>
      </c>
      <c r="T202" s="162" t="str">
        <f t="shared" si="1070"/>
        <v/>
      </c>
      <c r="U202" s="162" t="str">
        <f t="shared" si="1071"/>
        <v/>
      </c>
      <c r="V202" s="162" t="str">
        <f t="shared" si="1072"/>
        <v/>
      </c>
      <c r="W202" s="162" t="str">
        <f>IFERROR(IF(ISNUMBER(MATCH($Z202,Settings!$AK$28:$AK$36,0)),INDEX(Settings!$AO$14:$AO$36,MATCH($Z202,Settings!$AK$14:$AK$36,0))/2,INDEX(Settings!$AM$14:$AM$36,MATCH($Z202,Settings!$AK$14:$AK$36,0))/2),"")</f>
        <v/>
      </c>
      <c r="X202" s="162" t="str">
        <f t="shared" si="1073"/>
        <v/>
      </c>
      <c r="Y202" s="75"/>
      <c r="Z202" s="917" t="str">
        <f t="shared" si="1074"/>
        <v/>
      </c>
      <c r="AA202" s="82"/>
      <c r="AB202" s="75"/>
      <c r="AC202" s="75"/>
      <c r="AD202" s="166"/>
      <c r="AE202" s="75">
        <v>5.117</v>
      </c>
      <c r="AF202" s="82">
        <v>5</v>
      </c>
      <c r="AG202" s="82">
        <v>1</v>
      </c>
      <c r="AH202" s="82">
        <v>2</v>
      </c>
      <c r="AI202" s="82">
        <v>0.99999999998544808</v>
      </c>
      <c r="AJ202" s="166">
        <v>5.11721</v>
      </c>
      <c r="AK202" s="82">
        <v>5.1171100000000003</v>
      </c>
      <c r="AL202" s="162">
        <v>0</v>
      </c>
      <c r="AM202" s="162">
        <v>0</v>
      </c>
      <c r="AN202" s="162">
        <v>0</v>
      </c>
      <c r="AO202" s="162">
        <v>2.2172165931236947</v>
      </c>
      <c r="AP202" s="162">
        <v>0</v>
      </c>
      <c r="AQ202" s="162">
        <v>0</v>
      </c>
      <c r="AR202" s="710" t="str">
        <v>1613.par</v>
      </c>
      <c r="AV202" s="82" t="str">
        <v>0,102,204</v>
      </c>
      <c r="AW202" s="947">
        <v>85</v>
      </c>
      <c r="AX202" s="947">
        <v>82.782783406876305</v>
      </c>
      <c r="AY202" s="947">
        <v>2.2172165931236947</v>
      </c>
    </row>
    <row r="203" spans="2:51" x14ac:dyDescent="0.25">
      <c r="B203" s="650"/>
      <c r="C203" s="651"/>
      <c r="D203" s="652"/>
      <c r="E203" s="653"/>
      <c r="F203" s="651"/>
      <c r="G203" s="654"/>
      <c r="H203" s="653"/>
      <c r="I203" s="920"/>
      <c r="J203" s="924"/>
      <c r="K203" s="790" t="str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/>
      </c>
      <c r="L203" s="940"/>
      <c r="M203" s="970"/>
      <c r="N203" s="941"/>
      <c r="O203" s="942"/>
      <c r="Q203" s="162" t="str">
        <f t="shared" si="1067"/>
        <v/>
      </c>
      <c r="R203" s="162" t="str">
        <f t="shared" si="1068"/>
        <v/>
      </c>
      <c r="S203" s="162" t="str">
        <f t="shared" si="1069"/>
        <v/>
      </c>
      <c r="T203" s="162" t="str">
        <f t="shared" si="1070"/>
        <v/>
      </c>
      <c r="U203" s="162" t="str">
        <f t="shared" si="1071"/>
        <v/>
      </c>
      <c r="V203" s="162" t="str">
        <f t="shared" si="1072"/>
        <v/>
      </c>
      <c r="W203" s="162" t="str">
        <f>IFERROR(IF(ISNUMBER(MATCH($Z203,Settings!$AK$28:$AK$36,0)),INDEX(Settings!$AO$14:$AO$36,MATCH($Z203,Settings!$AK$14:$AK$36,0))/2,INDEX(Settings!$AM$14:$AM$36,MATCH($Z203,Settings!$AK$14:$AK$36,0))/2),"")</f>
        <v/>
      </c>
      <c r="X203" s="162" t="str">
        <f t="shared" si="1073"/>
        <v/>
      </c>
      <c r="Y203" s="75"/>
      <c r="Z203" s="917" t="str">
        <f t="shared" si="1074"/>
        <v/>
      </c>
      <c r="AA203" s="82"/>
      <c r="AB203" s="75"/>
      <c r="AC203" s="75"/>
      <c r="AD203" s="166"/>
      <c r="AE203" s="75">
        <v>5.1139999999999999</v>
      </c>
      <c r="AF203" s="82">
        <v>5</v>
      </c>
      <c r="AG203" s="82">
        <v>1</v>
      </c>
      <c r="AH203" s="82">
        <v>2</v>
      </c>
      <c r="AI203" s="82">
        <v>0.99999999998544808</v>
      </c>
      <c r="AJ203" s="166">
        <v>5.1142099999999999</v>
      </c>
      <c r="AK203" s="82">
        <v>5.1141100000000002</v>
      </c>
      <c r="AL203" s="162">
        <v>0</v>
      </c>
      <c r="AM203" s="162">
        <v>0</v>
      </c>
      <c r="AN203" s="162">
        <v>0</v>
      </c>
      <c r="AO203" s="162">
        <v>-6.529843987714834</v>
      </c>
      <c r="AP203" s="162">
        <v>0</v>
      </c>
      <c r="AQ203" s="162">
        <v>0</v>
      </c>
      <c r="AR203" s="710" t="str">
        <v>1613 Ripper.par</v>
      </c>
      <c r="AV203" s="82" t="str">
        <v>0,102,204</v>
      </c>
      <c r="AW203" s="947">
        <v>56.3</v>
      </c>
      <c r="AX203" s="947">
        <v>62.829843987714831</v>
      </c>
      <c r="AY203" s="947">
        <v>-6.529843987714834</v>
      </c>
    </row>
    <row r="204" spans="2:51" x14ac:dyDescent="0.25">
      <c r="B204" s="650"/>
      <c r="C204" s="651"/>
      <c r="D204" s="652"/>
      <c r="E204" s="653"/>
      <c r="F204" s="651"/>
      <c r="G204" s="654"/>
      <c r="H204" s="653"/>
      <c r="I204" s="920"/>
      <c r="J204" s="924"/>
      <c r="K204" s="790" t="str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/>
      </c>
      <c r="L204" s="940"/>
      <c r="M204" s="970"/>
      <c r="N204" s="941"/>
      <c r="O204" s="942"/>
      <c r="Q204" s="162" t="str">
        <f t="shared" si="1067"/>
        <v/>
      </c>
      <c r="R204" s="162" t="str">
        <f t="shared" si="1068"/>
        <v/>
      </c>
      <c r="S204" s="162" t="str">
        <f t="shared" si="1069"/>
        <v/>
      </c>
      <c r="T204" s="162" t="str">
        <f t="shared" si="1070"/>
        <v/>
      </c>
      <c r="U204" s="162" t="str">
        <f t="shared" si="1071"/>
        <v/>
      </c>
      <c r="V204" s="162" t="str">
        <f t="shared" si="1072"/>
        <v/>
      </c>
      <c r="W204" s="162" t="str">
        <f>IFERROR(IF(ISNUMBER(MATCH($Z204,Settings!$AK$28:$AK$36,0)),INDEX(Settings!$AO$14:$AO$36,MATCH($Z204,Settings!$AK$14:$AK$36,0))/2,INDEX(Settings!$AM$14:$AM$36,MATCH($Z204,Settings!$AK$14:$AK$36,0))/2),"")</f>
        <v/>
      </c>
      <c r="X204" s="162" t="str">
        <f t="shared" si="1073"/>
        <v/>
      </c>
      <c r="Y204" s="75"/>
      <c r="Z204" s="917" t="str">
        <f t="shared" si="1074"/>
        <v/>
      </c>
      <c r="AA204" s="82"/>
      <c r="AB204" s="75"/>
      <c r="AC204" s="75"/>
      <c r="AD204" s="166"/>
      <c r="AE204" s="75">
        <v>5.1109999999999998</v>
      </c>
      <c r="AF204" s="82">
        <v>5</v>
      </c>
      <c r="AG204" s="82">
        <v>1</v>
      </c>
      <c r="AH204" s="82">
        <v>2</v>
      </c>
      <c r="AI204" s="82">
        <v>0.99999999998544808</v>
      </c>
      <c r="AJ204" s="166">
        <v>5.1112099999999998</v>
      </c>
      <c r="AK204" s="82">
        <v>5.11111</v>
      </c>
      <c r="AL204" s="162">
        <v>0</v>
      </c>
      <c r="AM204" s="162">
        <v>0</v>
      </c>
      <c r="AN204" s="162">
        <v>0</v>
      </c>
      <c r="AO204" s="162">
        <v>-10.242046168720929</v>
      </c>
      <c r="AP204" s="162">
        <v>0</v>
      </c>
      <c r="AQ204" s="162">
        <v>0</v>
      </c>
      <c r="AR204" s="710" t="str">
        <v>1613 Ripper.par</v>
      </c>
      <c r="AV204" s="82" t="str">
        <v>0,102,204</v>
      </c>
      <c r="AW204" s="947">
        <v>22.8</v>
      </c>
      <c r="AX204" s="947">
        <v>33.04204616872093</v>
      </c>
      <c r="AY204" s="947">
        <v>-10.242046168720929</v>
      </c>
    </row>
    <row r="205" spans="2:51" x14ac:dyDescent="0.25">
      <c r="B205" s="650"/>
      <c r="C205" s="651"/>
      <c r="D205" s="652"/>
      <c r="E205" s="653"/>
      <c r="F205" s="651"/>
      <c r="G205" s="654"/>
      <c r="H205" s="653"/>
      <c r="I205" s="920"/>
      <c r="J205" s="924"/>
      <c r="K205" s="790" t="str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/>
      </c>
      <c r="L205" s="940"/>
      <c r="M205" s="970"/>
      <c r="N205" s="941"/>
      <c r="O205" s="942"/>
      <c r="Q205" s="162" t="str">
        <f t="shared" si="1067"/>
        <v/>
      </c>
      <c r="R205" s="162" t="str">
        <f t="shared" si="1068"/>
        <v/>
      </c>
      <c r="S205" s="162" t="str">
        <f t="shared" si="1069"/>
        <v/>
      </c>
      <c r="T205" s="162" t="str">
        <f t="shared" si="1070"/>
        <v/>
      </c>
      <c r="U205" s="162" t="str">
        <f t="shared" si="1071"/>
        <v/>
      </c>
      <c r="V205" s="162" t="str">
        <f t="shared" si="1072"/>
        <v/>
      </c>
      <c r="W205" s="162" t="str">
        <f>IFERROR(IF(ISNUMBER(MATCH($Z205,Settings!$AK$28:$AK$36,0)),INDEX(Settings!$AO$14:$AO$36,MATCH($Z205,Settings!$AK$14:$AK$36,0))/2,INDEX(Settings!$AM$14:$AM$36,MATCH($Z205,Settings!$AK$14:$AK$36,0))/2),"")</f>
        <v/>
      </c>
      <c r="X205" s="162" t="str">
        <f t="shared" si="1073"/>
        <v/>
      </c>
      <c r="Y205" s="75"/>
      <c r="Z205" s="917" t="str">
        <f t="shared" si="1074"/>
        <v/>
      </c>
      <c r="AA205" s="82"/>
      <c r="AB205" s="75"/>
      <c r="AC205" s="75"/>
      <c r="AD205" s="166"/>
      <c r="AE205" s="75">
        <v>5.1079999999999997</v>
      </c>
      <c r="AF205" s="82">
        <v>5</v>
      </c>
      <c r="AG205" s="82">
        <v>1</v>
      </c>
      <c r="AH205" s="82">
        <v>2</v>
      </c>
      <c r="AI205" s="82">
        <v>0.99999999998544808</v>
      </c>
      <c r="AJ205" s="166">
        <v>5.1082099999999997</v>
      </c>
      <c r="AK205" s="82">
        <v>5.1081099999999999</v>
      </c>
      <c r="AL205" s="162">
        <v>0</v>
      </c>
      <c r="AM205" s="162">
        <v>0</v>
      </c>
      <c r="AN205" s="162">
        <v>0</v>
      </c>
      <c r="AO205" s="162">
        <v>-11.740648681122845</v>
      </c>
      <c r="AP205" s="162">
        <v>0</v>
      </c>
      <c r="AQ205" s="162">
        <v>0</v>
      </c>
      <c r="AR205" s="710" t="str">
        <v>1613 Ripper.par</v>
      </c>
      <c r="AV205" s="82" t="str">
        <v>0,102,204</v>
      </c>
      <c r="AW205" s="947">
        <v>-10.7</v>
      </c>
      <c r="AX205" s="947">
        <v>1.0406486811228461</v>
      </c>
      <c r="AY205" s="947">
        <v>-11.740648681122845</v>
      </c>
    </row>
    <row r="206" spans="2:51" x14ac:dyDescent="0.25">
      <c r="B206" s="650"/>
      <c r="C206" s="651"/>
      <c r="D206" s="652"/>
      <c r="E206" s="653"/>
      <c r="F206" s="651"/>
      <c r="G206" s="654"/>
      <c r="H206" s="653"/>
      <c r="I206" s="920"/>
      <c r="J206" s="924"/>
      <c r="K206" s="790" t="str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/>
      </c>
      <c r="L206" s="940"/>
      <c r="M206" s="970"/>
      <c r="N206" s="941"/>
      <c r="O206" s="942"/>
      <c r="Q206" s="162" t="str">
        <f t="shared" si="1067"/>
        <v/>
      </c>
      <c r="R206" s="162" t="str">
        <f t="shared" si="1068"/>
        <v/>
      </c>
      <c r="S206" s="162" t="str">
        <f t="shared" si="1069"/>
        <v/>
      </c>
      <c r="T206" s="162" t="str">
        <f t="shared" si="1070"/>
        <v/>
      </c>
      <c r="U206" s="162" t="str">
        <f t="shared" si="1071"/>
        <v/>
      </c>
      <c r="V206" s="162" t="str">
        <f t="shared" si="1072"/>
        <v/>
      </c>
      <c r="W206" s="162" t="str">
        <f>IFERROR(IF(ISNUMBER(MATCH($Z206,Settings!$AK$28:$AK$36,0)),INDEX(Settings!$AO$14:$AO$36,MATCH($Z206,Settings!$AK$14:$AK$36,0))/2,INDEX(Settings!$AM$14:$AM$36,MATCH($Z206,Settings!$AK$14:$AK$36,0))/2),"")</f>
        <v/>
      </c>
      <c r="X206" s="162" t="str">
        <f t="shared" si="1073"/>
        <v/>
      </c>
      <c r="Y206" s="75"/>
      <c r="Z206" s="917" t="str">
        <f t="shared" si="1074"/>
        <v/>
      </c>
      <c r="AA206" s="82"/>
      <c r="AB206" s="75"/>
      <c r="AC206" s="75"/>
      <c r="AD206" s="166"/>
      <c r="AE206" s="75">
        <v>5.1050000000000004</v>
      </c>
      <c r="AF206" s="82">
        <v>5</v>
      </c>
      <c r="AG206" s="82">
        <v>1</v>
      </c>
      <c r="AH206" s="82">
        <v>2</v>
      </c>
      <c r="AI206" s="82">
        <v>1.0000000000582077</v>
      </c>
      <c r="AJ206" s="166">
        <v>5.1052100000000005</v>
      </c>
      <c r="AK206" s="82">
        <v>5.1051100000000007</v>
      </c>
      <c r="AL206" s="162">
        <v>0</v>
      </c>
      <c r="AM206" s="162">
        <v>0</v>
      </c>
      <c r="AN206" s="162">
        <v>0</v>
      </c>
      <c r="AO206" s="162">
        <v>-16.653087129673832</v>
      </c>
      <c r="AP206" s="162">
        <v>0</v>
      </c>
      <c r="AQ206" s="162">
        <v>0</v>
      </c>
      <c r="AR206" s="710" t="str">
        <v>1613 Ripper.par</v>
      </c>
      <c r="AV206" s="82" t="str">
        <v>0,102,204</v>
      </c>
      <c r="AW206" s="947">
        <v>-15</v>
      </c>
      <c r="AX206" s="947">
        <v>1.6530871296738316</v>
      </c>
      <c r="AY206" s="947">
        <v>-16.653087129673832</v>
      </c>
    </row>
    <row r="207" spans="2:51" x14ac:dyDescent="0.25">
      <c r="B207" s="650"/>
      <c r="C207" s="651"/>
      <c r="D207" s="652"/>
      <c r="E207" s="653"/>
      <c r="F207" s="651"/>
      <c r="G207" s="654"/>
      <c r="H207" s="653"/>
      <c r="I207" s="920"/>
      <c r="J207" s="924"/>
      <c r="K207" s="790" t="str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/>
      </c>
      <c r="L207" s="940"/>
      <c r="M207" s="970"/>
      <c r="N207" s="941"/>
      <c r="O207" s="942"/>
      <c r="Q207" s="162" t="str">
        <f t="shared" si="1067"/>
        <v/>
      </c>
      <c r="R207" s="162" t="str">
        <f t="shared" si="1068"/>
        <v/>
      </c>
      <c r="S207" s="162" t="str">
        <f t="shared" si="1069"/>
        <v/>
      </c>
      <c r="T207" s="162" t="str">
        <f t="shared" si="1070"/>
        <v/>
      </c>
      <c r="U207" s="162" t="str">
        <f t="shared" si="1071"/>
        <v/>
      </c>
      <c r="V207" s="162" t="str">
        <f t="shared" si="1072"/>
        <v/>
      </c>
      <c r="W207" s="162" t="str">
        <f>IFERROR(IF(ISNUMBER(MATCH($Z207,Settings!$AK$28:$AK$36,0)),INDEX(Settings!$AO$14:$AO$36,MATCH($Z207,Settings!$AK$14:$AK$36,0))/2,INDEX(Settings!$AM$14:$AM$36,MATCH($Z207,Settings!$AK$14:$AK$36,0))/2),"")</f>
        <v/>
      </c>
      <c r="X207" s="162" t="str">
        <f t="shared" si="1073"/>
        <v/>
      </c>
      <c r="Y207" s="75"/>
      <c r="Z207" s="917" t="str">
        <f t="shared" si="1074"/>
        <v/>
      </c>
      <c r="AA207" s="82"/>
      <c r="AB207" s="75"/>
      <c r="AC207" s="75"/>
      <c r="AD207" s="166"/>
      <c r="AE207" s="75">
        <v>5.1020000000000003</v>
      </c>
      <c r="AF207" s="82">
        <v>5</v>
      </c>
      <c r="AG207" s="82">
        <v>1</v>
      </c>
      <c r="AH207" s="82">
        <v>2</v>
      </c>
      <c r="AI207" s="82">
        <v>1.0000000000582077</v>
      </c>
      <c r="AJ207" s="166">
        <v>5.1022100000000004</v>
      </c>
      <c r="AK207" s="82">
        <v>5.1021100000000006</v>
      </c>
      <c r="AL207" s="162">
        <v>0</v>
      </c>
      <c r="AM207" s="162">
        <v>0</v>
      </c>
      <c r="AN207" s="162">
        <v>0</v>
      </c>
      <c r="AO207" s="162">
        <v>-18.106590912967334</v>
      </c>
      <c r="AP207" s="162">
        <v>0</v>
      </c>
      <c r="AQ207" s="162">
        <v>0</v>
      </c>
      <c r="AR207" s="710" t="str">
        <v>1613.par</v>
      </c>
      <c r="AV207" s="82" t="str">
        <v>0,102,204</v>
      </c>
      <c r="AW207" s="947">
        <v>-15</v>
      </c>
      <c r="AX207" s="947">
        <v>3.1065909129673352</v>
      </c>
      <c r="AY207" s="947">
        <v>-18.106590912967334</v>
      </c>
    </row>
    <row r="208" spans="2:51" x14ac:dyDescent="0.25">
      <c r="B208" s="650"/>
      <c r="C208" s="651"/>
      <c r="D208" s="652"/>
      <c r="E208" s="653"/>
      <c r="F208" s="651"/>
      <c r="G208" s="654"/>
      <c r="H208" s="653"/>
      <c r="I208" s="920"/>
      <c r="J208" s="924"/>
      <c r="K208" s="790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/>
      </c>
      <c r="L208" s="940"/>
      <c r="M208" s="970"/>
      <c r="N208" s="941"/>
      <c r="O208" s="942"/>
      <c r="Q208" s="162" t="str">
        <f t="shared" si="1067"/>
        <v/>
      </c>
      <c r="R208" s="162" t="str">
        <f t="shared" si="1068"/>
        <v/>
      </c>
      <c r="S208" s="162" t="str">
        <f t="shared" si="1069"/>
        <v/>
      </c>
      <c r="T208" s="162" t="str">
        <f t="shared" si="1070"/>
        <v/>
      </c>
      <c r="U208" s="162" t="str">
        <f t="shared" si="1071"/>
        <v/>
      </c>
      <c r="V208" s="162" t="str">
        <f t="shared" si="1072"/>
        <v/>
      </c>
      <c r="W208" s="162" t="str">
        <f>IFERROR(IF(ISNUMBER(MATCH($Z208,Settings!$AK$28:$AK$36,0)),INDEX(Settings!$AO$14:$AO$36,MATCH($Z208,Settings!$AK$14:$AK$36,0))/2,INDEX(Settings!$AM$14:$AM$36,MATCH($Z208,Settings!$AK$14:$AK$36,0))/2),"")</f>
        <v/>
      </c>
      <c r="X208" s="162" t="str">
        <f t="shared" si="1073"/>
        <v/>
      </c>
      <c r="Y208" s="75"/>
      <c r="Z208" s="917" t="str">
        <f t="shared" si="1074"/>
        <v/>
      </c>
      <c r="AA208" s="82"/>
      <c r="AB208" s="75"/>
      <c r="AC208" s="75"/>
      <c r="AD208" s="166"/>
      <c r="AE208" s="75">
        <v>4.1189999999999998</v>
      </c>
      <c r="AF208" s="82">
        <v>4</v>
      </c>
      <c r="AG208" s="82">
        <v>1</v>
      </c>
      <c r="AH208" s="82">
        <v>2</v>
      </c>
      <c r="AI208" s="82">
        <v>0.99999999998544808</v>
      </c>
      <c r="AJ208" s="166">
        <v>4.1192099999999998</v>
      </c>
      <c r="AK208" s="82">
        <v>4.11911</v>
      </c>
      <c r="AL208" s="162">
        <v>0</v>
      </c>
      <c r="AM208" s="162">
        <v>0</v>
      </c>
      <c r="AN208" s="162">
        <v>0</v>
      </c>
      <c r="AO208" s="162">
        <v>2.1726470018021047</v>
      </c>
      <c r="AP208" s="162">
        <v>0</v>
      </c>
      <c r="AQ208" s="162">
        <v>0</v>
      </c>
      <c r="AR208" s="710" t="str">
        <v>1313.par</v>
      </c>
      <c r="AV208" s="82" t="str">
        <v>0,204,204</v>
      </c>
      <c r="AW208" s="947">
        <v>85</v>
      </c>
      <c r="AX208" s="947">
        <v>82.827352998197895</v>
      </c>
      <c r="AY208" s="947">
        <v>2.1726470018021047</v>
      </c>
    </row>
    <row r="209" spans="2:51" x14ac:dyDescent="0.25">
      <c r="B209" s="650"/>
      <c r="C209" s="651"/>
      <c r="D209" s="652"/>
      <c r="E209" s="653"/>
      <c r="F209" s="651"/>
      <c r="G209" s="654"/>
      <c r="H209" s="653"/>
      <c r="I209" s="920"/>
      <c r="J209" s="924"/>
      <c r="K209" s="790" t="str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/>
      </c>
      <c r="L209" s="940"/>
      <c r="M209" s="970"/>
      <c r="N209" s="941"/>
      <c r="O209" s="942"/>
      <c r="Q209" s="162" t="str">
        <f t="shared" si="1067"/>
        <v/>
      </c>
      <c r="R209" s="162" t="str">
        <f t="shared" si="1068"/>
        <v/>
      </c>
      <c r="S209" s="162" t="str">
        <f t="shared" si="1069"/>
        <v/>
      </c>
      <c r="T209" s="162" t="str">
        <f t="shared" si="1070"/>
        <v/>
      </c>
      <c r="U209" s="162" t="str">
        <f t="shared" si="1071"/>
        <v/>
      </c>
      <c r="V209" s="162" t="str">
        <f t="shared" si="1072"/>
        <v/>
      </c>
      <c r="W209" s="162" t="str">
        <f>IFERROR(IF(ISNUMBER(MATCH($Z209,Settings!$AK$28:$AK$36,0)),INDEX(Settings!$AO$14:$AO$36,MATCH($Z209,Settings!$AK$14:$AK$36,0))/2,INDEX(Settings!$AM$14:$AM$36,MATCH($Z209,Settings!$AK$14:$AK$36,0))/2),"")</f>
        <v/>
      </c>
      <c r="X209" s="162" t="str">
        <f t="shared" si="1073"/>
        <v/>
      </c>
      <c r="Y209" s="75"/>
      <c r="Z209" s="917" t="str">
        <f t="shared" si="1074"/>
        <v/>
      </c>
      <c r="AA209" s="82"/>
      <c r="AB209" s="75"/>
      <c r="AC209" s="75"/>
      <c r="AD209" s="166"/>
      <c r="AE209" s="75">
        <v>4.1159999999999997</v>
      </c>
      <c r="AF209" s="82">
        <v>4</v>
      </c>
      <c r="AG209" s="82">
        <v>1</v>
      </c>
      <c r="AH209" s="82">
        <v>2</v>
      </c>
      <c r="AI209" s="82">
        <v>0.99999999998544808</v>
      </c>
      <c r="AJ209" s="166">
        <v>4.1162099999999997</v>
      </c>
      <c r="AK209" s="82">
        <v>4.1161099999999999</v>
      </c>
      <c r="AL209" s="162">
        <v>0</v>
      </c>
      <c r="AM209" s="162">
        <v>0</v>
      </c>
      <c r="AN209" s="162">
        <v>0</v>
      </c>
      <c r="AO209" s="162">
        <v>3.5246554983409055</v>
      </c>
      <c r="AP209" s="162">
        <v>0</v>
      </c>
      <c r="AQ209" s="162">
        <v>0</v>
      </c>
      <c r="AR209" s="710" t="str">
        <v>1613.par</v>
      </c>
      <c r="AV209" s="82" t="str">
        <v>0,204,204</v>
      </c>
      <c r="AW209" s="947">
        <v>78.400000000000006</v>
      </c>
      <c r="AX209" s="947">
        <v>74.8753445016591</v>
      </c>
      <c r="AY209" s="947">
        <v>3.5246554983409055</v>
      </c>
    </row>
    <row r="210" spans="2:51" x14ac:dyDescent="0.25">
      <c r="B210" s="650"/>
      <c r="C210" s="651"/>
      <c r="D210" s="652"/>
      <c r="E210" s="653"/>
      <c r="F210" s="651"/>
      <c r="G210" s="654"/>
      <c r="H210" s="653"/>
      <c r="I210" s="920"/>
      <c r="J210" s="924"/>
      <c r="K210" s="790" t="str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/>
      </c>
      <c r="L210" s="940"/>
      <c r="M210" s="970"/>
      <c r="N210" s="941"/>
      <c r="O210" s="942"/>
      <c r="Q210" s="162" t="str">
        <f t="shared" ref="Q210:Q273" si="1075">IFERROR(INDEX(B$164:B$305,MATCH($Y210,$J$164:$J$305,0)),"")</f>
        <v/>
      </c>
      <c r="R210" s="162" t="str">
        <f t="shared" ref="R210:R273" si="1076">IFERROR(INDEX(C$164:C$305,MATCH($Y210,$J$164:$J$305,0)),"")</f>
        <v/>
      </c>
      <c r="S210" s="162" t="str">
        <f t="shared" ref="S210:S273" si="1077">IFERROR(INDEX(D$164:D$305,MATCH($Y210,$J$164:$J$305,0)),"")</f>
        <v/>
      </c>
      <c r="T210" s="162" t="str">
        <f t="shared" ref="T210:T273" si="1078">IFERROR(IF($N210="Y",-1*INDEX(E$164:E$305,MATCH($Y210,$J$164:$J$305,0)),INDEX(E$164:E$305,MATCH($Y210,$J$164:$J$305,0))),"")</f>
        <v/>
      </c>
      <c r="U210" s="162" t="str">
        <f t="shared" ref="U210:U273" si="1079">IFERROR(IF($N210="Y",-1*INDEX(F$164:F$305,MATCH($Y210,$J$164:$J$305,0)),INDEX(F$164:F$305,MATCH($Y210,$J$164:$J$305,0))),"")</f>
        <v/>
      </c>
      <c r="V210" s="162" t="str">
        <f t="shared" ref="V210:V273" si="1080">IFERROR(IF($N210="Y",-1*INDEX(G$164:G$305,MATCH($Y210,$J$164:$J$305,0)),INDEX(G$164:G$305,MATCH($Y210,$J$164:$J$305,0))),"")</f>
        <v/>
      </c>
      <c r="W210" s="162" t="str">
        <f>IFERROR(IF(ISNUMBER(MATCH($Z210,Settings!$AK$28:$AK$36,0)),INDEX(Settings!$AO$14:$AO$36,MATCH($Z210,Settings!$AK$14:$AK$36,0))/2,INDEX(Settings!$AM$14:$AM$36,MATCH($Z210,Settings!$AK$14:$AK$36,0))/2),"")</f>
        <v/>
      </c>
      <c r="X210" s="162" t="str">
        <f t="shared" ref="X210:X273" si="1081">IFERROR(INDEX(I$164:I$305,MATCH($Y210,$J$164:$J$305,0)),"")</f>
        <v/>
      </c>
      <c r="Y210" s="75"/>
      <c r="Z210" s="917" t="str">
        <f t="shared" ref="Z210:Z273" si="1082">IFERROR(INDEX(K$164:K$305,MATCH($Y210,$J$164:$J$305,0)),"")</f>
        <v/>
      </c>
      <c r="AA210" s="82"/>
      <c r="AB210" s="75"/>
      <c r="AC210" s="75"/>
      <c r="AD210" s="166"/>
      <c r="AE210" s="75">
        <v>4.1130000000000004</v>
      </c>
      <c r="AF210" s="82">
        <v>4</v>
      </c>
      <c r="AG210" s="82">
        <v>1</v>
      </c>
      <c r="AH210" s="82">
        <v>2</v>
      </c>
      <c r="AI210" s="82">
        <v>1.0000000000582077</v>
      </c>
      <c r="AJ210" s="166">
        <v>4.1132100000000005</v>
      </c>
      <c r="AK210" s="82">
        <v>4.1131100000000007</v>
      </c>
      <c r="AL210" s="162">
        <v>0</v>
      </c>
      <c r="AM210" s="162">
        <v>0</v>
      </c>
      <c r="AN210" s="162">
        <v>0</v>
      </c>
      <c r="AO210" s="162">
        <v>-7.8466164241372951</v>
      </c>
      <c r="AP210" s="162">
        <v>0</v>
      </c>
      <c r="AQ210" s="162">
        <v>0</v>
      </c>
      <c r="AR210" s="710" t="str">
        <v>1613 Ripper.par</v>
      </c>
      <c r="AV210" s="82" t="str">
        <v>0,204,204</v>
      </c>
      <c r="AW210" s="947">
        <v>45.3</v>
      </c>
      <c r="AX210" s="947">
        <v>53.146616424137292</v>
      </c>
      <c r="AY210" s="947">
        <v>-7.8466164241372951</v>
      </c>
    </row>
    <row r="211" spans="2:51" x14ac:dyDescent="0.25">
      <c r="B211" s="650"/>
      <c r="C211" s="651"/>
      <c r="D211" s="652"/>
      <c r="E211" s="653"/>
      <c r="F211" s="651"/>
      <c r="G211" s="654"/>
      <c r="H211" s="653"/>
      <c r="I211" s="920"/>
      <c r="J211" s="924"/>
      <c r="K211" s="790" t="str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/>
      </c>
      <c r="L211" s="940"/>
      <c r="M211" s="970"/>
      <c r="N211" s="941"/>
      <c r="O211" s="942"/>
      <c r="Q211" s="162" t="str">
        <f t="shared" si="1075"/>
        <v/>
      </c>
      <c r="R211" s="162" t="str">
        <f t="shared" si="1076"/>
        <v/>
      </c>
      <c r="S211" s="162" t="str">
        <f t="shared" si="1077"/>
        <v/>
      </c>
      <c r="T211" s="162" t="str">
        <f t="shared" si="1078"/>
        <v/>
      </c>
      <c r="U211" s="162" t="str">
        <f t="shared" si="1079"/>
        <v/>
      </c>
      <c r="V211" s="162" t="str">
        <f t="shared" si="1080"/>
        <v/>
      </c>
      <c r="W211" s="162" t="str">
        <f>IFERROR(IF(ISNUMBER(MATCH($Z211,Settings!$AK$28:$AK$36,0)),INDEX(Settings!$AO$14:$AO$36,MATCH($Z211,Settings!$AK$14:$AK$36,0))/2,INDEX(Settings!$AM$14:$AM$36,MATCH($Z211,Settings!$AK$14:$AK$36,0))/2),"")</f>
        <v/>
      </c>
      <c r="X211" s="162" t="str">
        <f t="shared" si="1081"/>
        <v/>
      </c>
      <c r="Y211" s="75"/>
      <c r="Z211" s="917" t="str">
        <f t="shared" si="1082"/>
        <v/>
      </c>
      <c r="AA211" s="82"/>
      <c r="AB211" s="75"/>
      <c r="AC211" s="75"/>
      <c r="AD211" s="166"/>
      <c r="AE211" s="75">
        <v>4.1100000000000003</v>
      </c>
      <c r="AF211" s="82">
        <v>4</v>
      </c>
      <c r="AG211" s="82">
        <v>1</v>
      </c>
      <c r="AH211" s="82">
        <v>2</v>
      </c>
      <c r="AI211" s="82">
        <v>1.0000000000582077</v>
      </c>
      <c r="AJ211" s="166">
        <v>4.1102100000000004</v>
      </c>
      <c r="AK211" s="82">
        <v>4.1101100000000006</v>
      </c>
      <c r="AL211" s="162">
        <v>0</v>
      </c>
      <c r="AM211" s="162">
        <v>0</v>
      </c>
      <c r="AN211" s="162">
        <v>0</v>
      </c>
      <c r="AO211" s="162">
        <v>-11.268586026272375</v>
      </c>
      <c r="AP211" s="162">
        <v>0</v>
      </c>
      <c r="AQ211" s="162">
        <v>0</v>
      </c>
      <c r="AR211" s="710" t="str">
        <v>1613.par</v>
      </c>
      <c r="AV211" s="82" t="str">
        <v>0,204,204</v>
      </c>
      <c r="AW211" s="947">
        <v>11.6</v>
      </c>
      <c r="AX211" s="947">
        <v>22.868586026272375</v>
      </c>
      <c r="AY211" s="947">
        <v>-11.268586026272375</v>
      </c>
    </row>
    <row r="212" spans="2:51" x14ac:dyDescent="0.25">
      <c r="B212" s="650"/>
      <c r="C212" s="651"/>
      <c r="D212" s="652"/>
      <c r="E212" s="653"/>
      <c r="F212" s="651"/>
      <c r="G212" s="654"/>
      <c r="H212" s="653"/>
      <c r="I212" s="920"/>
      <c r="J212" s="924"/>
      <c r="K212" s="790" t="str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/>
      </c>
      <c r="L212" s="940"/>
      <c r="M212" s="970"/>
      <c r="N212" s="941"/>
      <c r="O212" s="942"/>
      <c r="Q212" s="162" t="str">
        <f t="shared" si="1075"/>
        <v/>
      </c>
      <c r="R212" s="162" t="str">
        <f t="shared" si="1076"/>
        <v/>
      </c>
      <c r="S212" s="162" t="str">
        <f t="shared" si="1077"/>
        <v/>
      </c>
      <c r="T212" s="162" t="str">
        <f t="shared" si="1078"/>
        <v/>
      </c>
      <c r="U212" s="162" t="str">
        <f t="shared" si="1079"/>
        <v/>
      </c>
      <c r="V212" s="162" t="str">
        <f t="shared" si="1080"/>
        <v/>
      </c>
      <c r="W212" s="162" t="str">
        <f>IFERROR(IF(ISNUMBER(MATCH($Z212,Settings!$AK$28:$AK$36,0)),INDEX(Settings!$AO$14:$AO$36,MATCH($Z212,Settings!$AK$14:$AK$36,0))/2,INDEX(Settings!$AM$14:$AM$36,MATCH($Z212,Settings!$AK$14:$AK$36,0))/2),"")</f>
        <v/>
      </c>
      <c r="X212" s="162" t="str">
        <f t="shared" si="1081"/>
        <v/>
      </c>
      <c r="Y212" s="75"/>
      <c r="Z212" s="917" t="str">
        <f t="shared" si="1082"/>
        <v/>
      </c>
      <c r="AA212" s="82"/>
      <c r="AB212" s="75"/>
      <c r="AC212" s="75"/>
      <c r="AD212" s="166"/>
      <c r="AE212" s="75">
        <v>3.1179999999999999</v>
      </c>
      <c r="AF212" s="82">
        <v>3</v>
      </c>
      <c r="AG212" s="82">
        <v>1</v>
      </c>
      <c r="AH212" s="82">
        <v>2</v>
      </c>
      <c r="AI212" s="82">
        <v>0.99999999998544808</v>
      </c>
      <c r="AJ212" s="166">
        <v>3.1182099999999999</v>
      </c>
      <c r="AK212" s="82">
        <v>3.1181099999999997</v>
      </c>
      <c r="AL212" s="162">
        <v>0</v>
      </c>
      <c r="AM212" s="162">
        <v>0</v>
      </c>
      <c r="AN212" s="162">
        <v>0</v>
      </c>
      <c r="AO212" s="162">
        <v>2.1727106536177843</v>
      </c>
      <c r="AP212" s="162">
        <v>0</v>
      </c>
      <c r="AQ212" s="162">
        <v>0</v>
      </c>
      <c r="AR212" s="710" t="str">
        <v>1313.par</v>
      </c>
      <c r="AV212" s="82" t="str">
        <v>0,204,0</v>
      </c>
      <c r="AW212" s="947">
        <v>85</v>
      </c>
      <c r="AX212" s="947">
        <v>82.827289346382216</v>
      </c>
      <c r="AY212" s="947">
        <v>2.1727106536177843</v>
      </c>
    </row>
    <row r="213" spans="2:51" x14ac:dyDescent="0.25">
      <c r="B213" s="650"/>
      <c r="C213" s="651"/>
      <c r="D213" s="652"/>
      <c r="E213" s="653"/>
      <c r="F213" s="651"/>
      <c r="G213" s="654"/>
      <c r="H213" s="653"/>
      <c r="I213" s="920"/>
      <c r="J213" s="924"/>
      <c r="K213" s="790" t="str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/>
      </c>
      <c r="L213" s="940"/>
      <c r="M213" s="970"/>
      <c r="N213" s="941"/>
      <c r="O213" s="942"/>
      <c r="Q213" s="162" t="str">
        <f t="shared" si="1075"/>
        <v/>
      </c>
      <c r="R213" s="162" t="str">
        <f t="shared" si="1076"/>
        <v/>
      </c>
      <c r="S213" s="162" t="str">
        <f t="shared" si="1077"/>
        <v/>
      </c>
      <c r="T213" s="162" t="str">
        <f t="shared" si="1078"/>
        <v/>
      </c>
      <c r="U213" s="162" t="str">
        <f t="shared" si="1079"/>
        <v/>
      </c>
      <c r="V213" s="162" t="str">
        <f t="shared" si="1080"/>
        <v/>
      </c>
      <c r="W213" s="162" t="str">
        <f>IFERROR(IF(ISNUMBER(MATCH($Z213,Settings!$AK$28:$AK$36,0)),INDEX(Settings!$AO$14:$AO$36,MATCH($Z213,Settings!$AK$14:$AK$36,0))/2,INDEX(Settings!$AM$14:$AM$36,MATCH($Z213,Settings!$AK$14:$AK$36,0))/2),"")</f>
        <v/>
      </c>
      <c r="X213" s="162" t="str">
        <f t="shared" si="1081"/>
        <v/>
      </c>
      <c r="Y213" s="75"/>
      <c r="Z213" s="917" t="str">
        <f t="shared" si="1082"/>
        <v/>
      </c>
      <c r="AA213" s="82"/>
      <c r="AB213" s="75"/>
      <c r="AC213" s="75"/>
      <c r="AD213" s="166"/>
      <c r="AE213" s="75">
        <v>3.1150000000000002</v>
      </c>
      <c r="AF213" s="82">
        <v>3</v>
      </c>
      <c r="AG213" s="82">
        <v>1</v>
      </c>
      <c r="AH213" s="82">
        <v>2</v>
      </c>
      <c r="AI213" s="82">
        <v>1.0000000000218279</v>
      </c>
      <c r="AJ213" s="166">
        <v>3.1152100000000003</v>
      </c>
      <c r="AK213" s="82">
        <v>3.11511</v>
      </c>
      <c r="AL213" s="162">
        <v>0</v>
      </c>
      <c r="AM213" s="162">
        <v>0</v>
      </c>
      <c r="AN213" s="162">
        <v>0</v>
      </c>
      <c r="AO213" s="162">
        <v>1.4605742312702574</v>
      </c>
      <c r="AP213" s="162">
        <v>0</v>
      </c>
      <c r="AQ213" s="162">
        <v>0</v>
      </c>
      <c r="AR213" s="710" t="str">
        <v>1613.par</v>
      </c>
      <c r="AV213" s="82" t="str">
        <v>0,204,0</v>
      </c>
      <c r="AW213" s="947">
        <v>67.400000000000006</v>
      </c>
      <c r="AX213" s="947">
        <v>65.939425768729748</v>
      </c>
      <c r="AY213" s="947">
        <v>1.4605742312702574</v>
      </c>
    </row>
    <row r="214" spans="2:51" x14ac:dyDescent="0.25">
      <c r="B214" s="650"/>
      <c r="C214" s="651"/>
      <c r="D214" s="652"/>
      <c r="E214" s="653"/>
      <c r="F214" s="651"/>
      <c r="G214" s="654"/>
      <c r="H214" s="653"/>
      <c r="I214" s="920"/>
      <c r="J214" s="924"/>
      <c r="K214" s="790" t="str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/>
      </c>
      <c r="L214" s="940"/>
      <c r="M214" s="970"/>
      <c r="N214" s="941"/>
      <c r="O214" s="942"/>
      <c r="Q214" s="162" t="str">
        <f t="shared" si="1075"/>
        <v/>
      </c>
      <c r="R214" s="162" t="str">
        <f t="shared" si="1076"/>
        <v/>
      </c>
      <c r="S214" s="162" t="str">
        <f t="shared" si="1077"/>
        <v/>
      </c>
      <c r="T214" s="162" t="str">
        <f t="shared" si="1078"/>
        <v/>
      </c>
      <c r="U214" s="162" t="str">
        <f t="shared" si="1079"/>
        <v/>
      </c>
      <c r="V214" s="162" t="str">
        <f t="shared" si="1080"/>
        <v/>
      </c>
      <c r="W214" s="162" t="str">
        <f>IFERROR(IF(ISNUMBER(MATCH($Z214,Settings!$AK$28:$AK$36,0)),INDEX(Settings!$AO$14:$AO$36,MATCH($Z214,Settings!$AK$14:$AK$36,0))/2,INDEX(Settings!$AM$14:$AM$36,MATCH($Z214,Settings!$AK$14:$AK$36,0))/2),"")</f>
        <v/>
      </c>
      <c r="X214" s="162" t="str">
        <f t="shared" si="1081"/>
        <v/>
      </c>
      <c r="Y214" s="75"/>
      <c r="Z214" s="917" t="str">
        <f t="shared" si="1082"/>
        <v/>
      </c>
      <c r="AA214" s="82"/>
      <c r="AB214" s="75"/>
      <c r="AC214" s="75"/>
      <c r="AD214" s="166"/>
      <c r="AE214" s="75">
        <v>3.1120000000000001</v>
      </c>
      <c r="AF214" s="82">
        <v>3</v>
      </c>
      <c r="AG214" s="82">
        <v>1</v>
      </c>
      <c r="AH214" s="82">
        <v>2</v>
      </c>
      <c r="AI214" s="82">
        <v>1.0000000000218279</v>
      </c>
      <c r="AJ214" s="166">
        <v>3.1122100000000001</v>
      </c>
      <c r="AK214" s="82">
        <v>3.1121099999999999</v>
      </c>
      <c r="AL214" s="162">
        <v>0</v>
      </c>
      <c r="AM214" s="162">
        <v>0</v>
      </c>
      <c r="AN214" s="162">
        <v>0</v>
      </c>
      <c r="AO214" s="162">
        <v>-10.063828655907123</v>
      </c>
      <c r="AP214" s="162">
        <v>0</v>
      </c>
      <c r="AQ214" s="162">
        <v>0</v>
      </c>
      <c r="AR214" s="710" t="str">
        <v>1613 Ripper.par</v>
      </c>
      <c r="AV214" s="82" t="str">
        <v>0,204,0</v>
      </c>
      <c r="AW214" s="947">
        <v>34.1</v>
      </c>
      <c r="AX214" s="947">
        <v>44.163828655907125</v>
      </c>
      <c r="AY214" s="947">
        <v>-10.063828655907123</v>
      </c>
    </row>
    <row r="215" spans="2:51" x14ac:dyDescent="0.25">
      <c r="B215" s="650"/>
      <c r="C215" s="651"/>
      <c r="D215" s="652"/>
      <c r="E215" s="653"/>
      <c r="F215" s="651"/>
      <c r="G215" s="654"/>
      <c r="H215" s="653"/>
      <c r="I215" s="920"/>
      <c r="J215" s="924"/>
      <c r="K215" s="790" t="str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/>
      </c>
      <c r="L215" s="940"/>
      <c r="M215" s="970"/>
      <c r="N215" s="941"/>
      <c r="O215" s="942"/>
      <c r="Q215" s="162" t="str">
        <f t="shared" si="1075"/>
        <v/>
      </c>
      <c r="R215" s="162" t="str">
        <f t="shared" si="1076"/>
        <v/>
      </c>
      <c r="S215" s="162" t="str">
        <f t="shared" si="1077"/>
        <v/>
      </c>
      <c r="T215" s="162" t="str">
        <f t="shared" si="1078"/>
        <v/>
      </c>
      <c r="U215" s="162" t="str">
        <f t="shared" si="1079"/>
        <v/>
      </c>
      <c r="V215" s="162" t="str">
        <f t="shared" si="1080"/>
        <v/>
      </c>
      <c r="W215" s="162" t="str">
        <f>IFERROR(IF(ISNUMBER(MATCH($Z215,Settings!$AK$28:$AK$36,0)),INDEX(Settings!$AO$14:$AO$36,MATCH($Z215,Settings!$AK$14:$AK$36,0))/2,INDEX(Settings!$AM$14:$AM$36,MATCH($Z215,Settings!$AK$14:$AK$36,0))/2),"")</f>
        <v/>
      </c>
      <c r="X215" s="162" t="str">
        <f t="shared" si="1081"/>
        <v/>
      </c>
      <c r="Y215" s="75"/>
      <c r="Z215" s="917" t="str">
        <f t="shared" si="1082"/>
        <v/>
      </c>
      <c r="AA215" s="82"/>
      <c r="AB215" s="75"/>
      <c r="AC215" s="75"/>
      <c r="AD215" s="166"/>
      <c r="AE215" s="75">
        <v>3.109</v>
      </c>
      <c r="AF215" s="82">
        <v>3</v>
      </c>
      <c r="AG215" s="82">
        <v>1</v>
      </c>
      <c r="AH215" s="82">
        <v>2</v>
      </c>
      <c r="AI215" s="82">
        <v>0.99999999998544808</v>
      </c>
      <c r="AJ215" s="166">
        <v>3.10921</v>
      </c>
      <c r="AK215" s="82">
        <v>3.1091099999999998</v>
      </c>
      <c r="AL215" s="162">
        <v>0</v>
      </c>
      <c r="AM215" s="162">
        <v>0</v>
      </c>
      <c r="AN215" s="162">
        <v>0</v>
      </c>
      <c r="AO215" s="162">
        <v>-12.617901912472622</v>
      </c>
      <c r="AP215" s="162">
        <v>0</v>
      </c>
      <c r="AQ215" s="162">
        <v>0</v>
      </c>
      <c r="AR215" s="710" t="str">
        <v>1613 Ripper.par</v>
      </c>
      <c r="AV215" s="82" t="str">
        <v>0,204,0</v>
      </c>
      <c r="AW215" s="947">
        <v>-0.4</v>
      </c>
      <c r="AX215" s="947">
        <v>12.217901912472621</v>
      </c>
      <c r="AY215" s="947">
        <v>-12.617901912472622</v>
      </c>
    </row>
    <row r="216" spans="2:51" x14ac:dyDescent="0.25">
      <c r="B216" s="650"/>
      <c r="C216" s="651"/>
      <c r="D216" s="652"/>
      <c r="E216" s="653"/>
      <c r="F216" s="651"/>
      <c r="G216" s="654"/>
      <c r="H216" s="653"/>
      <c r="I216" s="920"/>
      <c r="J216" s="924"/>
      <c r="K216" s="790" t="str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/>
      </c>
      <c r="L216" s="940"/>
      <c r="M216" s="970"/>
      <c r="N216" s="941"/>
      <c r="O216" s="942"/>
      <c r="Q216" s="162" t="str">
        <f t="shared" si="1075"/>
        <v/>
      </c>
      <c r="R216" s="162" t="str">
        <f t="shared" si="1076"/>
        <v/>
      </c>
      <c r="S216" s="162" t="str">
        <f t="shared" si="1077"/>
        <v/>
      </c>
      <c r="T216" s="162" t="str">
        <f t="shared" si="1078"/>
        <v/>
      </c>
      <c r="U216" s="162" t="str">
        <f t="shared" si="1079"/>
        <v/>
      </c>
      <c r="V216" s="162" t="str">
        <f t="shared" si="1080"/>
        <v/>
      </c>
      <c r="W216" s="162" t="str">
        <f>IFERROR(IF(ISNUMBER(MATCH($Z216,Settings!$AK$28:$AK$36,0)),INDEX(Settings!$AO$14:$AO$36,MATCH($Z216,Settings!$AK$14:$AK$36,0))/2,INDEX(Settings!$AM$14:$AM$36,MATCH($Z216,Settings!$AK$14:$AK$36,0))/2),"")</f>
        <v/>
      </c>
      <c r="X216" s="162" t="str">
        <f t="shared" si="1081"/>
        <v/>
      </c>
      <c r="Y216" s="75"/>
      <c r="Z216" s="917" t="str">
        <f t="shared" si="1082"/>
        <v/>
      </c>
      <c r="AA216" s="82"/>
      <c r="AB216" s="75"/>
      <c r="AC216" s="75"/>
      <c r="AD216" s="166"/>
      <c r="AE216" s="75">
        <v>3.1059999999999999</v>
      </c>
      <c r="AF216" s="82">
        <v>3</v>
      </c>
      <c r="AG216" s="82">
        <v>1</v>
      </c>
      <c r="AH216" s="82">
        <v>2</v>
      </c>
      <c r="AI216" s="82">
        <v>0.99999999998544808</v>
      </c>
      <c r="AJ216" s="166">
        <v>3.1062099999999999</v>
      </c>
      <c r="AK216" s="82">
        <v>3.1061099999999997</v>
      </c>
      <c r="AL216" s="162">
        <v>0</v>
      </c>
      <c r="AM216" s="162">
        <v>0</v>
      </c>
      <c r="AN216" s="162">
        <v>0</v>
      </c>
      <c r="AO216" s="162">
        <v>-16.376414704065411</v>
      </c>
      <c r="AP216" s="162">
        <v>0</v>
      </c>
      <c r="AQ216" s="162">
        <v>0</v>
      </c>
      <c r="AR216" s="710" t="str">
        <v>1613 Ripper.par</v>
      </c>
      <c r="AV216" s="82" t="str">
        <v>0,204,0</v>
      </c>
      <c r="AW216" s="947">
        <v>-15</v>
      </c>
      <c r="AX216" s="947">
        <v>1.3764147040654124</v>
      </c>
      <c r="AY216" s="947">
        <v>-16.376414704065411</v>
      </c>
    </row>
    <row r="217" spans="2:51" x14ac:dyDescent="0.25">
      <c r="B217" s="650"/>
      <c r="C217" s="651"/>
      <c r="D217" s="652"/>
      <c r="E217" s="653"/>
      <c r="F217" s="651"/>
      <c r="G217" s="654"/>
      <c r="H217" s="653"/>
      <c r="I217" s="920"/>
      <c r="J217" s="924"/>
      <c r="K217" s="790" t="str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/>
      </c>
      <c r="L217" s="940"/>
      <c r="M217" s="970"/>
      <c r="N217" s="941"/>
      <c r="O217" s="942"/>
      <c r="Q217" s="162" t="str">
        <f t="shared" si="1075"/>
        <v/>
      </c>
      <c r="R217" s="162" t="str">
        <f t="shared" si="1076"/>
        <v/>
      </c>
      <c r="S217" s="162" t="str">
        <f t="shared" si="1077"/>
        <v/>
      </c>
      <c r="T217" s="162" t="str">
        <f t="shared" si="1078"/>
        <v/>
      </c>
      <c r="U217" s="162" t="str">
        <f t="shared" si="1079"/>
        <v/>
      </c>
      <c r="V217" s="162" t="str">
        <f t="shared" si="1080"/>
        <v/>
      </c>
      <c r="W217" s="162" t="str">
        <f>IFERROR(IF(ISNUMBER(MATCH($Z217,Settings!$AK$28:$AK$36,0)),INDEX(Settings!$AO$14:$AO$36,MATCH($Z217,Settings!$AK$14:$AK$36,0))/2,INDEX(Settings!$AM$14:$AM$36,MATCH($Z217,Settings!$AK$14:$AK$36,0))/2),"")</f>
        <v/>
      </c>
      <c r="X217" s="162" t="str">
        <f t="shared" si="1081"/>
        <v/>
      </c>
      <c r="Y217" s="75"/>
      <c r="Z217" s="917" t="str">
        <f t="shared" si="1082"/>
        <v/>
      </c>
      <c r="AA217" s="82"/>
      <c r="AB217" s="75"/>
      <c r="AC217" s="75"/>
      <c r="AD217" s="166"/>
      <c r="AE217" s="75">
        <v>3.1030000000000002</v>
      </c>
      <c r="AF217" s="82">
        <v>3</v>
      </c>
      <c r="AG217" s="82">
        <v>1</v>
      </c>
      <c r="AH217" s="82">
        <v>2</v>
      </c>
      <c r="AI217" s="82">
        <v>1.0000000000218279</v>
      </c>
      <c r="AJ217" s="166">
        <v>3.1032100000000002</v>
      </c>
      <c r="AK217" s="82">
        <v>3.10311</v>
      </c>
      <c r="AL217" s="162">
        <v>0</v>
      </c>
      <c r="AM217" s="162">
        <v>0</v>
      </c>
      <c r="AN217" s="162">
        <v>0</v>
      </c>
      <c r="AO217" s="162">
        <v>-17.381250328462578</v>
      </c>
      <c r="AP217" s="162">
        <v>0</v>
      </c>
      <c r="AQ217" s="162">
        <v>0</v>
      </c>
      <c r="AR217" s="710" t="str">
        <v>1613.par</v>
      </c>
      <c r="AV217" s="82" t="str">
        <v>0,204,0</v>
      </c>
      <c r="AW217" s="947">
        <v>-15</v>
      </c>
      <c r="AX217" s="947">
        <v>2.3812503284625786</v>
      </c>
      <c r="AY217" s="947">
        <v>-17.381250328462578</v>
      </c>
    </row>
    <row r="218" spans="2:51" x14ac:dyDescent="0.25">
      <c r="B218" s="650"/>
      <c r="C218" s="651"/>
      <c r="D218" s="652"/>
      <c r="E218" s="653"/>
      <c r="F218" s="651"/>
      <c r="G218" s="654"/>
      <c r="H218" s="653"/>
      <c r="I218" s="920"/>
      <c r="J218" s="924"/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/>
      </c>
      <c r="L218" s="940"/>
      <c r="M218" s="970"/>
      <c r="N218" s="941"/>
      <c r="O218" s="942"/>
      <c r="Q218" s="162" t="str">
        <f t="shared" si="1075"/>
        <v/>
      </c>
      <c r="R218" s="162" t="str">
        <f t="shared" si="1076"/>
        <v/>
      </c>
      <c r="S218" s="162" t="str">
        <f t="shared" si="1077"/>
        <v/>
      </c>
      <c r="T218" s="162" t="str">
        <f t="shared" si="1078"/>
        <v/>
      </c>
      <c r="U218" s="162" t="str">
        <f t="shared" si="1079"/>
        <v/>
      </c>
      <c r="V218" s="162" t="str">
        <f t="shared" si="1080"/>
        <v/>
      </c>
      <c r="W218" s="162" t="str">
        <f>IFERROR(IF(ISNUMBER(MATCH($Z218,Settings!$AK$28:$AK$36,0)),INDEX(Settings!$AO$14:$AO$36,MATCH($Z218,Settings!$AK$14:$AK$36,0))/2,INDEX(Settings!$AM$14:$AM$36,MATCH($Z218,Settings!$AK$14:$AK$36,0))/2),"")</f>
        <v/>
      </c>
      <c r="X218" s="162" t="str">
        <f t="shared" si="1081"/>
        <v/>
      </c>
      <c r="Y218" s="75"/>
      <c r="Z218" s="917" t="str">
        <f t="shared" si="1082"/>
        <v/>
      </c>
      <c r="AA218" s="82"/>
      <c r="AB218" s="75"/>
      <c r="AC218" s="75"/>
      <c r="AD218" s="166"/>
      <c r="AE218" s="75">
        <v>2.12</v>
      </c>
      <c r="AF218" s="82">
        <v>2</v>
      </c>
      <c r="AG218" s="82">
        <v>1</v>
      </c>
      <c r="AH218" s="82">
        <v>2</v>
      </c>
      <c r="AI218" s="82">
        <v>1.0000000000218279</v>
      </c>
      <c r="AJ218" s="166">
        <v>2.1202100000000002</v>
      </c>
      <c r="AK218" s="82">
        <v>2.1201099999999999</v>
      </c>
      <c r="AL218" s="162">
        <v>0</v>
      </c>
      <c r="AM218" s="162">
        <v>0</v>
      </c>
      <c r="AN218" s="162">
        <v>0</v>
      </c>
      <c r="AO218" s="162">
        <v>2.1725566576071458</v>
      </c>
      <c r="AP218" s="162">
        <v>0</v>
      </c>
      <c r="AQ218" s="162">
        <v>0</v>
      </c>
      <c r="AR218" s="710" t="str">
        <v>1313.par</v>
      </c>
      <c r="AV218" s="82" t="str">
        <v>204,204,0</v>
      </c>
      <c r="AW218" s="947">
        <v>85</v>
      </c>
      <c r="AX218" s="947">
        <v>82.827443342392854</v>
      </c>
      <c r="AY218" s="947">
        <v>2.1725566576071458</v>
      </c>
    </row>
    <row r="219" spans="2:51" x14ac:dyDescent="0.25">
      <c r="B219" s="650"/>
      <c r="C219" s="651"/>
      <c r="D219" s="652"/>
      <c r="E219" s="653"/>
      <c r="F219" s="651"/>
      <c r="G219" s="654"/>
      <c r="H219" s="653"/>
      <c r="I219" s="920"/>
      <c r="J219" s="924"/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/>
      </c>
      <c r="L219" s="940"/>
      <c r="M219" s="970"/>
      <c r="N219" s="941"/>
      <c r="O219" s="942"/>
      <c r="Q219" s="162" t="str">
        <f t="shared" si="1075"/>
        <v/>
      </c>
      <c r="R219" s="162" t="str">
        <f t="shared" si="1076"/>
        <v/>
      </c>
      <c r="S219" s="162" t="str">
        <f t="shared" si="1077"/>
        <v/>
      </c>
      <c r="T219" s="162" t="str">
        <f t="shared" si="1078"/>
        <v/>
      </c>
      <c r="U219" s="162" t="str">
        <f t="shared" si="1079"/>
        <v/>
      </c>
      <c r="V219" s="162" t="str">
        <f t="shared" si="1080"/>
        <v/>
      </c>
      <c r="W219" s="162" t="str">
        <f>IFERROR(IF(ISNUMBER(MATCH($Z219,Settings!$AK$28:$AK$36,0)),INDEX(Settings!$AO$14:$AO$36,MATCH($Z219,Settings!$AK$14:$AK$36,0))/2,INDEX(Settings!$AM$14:$AM$36,MATCH($Z219,Settings!$AK$14:$AK$36,0))/2),"")</f>
        <v/>
      </c>
      <c r="X219" s="162" t="str">
        <f t="shared" si="1081"/>
        <v/>
      </c>
      <c r="Y219" s="75"/>
      <c r="Z219" s="917" t="str">
        <f t="shared" si="1082"/>
        <v/>
      </c>
      <c r="AA219" s="82"/>
      <c r="AB219" s="75"/>
      <c r="AC219" s="75"/>
      <c r="AD219" s="166"/>
      <c r="AE219" s="75">
        <v>2.117</v>
      </c>
      <c r="AF219" s="82">
        <v>2</v>
      </c>
      <c r="AG219" s="82">
        <v>1</v>
      </c>
      <c r="AH219" s="82">
        <v>2</v>
      </c>
      <c r="AI219" s="82">
        <v>0.99999999998544808</v>
      </c>
      <c r="AJ219" s="166">
        <v>2.11721</v>
      </c>
      <c r="AK219" s="82">
        <v>2.1171099999999998</v>
      </c>
      <c r="AL219" s="162">
        <v>0</v>
      </c>
      <c r="AM219" s="162">
        <v>0</v>
      </c>
      <c r="AN219" s="162">
        <v>0</v>
      </c>
      <c r="AO219" s="162">
        <v>2.2172165931236805</v>
      </c>
      <c r="AP219" s="162">
        <v>0</v>
      </c>
      <c r="AQ219" s="162">
        <v>0</v>
      </c>
      <c r="AR219" s="710" t="str">
        <v>1613.par</v>
      </c>
      <c r="AV219" s="82" t="str">
        <v>204,204,0</v>
      </c>
      <c r="AW219" s="947">
        <v>85</v>
      </c>
      <c r="AX219" s="947">
        <v>82.78278340687632</v>
      </c>
      <c r="AY219" s="947">
        <v>2.2172165931236805</v>
      </c>
    </row>
    <row r="220" spans="2:51" x14ac:dyDescent="0.25">
      <c r="B220" s="650"/>
      <c r="C220" s="651"/>
      <c r="D220" s="652"/>
      <c r="E220" s="653"/>
      <c r="F220" s="651"/>
      <c r="G220" s="654"/>
      <c r="H220" s="653"/>
      <c r="I220" s="920"/>
      <c r="J220" s="924"/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/>
      </c>
      <c r="L220" s="940"/>
      <c r="M220" s="970"/>
      <c r="N220" s="941"/>
      <c r="O220" s="942"/>
      <c r="Q220" s="162" t="str">
        <f t="shared" si="1075"/>
        <v/>
      </c>
      <c r="R220" s="162" t="str">
        <f t="shared" si="1076"/>
        <v/>
      </c>
      <c r="S220" s="162" t="str">
        <f t="shared" si="1077"/>
        <v/>
      </c>
      <c r="T220" s="162" t="str">
        <f t="shared" si="1078"/>
        <v/>
      </c>
      <c r="U220" s="162" t="str">
        <f t="shared" si="1079"/>
        <v/>
      </c>
      <c r="V220" s="162" t="str">
        <f t="shared" si="1080"/>
        <v/>
      </c>
      <c r="W220" s="162" t="str">
        <f>IFERROR(IF(ISNUMBER(MATCH($Z220,Settings!$AK$28:$AK$36,0)),INDEX(Settings!$AO$14:$AO$36,MATCH($Z220,Settings!$AK$14:$AK$36,0))/2,INDEX(Settings!$AM$14:$AM$36,MATCH($Z220,Settings!$AK$14:$AK$36,0))/2),"")</f>
        <v/>
      </c>
      <c r="X220" s="162" t="str">
        <f t="shared" si="1081"/>
        <v/>
      </c>
      <c r="Y220" s="75"/>
      <c r="Z220" s="917" t="str">
        <f t="shared" si="1082"/>
        <v/>
      </c>
      <c r="AA220" s="82"/>
      <c r="AB220" s="75"/>
      <c r="AC220" s="75"/>
      <c r="AD220" s="166"/>
      <c r="AE220" s="75">
        <v>2.1139999999999999</v>
      </c>
      <c r="AF220" s="82">
        <v>2</v>
      </c>
      <c r="AG220" s="82">
        <v>1</v>
      </c>
      <c r="AH220" s="82">
        <v>2</v>
      </c>
      <c r="AI220" s="82">
        <v>0.99999999998544808</v>
      </c>
      <c r="AJ220" s="166">
        <v>2.1142099999999999</v>
      </c>
      <c r="AK220" s="82">
        <v>2.1141099999999997</v>
      </c>
      <c r="AL220" s="162">
        <v>0</v>
      </c>
      <c r="AM220" s="162">
        <v>0</v>
      </c>
      <c r="AN220" s="162">
        <v>0</v>
      </c>
      <c r="AO220" s="162">
        <v>-6.5298439877148127</v>
      </c>
      <c r="AP220" s="162">
        <v>0</v>
      </c>
      <c r="AQ220" s="162">
        <v>0</v>
      </c>
      <c r="AR220" s="710" t="str">
        <v>1613.par</v>
      </c>
      <c r="AV220" s="82" t="str">
        <v>204,204,0</v>
      </c>
      <c r="AW220" s="947">
        <v>56.3</v>
      </c>
      <c r="AX220" s="947">
        <v>62.82984398771481</v>
      </c>
      <c r="AY220" s="947">
        <v>-6.5298439877148127</v>
      </c>
    </row>
    <row r="221" spans="2:51" x14ac:dyDescent="0.25">
      <c r="B221" s="650"/>
      <c r="C221" s="651"/>
      <c r="D221" s="652"/>
      <c r="E221" s="653"/>
      <c r="F221" s="651"/>
      <c r="G221" s="654"/>
      <c r="H221" s="653"/>
      <c r="I221" s="920"/>
      <c r="J221" s="924"/>
      <c r="K221" s="790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/>
      </c>
      <c r="L221" s="940"/>
      <c r="M221" s="970"/>
      <c r="N221" s="941"/>
      <c r="O221" s="942"/>
      <c r="Q221" s="162" t="str">
        <f t="shared" si="1075"/>
        <v/>
      </c>
      <c r="R221" s="162" t="str">
        <f t="shared" si="1076"/>
        <v/>
      </c>
      <c r="S221" s="162" t="str">
        <f t="shared" si="1077"/>
        <v/>
      </c>
      <c r="T221" s="162" t="str">
        <f t="shared" si="1078"/>
        <v/>
      </c>
      <c r="U221" s="162" t="str">
        <f t="shared" si="1079"/>
        <v/>
      </c>
      <c r="V221" s="162" t="str">
        <f t="shared" si="1080"/>
        <v/>
      </c>
      <c r="W221" s="162" t="str">
        <f>IFERROR(IF(ISNUMBER(MATCH($Z221,Settings!$AK$28:$AK$36,0)),INDEX(Settings!$AO$14:$AO$36,MATCH($Z221,Settings!$AK$14:$AK$36,0))/2,INDEX(Settings!$AM$14:$AM$36,MATCH($Z221,Settings!$AK$14:$AK$36,0))/2),"")</f>
        <v/>
      </c>
      <c r="X221" s="162" t="str">
        <f t="shared" si="1081"/>
        <v/>
      </c>
      <c r="Y221" s="75"/>
      <c r="Z221" s="917" t="str">
        <f t="shared" si="1082"/>
        <v/>
      </c>
      <c r="AA221" s="82"/>
      <c r="AB221" s="75"/>
      <c r="AC221" s="75"/>
      <c r="AD221" s="166"/>
      <c r="AE221" s="75">
        <v>2.1110000000000002</v>
      </c>
      <c r="AF221" s="82">
        <v>2</v>
      </c>
      <c r="AG221" s="82">
        <v>1</v>
      </c>
      <c r="AH221" s="82">
        <v>2</v>
      </c>
      <c r="AI221" s="82">
        <v>1.0000000000218279</v>
      </c>
      <c r="AJ221" s="166">
        <v>2.1112100000000003</v>
      </c>
      <c r="AK221" s="82">
        <v>2.11111</v>
      </c>
      <c r="AL221" s="162">
        <v>0</v>
      </c>
      <c r="AM221" s="162">
        <v>0</v>
      </c>
      <c r="AN221" s="162">
        <v>0</v>
      </c>
      <c r="AO221" s="162">
        <v>-10.242046168720673</v>
      </c>
      <c r="AP221" s="162">
        <v>0</v>
      </c>
      <c r="AQ221" s="162">
        <v>0</v>
      </c>
      <c r="AR221" s="710" t="str">
        <v>1613 Ripper.par</v>
      </c>
      <c r="AV221" s="82" t="str">
        <v>204,204,0</v>
      </c>
      <c r="AW221" s="947">
        <v>22.8</v>
      </c>
      <c r="AX221" s="947">
        <v>33.042046168720674</v>
      </c>
      <c r="AY221" s="947">
        <v>-10.242046168720673</v>
      </c>
    </row>
    <row r="222" spans="2:51" x14ac:dyDescent="0.25">
      <c r="B222" s="650"/>
      <c r="C222" s="651"/>
      <c r="D222" s="652"/>
      <c r="E222" s="653"/>
      <c r="F222" s="651"/>
      <c r="G222" s="654"/>
      <c r="H222" s="653"/>
      <c r="I222" s="920"/>
      <c r="J222" s="924"/>
      <c r="K222" s="790" t="str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/>
      </c>
      <c r="L222" s="940"/>
      <c r="M222" s="970"/>
      <c r="N222" s="941"/>
      <c r="O222" s="942"/>
      <c r="Q222" s="162" t="str">
        <f t="shared" si="1075"/>
        <v/>
      </c>
      <c r="R222" s="162" t="str">
        <f t="shared" si="1076"/>
        <v/>
      </c>
      <c r="S222" s="162" t="str">
        <f t="shared" si="1077"/>
        <v/>
      </c>
      <c r="T222" s="162" t="str">
        <f t="shared" si="1078"/>
        <v/>
      </c>
      <c r="U222" s="162" t="str">
        <f t="shared" si="1079"/>
        <v/>
      </c>
      <c r="V222" s="162" t="str">
        <f t="shared" si="1080"/>
        <v/>
      </c>
      <c r="W222" s="162" t="str">
        <f>IFERROR(IF(ISNUMBER(MATCH($Z222,Settings!$AK$28:$AK$36,0)),INDEX(Settings!$AO$14:$AO$36,MATCH($Z222,Settings!$AK$14:$AK$36,0))/2,INDEX(Settings!$AM$14:$AM$36,MATCH($Z222,Settings!$AK$14:$AK$36,0))/2),"")</f>
        <v/>
      </c>
      <c r="X222" s="162" t="str">
        <f t="shared" si="1081"/>
        <v/>
      </c>
      <c r="Y222" s="75"/>
      <c r="Z222" s="917" t="str">
        <f t="shared" si="1082"/>
        <v/>
      </c>
      <c r="AA222" s="82"/>
      <c r="AB222" s="75"/>
      <c r="AC222" s="75"/>
      <c r="AD222" s="166"/>
      <c r="AE222" s="75">
        <v>2.1080000000000001</v>
      </c>
      <c r="AF222" s="82">
        <v>2</v>
      </c>
      <c r="AG222" s="82">
        <v>1</v>
      </c>
      <c r="AH222" s="82">
        <v>2</v>
      </c>
      <c r="AI222" s="82">
        <v>1.0000000000218279</v>
      </c>
      <c r="AJ222" s="166">
        <v>2.1082100000000001</v>
      </c>
      <c r="AK222" s="82">
        <v>2.1081099999999999</v>
      </c>
      <c r="AL222" s="162">
        <v>0</v>
      </c>
      <c r="AM222" s="162">
        <v>0</v>
      </c>
      <c r="AN222" s="162">
        <v>0</v>
      </c>
      <c r="AO222" s="162">
        <v>-11.740648681122686</v>
      </c>
      <c r="AP222" s="162">
        <v>0</v>
      </c>
      <c r="AQ222" s="162">
        <v>0</v>
      </c>
      <c r="AR222" s="710" t="str">
        <v>1613.par</v>
      </c>
      <c r="AV222" s="82" t="str">
        <v>204,204,0</v>
      </c>
      <c r="AW222" s="947">
        <v>-10.7</v>
      </c>
      <c r="AX222" s="947">
        <v>1.0406486811226867</v>
      </c>
      <c r="AY222" s="947">
        <v>-11.740648681122686</v>
      </c>
    </row>
    <row r="223" spans="2:51" x14ac:dyDescent="0.25">
      <c r="B223" s="650"/>
      <c r="C223" s="651"/>
      <c r="D223" s="652"/>
      <c r="E223" s="653"/>
      <c r="F223" s="651"/>
      <c r="G223" s="654"/>
      <c r="H223" s="653"/>
      <c r="I223" s="920"/>
      <c r="J223" s="924"/>
      <c r="K223" s="790" t="str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/>
      </c>
      <c r="L223" s="940"/>
      <c r="M223" s="970"/>
      <c r="N223" s="941"/>
      <c r="O223" s="942"/>
      <c r="Q223" s="162" t="str">
        <f t="shared" si="1075"/>
        <v/>
      </c>
      <c r="R223" s="162" t="str">
        <f t="shared" si="1076"/>
        <v/>
      </c>
      <c r="S223" s="162" t="str">
        <f t="shared" si="1077"/>
        <v/>
      </c>
      <c r="T223" s="162" t="str">
        <f t="shared" si="1078"/>
        <v/>
      </c>
      <c r="U223" s="162" t="str">
        <f t="shared" si="1079"/>
        <v/>
      </c>
      <c r="V223" s="162" t="str">
        <f t="shared" si="1080"/>
        <v/>
      </c>
      <c r="W223" s="162" t="str">
        <f>IFERROR(IF(ISNUMBER(MATCH($Z223,Settings!$AK$28:$AK$36,0)),INDEX(Settings!$AO$14:$AO$36,MATCH($Z223,Settings!$AK$14:$AK$36,0))/2,INDEX(Settings!$AM$14:$AM$36,MATCH($Z223,Settings!$AK$14:$AK$36,0))/2),"")</f>
        <v/>
      </c>
      <c r="X223" s="162" t="str">
        <f t="shared" si="1081"/>
        <v/>
      </c>
      <c r="Y223" s="75"/>
      <c r="Z223" s="917" t="str">
        <f t="shared" si="1082"/>
        <v/>
      </c>
      <c r="AA223" s="82"/>
      <c r="AB223" s="75"/>
      <c r="AC223" s="75"/>
      <c r="AD223" s="166"/>
      <c r="AE223" s="75">
        <v>1.119</v>
      </c>
      <c r="AF223" s="82">
        <v>1</v>
      </c>
      <c r="AG223" s="82">
        <v>1</v>
      </c>
      <c r="AH223" s="82">
        <v>2</v>
      </c>
      <c r="AI223" s="82">
        <v>1.000000000003638</v>
      </c>
      <c r="AJ223" s="166">
        <v>1.11921</v>
      </c>
      <c r="AK223" s="82">
        <v>1.11911</v>
      </c>
      <c r="AL223" s="162">
        <v>0</v>
      </c>
      <c r="AM223" s="162">
        <v>0</v>
      </c>
      <c r="AN223" s="162">
        <v>0</v>
      </c>
      <c r="AO223" s="162">
        <v>2.1726470018021189</v>
      </c>
      <c r="AP223" s="162">
        <v>0</v>
      </c>
      <c r="AQ223" s="162">
        <v>0</v>
      </c>
      <c r="AR223" s="710" t="str">
        <v>1313.par</v>
      </c>
      <c r="AV223" s="82" t="str">
        <v>255,127,0</v>
      </c>
      <c r="AW223" s="947">
        <v>85</v>
      </c>
      <c r="AX223" s="947">
        <v>82.827352998197881</v>
      </c>
      <c r="AY223" s="947">
        <v>2.1726470018021189</v>
      </c>
    </row>
    <row r="224" spans="2:51" x14ac:dyDescent="0.25">
      <c r="B224" s="650"/>
      <c r="C224" s="651"/>
      <c r="D224" s="652"/>
      <c r="E224" s="653"/>
      <c r="F224" s="651"/>
      <c r="G224" s="654"/>
      <c r="H224" s="653"/>
      <c r="I224" s="920"/>
      <c r="J224" s="924"/>
      <c r="K224" s="790" t="str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/>
      </c>
      <c r="L224" s="940"/>
      <c r="M224" s="970"/>
      <c r="N224" s="941"/>
      <c r="O224" s="942"/>
      <c r="Q224" s="162" t="str">
        <f t="shared" si="1075"/>
        <v/>
      </c>
      <c r="R224" s="162" t="str">
        <f t="shared" si="1076"/>
        <v/>
      </c>
      <c r="S224" s="162" t="str">
        <f t="shared" si="1077"/>
        <v/>
      </c>
      <c r="T224" s="162" t="str">
        <f t="shared" si="1078"/>
        <v/>
      </c>
      <c r="U224" s="162" t="str">
        <f t="shared" si="1079"/>
        <v/>
      </c>
      <c r="V224" s="162" t="str">
        <f t="shared" si="1080"/>
        <v/>
      </c>
      <c r="W224" s="162" t="str">
        <f>IFERROR(IF(ISNUMBER(MATCH($Z224,Settings!$AK$28:$AK$36,0)),INDEX(Settings!$AO$14:$AO$36,MATCH($Z224,Settings!$AK$14:$AK$36,0))/2,INDEX(Settings!$AM$14:$AM$36,MATCH($Z224,Settings!$AK$14:$AK$36,0))/2),"")</f>
        <v/>
      </c>
      <c r="X224" s="162" t="str">
        <f t="shared" si="1081"/>
        <v/>
      </c>
      <c r="Y224" s="75"/>
      <c r="Z224" s="917" t="str">
        <f t="shared" si="1082"/>
        <v/>
      </c>
      <c r="AA224" s="82"/>
      <c r="AB224" s="75"/>
      <c r="AC224" s="75"/>
      <c r="AD224" s="166"/>
      <c r="AE224" s="75">
        <v>1.1160000000000001</v>
      </c>
      <c r="AF224" s="82">
        <v>1</v>
      </c>
      <c r="AG224" s="82">
        <v>1</v>
      </c>
      <c r="AH224" s="82">
        <v>2</v>
      </c>
      <c r="AI224" s="82">
        <v>1.0000000000218279</v>
      </c>
      <c r="AJ224" s="166">
        <v>1.1162100000000001</v>
      </c>
      <c r="AK224" s="82">
        <v>1.1161100000000002</v>
      </c>
      <c r="AL224" s="162">
        <v>0</v>
      </c>
      <c r="AM224" s="162">
        <v>0</v>
      </c>
      <c r="AN224" s="162">
        <v>0</v>
      </c>
      <c r="AO224" s="162">
        <v>3.5246554983409197</v>
      </c>
      <c r="AP224" s="162">
        <v>0</v>
      </c>
      <c r="AQ224" s="162">
        <v>0</v>
      </c>
      <c r="AR224" s="710" t="str">
        <v>1613 Ripper.par</v>
      </c>
      <c r="AV224" s="82" t="str">
        <v>255,127,0</v>
      </c>
      <c r="AW224" s="947">
        <v>78.400000000000006</v>
      </c>
      <c r="AX224" s="947">
        <v>74.875344501659086</v>
      </c>
      <c r="AY224" s="947">
        <v>3.5246554983409197</v>
      </c>
    </row>
    <row r="225" spans="2:51" x14ac:dyDescent="0.25">
      <c r="B225" s="650"/>
      <c r="C225" s="651"/>
      <c r="D225" s="652"/>
      <c r="E225" s="653"/>
      <c r="F225" s="651"/>
      <c r="G225" s="654"/>
      <c r="H225" s="653"/>
      <c r="I225" s="920"/>
      <c r="J225" s="924"/>
      <c r="K225" s="790" t="str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/>
      </c>
      <c r="L225" s="940"/>
      <c r="M225" s="970"/>
      <c r="N225" s="941"/>
      <c r="O225" s="942"/>
      <c r="Q225" s="162" t="str">
        <f t="shared" si="1075"/>
        <v/>
      </c>
      <c r="R225" s="162" t="str">
        <f t="shared" si="1076"/>
        <v/>
      </c>
      <c r="S225" s="162" t="str">
        <f t="shared" si="1077"/>
        <v/>
      </c>
      <c r="T225" s="162" t="str">
        <f t="shared" si="1078"/>
        <v/>
      </c>
      <c r="U225" s="162" t="str">
        <f t="shared" si="1079"/>
        <v/>
      </c>
      <c r="V225" s="162" t="str">
        <f t="shared" si="1080"/>
        <v/>
      </c>
      <c r="W225" s="162" t="str">
        <f>IFERROR(IF(ISNUMBER(MATCH($Z225,Settings!$AK$28:$AK$36,0)),INDEX(Settings!$AO$14:$AO$36,MATCH($Z225,Settings!$AK$14:$AK$36,0))/2,INDEX(Settings!$AM$14:$AM$36,MATCH($Z225,Settings!$AK$14:$AK$36,0))/2),"")</f>
        <v/>
      </c>
      <c r="X225" s="162" t="str">
        <f t="shared" si="1081"/>
        <v/>
      </c>
      <c r="Y225" s="75"/>
      <c r="Z225" s="917" t="str">
        <f t="shared" si="1082"/>
        <v/>
      </c>
      <c r="AA225" s="82"/>
      <c r="AB225" s="75"/>
      <c r="AC225" s="75"/>
      <c r="AD225" s="166"/>
      <c r="AE225" s="75">
        <v>1.113</v>
      </c>
      <c r="AF225" s="82">
        <v>1</v>
      </c>
      <c r="AG225" s="82">
        <v>1</v>
      </c>
      <c r="AH225" s="82">
        <v>2</v>
      </c>
      <c r="AI225" s="82">
        <v>1.000000000003638</v>
      </c>
      <c r="AJ225" s="166">
        <v>1.11321</v>
      </c>
      <c r="AK225" s="82">
        <v>1.11311</v>
      </c>
      <c r="AL225" s="162">
        <v>0</v>
      </c>
      <c r="AM225" s="162">
        <v>0</v>
      </c>
      <c r="AN225" s="162">
        <v>0</v>
      </c>
      <c r="AO225" s="162">
        <v>-7.8466164241372809</v>
      </c>
      <c r="AP225" s="162">
        <v>0</v>
      </c>
      <c r="AQ225" s="162">
        <v>0</v>
      </c>
      <c r="AR225" s="710" t="str">
        <v>1613.par</v>
      </c>
      <c r="AV225" s="82" t="str">
        <v>255,127,0</v>
      </c>
      <c r="AW225" s="947">
        <v>45.3</v>
      </c>
      <c r="AX225" s="947">
        <v>53.146616424137278</v>
      </c>
      <c r="AY225" s="947">
        <v>-7.8466164241372809</v>
      </c>
    </row>
    <row r="226" spans="2:51" x14ac:dyDescent="0.25">
      <c r="B226" s="650"/>
      <c r="C226" s="651"/>
      <c r="D226" s="652"/>
      <c r="E226" s="653"/>
      <c r="F226" s="651"/>
      <c r="G226" s="654"/>
      <c r="H226" s="653"/>
      <c r="I226" s="920"/>
      <c r="J226" s="924"/>
      <c r="K226" s="790" t="str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/>
      </c>
      <c r="L226" s="940"/>
      <c r="M226" s="970"/>
      <c r="N226" s="941"/>
      <c r="O226" s="942"/>
      <c r="Q226" s="162" t="str">
        <f t="shared" si="1075"/>
        <v/>
      </c>
      <c r="R226" s="162" t="str">
        <f t="shared" si="1076"/>
        <v/>
      </c>
      <c r="S226" s="162" t="str">
        <f t="shared" si="1077"/>
        <v/>
      </c>
      <c r="T226" s="162" t="str">
        <f t="shared" si="1078"/>
        <v/>
      </c>
      <c r="U226" s="162" t="str">
        <f t="shared" si="1079"/>
        <v/>
      </c>
      <c r="V226" s="162" t="str">
        <f t="shared" si="1080"/>
        <v/>
      </c>
      <c r="W226" s="162" t="str">
        <f>IFERROR(IF(ISNUMBER(MATCH($Z226,Settings!$AK$28:$AK$36,0)),INDEX(Settings!$AO$14:$AO$36,MATCH($Z226,Settings!$AK$14:$AK$36,0))/2,INDEX(Settings!$AM$14:$AM$36,MATCH($Z226,Settings!$AK$14:$AK$36,0))/2),"")</f>
        <v/>
      </c>
      <c r="X226" s="162" t="str">
        <f t="shared" si="1081"/>
        <v/>
      </c>
      <c r="Y226" s="75"/>
      <c r="Z226" s="917" t="str">
        <f t="shared" si="1082"/>
        <v/>
      </c>
      <c r="AA226" s="82"/>
      <c r="AB226" s="75"/>
      <c r="AC226" s="75"/>
      <c r="AD226" s="166"/>
      <c r="AE226" s="75">
        <v>1.1100000000000001</v>
      </c>
      <c r="AF226" s="82">
        <v>1</v>
      </c>
      <c r="AG226" s="82">
        <v>1</v>
      </c>
      <c r="AH226" s="82">
        <v>2</v>
      </c>
      <c r="AI226" s="82">
        <v>1.0000000000218279</v>
      </c>
      <c r="AJ226" s="166">
        <v>1.1102100000000001</v>
      </c>
      <c r="AK226" s="82">
        <v>1.1101100000000002</v>
      </c>
      <c r="AL226" s="162">
        <v>0</v>
      </c>
      <c r="AM226" s="162">
        <v>0</v>
      </c>
      <c r="AN226" s="162">
        <v>0</v>
      </c>
      <c r="AO226" s="162">
        <v>-11.268586026272361</v>
      </c>
      <c r="AP226" s="162">
        <v>0</v>
      </c>
      <c r="AQ226" s="162">
        <v>0</v>
      </c>
      <c r="AR226" s="710" t="str">
        <v>1613 Ripper.par</v>
      </c>
      <c r="AV226" s="82" t="str">
        <v>255,127,0</v>
      </c>
      <c r="AW226" s="947">
        <v>11.6</v>
      </c>
      <c r="AX226" s="947">
        <v>22.868586026272361</v>
      </c>
      <c r="AY226" s="947">
        <v>-11.268586026272361</v>
      </c>
    </row>
    <row r="227" spans="2:51" x14ac:dyDescent="0.25">
      <c r="B227" s="650"/>
      <c r="C227" s="651"/>
      <c r="D227" s="652"/>
      <c r="E227" s="653"/>
      <c r="F227" s="651"/>
      <c r="G227" s="654"/>
      <c r="H227" s="653"/>
      <c r="I227" s="920"/>
      <c r="J227" s="924"/>
      <c r="K227" s="790" t="str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/>
      </c>
      <c r="L227" s="940"/>
      <c r="M227" s="970"/>
      <c r="N227" s="941"/>
      <c r="O227" s="942"/>
      <c r="Q227" s="162" t="str">
        <f t="shared" si="1075"/>
        <v/>
      </c>
      <c r="R227" s="162" t="str">
        <f t="shared" si="1076"/>
        <v/>
      </c>
      <c r="S227" s="162" t="str">
        <f t="shared" si="1077"/>
        <v/>
      </c>
      <c r="T227" s="162" t="str">
        <f t="shared" si="1078"/>
        <v/>
      </c>
      <c r="U227" s="162" t="str">
        <f t="shared" si="1079"/>
        <v/>
      </c>
      <c r="V227" s="162" t="str">
        <f t="shared" si="1080"/>
        <v/>
      </c>
      <c r="W227" s="162" t="str">
        <f>IFERROR(IF(ISNUMBER(MATCH($Z227,Settings!$AK$28:$AK$36,0)),INDEX(Settings!$AO$14:$AO$36,MATCH($Z227,Settings!$AK$14:$AK$36,0))/2,INDEX(Settings!$AM$14:$AM$36,MATCH($Z227,Settings!$AK$14:$AK$36,0))/2),"")</f>
        <v/>
      </c>
      <c r="X227" s="162" t="str">
        <f t="shared" si="1081"/>
        <v/>
      </c>
      <c r="Y227" s="75"/>
      <c r="Z227" s="917" t="str">
        <f t="shared" si="1082"/>
        <v/>
      </c>
      <c r="AA227" s="82"/>
      <c r="AB227" s="75"/>
      <c r="AC227" s="75"/>
      <c r="AD227" s="166"/>
      <c r="AE227" s="75">
        <v>1.107</v>
      </c>
      <c r="AF227" s="82">
        <v>1</v>
      </c>
      <c r="AG227" s="82">
        <v>1</v>
      </c>
      <c r="AH227" s="82">
        <v>2</v>
      </c>
      <c r="AI227" s="82">
        <v>1.000000000003638</v>
      </c>
      <c r="AJ227" s="166">
        <v>1.10721</v>
      </c>
      <c r="AK227" s="82">
        <v>1.10711</v>
      </c>
      <c r="AL227" s="162">
        <v>0</v>
      </c>
      <c r="AM227" s="162">
        <v>0</v>
      </c>
      <c r="AN227" s="162">
        <v>0</v>
      </c>
      <c r="AO227" s="162">
        <v>-16.184874627009442</v>
      </c>
      <c r="AP227" s="162">
        <v>0</v>
      </c>
      <c r="AQ227" s="162">
        <v>0</v>
      </c>
      <c r="AR227" s="710" t="str">
        <v>1613 Ripper.par</v>
      </c>
      <c r="AV227" s="82" t="str">
        <v>255,127,0</v>
      </c>
      <c r="AW227" s="947">
        <v>-15</v>
      </c>
      <c r="AX227" s="947">
        <v>1.1848746270094432</v>
      </c>
      <c r="AY227" s="947">
        <v>-16.184874627009442</v>
      </c>
    </row>
    <row r="228" spans="2:51" x14ac:dyDescent="0.25">
      <c r="B228" s="650"/>
      <c r="C228" s="651"/>
      <c r="D228" s="652"/>
      <c r="E228" s="653"/>
      <c r="F228" s="651"/>
      <c r="G228" s="654"/>
      <c r="H228" s="653"/>
      <c r="I228" s="920"/>
      <c r="J228" s="924"/>
      <c r="K228" s="790" t="str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/>
      </c>
      <c r="L228" s="940"/>
      <c r="M228" s="970"/>
      <c r="N228" s="941"/>
      <c r="O228" s="942"/>
      <c r="Q228" s="162" t="str">
        <f t="shared" si="1075"/>
        <v/>
      </c>
      <c r="R228" s="162" t="str">
        <f t="shared" si="1076"/>
        <v/>
      </c>
      <c r="S228" s="162" t="str">
        <f t="shared" si="1077"/>
        <v/>
      </c>
      <c r="T228" s="162" t="str">
        <f t="shared" si="1078"/>
        <v/>
      </c>
      <c r="U228" s="162" t="str">
        <f t="shared" si="1079"/>
        <v/>
      </c>
      <c r="V228" s="162" t="str">
        <f t="shared" si="1080"/>
        <v/>
      </c>
      <c r="W228" s="162" t="str">
        <f>IFERROR(IF(ISNUMBER(MATCH($Z228,Settings!$AK$28:$AK$36,0)),INDEX(Settings!$AO$14:$AO$36,MATCH($Z228,Settings!$AK$14:$AK$36,0))/2,INDEX(Settings!$AM$14:$AM$36,MATCH($Z228,Settings!$AK$14:$AK$36,0))/2),"")</f>
        <v/>
      </c>
      <c r="X228" s="162" t="str">
        <f t="shared" si="1081"/>
        <v/>
      </c>
      <c r="Y228" s="75"/>
      <c r="Z228" s="917" t="str">
        <f t="shared" si="1082"/>
        <v/>
      </c>
      <c r="AA228" s="82"/>
      <c r="AB228" s="75"/>
      <c r="AC228" s="75"/>
      <c r="AD228" s="166"/>
      <c r="AE228" s="75">
        <v>1.1040000000000001</v>
      </c>
      <c r="AF228" s="82">
        <v>1</v>
      </c>
      <c r="AG228" s="82">
        <v>1</v>
      </c>
      <c r="AH228" s="82">
        <v>2</v>
      </c>
      <c r="AI228" s="82">
        <v>1.0000000000218279</v>
      </c>
      <c r="AJ228" s="166">
        <v>1.1042100000000001</v>
      </c>
      <c r="AK228" s="82">
        <v>1.1041100000000001</v>
      </c>
      <c r="AL228" s="162">
        <v>0</v>
      </c>
      <c r="AM228" s="162">
        <v>0</v>
      </c>
      <c r="AN228" s="162">
        <v>0</v>
      </c>
      <c r="AO228" s="162">
        <v>-17.05045225112319</v>
      </c>
      <c r="AP228" s="162">
        <v>0</v>
      </c>
      <c r="AQ228" s="162">
        <v>0</v>
      </c>
      <c r="AR228" s="710" t="str">
        <v>1613.par</v>
      </c>
      <c r="AV228" s="82" t="str">
        <v>255,127,0</v>
      </c>
      <c r="AW228" s="947">
        <v>-15</v>
      </c>
      <c r="AX228" s="947">
        <v>2.0504522511231897</v>
      </c>
      <c r="AY228" s="947">
        <v>-17.05045225112319</v>
      </c>
    </row>
    <row r="229" spans="2:51" x14ac:dyDescent="0.25">
      <c r="B229" s="650"/>
      <c r="C229" s="651"/>
      <c r="D229" s="652"/>
      <c r="E229" s="653"/>
      <c r="F229" s="651"/>
      <c r="G229" s="654"/>
      <c r="H229" s="653"/>
      <c r="I229" s="920"/>
      <c r="J229" s="924"/>
      <c r="K229" s="790" t="str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/>
      </c>
      <c r="L229" s="940"/>
      <c r="M229" s="970"/>
      <c r="N229" s="941"/>
      <c r="O229" s="942"/>
      <c r="Q229" s="162" t="str">
        <f t="shared" si="1075"/>
        <v/>
      </c>
      <c r="R229" s="162" t="str">
        <f t="shared" si="1076"/>
        <v/>
      </c>
      <c r="S229" s="162" t="str">
        <f t="shared" si="1077"/>
        <v/>
      </c>
      <c r="T229" s="162" t="str">
        <f t="shared" si="1078"/>
        <v/>
      </c>
      <c r="U229" s="162" t="str">
        <f t="shared" si="1079"/>
        <v/>
      </c>
      <c r="V229" s="162" t="str">
        <f t="shared" si="1080"/>
        <v/>
      </c>
      <c r="W229" s="162" t="str">
        <f>IFERROR(IF(ISNUMBER(MATCH($Z229,Settings!$AK$28:$AK$36,0)),INDEX(Settings!$AO$14:$AO$36,MATCH($Z229,Settings!$AK$14:$AK$36,0))/2,INDEX(Settings!$AM$14:$AM$36,MATCH($Z229,Settings!$AK$14:$AK$36,0))/2),"")</f>
        <v/>
      </c>
      <c r="X229" s="162" t="str">
        <f t="shared" si="1081"/>
        <v/>
      </c>
      <c r="Y229" s="75"/>
      <c r="Z229" s="917" t="str">
        <f t="shared" si="1082"/>
        <v/>
      </c>
      <c r="AA229" s="82"/>
      <c r="AB229" s="75"/>
      <c r="AC229" s="75"/>
      <c r="AD229" s="166"/>
      <c r="AE229" s="75">
        <v>1.101</v>
      </c>
      <c r="AF229" s="82">
        <v>1</v>
      </c>
      <c r="AG229" s="82">
        <v>1</v>
      </c>
      <c r="AH229" s="82">
        <v>2</v>
      </c>
      <c r="AI229" s="82">
        <v>1.000000000003638</v>
      </c>
      <c r="AJ229" s="166">
        <v>1.10121</v>
      </c>
      <c r="AK229" s="82">
        <v>1.10111</v>
      </c>
      <c r="AL229" s="162">
        <v>0</v>
      </c>
      <c r="AM229" s="162">
        <v>0</v>
      </c>
      <c r="AN229" s="162">
        <v>0</v>
      </c>
      <c r="AO229" s="162">
        <v>-20.217074538237373</v>
      </c>
      <c r="AP229" s="162">
        <v>0</v>
      </c>
      <c r="AQ229" s="162">
        <v>0</v>
      </c>
      <c r="AR229" s="710" t="str">
        <v>1313.par</v>
      </c>
      <c r="AV229" s="82" t="str">
        <v>255,127,0</v>
      </c>
      <c r="AW229" s="947">
        <v>-15</v>
      </c>
      <c r="AX229" s="947">
        <v>5.2170745382373731</v>
      </c>
      <c r="AY229" s="947">
        <v>-20.217074538237373</v>
      </c>
    </row>
    <row r="230" spans="2:51" x14ac:dyDescent="0.25">
      <c r="B230" s="650"/>
      <c r="C230" s="651"/>
      <c r="D230" s="652"/>
      <c r="E230" s="653"/>
      <c r="F230" s="651"/>
      <c r="G230" s="654"/>
      <c r="H230" s="653"/>
      <c r="I230" s="920"/>
      <c r="J230" s="924"/>
      <c r="K230" s="790" t="str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/>
      </c>
      <c r="L230" s="940"/>
      <c r="M230" s="970"/>
      <c r="N230" s="941"/>
      <c r="O230" s="942"/>
      <c r="Q230" s="162" t="str">
        <f t="shared" si="1075"/>
        <v/>
      </c>
      <c r="R230" s="162" t="str">
        <f t="shared" si="1076"/>
        <v/>
      </c>
      <c r="S230" s="162" t="str">
        <f t="shared" si="1077"/>
        <v/>
      </c>
      <c r="T230" s="162" t="str">
        <f t="shared" si="1078"/>
        <v/>
      </c>
      <c r="U230" s="162" t="str">
        <f t="shared" si="1079"/>
        <v/>
      </c>
      <c r="V230" s="162" t="str">
        <f t="shared" si="1080"/>
        <v/>
      </c>
      <c r="W230" s="162" t="str">
        <f>IFERROR(IF(ISNUMBER(MATCH($Z230,Settings!$AK$28:$AK$36,0)),INDEX(Settings!$AO$14:$AO$36,MATCH($Z230,Settings!$AK$14:$AK$36,0))/2,INDEX(Settings!$AM$14:$AM$36,MATCH($Z230,Settings!$AK$14:$AK$36,0))/2),"")</f>
        <v/>
      </c>
      <c r="X230" s="162" t="str">
        <f t="shared" si="1081"/>
        <v/>
      </c>
      <c r="Y230" s="75"/>
      <c r="Z230" s="917" t="str">
        <f t="shared" si="1082"/>
        <v/>
      </c>
      <c r="AA230" s="82"/>
      <c r="AB230" s="75"/>
      <c r="AC230" s="75"/>
      <c r="AD230" s="166"/>
      <c r="AE230" s="75">
        <v>6.1180000000000003</v>
      </c>
      <c r="AF230" s="82">
        <v>6</v>
      </c>
      <c r="AG230" s="82">
        <v>1</v>
      </c>
      <c r="AH230" s="82">
        <v>1</v>
      </c>
      <c r="AI230" s="82">
        <v>2.0000000000436557</v>
      </c>
      <c r="AJ230" s="166">
        <v>6.1181200000000002</v>
      </c>
      <c r="AK230" s="82" t="str">
        <v>Base</v>
      </c>
      <c r="AL230" s="162">
        <v>-8.25</v>
      </c>
      <c r="AM230" s="162">
        <v>-3.7550625905150534</v>
      </c>
      <c r="AN230" s="162">
        <v>-1.6734616329844374</v>
      </c>
      <c r="AO230" s="162">
        <v>82.827470691940107</v>
      </c>
      <c r="AP230" s="162">
        <v>-29.552649644885918</v>
      </c>
      <c r="AQ230" s="162">
        <v>0</v>
      </c>
      <c r="AR230" s="710" t="str">
        <v>1313.par</v>
      </c>
      <c r="AV230" s="82" t="str">
        <v>127,0,255</v>
      </c>
      <c r="AW230" s="947">
        <v>85</v>
      </c>
      <c r="AX230" s="947">
        <v>82.827470691940107</v>
      </c>
      <c r="AY230" s="947">
        <v>0</v>
      </c>
    </row>
    <row r="231" spans="2:51" x14ac:dyDescent="0.25">
      <c r="B231" s="650"/>
      <c r="C231" s="651"/>
      <c r="D231" s="652"/>
      <c r="E231" s="653"/>
      <c r="F231" s="651"/>
      <c r="G231" s="654"/>
      <c r="H231" s="653"/>
      <c r="I231" s="920"/>
      <c r="J231" s="924"/>
      <c r="K231" s="790" t="str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/>
      </c>
      <c r="L231" s="940"/>
      <c r="M231" s="970"/>
      <c r="N231" s="941"/>
      <c r="O231" s="942"/>
      <c r="Q231" s="162" t="str">
        <f t="shared" si="1075"/>
        <v/>
      </c>
      <c r="R231" s="162" t="str">
        <f t="shared" si="1076"/>
        <v/>
      </c>
      <c r="S231" s="162" t="str">
        <f t="shared" si="1077"/>
        <v/>
      </c>
      <c r="T231" s="162" t="str">
        <f t="shared" si="1078"/>
        <v/>
      </c>
      <c r="U231" s="162" t="str">
        <f t="shared" si="1079"/>
        <v/>
      </c>
      <c r="V231" s="162" t="str">
        <f t="shared" si="1080"/>
        <v/>
      </c>
      <c r="W231" s="162" t="str">
        <f>IFERROR(IF(ISNUMBER(MATCH($Z231,Settings!$AK$28:$AK$36,0)),INDEX(Settings!$AO$14:$AO$36,MATCH($Z231,Settings!$AK$14:$AK$36,0))/2,INDEX(Settings!$AM$14:$AM$36,MATCH($Z231,Settings!$AK$14:$AK$36,0))/2),"")</f>
        <v/>
      </c>
      <c r="X231" s="162" t="str">
        <f t="shared" si="1081"/>
        <v/>
      </c>
      <c r="Y231" s="75"/>
      <c r="Z231" s="917" t="str">
        <f t="shared" si="1082"/>
        <v/>
      </c>
      <c r="AA231" s="82"/>
      <c r="AB231" s="75"/>
      <c r="AC231" s="75"/>
      <c r="AD231" s="166"/>
      <c r="AE231" s="75">
        <v>6.1150000000000002</v>
      </c>
      <c r="AF231" s="82">
        <v>6</v>
      </c>
      <c r="AG231" s="82">
        <v>1</v>
      </c>
      <c r="AH231" s="82">
        <v>1</v>
      </c>
      <c r="AI231" s="82">
        <v>2.0000000000436557</v>
      </c>
      <c r="AJ231" s="166">
        <v>6.1151200000000001</v>
      </c>
      <c r="AK231" s="82" t="str">
        <v>Base</v>
      </c>
      <c r="AL231" s="162">
        <v>-8.25</v>
      </c>
      <c r="AM231" s="162">
        <v>-3.5191027438854303</v>
      </c>
      <c r="AN231" s="162">
        <v>-1.0037510740096498</v>
      </c>
      <c r="AO231" s="162">
        <v>65.940386675998184</v>
      </c>
      <c r="AP231" s="162">
        <v>-20.312850174991276</v>
      </c>
      <c r="AQ231" s="162">
        <v>0</v>
      </c>
      <c r="AR231" s="710" t="str">
        <v>1613 Ripper.par</v>
      </c>
      <c r="AV231" s="82" t="str">
        <v>127,0,255</v>
      </c>
      <c r="AW231" s="947">
        <v>67.400000000000006</v>
      </c>
      <c r="AX231" s="947">
        <v>65.940386675998184</v>
      </c>
      <c r="AY231" s="947">
        <v>0</v>
      </c>
    </row>
    <row r="232" spans="2:51" x14ac:dyDescent="0.25">
      <c r="B232" s="650"/>
      <c r="C232" s="651"/>
      <c r="D232" s="652"/>
      <c r="E232" s="653"/>
      <c r="F232" s="651"/>
      <c r="G232" s="654"/>
      <c r="H232" s="653"/>
      <c r="I232" s="920"/>
      <c r="J232" s="924"/>
      <c r="K232" s="790" t="str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/>
      </c>
      <c r="L232" s="940"/>
      <c r="M232" s="970"/>
      <c r="N232" s="941"/>
      <c r="O232" s="942"/>
      <c r="Q232" s="162" t="str">
        <f t="shared" si="1075"/>
        <v/>
      </c>
      <c r="R232" s="162" t="str">
        <f t="shared" si="1076"/>
        <v/>
      </c>
      <c r="S232" s="162" t="str">
        <f t="shared" si="1077"/>
        <v/>
      </c>
      <c r="T232" s="162" t="str">
        <f t="shared" si="1078"/>
        <v/>
      </c>
      <c r="U232" s="162" t="str">
        <f t="shared" si="1079"/>
        <v/>
      </c>
      <c r="V232" s="162" t="str">
        <f t="shared" si="1080"/>
        <v/>
      </c>
      <c r="W232" s="162" t="str">
        <f>IFERROR(IF(ISNUMBER(MATCH($Z232,Settings!$AK$28:$AK$36,0)),INDEX(Settings!$AO$14:$AO$36,MATCH($Z232,Settings!$AK$14:$AK$36,0))/2,INDEX(Settings!$AM$14:$AM$36,MATCH($Z232,Settings!$AK$14:$AK$36,0))/2),"")</f>
        <v/>
      </c>
      <c r="X232" s="162" t="str">
        <f t="shared" si="1081"/>
        <v/>
      </c>
      <c r="Y232" s="75"/>
      <c r="Z232" s="917" t="str">
        <f t="shared" si="1082"/>
        <v/>
      </c>
      <c r="AA232" s="82"/>
      <c r="AB232" s="75"/>
      <c r="AC232" s="75"/>
      <c r="AD232" s="166"/>
      <c r="AE232" s="75">
        <v>6.1120000000000001</v>
      </c>
      <c r="AF232" s="82">
        <v>6</v>
      </c>
      <c r="AG232" s="82">
        <v>1</v>
      </c>
      <c r="AH232" s="82">
        <v>1</v>
      </c>
      <c r="AI232" s="82">
        <v>1.9999999999708962</v>
      </c>
      <c r="AJ232" s="166">
        <v>6.11212</v>
      </c>
      <c r="AK232" s="82" t="str">
        <v>Base</v>
      </c>
      <c r="AL232" s="162">
        <v>-8.25</v>
      </c>
      <c r="AM232" s="162">
        <v>-3.0305409133922776</v>
      </c>
      <c r="AN232" s="162">
        <v>-0.41325791780855659</v>
      </c>
      <c r="AO232" s="162">
        <v>44.166384694641643</v>
      </c>
      <c r="AP232" s="162">
        <v>-15.700583954289179</v>
      </c>
      <c r="AQ232" s="162">
        <v>0</v>
      </c>
      <c r="AR232" s="710" t="str">
        <v>1613.par</v>
      </c>
      <c r="AV232" s="82" t="str">
        <v>127,0,255</v>
      </c>
      <c r="AW232" s="947">
        <v>34.1</v>
      </c>
      <c r="AX232" s="947">
        <v>44.166384694641643</v>
      </c>
      <c r="AY232" s="947">
        <v>0</v>
      </c>
    </row>
    <row r="233" spans="2:51" x14ac:dyDescent="0.25">
      <c r="B233" s="650"/>
      <c r="C233" s="651"/>
      <c r="D233" s="652"/>
      <c r="E233" s="653"/>
      <c r="F233" s="651"/>
      <c r="G233" s="654"/>
      <c r="H233" s="653"/>
      <c r="I233" s="920"/>
      <c r="J233" s="924"/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/>
      </c>
      <c r="L233" s="940"/>
      <c r="M233" s="970"/>
      <c r="N233" s="941"/>
      <c r="O233" s="942"/>
      <c r="Q233" s="162" t="str">
        <f t="shared" si="1075"/>
        <v/>
      </c>
      <c r="R233" s="162" t="str">
        <f t="shared" si="1076"/>
        <v/>
      </c>
      <c r="S233" s="162" t="str">
        <f t="shared" si="1077"/>
        <v/>
      </c>
      <c r="T233" s="162" t="str">
        <f t="shared" si="1078"/>
        <v/>
      </c>
      <c r="U233" s="162" t="str">
        <f t="shared" si="1079"/>
        <v/>
      </c>
      <c r="V233" s="162" t="str">
        <f t="shared" si="1080"/>
        <v/>
      </c>
      <c r="W233" s="162" t="str">
        <f>IFERROR(IF(ISNUMBER(MATCH($Z233,Settings!$AK$28:$AK$36,0)),INDEX(Settings!$AO$14:$AO$36,MATCH($Z233,Settings!$AK$14:$AK$36,0))/2,INDEX(Settings!$AM$14:$AM$36,MATCH($Z233,Settings!$AK$14:$AK$36,0))/2),"")</f>
        <v/>
      </c>
      <c r="X233" s="162" t="str">
        <f t="shared" si="1081"/>
        <v/>
      </c>
      <c r="Y233" s="75"/>
      <c r="Z233" s="917" t="str">
        <f t="shared" si="1082"/>
        <v/>
      </c>
      <c r="AA233" s="82"/>
      <c r="AB233" s="75"/>
      <c r="AC233" s="75"/>
      <c r="AD233" s="166"/>
      <c r="AE233" s="75">
        <v>6.109</v>
      </c>
      <c r="AF233" s="82">
        <v>6</v>
      </c>
      <c r="AG233" s="82">
        <v>1</v>
      </c>
      <c r="AH233" s="82">
        <v>1</v>
      </c>
      <c r="AI233" s="82">
        <v>1.9999999999708962</v>
      </c>
      <c r="AJ233" s="166">
        <v>6.1091199999999999</v>
      </c>
      <c r="AK233" s="82" t="str">
        <v>Base</v>
      </c>
      <c r="AL233" s="162">
        <v>-8.25</v>
      </c>
      <c r="AM233" s="162">
        <v>-2.2931554849838416</v>
      </c>
      <c r="AN233" s="162">
        <v>-0.18629865403783724</v>
      </c>
      <c r="AO233" s="162">
        <v>12.222553303993035</v>
      </c>
      <c r="AP233" s="162">
        <v>-15.333491997758388</v>
      </c>
      <c r="AQ233" s="162">
        <v>0</v>
      </c>
      <c r="AR233" s="710" t="str">
        <v>1613 Ripper.par</v>
      </c>
      <c r="AV233" s="82" t="str">
        <v>127,0,255</v>
      </c>
      <c r="AW233" s="947">
        <v>-0.4</v>
      </c>
      <c r="AX233" s="947">
        <v>12.222553303993035</v>
      </c>
      <c r="AY233" s="947">
        <v>0</v>
      </c>
    </row>
    <row r="234" spans="2:51" x14ac:dyDescent="0.25">
      <c r="B234" s="650"/>
      <c r="C234" s="651"/>
      <c r="D234" s="652"/>
      <c r="E234" s="653"/>
      <c r="F234" s="651"/>
      <c r="G234" s="654"/>
      <c r="H234" s="653"/>
      <c r="I234" s="920"/>
      <c r="J234" s="924"/>
      <c r="K234" s="790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/>
      </c>
      <c r="L234" s="940"/>
      <c r="M234" s="970"/>
      <c r="N234" s="941"/>
      <c r="O234" s="942"/>
      <c r="Q234" s="162" t="str">
        <f t="shared" si="1075"/>
        <v/>
      </c>
      <c r="R234" s="162" t="str">
        <f t="shared" si="1076"/>
        <v/>
      </c>
      <c r="S234" s="162" t="str">
        <f t="shared" si="1077"/>
        <v/>
      </c>
      <c r="T234" s="162" t="str">
        <f t="shared" si="1078"/>
        <v/>
      </c>
      <c r="U234" s="162" t="str">
        <f t="shared" si="1079"/>
        <v/>
      </c>
      <c r="V234" s="162" t="str">
        <f t="shared" si="1080"/>
        <v/>
      </c>
      <c r="W234" s="162" t="str">
        <f>IFERROR(IF(ISNUMBER(MATCH($Z234,Settings!$AK$28:$AK$36,0)),INDEX(Settings!$AO$14:$AO$36,MATCH($Z234,Settings!$AK$14:$AK$36,0))/2,INDEX(Settings!$AM$14:$AM$36,MATCH($Z234,Settings!$AK$14:$AK$36,0))/2),"")</f>
        <v/>
      </c>
      <c r="X234" s="162" t="str">
        <f t="shared" si="1081"/>
        <v/>
      </c>
      <c r="Y234" s="75"/>
      <c r="Z234" s="917" t="str">
        <f t="shared" si="1082"/>
        <v/>
      </c>
      <c r="AA234" s="82"/>
      <c r="AB234" s="75"/>
      <c r="AC234" s="75"/>
      <c r="AD234" s="166"/>
      <c r="AE234" s="75">
        <v>5.12</v>
      </c>
      <c r="AF234" s="82">
        <v>5</v>
      </c>
      <c r="AG234" s="82">
        <v>1</v>
      </c>
      <c r="AH234" s="82">
        <v>1</v>
      </c>
      <c r="AI234" s="82">
        <v>1.9999999999708962</v>
      </c>
      <c r="AJ234" s="166">
        <v>5.12012</v>
      </c>
      <c r="AK234" s="82" t="str">
        <v>Base</v>
      </c>
      <c r="AL234" s="162">
        <v>-7.5</v>
      </c>
      <c r="AM234" s="162">
        <v>-3.7550909956995899</v>
      </c>
      <c r="AN234" s="162">
        <v>-2.1817559911637647</v>
      </c>
      <c r="AO234" s="162">
        <v>82.827443342392868</v>
      </c>
      <c r="AP234" s="162">
        <v>-29.552526421184591</v>
      </c>
      <c r="AQ234" s="162">
        <v>0</v>
      </c>
      <c r="AR234" s="710" t="str">
        <v>1313.par</v>
      </c>
      <c r="AV234" s="82" t="str">
        <v>0,102,204</v>
      </c>
      <c r="AW234" s="947">
        <v>85</v>
      </c>
      <c r="AX234" s="947">
        <v>82.827443342392868</v>
      </c>
      <c r="AY234" s="947">
        <v>0</v>
      </c>
    </row>
    <row r="235" spans="2:51" x14ac:dyDescent="0.25">
      <c r="B235" s="650"/>
      <c r="C235" s="651"/>
      <c r="D235" s="652"/>
      <c r="E235" s="653"/>
      <c r="F235" s="651"/>
      <c r="G235" s="654"/>
      <c r="H235" s="653"/>
      <c r="I235" s="920"/>
      <c r="J235" s="924"/>
      <c r="K235" s="790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/>
      </c>
      <c r="L235" s="940"/>
      <c r="M235" s="970"/>
      <c r="N235" s="941"/>
      <c r="O235" s="942"/>
      <c r="Q235" s="162" t="str">
        <f t="shared" si="1075"/>
        <v/>
      </c>
      <c r="R235" s="162" t="str">
        <f t="shared" si="1076"/>
        <v/>
      </c>
      <c r="S235" s="162" t="str">
        <f t="shared" si="1077"/>
        <v/>
      </c>
      <c r="T235" s="162" t="str">
        <f t="shared" si="1078"/>
        <v/>
      </c>
      <c r="U235" s="162" t="str">
        <f t="shared" si="1079"/>
        <v/>
      </c>
      <c r="V235" s="162" t="str">
        <f t="shared" si="1080"/>
        <v/>
      </c>
      <c r="W235" s="162" t="str">
        <f>IFERROR(IF(ISNUMBER(MATCH($Z235,Settings!$AK$28:$AK$36,0)),INDEX(Settings!$AO$14:$AO$36,MATCH($Z235,Settings!$AK$14:$AK$36,0))/2,INDEX(Settings!$AM$14:$AM$36,MATCH($Z235,Settings!$AK$14:$AK$36,0))/2),"")</f>
        <v/>
      </c>
      <c r="X235" s="162" t="str">
        <f t="shared" si="1081"/>
        <v/>
      </c>
      <c r="Y235" s="75"/>
      <c r="Z235" s="917" t="str">
        <f t="shared" si="1082"/>
        <v/>
      </c>
      <c r="AA235" s="82"/>
      <c r="AB235" s="75"/>
      <c r="AC235" s="75"/>
      <c r="AD235" s="166"/>
      <c r="AE235" s="75">
        <v>5.117</v>
      </c>
      <c r="AF235" s="82">
        <v>5</v>
      </c>
      <c r="AG235" s="82">
        <v>1</v>
      </c>
      <c r="AH235" s="82">
        <v>1</v>
      </c>
      <c r="AI235" s="82">
        <v>1.9999999999708962</v>
      </c>
      <c r="AJ235" s="166">
        <v>5.1171199999999999</v>
      </c>
      <c r="AK235" s="82" t="str">
        <v>Base</v>
      </c>
      <c r="AL235" s="162">
        <v>-7.5</v>
      </c>
      <c r="AM235" s="162">
        <v>-3.6270321427933796</v>
      </c>
      <c r="AN235" s="162">
        <v>-1.5235752045126629</v>
      </c>
      <c r="AO235" s="162">
        <v>82.782783406876305</v>
      </c>
      <c r="AP235" s="162">
        <v>-20.225876694233541</v>
      </c>
      <c r="AQ235" s="162">
        <v>0</v>
      </c>
      <c r="AR235" s="710" t="str">
        <v>1613.par</v>
      </c>
      <c r="AV235" s="82" t="str">
        <v>0,102,204</v>
      </c>
      <c r="AW235" s="947">
        <v>85</v>
      </c>
      <c r="AX235" s="947">
        <v>82.782783406876305</v>
      </c>
      <c r="AY235" s="947">
        <v>0</v>
      </c>
    </row>
    <row r="236" spans="2:51" x14ac:dyDescent="0.25">
      <c r="B236" s="650"/>
      <c r="C236" s="651"/>
      <c r="D236" s="652"/>
      <c r="E236" s="653"/>
      <c r="F236" s="651"/>
      <c r="G236" s="654"/>
      <c r="H236" s="653"/>
      <c r="I236" s="920"/>
      <c r="J236" s="924"/>
      <c r="K236" s="790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/>
      </c>
      <c r="L236" s="940"/>
      <c r="M236" s="970"/>
      <c r="N236" s="941"/>
      <c r="O236" s="942"/>
      <c r="Q236" s="162" t="str">
        <f t="shared" si="1075"/>
        <v/>
      </c>
      <c r="R236" s="162" t="str">
        <f t="shared" si="1076"/>
        <v/>
      </c>
      <c r="S236" s="162" t="str">
        <f t="shared" si="1077"/>
        <v/>
      </c>
      <c r="T236" s="162" t="str">
        <f t="shared" si="1078"/>
        <v/>
      </c>
      <c r="U236" s="162" t="str">
        <f t="shared" si="1079"/>
        <v/>
      </c>
      <c r="V236" s="162" t="str">
        <f t="shared" si="1080"/>
        <v/>
      </c>
      <c r="W236" s="162" t="str">
        <f>IFERROR(IF(ISNUMBER(MATCH($Z236,Settings!$AK$28:$AK$36,0)),INDEX(Settings!$AO$14:$AO$36,MATCH($Z236,Settings!$AK$14:$AK$36,0))/2,INDEX(Settings!$AM$14:$AM$36,MATCH($Z236,Settings!$AK$14:$AK$36,0))/2),"")</f>
        <v/>
      </c>
      <c r="X236" s="162" t="str">
        <f t="shared" si="1081"/>
        <v/>
      </c>
      <c r="Y236" s="75"/>
      <c r="Z236" s="917" t="str">
        <f t="shared" si="1082"/>
        <v/>
      </c>
      <c r="AA236" s="82"/>
      <c r="AB236" s="75"/>
      <c r="AC236" s="75"/>
      <c r="AD236" s="166"/>
      <c r="AE236" s="75">
        <v>5.1139999999999999</v>
      </c>
      <c r="AF236" s="82">
        <v>5</v>
      </c>
      <c r="AG236" s="82">
        <v>1</v>
      </c>
      <c r="AH236" s="82">
        <v>1</v>
      </c>
      <c r="AI236" s="82">
        <v>1.9999999999708962</v>
      </c>
      <c r="AJ236" s="166">
        <v>5.1141199999999998</v>
      </c>
      <c r="AK236" s="82" t="str">
        <v>Base</v>
      </c>
      <c r="AL236" s="162">
        <v>-7.5</v>
      </c>
      <c r="AM236" s="162">
        <v>-3.3968379050192201</v>
      </c>
      <c r="AN236" s="162">
        <v>-0.81510885532939237</v>
      </c>
      <c r="AO236" s="162">
        <v>62.829843987714831</v>
      </c>
      <c r="AP236" s="162">
        <v>-15.749673008190467</v>
      </c>
      <c r="AQ236" s="162">
        <v>0</v>
      </c>
      <c r="AR236" s="710" t="str">
        <v>1613 Ripper.par</v>
      </c>
      <c r="AV236" s="82" t="str">
        <v>0,102,204</v>
      </c>
      <c r="AW236" s="947">
        <v>56.3</v>
      </c>
      <c r="AX236" s="947">
        <v>62.829843987714831</v>
      </c>
      <c r="AY236" s="947">
        <v>0</v>
      </c>
    </row>
    <row r="237" spans="2:51" x14ac:dyDescent="0.25">
      <c r="B237" s="650"/>
      <c r="C237" s="651"/>
      <c r="D237" s="652"/>
      <c r="E237" s="653"/>
      <c r="F237" s="651"/>
      <c r="G237" s="654"/>
      <c r="H237" s="653"/>
      <c r="I237" s="920"/>
      <c r="J237" s="924"/>
      <c r="K237" s="790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/>
      </c>
      <c r="L237" s="940"/>
      <c r="M237" s="970"/>
      <c r="N237" s="941"/>
      <c r="O237" s="942"/>
      <c r="Q237" s="162" t="str">
        <f t="shared" si="1075"/>
        <v/>
      </c>
      <c r="R237" s="162" t="str">
        <f t="shared" si="1076"/>
        <v/>
      </c>
      <c r="S237" s="162" t="str">
        <f t="shared" si="1077"/>
        <v/>
      </c>
      <c r="T237" s="162" t="str">
        <f t="shared" si="1078"/>
        <v/>
      </c>
      <c r="U237" s="162" t="str">
        <f t="shared" si="1079"/>
        <v/>
      </c>
      <c r="V237" s="162" t="str">
        <f t="shared" si="1080"/>
        <v/>
      </c>
      <c r="W237" s="162" t="str">
        <f>IFERROR(IF(ISNUMBER(MATCH($Z237,Settings!$AK$28:$AK$36,0)),INDEX(Settings!$AO$14:$AO$36,MATCH($Z237,Settings!$AK$14:$AK$36,0))/2,INDEX(Settings!$AM$14:$AM$36,MATCH($Z237,Settings!$AK$14:$AK$36,0))/2),"")</f>
        <v/>
      </c>
      <c r="X237" s="162" t="str">
        <f t="shared" si="1081"/>
        <v/>
      </c>
      <c r="Y237" s="75"/>
      <c r="Z237" s="917" t="str">
        <f t="shared" si="1082"/>
        <v/>
      </c>
      <c r="AA237" s="82"/>
      <c r="AB237" s="75"/>
      <c r="AC237" s="75"/>
      <c r="AD237" s="166"/>
      <c r="AE237" s="75">
        <v>5.1109999999999998</v>
      </c>
      <c r="AF237" s="82">
        <v>5</v>
      </c>
      <c r="AG237" s="82">
        <v>1</v>
      </c>
      <c r="AH237" s="82">
        <v>1</v>
      </c>
      <c r="AI237" s="82">
        <v>1.9999999999708962</v>
      </c>
      <c r="AJ237" s="166">
        <v>5.1111199999999997</v>
      </c>
      <c r="AK237" s="82" t="str">
        <v>Base</v>
      </c>
      <c r="AL237" s="162">
        <v>-7.5</v>
      </c>
      <c r="AM237" s="162">
        <v>-2.8002517471357606</v>
      </c>
      <c r="AN237" s="162">
        <v>-0.32818304081715705</v>
      </c>
      <c r="AO237" s="162">
        <v>33.04204616872093</v>
      </c>
      <c r="AP237" s="162">
        <v>-15.632095004852658</v>
      </c>
      <c r="AQ237" s="162">
        <v>0</v>
      </c>
      <c r="AR237" s="710" t="str">
        <v>1613 Ripper.par</v>
      </c>
      <c r="AV237" s="82" t="str">
        <v>0,102,204</v>
      </c>
      <c r="AW237" s="947">
        <v>22.8</v>
      </c>
      <c r="AX237" s="947">
        <v>33.04204616872093</v>
      </c>
      <c r="AY237" s="947">
        <v>0</v>
      </c>
    </row>
    <row r="238" spans="2:51" x14ac:dyDescent="0.25">
      <c r="B238" s="650"/>
      <c r="C238" s="651"/>
      <c r="D238" s="652"/>
      <c r="E238" s="653"/>
      <c r="F238" s="651"/>
      <c r="G238" s="654"/>
      <c r="H238" s="653"/>
      <c r="I238" s="920"/>
      <c r="J238" s="924"/>
      <c r="K238" s="790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/>
      </c>
      <c r="L238" s="940"/>
      <c r="M238" s="970"/>
      <c r="N238" s="941"/>
      <c r="O238" s="942"/>
      <c r="Q238" s="162" t="str">
        <f t="shared" si="1075"/>
        <v/>
      </c>
      <c r="R238" s="162" t="str">
        <f t="shared" si="1076"/>
        <v/>
      </c>
      <c r="S238" s="162" t="str">
        <f t="shared" si="1077"/>
        <v/>
      </c>
      <c r="T238" s="162" t="str">
        <f t="shared" si="1078"/>
        <v/>
      </c>
      <c r="U238" s="162" t="str">
        <f t="shared" si="1079"/>
        <v/>
      </c>
      <c r="V238" s="162" t="str">
        <f t="shared" si="1080"/>
        <v/>
      </c>
      <c r="W238" s="162" t="str">
        <f>IFERROR(IF(ISNUMBER(MATCH($Z238,Settings!$AK$28:$AK$36,0)),INDEX(Settings!$AO$14:$AO$36,MATCH($Z238,Settings!$AK$14:$AK$36,0))/2,INDEX(Settings!$AM$14:$AM$36,MATCH($Z238,Settings!$AK$14:$AK$36,0))/2),"")</f>
        <v/>
      </c>
      <c r="X238" s="162" t="str">
        <f t="shared" si="1081"/>
        <v/>
      </c>
      <c r="Y238" s="75"/>
      <c r="Z238" s="917" t="str">
        <f t="shared" si="1082"/>
        <v/>
      </c>
      <c r="AA238" s="82"/>
      <c r="AB238" s="75"/>
      <c r="AC238" s="75"/>
      <c r="AD238" s="166"/>
      <c r="AE238" s="75">
        <v>5.1079999999999997</v>
      </c>
      <c r="AF238" s="82">
        <v>5</v>
      </c>
      <c r="AG238" s="82">
        <v>1</v>
      </c>
      <c r="AH238" s="82">
        <v>1</v>
      </c>
      <c r="AI238" s="82">
        <v>1.9999999999708962</v>
      </c>
      <c r="AJ238" s="166">
        <v>5.1081199999999995</v>
      </c>
      <c r="AK238" s="82" t="str">
        <v>Base</v>
      </c>
      <c r="AL238" s="162">
        <v>-7.5</v>
      </c>
      <c r="AM238" s="162">
        <v>-2.035380499391489</v>
      </c>
      <c r="AN238" s="162">
        <v>-0.24710850656560185</v>
      </c>
      <c r="AO238" s="162">
        <v>1.0406486811228461</v>
      </c>
      <c r="AP238" s="162">
        <v>-15.00253262197829</v>
      </c>
      <c r="AQ238" s="162">
        <v>0</v>
      </c>
      <c r="AR238" s="710" t="str">
        <v>1613 Ripper.par</v>
      </c>
      <c r="AV238" s="82" t="str">
        <v>0,102,204</v>
      </c>
      <c r="AW238" s="947">
        <v>-10.7</v>
      </c>
      <c r="AX238" s="947">
        <v>1.0406486811228461</v>
      </c>
      <c r="AY238" s="947">
        <v>0</v>
      </c>
    </row>
    <row r="239" spans="2:51" x14ac:dyDescent="0.25">
      <c r="B239" s="650"/>
      <c r="C239" s="651"/>
      <c r="D239" s="652"/>
      <c r="E239" s="653"/>
      <c r="F239" s="651"/>
      <c r="G239" s="654"/>
      <c r="H239" s="653"/>
      <c r="I239" s="920"/>
      <c r="J239" s="924"/>
      <c r="K239" s="790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/>
      </c>
      <c r="L239" s="940"/>
      <c r="M239" s="970"/>
      <c r="N239" s="941"/>
      <c r="O239" s="942"/>
      <c r="Q239" s="162" t="str">
        <f t="shared" si="1075"/>
        <v/>
      </c>
      <c r="R239" s="162" t="str">
        <f t="shared" si="1076"/>
        <v/>
      </c>
      <c r="S239" s="162" t="str">
        <f t="shared" si="1077"/>
        <v/>
      </c>
      <c r="T239" s="162" t="str">
        <f t="shared" si="1078"/>
        <v/>
      </c>
      <c r="U239" s="162" t="str">
        <f t="shared" si="1079"/>
        <v/>
      </c>
      <c r="V239" s="162" t="str">
        <f t="shared" si="1080"/>
        <v/>
      </c>
      <c r="W239" s="162" t="str">
        <f>IFERROR(IF(ISNUMBER(MATCH($Z239,Settings!$AK$28:$AK$36,0)),INDEX(Settings!$AO$14:$AO$36,MATCH($Z239,Settings!$AK$14:$AK$36,0))/2,INDEX(Settings!$AM$14:$AM$36,MATCH($Z239,Settings!$AK$14:$AK$36,0))/2),"")</f>
        <v/>
      </c>
      <c r="X239" s="162" t="str">
        <f t="shared" si="1081"/>
        <v/>
      </c>
      <c r="Y239" s="75"/>
      <c r="Z239" s="917" t="str">
        <f t="shared" si="1082"/>
        <v/>
      </c>
      <c r="AA239" s="82"/>
      <c r="AB239" s="75"/>
      <c r="AC239" s="75"/>
      <c r="AD239" s="166"/>
      <c r="AE239" s="75">
        <v>5.1050000000000004</v>
      </c>
      <c r="AF239" s="82">
        <v>5</v>
      </c>
      <c r="AG239" s="82">
        <v>1</v>
      </c>
      <c r="AH239" s="82">
        <v>1</v>
      </c>
      <c r="AI239" s="82">
        <v>2.0000000000436557</v>
      </c>
      <c r="AJ239" s="166">
        <v>5.1051200000000003</v>
      </c>
      <c r="AK239" s="82" t="str">
        <v>Base</v>
      </c>
      <c r="AL239" s="162">
        <v>-7.5</v>
      </c>
      <c r="AM239" s="162">
        <v>-1.2810946947675506</v>
      </c>
      <c r="AN239" s="162">
        <v>-0.44502253296129446</v>
      </c>
      <c r="AO239" s="162">
        <v>1.6530871296738316</v>
      </c>
      <c r="AP239" s="162">
        <v>-15.006392172163403</v>
      </c>
      <c r="AQ239" s="162">
        <v>0</v>
      </c>
      <c r="AR239" s="710" t="str">
        <v>1613 Ripper.par</v>
      </c>
      <c r="AV239" s="82" t="str">
        <v>0,102,204</v>
      </c>
      <c r="AW239" s="947">
        <v>-15</v>
      </c>
      <c r="AX239" s="947">
        <v>1.6530871296738316</v>
      </c>
      <c r="AY239" s="947">
        <v>0</v>
      </c>
    </row>
    <row r="240" spans="2:51" x14ac:dyDescent="0.25">
      <c r="B240" s="650"/>
      <c r="C240" s="651"/>
      <c r="D240" s="652"/>
      <c r="E240" s="653"/>
      <c r="F240" s="651"/>
      <c r="G240" s="654"/>
      <c r="H240" s="653"/>
      <c r="I240" s="920"/>
      <c r="J240" s="924"/>
      <c r="K240" s="790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/>
      </c>
      <c r="L240" s="940"/>
      <c r="M240" s="970"/>
      <c r="N240" s="941"/>
      <c r="O240" s="942"/>
      <c r="Q240" s="162" t="str">
        <f t="shared" si="1075"/>
        <v/>
      </c>
      <c r="R240" s="162" t="str">
        <f t="shared" si="1076"/>
        <v/>
      </c>
      <c r="S240" s="162" t="str">
        <f t="shared" si="1077"/>
        <v/>
      </c>
      <c r="T240" s="162" t="str">
        <f t="shared" si="1078"/>
        <v/>
      </c>
      <c r="U240" s="162" t="str">
        <f t="shared" si="1079"/>
        <v/>
      </c>
      <c r="V240" s="162" t="str">
        <f t="shared" si="1080"/>
        <v/>
      </c>
      <c r="W240" s="162" t="str">
        <f>IFERROR(IF(ISNUMBER(MATCH($Z240,Settings!$AK$28:$AK$36,0)),INDEX(Settings!$AO$14:$AO$36,MATCH($Z240,Settings!$AK$14:$AK$36,0))/2,INDEX(Settings!$AM$14:$AM$36,MATCH($Z240,Settings!$AK$14:$AK$36,0))/2),"")</f>
        <v/>
      </c>
      <c r="X240" s="162" t="str">
        <f t="shared" si="1081"/>
        <v/>
      </c>
      <c r="Y240" s="75"/>
      <c r="Z240" s="917" t="str">
        <f t="shared" si="1082"/>
        <v/>
      </c>
      <c r="AA240" s="82"/>
      <c r="AB240" s="75"/>
      <c r="AC240" s="75"/>
      <c r="AD240" s="166"/>
      <c r="AE240" s="75">
        <v>5.1020000000000003</v>
      </c>
      <c r="AF240" s="82">
        <v>5</v>
      </c>
      <c r="AG240" s="82">
        <v>1</v>
      </c>
      <c r="AH240" s="82">
        <v>1</v>
      </c>
      <c r="AI240" s="82">
        <v>2.0000000000436557</v>
      </c>
      <c r="AJ240" s="166">
        <v>5.1021200000000002</v>
      </c>
      <c r="AK240" s="82" t="str">
        <v>Base</v>
      </c>
      <c r="AL240" s="162">
        <v>-7.5</v>
      </c>
      <c r="AM240" s="162">
        <v>-0.55195277941349052</v>
      </c>
      <c r="AN240" s="162">
        <v>-0.64219343605777501</v>
      </c>
      <c r="AO240" s="162">
        <v>3.1065909129673352</v>
      </c>
      <c r="AP240" s="162">
        <v>-19.02903738908725</v>
      </c>
      <c r="AQ240" s="162">
        <v>0</v>
      </c>
      <c r="AR240" s="710" t="str">
        <v>1613.par</v>
      </c>
      <c r="AV240" s="82" t="str">
        <v>0,102,204</v>
      </c>
      <c r="AW240" s="947">
        <v>-15</v>
      </c>
      <c r="AX240" s="947">
        <v>3.1065909129673352</v>
      </c>
      <c r="AY240" s="947">
        <v>0</v>
      </c>
    </row>
    <row r="241" spans="2:51" x14ac:dyDescent="0.25">
      <c r="B241" s="650"/>
      <c r="C241" s="651"/>
      <c r="D241" s="652"/>
      <c r="E241" s="653"/>
      <c r="F241" s="651"/>
      <c r="G241" s="654"/>
      <c r="H241" s="653"/>
      <c r="I241" s="920"/>
      <c r="J241" s="924"/>
      <c r="K241" s="790" t="str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/>
      </c>
      <c r="L241" s="940"/>
      <c r="M241" s="970"/>
      <c r="N241" s="941"/>
      <c r="O241" s="942"/>
      <c r="Q241" s="162" t="str">
        <f t="shared" si="1075"/>
        <v/>
      </c>
      <c r="R241" s="162" t="str">
        <f t="shared" si="1076"/>
        <v/>
      </c>
      <c r="S241" s="162" t="str">
        <f t="shared" si="1077"/>
        <v/>
      </c>
      <c r="T241" s="162" t="str">
        <f t="shared" si="1078"/>
        <v/>
      </c>
      <c r="U241" s="162" t="str">
        <f t="shared" si="1079"/>
        <v/>
      </c>
      <c r="V241" s="162" t="str">
        <f t="shared" si="1080"/>
        <v/>
      </c>
      <c r="W241" s="162" t="str">
        <f>IFERROR(IF(ISNUMBER(MATCH($Z241,Settings!$AK$28:$AK$36,0)),INDEX(Settings!$AO$14:$AO$36,MATCH($Z241,Settings!$AK$14:$AK$36,0))/2,INDEX(Settings!$AM$14:$AM$36,MATCH($Z241,Settings!$AK$14:$AK$36,0))/2),"")</f>
        <v/>
      </c>
      <c r="X241" s="162" t="str">
        <f t="shared" si="1081"/>
        <v/>
      </c>
      <c r="Y241" s="75"/>
      <c r="Z241" s="917" t="str">
        <f t="shared" si="1082"/>
        <v/>
      </c>
      <c r="AA241" s="82"/>
      <c r="AB241" s="75"/>
      <c r="AC241" s="75"/>
      <c r="AD241" s="166"/>
      <c r="AE241" s="75">
        <v>4.1189999999999998</v>
      </c>
      <c r="AF241" s="82">
        <v>4</v>
      </c>
      <c r="AG241" s="82">
        <v>1</v>
      </c>
      <c r="AH241" s="82">
        <v>1</v>
      </c>
      <c r="AI241" s="82">
        <v>1.9999999999708962</v>
      </c>
      <c r="AJ241" s="166">
        <v>4.1191199999999997</v>
      </c>
      <c r="AK241" s="82" t="str">
        <v>Base</v>
      </c>
      <c r="AL241" s="162">
        <v>-6.75</v>
      </c>
      <c r="AM241" s="162">
        <v>-3.7550353999628232</v>
      </c>
      <c r="AN241" s="162">
        <v>-1.9878223729349809</v>
      </c>
      <c r="AO241" s="162">
        <v>82.827352998197895</v>
      </c>
      <c r="AP241" s="162">
        <v>-29.552119382134194</v>
      </c>
      <c r="AQ241" s="162">
        <v>0</v>
      </c>
      <c r="AR241" s="710" t="str">
        <v>1313.par</v>
      </c>
      <c r="AV241" s="82" t="str">
        <v>0,204,204</v>
      </c>
      <c r="AW241" s="947">
        <v>85</v>
      </c>
      <c r="AX241" s="947">
        <v>82.827352998197895</v>
      </c>
      <c r="AY241" s="947">
        <v>0</v>
      </c>
    </row>
    <row r="242" spans="2:51" x14ac:dyDescent="0.25">
      <c r="B242" s="650"/>
      <c r="C242" s="651"/>
      <c r="D242" s="652"/>
      <c r="E242" s="653"/>
      <c r="F242" s="651"/>
      <c r="G242" s="654"/>
      <c r="H242" s="653"/>
      <c r="I242" s="920"/>
      <c r="J242" s="924"/>
      <c r="K242" s="790" t="str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/>
      </c>
      <c r="L242" s="940"/>
      <c r="M242" s="970"/>
      <c r="N242" s="941"/>
      <c r="O242" s="942"/>
      <c r="Q242" s="162" t="str">
        <f t="shared" si="1075"/>
        <v/>
      </c>
      <c r="R242" s="162" t="str">
        <f t="shared" si="1076"/>
        <v/>
      </c>
      <c r="S242" s="162" t="str">
        <f t="shared" si="1077"/>
        <v/>
      </c>
      <c r="T242" s="162" t="str">
        <f t="shared" si="1078"/>
        <v/>
      </c>
      <c r="U242" s="162" t="str">
        <f t="shared" si="1079"/>
        <v/>
      </c>
      <c r="V242" s="162" t="str">
        <f t="shared" si="1080"/>
        <v/>
      </c>
      <c r="W242" s="162" t="str">
        <f>IFERROR(IF(ISNUMBER(MATCH($Z242,Settings!$AK$28:$AK$36,0)),INDEX(Settings!$AO$14:$AO$36,MATCH($Z242,Settings!$AK$14:$AK$36,0))/2,INDEX(Settings!$AM$14:$AM$36,MATCH($Z242,Settings!$AK$14:$AK$36,0))/2),"")</f>
        <v/>
      </c>
      <c r="X242" s="162" t="str">
        <f t="shared" si="1081"/>
        <v/>
      </c>
      <c r="Y242" s="75"/>
      <c r="Z242" s="917" t="str">
        <f t="shared" si="1082"/>
        <v/>
      </c>
      <c r="AA242" s="82"/>
      <c r="AB242" s="75"/>
      <c r="AC242" s="75"/>
      <c r="AD242" s="166"/>
      <c r="AE242" s="75">
        <v>4.1159999999999997</v>
      </c>
      <c r="AF242" s="82">
        <v>4</v>
      </c>
      <c r="AG242" s="82">
        <v>1</v>
      </c>
      <c r="AH242" s="82">
        <v>1</v>
      </c>
      <c r="AI242" s="82">
        <v>1.9999999999708962</v>
      </c>
      <c r="AJ242" s="166">
        <v>4.1161199999999996</v>
      </c>
      <c r="AK242" s="82" t="str">
        <v>Base</v>
      </c>
      <c r="AL242" s="162">
        <v>-6.75</v>
      </c>
      <c r="AM242" s="162">
        <v>-3.5972860989004318</v>
      </c>
      <c r="AN242" s="162">
        <v>-1.3285096987167804</v>
      </c>
      <c r="AO242" s="162">
        <v>74.8753445016591</v>
      </c>
      <c r="AP242" s="162">
        <v>-20.255608840893746</v>
      </c>
      <c r="AQ242" s="162">
        <v>0</v>
      </c>
      <c r="AR242" s="710" t="str">
        <v>1613.par</v>
      </c>
      <c r="AV242" s="82" t="str">
        <v>0,204,204</v>
      </c>
      <c r="AW242" s="947">
        <v>78.400000000000006</v>
      </c>
      <c r="AX242" s="947">
        <v>74.8753445016591</v>
      </c>
      <c r="AY242" s="947">
        <v>0</v>
      </c>
    </row>
    <row r="243" spans="2:51" x14ac:dyDescent="0.25">
      <c r="B243" s="650"/>
      <c r="C243" s="651"/>
      <c r="D243" s="652"/>
      <c r="E243" s="653"/>
      <c r="F243" s="651"/>
      <c r="G243" s="654"/>
      <c r="H243" s="653"/>
      <c r="I243" s="920"/>
      <c r="J243" s="924"/>
      <c r="K243" s="790" t="str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/>
      </c>
      <c r="L243" s="940"/>
      <c r="M243" s="970"/>
      <c r="N243" s="941"/>
      <c r="O243" s="942"/>
      <c r="Q243" s="162" t="str">
        <f t="shared" si="1075"/>
        <v/>
      </c>
      <c r="R243" s="162" t="str">
        <f t="shared" si="1076"/>
        <v/>
      </c>
      <c r="S243" s="162" t="str">
        <f t="shared" si="1077"/>
        <v/>
      </c>
      <c r="T243" s="162" t="str">
        <f t="shared" si="1078"/>
        <v/>
      </c>
      <c r="U243" s="162" t="str">
        <f t="shared" si="1079"/>
        <v/>
      </c>
      <c r="V243" s="162" t="str">
        <f t="shared" si="1080"/>
        <v/>
      </c>
      <c r="W243" s="162" t="str">
        <f>IFERROR(IF(ISNUMBER(MATCH($Z243,Settings!$AK$28:$AK$36,0)),INDEX(Settings!$AO$14:$AO$36,MATCH($Z243,Settings!$AK$14:$AK$36,0))/2,INDEX(Settings!$AM$14:$AM$36,MATCH($Z243,Settings!$AK$14:$AK$36,0))/2),"")</f>
        <v/>
      </c>
      <c r="X243" s="162" t="str">
        <f t="shared" si="1081"/>
        <v/>
      </c>
      <c r="Y243" s="75"/>
      <c r="Z243" s="917" t="str">
        <f t="shared" si="1082"/>
        <v/>
      </c>
      <c r="AA243" s="82"/>
      <c r="AB243" s="75"/>
      <c r="AC243" s="75"/>
      <c r="AD243" s="166"/>
      <c r="AE243" s="75">
        <v>4.1130000000000004</v>
      </c>
      <c r="AF243" s="82">
        <v>4</v>
      </c>
      <c r="AG243" s="82">
        <v>1</v>
      </c>
      <c r="AH243" s="82">
        <v>1</v>
      </c>
      <c r="AI243" s="82">
        <v>2.0000000000436557</v>
      </c>
      <c r="AJ243" s="166">
        <v>4.1131200000000003</v>
      </c>
      <c r="AK243" s="82" t="str">
        <v>Base</v>
      </c>
      <c r="AL243" s="162">
        <v>-6.75</v>
      </c>
      <c r="AM243" s="162">
        <v>-3.2326774847419726</v>
      </c>
      <c r="AN243" s="162">
        <v>-0.65870740916558634</v>
      </c>
      <c r="AO243" s="162">
        <v>53.146616424137292</v>
      </c>
      <c r="AP243" s="162">
        <v>-15.741663259343115</v>
      </c>
      <c r="AQ243" s="162">
        <v>0</v>
      </c>
      <c r="AR243" s="710" t="str">
        <v>1613 Ripper.par</v>
      </c>
      <c r="AV243" s="82" t="str">
        <v>0,204,204</v>
      </c>
      <c r="AW243" s="947">
        <v>45.3</v>
      </c>
      <c r="AX243" s="947">
        <v>53.146616424137292</v>
      </c>
      <c r="AY243" s="947">
        <v>0</v>
      </c>
    </row>
    <row r="244" spans="2:51" x14ac:dyDescent="0.25">
      <c r="B244" s="650"/>
      <c r="C244" s="651"/>
      <c r="D244" s="652"/>
      <c r="E244" s="653"/>
      <c r="F244" s="651"/>
      <c r="G244" s="654"/>
      <c r="H244" s="653"/>
      <c r="I244" s="920"/>
      <c r="J244" s="924"/>
      <c r="K244" s="790" t="str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/>
      </c>
      <c r="L244" s="940"/>
      <c r="M244" s="970"/>
      <c r="N244" s="941"/>
      <c r="O244" s="942"/>
      <c r="Q244" s="162" t="str">
        <f t="shared" si="1075"/>
        <v/>
      </c>
      <c r="R244" s="162" t="str">
        <f t="shared" si="1076"/>
        <v/>
      </c>
      <c r="S244" s="162" t="str">
        <f t="shared" si="1077"/>
        <v/>
      </c>
      <c r="T244" s="162" t="str">
        <f t="shared" si="1078"/>
        <v/>
      </c>
      <c r="U244" s="162" t="str">
        <f t="shared" si="1079"/>
        <v/>
      </c>
      <c r="V244" s="162" t="str">
        <f t="shared" si="1080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81"/>
        <v/>
      </c>
      <c r="Y244" s="75"/>
      <c r="Z244" s="917" t="str">
        <f t="shared" si="1082"/>
        <v/>
      </c>
      <c r="AA244" s="82"/>
      <c r="AB244" s="75"/>
      <c r="AC244" s="75"/>
      <c r="AD244" s="166"/>
      <c r="AE244" s="75">
        <v>4.1100000000000003</v>
      </c>
      <c r="AF244" s="82">
        <v>4</v>
      </c>
      <c r="AG244" s="82">
        <v>1</v>
      </c>
      <c r="AH244" s="82">
        <v>1</v>
      </c>
      <c r="AI244" s="82">
        <v>2.0000000000436557</v>
      </c>
      <c r="AJ244" s="166">
        <v>4.1101200000000002</v>
      </c>
      <c r="AK244" s="82" t="str">
        <v>Base</v>
      </c>
      <c r="AL244" s="162">
        <v>-6.75</v>
      </c>
      <c r="AM244" s="162">
        <v>-2.5504879830868261</v>
      </c>
      <c r="AN244" s="162">
        <v>-0.29314898346421592</v>
      </c>
      <c r="AO244" s="162">
        <v>22.868586026272375</v>
      </c>
      <c r="AP244" s="162">
        <v>-15.504428125270769</v>
      </c>
      <c r="AQ244" s="162">
        <v>0</v>
      </c>
      <c r="AR244" s="710" t="str">
        <v>1613.par</v>
      </c>
      <c r="AV244" s="82" t="str">
        <v>0,204,204</v>
      </c>
      <c r="AW244" s="947">
        <v>11.6</v>
      </c>
      <c r="AX244" s="947">
        <v>22.868586026272375</v>
      </c>
      <c r="AY244" s="947">
        <v>0</v>
      </c>
    </row>
    <row r="245" spans="2:51" x14ac:dyDescent="0.25">
      <c r="B245" s="650"/>
      <c r="C245" s="651"/>
      <c r="D245" s="652"/>
      <c r="E245" s="653"/>
      <c r="F245" s="651"/>
      <c r="G245" s="654"/>
      <c r="H245" s="653"/>
      <c r="I245" s="920"/>
      <c r="J245" s="924"/>
      <c r="K245" s="790" t="str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/>
      </c>
      <c r="L245" s="940"/>
      <c r="M245" s="970"/>
      <c r="N245" s="941"/>
      <c r="O245" s="942"/>
      <c r="Q245" s="162" t="str">
        <f t="shared" si="1075"/>
        <v/>
      </c>
      <c r="R245" s="162" t="str">
        <f t="shared" si="1076"/>
        <v/>
      </c>
      <c r="S245" s="162" t="str">
        <f t="shared" si="1077"/>
        <v/>
      </c>
      <c r="T245" s="162" t="str">
        <f t="shared" si="1078"/>
        <v/>
      </c>
      <c r="U245" s="162" t="str">
        <f t="shared" si="1079"/>
        <v/>
      </c>
      <c r="V245" s="162" t="str">
        <f t="shared" si="1080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81"/>
        <v/>
      </c>
      <c r="Y245" s="75"/>
      <c r="Z245" s="917" t="str">
        <f t="shared" si="1082"/>
        <v/>
      </c>
      <c r="AA245" s="82"/>
      <c r="AB245" s="75"/>
      <c r="AC245" s="75"/>
      <c r="AD245" s="166"/>
      <c r="AE245" s="75">
        <v>3.1179999999999999</v>
      </c>
      <c r="AF245" s="82">
        <v>3</v>
      </c>
      <c r="AG245" s="82">
        <v>1</v>
      </c>
      <c r="AH245" s="82">
        <v>1</v>
      </c>
      <c r="AI245" s="82">
        <v>1.9999999999708962</v>
      </c>
      <c r="AJ245" s="166">
        <v>3.1181199999999998</v>
      </c>
      <c r="AK245" s="82" t="str">
        <v>Base</v>
      </c>
      <c r="AL245" s="162">
        <v>-6</v>
      </c>
      <c r="AM245" s="162">
        <v>-3.7550101584443385</v>
      </c>
      <c r="AN245" s="162">
        <v>-1.7915166166619005</v>
      </c>
      <c r="AO245" s="162">
        <v>82.827289346382216</v>
      </c>
      <c r="AP245" s="162">
        <v>-29.551832610771214</v>
      </c>
      <c r="AQ245" s="162">
        <v>0</v>
      </c>
      <c r="AR245" s="710" t="str">
        <v>1313.par</v>
      </c>
      <c r="AV245" s="82" t="str">
        <v>0,204,0</v>
      </c>
      <c r="AW245" s="947">
        <v>85</v>
      </c>
      <c r="AX245" s="947">
        <v>82.827289346382216</v>
      </c>
      <c r="AY245" s="947">
        <v>0</v>
      </c>
    </row>
    <row r="246" spans="2:51" x14ac:dyDescent="0.25">
      <c r="B246" s="650"/>
      <c r="C246" s="651"/>
      <c r="D246" s="652"/>
      <c r="E246" s="653"/>
      <c r="F246" s="651"/>
      <c r="G246" s="654"/>
      <c r="H246" s="653"/>
      <c r="I246" s="920"/>
      <c r="J246" s="924"/>
      <c r="K246" s="790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/>
      </c>
      <c r="L246" s="940"/>
      <c r="M246" s="970"/>
      <c r="N246" s="941"/>
      <c r="O246" s="942"/>
      <c r="Q246" s="162" t="str">
        <f t="shared" si="1075"/>
        <v/>
      </c>
      <c r="R246" s="162" t="str">
        <f t="shared" si="1076"/>
        <v/>
      </c>
      <c r="S246" s="162" t="str">
        <f t="shared" si="1077"/>
        <v/>
      </c>
      <c r="T246" s="162" t="str">
        <f t="shared" si="1078"/>
        <v/>
      </c>
      <c r="U246" s="162" t="str">
        <f t="shared" si="1079"/>
        <v/>
      </c>
      <c r="V246" s="162" t="str">
        <f t="shared" si="1080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81"/>
        <v/>
      </c>
      <c r="Y246" s="75"/>
      <c r="Z246" s="917" t="str">
        <f t="shared" si="1082"/>
        <v/>
      </c>
      <c r="AA246" s="82"/>
      <c r="AB246" s="75"/>
      <c r="AC246" s="75"/>
      <c r="AD246" s="166"/>
      <c r="AE246" s="75">
        <v>3.1150000000000002</v>
      </c>
      <c r="AF246" s="82">
        <v>3</v>
      </c>
      <c r="AG246" s="82">
        <v>1</v>
      </c>
      <c r="AH246" s="82">
        <v>1</v>
      </c>
      <c r="AI246" s="82">
        <v>2.000000000007276</v>
      </c>
      <c r="AJ246" s="166">
        <v>3.1151200000000001</v>
      </c>
      <c r="AK246" s="82" t="str">
        <v>Base</v>
      </c>
      <c r="AL246" s="162">
        <v>-6</v>
      </c>
      <c r="AM246" s="162">
        <v>-3.5190499191327853</v>
      </c>
      <c r="AN246" s="162">
        <v>-1.121806023697113</v>
      </c>
      <c r="AO246" s="162">
        <v>65.939425768729748</v>
      </c>
      <c r="AP246" s="162">
        <v>-20.312053536791677</v>
      </c>
      <c r="AQ246" s="162">
        <v>0</v>
      </c>
      <c r="AR246" s="710" t="str">
        <v>1613.par</v>
      </c>
      <c r="AV246" s="82" t="str">
        <v>0,204,0</v>
      </c>
      <c r="AW246" s="947">
        <v>67.400000000000006</v>
      </c>
      <c r="AX246" s="947">
        <v>65.939425768729748</v>
      </c>
      <c r="AY246" s="947">
        <v>0</v>
      </c>
    </row>
    <row r="247" spans="2:51" x14ac:dyDescent="0.25">
      <c r="B247" s="650"/>
      <c r="C247" s="651"/>
      <c r="D247" s="652"/>
      <c r="E247" s="653"/>
      <c r="F247" s="651"/>
      <c r="G247" s="654"/>
      <c r="H247" s="653"/>
      <c r="I247" s="920"/>
      <c r="J247" s="924"/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/>
      </c>
      <c r="L247" s="940"/>
      <c r="M247" s="970"/>
      <c r="N247" s="941"/>
      <c r="O247" s="942"/>
      <c r="Q247" s="162" t="str">
        <f t="shared" si="1075"/>
        <v/>
      </c>
      <c r="R247" s="162" t="str">
        <f t="shared" si="1076"/>
        <v/>
      </c>
      <c r="S247" s="162" t="str">
        <f t="shared" si="1077"/>
        <v/>
      </c>
      <c r="T247" s="162" t="str">
        <f t="shared" si="1078"/>
        <v/>
      </c>
      <c r="U247" s="162" t="str">
        <f t="shared" si="1079"/>
        <v/>
      </c>
      <c r="V247" s="162" t="str">
        <f t="shared" si="1080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81"/>
        <v/>
      </c>
      <c r="Y247" s="75"/>
      <c r="Z247" s="917" t="str">
        <f t="shared" si="1082"/>
        <v/>
      </c>
      <c r="AA247" s="82"/>
      <c r="AB247" s="75"/>
      <c r="AC247" s="75"/>
      <c r="AD247" s="166"/>
      <c r="AE247" s="75">
        <v>3.1120000000000001</v>
      </c>
      <c r="AF247" s="82">
        <v>3</v>
      </c>
      <c r="AG247" s="82">
        <v>1</v>
      </c>
      <c r="AH247" s="82">
        <v>1</v>
      </c>
      <c r="AI247" s="82">
        <v>2.000000000007276</v>
      </c>
      <c r="AJ247" s="166">
        <v>3.11212</v>
      </c>
      <c r="AK247" s="82" t="str">
        <v>Base</v>
      </c>
      <c r="AL247" s="162">
        <v>-6</v>
      </c>
      <c r="AM247" s="162">
        <v>-3.0304874792706493</v>
      </c>
      <c r="AN247" s="162">
        <v>-0.53131277781899466</v>
      </c>
      <c r="AO247" s="162">
        <v>44.163828655907125</v>
      </c>
      <c r="AP247" s="162">
        <v>-15.699886112498646</v>
      </c>
      <c r="AQ247" s="162">
        <v>0</v>
      </c>
      <c r="AR247" s="710" t="str">
        <v>1613 Ripper.par</v>
      </c>
      <c r="AV247" s="82" t="str">
        <v>0,204,0</v>
      </c>
      <c r="AW247" s="947">
        <v>34.1</v>
      </c>
      <c r="AX247" s="947">
        <v>44.163828655907125</v>
      </c>
      <c r="AY247" s="947">
        <v>0</v>
      </c>
    </row>
    <row r="248" spans="2:51" x14ac:dyDescent="0.25">
      <c r="B248" s="650"/>
      <c r="C248" s="651"/>
      <c r="D248" s="652"/>
      <c r="E248" s="653"/>
      <c r="F248" s="651"/>
      <c r="G248" s="654"/>
      <c r="H248" s="653"/>
      <c r="I248" s="920"/>
      <c r="J248" s="924"/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/>
      </c>
      <c r="L248" s="940"/>
      <c r="M248" s="970"/>
      <c r="N248" s="941"/>
      <c r="O248" s="942"/>
      <c r="Q248" s="162" t="str">
        <f t="shared" si="1075"/>
        <v/>
      </c>
      <c r="R248" s="162" t="str">
        <f t="shared" si="1076"/>
        <v/>
      </c>
      <c r="S248" s="162" t="str">
        <f t="shared" si="1077"/>
        <v/>
      </c>
      <c r="T248" s="162" t="str">
        <f t="shared" si="1078"/>
        <v/>
      </c>
      <c r="U248" s="162" t="str">
        <f t="shared" si="1079"/>
        <v/>
      </c>
      <c r="V248" s="162" t="str">
        <f t="shared" si="1080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81"/>
        <v/>
      </c>
      <c r="Y248" s="75"/>
      <c r="Z248" s="917" t="str">
        <f t="shared" si="1082"/>
        <v/>
      </c>
      <c r="AA248" s="82"/>
      <c r="AB248" s="75"/>
      <c r="AC248" s="75"/>
      <c r="AD248" s="166"/>
      <c r="AE248" s="75">
        <v>3.109</v>
      </c>
      <c r="AF248" s="82">
        <v>3</v>
      </c>
      <c r="AG248" s="82">
        <v>1</v>
      </c>
      <c r="AH248" s="82">
        <v>1</v>
      </c>
      <c r="AI248" s="82">
        <v>1.9999999999708962</v>
      </c>
      <c r="AJ248" s="166">
        <v>3.1091199999999999</v>
      </c>
      <c r="AK248" s="82" t="str">
        <v>Base</v>
      </c>
      <c r="AL248" s="162">
        <v>-6</v>
      </c>
      <c r="AM248" s="162">
        <v>-2.2931013183645668</v>
      </c>
      <c r="AN248" s="162">
        <v>-0.30435330337375122</v>
      </c>
      <c r="AO248" s="162">
        <v>12.217901912472621</v>
      </c>
      <c r="AP248" s="162">
        <v>-15.333215777859115</v>
      </c>
      <c r="AQ248" s="162">
        <v>0</v>
      </c>
      <c r="AR248" s="710" t="str">
        <v>1613 Ripper.par</v>
      </c>
      <c r="AV248" s="82" t="str">
        <v>0,204,0</v>
      </c>
      <c r="AW248" s="947">
        <v>-0.4</v>
      </c>
      <c r="AX248" s="947">
        <v>12.217901912472621</v>
      </c>
      <c r="AY248" s="947">
        <v>0</v>
      </c>
    </row>
    <row r="249" spans="2:51" x14ac:dyDescent="0.25">
      <c r="B249" s="650"/>
      <c r="C249" s="651"/>
      <c r="D249" s="652"/>
      <c r="E249" s="653"/>
      <c r="F249" s="651"/>
      <c r="G249" s="654"/>
      <c r="H249" s="653"/>
      <c r="I249" s="920"/>
      <c r="J249" s="924"/>
      <c r="K249" s="790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/>
      </c>
      <c r="L249" s="940"/>
      <c r="M249" s="970"/>
      <c r="N249" s="941"/>
      <c r="O249" s="942"/>
      <c r="Q249" s="162" t="str">
        <f t="shared" si="1075"/>
        <v/>
      </c>
      <c r="R249" s="162" t="str">
        <f t="shared" si="1076"/>
        <v/>
      </c>
      <c r="S249" s="162" t="str">
        <f t="shared" si="1077"/>
        <v/>
      </c>
      <c r="T249" s="162" t="str">
        <f t="shared" si="1078"/>
        <v/>
      </c>
      <c r="U249" s="162" t="str">
        <f t="shared" si="1079"/>
        <v/>
      </c>
      <c r="V249" s="162" t="str">
        <f t="shared" si="1080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81"/>
        <v/>
      </c>
      <c r="Y249" s="75"/>
      <c r="Z249" s="917" t="str">
        <f t="shared" si="1082"/>
        <v/>
      </c>
      <c r="AA249" s="82"/>
      <c r="AB249" s="75"/>
      <c r="AC249" s="75"/>
      <c r="AD249" s="166"/>
      <c r="AE249" s="75">
        <v>3.1059999999999999</v>
      </c>
      <c r="AF249" s="82">
        <v>3</v>
      </c>
      <c r="AG249" s="82">
        <v>1</v>
      </c>
      <c r="AH249" s="82">
        <v>1</v>
      </c>
      <c r="AI249" s="82">
        <v>1.9999999999708962</v>
      </c>
      <c r="AJ249" s="166">
        <v>3.1061199999999998</v>
      </c>
      <c r="AK249" s="82" t="str">
        <v>Base</v>
      </c>
      <c r="AL249" s="162">
        <v>-6</v>
      </c>
      <c r="AM249" s="162">
        <v>-1.5320059433405635</v>
      </c>
      <c r="AN249" s="162">
        <v>-0.45763212460689412</v>
      </c>
      <c r="AO249" s="162">
        <v>1.3764147040654124</v>
      </c>
      <c r="AP249" s="162">
        <v>-15.004431057378628</v>
      </c>
      <c r="AQ249" s="162">
        <v>0</v>
      </c>
      <c r="AR249" s="710" t="str">
        <v>1613 Ripper.par</v>
      </c>
      <c r="AV249" s="82" t="str">
        <v>0,204,0</v>
      </c>
      <c r="AW249" s="947">
        <v>-15</v>
      </c>
      <c r="AX249" s="947">
        <v>1.3764147040654124</v>
      </c>
      <c r="AY249" s="947">
        <v>0</v>
      </c>
    </row>
    <row r="250" spans="2:51" x14ac:dyDescent="0.25">
      <c r="B250" s="650"/>
      <c r="C250" s="651"/>
      <c r="D250" s="652"/>
      <c r="E250" s="653"/>
      <c r="F250" s="651"/>
      <c r="G250" s="654"/>
      <c r="H250" s="653"/>
      <c r="I250" s="920"/>
      <c r="J250" s="924"/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943"/>
      <c r="M250" s="970"/>
      <c r="N250" s="941"/>
      <c r="O250" s="942"/>
      <c r="Q250" s="162" t="str">
        <f t="shared" si="1075"/>
        <v/>
      </c>
      <c r="R250" s="162" t="str">
        <f t="shared" si="1076"/>
        <v/>
      </c>
      <c r="S250" s="162" t="str">
        <f t="shared" si="1077"/>
        <v/>
      </c>
      <c r="T250" s="162" t="str">
        <f t="shared" si="1078"/>
        <v/>
      </c>
      <c r="U250" s="162" t="str">
        <f t="shared" si="1079"/>
        <v/>
      </c>
      <c r="V250" s="162" t="str">
        <f t="shared" si="1080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81"/>
        <v/>
      </c>
      <c r="Y250" s="75"/>
      <c r="Z250" s="917" t="str">
        <f t="shared" si="1082"/>
        <v/>
      </c>
      <c r="AA250" s="82"/>
      <c r="AB250" s="75"/>
      <c r="AC250" s="75"/>
      <c r="AD250" s="166"/>
      <c r="AE250" s="75">
        <v>3.1030000000000002</v>
      </c>
      <c r="AF250" s="82">
        <v>3</v>
      </c>
      <c r="AG250" s="82">
        <v>1</v>
      </c>
      <c r="AH250" s="82">
        <v>1</v>
      </c>
      <c r="AI250" s="82">
        <v>2.000000000007276</v>
      </c>
      <c r="AJ250" s="166">
        <v>3.1031200000000001</v>
      </c>
      <c r="AK250" s="82" t="str">
        <v>Base</v>
      </c>
      <c r="AL250" s="162">
        <v>-6</v>
      </c>
      <c r="AM250" s="162">
        <v>-0.7909381174986323</v>
      </c>
      <c r="AN250" s="162">
        <v>-0.65705288450855126</v>
      </c>
      <c r="AO250" s="162">
        <v>2.3812503284625786</v>
      </c>
      <c r="AP250" s="162">
        <v>-17.015140029473987</v>
      </c>
      <c r="AQ250" s="162">
        <v>0</v>
      </c>
      <c r="AR250" s="710" t="str">
        <v>1613.par</v>
      </c>
      <c r="AV250" s="82" t="str">
        <v>0,204,0</v>
      </c>
      <c r="AW250" s="947">
        <v>-15</v>
      </c>
      <c r="AX250" s="947">
        <v>2.3812503284625786</v>
      </c>
      <c r="AY250" s="947">
        <v>0</v>
      </c>
    </row>
    <row r="251" spans="2:51" x14ac:dyDescent="0.25">
      <c r="B251" s="650"/>
      <c r="C251" s="651"/>
      <c r="D251" s="652"/>
      <c r="E251" s="653"/>
      <c r="F251" s="651"/>
      <c r="G251" s="654"/>
      <c r="H251" s="653"/>
      <c r="I251" s="920"/>
      <c r="J251" s="924"/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943"/>
      <c r="M251" s="970"/>
      <c r="N251" s="941"/>
      <c r="O251" s="942"/>
      <c r="Q251" s="162" t="str">
        <f t="shared" si="1075"/>
        <v/>
      </c>
      <c r="R251" s="162" t="str">
        <f t="shared" si="1076"/>
        <v/>
      </c>
      <c r="S251" s="162" t="str">
        <f t="shared" si="1077"/>
        <v/>
      </c>
      <c r="T251" s="162" t="str">
        <f t="shared" si="1078"/>
        <v/>
      </c>
      <c r="U251" s="162" t="str">
        <f t="shared" si="1079"/>
        <v/>
      </c>
      <c r="V251" s="162" t="str">
        <f t="shared" si="1080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81"/>
        <v/>
      </c>
      <c r="Y251" s="75"/>
      <c r="Z251" s="917" t="str">
        <f t="shared" si="1082"/>
        <v/>
      </c>
      <c r="AA251" s="82"/>
      <c r="AB251" s="75"/>
      <c r="AC251" s="75"/>
      <c r="AD251" s="166"/>
      <c r="AE251" s="75">
        <v>2.12</v>
      </c>
      <c r="AF251" s="82">
        <v>2</v>
      </c>
      <c r="AG251" s="82">
        <v>1</v>
      </c>
      <c r="AH251" s="82">
        <v>1</v>
      </c>
      <c r="AI251" s="82">
        <v>2.000000000007276</v>
      </c>
      <c r="AJ251" s="166">
        <v>2.12012</v>
      </c>
      <c r="AK251" s="82" t="str">
        <v>Base</v>
      </c>
      <c r="AL251" s="162">
        <v>-5.25</v>
      </c>
      <c r="AM251" s="162">
        <v>-3.755090995699589</v>
      </c>
      <c r="AN251" s="162">
        <v>-2.3067559911728597</v>
      </c>
      <c r="AO251" s="162">
        <v>82.827443342392854</v>
      </c>
      <c r="AP251" s="162">
        <v>-29.552526421184567</v>
      </c>
      <c r="AQ251" s="162">
        <v>0</v>
      </c>
      <c r="AR251" s="710" t="str">
        <v>1313.par</v>
      </c>
      <c r="AV251" s="82" t="str">
        <v>204,204,0</v>
      </c>
      <c r="AW251" s="947">
        <v>85</v>
      </c>
      <c r="AX251" s="947">
        <v>82.827443342392854</v>
      </c>
      <c r="AY251" s="947">
        <v>0</v>
      </c>
    </row>
    <row r="252" spans="2:51" x14ac:dyDescent="0.25">
      <c r="B252" s="650"/>
      <c r="C252" s="651"/>
      <c r="D252" s="652"/>
      <c r="E252" s="653"/>
      <c r="F252" s="651"/>
      <c r="G252" s="654"/>
      <c r="H252" s="653"/>
      <c r="I252" s="920"/>
      <c r="J252" s="924"/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943"/>
      <c r="M252" s="970"/>
      <c r="N252" s="941"/>
      <c r="O252" s="942"/>
      <c r="Q252" s="162" t="str">
        <f t="shared" si="1075"/>
        <v/>
      </c>
      <c r="R252" s="162" t="str">
        <f t="shared" si="1076"/>
        <v/>
      </c>
      <c r="S252" s="162" t="str">
        <f t="shared" si="1077"/>
        <v/>
      </c>
      <c r="T252" s="162" t="str">
        <f t="shared" si="1078"/>
        <v/>
      </c>
      <c r="U252" s="162" t="str">
        <f t="shared" si="1079"/>
        <v/>
      </c>
      <c r="V252" s="162" t="str">
        <f t="shared" si="1080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81"/>
        <v/>
      </c>
      <c r="Y252" s="75"/>
      <c r="Z252" s="917" t="str">
        <f t="shared" si="1082"/>
        <v/>
      </c>
      <c r="AA252" s="82"/>
      <c r="AB252" s="75"/>
      <c r="AC252" s="75"/>
      <c r="AD252" s="166"/>
      <c r="AE252" s="75">
        <v>2.117</v>
      </c>
      <c r="AF252" s="82">
        <v>2</v>
      </c>
      <c r="AG252" s="82">
        <v>1</v>
      </c>
      <c r="AH252" s="82">
        <v>1</v>
      </c>
      <c r="AI252" s="82">
        <v>1.9999999999708962</v>
      </c>
      <c r="AJ252" s="166">
        <v>2.1171199999999999</v>
      </c>
      <c r="AK252" s="82" t="str">
        <v>Base</v>
      </c>
      <c r="AL252" s="162">
        <v>-5.25</v>
      </c>
      <c r="AM252" s="162">
        <v>-3.6270321427933805</v>
      </c>
      <c r="AN252" s="162">
        <v>-1.6485752045126634</v>
      </c>
      <c r="AO252" s="162">
        <v>82.78278340687632</v>
      </c>
      <c r="AP252" s="162">
        <v>-20.225876694233467</v>
      </c>
      <c r="AQ252" s="162">
        <v>0</v>
      </c>
      <c r="AR252" s="710" t="str">
        <v>1613.par</v>
      </c>
      <c r="AV252" s="82" t="str">
        <v>204,204,0</v>
      </c>
      <c r="AW252" s="947">
        <v>85</v>
      </c>
      <c r="AX252" s="947">
        <v>82.78278340687632</v>
      </c>
      <c r="AY252" s="947">
        <v>0</v>
      </c>
    </row>
    <row r="253" spans="2:51" x14ac:dyDescent="0.25">
      <c r="B253" s="650"/>
      <c r="C253" s="651"/>
      <c r="D253" s="652"/>
      <c r="E253" s="653"/>
      <c r="F253" s="651"/>
      <c r="G253" s="654"/>
      <c r="H253" s="653"/>
      <c r="I253" s="920"/>
      <c r="J253" s="924"/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943"/>
      <c r="M253" s="970"/>
      <c r="N253" s="941"/>
      <c r="O253" s="942"/>
      <c r="Q253" s="162" t="str">
        <f t="shared" si="1075"/>
        <v/>
      </c>
      <c r="R253" s="162" t="str">
        <f t="shared" si="1076"/>
        <v/>
      </c>
      <c r="S253" s="162" t="str">
        <f t="shared" si="1077"/>
        <v/>
      </c>
      <c r="T253" s="162" t="str">
        <f t="shared" si="1078"/>
        <v/>
      </c>
      <c r="U253" s="162" t="str">
        <f t="shared" si="1079"/>
        <v/>
      </c>
      <c r="V253" s="162" t="str">
        <f t="shared" si="1080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81"/>
        <v/>
      </c>
      <c r="Y253" s="75"/>
      <c r="Z253" s="917" t="str">
        <f t="shared" si="1082"/>
        <v/>
      </c>
      <c r="AA253" s="82"/>
      <c r="AB253" s="75"/>
      <c r="AC253" s="75"/>
      <c r="AD253" s="166"/>
      <c r="AE253" s="75">
        <v>2.1139999999999999</v>
      </c>
      <c r="AF253" s="82">
        <v>2</v>
      </c>
      <c r="AG253" s="82">
        <v>1</v>
      </c>
      <c r="AH253" s="82">
        <v>1</v>
      </c>
      <c r="AI253" s="82">
        <v>1.9999999999708962</v>
      </c>
      <c r="AJ253" s="166">
        <v>2.1141199999999998</v>
      </c>
      <c r="AK253" s="82" t="str">
        <v>Base</v>
      </c>
      <c r="AL253" s="162">
        <v>-5.25</v>
      </c>
      <c r="AM253" s="162">
        <v>-3.3968379050192197</v>
      </c>
      <c r="AN253" s="162">
        <v>-0.94010885532939259</v>
      </c>
      <c r="AO253" s="162">
        <v>62.82984398771481</v>
      </c>
      <c r="AP253" s="162">
        <v>-15.749673008190417</v>
      </c>
      <c r="AQ253" s="162">
        <v>0</v>
      </c>
      <c r="AR253" s="710" t="str">
        <v>1613.par</v>
      </c>
      <c r="AV253" s="82" t="str">
        <v>204,204,0</v>
      </c>
      <c r="AW253" s="947">
        <v>56.3</v>
      </c>
      <c r="AX253" s="947">
        <v>62.82984398771481</v>
      </c>
      <c r="AY253" s="947">
        <v>0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3"/>
      <c r="M254" s="970"/>
      <c r="N254" s="941"/>
      <c r="O254" s="942"/>
      <c r="Q254" s="162" t="str">
        <f t="shared" si="1075"/>
        <v/>
      </c>
      <c r="R254" s="162" t="str">
        <f t="shared" si="1076"/>
        <v/>
      </c>
      <c r="S254" s="162" t="str">
        <f t="shared" si="1077"/>
        <v/>
      </c>
      <c r="T254" s="162" t="str">
        <f t="shared" si="1078"/>
        <v/>
      </c>
      <c r="U254" s="162" t="str">
        <f t="shared" si="1079"/>
        <v/>
      </c>
      <c r="V254" s="162" t="str">
        <f t="shared" si="1080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1"/>
        <v/>
      </c>
      <c r="Y254" s="75"/>
      <c r="Z254" s="917" t="str">
        <f t="shared" si="1082"/>
        <v/>
      </c>
      <c r="AA254" s="82"/>
      <c r="AB254" s="75"/>
      <c r="AC254" s="75"/>
      <c r="AD254" s="166"/>
      <c r="AE254" s="75">
        <v>2.1110000000000002</v>
      </c>
      <c r="AF254" s="82">
        <v>2</v>
      </c>
      <c r="AG254" s="82">
        <v>1</v>
      </c>
      <c r="AH254" s="82">
        <v>1</v>
      </c>
      <c r="AI254" s="82">
        <v>2.000000000007276</v>
      </c>
      <c r="AJ254" s="166">
        <v>2.1111200000000001</v>
      </c>
      <c r="AK254" s="82" t="str">
        <v>Base</v>
      </c>
      <c r="AL254" s="162">
        <v>-5.25</v>
      </c>
      <c r="AM254" s="162">
        <v>-2.8002517471357606</v>
      </c>
      <c r="AN254" s="162">
        <v>-0.45318304082625194</v>
      </c>
      <c r="AO254" s="162">
        <v>33.042046168720674</v>
      </c>
      <c r="AP254" s="162">
        <v>-15.632095004852555</v>
      </c>
      <c r="AQ254" s="162">
        <v>0</v>
      </c>
      <c r="AR254" s="710" t="str">
        <v>1613 Ripper.par</v>
      </c>
      <c r="AV254" s="82" t="str">
        <v>204,204,0</v>
      </c>
      <c r="AW254" s="947">
        <v>22.8</v>
      </c>
      <c r="AX254" s="947">
        <v>33.042046168720674</v>
      </c>
      <c r="AY254" s="947">
        <v>0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3"/>
      <c r="M255" s="970"/>
      <c r="N255" s="941"/>
      <c r="O255" s="942"/>
      <c r="Q255" s="162" t="str">
        <f t="shared" si="1075"/>
        <v/>
      </c>
      <c r="R255" s="162" t="str">
        <f t="shared" si="1076"/>
        <v/>
      </c>
      <c r="S255" s="162" t="str">
        <f t="shared" si="1077"/>
        <v/>
      </c>
      <c r="T255" s="162" t="str">
        <f t="shared" si="1078"/>
        <v/>
      </c>
      <c r="U255" s="162" t="str">
        <f t="shared" si="1079"/>
        <v/>
      </c>
      <c r="V255" s="162" t="str">
        <f t="shared" si="1080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1"/>
        <v/>
      </c>
      <c r="Y255" s="75"/>
      <c r="Z255" s="917" t="str">
        <f t="shared" si="1082"/>
        <v/>
      </c>
      <c r="AA255" s="82"/>
      <c r="AB255" s="75"/>
      <c r="AC255" s="75"/>
      <c r="AD255" s="166"/>
      <c r="AE255" s="75">
        <v>2.1080000000000001</v>
      </c>
      <c r="AF255" s="82">
        <v>2</v>
      </c>
      <c r="AG255" s="82">
        <v>1</v>
      </c>
      <c r="AH255" s="82">
        <v>1</v>
      </c>
      <c r="AI255" s="82">
        <v>2.000000000007276</v>
      </c>
      <c r="AJ255" s="166">
        <v>2.10812</v>
      </c>
      <c r="AK255" s="82" t="str">
        <v>Base</v>
      </c>
      <c r="AL255" s="162">
        <v>-5.25</v>
      </c>
      <c r="AM255" s="162">
        <v>-2.035380499391489</v>
      </c>
      <c r="AN255" s="162">
        <v>-0.3721085065746968</v>
      </c>
      <c r="AO255" s="162">
        <v>1.0406486811226867</v>
      </c>
      <c r="AP255" s="162">
        <v>-15.002532621978315</v>
      </c>
      <c r="AQ255" s="162">
        <v>0</v>
      </c>
      <c r="AR255" s="710" t="str">
        <v>1613.par</v>
      </c>
      <c r="AV255" s="82" t="str">
        <v>204,204,0</v>
      </c>
      <c r="AW255" s="947">
        <v>-10.7</v>
      </c>
      <c r="AX255" s="947">
        <v>1.0406486811226867</v>
      </c>
      <c r="AY255" s="947">
        <v>0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3"/>
      <c r="M256" s="970"/>
      <c r="N256" s="941"/>
      <c r="O256" s="942"/>
      <c r="Q256" s="162" t="str">
        <f t="shared" si="1075"/>
        <v/>
      </c>
      <c r="R256" s="162" t="str">
        <f t="shared" si="1076"/>
        <v/>
      </c>
      <c r="S256" s="162" t="str">
        <f t="shared" si="1077"/>
        <v/>
      </c>
      <c r="T256" s="162" t="str">
        <f t="shared" si="1078"/>
        <v/>
      </c>
      <c r="U256" s="162" t="str">
        <f t="shared" si="1079"/>
        <v/>
      </c>
      <c r="V256" s="162" t="str">
        <f t="shared" si="1080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1"/>
        <v/>
      </c>
      <c r="Y256" s="75"/>
      <c r="Z256" s="917" t="str">
        <f t="shared" si="1082"/>
        <v/>
      </c>
      <c r="AA256" s="82"/>
      <c r="AB256" s="75"/>
      <c r="AC256" s="75"/>
      <c r="AD256" s="166"/>
      <c r="AE256" s="75">
        <v>1.119</v>
      </c>
      <c r="AF256" s="82">
        <v>1</v>
      </c>
      <c r="AG256" s="82">
        <v>1</v>
      </c>
      <c r="AH256" s="82">
        <v>1</v>
      </c>
      <c r="AI256" s="82">
        <v>1.9999999999890861</v>
      </c>
      <c r="AJ256" s="166">
        <v>1.1191199999999999</v>
      </c>
      <c r="AK256" s="82" t="str">
        <v>Base</v>
      </c>
      <c r="AL256" s="162">
        <v>-4.5</v>
      </c>
      <c r="AM256" s="162">
        <v>-3.7550353999628232</v>
      </c>
      <c r="AN256" s="162">
        <v>-2.1128223729395286</v>
      </c>
      <c r="AO256" s="162">
        <v>82.827352998197881</v>
      </c>
      <c r="AP256" s="162">
        <v>-29.552119382134169</v>
      </c>
      <c r="AQ256" s="162">
        <v>0</v>
      </c>
      <c r="AR256" s="710" t="str">
        <v>1313.par</v>
      </c>
      <c r="AV256" s="82" t="str">
        <v>255,127,0</v>
      </c>
      <c r="AW256" s="947">
        <v>85</v>
      </c>
      <c r="AX256" s="947">
        <v>82.827352998197881</v>
      </c>
      <c r="AY256" s="947">
        <v>0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3"/>
      <c r="M257" s="970"/>
      <c r="N257" s="941"/>
      <c r="O257" s="942"/>
      <c r="Q257" s="162" t="str">
        <f t="shared" si="1075"/>
        <v/>
      </c>
      <c r="R257" s="162" t="str">
        <f t="shared" si="1076"/>
        <v/>
      </c>
      <c r="S257" s="162" t="str">
        <f t="shared" si="1077"/>
        <v/>
      </c>
      <c r="T257" s="162" t="str">
        <f t="shared" si="1078"/>
        <v/>
      </c>
      <c r="U257" s="162" t="str">
        <f t="shared" si="1079"/>
        <v/>
      </c>
      <c r="V257" s="162" t="str">
        <f t="shared" si="1080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1"/>
        <v/>
      </c>
      <c r="Y257" s="75"/>
      <c r="Z257" s="917" t="str">
        <f t="shared" si="1082"/>
        <v/>
      </c>
      <c r="AA257" s="82"/>
      <c r="AB257" s="75"/>
      <c r="AC257" s="75"/>
      <c r="AD257" s="166"/>
      <c r="AE257" s="75">
        <v>1.1160000000000001</v>
      </c>
      <c r="AF257" s="82">
        <v>1</v>
      </c>
      <c r="AG257" s="82">
        <v>1</v>
      </c>
      <c r="AH257" s="82">
        <v>1</v>
      </c>
      <c r="AI257" s="82">
        <v>2.000000000007276</v>
      </c>
      <c r="AJ257" s="166">
        <v>1.11612</v>
      </c>
      <c r="AK257" s="82" t="str">
        <v>Base</v>
      </c>
      <c r="AL257" s="162">
        <v>-4.5</v>
      </c>
      <c r="AM257" s="162">
        <v>-3.5972860989004318</v>
      </c>
      <c r="AN257" s="162">
        <v>-1.4535096987258753</v>
      </c>
      <c r="AO257" s="162">
        <v>74.875344501659086</v>
      </c>
      <c r="AP257" s="162">
        <v>-20.255608840893711</v>
      </c>
      <c r="AQ257" s="162">
        <v>0</v>
      </c>
      <c r="AR257" s="710" t="str">
        <v>1613 Ripper.par</v>
      </c>
      <c r="AV257" s="82" t="str">
        <v>255,127,0</v>
      </c>
      <c r="AW257" s="947">
        <v>78.400000000000006</v>
      </c>
      <c r="AX257" s="947">
        <v>74.875344501659086</v>
      </c>
      <c r="AY257" s="947">
        <v>0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3"/>
      <c r="M258" s="970"/>
      <c r="N258" s="941"/>
      <c r="O258" s="942"/>
      <c r="Q258" s="162" t="str">
        <f t="shared" si="1075"/>
        <v/>
      </c>
      <c r="R258" s="162" t="str">
        <f t="shared" si="1076"/>
        <v/>
      </c>
      <c r="S258" s="162" t="str">
        <f t="shared" si="1077"/>
        <v/>
      </c>
      <c r="T258" s="162" t="str">
        <f t="shared" si="1078"/>
        <v/>
      </c>
      <c r="U258" s="162" t="str">
        <f t="shared" si="1079"/>
        <v/>
      </c>
      <c r="V258" s="162" t="str">
        <f t="shared" si="1080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1"/>
        <v/>
      </c>
      <c r="Y258" s="75"/>
      <c r="Z258" s="917" t="str">
        <f t="shared" si="1082"/>
        <v/>
      </c>
      <c r="AA258" s="82"/>
      <c r="AB258" s="75"/>
      <c r="AC258" s="75"/>
      <c r="AD258" s="166"/>
      <c r="AE258" s="75">
        <v>1.113</v>
      </c>
      <c r="AF258" s="82">
        <v>1</v>
      </c>
      <c r="AG258" s="82">
        <v>1</v>
      </c>
      <c r="AH258" s="82">
        <v>1</v>
      </c>
      <c r="AI258" s="82">
        <v>1.9999999999890861</v>
      </c>
      <c r="AJ258" s="166">
        <v>1.1131199999999999</v>
      </c>
      <c r="AK258" s="82" t="str">
        <v>Base</v>
      </c>
      <c r="AL258" s="162">
        <v>-4.5</v>
      </c>
      <c r="AM258" s="162">
        <v>-3.2326774847419726</v>
      </c>
      <c r="AN258" s="162">
        <v>-0.78370740915194381</v>
      </c>
      <c r="AO258" s="162">
        <v>53.146616424137278</v>
      </c>
      <c r="AP258" s="162">
        <v>-15.741663259343115</v>
      </c>
      <c r="AQ258" s="162">
        <v>0</v>
      </c>
      <c r="AR258" s="710" t="str">
        <v>1613.par</v>
      </c>
      <c r="AV258" s="82" t="str">
        <v>255,127,0</v>
      </c>
      <c r="AW258" s="947">
        <v>45.3</v>
      </c>
      <c r="AX258" s="947">
        <v>53.146616424137278</v>
      </c>
      <c r="AY258" s="947">
        <v>0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3"/>
      <c r="M259" s="970"/>
      <c r="N259" s="941"/>
      <c r="O259" s="942"/>
      <c r="Q259" s="162" t="str">
        <f t="shared" si="1075"/>
        <v/>
      </c>
      <c r="R259" s="162" t="str">
        <f t="shared" si="1076"/>
        <v/>
      </c>
      <c r="S259" s="162" t="str">
        <f t="shared" si="1077"/>
        <v/>
      </c>
      <c r="T259" s="162" t="str">
        <f t="shared" si="1078"/>
        <v/>
      </c>
      <c r="U259" s="162" t="str">
        <f t="shared" si="1079"/>
        <v/>
      </c>
      <c r="V259" s="162" t="str">
        <f t="shared" si="1080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1"/>
        <v/>
      </c>
      <c r="Y259" s="75"/>
      <c r="Z259" s="917" t="str">
        <f t="shared" si="1082"/>
        <v/>
      </c>
      <c r="AA259" s="82"/>
      <c r="AB259" s="75"/>
      <c r="AC259" s="75"/>
      <c r="AD259" s="166"/>
      <c r="AE259" s="75">
        <v>1.1100000000000001</v>
      </c>
      <c r="AF259" s="82">
        <v>1</v>
      </c>
      <c r="AG259" s="82">
        <v>1</v>
      </c>
      <c r="AH259" s="82">
        <v>1</v>
      </c>
      <c r="AI259" s="82">
        <v>2.000000000007276</v>
      </c>
      <c r="AJ259" s="166">
        <v>1.11012</v>
      </c>
      <c r="AK259" s="82" t="str">
        <v>Base</v>
      </c>
      <c r="AL259" s="162">
        <v>-4.5</v>
      </c>
      <c r="AM259" s="162">
        <v>-2.5504879830868261</v>
      </c>
      <c r="AN259" s="162">
        <v>-0.41814898345512097</v>
      </c>
      <c r="AO259" s="162">
        <v>22.868586026272361</v>
      </c>
      <c r="AP259" s="162">
        <v>-15.504428125270795</v>
      </c>
      <c r="AQ259" s="162">
        <v>0</v>
      </c>
      <c r="AR259" s="710" t="str">
        <v>1613 Ripper.par</v>
      </c>
      <c r="AV259" s="82" t="str">
        <v>255,127,0</v>
      </c>
      <c r="AW259" s="947">
        <v>11.6</v>
      </c>
      <c r="AX259" s="947">
        <v>22.868586026272361</v>
      </c>
      <c r="AY259" s="947">
        <v>0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3"/>
      <c r="M260" s="970"/>
      <c r="N260" s="941"/>
      <c r="O260" s="942"/>
      <c r="Q260" s="162" t="str">
        <f t="shared" si="1075"/>
        <v/>
      </c>
      <c r="R260" s="162" t="str">
        <f t="shared" si="1076"/>
        <v/>
      </c>
      <c r="S260" s="162" t="str">
        <f t="shared" si="1077"/>
        <v/>
      </c>
      <c r="T260" s="162" t="str">
        <f t="shared" si="1078"/>
        <v/>
      </c>
      <c r="U260" s="162" t="str">
        <f t="shared" si="1079"/>
        <v/>
      </c>
      <c r="V260" s="162" t="str">
        <f t="shared" si="1080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1"/>
        <v/>
      </c>
      <c r="Y260" s="75"/>
      <c r="Z260" s="917" t="str">
        <f t="shared" si="1082"/>
        <v/>
      </c>
      <c r="AA260" s="82"/>
      <c r="AB260" s="75"/>
      <c r="AC260" s="75"/>
      <c r="AD260" s="166"/>
      <c r="AE260" s="75">
        <v>1.107</v>
      </c>
      <c r="AF260" s="82">
        <v>1</v>
      </c>
      <c r="AG260" s="82">
        <v>1</v>
      </c>
      <c r="AH260" s="82">
        <v>1</v>
      </c>
      <c r="AI260" s="82">
        <v>1.9999999999890861</v>
      </c>
      <c r="AJ260" s="166">
        <v>1.1071199999999999</v>
      </c>
      <c r="AK260" s="82" t="str">
        <v>Base</v>
      </c>
      <c r="AL260" s="162">
        <v>-4.5</v>
      </c>
      <c r="AM260" s="162">
        <v>-1.7830273816505595</v>
      </c>
      <c r="AN260" s="162">
        <v>-0.47710202070260466</v>
      </c>
      <c r="AO260" s="162">
        <v>1.1848746270094432</v>
      </c>
      <c r="AP260" s="162">
        <v>-15.003283411783807</v>
      </c>
      <c r="AQ260" s="162">
        <v>0</v>
      </c>
      <c r="AR260" s="710" t="str">
        <v>1613 Ripper.par</v>
      </c>
      <c r="AV260" s="82" t="str">
        <v>255,127,0</v>
      </c>
      <c r="AW260" s="947">
        <v>-15</v>
      </c>
      <c r="AX260" s="947">
        <v>1.1848746270094432</v>
      </c>
      <c r="AY260" s="947">
        <v>0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3"/>
      <c r="M261" s="970"/>
      <c r="N261" s="941"/>
      <c r="O261" s="942"/>
      <c r="Q261" s="162" t="str">
        <f t="shared" si="1075"/>
        <v/>
      </c>
      <c r="R261" s="162" t="str">
        <f t="shared" si="1076"/>
        <v/>
      </c>
      <c r="S261" s="162" t="str">
        <f t="shared" si="1077"/>
        <v/>
      </c>
      <c r="T261" s="162" t="str">
        <f t="shared" si="1078"/>
        <v/>
      </c>
      <c r="U261" s="162" t="str">
        <f t="shared" si="1079"/>
        <v/>
      </c>
      <c r="V261" s="162" t="str">
        <f t="shared" si="1080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1"/>
        <v/>
      </c>
      <c r="Y261" s="75"/>
      <c r="Z261" s="917" t="str">
        <f t="shared" si="1082"/>
        <v/>
      </c>
      <c r="AA261" s="82"/>
      <c r="AB261" s="75"/>
      <c r="AC261" s="75"/>
      <c r="AD261" s="166"/>
      <c r="AE261" s="75">
        <v>1.1040000000000001</v>
      </c>
      <c r="AF261" s="82">
        <v>1</v>
      </c>
      <c r="AG261" s="82">
        <v>1</v>
      </c>
      <c r="AH261" s="82">
        <v>1</v>
      </c>
      <c r="AI261" s="82">
        <v>2.000000000007276</v>
      </c>
      <c r="AJ261" s="166">
        <v>1.10412</v>
      </c>
      <c r="AK261" s="82" t="str">
        <v>Base</v>
      </c>
      <c r="AL261" s="162">
        <v>-4.5</v>
      </c>
      <c r="AM261" s="162">
        <v>-1.0300473987713625</v>
      </c>
      <c r="AN261" s="162">
        <v>-0.67906322003660613</v>
      </c>
      <c r="AO261" s="162">
        <v>2.0504522511231897</v>
      </c>
      <c r="AP261" s="162">
        <v>-15.00983650799305</v>
      </c>
      <c r="AQ261" s="162">
        <v>0</v>
      </c>
      <c r="AR261" s="710" t="str">
        <v>1613.par</v>
      </c>
      <c r="AV261" s="82" t="str">
        <v>255,127,0</v>
      </c>
      <c r="AW261" s="947">
        <v>-15</v>
      </c>
      <c r="AX261" s="947">
        <v>2.0504522511231897</v>
      </c>
      <c r="AY261" s="947">
        <v>0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3"/>
      <c r="M262" s="970"/>
      <c r="N262" s="941"/>
      <c r="O262" s="942"/>
      <c r="Q262" s="162" t="str">
        <f t="shared" si="1075"/>
        <v/>
      </c>
      <c r="R262" s="162" t="str">
        <f t="shared" si="1076"/>
        <v/>
      </c>
      <c r="S262" s="162" t="str">
        <f t="shared" si="1077"/>
        <v/>
      </c>
      <c r="T262" s="162" t="str">
        <f t="shared" si="1078"/>
        <v/>
      </c>
      <c r="U262" s="162" t="str">
        <f t="shared" si="1079"/>
        <v/>
      </c>
      <c r="V262" s="162" t="str">
        <f t="shared" si="1080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1"/>
        <v/>
      </c>
      <c r="Y262" s="75"/>
      <c r="Z262" s="917" t="str">
        <f t="shared" si="1082"/>
        <v/>
      </c>
      <c r="AA262" s="82"/>
      <c r="AB262" s="75"/>
      <c r="AC262" s="75"/>
      <c r="AD262" s="166"/>
      <c r="AE262" s="75">
        <v>1.101</v>
      </c>
      <c r="AF262" s="82">
        <v>1</v>
      </c>
      <c r="AG262" s="82">
        <v>1</v>
      </c>
      <c r="AH262" s="82">
        <v>1</v>
      </c>
      <c r="AI262" s="82">
        <v>1.9999999999890861</v>
      </c>
      <c r="AJ262" s="166">
        <v>1.1011199999999999</v>
      </c>
      <c r="AK262" s="82" t="str">
        <v>Base</v>
      </c>
      <c r="AL262" s="162">
        <v>-4.5</v>
      </c>
      <c r="AM262" s="162">
        <v>-0.30038456522755386</v>
      </c>
      <c r="AN262" s="162">
        <v>-0.82786735898817754</v>
      </c>
      <c r="AO262" s="162">
        <v>5.2170745382373731</v>
      </c>
      <c r="AP262" s="162">
        <v>-21.091519790015408</v>
      </c>
      <c r="AQ262" s="162">
        <v>0</v>
      </c>
      <c r="AR262" s="710" t="str">
        <v>1313.par</v>
      </c>
      <c r="AV262" s="82" t="str">
        <v>255,127,0</v>
      </c>
      <c r="AW262" s="947">
        <v>-15</v>
      </c>
      <c r="AX262" s="947">
        <v>5.2170745382373731</v>
      </c>
      <c r="AY262" s="947">
        <v>0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3"/>
      <c r="M263" s="970"/>
      <c r="N263" s="941"/>
      <c r="O263" s="942"/>
      <c r="Q263" s="162" t="str">
        <f t="shared" si="1075"/>
        <v/>
      </c>
      <c r="R263" s="162" t="str">
        <f t="shared" si="1076"/>
        <v/>
      </c>
      <c r="S263" s="162" t="str">
        <f t="shared" si="1077"/>
        <v/>
      </c>
      <c r="T263" s="162" t="str">
        <f t="shared" si="1078"/>
        <v/>
      </c>
      <c r="U263" s="162" t="str">
        <f t="shared" si="1079"/>
        <v/>
      </c>
      <c r="V263" s="162" t="str">
        <f t="shared" si="1080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1"/>
        <v/>
      </c>
      <c r="Y263" s="75"/>
      <c r="Z263" s="917" t="str">
        <f t="shared" si="1082"/>
        <v/>
      </c>
      <c r="AA263" s="82"/>
      <c r="AB263" s="75"/>
      <c r="AC263" s="75"/>
      <c r="AD263" s="166"/>
      <c r="AE263" s="75">
        <v>6.1180000000000003</v>
      </c>
      <c r="AF263" s="82">
        <v>6</v>
      </c>
      <c r="AG263" s="82">
        <v>1</v>
      </c>
      <c r="AH263" s="82">
        <v>2</v>
      </c>
      <c r="AI263" s="82">
        <v>1.9999999999708962</v>
      </c>
      <c r="AJ263" s="166">
        <v>6.11822</v>
      </c>
      <c r="AK263" s="82">
        <v>6.1181200000000002</v>
      </c>
      <c r="AL263" s="162">
        <v>0</v>
      </c>
      <c r="AM263" s="162">
        <v>0</v>
      </c>
      <c r="AN263" s="162">
        <v>0</v>
      </c>
      <c r="AO263" s="162">
        <v>2.1725293080598931</v>
      </c>
      <c r="AP263" s="162">
        <v>0</v>
      </c>
      <c r="AQ263" s="162">
        <v>0</v>
      </c>
      <c r="AR263" s="710" t="str">
        <v>1313.par</v>
      </c>
      <c r="AV263" s="82" t="str">
        <v>127,0,255</v>
      </c>
      <c r="AW263" s="947">
        <v>85</v>
      </c>
      <c r="AX263" s="947">
        <v>82.827470691940107</v>
      </c>
      <c r="AY263" s="947">
        <v>2.1725293080598931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3"/>
      <c r="M264" s="970"/>
      <c r="N264" s="941"/>
      <c r="O264" s="942"/>
      <c r="Q264" s="162" t="str">
        <f t="shared" si="1075"/>
        <v/>
      </c>
      <c r="R264" s="162" t="str">
        <f t="shared" si="1076"/>
        <v/>
      </c>
      <c r="S264" s="162" t="str">
        <f t="shared" si="1077"/>
        <v/>
      </c>
      <c r="T264" s="162" t="str">
        <f t="shared" si="1078"/>
        <v/>
      </c>
      <c r="U264" s="162" t="str">
        <f t="shared" si="1079"/>
        <v/>
      </c>
      <c r="V264" s="162" t="str">
        <f t="shared" si="1080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1"/>
        <v/>
      </c>
      <c r="Y264" s="75"/>
      <c r="Z264" s="917" t="str">
        <f t="shared" si="1082"/>
        <v/>
      </c>
      <c r="AA264" s="82"/>
      <c r="AB264" s="75"/>
      <c r="AC264" s="75"/>
      <c r="AD264" s="166"/>
      <c r="AE264" s="75">
        <v>6.1150000000000002</v>
      </c>
      <c r="AF264" s="82">
        <v>6</v>
      </c>
      <c r="AG264" s="82">
        <v>1</v>
      </c>
      <c r="AH264" s="82">
        <v>2</v>
      </c>
      <c r="AI264" s="82">
        <v>1.9999999999708962</v>
      </c>
      <c r="AJ264" s="166">
        <v>6.1152199999999999</v>
      </c>
      <c r="AK264" s="82">
        <v>6.1151200000000001</v>
      </c>
      <c r="AL264" s="162">
        <v>0</v>
      </c>
      <c r="AM264" s="162">
        <v>0</v>
      </c>
      <c r="AN264" s="162">
        <v>0</v>
      </c>
      <c r="AO264" s="162">
        <v>1.4596133240018219</v>
      </c>
      <c r="AP264" s="162">
        <v>0</v>
      </c>
      <c r="AQ264" s="162">
        <v>0</v>
      </c>
      <c r="AR264" s="710" t="str">
        <v>1613 Ripper.par</v>
      </c>
      <c r="AV264" s="82" t="str">
        <v>127,0,255</v>
      </c>
      <c r="AW264" s="947">
        <v>67.400000000000006</v>
      </c>
      <c r="AX264" s="947">
        <v>65.940386675998184</v>
      </c>
      <c r="AY264" s="947">
        <v>1.4596133240018219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3"/>
      <c r="M265" s="970"/>
      <c r="N265" s="941"/>
      <c r="O265" s="942"/>
      <c r="Q265" s="162" t="str">
        <f t="shared" si="1075"/>
        <v/>
      </c>
      <c r="R265" s="162" t="str">
        <f t="shared" si="1076"/>
        <v/>
      </c>
      <c r="S265" s="162" t="str">
        <f t="shared" si="1077"/>
        <v/>
      </c>
      <c r="T265" s="162" t="str">
        <f t="shared" si="1078"/>
        <v/>
      </c>
      <c r="U265" s="162" t="str">
        <f t="shared" si="1079"/>
        <v/>
      </c>
      <c r="V265" s="162" t="str">
        <f t="shared" si="1080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1"/>
        <v/>
      </c>
      <c r="Y265" s="75"/>
      <c r="Z265" s="917" t="str">
        <f t="shared" si="1082"/>
        <v/>
      </c>
      <c r="AA265" s="82"/>
      <c r="AB265" s="75"/>
      <c r="AC265" s="75"/>
      <c r="AD265" s="166"/>
      <c r="AE265" s="75">
        <v>6.1120000000000001</v>
      </c>
      <c r="AF265" s="82">
        <v>6</v>
      </c>
      <c r="AG265" s="82">
        <v>1</v>
      </c>
      <c r="AH265" s="82">
        <v>2</v>
      </c>
      <c r="AI265" s="82">
        <v>1.9999999999708962</v>
      </c>
      <c r="AJ265" s="166">
        <v>6.1122199999999998</v>
      </c>
      <c r="AK265" s="82">
        <v>6.11212</v>
      </c>
      <c r="AL265" s="162">
        <v>0</v>
      </c>
      <c r="AM265" s="162">
        <v>0</v>
      </c>
      <c r="AN265" s="162">
        <v>0</v>
      </c>
      <c r="AO265" s="162">
        <v>-10.066384694641641</v>
      </c>
      <c r="AP265" s="162">
        <v>0</v>
      </c>
      <c r="AQ265" s="162">
        <v>0</v>
      </c>
      <c r="AR265" s="710" t="str">
        <v>1613.par</v>
      </c>
      <c r="AV265" s="82" t="str">
        <v>127,0,255</v>
      </c>
      <c r="AW265" s="947">
        <v>34.1</v>
      </c>
      <c r="AX265" s="947">
        <v>44.166384694641643</v>
      </c>
      <c r="AY265" s="947">
        <v>-10.066384694641641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3"/>
      <c r="M266" s="970"/>
      <c r="N266" s="941"/>
      <c r="O266" s="942"/>
      <c r="Q266" s="162" t="str">
        <f t="shared" si="1075"/>
        <v/>
      </c>
      <c r="R266" s="162" t="str">
        <f t="shared" si="1076"/>
        <v/>
      </c>
      <c r="S266" s="162" t="str">
        <f t="shared" si="1077"/>
        <v/>
      </c>
      <c r="T266" s="162" t="str">
        <f t="shared" si="1078"/>
        <v/>
      </c>
      <c r="U266" s="162" t="str">
        <f t="shared" si="1079"/>
        <v/>
      </c>
      <c r="V266" s="162" t="str">
        <f t="shared" si="1080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1"/>
        <v/>
      </c>
      <c r="Y266" s="75"/>
      <c r="Z266" s="917" t="str">
        <f t="shared" si="1082"/>
        <v/>
      </c>
      <c r="AA266" s="82"/>
      <c r="AB266" s="75"/>
      <c r="AC266" s="75"/>
      <c r="AD266" s="166"/>
      <c r="AE266" s="75">
        <v>6.109</v>
      </c>
      <c r="AF266" s="82">
        <v>6</v>
      </c>
      <c r="AG266" s="82">
        <v>1</v>
      </c>
      <c r="AH266" s="82">
        <v>2</v>
      </c>
      <c r="AI266" s="82">
        <v>1.9999999999708962</v>
      </c>
      <c r="AJ266" s="166">
        <v>6.1092199999999997</v>
      </c>
      <c r="AK266" s="82">
        <v>6.1091199999999999</v>
      </c>
      <c r="AL266" s="162">
        <v>0</v>
      </c>
      <c r="AM266" s="162">
        <v>0</v>
      </c>
      <c r="AN266" s="162">
        <v>0</v>
      </c>
      <c r="AO266" s="162">
        <v>-12.622553303993035</v>
      </c>
      <c r="AP266" s="162">
        <v>0</v>
      </c>
      <c r="AQ266" s="162">
        <v>0</v>
      </c>
      <c r="AR266" s="710" t="str">
        <v>1613 Ripper.par</v>
      </c>
      <c r="AV266" s="82" t="str">
        <v>127,0,255</v>
      </c>
      <c r="AW266" s="947">
        <v>-0.4</v>
      </c>
      <c r="AX266" s="947">
        <v>12.222553303993035</v>
      </c>
      <c r="AY266" s="947">
        <v>-12.622553303993035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3"/>
      <c r="M267" s="970"/>
      <c r="N267" s="941"/>
      <c r="O267" s="942"/>
      <c r="Q267" s="162" t="str">
        <f t="shared" si="1075"/>
        <v/>
      </c>
      <c r="R267" s="162" t="str">
        <f t="shared" si="1076"/>
        <v/>
      </c>
      <c r="S267" s="162" t="str">
        <f t="shared" si="1077"/>
        <v/>
      </c>
      <c r="T267" s="162" t="str">
        <f t="shared" si="1078"/>
        <v/>
      </c>
      <c r="U267" s="162" t="str">
        <f t="shared" si="1079"/>
        <v/>
      </c>
      <c r="V267" s="162" t="str">
        <f t="shared" si="1080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1"/>
        <v/>
      </c>
      <c r="Y267" s="75"/>
      <c r="Z267" s="917" t="str">
        <f t="shared" si="1082"/>
        <v/>
      </c>
      <c r="AA267" s="82"/>
      <c r="AB267" s="75"/>
      <c r="AC267" s="75"/>
      <c r="AD267" s="166"/>
      <c r="AE267" s="75">
        <v>5.12</v>
      </c>
      <c r="AF267" s="82">
        <v>5</v>
      </c>
      <c r="AG267" s="82">
        <v>1</v>
      </c>
      <c r="AH267" s="82">
        <v>2</v>
      </c>
      <c r="AI267" s="82">
        <v>1.9999999999708962</v>
      </c>
      <c r="AJ267" s="166">
        <v>5.1202199999999998</v>
      </c>
      <c r="AK267" s="82">
        <v>5.12012</v>
      </c>
      <c r="AL267" s="162">
        <v>0</v>
      </c>
      <c r="AM267" s="162">
        <v>0</v>
      </c>
      <c r="AN267" s="162">
        <v>0</v>
      </c>
      <c r="AO267" s="162">
        <v>2.1725566576071316</v>
      </c>
      <c r="AP267" s="162">
        <v>0</v>
      </c>
      <c r="AQ267" s="162">
        <v>0</v>
      </c>
      <c r="AR267" s="710" t="str">
        <v>1313.par</v>
      </c>
      <c r="AV267" s="82" t="str">
        <v>0,102,204</v>
      </c>
      <c r="AW267" s="947">
        <v>85</v>
      </c>
      <c r="AX267" s="947">
        <v>82.827443342392868</v>
      </c>
      <c r="AY267" s="947">
        <v>2.1725566576071316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3"/>
      <c r="M268" s="970"/>
      <c r="N268" s="941"/>
      <c r="O268" s="942"/>
      <c r="Q268" s="162" t="str">
        <f t="shared" si="1075"/>
        <v/>
      </c>
      <c r="R268" s="162" t="str">
        <f t="shared" si="1076"/>
        <v/>
      </c>
      <c r="S268" s="162" t="str">
        <f t="shared" si="1077"/>
        <v/>
      </c>
      <c r="T268" s="162" t="str">
        <f t="shared" si="1078"/>
        <v/>
      </c>
      <c r="U268" s="162" t="str">
        <f t="shared" si="1079"/>
        <v/>
      </c>
      <c r="V268" s="162" t="str">
        <f t="shared" si="1080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1"/>
        <v/>
      </c>
      <c r="Y268" s="75"/>
      <c r="Z268" s="917" t="str">
        <f t="shared" si="1082"/>
        <v/>
      </c>
      <c r="AA268" s="82"/>
      <c r="AB268" s="75"/>
      <c r="AC268" s="75"/>
      <c r="AD268" s="166"/>
      <c r="AE268" s="75">
        <v>5.117</v>
      </c>
      <c r="AF268" s="82">
        <v>5</v>
      </c>
      <c r="AG268" s="82">
        <v>1</v>
      </c>
      <c r="AH268" s="82">
        <v>2</v>
      </c>
      <c r="AI268" s="82">
        <v>1.9999999999708962</v>
      </c>
      <c r="AJ268" s="166">
        <v>5.1172199999999997</v>
      </c>
      <c r="AK268" s="82">
        <v>5.1171199999999999</v>
      </c>
      <c r="AL268" s="162">
        <v>0</v>
      </c>
      <c r="AM268" s="162">
        <v>0</v>
      </c>
      <c r="AN268" s="162">
        <v>0</v>
      </c>
      <c r="AO268" s="162">
        <v>2.2172165931236947</v>
      </c>
      <c r="AP268" s="162">
        <v>0</v>
      </c>
      <c r="AQ268" s="162">
        <v>0</v>
      </c>
      <c r="AR268" s="710" t="str">
        <v>1613.par</v>
      </c>
      <c r="AV268" s="82" t="str">
        <v>0,102,204</v>
      </c>
      <c r="AW268" s="947">
        <v>85</v>
      </c>
      <c r="AX268" s="947">
        <v>82.782783406876305</v>
      </c>
      <c r="AY268" s="947">
        <v>2.2172165931236947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3"/>
      <c r="M269" s="970"/>
      <c r="N269" s="941"/>
      <c r="O269" s="942"/>
      <c r="Q269" s="162" t="str">
        <f t="shared" si="1075"/>
        <v/>
      </c>
      <c r="R269" s="162" t="str">
        <f t="shared" si="1076"/>
        <v/>
      </c>
      <c r="S269" s="162" t="str">
        <f t="shared" si="1077"/>
        <v/>
      </c>
      <c r="T269" s="162" t="str">
        <f t="shared" si="1078"/>
        <v/>
      </c>
      <c r="U269" s="162" t="str">
        <f t="shared" si="1079"/>
        <v/>
      </c>
      <c r="V269" s="162" t="str">
        <f t="shared" si="1080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1"/>
        <v/>
      </c>
      <c r="Y269" s="75"/>
      <c r="Z269" s="917" t="str">
        <f t="shared" si="1082"/>
        <v/>
      </c>
      <c r="AA269" s="82"/>
      <c r="AB269" s="75"/>
      <c r="AC269" s="75"/>
      <c r="AD269" s="166"/>
      <c r="AE269" s="75">
        <v>5.1139999999999999</v>
      </c>
      <c r="AF269" s="82">
        <v>5</v>
      </c>
      <c r="AG269" s="82">
        <v>1</v>
      </c>
      <c r="AH269" s="82">
        <v>2</v>
      </c>
      <c r="AI269" s="82">
        <v>1.9999999999708962</v>
      </c>
      <c r="AJ269" s="166">
        <v>5.1142199999999995</v>
      </c>
      <c r="AK269" s="82">
        <v>5.1141199999999998</v>
      </c>
      <c r="AL269" s="162">
        <v>0</v>
      </c>
      <c r="AM269" s="162">
        <v>0</v>
      </c>
      <c r="AN269" s="162">
        <v>0</v>
      </c>
      <c r="AO269" s="162">
        <v>-6.529843987714834</v>
      </c>
      <c r="AP269" s="162">
        <v>0</v>
      </c>
      <c r="AQ269" s="162">
        <v>0</v>
      </c>
      <c r="AR269" s="710" t="str">
        <v>1613 Ripper.par</v>
      </c>
      <c r="AV269" s="82" t="str">
        <v>0,102,204</v>
      </c>
      <c r="AW269" s="947">
        <v>56.3</v>
      </c>
      <c r="AX269" s="947">
        <v>62.829843987714831</v>
      </c>
      <c r="AY269" s="947">
        <v>-6.529843987714834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3"/>
      <c r="M270" s="970"/>
      <c r="N270" s="941"/>
      <c r="O270" s="942"/>
      <c r="Q270" s="162" t="str">
        <f t="shared" si="1075"/>
        <v/>
      </c>
      <c r="R270" s="162" t="str">
        <f t="shared" si="1076"/>
        <v/>
      </c>
      <c r="S270" s="162" t="str">
        <f t="shared" si="1077"/>
        <v/>
      </c>
      <c r="T270" s="162" t="str">
        <f t="shared" si="1078"/>
        <v/>
      </c>
      <c r="U270" s="162" t="str">
        <f t="shared" si="1079"/>
        <v/>
      </c>
      <c r="V270" s="162" t="str">
        <f t="shared" si="1080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1"/>
        <v/>
      </c>
      <c r="Y270" s="75"/>
      <c r="Z270" s="917" t="str">
        <f t="shared" si="1082"/>
        <v/>
      </c>
      <c r="AA270" s="82"/>
      <c r="AB270" s="75"/>
      <c r="AC270" s="75"/>
      <c r="AD270" s="166"/>
      <c r="AE270" s="75">
        <v>5.1109999999999998</v>
      </c>
      <c r="AF270" s="82">
        <v>5</v>
      </c>
      <c r="AG270" s="82">
        <v>1</v>
      </c>
      <c r="AH270" s="82">
        <v>2</v>
      </c>
      <c r="AI270" s="82">
        <v>1.9999999999708962</v>
      </c>
      <c r="AJ270" s="166">
        <v>5.1112199999999994</v>
      </c>
      <c r="AK270" s="82">
        <v>5.1111199999999997</v>
      </c>
      <c r="AL270" s="162">
        <v>0</v>
      </c>
      <c r="AM270" s="162">
        <v>0</v>
      </c>
      <c r="AN270" s="162">
        <v>0</v>
      </c>
      <c r="AO270" s="162">
        <v>-10.242046168720929</v>
      </c>
      <c r="AP270" s="162">
        <v>0</v>
      </c>
      <c r="AQ270" s="162">
        <v>0</v>
      </c>
      <c r="AR270" s="710" t="str">
        <v>1613 Ripper.par</v>
      </c>
      <c r="AV270" s="82" t="str">
        <v>0,102,204</v>
      </c>
      <c r="AW270" s="947">
        <v>22.8</v>
      </c>
      <c r="AX270" s="947">
        <v>33.04204616872093</v>
      </c>
      <c r="AY270" s="947">
        <v>-10.242046168720929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3"/>
      <c r="M271" s="970"/>
      <c r="N271" s="941"/>
      <c r="O271" s="942"/>
      <c r="Q271" s="162" t="str">
        <f t="shared" si="1075"/>
        <v/>
      </c>
      <c r="R271" s="162" t="str">
        <f t="shared" si="1076"/>
        <v/>
      </c>
      <c r="S271" s="162" t="str">
        <f t="shared" si="1077"/>
        <v/>
      </c>
      <c r="T271" s="162" t="str">
        <f t="shared" si="1078"/>
        <v/>
      </c>
      <c r="U271" s="162" t="str">
        <f t="shared" si="1079"/>
        <v/>
      </c>
      <c r="V271" s="162" t="str">
        <f t="shared" si="1080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1"/>
        <v/>
      </c>
      <c r="Y271" s="75"/>
      <c r="Z271" s="917" t="str">
        <f t="shared" si="1082"/>
        <v/>
      </c>
      <c r="AA271" s="82"/>
      <c r="AB271" s="75"/>
      <c r="AC271" s="75"/>
      <c r="AD271" s="166"/>
      <c r="AE271" s="75">
        <v>5.1079999999999997</v>
      </c>
      <c r="AF271" s="82">
        <v>5</v>
      </c>
      <c r="AG271" s="82">
        <v>1</v>
      </c>
      <c r="AH271" s="82">
        <v>2</v>
      </c>
      <c r="AI271" s="82">
        <v>1.9999999998981366</v>
      </c>
      <c r="AJ271" s="166">
        <v>5.1082199999999993</v>
      </c>
      <c r="AK271" s="82">
        <v>5.1081199999999995</v>
      </c>
      <c r="AL271" s="162">
        <v>0</v>
      </c>
      <c r="AM271" s="162">
        <v>0</v>
      </c>
      <c r="AN271" s="162">
        <v>0</v>
      </c>
      <c r="AO271" s="162">
        <v>-11.740648681122845</v>
      </c>
      <c r="AP271" s="162">
        <v>0</v>
      </c>
      <c r="AQ271" s="162">
        <v>0</v>
      </c>
      <c r="AR271" s="710" t="str">
        <v>1613 Ripper.par</v>
      </c>
      <c r="AV271" s="82" t="str">
        <v>0,102,204</v>
      </c>
      <c r="AW271" s="947">
        <v>-10.7</v>
      </c>
      <c r="AX271" s="947">
        <v>1.0406486811228461</v>
      </c>
      <c r="AY271" s="947">
        <v>-11.740648681122845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3"/>
      <c r="M272" s="970"/>
      <c r="N272" s="941"/>
      <c r="O272" s="942"/>
      <c r="Q272" s="162" t="str">
        <f t="shared" si="1075"/>
        <v/>
      </c>
      <c r="R272" s="162" t="str">
        <f t="shared" si="1076"/>
        <v/>
      </c>
      <c r="S272" s="162" t="str">
        <f t="shared" si="1077"/>
        <v/>
      </c>
      <c r="T272" s="162" t="str">
        <f t="shared" si="1078"/>
        <v/>
      </c>
      <c r="U272" s="162" t="str">
        <f t="shared" si="1079"/>
        <v/>
      </c>
      <c r="V272" s="162" t="str">
        <f t="shared" si="1080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1"/>
        <v/>
      </c>
      <c r="Y272" s="75"/>
      <c r="Z272" s="917" t="str">
        <f t="shared" si="1082"/>
        <v/>
      </c>
      <c r="AA272" s="82"/>
      <c r="AB272" s="75"/>
      <c r="AC272" s="75"/>
      <c r="AD272" s="166"/>
      <c r="AE272" s="75">
        <v>5.1050000000000004</v>
      </c>
      <c r="AF272" s="82">
        <v>5</v>
      </c>
      <c r="AG272" s="82">
        <v>1</v>
      </c>
      <c r="AH272" s="82">
        <v>2</v>
      </c>
      <c r="AI272" s="82">
        <v>2.0000000000436557</v>
      </c>
      <c r="AJ272" s="166">
        <v>5.1052200000000001</v>
      </c>
      <c r="AK272" s="82">
        <v>5.1051200000000003</v>
      </c>
      <c r="AL272" s="162">
        <v>0</v>
      </c>
      <c r="AM272" s="162">
        <v>0</v>
      </c>
      <c r="AN272" s="162">
        <v>0</v>
      </c>
      <c r="AO272" s="162">
        <v>-16.653087129673832</v>
      </c>
      <c r="AP272" s="162">
        <v>0</v>
      </c>
      <c r="AQ272" s="162">
        <v>0</v>
      </c>
      <c r="AR272" s="710" t="str">
        <v>1613 Ripper.par</v>
      </c>
      <c r="AV272" s="82" t="str">
        <v>0,102,204</v>
      </c>
      <c r="AW272" s="947">
        <v>-15</v>
      </c>
      <c r="AX272" s="947">
        <v>1.6530871296738316</v>
      </c>
      <c r="AY272" s="947">
        <v>-16.653087129673832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3"/>
      <c r="M273" s="970"/>
      <c r="N273" s="941"/>
      <c r="O273" s="942"/>
      <c r="Q273" s="162" t="str">
        <f t="shared" si="1075"/>
        <v/>
      </c>
      <c r="R273" s="162" t="str">
        <f t="shared" si="1076"/>
        <v/>
      </c>
      <c r="S273" s="162" t="str">
        <f t="shared" si="1077"/>
        <v/>
      </c>
      <c r="T273" s="162" t="str">
        <f t="shared" si="1078"/>
        <v/>
      </c>
      <c r="U273" s="162" t="str">
        <f t="shared" si="1079"/>
        <v/>
      </c>
      <c r="V273" s="162" t="str">
        <f t="shared" si="1080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1"/>
        <v/>
      </c>
      <c r="Y273" s="75"/>
      <c r="Z273" s="917" t="str">
        <f t="shared" si="1082"/>
        <v/>
      </c>
      <c r="AA273" s="82"/>
      <c r="AB273" s="75"/>
      <c r="AC273" s="75"/>
      <c r="AD273" s="166"/>
      <c r="AE273" s="75">
        <v>5.1020000000000003</v>
      </c>
      <c r="AF273" s="82">
        <v>5</v>
      </c>
      <c r="AG273" s="82">
        <v>1</v>
      </c>
      <c r="AH273" s="82">
        <v>2</v>
      </c>
      <c r="AI273" s="82">
        <v>1.9999999999708962</v>
      </c>
      <c r="AJ273" s="166">
        <v>5.10222</v>
      </c>
      <c r="AK273" s="82">
        <v>5.1021200000000002</v>
      </c>
      <c r="AL273" s="162">
        <v>0</v>
      </c>
      <c r="AM273" s="162">
        <v>0</v>
      </c>
      <c r="AN273" s="162">
        <v>0</v>
      </c>
      <c r="AO273" s="162">
        <v>-18.106590912967334</v>
      </c>
      <c r="AP273" s="162">
        <v>0</v>
      </c>
      <c r="AQ273" s="162">
        <v>0</v>
      </c>
      <c r="AR273" s="710" t="str">
        <v>1613.par</v>
      </c>
      <c r="AV273" s="82" t="str">
        <v>0,102,204</v>
      </c>
      <c r="AW273" s="947">
        <v>-15</v>
      </c>
      <c r="AX273" s="947">
        <v>3.1065909129673352</v>
      </c>
      <c r="AY273" s="947">
        <v>-18.106590912967334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3"/>
      <c r="M274" s="970"/>
      <c r="N274" s="941"/>
      <c r="O274" s="942"/>
      <c r="Q274" s="162" t="str">
        <f t="shared" ref="Q274:Q305" si="1083">IFERROR(INDEX(B$164:B$305,MATCH($Y274,$J$164:$J$305,0)),"")</f>
        <v/>
      </c>
      <c r="R274" s="162" t="str">
        <f t="shared" ref="R274:R305" si="1084">IFERROR(INDEX(C$164:C$305,MATCH($Y274,$J$164:$J$305,0)),"")</f>
        <v/>
      </c>
      <c r="S274" s="162" t="str">
        <f t="shared" ref="S274:S305" si="1085">IFERROR(INDEX(D$164:D$305,MATCH($Y274,$J$164:$J$305,0)),"")</f>
        <v/>
      </c>
      <c r="T274" s="162" t="str">
        <f t="shared" ref="T274:T305" si="1086">IFERROR(IF($N274="Y",-1*INDEX(E$164:E$305,MATCH($Y274,$J$164:$J$305,0)),INDEX(E$164:E$305,MATCH($Y274,$J$164:$J$305,0))),"")</f>
        <v/>
      </c>
      <c r="U274" s="162" t="str">
        <f t="shared" ref="U274:U305" si="1087">IFERROR(IF($N274="Y",-1*INDEX(F$164:F$305,MATCH($Y274,$J$164:$J$305,0)),INDEX(F$164:F$305,MATCH($Y274,$J$164:$J$305,0))),"")</f>
        <v/>
      </c>
      <c r="V274" s="162" t="str">
        <f t="shared" ref="V274:V305" si="1088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89">IFERROR(INDEX(I$164:I$305,MATCH($Y274,$J$164:$J$305,0)),"")</f>
        <v/>
      </c>
      <c r="Y274" s="75"/>
      <c r="Z274" s="917" t="str">
        <f t="shared" ref="Z274:Z305" si="1090">IFERROR(INDEX(K$164:K$305,MATCH($Y274,$J$164:$J$305,0)),"")</f>
        <v/>
      </c>
      <c r="AA274" s="82"/>
      <c r="AB274" s="75"/>
      <c r="AC274" s="75"/>
      <c r="AD274" s="166"/>
      <c r="AE274" s="75">
        <v>4.1189999999999998</v>
      </c>
      <c r="AF274" s="82">
        <v>4</v>
      </c>
      <c r="AG274" s="82">
        <v>1</v>
      </c>
      <c r="AH274" s="82">
        <v>2</v>
      </c>
      <c r="AI274" s="82">
        <v>1.9999999999708962</v>
      </c>
      <c r="AJ274" s="166">
        <v>4.1192199999999994</v>
      </c>
      <c r="AK274" s="82">
        <v>4.1191199999999997</v>
      </c>
      <c r="AL274" s="162">
        <v>0</v>
      </c>
      <c r="AM274" s="162">
        <v>0</v>
      </c>
      <c r="AN274" s="162">
        <v>0</v>
      </c>
      <c r="AO274" s="162">
        <v>2.1726470018021047</v>
      </c>
      <c r="AP274" s="162">
        <v>0</v>
      </c>
      <c r="AQ274" s="162">
        <v>0</v>
      </c>
      <c r="AR274" s="710" t="str">
        <v>1313.par</v>
      </c>
      <c r="AV274" s="82" t="str">
        <v>0,204,204</v>
      </c>
      <c r="AW274" s="947">
        <v>85</v>
      </c>
      <c r="AX274" s="947">
        <v>82.827352998197895</v>
      </c>
      <c r="AY274" s="947">
        <v>2.1726470018021047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3"/>
      <c r="M275" s="970"/>
      <c r="N275" s="941"/>
      <c r="O275" s="942"/>
      <c r="Q275" s="162" t="str">
        <f t="shared" si="1083"/>
        <v/>
      </c>
      <c r="R275" s="162" t="str">
        <f t="shared" si="1084"/>
        <v/>
      </c>
      <c r="S275" s="162" t="str">
        <f t="shared" si="1085"/>
        <v/>
      </c>
      <c r="T275" s="162" t="str">
        <f t="shared" si="1086"/>
        <v/>
      </c>
      <c r="U275" s="162" t="str">
        <f t="shared" si="1087"/>
        <v/>
      </c>
      <c r="V275" s="162" t="str">
        <f t="shared" si="1088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89"/>
        <v/>
      </c>
      <c r="Y275" s="75"/>
      <c r="Z275" s="917" t="str">
        <f t="shared" si="1090"/>
        <v/>
      </c>
      <c r="AA275" s="82"/>
      <c r="AB275" s="75"/>
      <c r="AC275" s="75"/>
      <c r="AD275" s="166"/>
      <c r="AE275" s="75">
        <v>4.1159999999999997</v>
      </c>
      <c r="AF275" s="82">
        <v>4</v>
      </c>
      <c r="AG275" s="82">
        <v>1</v>
      </c>
      <c r="AH275" s="82">
        <v>2</v>
      </c>
      <c r="AI275" s="82">
        <v>1.9999999998981366</v>
      </c>
      <c r="AJ275" s="166">
        <v>4.1162199999999993</v>
      </c>
      <c r="AK275" s="82">
        <v>4.1161199999999996</v>
      </c>
      <c r="AL275" s="162">
        <v>0</v>
      </c>
      <c r="AM275" s="162">
        <v>0</v>
      </c>
      <c r="AN275" s="162">
        <v>0</v>
      </c>
      <c r="AO275" s="162">
        <v>3.5246554983409055</v>
      </c>
      <c r="AP275" s="162">
        <v>0</v>
      </c>
      <c r="AQ275" s="162">
        <v>0</v>
      </c>
      <c r="AR275" s="710" t="str">
        <v>1613.par</v>
      </c>
      <c r="AV275" s="82" t="str">
        <v>0,204,204</v>
      </c>
      <c r="AW275" s="947">
        <v>78.400000000000006</v>
      </c>
      <c r="AX275" s="947">
        <v>74.8753445016591</v>
      </c>
      <c r="AY275" s="947">
        <v>3.5246554983409055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3"/>
      <c r="M276" s="970"/>
      <c r="N276" s="941"/>
      <c r="O276" s="942"/>
      <c r="Q276" s="162" t="str">
        <f t="shared" si="1083"/>
        <v/>
      </c>
      <c r="R276" s="162" t="str">
        <f t="shared" si="1084"/>
        <v/>
      </c>
      <c r="S276" s="162" t="str">
        <f t="shared" si="1085"/>
        <v/>
      </c>
      <c r="T276" s="162" t="str">
        <f t="shared" si="1086"/>
        <v/>
      </c>
      <c r="U276" s="162" t="str">
        <f t="shared" si="1087"/>
        <v/>
      </c>
      <c r="V276" s="162" t="str">
        <f t="shared" si="1088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89"/>
        <v/>
      </c>
      <c r="Y276" s="75"/>
      <c r="Z276" s="917" t="str">
        <f t="shared" si="1090"/>
        <v/>
      </c>
      <c r="AA276" s="82"/>
      <c r="AB276" s="75"/>
      <c r="AC276" s="75"/>
      <c r="AD276" s="166"/>
      <c r="AE276" s="75">
        <v>4.1130000000000004</v>
      </c>
      <c r="AF276" s="82">
        <v>4</v>
      </c>
      <c r="AG276" s="82">
        <v>1</v>
      </c>
      <c r="AH276" s="82">
        <v>2</v>
      </c>
      <c r="AI276" s="82">
        <v>2.0000000000436557</v>
      </c>
      <c r="AJ276" s="166">
        <v>4.1132200000000001</v>
      </c>
      <c r="AK276" s="82">
        <v>4.1131200000000003</v>
      </c>
      <c r="AL276" s="162">
        <v>0</v>
      </c>
      <c r="AM276" s="162">
        <v>0</v>
      </c>
      <c r="AN276" s="162">
        <v>0</v>
      </c>
      <c r="AO276" s="162">
        <v>-7.8466164241372951</v>
      </c>
      <c r="AP276" s="162">
        <v>0</v>
      </c>
      <c r="AQ276" s="162">
        <v>0</v>
      </c>
      <c r="AR276" s="710" t="str">
        <v>1613 Ripper.par</v>
      </c>
      <c r="AV276" s="82" t="str">
        <v>0,204,204</v>
      </c>
      <c r="AW276" s="947">
        <v>45.3</v>
      </c>
      <c r="AX276" s="947">
        <v>53.146616424137292</v>
      </c>
      <c r="AY276" s="947">
        <v>-7.8466164241372951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3"/>
      <c r="M277" s="970"/>
      <c r="N277" s="941"/>
      <c r="O277" s="942"/>
      <c r="Q277" s="162" t="str">
        <f t="shared" si="1083"/>
        <v/>
      </c>
      <c r="R277" s="162" t="str">
        <f t="shared" si="1084"/>
        <v/>
      </c>
      <c r="S277" s="162" t="str">
        <f t="shared" si="1085"/>
        <v/>
      </c>
      <c r="T277" s="162" t="str">
        <f t="shared" si="1086"/>
        <v/>
      </c>
      <c r="U277" s="162" t="str">
        <f t="shared" si="1087"/>
        <v/>
      </c>
      <c r="V277" s="162" t="str">
        <f t="shared" si="1088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89"/>
        <v/>
      </c>
      <c r="Y277" s="75"/>
      <c r="Z277" s="917" t="str">
        <f t="shared" si="1090"/>
        <v/>
      </c>
      <c r="AA277" s="82"/>
      <c r="AB277" s="75"/>
      <c r="AC277" s="75"/>
      <c r="AD277" s="166"/>
      <c r="AE277" s="75">
        <v>4.1100000000000003</v>
      </c>
      <c r="AF277" s="82">
        <v>4</v>
      </c>
      <c r="AG277" s="82">
        <v>1</v>
      </c>
      <c r="AH277" s="82">
        <v>2</v>
      </c>
      <c r="AI277" s="82">
        <v>1.9999999999708962</v>
      </c>
      <c r="AJ277" s="166">
        <v>4.11022</v>
      </c>
      <c r="AK277" s="82">
        <v>4.1101200000000002</v>
      </c>
      <c r="AL277" s="162">
        <v>0</v>
      </c>
      <c r="AM277" s="162">
        <v>0</v>
      </c>
      <c r="AN277" s="162">
        <v>0</v>
      </c>
      <c r="AO277" s="162">
        <v>-11.268586026272375</v>
      </c>
      <c r="AP277" s="162">
        <v>0</v>
      </c>
      <c r="AQ277" s="162">
        <v>0</v>
      </c>
      <c r="AR277" s="710" t="str">
        <v>1613.par</v>
      </c>
      <c r="AV277" s="82" t="str">
        <v>0,204,204</v>
      </c>
      <c r="AW277" s="947">
        <v>11.6</v>
      </c>
      <c r="AX277" s="947">
        <v>22.868586026272375</v>
      </c>
      <c r="AY277" s="947">
        <v>-11.268586026272375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3"/>
      <c r="M278" s="970"/>
      <c r="N278" s="941"/>
      <c r="O278" s="942"/>
      <c r="Q278" s="162" t="str">
        <f t="shared" si="1083"/>
        <v/>
      </c>
      <c r="R278" s="162" t="str">
        <f t="shared" si="1084"/>
        <v/>
      </c>
      <c r="S278" s="162" t="str">
        <f t="shared" si="1085"/>
        <v/>
      </c>
      <c r="T278" s="162" t="str">
        <f t="shared" si="1086"/>
        <v/>
      </c>
      <c r="U278" s="162" t="str">
        <f t="shared" si="1087"/>
        <v/>
      </c>
      <c r="V278" s="162" t="str">
        <f t="shared" si="1088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89"/>
        <v/>
      </c>
      <c r="Y278" s="75"/>
      <c r="Z278" s="917" t="str">
        <f t="shared" si="1090"/>
        <v/>
      </c>
      <c r="AA278" s="82"/>
      <c r="AB278" s="75"/>
      <c r="AC278" s="75"/>
      <c r="AD278" s="166"/>
      <c r="AE278" s="75">
        <v>3.1179999999999999</v>
      </c>
      <c r="AF278" s="82">
        <v>3</v>
      </c>
      <c r="AG278" s="82">
        <v>1</v>
      </c>
      <c r="AH278" s="82">
        <v>2</v>
      </c>
      <c r="AI278" s="82">
        <v>2.000000000007276</v>
      </c>
      <c r="AJ278" s="166">
        <v>3.11822</v>
      </c>
      <c r="AK278" s="82">
        <v>3.1181199999999998</v>
      </c>
      <c r="AL278" s="162">
        <v>0</v>
      </c>
      <c r="AM278" s="162">
        <v>0</v>
      </c>
      <c r="AN278" s="162">
        <v>0</v>
      </c>
      <c r="AO278" s="162">
        <v>2.1727106536177843</v>
      </c>
      <c r="AP278" s="162">
        <v>0</v>
      </c>
      <c r="AQ278" s="162">
        <v>0</v>
      </c>
      <c r="AR278" s="710" t="str">
        <v>1313.par</v>
      </c>
      <c r="AV278" s="82" t="str">
        <v>0,204,0</v>
      </c>
      <c r="AW278" s="947">
        <v>85</v>
      </c>
      <c r="AX278" s="947">
        <v>82.827289346382216</v>
      </c>
      <c r="AY278" s="947">
        <v>2.1727106536177843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70"/>
      <c r="N279" s="941"/>
      <c r="O279" s="942"/>
      <c r="Q279" s="162" t="str">
        <f t="shared" si="1083"/>
        <v/>
      </c>
      <c r="R279" s="162" t="str">
        <f t="shared" si="1084"/>
        <v/>
      </c>
      <c r="S279" s="162" t="str">
        <f t="shared" si="1085"/>
        <v/>
      </c>
      <c r="T279" s="162" t="str">
        <f t="shared" si="1086"/>
        <v/>
      </c>
      <c r="U279" s="162" t="str">
        <f t="shared" si="1087"/>
        <v/>
      </c>
      <c r="V279" s="162" t="str">
        <f t="shared" si="1088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89"/>
        <v/>
      </c>
      <c r="Y279" s="75"/>
      <c r="Z279" s="917" t="str">
        <f t="shared" si="1090"/>
        <v/>
      </c>
      <c r="AA279" s="82"/>
      <c r="AB279" s="75"/>
      <c r="AC279" s="75"/>
      <c r="AD279" s="166"/>
      <c r="AE279" s="75">
        <v>3.1150000000000002</v>
      </c>
      <c r="AF279" s="82">
        <v>3</v>
      </c>
      <c r="AG279" s="82">
        <v>1</v>
      </c>
      <c r="AH279" s="82">
        <v>2</v>
      </c>
      <c r="AI279" s="82">
        <v>2.0000000000436557</v>
      </c>
      <c r="AJ279" s="166">
        <v>3.1152200000000003</v>
      </c>
      <c r="AK279" s="82">
        <v>3.1151200000000001</v>
      </c>
      <c r="AL279" s="162">
        <v>0</v>
      </c>
      <c r="AM279" s="162">
        <v>0</v>
      </c>
      <c r="AN279" s="162">
        <v>0</v>
      </c>
      <c r="AO279" s="162">
        <v>1.4605742312702574</v>
      </c>
      <c r="AP279" s="162">
        <v>0</v>
      </c>
      <c r="AQ279" s="162">
        <v>0</v>
      </c>
      <c r="AR279" s="710" t="str">
        <v>1613.par</v>
      </c>
      <c r="AV279" s="82" t="str">
        <v>0,204,0</v>
      </c>
      <c r="AW279" s="947">
        <v>67.400000000000006</v>
      </c>
      <c r="AX279" s="947">
        <v>65.939425768729748</v>
      </c>
      <c r="AY279" s="947">
        <v>1.4605742312702574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70"/>
      <c r="N280" s="941"/>
      <c r="O280" s="942"/>
      <c r="Q280" s="162" t="str">
        <f t="shared" si="1083"/>
        <v/>
      </c>
      <c r="R280" s="162" t="str">
        <f t="shared" si="1084"/>
        <v/>
      </c>
      <c r="S280" s="162" t="str">
        <f t="shared" si="1085"/>
        <v/>
      </c>
      <c r="T280" s="162" t="str">
        <f t="shared" si="1086"/>
        <v/>
      </c>
      <c r="U280" s="162" t="str">
        <f t="shared" si="1087"/>
        <v/>
      </c>
      <c r="V280" s="162" t="str">
        <f t="shared" si="1088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89"/>
        <v/>
      </c>
      <c r="Y280" s="75"/>
      <c r="Z280" s="917" t="str">
        <f t="shared" si="1090"/>
        <v/>
      </c>
      <c r="AA280" s="82"/>
      <c r="AB280" s="75"/>
      <c r="AC280" s="75"/>
      <c r="AD280" s="166"/>
      <c r="AE280" s="75">
        <v>3.1120000000000001</v>
      </c>
      <c r="AF280" s="82">
        <v>3</v>
      </c>
      <c r="AG280" s="82">
        <v>1</v>
      </c>
      <c r="AH280" s="82">
        <v>2</v>
      </c>
      <c r="AI280" s="82">
        <v>2.000000000007276</v>
      </c>
      <c r="AJ280" s="166">
        <v>3.1122200000000002</v>
      </c>
      <c r="AK280" s="82">
        <v>3.11212</v>
      </c>
      <c r="AL280" s="162">
        <v>0</v>
      </c>
      <c r="AM280" s="162">
        <v>0</v>
      </c>
      <c r="AN280" s="162">
        <v>0</v>
      </c>
      <c r="AO280" s="162">
        <v>-10.063828655907123</v>
      </c>
      <c r="AP280" s="162">
        <v>0</v>
      </c>
      <c r="AQ280" s="162">
        <v>0</v>
      </c>
      <c r="AR280" s="710" t="str">
        <v>1613 Ripper.par</v>
      </c>
      <c r="AV280" s="82" t="str">
        <v>0,204,0</v>
      </c>
      <c r="AW280" s="947">
        <v>34.1</v>
      </c>
      <c r="AX280" s="947">
        <v>44.163828655907125</v>
      </c>
      <c r="AY280" s="947">
        <v>-10.063828655907123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70"/>
      <c r="N281" s="941"/>
      <c r="O281" s="942"/>
      <c r="Q281" s="162" t="str">
        <f t="shared" si="1083"/>
        <v/>
      </c>
      <c r="R281" s="162" t="str">
        <f t="shared" si="1084"/>
        <v/>
      </c>
      <c r="S281" s="162" t="str">
        <f t="shared" si="1085"/>
        <v/>
      </c>
      <c r="T281" s="162" t="str">
        <f t="shared" si="1086"/>
        <v/>
      </c>
      <c r="U281" s="162" t="str">
        <f t="shared" si="1087"/>
        <v/>
      </c>
      <c r="V281" s="162" t="str">
        <f t="shared" si="1088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89"/>
        <v/>
      </c>
      <c r="Y281" s="75"/>
      <c r="Z281" s="917" t="str">
        <f t="shared" si="1090"/>
        <v/>
      </c>
      <c r="AA281" s="82"/>
      <c r="AB281" s="75"/>
      <c r="AC281" s="75"/>
      <c r="AD281" s="166"/>
      <c r="AE281" s="75">
        <v>3.109</v>
      </c>
      <c r="AF281" s="82">
        <v>3</v>
      </c>
      <c r="AG281" s="82">
        <v>1</v>
      </c>
      <c r="AH281" s="82">
        <v>2</v>
      </c>
      <c r="AI281" s="82">
        <v>2.000000000007276</v>
      </c>
      <c r="AJ281" s="166">
        <v>3.1092200000000001</v>
      </c>
      <c r="AK281" s="82">
        <v>3.1091199999999999</v>
      </c>
      <c r="AL281" s="162">
        <v>0</v>
      </c>
      <c r="AM281" s="162">
        <v>0</v>
      </c>
      <c r="AN281" s="162">
        <v>0</v>
      </c>
      <c r="AO281" s="162">
        <v>-12.617901912472622</v>
      </c>
      <c r="AP281" s="162">
        <v>0</v>
      </c>
      <c r="AQ281" s="162">
        <v>0</v>
      </c>
      <c r="AR281" s="710" t="str">
        <v>1613 Ripper.par</v>
      </c>
      <c r="AV281" s="82" t="str">
        <v>0,204,0</v>
      </c>
      <c r="AW281" s="947">
        <v>-0.4</v>
      </c>
      <c r="AX281" s="947">
        <v>12.217901912472621</v>
      </c>
      <c r="AY281" s="947">
        <v>-12.617901912472622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70"/>
      <c r="N282" s="941"/>
      <c r="O282" s="942"/>
      <c r="Q282" s="162" t="str">
        <f t="shared" si="1083"/>
        <v/>
      </c>
      <c r="R282" s="162" t="str">
        <f t="shared" si="1084"/>
        <v/>
      </c>
      <c r="S282" s="162" t="str">
        <f t="shared" si="1085"/>
        <v/>
      </c>
      <c r="T282" s="162" t="str">
        <f t="shared" si="1086"/>
        <v/>
      </c>
      <c r="U282" s="162" t="str">
        <f t="shared" si="1087"/>
        <v/>
      </c>
      <c r="V282" s="162" t="str">
        <f t="shared" si="1088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89"/>
        <v/>
      </c>
      <c r="Y282" s="75"/>
      <c r="Z282" s="917" t="str">
        <f t="shared" si="1090"/>
        <v/>
      </c>
      <c r="AA282" s="82"/>
      <c r="AB282" s="75"/>
      <c r="AC282" s="75"/>
      <c r="AD282" s="166"/>
      <c r="AE282" s="75">
        <v>3.1059999999999999</v>
      </c>
      <c r="AF282" s="82">
        <v>3</v>
      </c>
      <c r="AG282" s="82">
        <v>1</v>
      </c>
      <c r="AH282" s="82">
        <v>2</v>
      </c>
      <c r="AI282" s="82">
        <v>2.000000000007276</v>
      </c>
      <c r="AJ282" s="166">
        <v>3.10622</v>
      </c>
      <c r="AK282" s="82">
        <v>3.1061199999999998</v>
      </c>
      <c r="AL282" s="162">
        <v>0</v>
      </c>
      <c r="AM282" s="162">
        <v>0</v>
      </c>
      <c r="AN282" s="162">
        <v>0</v>
      </c>
      <c r="AO282" s="162">
        <v>-16.376414704065411</v>
      </c>
      <c r="AP282" s="162">
        <v>0</v>
      </c>
      <c r="AQ282" s="162">
        <v>0</v>
      </c>
      <c r="AR282" s="710" t="str">
        <v>1613 Ripper.par</v>
      </c>
      <c r="AV282" s="82" t="str">
        <v>0,204,0</v>
      </c>
      <c r="AW282" s="947">
        <v>-15</v>
      </c>
      <c r="AX282" s="947">
        <v>1.3764147040654124</v>
      </c>
      <c r="AY282" s="947">
        <v>-16.376414704065411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70"/>
      <c r="N283" s="941"/>
      <c r="O283" s="942"/>
      <c r="Q283" s="162" t="str">
        <f t="shared" si="1083"/>
        <v/>
      </c>
      <c r="R283" s="162" t="str">
        <f t="shared" si="1084"/>
        <v/>
      </c>
      <c r="S283" s="162" t="str">
        <f t="shared" si="1085"/>
        <v/>
      </c>
      <c r="T283" s="162" t="str">
        <f t="shared" si="1086"/>
        <v/>
      </c>
      <c r="U283" s="162" t="str">
        <f t="shared" si="1087"/>
        <v/>
      </c>
      <c r="V283" s="162" t="str">
        <f t="shared" si="1088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89"/>
        <v/>
      </c>
      <c r="Y283" s="75"/>
      <c r="Z283" s="917" t="str">
        <f t="shared" si="1090"/>
        <v/>
      </c>
      <c r="AA283" s="82"/>
      <c r="AB283" s="75"/>
      <c r="AC283" s="75"/>
      <c r="AD283" s="166"/>
      <c r="AE283" s="75">
        <v>3.1030000000000002</v>
      </c>
      <c r="AF283" s="82">
        <v>3</v>
      </c>
      <c r="AG283" s="82">
        <v>1</v>
      </c>
      <c r="AH283" s="82">
        <v>2</v>
      </c>
      <c r="AI283" s="82">
        <v>2.0000000000436557</v>
      </c>
      <c r="AJ283" s="166">
        <v>3.1032200000000003</v>
      </c>
      <c r="AK283" s="82">
        <v>3.1031200000000001</v>
      </c>
      <c r="AL283" s="162">
        <v>0</v>
      </c>
      <c r="AM283" s="162">
        <v>0</v>
      </c>
      <c r="AN283" s="162">
        <v>0</v>
      </c>
      <c r="AO283" s="162">
        <v>-17.381250328462578</v>
      </c>
      <c r="AP283" s="162">
        <v>0</v>
      </c>
      <c r="AQ283" s="162">
        <v>0</v>
      </c>
      <c r="AR283" s="710" t="str">
        <v>1613.par</v>
      </c>
      <c r="AV283" s="82" t="str">
        <v>0,204,0</v>
      </c>
      <c r="AW283" s="947">
        <v>-15</v>
      </c>
      <c r="AX283" s="947">
        <v>2.3812503284625786</v>
      </c>
      <c r="AY283" s="947">
        <v>-17.381250328462578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70"/>
      <c r="N284" s="941"/>
      <c r="O284" s="942"/>
      <c r="Q284" s="162" t="str">
        <f t="shared" si="1083"/>
        <v/>
      </c>
      <c r="R284" s="162" t="str">
        <f t="shared" si="1084"/>
        <v/>
      </c>
      <c r="S284" s="162" t="str">
        <f t="shared" si="1085"/>
        <v/>
      </c>
      <c r="T284" s="162" t="str">
        <f t="shared" si="1086"/>
        <v/>
      </c>
      <c r="U284" s="162" t="str">
        <f t="shared" si="1087"/>
        <v/>
      </c>
      <c r="V284" s="162" t="str">
        <f t="shared" si="1088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89"/>
        <v/>
      </c>
      <c r="Y284" s="75"/>
      <c r="Z284" s="917" t="str">
        <f t="shared" si="1090"/>
        <v/>
      </c>
      <c r="AA284" s="82"/>
      <c r="AB284" s="75"/>
      <c r="AC284" s="75"/>
      <c r="AD284" s="166"/>
      <c r="AE284" s="75">
        <v>2.12</v>
      </c>
      <c r="AF284" s="82">
        <v>2</v>
      </c>
      <c r="AG284" s="82">
        <v>1</v>
      </c>
      <c r="AH284" s="82">
        <v>2</v>
      </c>
      <c r="AI284" s="82">
        <v>2.000000000007276</v>
      </c>
      <c r="AJ284" s="166">
        <v>2.1202200000000002</v>
      </c>
      <c r="AK284" s="82">
        <v>2.12012</v>
      </c>
      <c r="AL284" s="162">
        <v>0</v>
      </c>
      <c r="AM284" s="162">
        <v>0</v>
      </c>
      <c r="AN284" s="162">
        <v>0</v>
      </c>
      <c r="AO284" s="162">
        <v>2.1725566576071458</v>
      </c>
      <c r="AP284" s="162">
        <v>0</v>
      </c>
      <c r="AQ284" s="162">
        <v>0</v>
      </c>
      <c r="AR284" s="710" t="str">
        <v>1313.par</v>
      </c>
      <c r="AV284" s="82" t="str">
        <v>204,204,0</v>
      </c>
      <c r="AW284" s="947">
        <v>85</v>
      </c>
      <c r="AX284" s="947">
        <v>82.827443342392854</v>
      </c>
      <c r="AY284" s="947">
        <v>2.1725566576071458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70"/>
      <c r="N285" s="941"/>
      <c r="O285" s="942"/>
      <c r="Q285" s="162" t="str">
        <f t="shared" si="1083"/>
        <v/>
      </c>
      <c r="R285" s="162" t="str">
        <f t="shared" si="1084"/>
        <v/>
      </c>
      <c r="S285" s="162" t="str">
        <f t="shared" si="1085"/>
        <v/>
      </c>
      <c r="T285" s="162" t="str">
        <f t="shared" si="1086"/>
        <v/>
      </c>
      <c r="U285" s="162" t="str">
        <f t="shared" si="1087"/>
        <v/>
      </c>
      <c r="V285" s="162" t="str">
        <f t="shared" si="1088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89"/>
        <v/>
      </c>
      <c r="Y285" s="75"/>
      <c r="Z285" s="917" t="str">
        <f t="shared" si="1090"/>
        <v/>
      </c>
      <c r="AA285" s="82"/>
      <c r="AB285" s="75"/>
      <c r="AC285" s="75"/>
      <c r="AD285" s="166"/>
      <c r="AE285" s="75">
        <v>2.117</v>
      </c>
      <c r="AF285" s="82">
        <v>2</v>
      </c>
      <c r="AG285" s="82">
        <v>1</v>
      </c>
      <c r="AH285" s="82">
        <v>2</v>
      </c>
      <c r="AI285" s="82">
        <v>2.000000000007276</v>
      </c>
      <c r="AJ285" s="166">
        <v>2.1172200000000001</v>
      </c>
      <c r="AK285" s="82">
        <v>2.1171199999999999</v>
      </c>
      <c r="AL285" s="162">
        <v>0</v>
      </c>
      <c r="AM285" s="162">
        <v>0</v>
      </c>
      <c r="AN285" s="162">
        <v>0</v>
      </c>
      <c r="AO285" s="162">
        <v>2.2172165931236805</v>
      </c>
      <c r="AP285" s="162">
        <v>0</v>
      </c>
      <c r="AQ285" s="162">
        <v>0</v>
      </c>
      <c r="AR285" s="710" t="str">
        <v>1613.par</v>
      </c>
      <c r="AV285" s="82" t="str">
        <v>204,204,0</v>
      </c>
      <c r="AW285" s="947">
        <v>85</v>
      </c>
      <c r="AX285" s="947">
        <v>82.78278340687632</v>
      </c>
      <c r="AY285" s="947">
        <v>2.2172165931236805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70"/>
      <c r="N286" s="941"/>
      <c r="O286" s="942"/>
      <c r="Q286" s="162" t="str">
        <f t="shared" si="1083"/>
        <v/>
      </c>
      <c r="R286" s="162" t="str">
        <f t="shared" si="1084"/>
        <v/>
      </c>
      <c r="S286" s="162" t="str">
        <f t="shared" si="1085"/>
        <v/>
      </c>
      <c r="T286" s="162" t="str">
        <f t="shared" si="1086"/>
        <v/>
      </c>
      <c r="U286" s="162" t="str">
        <f t="shared" si="1087"/>
        <v/>
      </c>
      <c r="V286" s="162" t="str">
        <f t="shared" si="1088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89"/>
        <v/>
      </c>
      <c r="Y286" s="75"/>
      <c r="Z286" s="917" t="str">
        <f t="shared" si="1090"/>
        <v/>
      </c>
      <c r="AA286" s="82"/>
      <c r="AB286" s="75"/>
      <c r="AC286" s="75"/>
      <c r="AD286" s="166"/>
      <c r="AE286" s="75">
        <v>2.1139999999999999</v>
      </c>
      <c r="AF286" s="82">
        <v>2</v>
      </c>
      <c r="AG286" s="82">
        <v>1</v>
      </c>
      <c r="AH286" s="82">
        <v>2</v>
      </c>
      <c r="AI286" s="82">
        <v>2.000000000007276</v>
      </c>
      <c r="AJ286" s="166">
        <v>2.11422</v>
      </c>
      <c r="AK286" s="82">
        <v>2.1141199999999998</v>
      </c>
      <c r="AL286" s="162">
        <v>0</v>
      </c>
      <c r="AM286" s="162">
        <v>0</v>
      </c>
      <c r="AN286" s="162">
        <v>0</v>
      </c>
      <c r="AO286" s="162">
        <v>-6.5298439877148127</v>
      </c>
      <c r="AP286" s="162">
        <v>0</v>
      </c>
      <c r="AQ286" s="162">
        <v>0</v>
      </c>
      <c r="AR286" s="710" t="str">
        <v>1613.par</v>
      </c>
      <c r="AV286" s="82" t="str">
        <v>204,204,0</v>
      </c>
      <c r="AW286" s="947">
        <v>56.3</v>
      </c>
      <c r="AX286" s="947">
        <v>62.82984398771481</v>
      </c>
      <c r="AY286" s="947">
        <v>-6.5298439877148127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70"/>
      <c r="N287" s="941"/>
      <c r="O287" s="942"/>
      <c r="Q287" s="162" t="str">
        <f t="shared" si="1083"/>
        <v/>
      </c>
      <c r="R287" s="162" t="str">
        <f t="shared" si="1084"/>
        <v/>
      </c>
      <c r="S287" s="162" t="str">
        <f t="shared" si="1085"/>
        <v/>
      </c>
      <c r="T287" s="162" t="str">
        <f t="shared" si="1086"/>
        <v/>
      </c>
      <c r="U287" s="162" t="str">
        <f t="shared" si="1087"/>
        <v/>
      </c>
      <c r="V287" s="162" t="str">
        <f t="shared" si="1088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89"/>
        <v/>
      </c>
      <c r="Y287" s="75"/>
      <c r="Z287" s="917" t="str">
        <f t="shared" si="1090"/>
        <v/>
      </c>
      <c r="AA287" s="82"/>
      <c r="AB287" s="75"/>
      <c r="AC287" s="75"/>
      <c r="AD287" s="166"/>
      <c r="AE287" s="75">
        <v>2.1110000000000002</v>
      </c>
      <c r="AF287" s="82">
        <v>2</v>
      </c>
      <c r="AG287" s="82">
        <v>1</v>
      </c>
      <c r="AH287" s="82">
        <v>2</v>
      </c>
      <c r="AI287" s="82">
        <v>2.0000000000436557</v>
      </c>
      <c r="AJ287" s="166">
        <v>2.1112200000000003</v>
      </c>
      <c r="AK287" s="82">
        <v>2.1111200000000001</v>
      </c>
      <c r="AL287" s="162">
        <v>0</v>
      </c>
      <c r="AM287" s="162">
        <v>0</v>
      </c>
      <c r="AN287" s="162">
        <v>0</v>
      </c>
      <c r="AO287" s="162">
        <v>-10.242046168720673</v>
      </c>
      <c r="AP287" s="162">
        <v>0</v>
      </c>
      <c r="AQ287" s="162">
        <v>0</v>
      </c>
      <c r="AR287" s="710" t="str">
        <v>1613 Ripper.par</v>
      </c>
      <c r="AV287" s="82" t="str">
        <v>204,204,0</v>
      </c>
      <c r="AW287" s="947">
        <v>22.8</v>
      </c>
      <c r="AX287" s="947">
        <v>33.042046168720674</v>
      </c>
      <c r="AY287" s="947">
        <v>-10.242046168720673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70"/>
      <c r="N288" s="941"/>
      <c r="O288" s="942"/>
      <c r="Q288" s="162" t="str">
        <f t="shared" si="1083"/>
        <v/>
      </c>
      <c r="R288" s="162" t="str">
        <f t="shared" si="1084"/>
        <v/>
      </c>
      <c r="S288" s="162" t="str">
        <f t="shared" si="1085"/>
        <v/>
      </c>
      <c r="T288" s="162" t="str">
        <f t="shared" si="1086"/>
        <v/>
      </c>
      <c r="U288" s="162" t="str">
        <f t="shared" si="1087"/>
        <v/>
      </c>
      <c r="V288" s="162" t="str">
        <f t="shared" si="1088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89"/>
        <v/>
      </c>
      <c r="Y288" s="75"/>
      <c r="Z288" s="917" t="str">
        <f t="shared" si="1090"/>
        <v/>
      </c>
      <c r="AA288" s="82"/>
      <c r="AB288" s="75"/>
      <c r="AC288" s="75"/>
      <c r="AD288" s="166"/>
      <c r="AE288" s="75">
        <v>2.1080000000000001</v>
      </c>
      <c r="AF288" s="82">
        <v>2</v>
      </c>
      <c r="AG288" s="82">
        <v>1</v>
      </c>
      <c r="AH288" s="82">
        <v>2</v>
      </c>
      <c r="AI288" s="82">
        <v>2.000000000007276</v>
      </c>
      <c r="AJ288" s="166">
        <v>2.1082200000000002</v>
      </c>
      <c r="AK288" s="82">
        <v>2.10812</v>
      </c>
      <c r="AL288" s="162">
        <v>0</v>
      </c>
      <c r="AM288" s="162">
        <v>0</v>
      </c>
      <c r="AN288" s="162">
        <v>0</v>
      </c>
      <c r="AO288" s="162">
        <v>-11.740648681122686</v>
      </c>
      <c r="AP288" s="162">
        <v>0</v>
      </c>
      <c r="AQ288" s="162">
        <v>0</v>
      </c>
      <c r="AR288" s="710" t="str">
        <v>1613.par</v>
      </c>
      <c r="AV288" s="82" t="str">
        <v>204,204,0</v>
      </c>
      <c r="AW288" s="947">
        <v>-10.7</v>
      </c>
      <c r="AX288" s="947">
        <v>1.0406486811226867</v>
      </c>
      <c r="AY288" s="947">
        <v>-11.740648681122686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70"/>
      <c r="N289" s="941"/>
      <c r="O289" s="942"/>
      <c r="Q289" s="162" t="str">
        <f t="shared" si="1083"/>
        <v/>
      </c>
      <c r="R289" s="162" t="str">
        <f t="shared" si="1084"/>
        <v/>
      </c>
      <c r="S289" s="162" t="str">
        <f t="shared" si="1085"/>
        <v/>
      </c>
      <c r="T289" s="162" t="str">
        <f t="shared" si="1086"/>
        <v/>
      </c>
      <c r="U289" s="162" t="str">
        <f t="shared" si="1087"/>
        <v/>
      </c>
      <c r="V289" s="162" t="str">
        <f t="shared" si="1088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89"/>
        <v/>
      </c>
      <c r="Y289" s="75"/>
      <c r="Z289" s="917" t="str">
        <f t="shared" si="1090"/>
        <v/>
      </c>
      <c r="AA289" s="82"/>
      <c r="AB289" s="75"/>
      <c r="AC289" s="75"/>
      <c r="AD289" s="166"/>
      <c r="AE289" s="75">
        <v>1.119</v>
      </c>
      <c r="AF289" s="82">
        <v>1</v>
      </c>
      <c r="AG289" s="82">
        <v>1</v>
      </c>
      <c r="AH289" s="82">
        <v>2</v>
      </c>
      <c r="AI289" s="82">
        <v>2.000000000007276</v>
      </c>
      <c r="AJ289" s="166">
        <v>1.1192200000000001</v>
      </c>
      <c r="AK289" s="82">
        <v>1.1191200000000001</v>
      </c>
      <c r="AL289" s="162">
        <v>0</v>
      </c>
      <c r="AM289" s="162">
        <v>0</v>
      </c>
      <c r="AN289" s="162">
        <v>0</v>
      </c>
      <c r="AO289" s="162">
        <v>2.1726470018021189</v>
      </c>
      <c r="AP289" s="162">
        <v>0</v>
      </c>
      <c r="AQ289" s="162">
        <v>0</v>
      </c>
      <c r="AR289" s="710" t="str">
        <v>1313.par</v>
      </c>
      <c r="AV289" s="82" t="str">
        <v>255,127,0</v>
      </c>
      <c r="AW289" s="947">
        <v>85</v>
      </c>
      <c r="AX289" s="947">
        <v>82.827352998197881</v>
      </c>
      <c r="AY289" s="947">
        <v>2.1726470018021189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70"/>
      <c r="N290" s="941"/>
      <c r="O290" s="942"/>
      <c r="Q290" s="162" t="str">
        <f t="shared" si="1083"/>
        <v/>
      </c>
      <c r="R290" s="162" t="str">
        <f t="shared" si="1084"/>
        <v/>
      </c>
      <c r="S290" s="162" t="str">
        <f t="shared" si="1085"/>
        <v/>
      </c>
      <c r="T290" s="162" t="str">
        <f t="shared" si="1086"/>
        <v/>
      </c>
      <c r="U290" s="162" t="str">
        <f t="shared" si="1087"/>
        <v/>
      </c>
      <c r="V290" s="162" t="str">
        <f t="shared" si="1088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89"/>
        <v/>
      </c>
      <c r="Y290" s="75"/>
      <c r="Z290" s="917" t="str">
        <f t="shared" si="1090"/>
        <v/>
      </c>
      <c r="AA290" s="82"/>
      <c r="AB290" s="75"/>
      <c r="AC290" s="75"/>
      <c r="AD290" s="166"/>
      <c r="AE290" s="75">
        <v>1.1160000000000001</v>
      </c>
      <c r="AF290" s="82">
        <v>1</v>
      </c>
      <c r="AG290" s="82">
        <v>1</v>
      </c>
      <c r="AH290" s="82">
        <v>2</v>
      </c>
      <c r="AI290" s="82">
        <v>2.0000000000254659</v>
      </c>
      <c r="AJ290" s="166">
        <v>1.1162200000000002</v>
      </c>
      <c r="AK290" s="82">
        <v>1.1161200000000002</v>
      </c>
      <c r="AL290" s="162">
        <v>0</v>
      </c>
      <c r="AM290" s="162">
        <v>0</v>
      </c>
      <c r="AN290" s="162">
        <v>0</v>
      </c>
      <c r="AO290" s="162">
        <v>3.5246554983409197</v>
      </c>
      <c r="AP290" s="162">
        <v>0</v>
      </c>
      <c r="AQ290" s="162">
        <v>0</v>
      </c>
      <c r="AR290" s="710" t="str">
        <v>1613 Ripper.par</v>
      </c>
      <c r="AV290" s="82" t="str">
        <v>255,127,0</v>
      </c>
      <c r="AW290" s="947">
        <v>78.400000000000006</v>
      </c>
      <c r="AX290" s="947">
        <v>74.875344501659086</v>
      </c>
      <c r="AY290" s="947">
        <v>3.5246554983409197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70"/>
      <c r="N291" s="941"/>
      <c r="O291" s="942"/>
      <c r="Q291" s="162" t="str">
        <f t="shared" si="1083"/>
        <v/>
      </c>
      <c r="R291" s="162" t="str">
        <f t="shared" si="1084"/>
        <v/>
      </c>
      <c r="S291" s="162" t="str">
        <f t="shared" si="1085"/>
        <v/>
      </c>
      <c r="T291" s="162" t="str">
        <f t="shared" si="1086"/>
        <v/>
      </c>
      <c r="U291" s="162" t="str">
        <f t="shared" si="1087"/>
        <v/>
      </c>
      <c r="V291" s="162" t="str">
        <f t="shared" si="1088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89"/>
        <v/>
      </c>
      <c r="Y291" s="75"/>
      <c r="Z291" s="917" t="str">
        <f t="shared" si="1090"/>
        <v/>
      </c>
      <c r="AA291" s="82"/>
      <c r="AB291" s="75"/>
      <c r="AC291" s="75"/>
      <c r="AD291" s="166"/>
      <c r="AE291" s="75">
        <v>1.113</v>
      </c>
      <c r="AF291" s="82">
        <v>1</v>
      </c>
      <c r="AG291" s="82">
        <v>1</v>
      </c>
      <c r="AH291" s="82">
        <v>2</v>
      </c>
      <c r="AI291" s="82">
        <v>2.000000000007276</v>
      </c>
      <c r="AJ291" s="166">
        <v>1.1132200000000001</v>
      </c>
      <c r="AK291" s="82">
        <v>1.1131200000000001</v>
      </c>
      <c r="AL291" s="162">
        <v>0</v>
      </c>
      <c r="AM291" s="162">
        <v>0</v>
      </c>
      <c r="AN291" s="162">
        <v>0</v>
      </c>
      <c r="AO291" s="162">
        <v>-7.8466164241372809</v>
      </c>
      <c r="AP291" s="162">
        <v>0</v>
      </c>
      <c r="AQ291" s="162">
        <v>0</v>
      </c>
      <c r="AR291" s="710" t="str">
        <v>1613.par</v>
      </c>
      <c r="AV291" s="82" t="str">
        <v>255,127,0</v>
      </c>
      <c r="AW291" s="947">
        <v>45.3</v>
      </c>
      <c r="AX291" s="947">
        <v>53.146616424137278</v>
      </c>
      <c r="AY291" s="947">
        <v>-7.8466164241372809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70"/>
      <c r="N292" s="941"/>
      <c r="O292" s="942"/>
      <c r="Q292" s="162" t="str">
        <f t="shared" si="1083"/>
        <v/>
      </c>
      <c r="R292" s="162" t="str">
        <f t="shared" si="1084"/>
        <v/>
      </c>
      <c r="S292" s="162" t="str">
        <f t="shared" si="1085"/>
        <v/>
      </c>
      <c r="T292" s="162" t="str">
        <f t="shared" si="1086"/>
        <v/>
      </c>
      <c r="U292" s="162" t="str">
        <f t="shared" si="1087"/>
        <v/>
      </c>
      <c r="V292" s="162" t="str">
        <f t="shared" si="1088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89"/>
        <v/>
      </c>
      <c r="Y292" s="75"/>
      <c r="Z292" s="917" t="str">
        <f t="shared" si="1090"/>
        <v/>
      </c>
      <c r="AA292" s="82"/>
      <c r="AB292" s="75"/>
      <c r="AC292" s="75"/>
      <c r="AD292" s="166"/>
      <c r="AE292" s="75">
        <v>1.1100000000000001</v>
      </c>
      <c r="AF292" s="82">
        <v>1</v>
      </c>
      <c r="AG292" s="82">
        <v>1</v>
      </c>
      <c r="AH292" s="82">
        <v>2</v>
      </c>
      <c r="AI292" s="82">
        <v>2.0000000000254659</v>
      </c>
      <c r="AJ292" s="166">
        <v>1.1102200000000002</v>
      </c>
      <c r="AK292" s="82">
        <v>1.1101200000000002</v>
      </c>
      <c r="AL292" s="162">
        <v>0</v>
      </c>
      <c r="AM292" s="162">
        <v>0</v>
      </c>
      <c r="AN292" s="162">
        <v>0</v>
      </c>
      <c r="AO292" s="162">
        <v>-11.268586026272361</v>
      </c>
      <c r="AP292" s="162">
        <v>0</v>
      </c>
      <c r="AQ292" s="162">
        <v>0</v>
      </c>
      <c r="AR292" s="710" t="str">
        <v>1613 Ripper.par</v>
      </c>
      <c r="AV292" s="82" t="str">
        <v>255,127,0</v>
      </c>
      <c r="AW292" s="947">
        <v>11.6</v>
      </c>
      <c r="AX292" s="947">
        <v>22.868586026272361</v>
      </c>
      <c r="AY292" s="947">
        <v>-11.268586026272361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70"/>
      <c r="N293" s="941"/>
      <c r="O293" s="942"/>
      <c r="Q293" s="162" t="str">
        <f t="shared" si="1083"/>
        <v/>
      </c>
      <c r="R293" s="162" t="str">
        <f t="shared" si="1084"/>
        <v/>
      </c>
      <c r="S293" s="162" t="str">
        <f t="shared" si="1085"/>
        <v/>
      </c>
      <c r="T293" s="162" t="str">
        <f t="shared" si="1086"/>
        <v/>
      </c>
      <c r="U293" s="162" t="str">
        <f t="shared" si="1087"/>
        <v/>
      </c>
      <c r="V293" s="162" t="str">
        <f t="shared" si="1088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89"/>
        <v/>
      </c>
      <c r="Y293" s="75"/>
      <c r="Z293" s="917" t="str">
        <f t="shared" si="1090"/>
        <v/>
      </c>
      <c r="AA293" s="82"/>
      <c r="AB293" s="75"/>
      <c r="AC293" s="75"/>
      <c r="AD293" s="166"/>
      <c r="AE293" s="75">
        <v>1.107</v>
      </c>
      <c r="AF293" s="82">
        <v>1</v>
      </c>
      <c r="AG293" s="82">
        <v>1</v>
      </c>
      <c r="AH293" s="82">
        <v>2</v>
      </c>
      <c r="AI293" s="82">
        <v>2.000000000007276</v>
      </c>
      <c r="AJ293" s="166">
        <v>1.1072200000000001</v>
      </c>
      <c r="AK293" s="82">
        <v>1.1071200000000001</v>
      </c>
      <c r="AL293" s="162">
        <v>0</v>
      </c>
      <c r="AM293" s="162">
        <v>0</v>
      </c>
      <c r="AN293" s="162">
        <v>0</v>
      </c>
      <c r="AO293" s="162">
        <v>-16.184874627009442</v>
      </c>
      <c r="AP293" s="162">
        <v>0</v>
      </c>
      <c r="AQ293" s="162">
        <v>0</v>
      </c>
      <c r="AR293" s="710" t="str">
        <v>1613 Ripper.par</v>
      </c>
      <c r="AV293" s="82" t="str">
        <v>255,127,0</v>
      </c>
      <c r="AW293" s="947">
        <v>-15</v>
      </c>
      <c r="AX293" s="947">
        <v>1.1848746270094432</v>
      </c>
      <c r="AY293" s="947">
        <v>-16.184874627009442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70"/>
      <c r="N294" s="941"/>
      <c r="O294" s="942"/>
      <c r="Q294" s="162" t="str">
        <f t="shared" si="1083"/>
        <v/>
      </c>
      <c r="R294" s="162" t="str">
        <f t="shared" si="1084"/>
        <v/>
      </c>
      <c r="S294" s="162" t="str">
        <f t="shared" si="1085"/>
        <v/>
      </c>
      <c r="T294" s="162" t="str">
        <f t="shared" si="1086"/>
        <v/>
      </c>
      <c r="U294" s="162" t="str">
        <f t="shared" si="1087"/>
        <v/>
      </c>
      <c r="V294" s="162" t="str">
        <f t="shared" si="1088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89"/>
        <v/>
      </c>
      <c r="Y294" s="75"/>
      <c r="Z294" s="917" t="str">
        <f t="shared" si="1090"/>
        <v/>
      </c>
      <c r="AA294" s="82"/>
      <c r="AB294" s="75"/>
      <c r="AC294" s="75"/>
      <c r="AD294" s="166"/>
      <c r="AE294" s="75">
        <v>1.1040000000000001</v>
      </c>
      <c r="AF294" s="82">
        <v>1</v>
      </c>
      <c r="AG294" s="82">
        <v>1</v>
      </c>
      <c r="AH294" s="82">
        <v>2</v>
      </c>
      <c r="AI294" s="82">
        <v>2.0000000000254659</v>
      </c>
      <c r="AJ294" s="166">
        <v>1.1042200000000002</v>
      </c>
      <c r="AK294" s="82">
        <v>1.1041200000000002</v>
      </c>
      <c r="AL294" s="162">
        <v>0</v>
      </c>
      <c r="AM294" s="162">
        <v>0</v>
      </c>
      <c r="AN294" s="162">
        <v>0</v>
      </c>
      <c r="AO294" s="162">
        <v>-17.05045225112319</v>
      </c>
      <c r="AP294" s="162">
        <v>0</v>
      </c>
      <c r="AQ294" s="162">
        <v>0</v>
      </c>
      <c r="AR294" s="710" t="str">
        <v>1613.par</v>
      </c>
      <c r="AV294" s="82" t="str">
        <v>255,127,0</v>
      </c>
      <c r="AW294" s="947">
        <v>-15</v>
      </c>
      <c r="AX294" s="947">
        <v>2.0504522511231897</v>
      </c>
      <c r="AY294" s="947">
        <v>-17.05045225112319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70"/>
      <c r="N295" s="941"/>
      <c r="O295" s="942"/>
      <c r="Q295" s="162" t="str">
        <f t="shared" si="1083"/>
        <v/>
      </c>
      <c r="R295" s="162" t="str">
        <f t="shared" si="1084"/>
        <v/>
      </c>
      <c r="S295" s="162" t="str">
        <f t="shared" si="1085"/>
        <v/>
      </c>
      <c r="T295" s="162" t="str">
        <f t="shared" si="1086"/>
        <v/>
      </c>
      <c r="U295" s="162" t="str">
        <f t="shared" si="1087"/>
        <v/>
      </c>
      <c r="V295" s="162" t="str">
        <f t="shared" si="1088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89"/>
        <v/>
      </c>
      <c r="Y295" s="75"/>
      <c r="Z295" s="917" t="str">
        <f t="shared" si="1090"/>
        <v/>
      </c>
      <c r="AA295" s="82"/>
      <c r="AB295" s="75"/>
      <c r="AC295" s="75"/>
      <c r="AD295" s="166"/>
      <c r="AE295" s="75">
        <v>1.101</v>
      </c>
      <c r="AF295" s="82">
        <v>1</v>
      </c>
      <c r="AG295" s="82">
        <v>1</v>
      </c>
      <c r="AH295" s="82">
        <v>2</v>
      </c>
      <c r="AI295" s="82">
        <v>2.000000000007276</v>
      </c>
      <c r="AJ295" s="166">
        <v>1.1012200000000001</v>
      </c>
      <c r="AK295" s="82">
        <v>1.1011200000000001</v>
      </c>
      <c r="AL295" s="162">
        <v>0</v>
      </c>
      <c r="AM295" s="162">
        <v>0</v>
      </c>
      <c r="AN295" s="162">
        <v>0</v>
      </c>
      <c r="AO295" s="162">
        <v>-20.217074538237373</v>
      </c>
      <c r="AP295" s="162">
        <v>0</v>
      </c>
      <c r="AQ295" s="162">
        <v>0</v>
      </c>
      <c r="AR295" s="710" t="str">
        <v>1313.par</v>
      </c>
      <c r="AV295" s="82" t="str">
        <v>255,127,0</v>
      </c>
      <c r="AW295" s="947">
        <v>-15</v>
      </c>
      <c r="AX295" s="947">
        <v>5.2170745382373731</v>
      </c>
      <c r="AY295" s="947">
        <v>-20.217074538237373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70"/>
      <c r="N296" s="941"/>
      <c r="O296" s="942"/>
      <c r="Q296" s="162" t="str">
        <f t="shared" si="1083"/>
        <v/>
      </c>
      <c r="R296" s="162" t="str">
        <f t="shared" si="1084"/>
        <v/>
      </c>
      <c r="S296" s="162" t="str">
        <f t="shared" si="1085"/>
        <v/>
      </c>
      <c r="T296" s="162" t="str">
        <f t="shared" si="1086"/>
        <v/>
      </c>
      <c r="U296" s="162" t="str">
        <f t="shared" si="1087"/>
        <v/>
      </c>
      <c r="V296" s="162" t="str">
        <f t="shared" si="1088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89"/>
        <v/>
      </c>
      <c r="Y296" s="75"/>
      <c r="Z296" s="917" t="str">
        <f t="shared" si="1090"/>
        <v/>
      </c>
      <c r="AA296" s="82"/>
      <c r="AB296" s="75"/>
      <c r="AC296" s="75"/>
      <c r="AD296" s="166"/>
      <c r="AE296" s="75">
        <v>6.1180000000000003</v>
      </c>
      <c r="AF296" s="82">
        <v>6</v>
      </c>
      <c r="AG296" s="82">
        <v>1</v>
      </c>
      <c r="AH296" s="82">
        <v>1</v>
      </c>
      <c r="AI296" s="82">
        <v>3.0000000001018634</v>
      </c>
      <c r="AJ296" s="166">
        <v>6.1181300000000007</v>
      </c>
      <c r="AK296" s="82" t="str">
        <v>Base</v>
      </c>
      <c r="AL296" s="162">
        <v>-3.75</v>
      </c>
      <c r="AM296" s="162">
        <v>-3.7550625905150534</v>
      </c>
      <c r="AN296" s="162">
        <v>-1.9234616329989893</v>
      </c>
      <c r="AO296" s="162">
        <v>82.827470691940107</v>
      </c>
      <c r="AP296" s="162">
        <v>-29.552649644885918</v>
      </c>
      <c r="AQ296" s="162">
        <v>0</v>
      </c>
      <c r="AR296" s="710" t="str">
        <v>1313.par</v>
      </c>
      <c r="AV296" s="82" t="str">
        <v>127,0,255</v>
      </c>
      <c r="AW296" s="947">
        <v>85</v>
      </c>
      <c r="AX296" s="947">
        <v>82.827470691940107</v>
      </c>
      <c r="AY296" s="947">
        <v>0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70"/>
      <c r="N297" s="941"/>
      <c r="O297" s="942"/>
      <c r="Q297" s="162" t="str">
        <f t="shared" si="1083"/>
        <v/>
      </c>
      <c r="R297" s="162" t="str">
        <f t="shared" si="1084"/>
        <v/>
      </c>
      <c r="S297" s="162" t="str">
        <f t="shared" si="1085"/>
        <v/>
      </c>
      <c r="T297" s="162" t="str">
        <f t="shared" si="1086"/>
        <v/>
      </c>
      <c r="U297" s="162" t="str">
        <f t="shared" si="1087"/>
        <v/>
      </c>
      <c r="V297" s="162" t="str">
        <f t="shared" si="1088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89"/>
        <v/>
      </c>
      <c r="Y297" s="75"/>
      <c r="Z297" s="917" t="str">
        <f t="shared" si="1090"/>
        <v/>
      </c>
      <c r="AA297" s="82"/>
      <c r="AB297" s="75"/>
      <c r="AC297" s="75"/>
      <c r="AD297" s="166"/>
      <c r="AE297" s="75">
        <v>6.1150000000000002</v>
      </c>
      <c r="AF297" s="82">
        <v>6</v>
      </c>
      <c r="AG297" s="82">
        <v>1</v>
      </c>
      <c r="AH297" s="82">
        <v>1</v>
      </c>
      <c r="AI297" s="82">
        <v>3.0000000000291038</v>
      </c>
      <c r="AJ297" s="166">
        <v>6.1151300000000006</v>
      </c>
      <c r="AK297" s="82" t="str">
        <v>Base</v>
      </c>
      <c r="AL297" s="162">
        <v>-3.75</v>
      </c>
      <c r="AM297" s="162">
        <v>-3.5191027438854303</v>
      </c>
      <c r="AN297" s="162">
        <v>-1.2537510740060118</v>
      </c>
      <c r="AO297" s="162">
        <v>65.940386675998184</v>
      </c>
      <c r="AP297" s="162">
        <v>-20.312850174991276</v>
      </c>
      <c r="AQ297" s="162">
        <v>0</v>
      </c>
      <c r="AR297" s="710" t="str">
        <v>1613 Ripper.par</v>
      </c>
      <c r="AV297" s="82" t="str">
        <v>127,0,255</v>
      </c>
      <c r="AW297" s="947">
        <v>67.400000000000006</v>
      </c>
      <c r="AX297" s="947">
        <v>65.940386675998184</v>
      </c>
      <c r="AY297" s="947">
        <v>0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70"/>
      <c r="N298" s="941"/>
      <c r="O298" s="942"/>
      <c r="Q298" s="162" t="str">
        <f t="shared" si="1083"/>
        <v/>
      </c>
      <c r="R298" s="162" t="str">
        <f t="shared" si="1084"/>
        <v/>
      </c>
      <c r="S298" s="162" t="str">
        <f t="shared" si="1085"/>
        <v/>
      </c>
      <c r="T298" s="162" t="str">
        <f t="shared" si="1086"/>
        <v/>
      </c>
      <c r="U298" s="162" t="str">
        <f t="shared" si="1087"/>
        <v/>
      </c>
      <c r="V298" s="162" t="str">
        <f t="shared" si="1088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89"/>
        <v/>
      </c>
      <c r="Y298" s="75"/>
      <c r="Z298" s="917" t="str">
        <f t="shared" si="1090"/>
        <v/>
      </c>
      <c r="AA298" s="82"/>
      <c r="AB298" s="75"/>
      <c r="AC298" s="75"/>
      <c r="AD298" s="166"/>
      <c r="AE298" s="75">
        <v>6.1120000000000001</v>
      </c>
      <c r="AF298" s="82">
        <v>6</v>
      </c>
      <c r="AG298" s="82">
        <v>1</v>
      </c>
      <c r="AH298" s="82">
        <v>1</v>
      </c>
      <c r="AI298" s="82">
        <v>3.0000000000291038</v>
      </c>
      <c r="AJ298" s="166">
        <v>6.1121300000000005</v>
      </c>
      <c r="AK298" s="82" t="str">
        <v>Base</v>
      </c>
      <c r="AL298" s="162">
        <v>-3.75</v>
      </c>
      <c r="AM298" s="162">
        <v>-3.0305409133922776</v>
      </c>
      <c r="AN298" s="162">
        <v>-0.6632579178231085</v>
      </c>
      <c r="AO298" s="162">
        <v>44.166384694641643</v>
      </c>
      <c r="AP298" s="162">
        <v>-15.700583954289179</v>
      </c>
      <c r="AQ298" s="162">
        <v>0</v>
      </c>
      <c r="AR298" s="710" t="str">
        <v>1613.par</v>
      </c>
      <c r="AV298" s="82" t="str">
        <v>127,0,255</v>
      </c>
      <c r="AW298" s="947">
        <v>34.1</v>
      </c>
      <c r="AX298" s="947">
        <v>44.166384694641643</v>
      </c>
      <c r="AY298" s="947">
        <v>0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70"/>
      <c r="N299" s="941"/>
      <c r="O299" s="942"/>
      <c r="Q299" s="162" t="str">
        <f t="shared" si="1083"/>
        <v/>
      </c>
      <c r="R299" s="162" t="str">
        <f t="shared" si="1084"/>
        <v/>
      </c>
      <c r="S299" s="162" t="str">
        <f t="shared" si="1085"/>
        <v/>
      </c>
      <c r="T299" s="162" t="str">
        <f t="shared" si="1086"/>
        <v/>
      </c>
      <c r="U299" s="162" t="str">
        <f t="shared" si="1087"/>
        <v/>
      </c>
      <c r="V299" s="162" t="str">
        <f t="shared" si="1088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89"/>
        <v/>
      </c>
      <c r="Y299" s="75"/>
      <c r="Z299" s="917" t="str">
        <f t="shared" si="1090"/>
        <v/>
      </c>
      <c r="AA299" s="82"/>
      <c r="AB299" s="75"/>
      <c r="AC299" s="75"/>
      <c r="AD299" s="166"/>
      <c r="AE299" s="75">
        <v>6.109</v>
      </c>
      <c r="AF299" s="82">
        <v>6</v>
      </c>
      <c r="AG299" s="82">
        <v>1</v>
      </c>
      <c r="AH299" s="82">
        <v>1</v>
      </c>
      <c r="AI299" s="82">
        <v>3.0000000000291038</v>
      </c>
      <c r="AJ299" s="166">
        <v>6.1091300000000004</v>
      </c>
      <c r="AK299" s="82" t="str">
        <v>Base</v>
      </c>
      <c r="AL299" s="162">
        <v>-3.75</v>
      </c>
      <c r="AM299" s="162">
        <v>-2.2931554849838416</v>
      </c>
      <c r="AN299" s="162">
        <v>-0.43629865405238916</v>
      </c>
      <c r="AO299" s="162">
        <v>12.222553303993035</v>
      </c>
      <c r="AP299" s="162">
        <v>-15.333491997758388</v>
      </c>
      <c r="AQ299" s="162">
        <v>0</v>
      </c>
      <c r="AR299" s="710" t="str">
        <v>1613 Ripper.par</v>
      </c>
      <c r="AV299" s="82" t="str">
        <v>127,0,255</v>
      </c>
      <c r="AW299" s="947">
        <v>-0.4</v>
      </c>
      <c r="AX299" s="947">
        <v>12.222553303993035</v>
      </c>
      <c r="AY299" s="947">
        <v>0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70"/>
      <c r="N300" s="941"/>
      <c r="O300" s="942"/>
      <c r="Q300" s="162" t="str">
        <f t="shared" si="1083"/>
        <v/>
      </c>
      <c r="R300" s="162" t="str">
        <f t="shared" si="1084"/>
        <v/>
      </c>
      <c r="S300" s="162" t="str">
        <f t="shared" si="1085"/>
        <v/>
      </c>
      <c r="T300" s="162" t="str">
        <f t="shared" si="1086"/>
        <v/>
      </c>
      <c r="U300" s="162" t="str">
        <f t="shared" si="1087"/>
        <v/>
      </c>
      <c r="V300" s="162" t="str">
        <f t="shared" si="1088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89"/>
        <v/>
      </c>
      <c r="Y300" s="75"/>
      <c r="Z300" s="917" t="str">
        <f t="shared" si="1090"/>
        <v/>
      </c>
      <c r="AA300" s="82"/>
      <c r="AB300" s="75"/>
      <c r="AC300" s="75"/>
      <c r="AD300" s="166"/>
      <c r="AE300" s="75">
        <v>5.12</v>
      </c>
      <c r="AF300" s="82">
        <v>5</v>
      </c>
      <c r="AG300" s="82">
        <v>1</v>
      </c>
      <c r="AH300" s="82">
        <v>1</v>
      </c>
      <c r="AI300" s="82">
        <v>3.0000000000291038</v>
      </c>
      <c r="AJ300" s="166">
        <v>5.1201300000000005</v>
      </c>
      <c r="AK300" s="82" t="str">
        <v>Base</v>
      </c>
      <c r="AL300" s="162">
        <v>-3</v>
      </c>
      <c r="AM300" s="162">
        <v>-3.7550909956995899</v>
      </c>
      <c r="AN300" s="162">
        <v>-2.4317559911783166</v>
      </c>
      <c r="AO300" s="162">
        <v>82.827443342392868</v>
      </c>
      <c r="AP300" s="162">
        <v>-29.552526421184591</v>
      </c>
      <c r="AQ300" s="162">
        <v>0</v>
      </c>
      <c r="AR300" s="710" t="str">
        <v>1313.par</v>
      </c>
      <c r="AV300" s="82" t="str">
        <v>0,102,204</v>
      </c>
      <c r="AW300" s="947">
        <v>85</v>
      </c>
      <c r="AX300" s="947">
        <v>82.827443342392868</v>
      </c>
      <c r="AY300" s="947">
        <v>0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70"/>
      <c r="N301" s="941"/>
      <c r="O301" s="942"/>
      <c r="Q301" s="162" t="str">
        <f t="shared" si="1083"/>
        <v/>
      </c>
      <c r="R301" s="162" t="str">
        <f t="shared" si="1084"/>
        <v/>
      </c>
      <c r="S301" s="162" t="str">
        <f t="shared" si="1085"/>
        <v/>
      </c>
      <c r="T301" s="162" t="str">
        <f t="shared" si="1086"/>
        <v/>
      </c>
      <c r="U301" s="162" t="str">
        <f t="shared" si="1087"/>
        <v/>
      </c>
      <c r="V301" s="162" t="str">
        <f t="shared" si="1088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89"/>
        <v/>
      </c>
      <c r="Y301" s="75"/>
      <c r="Z301" s="917" t="str">
        <f t="shared" si="1090"/>
        <v/>
      </c>
      <c r="AA301" s="82"/>
      <c r="AB301" s="75"/>
      <c r="AC301" s="75"/>
      <c r="AD301" s="166"/>
      <c r="AE301" s="75">
        <v>5.117</v>
      </c>
      <c r="AF301" s="82">
        <v>5</v>
      </c>
      <c r="AG301" s="82">
        <v>1</v>
      </c>
      <c r="AH301" s="82">
        <v>1</v>
      </c>
      <c r="AI301" s="82">
        <v>3.0000000000291038</v>
      </c>
      <c r="AJ301" s="166">
        <v>5.1171300000000004</v>
      </c>
      <c r="AK301" s="82" t="str">
        <v>Base</v>
      </c>
      <c r="AL301" s="162">
        <v>-3</v>
      </c>
      <c r="AM301" s="162">
        <v>-3.6270321427933796</v>
      </c>
      <c r="AN301" s="162">
        <v>-1.7735752045272148</v>
      </c>
      <c r="AO301" s="162">
        <v>82.782783406876305</v>
      </c>
      <c r="AP301" s="162">
        <v>-20.225876694233541</v>
      </c>
      <c r="AQ301" s="162">
        <v>0</v>
      </c>
      <c r="AR301" s="710" t="str">
        <v>1613.par</v>
      </c>
      <c r="AV301" s="82" t="str">
        <v>0,102,204</v>
      </c>
      <c r="AW301" s="947">
        <v>85</v>
      </c>
      <c r="AX301" s="947">
        <v>82.782783406876305</v>
      </c>
      <c r="AY301" s="947">
        <v>0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70"/>
      <c r="N302" s="941"/>
      <c r="O302" s="942"/>
      <c r="Q302" s="162" t="str">
        <f t="shared" si="1083"/>
        <v/>
      </c>
      <c r="R302" s="162" t="str">
        <f t="shared" si="1084"/>
        <v/>
      </c>
      <c r="S302" s="162" t="str">
        <f t="shared" si="1085"/>
        <v/>
      </c>
      <c r="T302" s="162" t="str">
        <f t="shared" si="1086"/>
        <v/>
      </c>
      <c r="U302" s="162" t="str">
        <f t="shared" si="1087"/>
        <v/>
      </c>
      <c r="V302" s="162" t="str">
        <f t="shared" si="1088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89"/>
        <v/>
      </c>
      <c r="Y302" s="75"/>
      <c r="Z302" s="917" t="str">
        <f t="shared" si="1090"/>
        <v/>
      </c>
      <c r="AA302" s="82"/>
      <c r="AB302" s="75"/>
      <c r="AC302" s="75"/>
      <c r="AD302" s="166"/>
      <c r="AE302" s="75">
        <v>5.1139999999999999</v>
      </c>
      <c r="AF302" s="82">
        <v>5</v>
      </c>
      <c r="AG302" s="82">
        <v>1</v>
      </c>
      <c r="AH302" s="82">
        <v>1</v>
      </c>
      <c r="AI302" s="82">
        <v>3.0000000000291038</v>
      </c>
      <c r="AJ302" s="166">
        <v>5.1141300000000003</v>
      </c>
      <c r="AK302" s="82" t="str">
        <v>Base</v>
      </c>
      <c r="AL302" s="162">
        <v>-3</v>
      </c>
      <c r="AM302" s="162">
        <v>-3.3968379050192201</v>
      </c>
      <c r="AN302" s="162">
        <v>-1.0651088553439443</v>
      </c>
      <c r="AO302" s="162">
        <v>62.829843987714831</v>
      </c>
      <c r="AP302" s="162">
        <v>-15.749673008190467</v>
      </c>
      <c r="AQ302" s="162">
        <v>0</v>
      </c>
      <c r="AR302" s="710" t="str">
        <v>1613 Ripper.par</v>
      </c>
      <c r="AV302" s="82" t="str">
        <v>0,102,204</v>
      </c>
      <c r="AW302" s="947">
        <v>56.3</v>
      </c>
      <c r="AX302" s="947">
        <v>62.829843987714831</v>
      </c>
      <c r="AY302" s="947">
        <v>0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70"/>
      <c r="N303" s="941"/>
      <c r="O303" s="942"/>
      <c r="Q303" s="162" t="str">
        <f t="shared" si="1083"/>
        <v/>
      </c>
      <c r="R303" s="162" t="str">
        <f t="shared" si="1084"/>
        <v/>
      </c>
      <c r="S303" s="162" t="str">
        <f t="shared" si="1085"/>
        <v/>
      </c>
      <c r="T303" s="162" t="str">
        <f t="shared" si="1086"/>
        <v/>
      </c>
      <c r="U303" s="162" t="str">
        <f t="shared" si="1087"/>
        <v/>
      </c>
      <c r="V303" s="162" t="str">
        <f t="shared" si="1088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89"/>
        <v/>
      </c>
      <c r="Y303" s="75"/>
      <c r="Z303" s="917" t="str">
        <f t="shared" si="1090"/>
        <v/>
      </c>
      <c r="AA303" s="82"/>
      <c r="AB303" s="75"/>
      <c r="AC303" s="75"/>
      <c r="AD303" s="166"/>
      <c r="AE303" s="75">
        <v>5.1109999999999998</v>
      </c>
      <c r="AF303" s="82">
        <v>5</v>
      </c>
      <c r="AG303" s="82">
        <v>1</v>
      </c>
      <c r="AH303" s="82">
        <v>1</v>
      </c>
      <c r="AI303" s="82">
        <v>3.0000000000291038</v>
      </c>
      <c r="AJ303" s="166">
        <v>5.1111300000000002</v>
      </c>
      <c r="AK303" s="82" t="str">
        <v>Base</v>
      </c>
      <c r="AL303" s="162">
        <v>-3</v>
      </c>
      <c r="AM303" s="162">
        <v>-2.8002517471357606</v>
      </c>
      <c r="AN303" s="162">
        <v>-0.57818304083170902</v>
      </c>
      <c r="AO303" s="162">
        <v>33.04204616872093</v>
      </c>
      <c r="AP303" s="162">
        <v>-15.632095004852658</v>
      </c>
      <c r="AQ303" s="162">
        <v>0</v>
      </c>
      <c r="AR303" s="710" t="str">
        <v>1613 Ripper.par</v>
      </c>
      <c r="AV303" s="82" t="str">
        <v>0,102,204</v>
      </c>
      <c r="AW303" s="947">
        <v>22.8</v>
      </c>
      <c r="AX303" s="947">
        <v>33.04204616872093</v>
      </c>
      <c r="AY303" s="947">
        <v>0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70"/>
      <c r="N304" s="941"/>
      <c r="O304" s="942"/>
      <c r="Q304" s="162" t="str">
        <f t="shared" si="1083"/>
        <v/>
      </c>
      <c r="R304" s="162" t="str">
        <f t="shared" si="1084"/>
        <v/>
      </c>
      <c r="S304" s="162" t="str">
        <f t="shared" si="1085"/>
        <v/>
      </c>
      <c r="T304" s="162" t="str">
        <f t="shared" si="1086"/>
        <v/>
      </c>
      <c r="U304" s="162" t="str">
        <f t="shared" si="1087"/>
        <v/>
      </c>
      <c r="V304" s="162" t="str">
        <f t="shared" si="1088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89"/>
        <v/>
      </c>
      <c r="Y304" s="75"/>
      <c r="Z304" s="917" t="str">
        <f t="shared" si="1090"/>
        <v/>
      </c>
      <c r="AA304" s="82"/>
      <c r="AB304" s="75"/>
      <c r="AC304" s="75"/>
      <c r="AD304" s="166"/>
      <c r="AE304" s="75">
        <v>5.1079999999999997</v>
      </c>
      <c r="AF304" s="82">
        <v>5</v>
      </c>
      <c r="AG304" s="82">
        <v>1</v>
      </c>
      <c r="AH304" s="82">
        <v>1</v>
      </c>
      <c r="AI304" s="82">
        <v>3.0000000000291038</v>
      </c>
      <c r="AJ304" s="166">
        <v>5.1081300000000001</v>
      </c>
      <c r="AK304" s="82" t="str">
        <v>Base</v>
      </c>
      <c r="AL304" s="162">
        <v>-3</v>
      </c>
      <c r="AM304" s="162">
        <v>-2.035380499391489</v>
      </c>
      <c r="AN304" s="162">
        <v>-0.49710850658015376</v>
      </c>
      <c r="AO304" s="162">
        <v>1.0406486811228461</v>
      </c>
      <c r="AP304" s="162">
        <v>-15.00253262197829</v>
      </c>
      <c r="AQ304" s="162">
        <v>0</v>
      </c>
      <c r="AR304" s="710" t="str">
        <v>1613 Ripper.par</v>
      </c>
      <c r="AV304" s="82" t="str">
        <v>0,102,204</v>
      </c>
      <c r="AW304" s="947">
        <v>-10.7</v>
      </c>
      <c r="AX304" s="947">
        <v>1.0406486811228461</v>
      </c>
      <c r="AY304" s="947">
        <v>0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71"/>
      <c r="N305" s="945"/>
      <c r="O305" s="946"/>
      <c r="Q305" s="162" t="str">
        <f t="shared" si="1083"/>
        <v/>
      </c>
      <c r="R305" s="162" t="str">
        <f t="shared" si="1084"/>
        <v/>
      </c>
      <c r="S305" s="162" t="str">
        <f t="shared" si="1085"/>
        <v/>
      </c>
      <c r="T305" s="162" t="str">
        <f t="shared" si="1086"/>
        <v/>
      </c>
      <c r="U305" s="162" t="str">
        <f t="shared" si="1087"/>
        <v/>
      </c>
      <c r="V305" s="162" t="str">
        <f t="shared" si="1088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89"/>
        <v/>
      </c>
      <c r="Y305" s="75"/>
      <c r="Z305" s="917" t="str">
        <f t="shared" si="1090"/>
        <v/>
      </c>
      <c r="AA305" s="82"/>
      <c r="AB305" s="75"/>
      <c r="AC305" s="75"/>
      <c r="AD305" s="166"/>
      <c r="AE305" s="75">
        <v>5.1050000000000004</v>
      </c>
      <c r="AF305" s="82">
        <v>5</v>
      </c>
      <c r="AG305" s="82">
        <v>1</v>
      </c>
      <c r="AH305" s="82">
        <v>1</v>
      </c>
      <c r="AI305" s="82">
        <v>3.0000000001018634</v>
      </c>
      <c r="AJ305" s="166">
        <v>5.1051300000000008</v>
      </c>
      <c r="AK305" s="82" t="str">
        <v>Base</v>
      </c>
      <c r="AL305" s="162">
        <v>-3</v>
      </c>
      <c r="AM305" s="162">
        <v>-1.2810946947675506</v>
      </c>
      <c r="AN305" s="162">
        <v>-0.69502253297584637</v>
      </c>
      <c r="AO305" s="162">
        <v>1.6530871296738316</v>
      </c>
      <c r="AP305" s="162">
        <v>-15.006392172163403</v>
      </c>
      <c r="AQ305" s="162">
        <v>0</v>
      </c>
      <c r="AR305" s="710" t="str">
        <v>1613 Ripper.par</v>
      </c>
      <c r="AV305" s="82" t="str">
        <v>0,102,204</v>
      </c>
      <c r="AW305" s="947">
        <v>-15</v>
      </c>
      <c r="AX305" s="947">
        <v>1.6530871296738316</v>
      </c>
      <c r="AY305" s="947">
        <v>0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3"/>
      <c r="V306" s="975"/>
      <c r="W306" s="199"/>
      <c r="X306" s="199"/>
      <c r="AA306" s="82"/>
      <c r="AB306" s="75"/>
      <c r="AC306" s="75"/>
      <c r="AD306" s="166"/>
      <c r="AE306" s="75">
        <v>5.1020000000000003</v>
      </c>
      <c r="AF306" s="82">
        <v>5</v>
      </c>
      <c r="AG306" s="82">
        <v>1</v>
      </c>
      <c r="AH306" s="82">
        <v>1</v>
      </c>
      <c r="AI306" s="82">
        <v>3.0000000001018634</v>
      </c>
      <c r="AJ306" s="166">
        <v>5.1021300000000007</v>
      </c>
      <c r="AK306" s="82" t="str">
        <v>Base</v>
      </c>
      <c r="AL306" s="162">
        <v>-3</v>
      </c>
      <c r="AM306" s="162">
        <v>-0.55195277941349052</v>
      </c>
      <c r="AN306" s="162">
        <v>-0.89219343607232693</v>
      </c>
      <c r="AO306" s="162">
        <v>3.1065909129673352</v>
      </c>
      <c r="AP306" s="162">
        <v>-19.02903738908725</v>
      </c>
      <c r="AQ306" s="162">
        <v>0</v>
      </c>
      <c r="AR306" s="710" t="str">
        <v>1613.par</v>
      </c>
      <c r="AV306" s="82" t="str">
        <v>0,102,204</v>
      </c>
      <c r="AW306" s="947">
        <v>-15</v>
      </c>
      <c r="AX306" s="947">
        <v>3.1065909129673352</v>
      </c>
      <c r="AY306" s="947">
        <v>0</v>
      </c>
    </row>
    <row r="307" spans="2:51" x14ac:dyDescent="0.25">
      <c r="Q307" s="139"/>
      <c r="R307" s="973"/>
      <c r="V307" s="975"/>
      <c r="W307" s="199"/>
      <c r="X307" s="199"/>
      <c r="AA307" s="82"/>
      <c r="AB307" s="75"/>
      <c r="AC307" s="75"/>
      <c r="AD307" s="166"/>
      <c r="AE307" s="75">
        <v>4.1189999999999998</v>
      </c>
      <c r="AF307" s="82">
        <v>4</v>
      </c>
      <c r="AG307" s="82">
        <v>1</v>
      </c>
      <c r="AH307" s="82">
        <v>1</v>
      </c>
      <c r="AI307" s="82">
        <v>3.0000000000291038</v>
      </c>
      <c r="AJ307" s="166">
        <v>4.1191300000000002</v>
      </c>
      <c r="AK307" s="82" t="str">
        <v>Base</v>
      </c>
      <c r="AL307" s="162">
        <v>-2.25</v>
      </c>
      <c r="AM307" s="162">
        <v>-3.7550353999628232</v>
      </c>
      <c r="AN307" s="162">
        <v>-2.237822372949533</v>
      </c>
      <c r="AO307" s="162">
        <v>82.827352998197895</v>
      </c>
      <c r="AP307" s="162">
        <v>-29.552119382134194</v>
      </c>
      <c r="AQ307" s="162">
        <v>0</v>
      </c>
      <c r="AR307" s="710" t="str">
        <v>1313.par</v>
      </c>
      <c r="AV307" s="82" t="str">
        <v>0,204,204</v>
      </c>
      <c r="AW307" s="947">
        <v>85</v>
      </c>
      <c r="AX307" s="947">
        <v>82.827352998197895</v>
      </c>
      <c r="AY307" s="947">
        <v>0</v>
      </c>
    </row>
    <row r="308" spans="2:51" x14ac:dyDescent="0.25">
      <c r="Q308" s="139"/>
      <c r="R308" s="973"/>
      <c r="V308" s="975"/>
      <c r="W308" s="199"/>
      <c r="X308" s="199"/>
      <c r="AA308" s="82"/>
      <c r="AB308" s="75"/>
      <c r="AC308" s="75"/>
      <c r="AD308" s="166"/>
      <c r="AE308" s="75">
        <v>4.1159999999999997</v>
      </c>
      <c r="AF308" s="82">
        <v>4</v>
      </c>
      <c r="AG308" s="82">
        <v>1</v>
      </c>
      <c r="AH308" s="82">
        <v>1</v>
      </c>
      <c r="AI308" s="82">
        <v>3.0000000000291038</v>
      </c>
      <c r="AJ308" s="166">
        <v>4.1161300000000001</v>
      </c>
      <c r="AK308" s="82" t="str">
        <v>Base</v>
      </c>
      <c r="AL308" s="162">
        <v>-2.25</v>
      </c>
      <c r="AM308" s="162">
        <v>-3.5972860989004318</v>
      </c>
      <c r="AN308" s="162">
        <v>-1.5785096987313323</v>
      </c>
      <c r="AO308" s="162">
        <v>74.8753445016591</v>
      </c>
      <c r="AP308" s="162">
        <v>-20.255608840893746</v>
      </c>
      <c r="AQ308" s="162">
        <v>0</v>
      </c>
      <c r="AR308" s="710" t="str">
        <v>1613.par</v>
      </c>
      <c r="AV308" s="82" t="str">
        <v>0,204,204</v>
      </c>
      <c r="AW308" s="947">
        <v>78.400000000000006</v>
      </c>
      <c r="AX308" s="947">
        <v>74.8753445016591</v>
      </c>
      <c r="AY308" s="947">
        <v>0</v>
      </c>
    </row>
    <row r="309" spans="2:51" x14ac:dyDescent="0.25">
      <c r="E309" s="1085" t="s">
        <v>11</v>
      </c>
      <c r="F309" s="1086"/>
      <c r="G309" s="1087" t="s">
        <v>10</v>
      </c>
      <c r="H309" s="976" t="s">
        <v>15</v>
      </c>
      <c r="I309" s="977" t="s">
        <v>16</v>
      </c>
      <c r="Q309" s="139"/>
      <c r="R309" s="973"/>
      <c r="V309" s="975"/>
      <c r="W309" s="199"/>
      <c r="X309" s="199"/>
      <c r="AA309" s="82"/>
      <c r="AB309" s="75"/>
      <c r="AC309" s="75"/>
      <c r="AD309" s="166"/>
      <c r="AE309" s="75">
        <v>4.1130000000000004</v>
      </c>
      <c r="AF309" s="82">
        <v>4</v>
      </c>
      <c r="AG309" s="82">
        <v>1</v>
      </c>
      <c r="AH309" s="82">
        <v>1</v>
      </c>
      <c r="AI309" s="82">
        <v>3.0000000001018634</v>
      </c>
      <c r="AJ309" s="166">
        <v>4.1131300000000008</v>
      </c>
      <c r="AK309" s="82" t="str">
        <v>Base</v>
      </c>
      <c r="AL309" s="162">
        <v>-2.25</v>
      </c>
      <c r="AM309" s="162">
        <v>-3.2326774847419726</v>
      </c>
      <c r="AN309" s="162">
        <v>-0.90870740918013826</v>
      </c>
      <c r="AO309" s="162">
        <v>53.146616424137292</v>
      </c>
      <c r="AP309" s="162">
        <v>-15.741663259343115</v>
      </c>
      <c r="AQ309" s="162">
        <v>0</v>
      </c>
      <c r="AR309" s="710" t="str">
        <v>1613 Ripper.par</v>
      </c>
      <c r="AV309" s="82" t="str">
        <v>0,204,204</v>
      </c>
      <c r="AW309" s="947">
        <v>45.3</v>
      </c>
      <c r="AX309" s="947">
        <v>53.146616424137292</v>
      </c>
      <c r="AY309" s="947">
        <v>0</v>
      </c>
    </row>
    <row r="310" spans="2:51" ht="15.75" thickBot="1" x14ac:dyDescent="0.3">
      <c r="E310" s="978" t="s">
        <v>18</v>
      </c>
      <c r="F310" s="979" t="s">
        <v>19</v>
      </c>
      <c r="G310" s="1088"/>
      <c r="H310" s="980" t="s">
        <v>26</v>
      </c>
      <c r="I310" s="981" t="s">
        <v>27</v>
      </c>
      <c r="J310" s="31" t="s">
        <v>421</v>
      </c>
      <c r="Q310" s="139"/>
      <c r="R310" s="973"/>
      <c r="V310" s="975"/>
      <c r="W310" s="199"/>
      <c r="X310" s="199"/>
      <c r="AA310" s="82"/>
      <c r="AB310" s="75"/>
      <c r="AC310" s="75"/>
      <c r="AD310" s="166"/>
      <c r="AE310" s="75">
        <v>4.1100000000000003</v>
      </c>
      <c r="AF310" s="82">
        <v>4</v>
      </c>
      <c r="AG310" s="82">
        <v>1</v>
      </c>
      <c r="AH310" s="82">
        <v>1</v>
      </c>
      <c r="AI310" s="82">
        <v>3.0000000001018634</v>
      </c>
      <c r="AJ310" s="166">
        <v>4.1101300000000007</v>
      </c>
      <c r="AK310" s="82" t="str">
        <v>Base</v>
      </c>
      <c r="AL310" s="162">
        <v>-2.25</v>
      </c>
      <c r="AM310" s="162">
        <v>-2.5504879830868261</v>
      </c>
      <c r="AN310" s="162">
        <v>-0.54314898347876783</v>
      </c>
      <c r="AO310" s="162">
        <v>22.868586026272375</v>
      </c>
      <c r="AP310" s="162">
        <v>-15.504428125270769</v>
      </c>
      <c r="AQ310" s="162">
        <v>0</v>
      </c>
      <c r="AR310" s="710" t="str">
        <v>1613.par</v>
      </c>
      <c r="AV310" s="82" t="str">
        <v>0,204,204</v>
      </c>
      <c r="AW310" s="947">
        <v>11.6</v>
      </c>
      <c r="AX310" s="947">
        <v>22.868586026272375</v>
      </c>
      <c r="AY310" s="947">
        <v>0</v>
      </c>
    </row>
    <row r="311" spans="2:51" ht="15.75" thickTop="1" x14ac:dyDescent="0.25">
      <c r="D311" s="163">
        <v>1.101</v>
      </c>
      <c r="E311">
        <f>INDEX($Q$9:$Q$150,MATCH($D311,$M$9:$M$150,0))</f>
        <v>92.008611774701691</v>
      </c>
      <c r="F311">
        <f>INDEX($R$9:$R$150,MATCH($D311,$M$9:$M$150,0))</f>
        <v>0.30038456522755386</v>
      </c>
      <c r="G311">
        <f>INDEX($S$9:$S$150,MATCH($D311,$M$9:$M$150,0))</f>
        <v>-0.57786735899090602</v>
      </c>
      <c r="H311">
        <f>INDEX($AN$9:$AN$150,MATCH($D311,$M$9:$M$150,0))</f>
        <v>-5.2170745382373731</v>
      </c>
      <c r="I311">
        <f>INDEX($AO$9:$AO$150,MATCH($D311,$M$9:$M$150,0))</f>
        <v>21.091519790015408</v>
      </c>
      <c r="J311" s="974">
        <v>70</v>
      </c>
      <c r="Q311" s="139"/>
      <c r="R311" s="973"/>
      <c r="V311" s="975"/>
      <c r="W311" s="199"/>
      <c r="X311" s="199"/>
      <c r="AA311" s="82"/>
      <c r="AB311" s="75"/>
      <c r="AC311" s="75"/>
      <c r="AD311" s="166"/>
      <c r="AE311" s="75">
        <v>3.1179999999999999</v>
      </c>
      <c r="AF311" s="82">
        <v>3</v>
      </c>
      <c r="AG311" s="82">
        <v>1</v>
      </c>
      <c r="AH311" s="82">
        <v>1</v>
      </c>
      <c r="AI311" s="82">
        <v>2.999999999992724</v>
      </c>
      <c r="AJ311" s="166">
        <v>3.1181299999999998</v>
      </c>
      <c r="AK311" s="82" t="str">
        <v>Base</v>
      </c>
      <c r="AL311" s="162">
        <v>-1.5</v>
      </c>
      <c r="AM311" s="162">
        <v>-3.7550101584443385</v>
      </c>
      <c r="AN311" s="162">
        <v>-2.0415166166673577</v>
      </c>
      <c r="AO311" s="162">
        <v>82.827289346382216</v>
      </c>
      <c r="AP311" s="162">
        <v>-29.551832610771214</v>
      </c>
      <c r="AQ311" s="162">
        <v>0</v>
      </c>
      <c r="AR311" s="710" t="str">
        <v>1313.par</v>
      </c>
      <c r="AV311" s="82" t="str">
        <v>0,204,0</v>
      </c>
      <c r="AW311" s="947">
        <v>85</v>
      </c>
      <c r="AX311" s="947">
        <v>82.827289346382216</v>
      </c>
      <c r="AY311" s="947">
        <v>0</v>
      </c>
    </row>
    <row r="312" spans="2:51" x14ac:dyDescent="0.25">
      <c r="D312" s="164">
        <v>1.1040000000000001</v>
      </c>
      <c r="E312">
        <f t="shared" ref="E312:E357" si="1091">INDEX($Q$9:$Q$150,MATCH($D312,$M$9:$M$150,0))</f>
        <v>90.549660125842593</v>
      </c>
      <c r="F312">
        <f t="shared" ref="F312:F357" si="1092">INDEX($R$9:$R$150,MATCH($D312,$M$9:$M$150,0))</f>
        <v>1.0300473987713625</v>
      </c>
      <c r="G312">
        <f t="shared" ref="G312:G357" si="1093">INDEX($S$9:$S$150,MATCH($D312,$M$9:$M$150,0))</f>
        <v>-0.43007638090205041</v>
      </c>
      <c r="H312">
        <f t="shared" ref="H312:H357" si="1094">INDEX($AN$9:$AN$150,MATCH($D312,$M$9:$M$150,0))</f>
        <v>-2.0504522511231897</v>
      </c>
      <c r="I312">
        <f t="shared" ref="I312:I357" si="1095">INDEX($AO$9:$AO$150,MATCH($D312,$M$9:$M$150,0))</f>
        <v>15.00983650799305</v>
      </c>
      <c r="J312" s="974">
        <v>70</v>
      </c>
      <c r="Q312" s="139"/>
      <c r="R312" s="973"/>
      <c r="V312" s="975"/>
      <c r="W312" s="199"/>
      <c r="X312" s="199"/>
      <c r="AA312" s="82"/>
      <c r="AB312" s="75"/>
      <c r="AC312" s="75"/>
      <c r="AD312" s="166"/>
      <c r="AE312" s="75">
        <v>3.1150000000000002</v>
      </c>
      <c r="AF312" s="82">
        <v>3</v>
      </c>
      <c r="AG312" s="82">
        <v>1</v>
      </c>
      <c r="AH312" s="82">
        <v>1</v>
      </c>
      <c r="AI312" s="82">
        <v>3.0000000000291038</v>
      </c>
      <c r="AJ312" s="166">
        <v>3.1151300000000002</v>
      </c>
      <c r="AK312" s="82" t="str">
        <v>Base</v>
      </c>
      <c r="AL312" s="162">
        <v>-1.5</v>
      </c>
      <c r="AM312" s="162">
        <v>-3.5190499191327853</v>
      </c>
      <c r="AN312" s="162">
        <v>-1.37180602370257</v>
      </c>
      <c r="AO312" s="162">
        <v>65.939425768729748</v>
      </c>
      <c r="AP312" s="162">
        <v>-20.312053536791677</v>
      </c>
      <c r="AQ312" s="162">
        <v>0</v>
      </c>
      <c r="AR312" s="710" t="str">
        <v>1613.par</v>
      </c>
      <c r="AV312" s="82" t="str">
        <v>0,204,0</v>
      </c>
      <c r="AW312" s="947">
        <v>67.400000000000006</v>
      </c>
      <c r="AX312" s="947">
        <v>65.939425768729748</v>
      </c>
      <c r="AY312" s="947">
        <v>0</v>
      </c>
    </row>
    <row r="313" spans="2:51" x14ac:dyDescent="0.25">
      <c r="D313" s="164">
        <v>1.107</v>
      </c>
      <c r="E313">
        <f t="shared" si="1091"/>
        <v>90.317533091428601</v>
      </c>
      <c r="F313">
        <f t="shared" si="1092"/>
        <v>1.7830273816505595</v>
      </c>
      <c r="G313">
        <f t="shared" si="1093"/>
        <v>-0.22827638090205055</v>
      </c>
      <c r="H313">
        <f t="shared" si="1094"/>
        <v>-1.1848746270094432</v>
      </c>
      <c r="I313">
        <f t="shared" si="1095"/>
        <v>15.003283411783807</v>
      </c>
      <c r="J313" s="974">
        <v>76.8</v>
      </c>
      <c r="Q313" s="139"/>
      <c r="R313" s="973"/>
      <c r="V313" s="975"/>
      <c r="W313" s="199"/>
      <c r="X313" s="199"/>
      <c r="AA313" s="82"/>
      <c r="AB313" s="75"/>
      <c r="AC313" s="75"/>
      <c r="AD313" s="166"/>
      <c r="AE313" s="75">
        <v>3.1120000000000001</v>
      </c>
      <c r="AF313" s="82">
        <v>3</v>
      </c>
      <c r="AG313" s="82">
        <v>1</v>
      </c>
      <c r="AH313" s="82">
        <v>1</v>
      </c>
      <c r="AI313" s="82">
        <v>2.999999999992724</v>
      </c>
      <c r="AJ313" s="166">
        <v>3.1121300000000001</v>
      </c>
      <c r="AK313" s="82" t="str">
        <v>Base</v>
      </c>
      <c r="AL313" s="162">
        <v>-1.5</v>
      </c>
      <c r="AM313" s="162">
        <v>-3.0304874792706493</v>
      </c>
      <c r="AN313" s="162">
        <v>-0.78131277781535668</v>
      </c>
      <c r="AO313" s="162">
        <v>44.163828655907125</v>
      </c>
      <c r="AP313" s="162">
        <v>-15.699886112498646</v>
      </c>
      <c r="AQ313" s="162">
        <v>0</v>
      </c>
      <c r="AR313" s="710" t="str">
        <v>1613 Ripper.par</v>
      </c>
      <c r="AV313" s="82" t="str">
        <v>0,204,0</v>
      </c>
      <c r="AW313" s="947">
        <v>34.1</v>
      </c>
      <c r="AX313" s="947">
        <v>44.163828655907125</v>
      </c>
      <c r="AY313" s="947">
        <v>0</v>
      </c>
    </row>
    <row r="314" spans="2:51" x14ac:dyDescent="0.25">
      <c r="D314" s="164">
        <v>1.111</v>
      </c>
      <c r="E314" t="e">
        <f t="shared" si="1091"/>
        <v>#N/A</v>
      </c>
      <c r="F314" t="e">
        <f t="shared" si="1092"/>
        <v>#N/A</v>
      </c>
      <c r="G314" t="e">
        <f t="shared" si="1093"/>
        <v>#N/A</v>
      </c>
      <c r="H314" t="e">
        <f t="shared" si="1094"/>
        <v>#N/A</v>
      </c>
      <c r="I314" t="e">
        <f t="shared" si="1095"/>
        <v>#N/A</v>
      </c>
      <c r="J314" s="974">
        <v>95.3</v>
      </c>
      <c r="Q314" s="139"/>
      <c r="R314" s="973"/>
      <c r="V314" s="975"/>
      <c r="W314" s="199"/>
      <c r="X314" s="199"/>
      <c r="AA314" s="82"/>
      <c r="AB314" s="75"/>
      <c r="AC314" s="75"/>
      <c r="AD314" s="166"/>
      <c r="AE314" s="75">
        <v>3.109</v>
      </c>
      <c r="AF314" s="82">
        <v>3</v>
      </c>
      <c r="AG314" s="82">
        <v>1</v>
      </c>
      <c r="AH314" s="82">
        <v>1</v>
      </c>
      <c r="AI314" s="82">
        <v>2.999999999992724</v>
      </c>
      <c r="AJ314" s="166">
        <v>3.1091299999999999</v>
      </c>
      <c r="AK314" s="82" t="str">
        <v>Base</v>
      </c>
      <c r="AL314" s="162">
        <v>-1.5</v>
      </c>
      <c r="AM314" s="162">
        <v>-2.2931013183645668</v>
      </c>
      <c r="AN314" s="162">
        <v>-0.55435330337920818</v>
      </c>
      <c r="AO314" s="162">
        <v>12.217901912472621</v>
      </c>
      <c r="AP314" s="162">
        <v>-15.333215777859115</v>
      </c>
      <c r="AQ314" s="162">
        <v>0</v>
      </c>
      <c r="AR314" s="710" t="str">
        <v>1613 Ripper.par</v>
      </c>
      <c r="AV314" s="82" t="str">
        <v>0,204,0</v>
      </c>
      <c r="AW314" s="947">
        <v>-0.4</v>
      </c>
      <c r="AX314" s="947">
        <v>12.217901912472621</v>
      </c>
      <c r="AY314" s="947">
        <v>0</v>
      </c>
    </row>
    <row r="315" spans="2:51" x14ac:dyDescent="0.25">
      <c r="D315" s="164">
        <v>1.117</v>
      </c>
      <c r="E315" t="e">
        <f t="shared" si="1091"/>
        <v>#N/A</v>
      </c>
      <c r="F315" t="e">
        <f t="shared" si="1092"/>
        <v>#N/A</v>
      </c>
      <c r="G315" t="e">
        <f t="shared" si="1093"/>
        <v>#N/A</v>
      </c>
      <c r="H315" t="e">
        <f t="shared" si="1094"/>
        <v>#N/A</v>
      </c>
      <c r="I315" t="e">
        <f t="shared" si="1095"/>
        <v>#N/A</v>
      </c>
      <c r="J315" s="974">
        <v>114.3</v>
      </c>
      <c r="Q315" s="139"/>
      <c r="R315" s="973"/>
      <c r="V315" s="975"/>
      <c r="W315" s="199"/>
      <c r="X315" s="199"/>
      <c r="AA315" s="82"/>
      <c r="AB315" s="75"/>
      <c r="AC315" s="75"/>
      <c r="AD315" s="166"/>
      <c r="AE315" s="75">
        <v>3.1059999999999999</v>
      </c>
      <c r="AF315" s="82">
        <v>3</v>
      </c>
      <c r="AG315" s="82">
        <v>1</v>
      </c>
      <c r="AH315" s="82">
        <v>1</v>
      </c>
      <c r="AI315" s="82">
        <v>2.999999999992724</v>
      </c>
      <c r="AJ315" s="166">
        <v>3.1061299999999998</v>
      </c>
      <c r="AK315" s="82" t="str">
        <v>Base</v>
      </c>
      <c r="AL315" s="162">
        <v>-1.5</v>
      </c>
      <c r="AM315" s="162">
        <v>-1.5320059433405635</v>
      </c>
      <c r="AN315" s="162">
        <v>-0.70763212461235114</v>
      </c>
      <c r="AO315" s="162">
        <v>1.3764147040654124</v>
      </c>
      <c r="AP315" s="162">
        <v>-15.004431057378628</v>
      </c>
      <c r="AQ315" s="162">
        <v>0</v>
      </c>
      <c r="AR315" s="710" t="str">
        <v>1613 Ripper.par</v>
      </c>
      <c r="AV315" s="82" t="str">
        <v>0,204,0</v>
      </c>
      <c r="AW315" s="947">
        <v>-15</v>
      </c>
      <c r="AX315" s="947">
        <v>1.3764147040654124</v>
      </c>
      <c r="AY315" s="947">
        <v>0</v>
      </c>
    </row>
    <row r="316" spans="2:51" x14ac:dyDescent="0.25">
      <c r="D316" s="164">
        <v>1.123</v>
      </c>
      <c r="E316" t="e">
        <f t="shared" si="1091"/>
        <v>#N/A</v>
      </c>
      <c r="F316" t="e">
        <f t="shared" si="1092"/>
        <v>#N/A</v>
      </c>
      <c r="G316" t="e">
        <f t="shared" si="1093"/>
        <v>#N/A</v>
      </c>
      <c r="H316" t="e">
        <f t="shared" si="1094"/>
        <v>#N/A</v>
      </c>
      <c r="I316" t="e">
        <f t="shared" si="1095"/>
        <v>#N/A</v>
      </c>
      <c r="J316" s="974">
        <v>133.4</v>
      </c>
      <c r="Q316" s="139"/>
      <c r="R316" s="973"/>
      <c r="V316" s="975"/>
      <c r="W316" s="199"/>
      <c r="X316" s="199"/>
      <c r="AA316" s="82"/>
      <c r="AB316" s="75"/>
      <c r="AC316" s="75"/>
      <c r="AD316" s="166"/>
      <c r="AE316" s="75">
        <v>3.1030000000000002</v>
      </c>
      <c r="AF316" s="82">
        <v>3</v>
      </c>
      <c r="AG316" s="82">
        <v>1</v>
      </c>
      <c r="AH316" s="82">
        <v>1</v>
      </c>
      <c r="AI316" s="82">
        <v>3.0000000000291038</v>
      </c>
      <c r="AJ316" s="166">
        <v>3.1031300000000002</v>
      </c>
      <c r="AK316" s="82" t="str">
        <v>Base</v>
      </c>
      <c r="AL316" s="162">
        <v>-1.5</v>
      </c>
      <c r="AM316" s="162">
        <v>-0.7909381174986323</v>
      </c>
      <c r="AN316" s="162">
        <v>-0.90705288451400823</v>
      </c>
      <c r="AO316" s="162">
        <v>2.3812503284625786</v>
      </c>
      <c r="AP316" s="162">
        <v>-17.015140029473987</v>
      </c>
      <c r="AQ316" s="162">
        <v>0</v>
      </c>
      <c r="AR316" s="710" t="str">
        <v>1613.par</v>
      </c>
      <c r="AV316" s="82" t="str">
        <v>0,204,0</v>
      </c>
      <c r="AW316" s="947">
        <v>-15</v>
      </c>
      <c r="AX316" s="947">
        <v>2.3812503284625786</v>
      </c>
      <c r="AY316" s="947">
        <v>0</v>
      </c>
    </row>
    <row r="317" spans="2:51" x14ac:dyDescent="0.25">
      <c r="D317" s="164">
        <v>1.129</v>
      </c>
      <c r="E317" t="e">
        <f t="shared" si="1091"/>
        <v>#N/A</v>
      </c>
      <c r="F317" t="e">
        <f t="shared" si="1092"/>
        <v>#N/A</v>
      </c>
      <c r="G317" t="e">
        <f t="shared" si="1093"/>
        <v>#N/A</v>
      </c>
      <c r="H317" t="e">
        <f t="shared" si="1094"/>
        <v>#N/A</v>
      </c>
      <c r="I317" t="e">
        <f t="shared" si="1095"/>
        <v>#N/A</v>
      </c>
      <c r="J317" s="974">
        <v>152.4</v>
      </c>
      <c r="Q317" s="139"/>
      <c r="R317" s="973"/>
      <c r="V317" s="975"/>
      <c r="W317" s="199"/>
      <c r="X317" s="199"/>
      <c r="AA317" s="82"/>
      <c r="AB317" s="75"/>
      <c r="AC317" s="75"/>
      <c r="AD317" s="166"/>
      <c r="AE317" s="75">
        <v>2.12</v>
      </c>
      <c r="AF317" s="82">
        <v>2</v>
      </c>
      <c r="AG317" s="82">
        <v>1</v>
      </c>
      <c r="AH317" s="82">
        <v>1</v>
      </c>
      <c r="AI317" s="82">
        <v>2.999999999992724</v>
      </c>
      <c r="AJ317" s="166">
        <v>2.1201300000000001</v>
      </c>
      <c r="AK317" s="82" t="str">
        <v>Base</v>
      </c>
      <c r="AL317" s="162">
        <v>-0.75</v>
      </c>
      <c r="AM317" s="162">
        <v>-3.755090995699589</v>
      </c>
      <c r="AN317" s="162">
        <v>-2.5567559911692217</v>
      </c>
      <c r="AO317" s="162">
        <v>82.827443342392854</v>
      </c>
      <c r="AP317" s="162">
        <v>-29.552526421184567</v>
      </c>
      <c r="AQ317" s="162">
        <v>0</v>
      </c>
      <c r="AR317" s="710" t="str">
        <v>1313.par</v>
      </c>
      <c r="AV317" s="82" t="str">
        <v>204,204,0</v>
      </c>
      <c r="AW317" s="947">
        <v>85</v>
      </c>
      <c r="AX317" s="947">
        <v>82.827443342392854</v>
      </c>
      <c r="AY317" s="947">
        <v>0</v>
      </c>
    </row>
    <row r="318" spans="2:51" x14ac:dyDescent="0.25">
      <c r="D318" s="164">
        <v>1.135</v>
      </c>
      <c r="E318" t="e">
        <f t="shared" si="1091"/>
        <v>#N/A</v>
      </c>
      <c r="F318" t="e">
        <f t="shared" si="1092"/>
        <v>#N/A</v>
      </c>
      <c r="G318" t="e">
        <f t="shared" si="1093"/>
        <v>#N/A</v>
      </c>
      <c r="H318" t="e">
        <f t="shared" si="1094"/>
        <v>#N/A</v>
      </c>
      <c r="I318" t="e">
        <f t="shared" si="1095"/>
        <v>#N/A</v>
      </c>
      <c r="J318" s="974">
        <v>171</v>
      </c>
      <c r="Q318" s="139"/>
      <c r="R318" s="973"/>
      <c r="V318" s="975"/>
      <c r="W318" s="199"/>
      <c r="X318" s="199"/>
      <c r="AA318" s="82"/>
      <c r="AB318" s="75"/>
      <c r="AC318" s="75"/>
      <c r="AD318" s="166"/>
      <c r="AE318" s="75">
        <v>2.117</v>
      </c>
      <c r="AF318" s="82">
        <v>2</v>
      </c>
      <c r="AG318" s="82">
        <v>1</v>
      </c>
      <c r="AH318" s="82">
        <v>1</v>
      </c>
      <c r="AI318" s="82">
        <v>2.999999999992724</v>
      </c>
      <c r="AJ318" s="166">
        <v>2.11713</v>
      </c>
      <c r="AK318" s="82" t="str">
        <v>Base</v>
      </c>
      <c r="AL318" s="162">
        <v>-0.75</v>
      </c>
      <c r="AM318" s="162">
        <v>-3.6270321427933805</v>
      </c>
      <c r="AN318" s="162">
        <v>-1.8985752045181203</v>
      </c>
      <c r="AO318" s="162">
        <v>82.78278340687632</v>
      </c>
      <c r="AP318" s="162">
        <v>-20.225876694233467</v>
      </c>
      <c r="AQ318" s="162">
        <v>0</v>
      </c>
      <c r="AR318" s="710" t="str">
        <v>1613.par</v>
      </c>
      <c r="AV318" s="82" t="str">
        <v>204,204,0</v>
      </c>
      <c r="AW318" s="947">
        <v>85</v>
      </c>
      <c r="AX318" s="947">
        <v>82.78278340687632</v>
      </c>
      <c r="AY318" s="947">
        <v>0</v>
      </c>
    </row>
    <row r="319" spans="2:51" x14ac:dyDescent="0.25">
      <c r="D319" s="164">
        <v>1.141</v>
      </c>
      <c r="E319" t="e">
        <f t="shared" si="1091"/>
        <v>#N/A</v>
      </c>
      <c r="F319" t="e">
        <f t="shared" si="1092"/>
        <v>#N/A</v>
      </c>
      <c r="G319" t="e">
        <f t="shared" si="1093"/>
        <v>#N/A</v>
      </c>
      <c r="H319" t="e">
        <f t="shared" si="1094"/>
        <v>#N/A</v>
      </c>
      <c r="I319" t="e">
        <f t="shared" si="1095"/>
        <v>#N/A</v>
      </c>
      <c r="J319" s="974">
        <v>175</v>
      </c>
      <c r="Q319" s="139"/>
      <c r="R319" s="973"/>
      <c r="V319" s="975"/>
      <c r="W319" s="199"/>
      <c r="X319" s="199"/>
      <c r="AA319" s="82"/>
      <c r="AB319" s="75"/>
      <c r="AC319" s="75"/>
      <c r="AD319" s="166"/>
      <c r="AE319" s="75">
        <v>2.1139999999999999</v>
      </c>
      <c r="AF319" s="82">
        <v>2</v>
      </c>
      <c r="AG319" s="82">
        <v>1</v>
      </c>
      <c r="AH319" s="82">
        <v>1</v>
      </c>
      <c r="AI319" s="82">
        <v>2.999999999992724</v>
      </c>
      <c r="AJ319" s="166">
        <v>2.1141299999999998</v>
      </c>
      <c r="AK319" s="82" t="str">
        <v>Base</v>
      </c>
      <c r="AL319" s="162">
        <v>-0.75</v>
      </c>
      <c r="AM319" s="162">
        <v>-3.3968379050192197</v>
      </c>
      <c r="AN319" s="162">
        <v>-1.1901088553348496</v>
      </c>
      <c r="AO319" s="162">
        <v>62.82984398771481</v>
      </c>
      <c r="AP319" s="162">
        <v>-15.749673008190417</v>
      </c>
      <c r="AQ319" s="162">
        <v>0</v>
      </c>
      <c r="AR319" s="710" t="str">
        <v>1613.par</v>
      </c>
      <c r="AV319" s="82" t="str">
        <v>204,204,0</v>
      </c>
      <c r="AW319" s="947">
        <v>56.3</v>
      </c>
      <c r="AX319" s="947">
        <v>62.82984398771481</v>
      </c>
      <c r="AY319" s="947">
        <v>0</v>
      </c>
    </row>
    <row r="320" spans="2:51" x14ac:dyDescent="0.25">
      <c r="D320" s="164">
        <v>2.11</v>
      </c>
      <c r="E320" t="e">
        <f t="shared" si="1091"/>
        <v>#N/A</v>
      </c>
      <c r="F320" t="e">
        <f t="shared" si="1092"/>
        <v>#N/A</v>
      </c>
      <c r="G320" t="e">
        <f t="shared" si="1093"/>
        <v>#N/A</v>
      </c>
      <c r="H320" t="e">
        <f t="shared" si="1094"/>
        <v>#N/A</v>
      </c>
      <c r="I320" t="e">
        <f t="shared" si="1095"/>
        <v>#N/A</v>
      </c>
      <c r="J320" s="974">
        <v>92.1</v>
      </c>
      <c r="Q320" s="139"/>
      <c r="R320" s="973"/>
      <c r="V320" s="975"/>
      <c r="W320" s="199"/>
      <c r="X320" s="199"/>
      <c r="AA320" s="82"/>
      <c r="AB320" s="75"/>
      <c r="AC320" s="75"/>
      <c r="AD320" s="166"/>
      <c r="AE320" s="75">
        <v>2.1110000000000002</v>
      </c>
      <c r="AF320" s="82">
        <v>2</v>
      </c>
      <c r="AG320" s="82">
        <v>1</v>
      </c>
      <c r="AH320" s="82">
        <v>1</v>
      </c>
      <c r="AI320" s="82">
        <v>3.0000000000291038</v>
      </c>
      <c r="AJ320" s="166">
        <v>2.1111300000000002</v>
      </c>
      <c r="AK320" s="82" t="str">
        <v>Base</v>
      </c>
      <c r="AL320" s="162">
        <v>-0.75</v>
      </c>
      <c r="AM320" s="162">
        <v>-2.8002517471357606</v>
      </c>
      <c r="AN320" s="162">
        <v>-0.70318304083170891</v>
      </c>
      <c r="AO320" s="162">
        <v>33.042046168720674</v>
      </c>
      <c r="AP320" s="162">
        <v>-15.632095004852555</v>
      </c>
      <c r="AQ320" s="162">
        <v>0</v>
      </c>
      <c r="AR320" s="710" t="str">
        <v>1613 Ripper.par</v>
      </c>
      <c r="AV320" s="82" t="str">
        <v>204,204,0</v>
      </c>
      <c r="AW320" s="947">
        <v>22.8</v>
      </c>
      <c r="AX320" s="947">
        <v>33.042046168720674</v>
      </c>
      <c r="AY320" s="947">
        <v>0</v>
      </c>
    </row>
    <row r="321" spans="4:51" x14ac:dyDescent="0.25">
      <c r="D321" s="164">
        <v>2.1160000000000001</v>
      </c>
      <c r="E321" t="e">
        <f t="shared" si="1091"/>
        <v>#N/A</v>
      </c>
      <c r="F321" t="e">
        <f t="shared" si="1092"/>
        <v>#N/A</v>
      </c>
      <c r="G321" t="e">
        <f t="shared" si="1093"/>
        <v>#N/A</v>
      </c>
      <c r="H321" t="e">
        <f t="shared" si="1094"/>
        <v>#N/A</v>
      </c>
      <c r="I321" t="e">
        <f t="shared" si="1095"/>
        <v>#N/A</v>
      </c>
      <c r="J321" s="974">
        <v>111.2</v>
      </c>
      <c r="Q321" s="139"/>
      <c r="R321" s="973"/>
      <c r="V321" s="975"/>
      <c r="W321" s="199"/>
      <c r="X321" s="199"/>
      <c r="AA321" s="82"/>
      <c r="AB321" s="75"/>
      <c r="AC321" s="75"/>
      <c r="AD321" s="166"/>
      <c r="AE321" s="75">
        <v>2.1080000000000001</v>
      </c>
      <c r="AF321" s="82">
        <v>2</v>
      </c>
      <c r="AG321" s="82">
        <v>1</v>
      </c>
      <c r="AH321" s="82">
        <v>1</v>
      </c>
      <c r="AI321" s="82">
        <v>2.999999999992724</v>
      </c>
      <c r="AJ321" s="166">
        <v>2.1081300000000001</v>
      </c>
      <c r="AK321" s="82" t="str">
        <v>Base</v>
      </c>
      <c r="AL321" s="162">
        <v>-0.75</v>
      </c>
      <c r="AM321" s="162">
        <v>-2.035380499391489</v>
      </c>
      <c r="AN321" s="162">
        <v>-0.62210850657105887</v>
      </c>
      <c r="AO321" s="162">
        <v>1.0406486811226867</v>
      </c>
      <c r="AP321" s="162">
        <v>-15.002532621978315</v>
      </c>
      <c r="AQ321" s="162">
        <v>0</v>
      </c>
      <c r="AR321" s="710" t="str">
        <v>1613.par</v>
      </c>
      <c r="AV321" s="82" t="str">
        <v>204,204,0</v>
      </c>
      <c r="AW321" s="947">
        <v>-10.7</v>
      </c>
      <c r="AX321" s="947">
        <v>1.0406486811226867</v>
      </c>
      <c r="AY321" s="947">
        <v>0</v>
      </c>
    </row>
    <row r="322" spans="4:51" x14ac:dyDescent="0.25">
      <c r="D322" s="164">
        <v>2.1219999999999999</v>
      </c>
      <c r="E322" t="e">
        <f t="shared" si="1091"/>
        <v>#N/A</v>
      </c>
      <c r="F322" t="e">
        <f t="shared" si="1092"/>
        <v>#N/A</v>
      </c>
      <c r="G322" t="e">
        <f t="shared" si="1093"/>
        <v>#N/A</v>
      </c>
      <c r="H322" t="e">
        <f t="shared" si="1094"/>
        <v>#N/A</v>
      </c>
      <c r="I322" t="e">
        <f t="shared" si="1095"/>
        <v>#N/A</v>
      </c>
      <c r="J322" s="974">
        <v>130.30000000000001</v>
      </c>
      <c r="Q322" s="139"/>
      <c r="R322" s="973"/>
      <c r="V322" s="975"/>
      <c r="W322" s="199"/>
      <c r="X322" s="199"/>
      <c r="AA322" s="82"/>
      <c r="AB322" s="75"/>
      <c r="AC322" s="75"/>
      <c r="AD322" s="166"/>
      <c r="AE322" s="75">
        <v>1.119</v>
      </c>
      <c r="AF322" s="82">
        <v>1</v>
      </c>
      <c r="AG322" s="82">
        <v>1</v>
      </c>
      <c r="AH322" s="82">
        <v>1</v>
      </c>
      <c r="AI322" s="82">
        <v>2.999999999992724</v>
      </c>
      <c r="AJ322" s="166">
        <v>1.11913</v>
      </c>
      <c r="AK322" s="82" t="str">
        <v>Base</v>
      </c>
      <c r="AL322" s="162">
        <v>0</v>
      </c>
      <c r="AM322" s="162">
        <v>-3.7550353999628232</v>
      </c>
      <c r="AN322" s="162">
        <v>-2.3628223729404381</v>
      </c>
      <c r="AO322" s="162">
        <v>82.827352998197881</v>
      </c>
      <c r="AP322" s="162">
        <v>-29.552119382134169</v>
      </c>
      <c r="AQ322" s="162">
        <v>0</v>
      </c>
      <c r="AR322" s="710" t="str">
        <v>1313.par</v>
      </c>
      <c r="AV322" s="82" t="str">
        <v>255,127,0</v>
      </c>
      <c r="AW322" s="947">
        <v>85</v>
      </c>
      <c r="AX322" s="947">
        <v>82.827352998197881</v>
      </c>
      <c r="AY322" s="947">
        <v>0</v>
      </c>
    </row>
    <row r="323" spans="4:51" x14ac:dyDescent="0.25">
      <c r="D323" s="164">
        <v>2.1280000000000001</v>
      </c>
      <c r="E323" t="e">
        <f t="shared" si="1091"/>
        <v>#N/A</v>
      </c>
      <c r="F323" t="e">
        <f t="shared" si="1092"/>
        <v>#N/A</v>
      </c>
      <c r="G323" t="e">
        <f t="shared" si="1093"/>
        <v>#N/A</v>
      </c>
      <c r="H323" t="e">
        <f t="shared" si="1094"/>
        <v>#N/A</v>
      </c>
      <c r="I323" t="e">
        <f t="shared" si="1095"/>
        <v>#N/A</v>
      </c>
      <c r="J323" s="974">
        <v>149.19999999999999</v>
      </c>
      <c r="Q323" s="139"/>
      <c r="R323" s="973"/>
      <c r="V323" s="975"/>
      <c r="W323" s="199"/>
      <c r="X323" s="199"/>
      <c r="AA323" s="82"/>
      <c r="AB323" s="75"/>
      <c r="AC323" s="75"/>
      <c r="AD323" s="166"/>
      <c r="AE323" s="75">
        <v>1.1160000000000001</v>
      </c>
      <c r="AF323" s="82">
        <v>1</v>
      </c>
      <c r="AG323" s="82">
        <v>1</v>
      </c>
      <c r="AH323" s="82">
        <v>1</v>
      </c>
      <c r="AI323" s="82">
        <v>3.0000000000109139</v>
      </c>
      <c r="AJ323" s="166">
        <v>1.1161300000000001</v>
      </c>
      <c r="AK323" s="82" t="str">
        <v>Base</v>
      </c>
      <c r="AL323" s="162">
        <v>0</v>
      </c>
      <c r="AM323" s="162">
        <v>-3.5972860989004318</v>
      </c>
      <c r="AN323" s="162">
        <v>-1.7035096987267848</v>
      </c>
      <c r="AO323" s="162">
        <v>74.875344501659086</v>
      </c>
      <c r="AP323" s="162">
        <v>-20.255608840893711</v>
      </c>
      <c r="AQ323" s="162">
        <v>0</v>
      </c>
      <c r="AR323" s="710" t="str">
        <v>1613 Ripper.par</v>
      </c>
      <c r="AV323" s="82" t="str">
        <v>255,127,0</v>
      </c>
      <c r="AW323" s="947">
        <v>78.400000000000006</v>
      </c>
      <c r="AX323" s="947">
        <v>74.875344501659086</v>
      </c>
      <c r="AY323" s="947">
        <v>0</v>
      </c>
    </row>
    <row r="324" spans="4:51" x14ac:dyDescent="0.25">
      <c r="D324" s="164">
        <v>2.1339999999999999</v>
      </c>
      <c r="E324" t="e">
        <f t="shared" si="1091"/>
        <v>#N/A</v>
      </c>
      <c r="F324" t="e">
        <f t="shared" si="1092"/>
        <v>#N/A</v>
      </c>
      <c r="G324" t="e">
        <f t="shared" si="1093"/>
        <v>#N/A</v>
      </c>
      <c r="H324" t="e">
        <f t="shared" si="1094"/>
        <v>#N/A</v>
      </c>
      <c r="I324" t="e">
        <f t="shared" si="1095"/>
        <v>#N/A</v>
      </c>
      <c r="J324" s="974">
        <v>168</v>
      </c>
      <c r="Q324" s="139"/>
      <c r="R324" s="973"/>
      <c r="V324" s="975"/>
      <c r="W324" s="199"/>
      <c r="X324" s="199"/>
      <c r="AA324" s="82"/>
      <c r="AB324" s="75"/>
      <c r="AC324" s="75"/>
      <c r="AD324" s="166"/>
      <c r="AE324" s="75">
        <v>1.113</v>
      </c>
      <c r="AF324" s="82">
        <v>1</v>
      </c>
      <c r="AG324" s="82">
        <v>1</v>
      </c>
      <c r="AH324" s="82">
        <v>1</v>
      </c>
      <c r="AI324" s="82">
        <v>2.999999999992724</v>
      </c>
      <c r="AJ324" s="166">
        <v>1.11313</v>
      </c>
      <c r="AK324" s="82" t="str">
        <v>Base</v>
      </c>
      <c r="AL324" s="162">
        <v>0</v>
      </c>
      <c r="AM324" s="162">
        <v>-3.2326774847419726</v>
      </c>
      <c r="AN324" s="162">
        <v>-1.0337074091528533</v>
      </c>
      <c r="AO324" s="162">
        <v>53.146616424137278</v>
      </c>
      <c r="AP324" s="162">
        <v>-15.741663259343115</v>
      </c>
      <c r="AQ324" s="162">
        <v>0</v>
      </c>
      <c r="AR324" s="710" t="str">
        <v>1613.par</v>
      </c>
      <c r="AV324" s="82" t="str">
        <v>255,127,0</v>
      </c>
      <c r="AW324" s="947">
        <v>45.3</v>
      </c>
      <c r="AX324" s="947">
        <v>53.146616424137278</v>
      </c>
      <c r="AY324" s="947">
        <v>0</v>
      </c>
    </row>
    <row r="325" spans="4:51" x14ac:dyDescent="0.25">
      <c r="D325" s="164">
        <v>2.14</v>
      </c>
      <c r="E325" t="e">
        <f t="shared" si="1091"/>
        <v>#N/A</v>
      </c>
      <c r="F325" t="e">
        <f t="shared" si="1092"/>
        <v>#N/A</v>
      </c>
      <c r="G325" t="e">
        <f t="shared" si="1093"/>
        <v>#N/A</v>
      </c>
      <c r="H325" t="e">
        <f t="shared" si="1094"/>
        <v>#N/A</v>
      </c>
      <c r="I325" t="e">
        <f t="shared" si="1095"/>
        <v>#N/A</v>
      </c>
      <c r="J325" s="974">
        <v>175</v>
      </c>
      <c r="Q325" s="139"/>
      <c r="R325" s="973"/>
      <c r="V325" s="975"/>
      <c r="W325" s="199"/>
      <c r="X325" s="199"/>
      <c r="AA325" s="82"/>
      <c r="AB325" s="75"/>
      <c r="AC325" s="75"/>
      <c r="AD325" s="166"/>
      <c r="AE325" s="75">
        <v>1.1100000000000001</v>
      </c>
      <c r="AF325" s="82">
        <v>1</v>
      </c>
      <c r="AG325" s="82">
        <v>1</v>
      </c>
      <c r="AH325" s="82">
        <v>1</v>
      </c>
      <c r="AI325" s="82">
        <v>3.0000000000109139</v>
      </c>
      <c r="AJ325" s="166">
        <v>1.1101300000000001</v>
      </c>
      <c r="AK325" s="82" t="str">
        <v>Base</v>
      </c>
      <c r="AL325" s="162">
        <v>0</v>
      </c>
      <c r="AM325" s="162">
        <v>-2.5504879830868261</v>
      </c>
      <c r="AN325" s="162">
        <v>-0.66814898345603047</v>
      </c>
      <c r="AO325" s="162">
        <v>22.868586026272361</v>
      </c>
      <c r="AP325" s="162">
        <v>-15.504428125270795</v>
      </c>
      <c r="AQ325" s="162">
        <v>0</v>
      </c>
      <c r="AR325" s="710" t="str">
        <v>1613 Ripper.par</v>
      </c>
      <c r="AV325" s="82" t="str">
        <v>255,127,0</v>
      </c>
      <c r="AW325" s="947">
        <v>11.6</v>
      </c>
      <c r="AX325" s="947">
        <v>22.868586026272361</v>
      </c>
      <c r="AY325" s="947">
        <v>0</v>
      </c>
    </row>
    <row r="326" spans="4:51" x14ac:dyDescent="0.25">
      <c r="D326" s="164">
        <v>2.1459999999999999</v>
      </c>
      <c r="E326" t="e">
        <f t="shared" si="1091"/>
        <v>#N/A</v>
      </c>
      <c r="F326" t="e">
        <f t="shared" si="1092"/>
        <v>#N/A</v>
      </c>
      <c r="G326" t="e">
        <f t="shared" si="1093"/>
        <v>#N/A</v>
      </c>
      <c r="H326" t="e">
        <f t="shared" si="1094"/>
        <v>#N/A</v>
      </c>
      <c r="I326" t="e">
        <f t="shared" si="1095"/>
        <v>#N/A</v>
      </c>
      <c r="J326" s="974">
        <v>175</v>
      </c>
      <c r="Q326" s="139"/>
      <c r="R326" s="973"/>
      <c r="V326" s="975"/>
      <c r="W326" s="199"/>
      <c r="X326" s="199"/>
      <c r="AA326" s="82"/>
      <c r="AB326" s="75"/>
      <c r="AC326" s="75"/>
      <c r="AD326" s="166"/>
      <c r="AE326" s="75">
        <v>1.107</v>
      </c>
      <c r="AF326" s="82">
        <v>1</v>
      </c>
      <c r="AG326" s="82">
        <v>1</v>
      </c>
      <c r="AH326" s="82">
        <v>1</v>
      </c>
      <c r="AI326" s="82">
        <v>2.999999999992724</v>
      </c>
      <c r="AJ326" s="166">
        <v>1.1071299999999999</v>
      </c>
      <c r="AK326" s="82" t="str">
        <v>Base</v>
      </c>
      <c r="AL326" s="162">
        <v>0</v>
      </c>
      <c r="AM326" s="162">
        <v>-1.7830273816505595</v>
      </c>
      <c r="AN326" s="162">
        <v>-0.72710202070351415</v>
      </c>
      <c r="AO326" s="162">
        <v>1.1848746270094432</v>
      </c>
      <c r="AP326" s="162">
        <v>-15.003283411783807</v>
      </c>
      <c r="AQ326" s="162">
        <v>0</v>
      </c>
      <c r="AR326" s="710" t="str">
        <v>1613 Ripper.par</v>
      </c>
      <c r="AV326" s="82" t="str">
        <v>255,127,0</v>
      </c>
      <c r="AW326" s="947">
        <v>-15</v>
      </c>
      <c r="AX326" s="947">
        <v>1.1848746270094432</v>
      </c>
      <c r="AY326" s="947">
        <v>0</v>
      </c>
    </row>
    <row r="327" spans="4:51" x14ac:dyDescent="0.25">
      <c r="D327" s="164">
        <v>3.1019999999999999</v>
      </c>
      <c r="E327" t="e">
        <f t="shared" si="1091"/>
        <v>#N/A</v>
      </c>
      <c r="F327" t="e">
        <f t="shared" si="1092"/>
        <v>#N/A</v>
      </c>
      <c r="G327" t="e">
        <f t="shared" si="1093"/>
        <v>#N/A</v>
      </c>
      <c r="H327" t="e">
        <f t="shared" si="1094"/>
        <v>#N/A</v>
      </c>
      <c r="I327" t="e">
        <f t="shared" si="1095"/>
        <v>#N/A</v>
      </c>
      <c r="J327" s="974">
        <v>70</v>
      </c>
      <c r="Q327" s="139"/>
      <c r="R327" s="973"/>
      <c r="V327" s="975"/>
      <c r="W327" s="199"/>
      <c r="X327" s="199"/>
      <c r="AA327" s="82"/>
      <c r="AB327" s="75"/>
      <c r="AC327" s="75"/>
      <c r="AD327" s="166"/>
      <c r="AE327" s="75">
        <v>1.1040000000000001</v>
      </c>
      <c r="AF327" s="82">
        <v>1</v>
      </c>
      <c r="AG327" s="82">
        <v>1</v>
      </c>
      <c r="AH327" s="82">
        <v>1</v>
      </c>
      <c r="AI327" s="82">
        <v>3.0000000000109139</v>
      </c>
      <c r="AJ327" s="166">
        <v>1.1041300000000001</v>
      </c>
      <c r="AK327" s="82" t="str">
        <v>Base</v>
      </c>
      <c r="AL327" s="162">
        <v>0</v>
      </c>
      <c r="AM327" s="162">
        <v>-1.0300473987713625</v>
      </c>
      <c r="AN327" s="162">
        <v>-0.92906322003751562</v>
      </c>
      <c r="AO327" s="162">
        <v>2.0504522511231897</v>
      </c>
      <c r="AP327" s="162">
        <v>-15.00983650799305</v>
      </c>
      <c r="AQ327" s="162">
        <v>0</v>
      </c>
      <c r="AR327" s="710" t="str">
        <v>1613.par</v>
      </c>
      <c r="AV327" s="82" t="str">
        <v>255,127,0</v>
      </c>
      <c r="AW327" s="947">
        <v>-15</v>
      </c>
      <c r="AX327" s="947">
        <v>2.0504522511231897</v>
      </c>
      <c r="AY327" s="947">
        <v>0</v>
      </c>
    </row>
    <row r="328" spans="4:51" x14ac:dyDescent="0.25">
      <c r="D328" s="164">
        <v>3.105</v>
      </c>
      <c r="E328" t="e">
        <f t="shared" si="1091"/>
        <v>#N/A</v>
      </c>
      <c r="F328" t="e">
        <f t="shared" si="1092"/>
        <v>#N/A</v>
      </c>
      <c r="G328" t="e">
        <f t="shared" si="1093"/>
        <v>#N/A</v>
      </c>
      <c r="H328" t="e">
        <f t="shared" si="1094"/>
        <v>#N/A</v>
      </c>
      <c r="I328" t="e">
        <f t="shared" si="1095"/>
        <v>#N/A</v>
      </c>
      <c r="J328" s="974">
        <v>70</v>
      </c>
      <c r="Q328" s="139"/>
      <c r="R328" s="973"/>
      <c r="V328" s="975"/>
      <c r="W328" s="199"/>
      <c r="X328" s="199"/>
      <c r="AA328" s="82"/>
      <c r="AB328" s="75"/>
      <c r="AC328" s="75"/>
      <c r="AD328" s="166"/>
      <c r="AE328" s="75">
        <v>1.101</v>
      </c>
      <c r="AF328" s="82">
        <v>1</v>
      </c>
      <c r="AG328" s="82">
        <v>1</v>
      </c>
      <c r="AH328" s="82">
        <v>1</v>
      </c>
      <c r="AI328" s="82">
        <v>2.999999999992724</v>
      </c>
      <c r="AJ328" s="166">
        <v>1.1011299999999999</v>
      </c>
      <c r="AK328" s="82" t="str">
        <v>Base</v>
      </c>
      <c r="AL328" s="162">
        <v>0</v>
      </c>
      <c r="AM328" s="162">
        <v>-0.30038456522755386</v>
      </c>
      <c r="AN328" s="162">
        <v>-1.077867358989087</v>
      </c>
      <c r="AO328" s="162">
        <v>5.2170745382373731</v>
      </c>
      <c r="AP328" s="162">
        <v>-21.091519790015408</v>
      </c>
      <c r="AQ328" s="162">
        <v>0</v>
      </c>
      <c r="AR328" s="710" t="str">
        <v>1313.par</v>
      </c>
      <c r="AV328" s="82" t="str">
        <v>255,127,0</v>
      </c>
      <c r="AW328" s="947">
        <v>-15</v>
      </c>
      <c r="AX328" s="947">
        <v>5.2170745382373731</v>
      </c>
      <c r="AY328" s="947">
        <v>0</v>
      </c>
    </row>
    <row r="329" spans="4:51" x14ac:dyDescent="0.25">
      <c r="D329" s="164">
        <v>3.1080000000000001</v>
      </c>
      <c r="E329" t="e">
        <f t="shared" si="1091"/>
        <v>#N/A</v>
      </c>
      <c r="F329" t="e">
        <f t="shared" si="1092"/>
        <v>#N/A</v>
      </c>
      <c r="G329" t="e">
        <f t="shared" si="1093"/>
        <v>#N/A</v>
      </c>
      <c r="H329" t="e">
        <f t="shared" si="1094"/>
        <v>#N/A</v>
      </c>
      <c r="I329" t="e">
        <f t="shared" si="1095"/>
        <v>#N/A</v>
      </c>
      <c r="J329" s="974">
        <v>82.9</v>
      </c>
      <c r="AA329" s="82"/>
      <c r="AB329" s="75"/>
      <c r="AC329" s="75"/>
      <c r="AD329" s="166"/>
      <c r="AE329" s="75">
        <v>6.1180000000000003</v>
      </c>
      <c r="AF329" s="82">
        <v>6</v>
      </c>
      <c r="AG329" s="82">
        <v>1</v>
      </c>
      <c r="AH329" s="82">
        <v>2</v>
      </c>
      <c r="AI329" s="82">
        <v>3.0000000000291038</v>
      </c>
      <c r="AJ329" s="166">
        <v>6.1182300000000005</v>
      </c>
      <c r="AK329" s="82">
        <v>6.1181300000000007</v>
      </c>
      <c r="AL329" s="162">
        <v>0</v>
      </c>
      <c r="AM329" s="162">
        <v>0</v>
      </c>
      <c r="AN329" s="162">
        <v>0</v>
      </c>
      <c r="AO329" s="162">
        <v>2.1725293080598931</v>
      </c>
      <c r="AP329" s="162">
        <v>0</v>
      </c>
      <c r="AQ329" s="162">
        <v>0</v>
      </c>
      <c r="AR329" s="710" t="str">
        <v>1313.par</v>
      </c>
      <c r="AV329" s="82" t="str">
        <v>127,0,255</v>
      </c>
      <c r="AW329" s="947">
        <v>85</v>
      </c>
      <c r="AX329" s="947">
        <v>82.827470691940107</v>
      </c>
      <c r="AY329" s="947">
        <v>2.1725293080598931</v>
      </c>
    </row>
    <row r="330" spans="4:51" x14ac:dyDescent="0.25">
      <c r="D330" s="164">
        <v>3.113</v>
      </c>
      <c r="E330" t="e">
        <f t="shared" si="1091"/>
        <v>#N/A</v>
      </c>
      <c r="F330" t="e">
        <f t="shared" si="1092"/>
        <v>#N/A</v>
      </c>
      <c r="G330" t="e">
        <f t="shared" si="1093"/>
        <v>#N/A</v>
      </c>
      <c r="H330" t="e">
        <f t="shared" si="1094"/>
        <v>#N/A</v>
      </c>
      <c r="I330" t="e">
        <f t="shared" si="1095"/>
        <v>#N/A</v>
      </c>
      <c r="J330" s="974">
        <v>101.6</v>
      </c>
      <c r="AA330" s="82"/>
      <c r="AB330" s="75"/>
      <c r="AC330" s="75"/>
      <c r="AD330" s="166"/>
      <c r="AE330" s="75">
        <v>6.1150000000000002</v>
      </c>
      <c r="AF330" s="82">
        <v>6</v>
      </c>
      <c r="AG330" s="82">
        <v>1</v>
      </c>
      <c r="AH330" s="82">
        <v>2</v>
      </c>
      <c r="AI330" s="82">
        <v>3.0000000000291038</v>
      </c>
      <c r="AJ330" s="166">
        <v>6.1152300000000004</v>
      </c>
      <c r="AK330" s="82">
        <v>6.1151300000000006</v>
      </c>
      <c r="AL330" s="162">
        <v>0</v>
      </c>
      <c r="AM330" s="162">
        <v>0</v>
      </c>
      <c r="AN330" s="162">
        <v>0</v>
      </c>
      <c r="AO330" s="162">
        <v>1.4596133240018219</v>
      </c>
      <c r="AP330" s="162">
        <v>0</v>
      </c>
      <c r="AQ330" s="162">
        <v>0</v>
      </c>
      <c r="AR330" s="710" t="str">
        <v>1613 Ripper.par</v>
      </c>
      <c r="AV330" s="82" t="str">
        <v>127,0,255</v>
      </c>
      <c r="AW330" s="947">
        <v>67.400000000000006</v>
      </c>
      <c r="AX330" s="947">
        <v>65.940386675998184</v>
      </c>
      <c r="AY330" s="947">
        <v>1.4596133240018219</v>
      </c>
    </row>
    <row r="331" spans="4:51" x14ac:dyDescent="0.25">
      <c r="D331" s="164">
        <v>3.1190000000000002</v>
      </c>
      <c r="E331" t="e">
        <f t="shared" si="1091"/>
        <v>#N/A</v>
      </c>
      <c r="F331" t="e">
        <f t="shared" si="1092"/>
        <v>#N/A</v>
      </c>
      <c r="G331" t="e">
        <f t="shared" si="1093"/>
        <v>#N/A</v>
      </c>
      <c r="H331" t="e">
        <f t="shared" si="1094"/>
        <v>#N/A</v>
      </c>
      <c r="I331" t="e">
        <f t="shared" si="1095"/>
        <v>#N/A</v>
      </c>
      <c r="J331" s="974">
        <v>120.7</v>
      </c>
      <c r="AA331" s="82"/>
      <c r="AB331" s="75"/>
      <c r="AC331" s="75"/>
      <c r="AD331" s="166"/>
      <c r="AE331" s="75">
        <v>6.1120000000000001</v>
      </c>
      <c r="AF331" s="82">
        <v>6</v>
      </c>
      <c r="AG331" s="82">
        <v>1</v>
      </c>
      <c r="AH331" s="82">
        <v>2</v>
      </c>
      <c r="AI331" s="82">
        <v>3.0000000000291038</v>
      </c>
      <c r="AJ331" s="166">
        <v>6.1122300000000003</v>
      </c>
      <c r="AK331" s="82">
        <v>6.1121300000000005</v>
      </c>
      <c r="AL331" s="162">
        <v>0</v>
      </c>
      <c r="AM331" s="162">
        <v>0</v>
      </c>
      <c r="AN331" s="162">
        <v>0</v>
      </c>
      <c r="AO331" s="162">
        <v>-10.066384694641641</v>
      </c>
      <c r="AP331" s="162">
        <v>0</v>
      </c>
      <c r="AQ331" s="162">
        <v>0</v>
      </c>
      <c r="AR331" s="710" t="str">
        <v>1613.par</v>
      </c>
      <c r="AV331" s="82" t="str">
        <v>127,0,255</v>
      </c>
      <c r="AW331" s="947">
        <v>34.1</v>
      </c>
      <c r="AX331" s="947">
        <v>44.166384694641643</v>
      </c>
      <c r="AY331" s="947">
        <v>-10.066384694641641</v>
      </c>
    </row>
    <row r="332" spans="4:51" x14ac:dyDescent="0.25">
      <c r="D332" s="164">
        <v>3.125</v>
      </c>
      <c r="E332" t="e">
        <f t="shared" si="1091"/>
        <v>#N/A</v>
      </c>
      <c r="F332" t="e">
        <f t="shared" si="1092"/>
        <v>#N/A</v>
      </c>
      <c r="G332" t="e">
        <f t="shared" si="1093"/>
        <v>#N/A</v>
      </c>
      <c r="H332" t="e">
        <f t="shared" si="1094"/>
        <v>#N/A</v>
      </c>
      <c r="I332" t="e">
        <f t="shared" si="1095"/>
        <v>#N/A</v>
      </c>
      <c r="J332" s="974">
        <v>139.80000000000001</v>
      </c>
      <c r="AA332" s="82"/>
      <c r="AB332" s="75"/>
      <c r="AC332" s="75"/>
      <c r="AD332" s="166"/>
      <c r="AE332" s="75">
        <v>6.109</v>
      </c>
      <c r="AF332" s="82">
        <v>6</v>
      </c>
      <c r="AG332" s="82">
        <v>1</v>
      </c>
      <c r="AH332" s="82">
        <v>2</v>
      </c>
      <c r="AI332" s="82">
        <v>3.0000000000291038</v>
      </c>
      <c r="AJ332" s="166">
        <v>6.1092300000000002</v>
      </c>
      <c r="AK332" s="82">
        <v>6.1091300000000004</v>
      </c>
      <c r="AL332" s="162">
        <v>0</v>
      </c>
      <c r="AM332" s="162">
        <v>0</v>
      </c>
      <c r="AN332" s="162">
        <v>0</v>
      </c>
      <c r="AO332" s="162">
        <v>-12.622553303993035</v>
      </c>
      <c r="AP332" s="162">
        <v>0</v>
      </c>
      <c r="AQ332" s="162">
        <v>0</v>
      </c>
      <c r="AR332" s="710" t="str">
        <v>1613 Ripper.par</v>
      </c>
      <c r="AV332" s="82" t="str">
        <v>127,0,255</v>
      </c>
      <c r="AW332" s="947">
        <v>-0.4</v>
      </c>
      <c r="AX332" s="947">
        <v>12.222553303993035</v>
      </c>
      <c r="AY332" s="947">
        <v>-12.622553303993035</v>
      </c>
    </row>
    <row r="333" spans="4:51" x14ac:dyDescent="0.25">
      <c r="D333" s="164">
        <v>3.1309999999999998</v>
      </c>
      <c r="E333" t="e">
        <f t="shared" si="1091"/>
        <v>#N/A</v>
      </c>
      <c r="F333" t="e">
        <f t="shared" si="1092"/>
        <v>#N/A</v>
      </c>
      <c r="G333" t="e">
        <f t="shared" si="1093"/>
        <v>#N/A</v>
      </c>
      <c r="H333" t="e">
        <f t="shared" si="1094"/>
        <v>#N/A</v>
      </c>
      <c r="I333" t="e">
        <f t="shared" si="1095"/>
        <v>#N/A</v>
      </c>
      <c r="J333" s="974">
        <v>158.69999999999999</v>
      </c>
      <c r="AA333" s="82"/>
      <c r="AB333" s="75"/>
      <c r="AC333" s="75"/>
      <c r="AD333" s="166"/>
      <c r="AE333" s="75">
        <v>5.12</v>
      </c>
      <c r="AF333" s="82">
        <v>5</v>
      </c>
      <c r="AG333" s="82">
        <v>1</v>
      </c>
      <c r="AH333" s="82">
        <v>2</v>
      </c>
      <c r="AI333" s="82">
        <v>3.0000000000291038</v>
      </c>
      <c r="AJ333" s="166">
        <v>5.1202300000000003</v>
      </c>
      <c r="AK333" s="82">
        <v>5.1201300000000005</v>
      </c>
      <c r="AL333" s="162">
        <v>0</v>
      </c>
      <c r="AM333" s="162">
        <v>0</v>
      </c>
      <c r="AN333" s="162">
        <v>0</v>
      </c>
      <c r="AO333" s="162">
        <v>2.1725566576071316</v>
      </c>
      <c r="AP333" s="162">
        <v>0</v>
      </c>
      <c r="AQ333" s="162">
        <v>0</v>
      </c>
      <c r="AR333" s="710" t="str">
        <v>1313.par</v>
      </c>
      <c r="AV333" s="82" t="str">
        <v>0,102,204</v>
      </c>
      <c r="AW333" s="947">
        <v>85</v>
      </c>
      <c r="AX333" s="947">
        <v>82.827443342392868</v>
      </c>
      <c r="AY333" s="947">
        <v>2.1725566576071316</v>
      </c>
    </row>
    <row r="334" spans="4:51" x14ac:dyDescent="0.25">
      <c r="D334" s="164">
        <v>3.137</v>
      </c>
      <c r="E334" t="e">
        <f t="shared" si="1091"/>
        <v>#N/A</v>
      </c>
      <c r="F334" t="e">
        <f t="shared" si="1092"/>
        <v>#N/A</v>
      </c>
      <c r="G334" t="e">
        <f t="shared" si="1093"/>
        <v>#N/A</v>
      </c>
      <c r="H334" t="e">
        <f t="shared" si="1094"/>
        <v>#N/A</v>
      </c>
      <c r="I334" t="e">
        <f t="shared" si="1095"/>
        <v>#N/A</v>
      </c>
      <c r="J334" s="974">
        <v>175</v>
      </c>
      <c r="AA334" s="82"/>
      <c r="AB334" s="75"/>
      <c r="AC334" s="75"/>
      <c r="AD334" s="166"/>
      <c r="AE334" s="75">
        <v>5.117</v>
      </c>
      <c r="AF334" s="82">
        <v>5</v>
      </c>
      <c r="AG334" s="82">
        <v>1</v>
      </c>
      <c r="AH334" s="82">
        <v>2</v>
      </c>
      <c r="AI334" s="82">
        <v>3.0000000000291038</v>
      </c>
      <c r="AJ334" s="166">
        <v>5.1172300000000002</v>
      </c>
      <c r="AK334" s="82">
        <v>5.1171300000000004</v>
      </c>
      <c r="AL334" s="162">
        <v>0</v>
      </c>
      <c r="AM334" s="162">
        <v>0</v>
      </c>
      <c r="AN334" s="162">
        <v>0</v>
      </c>
      <c r="AO334" s="162">
        <v>2.2172165931236947</v>
      </c>
      <c r="AP334" s="162">
        <v>0</v>
      </c>
      <c r="AQ334" s="162">
        <v>0</v>
      </c>
      <c r="AR334" s="710" t="str">
        <v>1613.par</v>
      </c>
      <c r="AV334" s="82" t="str">
        <v>0,102,204</v>
      </c>
      <c r="AW334" s="947">
        <v>85</v>
      </c>
      <c r="AX334" s="947">
        <v>82.782783406876305</v>
      </c>
      <c r="AY334" s="947">
        <v>2.2172165931236947</v>
      </c>
    </row>
    <row r="335" spans="4:51" x14ac:dyDescent="0.25">
      <c r="D335" s="164">
        <v>3.1429999999999998</v>
      </c>
      <c r="E335" t="e">
        <f t="shared" si="1091"/>
        <v>#N/A</v>
      </c>
      <c r="F335" t="e">
        <f t="shared" si="1092"/>
        <v>#N/A</v>
      </c>
      <c r="G335" t="e">
        <f t="shared" si="1093"/>
        <v>#N/A</v>
      </c>
      <c r="H335" t="e">
        <f t="shared" si="1094"/>
        <v>#N/A</v>
      </c>
      <c r="I335" t="e">
        <f t="shared" si="1095"/>
        <v>#N/A</v>
      </c>
      <c r="J335" s="974">
        <v>175</v>
      </c>
      <c r="AA335" s="82"/>
      <c r="AB335" s="75"/>
      <c r="AC335" s="75"/>
      <c r="AD335" s="166"/>
      <c r="AE335" s="75">
        <v>5.1139999999999999</v>
      </c>
      <c r="AF335" s="82">
        <v>5</v>
      </c>
      <c r="AG335" s="82">
        <v>1</v>
      </c>
      <c r="AH335" s="82">
        <v>2</v>
      </c>
      <c r="AI335" s="82">
        <v>3.0000000000291038</v>
      </c>
      <c r="AJ335" s="166">
        <v>5.1142300000000001</v>
      </c>
      <c r="AK335" s="82">
        <v>5.1141300000000003</v>
      </c>
      <c r="AL335" s="162">
        <v>0</v>
      </c>
      <c r="AM335" s="162">
        <v>0</v>
      </c>
      <c r="AN335" s="162">
        <v>0</v>
      </c>
      <c r="AO335" s="162">
        <v>-6.529843987714834</v>
      </c>
      <c r="AP335" s="162">
        <v>0</v>
      </c>
      <c r="AQ335" s="162">
        <v>0</v>
      </c>
      <c r="AR335" s="710" t="str">
        <v>1613 Ripper.par</v>
      </c>
      <c r="AV335" s="82" t="str">
        <v>0,102,204</v>
      </c>
      <c r="AW335" s="947">
        <v>56.3</v>
      </c>
      <c r="AX335" s="947">
        <v>62.829843987714831</v>
      </c>
      <c r="AY335" s="947">
        <v>-6.529843987714834</v>
      </c>
    </row>
    <row r="336" spans="4:51" x14ac:dyDescent="0.25">
      <c r="D336" s="164">
        <v>4.1120000000000001</v>
      </c>
      <c r="E336" t="e">
        <f t="shared" si="1091"/>
        <v>#N/A</v>
      </c>
      <c r="F336" t="e">
        <f t="shared" si="1092"/>
        <v>#N/A</v>
      </c>
      <c r="G336" t="e">
        <f t="shared" si="1093"/>
        <v>#N/A</v>
      </c>
      <c r="H336" t="e">
        <f t="shared" si="1094"/>
        <v>#N/A</v>
      </c>
      <c r="I336" t="e">
        <f t="shared" si="1095"/>
        <v>#N/A</v>
      </c>
      <c r="J336" s="974">
        <v>98.5</v>
      </c>
      <c r="AA336" s="82"/>
      <c r="AB336" s="75"/>
      <c r="AC336" s="75"/>
      <c r="AD336" s="166"/>
      <c r="AE336" s="75">
        <v>5.1109999999999998</v>
      </c>
      <c r="AF336" s="82">
        <v>5</v>
      </c>
      <c r="AG336" s="82">
        <v>1</v>
      </c>
      <c r="AH336" s="82">
        <v>2</v>
      </c>
      <c r="AI336" s="82">
        <v>3.0000000000291038</v>
      </c>
      <c r="AJ336" s="166">
        <v>5.1112299999999999</v>
      </c>
      <c r="AK336" s="82">
        <v>5.1111300000000002</v>
      </c>
      <c r="AL336" s="162">
        <v>0</v>
      </c>
      <c r="AM336" s="162">
        <v>0</v>
      </c>
      <c r="AN336" s="162">
        <v>0</v>
      </c>
      <c r="AO336" s="162">
        <v>-10.242046168720929</v>
      </c>
      <c r="AP336" s="162">
        <v>0</v>
      </c>
      <c r="AQ336" s="162">
        <v>0</v>
      </c>
      <c r="AR336" s="710" t="str">
        <v>1613 Ripper.par</v>
      </c>
      <c r="AV336" s="82" t="str">
        <v>0,102,204</v>
      </c>
      <c r="AW336" s="947">
        <v>22.8</v>
      </c>
      <c r="AX336" s="947">
        <v>33.04204616872093</v>
      </c>
      <c r="AY336" s="947">
        <v>-10.242046168720929</v>
      </c>
    </row>
    <row r="337" spans="4:51" x14ac:dyDescent="0.25">
      <c r="D337" s="164">
        <v>4.1180000000000003</v>
      </c>
      <c r="E337" t="e">
        <f t="shared" si="1091"/>
        <v>#N/A</v>
      </c>
      <c r="F337" t="e">
        <f t="shared" si="1092"/>
        <v>#N/A</v>
      </c>
      <c r="G337" t="e">
        <f t="shared" si="1093"/>
        <v>#N/A</v>
      </c>
      <c r="H337" t="e">
        <f t="shared" si="1094"/>
        <v>#N/A</v>
      </c>
      <c r="I337" t="e">
        <f t="shared" si="1095"/>
        <v>#N/A</v>
      </c>
      <c r="J337" s="974">
        <v>117.5</v>
      </c>
      <c r="AA337" s="82"/>
      <c r="AB337" s="75"/>
      <c r="AC337" s="75"/>
      <c r="AD337" s="166"/>
      <c r="AE337" s="75">
        <v>5.1079999999999997</v>
      </c>
      <c r="AF337" s="82">
        <v>5</v>
      </c>
      <c r="AG337" s="82">
        <v>1</v>
      </c>
      <c r="AH337" s="82">
        <v>2</v>
      </c>
      <c r="AI337" s="82">
        <v>2.9999999999563443</v>
      </c>
      <c r="AJ337" s="166">
        <v>5.1082299999999998</v>
      </c>
      <c r="AK337" s="82">
        <v>5.1081300000000001</v>
      </c>
      <c r="AL337" s="162">
        <v>0</v>
      </c>
      <c r="AM337" s="162">
        <v>0</v>
      </c>
      <c r="AN337" s="162">
        <v>0</v>
      </c>
      <c r="AO337" s="162">
        <v>-11.740648681122845</v>
      </c>
      <c r="AP337" s="162">
        <v>0</v>
      </c>
      <c r="AQ337" s="162">
        <v>0</v>
      </c>
      <c r="AR337" s="710" t="str">
        <v>1613 Ripper.par</v>
      </c>
      <c r="AV337" s="82" t="str">
        <v>0,102,204</v>
      </c>
      <c r="AW337" s="947">
        <v>-10.7</v>
      </c>
      <c r="AX337" s="947">
        <v>1.0406486811228461</v>
      </c>
      <c r="AY337" s="947">
        <v>-11.740648681122845</v>
      </c>
    </row>
    <row r="338" spans="4:51" x14ac:dyDescent="0.25">
      <c r="D338" s="164">
        <v>4.1239999999999997</v>
      </c>
      <c r="E338" t="e">
        <f t="shared" si="1091"/>
        <v>#N/A</v>
      </c>
      <c r="F338" t="e">
        <f t="shared" si="1092"/>
        <v>#N/A</v>
      </c>
      <c r="G338" t="e">
        <f t="shared" si="1093"/>
        <v>#N/A</v>
      </c>
      <c r="H338" t="e">
        <f t="shared" si="1094"/>
        <v>#N/A</v>
      </c>
      <c r="I338" t="e">
        <f t="shared" si="1095"/>
        <v>#N/A</v>
      </c>
      <c r="J338" s="974">
        <v>136.6</v>
      </c>
      <c r="AA338" s="82"/>
      <c r="AB338" s="75"/>
      <c r="AC338" s="75"/>
      <c r="AD338" s="166"/>
      <c r="AE338" s="75">
        <v>5.1050000000000004</v>
      </c>
      <c r="AF338" s="82">
        <v>5</v>
      </c>
      <c r="AG338" s="82">
        <v>1</v>
      </c>
      <c r="AH338" s="82">
        <v>2</v>
      </c>
      <c r="AI338" s="82">
        <v>3.0000000000291038</v>
      </c>
      <c r="AJ338" s="166">
        <v>5.1052300000000006</v>
      </c>
      <c r="AK338" s="82">
        <v>5.1051300000000008</v>
      </c>
      <c r="AL338" s="162">
        <v>0</v>
      </c>
      <c r="AM338" s="162">
        <v>0</v>
      </c>
      <c r="AN338" s="162">
        <v>0</v>
      </c>
      <c r="AO338" s="162">
        <v>-16.653087129673832</v>
      </c>
      <c r="AP338" s="162">
        <v>0</v>
      </c>
      <c r="AQ338" s="162">
        <v>0</v>
      </c>
      <c r="AR338" s="710" t="str">
        <v>1613 Ripper.par</v>
      </c>
      <c r="AV338" s="82" t="str">
        <v>0,102,204</v>
      </c>
      <c r="AW338" s="947">
        <v>-15</v>
      </c>
      <c r="AX338" s="947">
        <v>1.6530871296738316</v>
      </c>
      <c r="AY338" s="947">
        <v>-16.653087129673832</v>
      </c>
    </row>
    <row r="339" spans="4:51" x14ac:dyDescent="0.25">
      <c r="D339" s="164">
        <v>4.13</v>
      </c>
      <c r="E339" t="e">
        <f t="shared" si="1091"/>
        <v>#N/A</v>
      </c>
      <c r="F339" t="e">
        <f t="shared" si="1092"/>
        <v>#N/A</v>
      </c>
      <c r="G339" t="e">
        <f t="shared" si="1093"/>
        <v>#N/A</v>
      </c>
      <c r="H339" t="e">
        <f t="shared" si="1094"/>
        <v>#N/A</v>
      </c>
      <c r="I339" t="e">
        <f t="shared" si="1095"/>
        <v>#N/A</v>
      </c>
      <c r="J339" s="974">
        <v>155.5</v>
      </c>
      <c r="AA339" s="82"/>
      <c r="AB339" s="75"/>
      <c r="AC339" s="75"/>
      <c r="AD339" s="166"/>
      <c r="AE339" s="75">
        <v>5.1020000000000003</v>
      </c>
      <c r="AF339" s="82">
        <v>5</v>
      </c>
      <c r="AG339" s="82">
        <v>1</v>
      </c>
      <c r="AH339" s="82">
        <v>2</v>
      </c>
      <c r="AI339" s="82">
        <v>3.0000000000291038</v>
      </c>
      <c r="AJ339" s="166">
        <v>5.1022300000000005</v>
      </c>
      <c r="AK339" s="82">
        <v>5.1021300000000007</v>
      </c>
      <c r="AL339" s="162">
        <v>0</v>
      </c>
      <c r="AM339" s="162">
        <v>0</v>
      </c>
      <c r="AN339" s="162">
        <v>0</v>
      </c>
      <c r="AO339" s="162">
        <v>-18.106590912967334</v>
      </c>
      <c r="AP339" s="162">
        <v>0</v>
      </c>
      <c r="AQ339" s="162">
        <v>0</v>
      </c>
      <c r="AR339" s="710" t="str">
        <v>1613.par</v>
      </c>
      <c r="AV339" s="82" t="str">
        <v>0,102,204</v>
      </c>
      <c r="AW339" s="947">
        <v>-15</v>
      </c>
      <c r="AX339" s="947">
        <v>3.1065909129673352</v>
      </c>
      <c r="AY339" s="947">
        <v>-18.106590912967334</v>
      </c>
    </row>
    <row r="340" spans="4:51" x14ac:dyDescent="0.25">
      <c r="D340" s="164">
        <v>4.1360000000000001</v>
      </c>
      <c r="E340" t="e">
        <f t="shared" si="1091"/>
        <v>#N/A</v>
      </c>
      <c r="F340" t="e">
        <f t="shared" si="1092"/>
        <v>#N/A</v>
      </c>
      <c r="G340" t="e">
        <f t="shared" si="1093"/>
        <v>#N/A</v>
      </c>
      <c r="H340" t="e">
        <f t="shared" si="1094"/>
        <v>#N/A</v>
      </c>
      <c r="I340" t="e">
        <f t="shared" si="1095"/>
        <v>#N/A</v>
      </c>
      <c r="J340" s="974">
        <v>174.1</v>
      </c>
      <c r="AA340" s="82"/>
      <c r="AB340" s="75"/>
      <c r="AC340" s="75"/>
      <c r="AD340" s="166"/>
      <c r="AE340" s="75">
        <v>4.1189999999999998</v>
      </c>
      <c r="AF340" s="82">
        <v>4</v>
      </c>
      <c r="AG340" s="82">
        <v>1</v>
      </c>
      <c r="AH340" s="82">
        <v>2</v>
      </c>
      <c r="AI340" s="82">
        <v>3.0000000000291038</v>
      </c>
      <c r="AJ340" s="166">
        <v>4.1192299999999999</v>
      </c>
      <c r="AK340" s="82">
        <v>4.1191300000000002</v>
      </c>
      <c r="AL340" s="162">
        <v>0</v>
      </c>
      <c r="AM340" s="162">
        <v>0</v>
      </c>
      <c r="AN340" s="162">
        <v>0</v>
      </c>
      <c r="AO340" s="162">
        <v>2.1726470018021047</v>
      </c>
      <c r="AP340" s="162">
        <v>0</v>
      </c>
      <c r="AQ340" s="162">
        <v>0</v>
      </c>
      <c r="AR340" s="710" t="str">
        <v>1313.par</v>
      </c>
      <c r="AV340" s="82" t="str">
        <v>0,204,204</v>
      </c>
      <c r="AW340" s="947">
        <v>85</v>
      </c>
      <c r="AX340" s="947">
        <v>82.827352998197895</v>
      </c>
      <c r="AY340" s="947">
        <v>2.1726470018021047</v>
      </c>
    </row>
    <row r="341" spans="4:51" x14ac:dyDescent="0.25">
      <c r="D341" s="164">
        <v>4.1420000000000003</v>
      </c>
      <c r="E341" t="e">
        <f t="shared" si="1091"/>
        <v>#N/A</v>
      </c>
      <c r="F341" t="e">
        <f t="shared" si="1092"/>
        <v>#N/A</v>
      </c>
      <c r="G341" t="e">
        <f t="shared" si="1093"/>
        <v>#N/A</v>
      </c>
      <c r="H341" t="e">
        <f t="shared" si="1094"/>
        <v>#N/A</v>
      </c>
      <c r="I341" t="e">
        <f t="shared" si="1095"/>
        <v>#N/A</v>
      </c>
      <c r="J341" s="974">
        <v>175</v>
      </c>
      <c r="AA341" s="82"/>
      <c r="AB341" s="75"/>
      <c r="AC341" s="75"/>
      <c r="AD341" s="166"/>
      <c r="AE341" s="75">
        <v>4.1159999999999997</v>
      </c>
      <c r="AF341" s="82">
        <v>4</v>
      </c>
      <c r="AG341" s="82">
        <v>1</v>
      </c>
      <c r="AH341" s="82">
        <v>2</v>
      </c>
      <c r="AI341" s="82">
        <v>2.9999999999563443</v>
      </c>
      <c r="AJ341" s="166">
        <v>4.1162299999999998</v>
      </c>
      <c r="AK341" s="82">
        <v>4.1161300000000001</v>
      </c>
      <c r="AL341" s="162">
        <v>0</v>
      </c>
      <c r="AM341" s="162">
        <v>0</v>
      </c>
      <c r="AN341" s="162">
        <v>0</v>
      </c>
      <c r="AO341" s="162">
        <v>3.5246554983409055</v>
      </c>
      <c r="AP341" s="162">
        <v>0</v>
      </c>
      <c r="AQ341" s="162">
        <v>0</v>
      </c>
      <c r="AR341" s="710" t="str">
        <v>1613.par</v>
      </c>
      <c r="AV341" s="82" t="str">
        <v>0,204,204</v>
      </c>
      <c r="AW341" s="947">
        <v>78.400000000000006</v>
      </c>
      <c r="AX341" s="947">
        <v>74.8753445016591</v>
      </c>
      <c r="AY341" s="947">
        <v>3.5246554983409055</v>
      </c>
    </row>
    <row r="342" spans="4:51" x14ac:dyDescent="0.25">
      <c r="D342" s="164">
        <v>5.1029999999999998</v>
      </c>
      <c r="E342" t="e">
        <f t="shared" si="1091"/>
        <v>#N/A</v>
      </c>
      <c r="F342" t="e">
        <f t="shared" si="1092"/>
        <v>#N/A</v>
      </c>
      <c r="G342" t="e">
        <f t="shared" si="1093"/>
        <v>#N/A</v>
      </c>
      <c r="H342" t="e">
        <f t="shared" si="1094"/>
        <v>#N/A</v>
      </c>
      <c r="I342" t="e">
        <f t="shared" si="1095"/>
        <v>#N/A</v>
      </c>
      <c r="J342" s="974">
        <v>70</v>
      </c>
      <c r="AA342" s="82"/>
      <c r="AB342" s="75"/>
      <c r="AC342" s="75"/>
      <c r="AD342" s="166"/>
      <c r="AE342" s="75">
        <v>4.1130000000000004</v>
      </c>
      <c r="AF342" s="82">
        <v>4</v>
      </c>
      <c r="AG342" s="82">
        <v>1</v>
      </c>
      <c r="AH342" s="82">
        <v>2</v>
      </c>
      <c r="AI342" s="82">
        <v>3.0000000000291038</v>
      </c>
      <c r="AJ342" s="166">
        <v>4.1132300000000006</v>
      </c>
      <c r="AK342" s="82">
        <v>4.1131300000000008</v>
      </c>
      <c r="AL342" s="162">
        <v>0</v>
      </c>
      <c r="AM342" s="162">
        <v>0</v>
      </c>
      <c r="AN342" s="162">
        <v>0</v>
      </c>
      <c r="AO342" s="162">
        <v>-7.8466164241372951</v>
      </c>
      <c r="AP342" s="162">
        <v>0</v>
      </c>
      <c r="AQ342" s="162">
        <v>0</v>
      </c>
      <c r="AR342" s="710" t="str">
        <v>1613 Ripper.par</v>
      </c>
      <c r="AV342" s="82" t="str">
        <v>0,204,204</v>
      </c>
      <c r="AW342" s="947">
        <v>45.3</v>
      </c>
      <c r="AX342" s="947">
        <v>53.146616424137292</v>
      </c>
      <c r="AY342" s="947">
        <v>-7.8466164241372951</v>
      </c>
    </row>
    <row r="343" spans="4:51" x14ac:dyDescent="0.25">
      <c r="D343" s="164">
        <v>5.1059999999999999</v>
      </c>
      <c r="E343" t="e">
        <f t="shared" si="1091"/>
        <v>#N/A</v>
      </c>
      <c r="F343" t="e">
        <f t="shared" si="1092"/>
        <v>#N/A</v>
      </c>
      <c r="G343" t="e">
        <f t="shared" si="1093"/>
        <v>#N/A</v>
      </c>
      <c r="H343" t="e">
        <f t="shared" si="1094"/>
        <v>#N/A</v>
      </c>
      <c r="I343" t="e">
        <f t="shared" si="1095"/>
        <v>#N/A</v>
      </c>
      <c r="J343" s="974">
        <v>70.599999999999994</v>
      </c>
      <c r="AA343" s="82"/>
      <c r="AB343" s="75"/>
      <c r="AC343" s="75"/>
      <c r="AD343" s="166"/>
      <c r="AE343" s="75">
        <v>4.1100000000000003</v>
      </c>
      <c r="AF343" s="82">
        <v>4</v>
      </c>
      <c r="AG343" s="82">
        <v>1</v>
      </c>
      <c r="AH343" s="82">
        <v>2</v>
      </c>
      <c r="AI343" s="82">
        <v>3.0000000000291038</v>
      </c>
      <c r="AJ343" s="166">
        <v>4.1102300000000005</v>
      </c>
      <c r="AK343" s="82">
        <v>4.1101300000000007</v>
      </c>
      <c r="AL343" s="162">
        <v>0</v>
      </c>
      <c r="AM343" s="162">
        <v>0</v>
      </c>
      <c r="AN343" s="162">
        <v>0</v>
      </c>
      <c r="AO343" s="162">
        <v>-11.268586026272375</v>
      </c>
      <c r="AP343" s="162">
        <v>0</v>
      </c>
      <c r="AQ343" s="162">
        <v>0</v>
      </c>
      <c r="AR343" s="710" t="str">
        <v>1613.par</v>
      </c>
      <c r="AV343" s="82" t="str">
        <v>0,204,204</v>
      </c>
      <c r="AW343" s="947">
        <v>11.6</v>
      </c>
      <c r="AX343" s="947">
        <v>22.868586026272375</v>
      </c>
      <c r="AY343" s="947">
        <v>-11.268586026272375</v>
      </c>
    </row>
    <row r="344" spans="4:51" x14ac:dyDescent="0.25">
      <c r="D344" s="164">
        <v>5.109</v>
      </c>
      <c r="E344" t="e">
        <f t="shared" si="1091"/>
        <v>#N/A</v>
      </c>
      <c r="F344" t="e">
        <f t="shared" si="1092"/>
        <v>#N/A</v>
      </c>
      <c r="G344" t="e">
        <f t="shared" si="1093"/>
        <v>#N/A</v>
      </c>
      <c r="H344" t="e">
        <f t="shared" si="1094"/>
        <v>#N/A</v>
      </c>
      <c r="I344" t="e">
        <f t="shared" si="1095"/>
        <v>#N/A</v>
      </c>
      <c r="J344" s="974">
        <v>89</v>
      </c>
      <c r="AA344" s="82"/>
      <c r="AB344" s="75"/>
      <c r="AC344" s="75"/>
      <c r="AD344" s="166"/>
      <c r="AE344" s="75">
        <v>3.1179999999999999</v>
      </c>
      <c r="AF344" s="82">
        <v>3</v>
      </c>
      <c r="AG344" s="82">
        <v>1</v>
      </c>
      <c r="AH344" s="82">
        <v>2</v>
      </c>
      <c r="AI344" s="82">
        <v>2.999999999992724</v>
      </c>
      <c r="AJ344" s="166">
        <v>3.1182300000000001</v>
      </c>
      <c r="AK344" s="82">
        <v>3.1181299999999998</v>
      </c>
      <c r="AL344" s="162">
        <v>0</v>
      </c>
      <c r="AM344" s="162">
        <v>0</v>
      </c>
      <c r="AN344" s="162">
        <v>0</v>
      </c>
      <c r="AO344" s="162">
        <v>2.1727106536177843</v>
      </c>
      <c r="AP344" s="162">
        <v>0</v>
      </c>
      <c r="AQ344" s="162">
        <v>0</v>
      </c>
      <c r="AR344" s="710" t="str">
        <v>1313.par</v>
      </c>
      <c r="AV344" s="82" t="str">
        <v>0,204,0</v>
      </c>
      <c r="AW344" s="947">
        <v>85</v>
      </c>
      <c r="AX344" s="947">
        <v>82.827289346382216</v>
      </c>
      <c r="AY344" s="947">
        <v>2.1727106536177843</v>
      </c>
    </row>
    <row r="345" spans="4:51" x14ac:dyDescent="0.25">
      <c r="D345" s="164">
        <v>5.1150000000000002</v>
      </c>
      <c r="E345" t="e">
        <f t="shared" si="1091"/>
        <v>#N/A</v>
      </c>
      <c r="F345" t="e">
        <f t="shared" si="1092"/>
        <v>#N/A</v>
      </c>
      <c r="G345" t="e">
        <f t="shared" si="1093"/>
        <v>#N/A</v>
      </c>
      <c r="H345" t="e">
        <f t="shared" si="1094"/>
        <v>#N/A</v>
      </c>
      <c r="I345" t="e">
        <f t="shared" si="1095"/>
        <v>#N/A</v>
      </c>
      <c r="J345" s="974">
        <v>108</v>
      </c>
      <c r="AA345" s="82"/>
      <c r="AB345" s="75"/>
      <c r="AC345" s="75"/>
      <c r="AD345" s="166"/>
      <c r="AE345" s="75">
        <v>3.1150000000000002</v>
      </c>
      <c r="AF345" s="82">
        <v>3</v>
      </c>
      <c r="AG345" s="82">
        <v>1</v>
      </c>
      <c r="AH345" s="82">
        <v>2</v>
      </c>
      <c r="AI345" s="82">
        <v>3.0000000000291038</v>
      </c>
      <c r="AJ345" s="166">
        <v>3.1152300000000004</v>
      </c>
      <c r="AK345" s="82">
        <v>3.1151300000000002</v>
      </c>
      <c r="AL345" s="162">
        <v>0</v>
      </c>
      <c r="AM345" s="162">
        <v>0</v>
      </c>
      <c r="AN345" s="162">
        <v>0</v>
      </c>
      <c r="AO345" s="162">
        <v>1.4605742312702574</v>
      </c>
      <c r="AP345" s="162">
        <v>0</v>
      </c>
      <c r="AQ345" s="162">
        <v>0</v>
      </c>
      <c r="AR345" s="710" t="str">
        <v>1613.par</v>
      </c>
      <c r="AV345" s="82" t="str">
        <v>0,204,0</v>
      </c>
      <c r="AW345" s="947">
        <v>67.400000000000006</v>
      </c>
      <c r="AX345" s="947">
        <v>65.939425768729748</v>
      </c>
      <c r="AY345" s="947">
        <v>1.4605742312702574</v>
      </c>
    </row>
    <row r="346" spans="4:51" x14ac:dyDescent="0.25">
      <c r="D346" s="164">
        <v>5.1210000000000004</v>
      </c>
      <c r="E346" t="e">
        <f t="shared" si="1091"/>
        <v>#N/A</v>
      </c>
      <c r="F346" t="e">
        <f t="shared" si="1092"/>
        <v>#N/A</v>
      </c>
      <c r="G346" t="e">
        <f t="shared" si="1093"/>
        <v>#N/A</v>
      </c>
      <c r="H346" t="e">
        <f t="shared" si="1094"/>
        <v>#N/A</v>
      </c>
      <c r="I346" t="e">
        <f t="shared" si="1095"/>
        <v>#N/A</v>
      </c>
      <c r="J346" s="974">
        <v>127.1</v>
      </c>
      <c r="AA346" s="82"/>
      <c r="AB346" s="75"/>
      <c r="AC346" s="75"/>
      <c r="AD346" s="166"/>
      <c r="AE346" s="75">
        <v>3.1120000000000001</v>
      </c>
      <c r="AF346" s="82">
        <v>3</v>
      </c>
      <c r="AG346" s="82">
        <v>1</v>
      </c>
      <c r="AH346" s="82">
        <v>2</v>
      </c>
      <c r="AI346" s="82">
        <v>3.0000000000291038</v>
      </c>
      <c r="AJ346" s="166">
        <v>3.1122300000000003</v>
      </c>
      <c r="AK346" s="82">
        <v>3.1121300000000001</v>
      </c>
      <c r="AL346" s="162">
        <v>0</v>
      </c>
      <c r="AM346" s="162">
        <v>0</v>
      </c>
      <c r="AN346" s="162">
        <v>0</v>
      </c>
      <c r="AO346" s="162">
        <v>-10.063828655907123</v>
      </c>
      <c r="AP346" s="162">
        <v>0</v>
      </c>
      <c r="AQ346" s="162">
        <v>0</v>
      </c>
      <c r="AR346" s="710" t="str">
        <v>1613 Ripper.par</v>
      </c>
      <c r="AV346" s="82" t="str">
        <v>0,204,0</v>
      </c>
      <c r="AW346" s="947">
        <v>34.1</v>
      </c>
      <c r="AX346" s="947">
        <v>44.163828655907125</v>
      </c>
      <c r="AY346" s="947">
        <v>-10.063828655907123</v>
      </c>
    </row>
    <row r="347" spans="4:51" x14ac:dyDescent="0.25">
      <c r="D347" s="164">
        <v>5.1269999999999998</v>
      </c>
      <c r="E347" t="e">
        <f t="shared" si="1091"/>
        <v>#N/A</v>
      </c>
      <c r="F347" t="e">
        <f t="shared" si="1092"/>
        <v>#N/A</v>
      </c>
      <c r="G347" t="e">
        <f t="shared" si="1093"/>
        <v>#N/A</v>
      </c>
      <c r="H347" t="e">
        <f t="shared" si="1094"/>
        <v>#N/A</v>
      </c>
      <c r="I347" t="e">
        <f t="shared" si="1095"/>
        <v>#N/A</v>
      </c>
      <c r="J347" s="974">
        <v>146.1</v>
      </c>
      <c r="AA347" s="82"/>
      <c r="AB347" s="75"/>
      <c r="AC347" s="75"/>
      <c r="AD347" s="166"/>
      <c r="AE347" s="75">
        <v>3.109</v>
      </c>
      <c r="AF347" s="82">
        <v>3</v>
      </c>
      <c r="AG347" s="82">
        <v>1</v>
      </c>
      <c r="AH347" s="82">
        <v>2</v>
      </c>
      <c r="AI347" s="82">
        <v>3.0000000000291038</v>
      </c>
      <c r="AJ347" s="166">
        <v>3.1092300000000002</v>
      </c>
      <c r="AK347" s="82">
        <v>3.1091299999999999</v>
      </c>
      <c r="AL347" s="162">
        <v>0</v>
      </c>
      <c r="AM347" s="162">
        <v>0</v>
      </c>
      <c r="AN347" s="162">
        <v>0</v>
      </c>
      <c r="AO347" s="162">
        <v>-12.617901912472622</v>
      </c>
      <c r="AP347" s="162">
        <v>0</v>
      </c>
      <c r="AQ347" s="162">
        <v>0</v>
      </c>
      <c r="AR347" s="710" t="str">
        <v>1613 Ripper.par</v>
      </c>
      <c r="AV347" s="82" t="str">
        <v>0,204,0</v>
      </c>
      <c r="AW347" s="947">
        <v>-0.4</v>
      </c>
      <c r="AX347" s="947">
        <v>12.217901912472621</v>
      </c>
      <c r="AY347" s="947">
        <v>-12.617901912472622</v>
      </c>
    </row>
    <row r="348" spans="4:51" x14ac:dyDescent="0.25">
      <c r="D348" s="164">
        <v>5.133</v>
      </c>
      <c r="E348" t="e">
        <f t="shared" si="1091"/>
        <v>#N/A</v>
      </c>
      <c r="F348" t="e">
        <f t="shared" si="1092"/>
        <v>#N/A</v>
      </c>
      <c r="G348" t="e">
        <f t="shared" si="1093"/>
        <v>#N/A</v>
      </c>
      <c r="H348" t="e">
        <f t="shared" si="1094"/>
        <v>#N/A</v>
      </c>
      <c r="I348" t="e">
        <f t="shared" si="1095"/>
        <v>#N/A</v>
      </c>
      <c r="J348" s="974">
        <v>164.9</v>
      </c>
      <c r="AA348" s="82"/>
      <c r="AB348" s="75"/>
      <c r="AC348" s="75"/>
      <c r="AD348" s="166"/>
      <c r="AE348" s="75">
        <v>3.1059999999999999</v>
      </c>
      <c r="AF348" s="82">
        <v>3</v>
      </c>
      <c r="AG348" s="82">
        <v>1</v>
      </c>
      <c r="AH348" s="82">
        <v>2</v>
      </c>
      <c r="AI348" s="82">
        <v>2.999999999992724</v>
      </c>
      <c r="AJ348" s="166">
        <v>3.10623</v>
      </c>
      <c r="AK348" s="82">
        <v>3.1061299999999998</v>
      </c>
      <c r="AL348" s="162">
        <v>0</v>
      </c>
      <c r="AM348" s="162">
        <v>0</v>
      </c>
      <c r="AN348" s="162">
        <v>0</v>
      </c>
      <c r="AO348" s="162">
        <v>-16.376414704065411</v>
      </c>
      <c r="AP348" s="162">
        <v>0</v>
      </c>
      <c r="AQ348" s="162">
        <v>0</v>
      </c>
      <c r="AR348" s="710" t="str">
        <v>1613 Ripper.par</v>
      </c>
      <c r="AV348" s="82" t="str">
        <v>0,204,0</v>
      </c>
      <c r="AW348" s="947">
        <v>-15</v>
      </c>
      <c r="AX348" s="947">
        <v>1.3764147040654124</v>
      </c>
      <c r="AY348" s="947">
        <v>-16.376414704065411</v>
      </c>
    </row>
    <row r="349" spans="4:51" x14ac:dyDescent="0.25">
      <c r="D349" s="164">
        <v>5.1390000000000002</v>
      </c>
      <c r="E349" t="e">
        <f t="shared" si="1091"/>
        <v>#N/A</v>
      </c>
      <c r="F349" t="e">
        <f t="shared" si="1092"/>
        <v>#N/A</v>
      </c>
      <c r="G349" t="e">
        <f t="shared" si="1093"/>
        <v>#N/A</v>
      </c>
      <c r="H349" t="e">
        <f t="shared" si="1094"/>
        <v>#N/A</v>
      </c>
      <c r="I349" t="e">
        <f t="shared" si="1095"/>
        <v>#N/A</v>
      </c>
      <c r="J349" s="974">
        <v>175</v>
      </c>
      <c r="AA349" s="82"/>
      <c r="AB349" s="75"/>
      <c r="AC349" s="75"/>
      <c r="AD349" s="166"/>
      <c r="AE349" s="75">
        <v>3.1030000000000002</v>
      </c>
      <c r="AF349" s="82">
        <v>3</v>
      </c>
      <c r="AG349" s="82">
        <v>1</v>
      </c>
      <c r="AH349" s="82">
        <v>2</v>
      </c>
      <c r="AI349" s="82">
        <v>3.0000000000291038</v>
      </c>
      <c r="AJ349" s="166">
        <v>3.1032300000000004</v>
      </c>
      <c r="AK349" s="82">
        <v>3.1031300000000002</v>
      </c>
      <c r="AL349" s="162">
        <v>0</v>
      </c>
      <c r="AM349" s="162">
        <v>0</v>
      </c>
      <c r="AN349" s="162">
        <v>0</v>
      </c>
      <c r="AO349" s="162">
        <v>-17.381250328462578</v>
      </c>
      <c r="AP349" s="162">
        <v>0</v>
      </c>
      <c r="AQ349" s="162">
        <v>0</v>
      </c>
      <c r="AR349" s="710" t="str">
        <v>1613.par</v>
      </c>
      <c r="AV349" s="82" t="str">
        <v>0,204,0</v>
      </c>
      <c r="AW349" s="947">
        <v>-15</v>
      </c>
      <c r="AX349" s="947">
        <v>2.3812503284625786</v>
      </c>
      <c r="AY349" s="947">
        <v>-17.381250328462578</v>
      </c>
    </row>
    <row r="350" spans="4:51" x14ac:dyDescent="0.25">
      <c r="D350" s="164">
        <v>5.1449999999999996</v>
      </c>
      <c r="E350" t="e">
        <f t="shared" si="1091"/>
        <v>#N/A</v>
      </c>
      <c r="F350" t="e">
        <f t="shared" si="1092"/>
        <v>#N/A</v>
      </c>
      <c r="G350" t="e">
        <f t="shared" si="1093"/>
        <v>#N/A</v>
      </c>
      <c r="H350" t="e">
        <f t="shared" si="1094"/>
        <v>#N/A</v>
      </c>
      <c r="I350" t="e">
        <f t="shared" si="1095"/>
        <v>#N/A</v>
      </c>
      <c r="J350" s="974">
        <v>175</v>
      </c>
      <c r="AA350" s="82"/>
      <c r="AB350" s="75"/>
      <c r="AC350" s="75"/>
      <c r="AD350" s="166"/>
      <c r="AE350" s="75">
        <v>2.12</v>
      </c>
      <c r="AF350" s="82">
        <v>2</v>
      </c>
      <c r="AG350" s="82">
        <v>1</v>
      </c>
      <c r="AH350" s="82">
        <v>2</v>
      </c>
      <c r="AI350" s="82">
        <v>3.0000000000291038</v>
      </c>
      <c r="AJ350" s="166">
        <v>2.1202300000000003</v>
      </c>
      <c r="AK350" s="82">
        <v>2.1201300000000001</v>
      </c>
      <c r="AL350" s="162">
        <v>0</v>
      </c>
      <c r="AM350" s="162">
        <v>0</v>
      </c>
      <c r="AN350" s="162">
        <v>0</v>
      </c>
      <c r="AO350" s="162">
        <v>2.1725566576071458</v>
      </c>
      <c r="AP350" s="162">
        <v>0</v>
      </c>
      <c r="AQ350" s="162">
        <v>0</v>
      </c>
      <c r="AR350" s="710" t="str">
        <v>1313.par</v>
      </c>
      <c r="AV350" s="82" t="str">
        <v>204,204,0</v>
      </c>
      <c r="AW350" s="947">
        <v>85</v>
      </c>
      <c r="AX350" s="947">
        <v>82.827443342392854</v>
      </c>
      <c r="AY350" s="947">
        <v>2.1725566576071458</v>
      </c>
    </row>
    <row r="351" spans="4:51" x14ac:dyDescent="0.25">
      <c r="D351" s="164">
        <v>6.1139999999999999</v>
      </c>
      <c r="E351" t="e">
        <f t="shared" si="1091"/>
        <v>#N/A</v>
      </c>
      <c r="F351" t="e">
        <f t="shared" si="1092"/>
        <v>#N/A</v>
      </c>
      <c r="G351" t="e">
        <f t="shared" si="1093"/>
        <v>#N/A</v>
      </c>
      <c r="H351" t="e">
        <f t="shared" si="1094"/>
        <v>#N/A</v>
      </c>
      <c r="I351" t="e">
        <f t="shared" si="1095"/>
        <v>#N/A</v>
      </c>
      <c r="J351" s="974">
        <v>104.8</v>
      </c>
      <c r="AA351" s="82"/>
      <c r="AB351" s="75"/>
      <c r="AC351" s="75"/>
      <c r="AD351" s="166"/>
      <c r="AE351" s="75">
        <v>2.117</v>
      </c>
      <c r="AF351" s="82">
        <v>2</v>
      </c>
      <c r="AG351" s="82">
        <v>1</v>
      </c>
      <c r="AH351" s="82">
        <v>2</v>
      </c>
      <c r="AI351" s="82">
        <v>3.0000000000291038</v>
      </c>
      <c r="AJ351" s="166">
        <v>2.1172300000000002</v>
      </c>
      <c r="AK351" s="82">
        <v>2.11713</v>
      </c>
      <c r="AL351" s="162">
        <v>0</v>
      </c>
      <c r="AM351" s="162">
        <v>0</v>
      </c>
      <c r="AN351" s="162">
        <v>0</v>
      </c>
      <c r="AO351" s="162">
        <v>2.2172165931236805</v>
      </c>
      <c r="AP351" s="162">
        <v>0</v>
      </c>
      <c r="AQ351" s="162">
        <v>0</v>
      </c>
      <c r="AR351" s="710" t="str">
        <v>1613.par</v>
      </c>
      <c r="AV351" s="82" t="str">
        <v>204,204,0</v>
      </c>
      <c r="AW351" s="947">
        <v>85</v>
      </c>
      <c r="AX351" s="947">
        <v>82.78278340687632</v>
      </c>
      <c r="AY351" s="947">
        <v>2.2172165931236805</v>
      </c>
    </row>
    <row r="352" spans="4:51" x14ac:dyDescent="0.25">
      <c r="D352" s="164">
        <v>6.12</v>
      </c>
      <c r="E352" t="e">
        <f t="shared" si="1091"/>
        <v>#N/A</v>
      </c>
      <c r="F352" t="e">
        <f t="shared" si="1092"/>
        <v>#N/A</v>
      </c>
      <c r="G352" t="e">
        <f t="shared" si="1093"/>
        <v>#N/A</v>
      </c>
      <c r="H352" t="e">
        <f t="shared" si="1094"/>
        <v>#N/A</v>
      </c>
      <c r="I352" t="e">
        <f t="shared" si="1095"/>
        <v>#N/A</v>
      </c>
      <c r="J352" s="974">
        <v>123.9</v>
      </c>
      <c r="AA352" s="82"/>
      <c r="AB352" s="75"/>
      <c r="AC352" s="75"/>
      <c r="AD352" s="166"/>
      <c r="AE352" s="75">
        <v>2.1139999999999999</v>
      </c>
      <c r="AF352" s="82">
        <v>2</v>
      </c>
      <c r="AG352" s="82">
        <v>1</v>
      </c>
      <c r="AH352" s="82">
        <v>2</v>
      </c>
      <c r="AI352" s="82">
        <v>2.999999999992724</v>
      </c>
      <c r="AJ352" s="166">
        <v>2.1142300000000001</v>
      </c>
      <c r="AK352" s="82">
        <v>2.1141299999999998</v>
      </c>
      <c r="AL352" s="162">
        <v>0</v>
      </c>
      <c r="AM352" s="162">
        <v>0</v>
      </c>
      <c r="AN352" s="162">
        <v>0</v>
      </c>
      <c r="AO352" s="162">
        <v>-6.5298439877148127</v>
      </c>
      <c r="AP352" s="162">
        <v>0</v>
      </c>
      <c r="AQ352" s="162">
        <v>0</v>
      </c>
      <c r="AR352" s="710" t="str">
        <v>1613.par</v>
      </c>
      <c r="AV352" s="82" t="str">
        <v>204,204,0</v>
      </c>
      <c r="AW352" s="947">
        <v>56.3</v>
      </c>
      <c r="AX352" s="947">
        <v>62.82984398771481</v>
      </c>
      <c r="AY352" s="947">
        <v>-6.5298439877148127</v>
      </c>
    </row>
    <row r="353" spans="4:51" x14ac:dyDescent="0.25">
      <c r="D353" s="164">
        <v>6.1260000000000003</v>
      </c>
      <c r="E353" t="e">
        <f t="shared" si="1091"/>
        <v>#N/A</v>
      </c>
      <c r="F353" t="e">
        <f t="shared" si="1092"/>
        <v>#N/A</v>
      </c>
      <c r="G353" t="e">
        <f t="shared" si="1093"/>
        <v>#N/A</v>
      </c>
      <c r="H353" t="e">
        <f t="shared" si="1094"/>
        <v>#N/A</v>
      </c>
      <c r="I353" t="e">
        <f t="shared" si="1095"/>
        <v>#N/A</v>
      </c>
      <c r="J353" s="974">
        <v>142.9</v>
      </c>
      <c r="AA353" s="82"/>
      <c r="AB353" s="75"/>
      <c r="AC353" s="75"/>
      <c r="AD353" s="166"/>
      <c r="AE353" s="75">
        <v>2.1110000000000002</v>
      </c>
      <c r="AF353" s="82">
        <v>2</v>
      </c>
      <c r="AG353" s="82">
        <v>1</v>
      </c>
      <c r="AH353" s="82">
        <v>2</v>
      </c>
      <c r="AI353" s="82">
        <v>3.0000000000291038</v>
      </c>
      <c r="AJ353" s="166">
        <v>2.1112300000000004</v>
      </c>
      <c r="AK353" s="82">
        <v>2.1111300000000002</v>
      </c>
      <c r="AL353" s="162">
        <v>0</v>
      </c>
      <c r="AM353" s="162">
        <v>0</v>
      </c>
      <c r="AN353" s="162">
        <v>0</v>
      </c>
      <c r="AO353" s="162">
        <v>-10.242046168720673</v>
      </c>
      <c r="AP353" s="162">
        <v>0</v>
      </c>
      <c r="AQ353" s="162">
        <v>0</v>
      </c>
      <c r="AR353" s="710" t="str">
        <v>1613 Ripper.par</v>
      </c>
      <c r="AV353" s="82" t="str">
        <v>204,204,0</v>
      </c>
      <c r="AW353" s="947">
        <v>22.8</v>
      </c>
      <c r="AX353" s="947">
        <v>33.042046168720674</v>
      </c>
      <c r="AY353" s="947">
        <v>-10.242046168720673</v>
      </c>
    </row>
    <row r="354" spans="4:51" x14ac:dyDescent="0.25">
      <c r="D354" s="164">
        <v>6.1319999999999997</v>
      </c>
      <c r="E354" t="e">
        <f t="shared" si="1091"/>
        <v>#N/A</v>
      </c>
      <c r="F354" t="e">
        <f t="shared" si="1092"/>
        <v>#N/A</v>
      </c>
      <c r="G354" t="e">
        <f t="shared" si="1093"/>
        <v>#N/A</v>
      </c>
      <c r="H354" t="e">
        <f t="shared" si="1094"/>
        <v>#N/A</v>
      </c>
      <c r="I354" t="e">
        <f t="shared" si="1095"/>
        <v>#N/A</v>
      </c>
      <c r="J354" s="974">
        <v>161.80000000000001</v>
      </c>
      <c r="AA354" s="82"/>
      <c r="AB354" s="75"/>
      <c r="AC354" s="75"/>
      <c r="AD354" s="166"/>
      <c r="AE354" s="75">
        <v>2.1080000000000001</v>
      </c>
      <c r="AF354" s="82">
        <v>2</v>
      </c>
      <c r="AG354" s="82">
        <v>1</v>
      </c>
      <c r="AH354" s="82">
        <v>2</v>
      </c>
      <c r="AI354" s="82">
        <v>3.0000000000291038</v>
      </c>
      <c r="AJ354" s="166">
        <v>2.1082300000000003</v>
      </c>
      <c r="AK354" s="82">
        <v>2.1081300000000001</v>
      </c>
      <c r="AL354" s="162">
        <v>0</v>
      </c>
      <c r="AM354" s="162">
        <v>0</v>
      </c>
      <c r="AN354" s="162">
        <v>0</v>
      </c>
      <c r="AO354" s="162">
        <v>-11.740648681122686</v>
      </c>
      <c r="AP354" s="162">
        <v>0</v>
      </c>
      <c r="AQ354" s="162">
        <v>0</v>
      </c>
      <c r="AR354" s="710" t="str">
        <v>1613.par</v>
      </c>
      <c r="AV354" s="82" t="str">
        <v>204,204,0</v>
      </c>
      <c r="AW354" s="947">
        <v>-10.7</v>
      </c>
      <c r="AX354" s="947">
        <v>1.0406486811226867</v>
      </c>
      <c r="AY354" s="947">
        <v>-11.740648681122686</v>
      </c>
    </row>
    <row r="355" spans="4:51" x14ac:dyDescent="0.25">
      <c r="D355" s="164">
        <v>6.1379999999999999</v>
      </c>
      <c r="E355" t="e">
        <f t="shared" si="1091"/>
        <v>#N/A</v>
      </c>
      <c r="F355" t="e">
        <f t="shared" si="1092"/>
        <v>#N/A</v>
      </c>
      <c r="G355" t="e">
        <f t="shared" si="1093"/>
        <v>#N/A</v>
      </c>
      <c r="H355" t="e">
        <f t="shared" si="1094"/>
        <v>#N/A</v>
      </c>
      <c r="I355" t="e">
        <f t="shared" si="1095"/>
        <v>#N/A</v>
      </c>
      <c r="J355" s="974">
        <v>175</v>
      </c>
      <c r="AA355" s="82"/>
      <c r="AB355" s="75"/>
      <c r="AC355" s="75"/>
      <c r="AD355" s="166"/>
      <c r="AE355" s="75">
        <v>1.119</v>
      </c>
      <c r="AF355" s="82">
        <v>1</v>
      </c>
      <c r="AG355" s="82">
        <v>1</v>
      </c>
      <c r="AH355" s="82">
        <v>2</v>
      </c>
      <c r="AI355" s="82">
        <v>2.999999999992724</v>
      </c>
      <c r="AJ355" s="166">
        <v>1.1192299999999999</v>
      </c>
      <c r="AK355" s="82">
        <v>1.11913</v>
      </c>
      <c r="AL355" s="162">
        <v>0</v>
      </c>
      <c r="AM355" s="162">
        <v>0</v>
      </c>
      <c r="AN355" s="162">
        <v>0</v>
      </c>
      <c r="AO355" s="162">
        <v>2.1726470018021189</v>
      </c>
      <c r="AP355" s="162">
        <v>0</v>
      </c>
      <c r="AQ355" s="162">
        <v>0</v>
      </c>
      <c r="AR355" s="710" t="str">
        <v>1313.par</v>
      </c>
      <c r="AV355" s="82" t="str">
        <v>255,127,0</v>
      </c>
      <c r="AW355" s="947">
        <v>85</v>
      </c>
      <c r="AX355" s="947">
        <v>82.827352998197881</v>
      </c>
      <c r="AY355" s="947">
        <v>2.1726470018021189</v>
      </c>
    </row>
    <row r="356" spans="4:51" x14ac:dyDescent="0.25">
      <c r="D356" s="164">
        <v>6.1440000000000001</v>
      </c>
      <c r="E356" t="e">
        <f t="shared" si="1091"/>
        <v>#N/A</v>
      </c>
      <c r="F356" t="e">
        <f t="shared" si="1092"/>
        <v>#N/A</v>
      </c>
      <c r="G356" t="e">
        <f t="shared" si="1093"/>
        <v>#N/A</v>
      </c>
      <c r="H356" t="e">
        <f t="shared" si="1094"/>
        <v>#N/A</v>
      </c>
      <c r="I356" t="e">
        <f t="shared" si="1095"/>
        <v>#N/A</v>
      </c>
      <c r="J356" s="974">
        <v>175</v>
      </c>
      <c r="AA356" s="82"/>
      <c r="AB356" s="75"/>
      <c r="AC356" s="75"/>
      <c r="AD356" s="166"/>
      <c r="AE356" s="75">
        <v>1.1160000000000001</v>
      </c>
      <c r="AF356" s="82">
        <v>1</v>
      </c>
      <c r="AG356" s="82">
        <v>1</v>
      </c>
      <c r="AH356" s="82">
        <v>2</v>
      </c>
      <c r="AI356" s="82">
        <v>3.0000000000109139</v>
      </c>
      <c r="AJ356" s="166">
        <v>1.1162300000000001</v>
      </c>
      <c r="AK356" s="82">
        <v>1.1161300000000001</v>
      </c>
      <c r="AL356" s="162">
        <v>0</v>
      </c>
      <c r="AM356" s="162">
        <v>0</v>
      </c>
      <c r="AN356" s="162">
        <v>0</v>
      </c>
      <c r="AO356" s="162">
        <v>3.5246554983409197</v>
      </c>
      <c r="AP356" s="162">
        <v>0</v>
      </c>
      <c r="AQ356" s="162">
        <v>0</v>
      </c>
      <c r="AR356" s="710" t="str">
        <v>1613 Ripper.par</v>
      </c>
      <c r="AV356" s="82" t="str">
        <v>255,127,0</v>
      </c>
      <c r="AW356" s="947">
        <v>78.400000000000006</v>
      </c>
      <c r="AX356" s="947">
        <v>74.875344501659086</v>
      </c>
      <c r="AY356" s="947">
        <v>3.5246554983409197</v>
      </c>
    </row>
    <row r="357" spans="4:51" x14ac:dyDescent="0.25">
      <c r="D357" s="982">
        <v>2.246</v>
      </c>
      <c r="E357" t="e">
        <f t="shared" si="1091"/>
        <v>#N/A</v>
      </c>
      <c r="F357" t="e">
        <f t="shared" si="1092"/>
        <v>#N/A</v>
      </c>
      <c r="G357" t="e">
        <f t="shared" si="1093"/>
        <v>#N/A</v>
      </c>
      <c r="H357" t="e">
        <f t="shared" si="1094"/>
        <v>#N/A</v>
      </c>
      <c r="I357" t="e">
        <f t="shared" si="1095"/>
        <v>#N/A</v>
      </c>
      <c r="AA357" s="82"/>
      <c r="AB357" s="75"/>
      <c r="AC357" s="75"/>
      <c r="AD357" s="166"/>
      <c r="AE357" s="75">
        <v>1.113</v>
      </c>
      <c r="AF357" s="82">
        <v>1</v>
      </c>
      <c r="AG357" s="82">
        <v>1</v>
      </c>
      <c r="AH357" s="82">
        <v>2</v>
      </c>
      <c r="AI357" s="82">
        <v>2.999999999992724</v>
      </c>
      <c r="AJ357" s="166">
        <v>1.1132299999999999</v>
      </c>
      <c r="AK357" s="82">
        <v>1.11313</v>
      </c>
      <c r="AL357" s="162">
        <v>0</v>
      </c>
      <c r="AM357" s="162">
        <v>0</v>
      </c>
      <c r="AN357" s="162">
        <v>0</v>
      </c>
      <c r="AO357" s="162">
        <v>-7.8466164241372809</v>
      </c>
      <c r="AP357" s="162">
        <v>0</v>
      </c>
      <c r="AQ357" s="162">
        <v>0</v>
      </c>
      <c r="AR357" s="710" t="str">
        <v>1613.par</v>
      </c>
      <c r="AV357" s="82" t="str">
        <v>255,127,0</v>
      </c>
      <c r="AW357" s="947">
        <v>45.3</v>
      </c>
      <c r="AX357" s="947">
        <v>53.146616424137278</v>
      </c>
      <c r="AY357" s="947">
        <v>-7.8466164241372809</v>
      </c>
    </row>
    <row r="358" spans="4:51" x14ac:dyDescent="0.25">
      <c r="AA358" s="82"/>
      <c r="AB358" s="75"/>
      <c r="AC358" s="75"/>
      <c r="AD358" s="166"/>
      <c r="AE358" s="75">
        <v>1.1100000000000001</v>
      </c>
      <c r="AF358" s="82">
        <v>1</v>
      </c>
      <c r="AG358" s="82">
        <v>1</v>
      </c>
      <c r="AH358" s="82">
        <v>2</v>
      </c>
      <c r="AI358" s="82">
        <v>3.0000000000109139</v>
      </c>
      <c r="AJ358" s="166">
        <v>1.1102300000000001</v>
      </c>
      <c r="AK358" s="82">
        <v>1.1101300000000001</v>
      </c>
      <c r="AL358" s="162">
        <v>0</v>
      </c>
      <c r="AM358" s="162">
        <v>0</v>
      </c>
      <c r="AN358" s="162">
        <v>0</v>
      </c>
      <c r="AO358" s="162">
        <v>-11.268586026272361</v>
      </c>
      <c r="AP358" s="162">
        <v>0</v>
      </c>
      <c r="AQ358" s="162">
        <v>0</v>
      </c>
      <c r="AR358" s="710" t="str">
        <v>1613 Ripper.par</v>
      </c>
      <c r="AV358" s="82" t="str">
        <v>255,127,0</v>
      </c>
      <c r="AW358" s="947">
        <v>11.6</v>
      </c>
      <c r="AX358" s="947">
        <v>22.868586026272361</v>
      </c>
      <c r="AY358" s="947">
        <v>-11.268586026272361</v>
      </c>
    </row>
    <row r="359" spans="4:51" x14ac:dyDescent="0.25">
      <c r="AA359" s="82"/>
      <c r="AB359" s="75"/>
      <c r="AC359" s="75"/>
      <c r="AD359" s="166"/>
      <c r="AE359" s="75">
        <v>1.107</v>
      </c>
      <c r="AF359" s="82">
        <v>1</v>
      </c>
      <c r="AG359" s="82">
        <v>1</v>
      </c>
      <c r="AH359" s="82">
        <v>2</v>
      </c>
      <c r="AI359" s="82">
        <v>2.999999999992724</v>
      </c>
      <c r="AJ359" s="166">
        <v>1.1072299999999999</v>
      </c>
      <c r="AK359" s="82">
        <v>1.1071299999999999</v>
      </c>
      <c r="AL359" s="162">
        <v>0</v>
      </c>
      <c r="AM359" s="162">
        <v>0</v>
      </c>
      <c r="AN359" s="162">
        <v>0</v>
      </c>
      <c r="AO359" s="162">
        <v>-16.184874627009442</v>
      </c>
      <c r="AP359" s="162">
        <v>0</v>
      </c>
      <c r="AQ359" s="162">
        <v>0</v>
      </c>
      <c r="AR359" s="710" t="str">
        <v>1613 Ripper.par</v>
      </c>
      <c r="AV359" s="82" t="str">
        <v>255,127,0</v>
      </c>
      <c r="AW359" s="947">
        <v>-15</v>
      </c>
      <c r="AX359" s="947">
        <v>1.1848746270094432</v>
      </c>
      <c r="AY359" s="947">
        <v>-16.184874627009442</v>
      </c>
    </row>
    <row r="360" spans="4:51" x14ac:dyDescent="0.25">
      <c r="AA360" s="82"/>
      <c r="AB360" s="75"/>
      <c r="AC360" s="75"/>
      <c r="AD360" s="166"/>
      <c r="AE360" s="75">
        <v>1.1040000000000001</v>
      </c>
      <c r="AF360" s="82">
        <v>1</v>
      </c>
      <c r="AG360" s="82">
        <v>1</v>
      </c>
      <c r="AH360" s="82">
        <v>2</v>
      </c>
      <c r="AI360" s="82">
        <v>3.0000000000109139</v>
      </c>
      <c r="AJ360" s="166">
        <v>1.10423</v>
      </c>
      <c r="AK360" s="82">
        <v>1.1041300000000001</v>
      </c>
      <c r="AL360" s="162">
        <v>0</v>
      </c>
      <c r="AM360" s="162">
        <v>0</v>
      </c>
      <c r="AN360" s="162">
        <v>0</v>
      </c>
      <c r="AO360" s="162">
        <v>-17.05045225112319</v>
      </c>
      <c r="AP360" s="162">
        <v>0</v>
      </c>
      <c r="AQ360" s="162">
        <v>0</v>
      </c>
      <c r="AR360" s="710" t="str">
        <v>1613.par</v>
      </c>
      <c r="AV360" s="82" t="str">
        <v>255,127,0</v>
      </c>
      <c r="AW360" s="947">
        <v>-15</v>
      </c>
      <c r="AX360" s="947">
        <v>2.0504522511231897</v>
      </c>
      <c r="AY360" s="947">
        <v>-17.05045225112319</v>
      </c>
    </row>
    <row r="361" spans="4:51" x14ac:dyDescent="0.25">
      <c r="AA361" s="82"/>
      <c r="AB361" s="75"/>
      <c r="AC361" s="75"/>
      <c r="AD361" s="166"/>
      <c r="AE361" s="75">
        <v>1.101</v>
      </c>
      <c r="AF361" s="82">
        <v>1</v>
      </c>
      <c r="AG361" s="82">
        <v>1</v>
      </c>
      <c r="AH361" s="82">
        <v>2</v>
      </c>
      <c r="AI361" s="82">
        <v>2.999999999992724</v>
      </c>
      <c r="AJ361" s="166">
        <v>1.1012299999999999</v>
      </c>
      <c r="AK361" s="82">
        <v>1.1011299999999999</v>
      </c>
      <c r="AL361" s="162">
        <v>0</v>
      </c>
      <c r="AM361" s="162">
        <v>0</v>
      </c>
      <c r="AN361" s="162">
        <v>0</v>
      </c>
      <c r="AO361" s="162">
        <v>-20.217074538237373</v>
      </c>
      <c r="AP361" s="162">
        <v>0</v>
      </c>
      <c r="AQ361" s="162">
        <v>0</v>
      </c>
      <c r="AR361" s="710" t="str">
        <v>1313.par</v>
      </c>
      <c r="AV361" s="82" t="str">
        <v>255,127,0</v>
      </c>
      <c r="AW361" s="947">
        <v>-15</v>
      </c>
      <c r="AX361" s="947">
        <v>5.2170745382373731</v>
      </c>
      <c r="AY361" s="947">
        <v>-20.217074538237373</v>
      </c>
    </row>
    <row r="362" spans="4:51" x14ac:dyDescent="0.25">
      <c r="AF362" s="82"/>
    </row>
    <row r="363" spans="4:51" x14ac:dyDescent="0.25">
      <c r="AF363" s="82"/>
    </row>
    <row r="364" spans="4:51" x14ac:dyDescent="0.25">
      <c r="AF364" s="82"/>
    </row>
    <row r="365" spans="4:51" x14ac:dyDescent="0.25">
      <c r="AF365" s="82"/>
    </row>
    <row r="366" spans="4:51" x14ac:dyDescent="0.25">
      <c r="AF366" s="82"/>
    </row>
    <row r="367" spans="4:51" x14ac:dyDescent="0.25">
      <c r="AF367" s="82"/>
    </row>
    <row r="368" spans="4:51" x14ac:dyDescent="0.25">
      <c r="AF368" s="82"/>
    </row>
    <row r="369" spans="32:32" x14ac:dyDescent="0.25">
      <c r="AF369" s="82"/>
    </row>
    <row r="370" spans="32:32" x14ac:dyDescent="0.25">
      <c r="AF370" s="82"/>
    </row>
    <row r="371" spans="32:32" x14ac:dyDescent="0.25">
      <c r="AF371" s="82"/>
    </row>
    <row r="372" spans="32:32" x14ac:dyDescent="0.25">
      <c r="AF372" s="82"/>
    </row>
    <row r="373" spans="32:32" x14ac:dyDescent="0.25">
      <c r="AF373" s="82"/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6"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E309:F309"/>
    <mergeCell ref="G309:G310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59" priority="175" stopIfTrue="1" operator="between">
      <formula>9</formula>
      <formula>9.99</formula>
    </cfRule>
    <cfRule type="cellIs" dxfId="58" priority="176" stopIfTrue="1" operator="between">
      <formula>8</formula>
      <formula>8.99</formula>
    </cfRule>
    <cfRule type="cellIs" dxfId="57" priority="177" stopIfTrue="1" operator="between">
      <formula>7</formula>
      <formula>7.99</formula>
    </cfRule>
    <cfRule type="cellIs" dxfId="56" priority="178" stopIfTrue="1" operator="between">
      <formula>6</formula>
      <formula>6.99</formula>
    </cfRule>
    <cfRule type="cellIs" dxfId="55" priority="179" stopIfTrue="1" operator="between">
      <formula>5</formula>
      <formula>5.99</formula>
    </cfRule>
    <cfRule type="cellIs" dxfId="54" priority="180" stopIfTrue="1" operator="between">
      <formula>4</formula>
      <formula>4.99</formula>
    </cfRule>
    <cfRule type="cellIs" dxfId="53" priority="181" stopIfTrue="1" operator="between">
      <formula>3</formula>
      <formula>3.99</formula>
    </cfRule>
    <cfRule type="cellIs" dxfId="52" priority="182" stopIfTrue="1" operator="between">
      <formula>2</formula>
      <formula>2.99</formula>
    </cfRule>
    <cfRule type="cellIs" dxfId="51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50" priority="61" stopIfTrue="1" operator="between">
      <formula>9</formula>
      <formula>9.99</formula>
    </cfRule>
    <cfRule type="cellIs" dxfId="49" priority="62" stopIfTrue="1" operator="between">
      <formula>8</formula>
      <formula>8.99</formula>
    </cfRule>
    <cfRule type="cellIs" dxfId="48" priority="63" stopIfTrue="1" operator="between">
      <formula>7</formula>
      <formula>7.99</formula>
    </cfRule>
    <cfRule type="cellIs" dxfId="47" priority="64" stopIfTrue="1" operator="between">
      <formula>6</formula>
      <formula>6.99</formula>
    </cfRule>
    <cfRule type="cellIs" dxfId="46" priority="65" stopIfTrue="1" operator="between">
      <formula>5</formula>
      <formula>5.99</formula>
    </cfRule>
    <cfRule type="cellIs" dxfId="45" priority="66" stopIfTrue="1" operator="between">
      <formula>4</formula>
      <formula>4.99</formula>
    </cfRule>
    <cfRule type="cellIs" dxfId="44" priority="67" stopIfTrue="1" operator="between">
      <formula>3</formula>
      <formula>3.99</formula>
    </cfRule>
    <cfRule type="cellIs" dxfId="43" priority="68" stopIfTrue="1" operator="between">
      <formula>2</formula>
      <formula>2.99</formula>
    </cfRule>
    <cfRule type="cellIs" dxfId="42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41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11:D357">
    <cfRule type="cellIs" dxfId="40" priority="1" stopIfTrue="1" operator="between">
      <formula>9</formula>
      <formula>9.99</formula>
    </cfRule>
    <cfRule type="cellIs" dxfId="39" priority="2" stopIfTrue="1" operator="between">
      <formula>8</formula>
      <formula>8.99</formula>
    </cfRule>
    <cfRule type="cellIs" dxfId="38" priority="3" stopIfTrue="1" operator="between">
      <formula>7</formula>
      <formula>7.99</formula>
    </cfRule>
    <cfRule type="cellIs" dxfId="37" priority="4" stopIfTrue="1" operator="between">
      <formula>6</formula>
      <formula>6.99</formula>
    </cfRule>
    <cfRule type="cellIs" dxfId="36" priority="5" stopIfTrue="1" operator="between">
      <formula>5</formula>
      <formula>5.99</formula>
    </cfRule>
    <cfRule type="cellIs" dxfId="35" priority="6" stopIfTrue="1" operator="between">
      <formula>4</formula>
      <formula>4.99</formula>
    </cfRule>
    <cfRule type="cellIs" dxfId="34" priority="7" stopIfTrue="1" operator="between">
      <formula>3</formula>
      <formula>3.99</formula>
    </cfRule>
    <cfRule type="cellIs" dxfId="33" priority="8" stopIfTrue="1" operator="between">
      <formula>2</formula>
      <formula>2.99</formula>
    </cfRule>
    <cfRule type="cellIs" dxfId="32" priority="9" stopIfTrue="1" operator="between">
      <formula>1</formula>
      <formula>1.99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8" r:id="rId6" name="CommandButton1">
          <controlPr defaultSize="0" autoLine="0" r:id="rId7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6" name="CommandButton1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sheetPr codeName="Sheet3"/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72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72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72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72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72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72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72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72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72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72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72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72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72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72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72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72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72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72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72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72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72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72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72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72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72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72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72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72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72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72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72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72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72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72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72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72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72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72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72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72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72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72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72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72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72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72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72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72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72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72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72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72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72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72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72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72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72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72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72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72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72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72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72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72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72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72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72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72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72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72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72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72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72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72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72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72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72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72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72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72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71" t="str">
        <f>CONCATENATE(Settings!$C$19," ",Settings!$B$28)</f>
        <v>7.875 2556r00</v>
      </c>
      <c r="D1" s="1271"/>
      <c r="E1" s="1271"/>
      <c r="F1" s="1271"/>
      <c r="G1" s="1271"/>
      <c r="H1" s="1271"/>
      <c r="I1" s="1271"/>
      <c r="J1" s="1271"/>
      <c r="K1" s="1271"/>
      <c r="M1" s="103" t="s">
        <v>310</v>
      </c>
      <c r="N1" s="1389" t="s">
        <v>312</v>
      </c>
      <c r="O1" s="1389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98" t="str">
        <f>Settings!B28</f>
        <v>2556r00</v>
      </c>
      <c r="C2" s="1399"/>
      <c r="D2" s="1399"/>
      <c r="E2" s="1399"/>
      <c r="F2" s="1399"/>
      <c r="G2" s="1399"/>
      <c r="H2" s="1399"/>
      <c r="I2" s="1399"/>
      <c r="J2" s="1399"/>
      <c r="K2" s="1400"/>
      <c r="L2" s="1155" t="str" cm="1">
        <f t="array" ref="L2">IF(OR($K$9:$K$150="Undefined"),"Undefined Element","")</f>
        <v/>
      </c>
      <c r="M2" s="1395" t="s">
        <v>0</v>
      </c>
      <c r="N2" s="1249" t="s">
        <v>1</v>
      </c>
      <c r="O2" s="1250"/>
      <c r="P2" s="1250"/>
      <c r="Q2" s="1250"/>
      <c r="R2" s="1250"/>
      <c r="S2" s="1250"/>
      <c r="T2" s="1250"/>
      <c r="U2" s="1250"/>
      <c r="V2" s="1250"/>
      <c r="W2" s="1250"/>
      <c r="X2" s="1250"/>
      <c r="Y2" s="1324"/>
      <c r="Z2" s="1249" t="s">
        <v>2</v>
      </c>
      <c r="AA2" s="1250"/>
      <c r="AB2" s="1250"/>
      <c r="AC2" s="1250"/>
      <c r="AD2" s="1250"/>
      <c r="AE2" s="1250"/>
      <c r="AF2" s="1250"/>
      <c r="AG2" s="1250"/>
      <c r="AH2" s="1250"/>
      <c r="AI2" s="1250"/>
      <c r="AJ2" s="1250"/>
      <c r="AK2" s="1250"/>
      <c r="AL2" s="1250"/>
      <c r="AM2" s="1250"/>
      <c r="AN2" s="1250"/>
      <c r="AO2" s="1250"/>
      <c r="AP2" s="1250"/>
      <c r="AQ2" s="1251"/>
      <c r="AS2" s="1330" t="s">
        <v>44</v>
      </c>
      <c r="AT2" s="1331"/>
      <c r="AV2" s="1411" t="str">
        <f>M2</f>
        <v>CS-Name</v>
      </c>
      <c r="AW2" s="1425"/>
      <c r="AX2" s="1425"/>
      <c r="AY2" s="1425"/>
      <c r="AZ2" s="1425"/>
      <c r="BA2" s="1425"/>
      <c r="BB2" s="1425"/>
      <c r="BC2" s="1426"/>
      <c r="BF2" s="1418" t="s">
        <v>313</v>
      </c>
      <c r="BG2" s="1419"/>
      <c r="BH2" s="1419"/>
      <c r="BI2" s="1419"/>
      <c r="BJ2" s="1419"/>
      <c r="BK2" s="1420"/>
      <c r="BM2" s="1435" t="s">
        <v>270</v>
      </c>
      <c r="BN2" s="1369"/>
      <c r="BO2" s="1369"/>
      <c r="BP2" s="1370"/>
      <c r="BR2" s="1435" t="s">
        <v>270</v>
      </c>
      <c r="BS2" s="1369"/>
      <c r="BT2" s="1369"/>
      <c r="BU2" s="1370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273"/>
      <c r="C3" s="1274"/>
      <c r="D3" s="1274"/>
      <c r="E3" s="1274"/>
      <c r="F3" s="1274"/>
      <c r="G3" s="1274"/>
      <c r="H3" s="1274"/>
      <c r="I3" s="1274"/>
      <c r="J3" s="1274"/>
      <c r="K3" s="1275"/>
      <c r="L3" s="1155"/>
      <c r="M3" s="1396"/>
      <c r="N3" s="1325"/>
      <c r="O3" s="1326"/>
      <c r="P3" s="1326"/>
      <c r="Q3" s="1326"/>
      <c r="R3" s="1326"/>
      <c r="S3" s="1326"/>
      <c r="T3" s="1326"/>
      <c r="U3" s="1326"/>
      <c r="V3" s="1326"/>
      <c r="W3" s="1326"/>
      <c r="X3" s="1326"/>
      <c r="Y3" s="1327"/>
      <c r="Z3" s="1133"/>
      <c r="AA3" s="1134"/>
      <c r="AB3" s="1134"/>
      <c r="AC3" s="1134"/>
      <c r="AD3" s="1134"/>
      <c r="AE3" s="1134"/>
      <c r="AF3" s="1134"/>
      <c r="AG3" s="1134"/>
      <c r="AH3" s="1134"/>
      <c r="AI3" s="1134"/>
      <c r="AJ3" s="1134"/>
      <c r="AK3" s="1134"/>
      <c r="AL3" s="1134"/>
      <c r="AM3" s="1134"/>
      <c r="AN3" s="1134"/>
      <c r="AO3" s="1134"/>
      <c r="AP3" s="1134"/>
      <c r="AQ3" s="1252"/>
      <c r="AS3" s="415">
        <v>100</v>
      </c>
      <c r="AT3" s="412" t="s">
        <v>45</v>
      </c>
      <c r="AV3" s="1412"/>
      <c r="AW3" s="1427"/>
      <c r="AX3" s="1427"/>
      <c r="AY3" s="1427"/>
      <c r="AZ3" s="1427"/>
      <c r="BA3" s="1427"/>
      <c r="BB3" s="1427"/>
      <c r="BC3" s="1428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00" t="s">
        <v>307</v>
      </c>
      <c r="C4" s="1022"/>
      <c r="D4" s="1022"/>
      <c r="E4" s="1022"/>
      <c r="F4" s="1022"/>
      <c r="G4" s="1022"/>
      <c r="H4" s="1022"/>
      <c r="I4" s="1022"/>
      <c r="J4" s="1022"/>
      <c r="K4" s="1401"/>
      <c r="L4" s="1155"/>
      <c r="M4" s="1396"/>
      <c r="N4" s="1292" t="s">
        <v>3</v>
      </c>
      <c r="O4" s="1289"/>
      <c r="P4" s="1289"/>
      <c r="Q4" s="1288" t="s">
        <v>4</v>
      </c>
      <c r="R4" s="1289"/>
      <c r="S4" s="1307"/>
      <c r="T4" s="1301" t="str">
        <f>N4</f>
        <v>Cartesian Coordinates</v>
      </c>
      <c r="U4" s="1256"/>
      <c r="V4" s="1302"/>
      <c r="W4" s="1256" t="str">
        <f>Q4</f>
        <v>Polar XY; Cartesian Z</v>
      </c>
      <c r="X4" s="1256"/>
      <c r="Y4" s="1272"/>
      <c r="Z4" s="1391" t="s">
        <v>3</v>
      </c>
      <c r="AA4" s="1392"/>
      <c r="AB4" s="1392"/>
      <c r="AC4" s="1392"/>
      <c r="AD4" s="1392"/>
      <c r="AE4" s="1392"/>
      <c r="AF4" s="1392"/>
      <c r="AG4" s="1431" t="s">
        <v>31</v>
      </c>
      <c r="AH4" s="1392"/>
      <c r="AI4" s="1392"/>
      <c r="AJ4" s="1432"/>
      <c r="AK4" s="1438" t="s">
        <v>32</v>
      </c>
      <c r="AL4" s="1439"/>
      <c r="AM4" s="1439"/>
      <c r="AN4" s="1439"/>
      <c r="AO4" s="1439"/>
      <c r="AP4" s="1439"/>
      <c r="AQ4" s="1440"/>
      <c r="AS4" s="416">
        <v>0</v>
      </c>
      <c r="AT4" s="413" t="s">
        <v>46</v>
      </c>
      <c r="AV4" s="1412"/>
      <c r="AW4" s="1429"/>
      <c r="AX4" s="1429"/>
      <c r="AY4" s="1429"/>
      <c r="AZ4" s="1430"/>
      <c r="BA4" s="1429" t="str">
        <f>Z2</f>
        <v>PDC Orientation</v>
      </c>
      <c r="BB4" s="1429"/>
      <c r="BC4" s="1430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9" t="s">
        <v>372</v>
      </c>
      <c r="IF4" s="1009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273" t="str">
        <f>CONCATENATE(B7," ; ",E7," ; ",H8)</f>
        <v>Absolute-Point ; Incremental-Vector Point ; Radius</v>
      </c>
      <c r="C5" s="1274"/>
      <c r="D5" s="1274"/>
      <c r="E5" s="1274"/>
      <c r="F5" s="1274"/>
      <c r="G5" s="1274"/>
      <c r="H5" s="1274"/>
      <c r="I5" s="1274"/>
      <c r="J5" s="1274"/>
      <c r="K5" s="1275"/>
      <c r="L5" s="813" t="str" cm="1">
        <f t="array" ref="L5">IF(OR(IF(LEFT($K$9:$K$150,4)="&lt;&gt;CS",TRUE,FALSE)),"Wrong CS","")</f>
        <v/>
      </c>
      <c r="M5" s="1396"/>
      <c r="N5" s="1312" t="s">
        <v>5</v>
      </c>
      <c r="O5" s="1313"/>
      <c r="P5" s="1313"/>
      <c r="Q5" s="1365" t="s">
        <v>6</v>
      </c>
      <c r="R5" s="1313"/>
      <c r="S5" s="1351"/>
      <c r="T5" s="1318" t="str">
        <f>CONCATENATE("Relative to ",M8,"'s θ &amp; Z; Z Axis")</f>
        <v>Relative to 's θ &amp; Z; Z Axis</v>
      </c>
      <c r="U5" s="1263"/>
      <c r="V5" s="1342"/>
      <c r="W5" s="1263" t="str">
        <f>CONCATENATE("Relative to ",M8,"'s θ &amp; Z; Z Axis")</f>
        <v>Relative to 's θ &amp; Z; Z Axis</v>
      </c>
      <c r="X5" s="1263"/>
      <c r="Y5" s="1303"/>
      <c r="Z5" s="1293" t="str">
        <f>N5</f>
        <v>Relative to World_CS</v>
      </c>
      <c r="AA5" s="1263"/>
      <c r="AB5" s="1263"/>
      <c r="AC5" s="1263"/>
      <c r="AD5" s="1263"/>
      <c r="AE5" s="1263"/>
      <c r="AF5" s="1263"/>
      <c r="AG5" s="1318" t="str">
        <f>N5</f>
        <v>Relative to World_CS</v>
      </c>
      <c r="AH5" s="1263"/>
      <c r="AI5" s="1263"/>
      <c r="AJ5" s="1264"/>
      <c r="AK5" s="1350" t="s">
        <v>7</v>
      </c>
      <c r="AL5" s="1313"/>
      <c r="AM5" s="1313"/>
      <c r="AN5" s="1313"/>
      <c r="AO5" s="1313"/>
      <c r="AP5" s="1313"/>
      <c r="AQ5" s="1351"/>
      <c r="AS5" s="167">
        <f>(((AS4*12)/60)/AS3)</f>
        <v>0</v>
      </c>
      <c r="AT5" s="413" t="s">
        <v>47</v>
      </c>
      <c r="AV5" s="1412"/>
      <c r="AW5" s="1301" t="str">
        <f>W4</f>
        <v>Polar XY; Cartesian Z</v>
      </c>
      <c r="AX5" s="1256"/>
      <c r="AY5" s="1256"/>
      <c r="AZ5" s="1156" t="s">
        <v>104</v>
      </c>
      <c r="BA5" s="1256" t="str">
        <f>AK4</f>
        <v>Polar Z Projection → XZ Plane</v>
      </c>
      <c r="BB5" s="1256"/>
      <c r="BC5" s="1257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76"/>
      <c r="C6" s="1277"/>
      <c r="D6" s="1277"/>
      <c r="E6" s="1277"/>
      <c r="F6" s="1277"/>
      <c r="G6" s="1277"/>
      <c r="H6" s="1277"/>
      <c r="I6" s="1277"/>
      <c r="J6" s="1277"/>
      <c r="K6" s="1278"/>
      <c r="L6" s="1155" t="str" cm="1">
        <f t="array" ref="L6">IF(OR($K$9:$K$150="Inactive"),"Inactive Element","")</f>
        <v/>
      </c>
      <c r="M6" s="1396"/>
      <c r="N6" s="1308" t="s">
        <v>8</v>
      </c>
      <c r="O6" s="1310" t="s">
        <v>9</v>
      </c>
      <c r="P6" s="1363" t="s">
        <v>10</v>
      </c>
      <c r="Q6" s="1314" t="s">
        <v>11</v>
      </c>
      <c r="R6" s="1315"/>
      <c r="S6" s="1304" t="s">
        <v>10</v>
      </c>
      <c r="T6" s="1338" t="str">
        <f>N6</f>
        <v>X</v>
      </c>
      <c r="U6" s="1340" t="str">
        <f>O6</f>
        <v>Y</v>
      </c>
      <c r="V6" s="1299" t="str">
        <f>P6</f>
        <v>Z</v>
      </c>
      <c r="W6" s="1258" t="str">
        <f>Q6</f>
        <v>Projected XY</v>
      </c>
      <c r="X6" s="1259"/>
      <c r="Y6" s="1336" t="str">
        <f>S6</f>
        <v>Z</v>
      </c>
      <c r="Z6" s="1320" t="s">
        <v>12</v>
      </c>
      <c r="AA6" s="1283"/>
      <c r="AB6" s="1283"/>
      <c r="AC6" s="1321"/>
      <c r="AD6" s="1288" t="s">
        <v>13</v>
      </c>
      <c r="AE6" s="1289"/>
      <c r="AF6" s="1289"/>
      <c r="AG6" s="1319" t="s">
        <v>7</v>
      </c>
      <c r="AH6" s="1289"/>
      <c r="AI6" s="1288" t="s">
        <v>14</v>
      </c>
      <c r="AJ6" s="1307"/>
      <c r="AK6" s="1301" t="str">
        <f>AD6</f>
        <v>Unit Vector</v>
      </c>
      <c r="AL6" s="1256"/>
      <c r="AM6" s="1257"/>
      <c r="AN6" s="34" t="s">
        <v>15</v>
      </c>
      <c r="AO6" s="35" t="s">
        <v>16</v>
      </c>
      <c r="AP6" s="680" t="s">
        <v>17</v>
      </c>
      <c r="AQ6" s="1393" t="s">
        <v>108</v>
      </c>
      <c r="AS6" s="168">
        <f>(AS5/360)</f>
        <v>0</v>
      </c>
      <c r="AT6" s="414" t="s">
        <v>48</v>
      </c>
      <c r="AV6" s="1412"/>
      <c r="AW6" s="1318" t="str">
        <f>W5</f>
        <v>Relative to 's θ &amp; Z; Z Axis</v>
      </c>
      <c r="AX6" s="1263"/>
      <c r="AY6" s="1263"/>
      <c r="AZ6" s="1408"/>
      <c r="BA6" s="1263" t="str">
        <f>AK5</f>
        <v>Vector Along X Axis</v>
      </c>
      <c r="BB6" s="1263"/>
      <c r="BC6" s="1264"/>
      <c r="BD6" s="417"/>
      <c r="BF6" s="410">
        <f>SUM(AZ9:AZ150)</f>
        <v>0</v>
      </c>
      <c r="BG6" s="1390" t="s">
        <v>309</v>
      </c>
      <c r="BH6" s="1390"/>
      <c r="BI6" s="1390"/>
      <c r="BJ6" s="1390"/>
      <c r="BK6" s="1390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94" t="s">
        <v>40</v>
      </c>
      <c r="C7" s="1295"/>
      <c r="D7" s="1296"/>
      <c r="E7" s="1297" t="s">
        <v>41</v>
      </c>
      <c r="F7" s="1295"/>
      <c r="G7" s="1298"/>
      <c r="H7" s="989" t="s">
        <v>305</v>
      </c>
      <c r="I7" s="987"/>
      <c r="J7" s="988"/>
      <c r="K7" s="488"/>
      <c r="L7" s="1155"/>
      <c r="M7" s="1397"/>
      <c r="N7" s="1309"/>
      <c r="O7" s="1311"/>
      <c r="P7" s="1364"/>
      <c r="Q7" s="36" t="s">
        <v>18</v>
      </c>
      <c r="R7" s="2" t="s">
        <v>19</v>
      </c>
      <c r="S7" s="1305"/>
      <c r="T7" s="1339"/>
      <c r="U7" s="1341"/>
      <c r="V7" s="1300"/>
      <c r="W7" s="37" t="str">
        <f>Q7</f>
        <v>&lt; θ°</v>
      </c>
      <c r="X7" s="27" t="str">
        <f>R7</f>
        <v>r</v>
      </c>
      <c r="Y7" s="133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94"/>
      <c r="AS7" s="1433" t="s">
        <v>54</v>
      </c>
      <c r="AT7" s="1436" t="s">
        <v>53</v>
      </c>
      <c r="AV7" s="1412"/>
      <c r="AW7" s="1407" t="str">
        <f>$W$6</f>
        <v>Projected XY</v>
      </c>
      <c r="AX7" s="1259"/>
      <c r="AY7" s="1409" t="str">
        <f>$Y$6</f>
        <v>Z</v>
      </c>
      <c r="AZ7" s="1408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90"/>
      <c r="BH7" s="1390"/>
      <c r="BI7" s="1390"/>
      <c r="BJ7" s="1390"/>
      <c r="BK7" s="1390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95" t="s">
        <v>33</v>
      </c>
      <c r="IH7" s="1170" t="s">
        <v>376</v>
      </c>
      <c r="II7" s="991" t="s">
        <v>324</v>
      </c>
      <c r="IJ7" s="992"/>
      <c r="IK7" s="992"/>
      <c r="IL7" s="987"/>
      <c r="IM7" s="987"/>
      <c r="IN7" s="987"/>
      <c r="IO7" s="988"/>
      <c r="IP7" s="989" t="s">
        <v>320</v>
      </c>
      <c r="IQ7" s="987"/>
      <c r="IR7" s="987"/>
      <c r="IS7" s="987"/>
      <c r="IT7" s="987"/>
      <c r="IU7" s="989" t="s">
        <v>319</v>
      </c>
      <c r="IV7" s="987"/>
      <c r="IW7" s="987"/>
      <c r="IX7" s="987"/>
      <c r="IY7" s="988"/>
      <c r="JA7" s="725"/>
      <c r="JB7" s="1441" t="s">
        <v>355</v>
      </c>
      <c r="JC7" s="1366"/>
      <c r="JD7" s="1366"/>
      <c r="JE7" s="1367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55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34"/>
      <c r="AT8" s="1437"/>
      <c r="AV8" s="1413"/>
      <c r="AW8" s="46" t="str">
        <f>$W$7</f>
        <v>&lt; θ°</v>
      </c>
      <c r="AX8" s="27" t="str">
        <f>$X$7</f>
        <v>r</v>
      </c>
      <c r="AY8" s="1410"/>
      <c r="AZ8" s="1157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172"/>
      <c r="IH8" s="1171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68" t="s">
        <v>356</v>
      </c>
      <c r="JC19" s="1369"/>
      <c r="JD19" s="1369"/>
      <c r="JE19" s="1369"/>
      <c r="JF19" s="1369"/>
      <c r="JG19" s="1369"/>
      <c r="JH19" s="1369"/>
      <c r="JI19" s="1370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71" t="s">
        <v>360</v>
      </c>
      <c r="JC20" s="1372"/>
      <c r="JD20" s="1372"/>
      <c r="JE20" s="1372"/>
      <c r="JF20" s="1150" t="s">
        <v>361</v>
      </c>
      <c r="JG20" s="1151"/>
      <c r="JH20" s="1151"/>
      <c r="JI20" s="1152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24"/>
      <c r="JC21" s="1225"/>
      <c r="JD21" s="1225"/>
      <c r="JE21" s="1225"/>
      <c r="JF21" s="1153" t="s">
        <v>349</v>
      </c>
      <c r="JG21" s="1154"/>
      <c r="JH21" s="1373" t="s">
        <v>362</v>
      </c>
      <c r="JI21" s="1374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05" t="str">
        <f>$W$6</f>
        <v>Projected XY</v>
      </c>
      <c r="AX152" s="1406"/>
      <c r="AY152" s="1423" t="str">
        <f>$Y$6</f>
        <v>Z</v>
      </c>
      <c r="AZ152" s="1421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24"/>
      <c r="AZ153" s="1422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279" t="s">
        <v>42</v>
      </c>
      <c r="C157" s="1280"/>
      <c r="D157" s="1280"/>
      <c r="E157" s="1280"/>
      <c r="F157" s="1280"/>
      <c r="G157" s="1280"/>
      <c r="H157" s="1280"/>
      <c r="I157" s="1280"/>
      <c r="J157" s="1280"/>
      <c r="K157" s="1281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82"/>
      <c r="C158" s="1283"/>
      <c r="D158" s="1283"/>
      <c r="E158" s="1283"/>
      <c r="F158" s="1283"/>
      <c r="G158" s="1283"/>
      <c r="H158" s="1283"/>
      <c r="I158" s="1283"/>
      <c r="J158" s="1283"/>
      <c r="K158" s="1284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85"/>
      <c r="C159" s="1286"/>
      <c r="D159" s="1286"/>
      <c r="E159" s="1286"/>
      <c r="F159" s="1286"/>
      <c r="G159" s="1286"/>
      <c r="H159" s="1286"/>
      <c r="I159" s="1286"/>
      <c r="J159" s="1286"/>
      <c r="K159" s="1287"/>
      <c r="AQ159" s="162"/>
      <c r="BD159" s="417"/>
    </row>
    <row r="160" spans="1:259" ht="15" customHeight="1" x14ac:dyDescent="0.25">
      <c r="B160" s="1273" t="str">
        <f>CONCATENATE(B162," ; ",E162," ; ",H163)</f>
        <v>Absolute-Point ; Incremental-Vector Point ; Radius</v>
      </c>
      <c r="C160" s="1274"/>
      <c r="D160" s="1274"/>
      <c r="E160" s="1274"/>
      <c r="F160" s="1274"/>
      <c r="G160" s="1274"/>
      <c r="H160" s="1274"/>
      <c r="I160" s="1274"/>
      <c r="J160" s="1274"/>
      <c r="K160" s="1275"/>
      <c r="AQ160" s="162"/>
      <c r="BD160" s="417"/>
    </row>
    <row r="161" spans="2:56" ht="15" customHeight="1" x14ac:dyDescent="0.25">
      <c r="B161" s="1276"/>
      <c r="C161" s="1277"/>
      <c r="D161" s="1277"/>
      <c r="E161" s="1277"/>
      <c r="F161" s="1277"/>
      <c r="G161" s="1277"/>
      <c r="H161" s="1277"/>
      <c r="I161" s="1277"/>
      <c r="J161" s="1277"/>
      <c r="K161" s="1278"/>
      <c r="AQ161" s="162"/>
      <c r="BD161" s="417"/>
    </row>
    <row r="162" spans="2:56" ht="15" customHeight="1" x14ac:dyDescent="0.25">
      <c r="B162" s="1294" t="s">
        <v>40</v>
      </c>
      <c r="C162" s="1295"/>
      <c r="D162" s="1296"/>
      <c r="E162" s="1297" t="s">
        <v>41</v>
      </c>
      <c r="F162" s="1295"/>
      <c r="G162" s="1298"/>
      <c r="H162" s="989" t="s">
        <v>305</v>
      </c>
      <c r="I162" s="987"/>
      <c r="J162" s="988"/>
      <c r="K162" s="488"/>
      <c r="M162" s="1115" t="s">
        <v>304</v>
      </c>
      <c r="N162" s="1402"/>
      <c r="O162" s="1414" t="s">
        <v>283</v>
      </c>
      <c r="P162" s="1415"/>
      <c r="Q162" s="1416"/>
      <c r="R162" s="1417" t="s">
        <v>41</v>
      </c>
      <c r="S162" s="1415"/>
      <c r="T162" s="1416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03"/>
      <c r="N163" s="1404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1313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1.113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1.1160000000000001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1.119</v>
      </c>
      <c r="N170" s="810">
        <f>Assy.Model!K15</f>
        <v>1313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2.1080000000000001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2.1110000000000002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2.1139999999999999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2.117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2.12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3.1030000000000002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3.1059999999999999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3.109</v>
      </c>
      <c r="N178" s="810">
        <f>Assy.Model!K23</f>
        <v>1613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3.1120000000000001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3.1150000000000002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3.1179999999999999</v>
      </c>
      <c r="N181" s="810">
        <f>Assy.Model!K26</f>
        <v>1313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4.1100000000000003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4.1130000000000004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4.1159999999999997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4.1189999999999998</v>
      </c>
      <c r="N185" s="810">
        <f>Assy.Model!K30</f>
        <v>1313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5.1020000000000003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5.1050000000000004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5.1079999999999997</v>
      </c>
      <c r="N188" s="810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5.1109999999999998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5.1139999999999999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5.117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5.12</v>
      </c>
      <c r="N192" s="810">
        <f>Assy.Model!K37</f>
        <v>1313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6.109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6.1120000000000001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6.1150000000000002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6.1180000000000003</v>
      </c>
      <c r="N196" s="810">
        <f>Assy.Model!K41</f>
        <v>1313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 t="str">
        <f>Assy.Model!$M42</f>
        <v/>
      </c>
      <c r="N197" s="810" t="str">
        <f>Assy.Model!K42</f>
        <v/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 t="str">
        <f>Assy.Model!$M43</f>
        <v/>
      </c>
      <c r="N198" s="810" t="str">
        <f>Assy.Model!K43</f>
        <v/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 t="str">
        <f>Assy.Model!$M44</f>
        <v/>
      </c>
      <c r="N199" s="810" t="str">
        <f>Assy.Model!K44</f>
        <v/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 t="str">
        <f>Assy.Model!$M45</f>
        <v/>
      </c>
      <c r="N200" s="810" t="str">
        <f>Assy.Model!K45</f>
        <v/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 t="str">
        <f>Assy.Model!$M46</f>
        <v/>
      </c>
      <c r="N201" s="810" t="str">
        <f>Assy.Model!K46</f>
        <v/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 t="str">
        <f>Assy.Model!$M47</f>
        <v/>
      </c>
      <c r="N202" s="810" t="str">
        <f>Assy.Model!K47</f>
        <v/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 t="str">
        <f>Assy.Model!$M48</f>
        <v/>
      </c>
      <c r="N203" s="810" t="str">
        <f>Assy.Model!K48</f>
        <v/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 t="str">
        <f>Assy.Model!$M49</f>
        <v/>
      </c>
      <c r="N204" s="810" t="str">
        <f>Assy.Model!K49</f>
        <v/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 t="str">
        <f>Assy.Model!$M50</f>
        <v/>
      </c>
      <c r="N205" s="810" t="str">
        <f>Assy.Model!K50</f>
        <v/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 t="str">
        <f>Assy.Model!$M51</f>
        <v/>
      </c>
      <c r="N206" s="810" t="str">
        <f>Assy.Model!K51</f>
        <v/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 t="str">
        <f>Assy.Model!$M52</f>
        <v/>
      </c>
      <c r="N207" s="810" t="str">
        <f>Assy.Model!K52</f>
        <v/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 t="str">
        <f>Assy.Model!$M53</f>
        <v/>
      </c>
      <c r="N208" s="810" t="str">
        <f>Assy.Model!K53</f>
        <v/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 t="str">
        <f>Assy.Model!$M54</f>
        <v/>
      </c>
      <c r="N209" s="810" t="str">
        <f>Assy.Model!K54</f>
        <v/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 t="str">
        <f>Assy.Model!$M55</f>
        <v/>
      </c>
      <c r="N210" s="810" t="str">
        <f>Assy.Model!K55</f>
        <v/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 t="str">
        <f>Assy.Model!$M56</f>
        <v/>
      </c>
      <c r="N211" s="810" t="str">
        <f>Assy.Model!K56</f>
        <v/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 t="str">
        <f>Assy.Model!$M57</f>
        <v/>
      </c>
      <c r="N212" s="810" t="str">
        <f>Assy.Model!K57</f>
        <v/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 t="str">
        <f>Assy.Model!$M58</f>
        <v/>
      </c>
      <c r="N213" s="810" t="str">
        <f>Assy.Model!K58</f>
        <v/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 t="str">
        <f>Assy.Model!$M59</f>
        <v/>
      </c>
      <c r="N214" s="810" t="str">
        <f>Assy.Model!K59</f>
        <v/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 t="str">
        <f>Assy.Model!$M60</f>
        <v/>
      </c>
      <c r="N215" s="810" t="str">
        <f>Assy.Model!K60</f>
        <v/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 t="str">
        <f>Assy.Model!$M61</f>
        <v/>
      </c>
      <c r="N216" s="810" t="str">
        <f>Assy.Model!K61</f>
        <v/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 t="str">
        <f>Assy.Model!$M62</f>
        <v/>
      </c>
      <c r="N217" s="810" t="str">
        <f>Assy.Model!K62</f>
        <v/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 t="str">
        <f>Assy.Model!$M63</f>
        <v/>
      </c>
      <c r="N218" s="810" t="str">
        <f>Assy.Model!K63</f>
        <v/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 t="str">
        <f>Assy.Model!$M64</f>
        <v/>
      </c>
      <c r="N219" s="810" t="str">
        <f>Assy.Model!K64</f>
        <v/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 t="str">
        <f>Assy.Model!$M65</f>
        <v/>
      </c>
      <c r="N220" s="810" t="str">
        <f>Assy.Model!K65</f>
        <v/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 t="str">
        <f>Assy.Model!$M66</f>
        <v/>
      </c>
      <c r="N221" s="810" t="str">
        <f>Assy.Model!K66</f>
        <v/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 t="str">
        <f>Assy.Model!$M67</f>
        <v/>
      </c>
      <c r="N222" s="810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 t="str">
        <f>Assy.Model!$M68</f>
        <v/>
      </c>
      <c r="N223" s="810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 t="str">
        <f>Assy.Model!$M69</f>
        <v/>
      </c>
      <c r="N224" s="810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 t="str">
        <f>Assy.Model!$M70</f>
        <v/>
      </c>
      <c r="N225" s="810" t="str">
        <f>Assy.Model!K70</f>
        <v/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 t="str">
        <f>Assy.Model!$M71</f>
        <v/>
      </c>
      <c r="N226" s="810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 t="str">
        <f>Assy.Model!$M72</f>
        <v/>
      </c>
      <c r="N227" s="810" t="str">
        <f>Assy.Model!K72</f>
        <v/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 t="str">
        <f>Assy.Model!$M73</f>
        <v/>
      </c>
      <c r="N228" s="810" t="str">
        <f>Assy.Model!K73</f>
        <v/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44" t="s">
        <v>33</v>
      </c>
      <c r="C7" s="1442" t="s">
        <v>105</v>
      </c>
      <c r="D7" s="1443"/>
      <c r="E7" s="1446" t="s">
        <v>110</v>
      </c>
    </row>
    <row r="8" spans="1:5" ht="15.75" thickBot="1" x14ac:dyDescent="0.3">
      <c r="A8" s="31" t="s">
        <v>420</v>
      </c>
      <c r="B8" s="1445"/>
      <c r="C8" s="955" t="s">
        <v>8</v>
      </c>
      <c r="D8" s="956" t="s">
        <v>9</v>
      </c>
      <c r="E8" s="1447"/>
    </row>
    <row r="9" spans="1:5" ht="15.75" thickTop="1" x14ac:dyDescent="0.25">
      <c r="A9" s="31">
        <f t="shared" ref="A9:A53" si="0">MOD(B9*10,1)*100</f>
        <v>0.99999999999997868</v>
      </c>
      <c r="B9" s="952">
        <v>1.101</v>
      </c>
      <c r="C9" s="957">
        <v>0.2011</v>
      </c>
      <c r="D9" s="958">
        <v>-0.20499999999999999</v>
      </c>
      <c r="E9" s="959">
        <v>7.7100000000000002E-2</v>
      </c>
    </row>
    <row r="10" spans="1:5" x14ac:dyDescent="0.25">
      <c r="A10" s="31">
        <f t="shared" si="0"/>
        <v>2.0000000000003126</v>
      </c>
      <c r="B10" s="953">
        <v>5.1020000000000003</v>
      </c>
      <c r="C10" s="960">
        <v>0.46260000000000001</v>
      </c>
      <c r="D10" s="961">
        <v>7.2700000000000001E-2</v>
      </c>
      <c r="E10" s="962">
        <v>5.7200000000000001E-2</v>
      </c>
    </row>
    <row r="11" spans="1:5" x14ac:dyDescent="0.25">
      <c r="A11" s="31">
        <f t="shared" si="0"/>
        <v>3.0000000000001137</v>
      </c>
      <c r="B11" s="953">
        <v>3.1030000000000002</v>
      </c>
      <c r="C11" s="960">
        <v>0.69930000000000003</v>
      </c>
      <c r="D11" s="961">
        <v>5.91E-2</v>
      </c>
      <c r="E11" s="962">
        <v>6.0400000000000002E-2</v>
      </c>
    </row>
    <row r="12" spans="1:5" x14ac:dyDescent="0.25">
      <c r="A12" s="31">
        <f t="shared" si="0"/>
        <v>4.0000000000000924</v>
      </c>
      <c r="B12" s="953">
        <v>1.1040000000000001</v>
      </c>
      <c r="C12" s="960">
        <v>0.93310000000000004</v>
      </c>
      <c r="D12" s="961">
        <v>3.9100000000000003E-2</v>
      </c>
      <c r="E12" s="962">
        <v>5.7200000000000001E-2</v>
      </c>
    </row>
    <row r="13" spans="1:5" x14ac:dyDescent="0.25">
      <c r="A13" s="31">
        <f t="shared" si="0"/>
        <v>5.0000000000004263</v>
      </c>
      <c r="B13" s="952">
        <v>5.1050000000000004</v>
      </c>
      <c r="C13" s="957">
        <v>1.161</v>
      </c>
      <c r="D13" s="958">
        <v>0.2661</v>
      </c>
      <c r="E13" s="959">
        <v>5.6800000000000003E-2</v>
      </c>
    </row>
    <row r="14" spans="1:5" x14ac:dyDescent="0.25">
      <c r="A14" s="31">
        <f t="shared" si="0"/>
        <v>5.9999999999998721</v>
      </c>
      <c r="B14" s="953">
        <v>3.1059999999999999</v>
      </c>
      <c r="C14" s="960">
        <v>1.3966000000000001</v>
      </c>
      <c r="D14" s="961">
        <v>0.24829999999999999</v>
      </c>
      <c r="E14" s="962">
        <v>6.0299999999999999E-2</v>
      </c>
    </row>
    <row r="15" spans="1:5" x14ac:dyDescent="0.25">
      <c r="A15" s="31">
        <f t="shared" si="0"/>
        <v>7.0000000000000284</v>
      </c>
      <c r="B15" s="953">
        <v>1.107</v>
      </c>
      <c r="C15" s="960">
        <v>1.6409</v>
      </c>
      <c r="D15" s="961">
        <v>0.2258</v>
      </c>
      <c r="E15" s="962">
        <v>6.1899999999999997E-2</v>
      </c>
    </row>
    <row r="16" spans="1:5" x14ac:dyDescent="0.25">
      <c r="A16" s="31">
        <f t="shared" si="0"/>
        <v>7.9999999999998295</v>
      </c>
      <c r="B16" s="953">
        <v>5.1079999999999997</v>
      </c>
      <c r="C16" s="960">
        <v>1.8936999999999999</v>
      </c>
      <c r="D16" s="961">
        <v>0.43959999999999999</v>
      </c>
      <c r="E16" s="962">
        <v>6.4399999999999999E-2</v>
      </c>
    </row>
    <row r="17" spans="1:5" x14ac:dyDescent="0.25">
      <c r="A17" s="31">
        <f t="shared" si="0"/>
        <v>8.9999999999999858</v>
      </c>
      <c r="B17" s="953">
        <v>3.109</v>
      </c>
      <c r="C17" s="960">
        <v>2.1025999999999998</v>
      </c>
      <c r="D17" s="961">
        <v>0.4032</v>
      </c>
      <c r="E17" s="962">
        <v>3.61E-2</v>
      </c>
    </row>
    <row r="18" spans="1:5" x14ac:dyDescent="0.25">
      <c r="A18" s="31">
        <f t="shared" si="0"/>
        <v>9.9999999999997868</v>
      </c>
      <c r="B18" s="953">
        <v>2.11</v>
      </c>
      <c r="C18" s="960">
        <v>2.2400000000000002</v>
      </c>
      <c r="D18" s="961">
        <v>0.36080000000000001</v>
      </c>
      <c r="E18" s="962">
        <v>3.6799999999999999E-2</v>
      </c>
    </row>
    <row r="19" spans="1:5" x14ac:dyDescent="0.25">
      <c r="A19" s="31">
        <f t="shared" si="0"/>
        <v>10.999999999999943</v>
      </c>
      <c r="B19" s="953">
        <v>1.111</v>
      </c>
      <c r="C19" s="960">
        <v>2.3776000000000002</v>
      </c>
      <c r="D19" s="961">
        <v>0.31919999999999998</v>
      </c>
      <c r="E19" s="962">
        <v>3.3799999999999997E-2</v>
      </c>
    </row>
    <row r="20" spans="1:5" x14ac:dyDescent="0.25">
      <c r="A20" s="31">
        <f t="shared" si="0"/>
        <v>12.000000000000455</v>
      </c>
      <c r="B20" s="953">
        <v>6.1120000000000001</v>
      </c>
      <c r="C20" s="960">
        <v>2.5207000000000002</v>
      </c>
      <c r="D20" s="961">
        <v>0.26779999999999998</v>
      </c>
      <c r="E20" s="962">
        <v>3.5200000000000002E-2</v>
      </c>
    </row>
    <row r="21" spans="1:5" x14ac:dyDescent="0.25">
      <c r="A21" s="31">
        <f t="shared" si="0"/>
        <v>13.000000000000256</v>
      </c>
      <c r="B21" s="953">
        <v>5.1130000000000004</v>
      </c>
      <c r="C21" s="960">
        <v>2.6514000000000002</v>
      </c>
      <c r="D21" s="961">
        <v>0.45669999999999999</v>
      </c>
      <c r="E21" s="962">
        <v>3.27E-2</v>
      </c>
    </row>
    <row r="22" spans="1:5" x14ac:dyDescent="0.25">
      <c r="A22" s="31">
        <f t="shared" si="0"/>
        <v>14.000000000000057</v>
      </c>
      <c r="B22" s="953">
        <v>4.1139999999999999</v>
      </c>
      <c r="C22" s="960">
        <v>2.7862</v>
      </c>
      <c r="D22" s="961">
        <v>0.38790000000000002</v>
      </c>
      <c r="E22" s="962">
        <v>3.61E-2</v>
      </c>
    </row>
    <row r="23" spans="1:5" x14ac:dyDescent="0.25">
      <c r="A23" s="31">
        <f t="shared" si="0"/>
        <v>15.000000000000213</v>
      </c>
      <c r="B23" s="953">
        <v>3.1150000000000002</v>
      </c>
      <c r="C23" s="960">
        <v>2.9211999999999998</v>
      </c>
      <c r="D23" s="961">
        <v>0.31390000000000001</v>
      </c>
      <c r="E23" s="962">
        <v>3.6299999999999999E-2</v>
      </c>
    </row>
    <row r="24" spans="1:5" x14ac:dyDescent="0.25">
      <c r="A24" s="31">
        <f t="shared" si="0"/>
        <v>16.000000000000014</v>
      </c>
      <c r="B24" s="953">
        <v>2.1160000000000001</v>
      </c>
      <c r="C24" s="960">
        <v>3.0628000000000002</v>
      </c>
      <c r="D24" s="961">
        <v>0.23039999999999999</v>
      </c>
      <c r="E24" s="962">
        <v>3.3700000000000001E-2</v>
      </c>
    </row>
    <row r="25" spans="1:5" x14ac:dyDescent="0.25">
      <c r="A25" s="31">
        <f t="shared" si="0"/>
        <v>16.999999999999993</v>
      </c>
      <c r="B25" s="953">
        <v>1.117</v>
      </c>
      <c r="C25" s="960">
        <v>3.1920000000000002</v>
      </c>
      <c r="D25" s="961">
        <v>0.13950000000000001</v>
      </c>
      <c r="E25" s="962">
        <v>3.1199999999999999E-2</v>
      </c>
    </row>
    <row r="26" spans="1:5" x14ac:dyDescent="0.25">
      <c r="A26" s="31">
        <f t="shared" si="0"/>
        <v>18.000000000000682</v>
      </c>
      <c r="B26" s="953">
        <v>6.1180000000000003</v>
      </c>
      <c r="C26" s="960">
        <v>3.3212999999999999</v>
      </c>
      <c r="D26" s="961">
        <v>0.29099999999999998</v>
      </c>
      <c r="E26" s="962">
        <v>3.2000000000000001E-2</v>
      </c>
    </row>
    <row r="27" spans="1:5" x14ac:dyDescent="0.25">
      <c r="A27" s="31">
        <f t="shared" si="0"/>
        <v>18.000000000000682</v>
      </c>
      <c r="B27" s="953">
        <v>6.1180000000000003</v>
      </c>
      <c r="C27" s="960">
        <v>3.3212999999999999</v>
      </c>
      <c r="D27" s="961">
        <v>0.29099999999999998</v>
      </c>
      <c r="E27" s="962">
        <v>3.2000000000000001E-2</v>
      </c>
    </row>
    <row r="28" spans="1:5" x14ac:dyDescent="0.25">
      <c r="A28" s="31">
        <f t="shared" si="0"/>
        <v>18.999999999999773</v>
      </c>
      <c r="B28" s="953">
        <v>5.1189999999999998</v>
      </c>
      <c r="C28" s="960">
        <v>3.44</v>
      </c>
      <c r="D28" s="961">
        <v>0.1875</v>
      </c>
      <c r="E28" s="962">
        <v>2.9100000000000001E-2</v>
      </c>
    </row>
    <row r="29" spans="1:5" x14ac:dyDescent="0.25">
      <c r="A29" s="31">
        <f t="shared" si="0"/>
        <v>20.000000000000284</v>
      </c>
      <c r="B29" s="953">
        <v>4.12</v>
      </c>
      <c r="C29" s="960">
        <v>3.5615000000000001</v>
      </c>
      <c r="D29" s="961">
        <v>7.8200000000000006E-2</v>
      </c>
      <c r="E29" s="962">
        <v>3.0099999999999998E-2</v>
      </c>
    </row>
    <row r="30" spans="1:5" x14ac:dyDescent="0.25">
      <c r="A30" s="31">
        <f t="shared" si="0"/>
        <v>21.000000000000085</v>
      </c>
      <c r="B30" s="953">
        <v>3.121</v>
      </c>
      <c r="C30" s="960">
        <v>3.6800999999999999</v>
      </c>
      <c r="D30" s="961">
        <v>-4.1399999999999999E-2</v>
      </c>
      <c r="E30" s="962">
        <v>2.9899999999999999E-2</v>
      </c>
    </row>
    <row r="31" spans="1:5" x14ac:dyDescent="0.25">
      <c r="A31" s="31">
        <f t="shared" si="0"/>
        <v>21.999999999999886</v>
      </c>
      <c r="B31" s="953">
        <v>2.1219999999999999</v>
      </c>
      <c r="C31" s="960">
        <v>3.7938000000000001</v>
      </c>
      <c r="D31" s="961">
        <v>-0.16739999999999999</v>
      </c>
      <c r="E31" s="962">
        <v>2.8000000000000001E-2</v>
      </c>
    </row>
    <row r="32" spans="1:5" x14ac:dyDescent="0.25">
      <c r="A32" s="31">
        <f t="shared" si="0"/>
        <v>23.000000000000043</v>
      </c>
      <c r="B32" s="953">
        <v>1.123</v>
      </c>
      <c r="C32" s="960">
        <v>3.9011999999999998</v>
      </c>
      <c r="D32" s="961">
        <v>-0.29699999999999999</v>
      </c>
      <c r="E32" s="962">
        <v>2.5399999999999999E-2</v>
      </c>
    </row>
    <row r="33" spans="1:5" x14ac:dyDescent="0.25">
      <c r="A33" s="31">
        <f t="shared" si="0"/>
        <v>23.999999999999488</v>
      </c>
      <c r="B33" s="953">
        <v>6.1239999999999997</v>
      </c>
      <c r="C33" s="960">
        <v>4.0052000000000003</v>
      </c>
      <c r="D33" s="961">
        <v>-0.1827</v>
      </c>
      <c r="E33" s="962">
        <v>2.5600000000000001E-2</v>
      </c>
    </row>
    <row r="34" spans="1:5" x14ac:dyDescent="0.25">
      <c r="A34" s="31">
        <f t="shared" si="0"/>
        <v>23.999999999999488</v>
      </c>
      <c r="B34" s="953">
        <v>6.1239999999999997</v>
      </c>
      <c r="C34" s="960">
        <v>4.0052000000000003</v>
      </c>
      <c r="D34" s="961">
        <v>-0.1827</v>
      </c>
      <c r="E34" s="962">
        <v>2.5600000000000001E-2</v>
      </c>
    </row>
    <row r="35" spans="1:5" x14ac:dyDescent="0.25">
      <c r="A35" s="31">
        <f t="shared" si="0"/>
        <v>25</v>
      </c>
      <c r="B35" s="953">
        <v>5.125</v>
      </c>
      <c r="C35" s="960">
        <v>4.0998000000000001</v>
      </c>
      <c r="D35" s="961">
        <v>-0.32050000000000001</v>
      </c>
      <c r="E35" s="962">
        <v>2.29E-2</v>
      </c>
    </row>
    <row r="36" spans="1:5" x14ac:dyDescent="0.25">
      <c r="A36" s="31">
        <f t="shared" si="0"/>
        <v>26.000000000000512</v>
      </c>
      <c r="B36" s="953">
        <v>4.1260000000000003</v>
      </c>
      <c r="C36" s="960">
        <v>4.1936</v>
      </c>
      <c r="D36" s="961">
        <v>-0.4632</v>
      </c>
      <c r="E36" s="962">
        <v>2.3E-2</v>
      </c>
    </row>
    <row r="37" spans="1:5" x14ac:dyDescent="0.25">
      <c r="A37" s="31">
        <f t="shared" si="0"/>
        <v>26.999999999999602</v>
      </c>
      <c r="B37" s="953">
        <v>3.1269999999999998</v>
      </c>
      <c r="C37" s="960">
        <v>4.2827999999999999</v>
      </c>
      <c r="D37" s="961">
        <v>-0.61480000000000001</v>
      </c>
      <c r="E37" s="962">
        <v>2.2200000000000001E-2</v>
      </c>
    </row>
    <row r="38" spans="1:5" x14ac:dyDescent="0.25">
      <c r="A38" s="31">
        <f t="shared" si="0"/>
        <v>28.000000000000114</v>
      </c>
      <c r="B38" s="953">
        <v>2.1280000000000001</v>
      </c>
      <c r="C38" s="960">
        <v>4.367</v>
      </c>
      <c r="D38" s="961">
        <v>-0.77129999999999999</v>
      </c>
      <c r="E38" s="962">
        <v>2.0199999999999999E-2</v>
      </c>
    </row>
    <row r="39" spans="1:5" x14ac:dyDescent="0.25">
      <c r="A39" s="31">
        <f t="shared" si="0"/>
        <v>28.999999999999915</v>
      </c>
      <c r="B39" s="953">
        <v>1.129</v>
      </c>
      <c r="C39" s="960">
        <v>4.4440999999999997</v>
      </c>
      <c r="D39" s="961">
        <v>-0.92930000000000001</v>
      </c>
      <c r="E39" s="962">
        <v>1.7899999999999999E-2</v>
      </c>
    </row>
    <row r="40" spans="1:5" x14ac:dyDescent="0.25">
      <c r="A40" s="31">
        <f t="shared" si="0"/>
        <v>29.999999999999716</v>
      </c>
      <c r="B40" s="953">
        <v>6.13</v>
      </c>
      <c r="C40" s="960">
        <v>4.5156999999999998</v>
      </c>
      <c r="D40" s="961">
        <v>-0.84099999999999997</v>
      </c>
      <c r="E40" s="962">
        <v>1.7399999999999999E-2</v>
      </c>
    </row>
    <row r="41" spans="1:5" x14ac:dyDescent="0.25">
      <c r="A41" s="31">
        <f t="shared" si="0"/>
        <v>29.999999999999716</v>
      </c>
      <c r="B41" s="953">
        <v>6.13</v>
      </c>
      <c r="C41" s="960">
        <v>4.5156999999999998</v>
      </c>
      <c r="D41" s="961">
        <v>-0.84099999999999997</v>
      </c>
      <c r="E41" s="962">
        <v>1.7399999999999999E-2</v>
      </c>
    </row>
    <row r="42" spans="1:5" x14ac:dyDescent="0.25">
      <c r="A42" s="31">
        <f t="shared" si="0"/>
        <v>31.000000000000227</v>
      </c>
      <c r="B42" s="953">
        <v>5.1310000000000002</v>
      </c>
      <c r="C42" s="960">
        <v>4.5797999999999996</v>
      </c>
      <c r="D42" s="961">
        <v>-1.0032000000000001</v>
      </c>
      <c r="E42" s="962">
        <v>1.5100000000000001E-2</v>
      </c>
    </row>
    <row r="43" spans="1:5" x14ac:dyDescent="0.25">
      <c r="A43" s="31">
        <f t="shared" si="0"/>
        <v>31.999999999999318</v>
      </c>
      <c r="B43" s="953">
        <v>4.1319999999999997</v>
      </c>
      <c r="C43" s="960">
        <v>4.6402000000000001</v>
      </c>
      <c r="D43" s="961">
        <v>-1.1688000000000001</v>
      </c>
      <c r="E43" s="962">
        <v>1.4500000000000001E-2</v>
      </c>
    </row>
    <row r="44" spans="1:5" x14ac:dyDescent="0.25">
      <c r="A44" s="31">
        <f t="shared" si="0"/>
        <v>32.999999999999829</v>
      </c>
      <c r="B44" s="953">
        <v>3.133</v>
      </c>
      <c r="C44" s="960">
        <v>4.6947999999999999</v>
      </c>
      <c r="D44" s="961">
        <v>-1.3412999999999999</v>
      </c>
      <c r="E44" s="962">
        <v>1.34E-2</v>
      </c>
    </row>
    <row r="45" spans="1:5" x14ac:dyDescent="0.25">
      <c r="A45" s="31">
        <f t="shared" si="0"/>
        <v>33.999999999999986</v>
      </c>
      <c r="B45" s="953">
        <v>2.1339999999999999</v>
      </c>
      <c r="C45" s="960">
        <v>4.7446999999999999</v>
      </c>
      <c r="D45" s="961">
        <v>-1.5189999999999999</v>
      </c>
      <c r="E45" s="962">
        <v>1.14E-2</v>
      </c>
    </row>
    <row r="46" spans="1:5" x14ac:dyDescent="0.25">
      <c r="A46" s="31">
        <f t="shared" si="0"/>
        <v>34.999999999999964</v>
      </c>
      <c r="B46" s="953">
        <v>1.135</v>
      </c>
      <c r="C46" s="960">
        <v>4.7872000000000003</v>
      </c>
      <c r="D46" s="961">
        <v>-1.696</v>
      </c>
      <c r="E46" s="962">
        <v>9.4999999999999998E-3</v>
      </c>
    </row>
    <row r="47" spans="1:5" x14ac:dyDescent="0.25">
      <c r="A47" s="31">
        <f t="shared" si="0"/>
        <v>35.999999999999943</v>
      </c>
      <c r="B47" s="953">
        <v>6.1360000000000001</v>
      </c>
      <c r="C47" s="960">
        <v>4.8231999999999999</v>
      </c>
      <c r="D47" s="961">
        <v>-1.6242000000000001</v>
      </c>
      <c r="E47" s="962">
        <v>8.5000000000000006E-3</v>
      </c>
    </row>
    <row r="48" spans="1:5" x14ac:dyDescent="0.25">
      <c r="A48" s="31">
        <f t="shared" si="0"/>
        <v>35.999999999999943</v>
      </c>
      <c r="B48" s="953">
        <v>6.1360000000000001</v>
      </c>
      <c r="C48" s="960">
        <v>4.8231999999999999</v>
      </c>
      <c r="D48" s="961">
        <v>-1.6242000000000001</v>
      </c>
      <c r="E48" s="962">
        <v>8.5000000000000006E-3</v>
      </c>
    </row>
    <row r="49" spans="1:5" x14ac:dyDescent="0.25">
      <c r="A49" s="31">
        <f t="shared" si="0"/>
        <v>36.999999999999744</v>
      </c>
      <c r="B49" s="953">
        <v>5.1369999999999996</v>
      </c>
      <c r="C49" s="960">
        <v>4.8535000000000004</v>
      </c>
      <c r="D49" s="961">
        <v>-1.8050999999999999</v>
      </c>
      <c r="E49" s="962">
        <v>6.6E-3</v>
      </c>
    </row>
    <row r="50" spans="1:5" x14ac:dyDescent="0.25">
      <c r="A50" s="31">
        <f t="shared" si="0"/>
        <v>37.999999999999545</v>
      </c>
      <c r="B50" s="953">
        <v>4.1379999999999999</v>
      </c>
      <c r="C50" s="960">
        <v>4.8780000000000001</v>
      </c>
      <c r="D50" s="961">
        <v>-1.9872000000000001</v>
      </c>
      <c r="E50" s="962">
        <v>5.3E-3</v>
      </c>
    </row>
    <row r="51" spans="1:5" x14ac:dyDescent="0.25">
      <c r="A51" s="31">
        <f t="shared" si="0"/>
        <v>38.999999999999702</v>
      </c>
      <c r="B51" s="953">
        <v>3.1389999999999998</v>
      </c>
      <c r="C51" s="960">
        <v>4.8963000000000001</v>
      </c>
      <c r="D51" s="961">
        <v>-2.1715</v>
      </c>
      <c r="E51" s="962">
        <v>3.5999999999999999E-3</v>
      </c>
    </row>
    <row r="52" spans="1:5" x14ac:dyDescent="0.25">
      <c r="A52" s="31">
        <f t="shared" si="0"/>
        <v>40.000000000000213</v>
      </c>
      <c r="B52" s="953">
        <v>2.14</v>
      </c>
      <c r="C52" s="960">
        <v>4.9076000000000004</v>
      </c>
      <c r="D52" s="961">
        <v>-2.3487</v>
      </c>
      <c r="E52" s="962">
        <v>1.8E-3</v>
      </c>
    </row>
    <row r="53" spans="1:5" x14ac:dyDescent="0.25">
      <c r="A53" s="31">
        <f t="shared" si="0"/>
        <v>41.000000000000014</v>
      </c>
      <c r="B53" s="953">
        <v>1.141</v>
      </c>
      <c r="C53" s="960">
        <v>4.9236000000000004</v>
      </c>
      <c r="D53" s="961">
        <v>-2.5186000000000002</v>
      </c>
      <c r="E53" s="962">
        <v>4.5999999999999999E-3</v>
      </c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2025-05-28T16:01:35Z</dcterms:modified>
</cp:coreProperties>
</file>