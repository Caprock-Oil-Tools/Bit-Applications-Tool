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72\"/>
    </mc:Choice>
  </mc:AlternateContent>
  <xr:revisionPtr revIDLastSave="0" documentId="13_ncr:1_{B06A62C6-624B-44B4-9822-5E799082775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3" i="1"/>
  <c r="IF131" i="1"/>
  <c r="IF123" i="1"/>
  <c r="IF141" i="1"/>
  <c r="IF124" i="1"/>
  <c r="IF146" i="1"/>
  <c r="IF11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C102" i="1" l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V19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I75" i="1" l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P19" i="1"/>
  <c r="IU35" i="1"/>
  <c r="IE35" i="1" s="1"/>
  <c r="IP49" i="1"/>
  <c r="IP59" i="1"/>
  <c r="IP71" i="1"/>
  <c r="AQ11" i="1"/>
  <c r="IP20" i="1"/>
  <c r="AQ20" i="1"/>
  <c r="IU20" i="1"/>
  <c r="IE20" i="1" s="1"/>
  <c r="IQ19" i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2" i="1" l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14" i="1" l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S55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113" i="1" l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T19" i="1"/>
  <c r="IS32" i="1"/>
  <c r="IS46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<sst xmlns="http://schemas.openxmlformats.org/spreadsheetml/2006/main" count="742" uniqueCount="394">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</sst>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9.875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4.9375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9.875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58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1.11's θ about Z Axis</v>
      </c>
      <c r="U5" s="1138"/>
      <c r="V5" s="1139"/>
      <c r="W5" s="1138" t="str">
        <f>CONCATENATE("Relative to ",M8,"'s θ about Z Axis")</f>
        <v>Relative to 1.11's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>Inactive Element</v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-8.0600243090333201E-2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-0.54920165639219576</v>
      </c>
      <c r="E9" s="705">
        <v>-0.93969263802333458</v>
      </c>
      <c r="F9" s="703">
        <v>-8.8521302156295556E-2</v>
      </c>
      <c r="G9" s="706">
        <v>0.33036604714967333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-0.54920165639219576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-0.54920165639219576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-0.54920165639219576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-0.54920165639219576</v>
      </c>
      <c r="Z9" s="623">
        <f t="shared" ref="Z9:Z40" si="6">IF(M9="","",-E9)</f>
        <v>0.93969263802333458</v>
      </c>
      <c r="AA9" s="624">
        <f t="shared" ref="AA9:AA40" si="7">IF(M9="","",-F9)</f>
        <v>8.8521302156295556E-2</v>
      </c>
      <c r="AB9" s="624">
        <f t="shared" ref="AB9:AB40" si="8">IF(M9="","",-G9)</f>
        <v>-0.33036604714967333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8.8521302156295556E-2</v>
      </c>
      <c r="AF9" s="625">
        <f>IF(M9="","",AB9*(1/SQRT(Z9^2+AA9^2+AB9^2)))</f>
        <v>-0.33036604714967333</v>
      </c>
      <c r="AG9" s="599">
        <f>IF(M9="","",DEGREES(ATAN2(-AF9,AE9)))</f>
        <v>14.999997834268264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8.8521302156295556E-2</v>
      </c>
      <c r="AM9" s="626">
        <f>IF(M9="","",AF9)</f>
        <v>-0.33036604714967333</v>
      </c>
      <c r="AN9" s="581">
        <f>IF(M9="","",DEGREES(ATAN2(-AM9,AL9)))</f>
        <v>14.999997834268264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5.3815187622394776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-0.54920165639219576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50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-3.2654120549268146E-16</v>
      </c>
      <c r="C10" s="708">
        <v>0.95530288119348972</v>
      </c>
      <c r="D10" s="709">
        <v>-0.42740128904228769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1613</v>
      </c>
      <c r="M10" s="168">
        <f t="shared" si="1"/>
        <v>1.1040000000000001</v>
      </c>
      <c r="N10" s="632">
        <f t="shared" si="2"/>
        <v>-3.2654120549268146E-16</v>
      </c>
      <c r="O10" s="629">
        <f t="shared" si="3"/>
        <v>0.95530288119348972</v>
      </c>
      <c r="P10" s="633">
        <f t="shared" si="4"/>
        <v>-0.42740128904228769</v>
      </c>
      <c r="Q10" s="585">
        <f>IF(M10="","",IF(DEGREES(ATAN2(N10,O10))&lt;0,DEGREES(ATAN2(N10,O10))+360,IF(DEGREES(ATAN2(N10,O10))&gt;360,DEGREES(ATAN2(N10,O10))-360,DEGREES(ATAN2(N10,O10)))))</f>
        <v>90.000000000000014</v>
      </c>
      <c r="R10" s="629">
        <f t="shared" ref="R10:R105" si="79">IF(M10="","",SQRT(N10^2+O10^2))</f>
        <v>0.95530288119348972</v>
      </c>
      <c r="S10" s="634">
        <f t="shared" ref="S10:S105" si="80">IF(M10="","",P10)</f>
        <v>-0.42740128904228769</v>
      </c>
      <c r="T10" s="635">
        <f t="shared" ref="T10:T105" si="81">IF(M10="","",X10*COS(RADIANS(W10)))</f>
        <v>0.95530288119348972</v>
      </c>
      <c r="U10" s="629">
        <f t="shared" ref="U10:U105" si="82">IF(M10="","",X10*SIN(RADIANS(W10)))</f>
        <v>2.3694014758198437E-16</v>
      </c>
      <c r="V10" s="636">
        <f>IF(M10="","",Y10)</f>
        <v>-0.42740128904228769</v>
      </c>
      <c r="W10" s="585">
        <f t="shared" si="5"/>
        <v>1.4210854715202004E-14</v>
      </c>
      <c r="X10" s="629">
        <f t="shared" ref="X10:X105" si="83">IF(M10="","",R10)</f>
        <v>0.95530288119348972</v>
      </c>
      <c r="Y10" s="630">
        <f>IF(M10="","",S10)</f>
        <v>-0.42740128904228769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6.6987279208206976E-2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14.999997834268219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3.9671296450865583</v>
      </c>
      <c r="AQ10" s="586">
        <f t="shared" si="9"/>
        <v>2.3850129541352585</v>
      </c>
      <c r="AS10" s="52">
        <f>IF($M10="","",IF(AND($W10&lt;($AS$9+180),$W10&gt;($AS$9-180)),$W10,IF($W10&gt;($AS$9+180),$W10-360,IF($W10&lt;($AS$9-180),$W10+360,"Error"))))</f>
        <v>1.4210854715202004E-14</v>
      </c>
      <c r="AT10" s="72">
        <f t="shared" si="10"/>
        <v>-0.42740128904228769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8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-4.6953637391104521E-17</v>
      </c>
      <c r="C11" s="708">
        <v>1.6496049752086055</v>
      </c>
      <c r="D11" s="709">
        <v>-0.24130072776299505</v>
      </c>
      <c r="E11" s="710">
        <v>-0.96592583607220739</v>
      </c>
      <c r="F11" s="708">
        <v>-6.6987279208207198E-2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-4.6953637391104521E-17</v>
      </c>
      <c r="O11" s="629">
        <f t="shared" si="3"/>
        <v>1.6496049752086055</v>
      </c>
      <c r="P11" s="633">
        <f t="shared" si="4"/>
        <v>-0.24130072776299505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1.6496049752086055</v>
      </c>
      <c r="S11" s="634">
        <f t="shared" si="80"/>
        <v>-0.24130072776299505</v>
      </c>
      <c r="T11" s="635">
        <f t="shared" si="81"/>
        <v>1.6496049752086055</v>
      </c>
      <c r="U11" s="629">
        <f t="shared" si="82"/>
        <v>0</v>
      </c>
      <c r="V11" s="636">
        <f t="shared" ref="V11:V105" si="114">IF(M11="","",Y11)</f>
        <v>-0.24130072776299505</v>
      </c>
      <c r="W11" s="585">
        <f t="shared" si="5"/>
        <v>0</v>
      </c>
      <c r="X11" s="629">
        <f>IF(M11="","",R11)</f>
        <v>1.6496049752086055</v>
      </c>
      <c r="Y11" s="630">
        <f>IF(M11="","",S11)</f>
        <v>-0.24130072776299505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-0.24999996726497561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-0.24999996726497561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1.3817154525322062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-0.24130072776299505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2.9879587430702876E-17</v>
      </c>
      <c r="C12" s="708">
        <v>2.3689071446239485</v>
      </c>
      <c r="D12" s="709">
        <v>-8.0600243090333201E-2</v>
      </c>
      <c r="E12" s="710">
        <v>-0.96592583607220739</v>
      </c>
      <c r="F12" s="708">
        <v>-2.2557559682354417E-2</v>
      </c>
      <c r="G12" s="711">
        <v>0.25783412440827963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2.9879587430702876E-17</v>
      </c>
      <c r="O12" s="629">
        <f t="shared" si="3"/>
        <v>2.3689071446239485</v>
      </c>
      <c r="P12" s="633">
        <f t="shared" si="4"/>
        <v>-8.0600243090333201E-2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2.3689071446239485</v>
      </c>
      <c r="S12" s="634">
        <f t="shared" si="80"/>
        <v>-8.0600243090333201E-2</v>
      </c>
      <c r="T12" s="635">
        <f>IF(M12="","",X12*COS(RADIANS(W12)))</f>
        <v>2.3689071446239485</v>
      </c>
      <c r="U12" s="629">
        <f t="shared" si="82"/>
        <v>0</v>
      </c>
      <c r="V12" s="636">
        <f t="shared" si="114"/>
        <v>-8.0600243090333201E-2</v>
      </c>
      <c r="W12" s="585">
        <f>IF(M12="","",IF(Q12-$Q$8&lt;0,360+Q12-$Q$8,Q12-$Q$8))</f>
        <v>0</v>
      </c>
      <c r="X12" s="629">
        <f t="shared" si="83"/>
        <v>2.3689071446239485</v>
      </c>
      <c r="Y12" s="630">
        <f>IF(M12="","",S12)</f>
        <v>-8.0600243090333201E-2</v>
      </c>
      <c r="Z12" s="632">
        <f t="shared" si="6"/>
        <v>0.96592583607220739</v>
      </c>
      <c r="AA12" s="629">
        <f t="shared" si="7"/>
        <v>2.2557559682354417E-2</v>
      </c>
      <c r="AB12" s="629">
        <f t="shared" si="8"/>
        <v>-0.25783412440827963</v>
      </c>
      <c r="AC12" s="636">
        <f t="shared" si="84"/>
        <v>1</v>
      </c>
      <c r="AD12" s="637">
        <f t="shared" si="115"/>
        <v>0.96592583607220739</v>
      </c>
      <c r="AE12" s="629">
        <f t="shared" si="85"/>
        <v>2.2557559682354417E-2</v>
      </c>
      <c r="AF12" s="633">
        <f t="shared" si="86"/>
        <v>-0.25783412440827963</v>
      </c>
      <c r="AG12" s="602">
        <f t="shared" si="87"/>
        <v>4.9999992780894242</v>
      </c>
      <c r="AH12" s="603">
        <f t="shared" si="88"/>
        <v>14.999997834268255</v>
      </c>
      <c r="AI12" s="585">
        <f t="shared" si="89"/>
        <v>-75.058414528502141</v>
      </c>
      <c r="AJ12" s="586">
        <f t="shared" si="90"/>
        <v>91.337802589549781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2.2557559682354417E-2</v>
      </c>
      <c r="AM12" s="634">
        <f t="shared" si="92"/>
        <v>-0.25783412440827963</v>
      </c>
      <c r="AN12" s="581">
        <f>IF(M12="","",DEGREES(ATAN2(-AM12,AL12)))</f>
        <v>4.9999992780894242</v>
      </c>
      <c r="AO12" s="582">
        <f t="shared" si="94"/>
        <v>14.999997834268255</v>
      </c>
      <c r="AP12" s="585">
        <f t="shared" si="95"/>
        <v>1.3378025895497807</v>
      </c>
      <c r="AQ12" s="586">
        <f t="shared" si="9"/>
        <v>0.9622632498227468</v>
      </c>
      <c r="AS12" s="52">
        <f t="shared" si="116"/>
        <v>0</v>
      </c>
      <c r="AT12" s="72">
        <f>IF(M12="","",Y12+(((AS12-$AS$9)*$AS$6)*-1))</f>
        <v>-8.0600243090333201E-2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4.3758711181308224E-2</v>
      </c>
      <c r="C13" s="708">
        <v>3.1523058047771819</v>
      </c>
      <c r="D13" s="709">
        <v>-0.22930069157088603</v>
      </c>
      <c r="E13" s="710">
        <v>-0.96075971254520087</v>
      </c>
      <c r="F13" s="708">
        <v>0.15987533045120422</v>
      </c>
      <c r="G13" s="711">
        <v>0.22667301000159101</v>
      </c>
      <c r="H13" s="710">
        <v>0.314</v>
      </c>
      <c r="I13" s="708">
        <v>0.52</v>
      </c>
      <c r="J13" s="570">
        <v>1.117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1613</v>
      </c>
      <c r="L13" s="774">
        <f>IF($L12=$JH$22,$JH$29,IF($L12=$JI$22,$JI$29,""))</f>
        <v>130</v>
      </c>
      <c r="M13" s="168">
        <f t="shared" si="1"/>
        <v>1.117</v>
      </c>
      <c r="N13" s="632">
        <f t="shared" si="2"/>
        <v>4.3758711181308224E-2</v>
      </c>
      <c r="O13" s="629">
        <f t="shared" si="3"/>
        <v>3.1523058047771819</v>
      </c>
      <c r="P13" s="633">
        <f t="shared" si="4"/>
        <v>-0.22930069157088603</v>
      </c>
      <c r="Q13" s="585">
        <f t="shared" si="113"/>
        <v>89.204700114827105</v>
      </c>
      <c r="R13" s="629">
        <f t="shared" si="79"/>
        <v>3.1526095082702783</v>
      </c>
      <c r="S13" s="634">
        <f t="shared" si="80"/>
        <v>-0.22930069157088603</v>
      </c>
      <c r="T13" s="635">
        <f>IF(M13="","",X13*COS(RADIANS(W13)))</f>
        <v>3.1523058047771819</v>
      </c>
      <c r="U13" s="629">
        <f t="shared" si="82"/>
        <v>-4.3758711181306434E-2</v>
      </c>
      <c r="V13" s="636">
        <f t="shared" si="114"/>
        <v>-0.22930069157088603</v>
      </c>
      <c r="W13" s="585">
        <f t="shared" si="5"/>
        <v>359.20470011482712</v>
      </c>
      <c r="X13" s="629">
        <f t="shared" si="83"/>
        <v>3.1526095082702783</v>
      </c>
      <c r="Y13" s="630">
        <f>IF(M13="","",S13)</f>
        <v>-0.22930069157088603</v>
      </c>
      <c r="Z13" s="632">
        <f t="shared" si="6"/>
        <v>0.96075971254520087</v>
      </c>
      <c r="AA13" s="629">
        <f t="shared" si="7"/>
        <v>-0.15987533045120422</v>
      </c>
      <c r="AB13" s="629">
        <f t="shared" si="8"/>
        <v>-0.22667301000159101</v>
      </c>
      <c r="AC13" s="636">
        <f t="shared" si="84"/>
        <v>1</v>
      </c>
      <c r="AD13" s="637">
        <f>IF(M13="","",Z13*(1/SQRT(Z13^2+AA13^2+AB13^2)))</f>
        <v>0.96075971254520087</v>
      </c>
      <c r="AE13" s="629">
        <f t="shared" si="85"/>
        <v>-0.15987533045120422</v>
      </c>
      <c r="AF13" s="633">
        <f t="shared" si="86"/>
        <v>-0.22667301000159101</v>
      </c>
      <c r="AG13" s="602">
        <f>IF(M13="","",DEGREES(ATAN2(-AF13,AE13)))</f>
        <v>-35.195799099840116</v>
      </c>
      <c r="AH13" s="603">
        <f t="shared" si="88"/>
        <v>16.104016329743413</v>
      </c>
      <c r="AI13" s="585">
        <f t="shared" si="89"/>
        <v>-76.898723306703928</v>
      </c>
      <c r="AJ13" s="586">
        <f t="shared" si="90"/>
        <v>80.552259195066398</v>
      </c>
      <c r="AK13" s="635">
        <f t="shared" si="211"/>
        <v>0.96288625321315124</v>
      </c>
      <c r="AL13" s="629">
        <f t="shared" si="91"/>
        <v>-0.14652443451505903</v>
      </c>
      <c r="AM13" s="634">
        <f t="shared" si="92"/>
        <v>-0.22667301000159101</v>
      </c>
      <c r="AN13" s="581">
        <f t="shared" si="93"/>
        <v>-32.879162308528826</v>
      </c>
      <c r="AO13" s="582">
        <f t="shared" si="94"/>
        <v>15.658763169419025</v>
      </c>
      <c r="AP13" s="585">
        <f t="shared" si="95"/>
        <v>-8.6524409197607284</v>
      </c>
      <c r="AQ13" s="586">
        <f t="shared" si="9"/>
        <v>0.72308530252468395</v>
      </c>
      <c r="AS13" s="52">
        <f t="shared" si="116"/>
        <v>-0.79529988517288075</v>
      </c>
      <c r="AT13" s="72">
        <f t="shared" si="10"/>
        <v>-0.22874839998396043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0.10769275661636434</v>
      </c>
      <c r="C14" s="708">
        <v>3.7772765113871682</v>
      </c>
      <c r="D14" s="709">
        <v>-0.68730207290305134</v>
      </c>
      <c r="E14" s="710">
        <v>-0.95105774780570607</v>
      </c>
      <c r="F14" s="708">
        <v>0.2727907908407507</v>
      </c>
      <c r="G14" s="711">
        <v>0.14517005466423133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0.10769275661636434</v>
      </c>
      <c r="O14" s="629">
        <f t="shared" si="3"/>
        <v>3.7772765113871682</v>
      </c>
      <c r="P14" s="633">
        <f t="shared" si="4"/>
        <v>-0.68730207290305134</v>
      </c>
      <c r="Q14" s="585">
        <f t="shared" si="113"/>
        <v>88.366900235790425</v>
      </c>
      <c r="R14" s="629">
        <f t="shared" si="79"/>
        <v>3.7788113968951729</v>
      </c>
      <c r="S14" s="634">
        <f t="shared" si="80"/>
        <v>-0.68730207290305134</v>
      </c>
      <c r="T14" s="635">
        <f t="shared" si="81"/>
        <v>3.7772765113871682</v>
      </c>
      <c r="U14" s="629">
        <f t="shared" si="82"/>
        <v>-0.10769275661636708</v>
      </c>
      <c r="V14" s="636">
        <f t="shared" si="114"/>
        <v>-0.68730207290305134</v>
      </c>
      <c r="W14" s="585">
        <f t="shared" si="5"/>
        <v>358.36690023579041</v>
      </c>
      <c r="X14" s="629">
        <f t="shared" si="83"/>
        <v>3.7788113968951729</v>
      </c>
      <c r="Y14" s="630">
        <f t="shared" ref="Y14:Y75" si="223">IF(M14="","",S14)</f>
        <v>-0.68730207290305134</v>
      </c>
      <c r="Z14" s="632">
        <f t="shared" si="6"/>
        <v>0.95105774780570607</v>
      </c>
      <c r="AA14" s="629">
        <f t="shared" si="7"/>
        <v>-0.2727907908407507</v>
      </c>
      <c r="AB14" s="629">
        <f t="shared" si="8"/>
        <v>-0.14517005466423133</v>
      </c>
      <c r="AC14" s="636">
        <f t="shared" si="84"/>
        <v>1</v>
      </c>
      <c r="AD14" s="637">
        <f>IF(M14="","",Z14*(1/SQRT(Z14^2+AA14^2+AB14^2)))</f>
        <v>0.95105774780570607</v>
      </c>
      <c r="AE14" s="629">
        <f t="shared" si="85"/>
        <v>-0.2727907908407507</v>
      </c>
      <c r="AF14" s="633">
        <f t="shared" si="86"/>
        <v>-0.14517005466423133</v>
      </c>
      <c r="AG14" s="602">
        <f t="shared" si="87"/>
        <v>-61.979598487442715</v>
      </c>
      <c r="AH14" s="603">
        <f t="shared" si="88"/>
        <v>17.999771660487621</v>
      </c>
      <c r="AI14" s="585">
        <f t="shared" si="89"/>
        <v>-81.652873200848092</v>
      </c>
      <c r="AJ14" s="586">
        <f t="shared" si="90"/>
        <v>73.995581791943991</v>
      </c>
      <c r="AK14" s="635">
        <f>IF(M14="","",(COS(RADIANS((90-$Q$8)-W14))*AD14)+(-SIN(RADIANS((90-$Q$8)-W14))*AE14))</f>
        <v>0.95844573957310553</v>
      </c>
      <c r="AL14" s="629">
        <f t="shared" si="91"/>
        <v>-0.24557569000808491</v>
      </c>
      <c r="AM14" s="634">
        <f t="shared" si="92"/>
        <v>-0.14517005466423133</v>
      </c>
      <c r="AN14" s="581">
        <f t="shared" si="93"/>
        <v>-59.410891736258392</v>
      </c>
      <c r="AO14" s="582">
        <f t="shared" si="94"/>
        <v>16.575280928717795</v>
      </c>
      <c r="AP14" s="585">
        <f>IF(M14="","",DEGREES(ATAN2(AK14,AL14)))</f>
        <v>-14.371318443846395</v>
      </c>
      <c r="AQ14" s="586">
        <f t="shared" si="9"/>
        <v>0.60326969193201418</v>
      </c>
      <c r="AS14" s="52">
        <f t="shared" si="116"/>
        <v>-1.6330997642095895</v>
      </c>
      <c r="AT14" s="72">
        <f t="shared" si="10"/>
        <v>-0.68616797584457245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0.16794707169601275</v>
      </c>
      <c r="C15" s="708">
        <v>4.204759946404196</v>
      </c>
      <c r="D15" s="709">
        <v>-1.3244039944024473</v>
      </c>
      <c r="E15" s="710">
        <v>-0.93679352250954739</v>
      </c>
      <c r="F15" s="708">
        <v>0.34090230707854624</v>
      </c>
      <c r="G15" s="711">
        <v>7.8762384503509128E-2</v>
      </c>
      <c r="H15" s="710">
        <v>0.314</v>
      </c>
      <c r="I15" s="708">
        <v>0.52</v>
      </c>
      <c r="J15" s="570">
        <v>1.131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1613</v>
      </c>
      <c r="L15" s="873">
        <f>IF($L14=$JH$22,$JH$29,IF($L14=$JI$22,$JI$29,""))</f>
        <v>0</v>
      </c>
      <c r="M15" s="168">
        <f t="shared" si="1"/>
        <v>1.131</v>
      </c>
      <c r="N15" s="632">
        <f t="shared" si="2"/>
        <v>0.16794707169601275</v>
      </c>
      <c r="O15" s="629">
        <f t="shared" si="3"/>
        <v>4.204759946404196</v>
      </c>
      <c r="P15" s="633">
        <f t="shared" si="4"/>
        <v>-1.3244039944024473</v>
      </c>
      <c r="Q15" s="585">
        <f t="shared" si="113"/>
        <v>87.712700330245212</v>
      </c>
      <c r="R15" s="629">
        <f t="shared" si="79"/>
        <v>4.2081126916678793</v>
      </c>
      <c r="S15" s="634">
        <f t="shared" si="80"/>
        <v>-1.3244039944024473</v>
      </c>
      <c r="T15" s="635">
        <f t="shared" si="81"/>
        <v>4.204759946404196</v>
      </c>
      <c r="U15" s="629">
        <f t="shared" si="82"/>
        <v>-0.16794707169601347</v>
      </c>
      <c r="V15" s="636">
        <f t="shared" si="114"/>
        <v>-1.3244039944024473</v>
      </c>
      <c r="W15" s="585">
        <f t="shared" ref="W15:W78" si="224">IF(M15="","",IF(Q15-$Q$8&lt;0,360+Q15-$Q$8,Q15-$Q$8))</f>
        <v>357.71270033024518</v>
      </c>
      <c r="X15" s="629">
        <f>IF(M15="","",R15)</f>
        <v>4.2081126916678793</v>
      </c>
      <c r="Y15" s="630">
        <f>IF(M15="","",S15)</f>
        <v>-1.3244039944024473</v>
      </c>
      <c r="Z15" s="632">
        <f t="shared" si="6"/>
        <v>0.93679352250954739</v>
      </c>
      <c r="AA15" s="629">
        <f t="shared" si="7"/>
        <v>-0.34090230707854624</v>
      </c>
      <c r="AB15" s="629">
        <f t="shared" si="8"/>
        <v>-7.8762384503509128E-2</v>
      </c>
      <c r="AC15" s="636">
        <f t="shared" si="84"/>
        <v>1</v>
      </c>
      <c r="AD15" s="637">
        <f t="shared" si="115"/>
        <v>0.93679352250954739</v>
      </c>
      <c r="AE15" s="629">
        <f t="shared" si="85"/>
        <v>-0.34090230707854624</v>
      </c>
      <c r="AF15" s="633">
        <f t="shared" si="86"/>
        <v>-7.8762384503509128E-2</v>
      </c>
      <c r="AG15" s="602">
        <f t="shared" si="87"/>
        <v>-76.990604224976011</v>
      </c>
      <c r="AH15" s="603">
        <f t="shared" si="88"/>
        <v>20.480140030540568</v>
      </c>
      <c r="AI15" s="585">
        <f t="shared" si="89"/>
        <v>-85.482568890582627</v>
      </c>
      <c r="AJ15" s="586">
        <f t="shared" si="90"/>
        <v>70.003383655360139</v>
      </c>
      <c r="AK15" s="635">
        <f t="shared" si="211"/>
        <v>0.94965266344219346</v>
      </c>
      <c r="AL15" s="629">
        <f t="shared" si="91"/>
        <v>-0.30324298112976872</v>
      </c>
      <c r="AM15" s="634">
        <f t="shared" si="92"/>
        <v>-7.8762384503509128E-2</v>
      </c>
      <c r="AN15" s="581">
        <f>IF(M15="","",DEGREES(ATAN2(-AM15,AL15)))</f>
        <v>-75.440083019104748</v>
      </c>
      <c r="AO15" s="582">
        <f t="shared" si="94"/>
        <v>18.25849881554138</v>
      </c>
      <c r="AP15" s="585">
        <f t="shared" si="95"/>
        <v>-17.70931667488507</v>
      </c>
      <c r="AQ15" s="586">
        <f t="shared" si="9"/>
        <v>0.54172947958337891</v>
      </c>
      <c r="AS15" s="52">
        <f t="shared" si="116"/>
        <v>-2.287299669754816</v>
      </c>
      <c r="AT15" s="72">
        <f t="shared" si="10"/>
        <v>-1.3228155918540063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0.21262144427435939</v>
      </c>
      <c r="C16" s="708">
        <v>4.472462330926386</v>
      </c>
      <c r="D16" s="709">
        <v>-2.038606148436144</v>
      </c>
      <c r="E16" s="710">
        <v>-0.92471345600144605</v>
      </c>
      <c r="F16" s="708">
        <v>0.37933294330158912</v>
      </c>
      <c r="G16" s="711">
        <v>3.1804754613350056E-2</v>
      </c>
      <c r="H16" s="710">
        <v>0.314</v>
      </c>
      <c r="I16" s="708">
        <v>0.52</v>
      </c>
      <c r="J16" s="570">
        <v>1.1379999999999999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1613</v>
      </c>
      <c r="L16" s="320"/>
      <c r="M16" s="168">
        <f t="shared" si="1"/>
        <v>1.1379999999999999</v>
      </c>
      <c r="N16" s="632">
        <f t="shared" si="2"/>
        <v>0.21262144427435939</v>
      </c>
      <c r="O16" s="629">
        <f t="shared" si="3"/>
        <v>4.472462330926386</v>
      </c>
      <c r="P16" s="633">
        <f t="shared" si="4"/>
        <v>-2.038606148436144</v>
      </c>
      <c r="Q16" s="585">
        <f>IF(M16="","",IF(DEGREES(ATAN2(N16,O16))&lt;0,DEGREES(ATAN2(N16,O16))+360,IF(DEGREES(ATAN2(N16,O16))&gt;360,DEGREES(ATAN2(N16,O16))-360,DEGREES(ATAN2(N16,O16)))))</f>
        <v>87.27820039297923</v>
      </c>
      <c r="R16" s="629">
        <f t="shared" si="79"/>
        <v>4.4775135041807301</v>
      </c>
      <c r="S16" s="634">
        <f t="shared" si="80"/>
        <v>-2.038606148436144</v>
      </c>
      <c r="T16" s="635">
        <f t="shared" si="81"/>
        <v>4.472462330926386</v>
      </c>
      <c r="U16" s="629">
        <f t="shared" si="82"/>
        <v>-0.21262144427436067</v>
      </c>
      <c r="V16" s="636">
        <f t="shared" si="114"/>
        <v>-2.038606148436144</v>
      </c>
      <c r="W16" s="585">
        <f>IF(M16="","",IF(Q16-$Q$8&lt;0,360+Q16-$Q$8,Q16-$Q$8))</f>
        <v>357.27820039297922</v>
      </c>
      <c r="X16" s="629">
        <f t="shared" si="83"/>
        <v>4.4775135041807301</v>
      </c>
      <c r="Y16" s="630">
        <f t="shared" si="223"/>
        <v>-2.038606148436144</v>
      </c>
      <c r="Z16" s="632">
        <f t="shared" si="6"/>
        <v>0.92471345600144605</v>
      </c>
      <c r="AA16" s="629">
        <f t="shared" si="7"/>
        <v>-0.37933294330158912</v>
      </c>
      <c r="AB16" s="629">
        <f t="shared" si="8"/>
        <v>-3.1804754613350056E-2</v>
      </c>
      <c r="AC16" s="636">
        <f t="shared" si="84"/>
        <v>1</v>
      </c>
      <c r="AD16" s="637">
        <f t="shared" si="115"/>
        <v>0.92471345600144605</v>
      </c>
      <c r="AE16" s="629">
        <f t="shared" si="85"/>
        <v>-0.37933294330158912</v>
      </c>
      <c r="AF16" s="633">
        <f t="shared" si="86"/>
        <v>-3.1804754613350056E-2</v>
      </c>
      <c r="AG16" s="602">
        <f t="shared" si="87"/>
        <v>-85.207307783834992</v>
      </c>
      <c r="AH16" s="603">
        <f t="shared" si="88"/>
        <v>22.374813800261634</v>
      </c>
      <c r="AI16" s="585">
        <f t="shared" si="89"/>
        <v>-88.177414433660616</v>
      </c>
      <c r="AJ16" s="586">
        <f t="shared" si="90"/>
        <v>67.695740254781882</v>
      </c>
      <c r="AK16" s="635">
        <f t="shared" si="211"/>
        <v>0.94168346185799889</v>
      </c>
      <c r="AL16" s="629">
        <f t="shared" si="91"/>
        <v>-0.33499360478540408</v>
      </c>
      <c r="AM16" s="634">
        <f t="shared" si="92"/>
        <v>-3.1804754613350056E-2</v>
      </c>
      <c r="AN16" s="581">
        <f t="shared" si="93"/>
        <v>-84.576516244926395</v>
      </c>
      <c r="AO16" s="582">
        <f t="shared" si="94"/>
        <v>19.663778701364343</v>
      </c>
      <c r="AP16" s="585">
        <f t="shared" si="95"/>
        <v>-19.582460138197348</v>
      </c>
      <c r="AQ16" s="586">
        <f t="shared" si="9"/>
        <v>0.50913673958273864</v>
      </c>
      <c r="AS16" s="52">
        <f t="shared" si="116"/>
        <v>-2.7217996070207846</v>
      </c>
      <c r="AT16" s="72">
        <f t="shared" si="10"/>
        <v>-2.0367160098201573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1.1379999999999999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0.23632765397624866</v>
      </c>
      <c r="C17" s="708">
        <v>4.6028509189461824</v>
      </c>
      <c r="D17" s="709">
        <v>-2.8087084710647487</v>
      </c>
      <c r="E17" s="710">
        <v>-0.90930920278256999</v>
      </c>
      <c r="F17" s="708">
        <v>0.41611981376507867</v>
      </c>
      <c r="G17" s="711">
        <v>1.0364974883581568E-3</v>
      </c>
      <c r="H17" s="710">
        <v>0.314</v>
      </c>
      <c r="I17" s="708">
        <v>0.52</v>
      </c>
      <c r="J17" s="570">
        <v>1.145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1613</v>
      </c>
      <c r="M17" s="168">
        <f t="shared" si="1"/>
        <v>1.145</v>
      </c>
      <c r="N17" s="632">
        <f t="shared" si="2"/>
        <v>0.23632765397624866</v>
      </c>
      <c r="O17" s="629">
        <f t="shared" si="3"/>
        <v>4.6028509189461824</v>
      </c>
      <c r="P17" s="633">
        <f t="shared" si="4"/>
        <v>-2.8087084710647487</v>
      </c>
      <c r="Q17" s="585">
        <f>IF(M17="","",IF(DEGREES(ATAN2(N17,O17))&lt;0,DEGREES(ATAN2(N17,O17))+360,IF(DEGREES(ATAN2(N17,O17))&gt;360,DEGREES(ATAN2(N17,O17))-360,DEGREES(ATAN2(N17,O17)))))</f>
        <v>87.060800424367912</v>
      </c>
      <c r="R17" s="629">
        <f>IF(M17="","",SQRT(N17^2+O17^2))</f>
        <v>4.6089139004843247</v>
      </c>
      <c r="S17" s="634">
        <f>IF(M17="","",P17)</f>
        <v>-2.8087084710647487</v>
      </c>
      <c r="T17" s="635">
        <f>IF(M17="","",X17*COS(RADIANS(W17)))</f>
        <v>4.6028509189461824</v>
      </c>
      <c r="U17" s="629">
        <f>IF(M17="","",X17*SIN(RADIANS(W17)))</f>
        <v>-0.23632765397624989</v>
      </c>
      <c r="V17" s="636">
        <f>IF(M17="","",Y17)</f>
        <v>-2.8087084710647487</v>
      </c>
      <c r="W17" s="585">
        <f t="shared" si="224"/>
        <v>357.06080042436793</v>
      </c>
      <c r="X17" s="629">
        <f>IF(M17="","",R17)</f>
        <v>4.6089139004843247</v>
      </c>
      <c r="Y17" s="630">
        <f t="shared" si="223"/>
        <v>-2.8087084710647487</v>
      </c>
      <c r="Z17" s="632">
        <f t="shared" si="6"/>
        <v>0.90930920278256999</v>
      </c>
      <c r="AA17" s="629">
        <f t="shared" si="7"/>
        <v>-0.41611981376507867</v>
      </c>
      <c r="AB17" s="629">
        <f t="shared" si="8"/>
        <v>-1.0364974883581568E-3</v>
      </c>
      <c r="AC17" s="636">
        <f>IF(M17="","",SQRT(Z17^2+AA17^2+AB17^2))</f>
        <v>1</v>
      </c>
      <c r="AD17" s="637">
        <f>IF(M17="","",Z17*(1/SQRT(Z17^2+AA17^2+AB17^2)))</f>
        <v>0.90930920278256999</v>
      </c>
      <c r="AE17" s="629">
        <f>IF(M17="","",AA17*(1/SQRT(Z17^2+AA17^2+AB17^2)))</f>
        <v>-0.41611981376507867</v>
      </c>
      <c r="AF17" s="633">
        <f>IF(M17="","",AB17*(1/SQRT(Z17^2+AA17^2+AB17^2)))</f>
        <v>-1.0364974883581568E-3</v>
      </c>
      <c r="AG17" s="602">
        <f>IF(M17="","",DEGREES(ATAN2(-AF17,AE17)))</f>
        <v>-89.857284352307374</v>
      </c>
      <c r="AH17" s="603">
        <f>IF(M17="","",DEGREES(ACOS(AD17)))</f>
        <v>24.589937642963431</v>
      </c>
      <c r="AI17" s="585">
        <f>IF(M17="","",DEGREES(-ACOS(-AF17)))</f>
        <v>-89.940613057807667</v>
      </c>
      <c r="AJ17" s="586">
        <f>IF(M17="","",DEGREES(ATAN2(-AE17,AD17)))</f>
        <v>65.410129611621301</v>
      </c>
      <c r="AK17" s="635">
        <f>IF(M17="","",(COS(RADIANS((90-$Q$8)-W17))*AD17)+(-SIN(RADIANS((90-$Q$8)-W17))*AE17))</f>
        <v>0.92945006383042916</v>
      </c>
      <c r="AL17" s="629">
        <f>IF(M17="","",(SIN(RADIANS((90-$Q$8)-W17))*AD17)+(COS(RADIANS((90-$Q$8)-W17))*AE17))</f>
        <v>-0.36894647920608753</v>
      </c>
      <c r="AM17" s="634">
        <f>IF(M17="","",AF17)</f>
        <v>-1.0364974883581568E-3</v>
      </c>
      <c r="AN17" s="581">
        <f>IF(M17="","",DEGREES(ATAN2(-AM17,AL17)))</f>
        <v>-89.839036882932234</v>
      </c>
      <c r="AO17" s="582">
        <f t="shared" si="94"/>
        <v>21.650748346572087</v>
      </c>
      <c r="AP17" s="585">
        <f>IF(M17="","",DEGREES(ATAN2(AK17,AL17)))</f>
        <v>-21.650670812746593</v>
      </c>
      <c r="AQ17" s="586">
        <f t="shared" si="9"/>
        <v>0.49462195405388665</v>
      </c>
      <c r="AS17" s="52">
        <f t="shared" si="116"/>
        <v>-2.9391995756320739</v>
      </c>
      <c r="AT17" s="72">
        <f t="shared" si="10"/>
        <v>-2.8066673602483374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0.35256479459101231</v>
      </c>
      <c r="C18" s="708">
        <v>4.7443323394986283</v>
      </c>
      <c r="D18" s="709">
        <v>-3.4907105279829524</v>
      </c>
      <c r="E18" s="710">
        <v>-0.70096745327158039</v>
      </c>
      <c r="F18" s="708">
        <v>0.70742631258421773</v>
      </c>
      <c r="G18" s="711">
        <v>9.0513212944031474E-2</v>
      </c>
      <c r="H18" s="710">
        <v>0.26600000000000001</v>
      </c>
      <c r="I18" s="708">
        <v>0.52</v>
      </c>
      <c r="J18" s="570">
        <v>1.1519999999999999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1313</v>
      </c>
      <c r="L18" s="779" t="s">
        <v>331</v>
      </c>
      <c r="M18" s="168">
        <f t="shared" si="1"/>
        <v>1.1519999999999999</v>
      </c>
      <c r="N18" s="632">
        <f t="shared" si="2"/>
        <v>0.35256479459101231</v>
      </c>
      <c r="O18" s="629">
        <f t="shared" si="3"/>
        <v>4.7443323394986283</v>
      </c>
      <c r="P18" s="633">
        <f t="shared" si="4"/>
        <v>-3.4907105279829524</v>
      </c>
      <c r="Q18" s="585">
        <f t="shared" si="113"/>
        <v>85.750000000000014</v>
      </c>
      <c r="R18" s="629">
        <f>IF(M18="","",SQRT(N18^2+O18^2))</f>
        <v>4.7574143483616735</v>
      </c>
      <c r="S18" s="634">
        <f>IF(M18="","",P18)</f>
        <v>-3.4907105279829524</v>
      </c>
      <c r="T18" s="635">
        <f>IF(M18="","",X18*COS(RADIANS(W18)))</f>
        <v>4.7443323394986283</v>
      </c>
      <c r="U18" s="629">
        <f>IF(M18="","",X18*SIN(RADIANS(W18)))</f>
        <v>-0.35256479459101309</v>
      </c>
      <c r="V18" s="636">
        <f>IF(M18="","",Y18)</f>
        <v>-3.4907105279829524</v>
      </c>
      <c r="W18" s="585">
        <f t="shared" si="224"/>
        <v>355.75</v>
      </c>
      <c r="X18" s="629">
        <f>IF(M18="","",R18)</f>
        <v>4.7574143483616735</v>
      </c>
      <c r="Y18" s="630">
        <f t="shared" si="223"/>
        <v>-3.4907105279829524</v>
      </c>
      <c r="Z18" s="632">
        <f t="shared" si="6"/>
        <v>0.70096745327158039</v>
      </c>
      <c r="AA18" s="629">
        <f t="shared" si="7"/>
        <v>-0.70742631258421773</v>
      </c>
      <c r="AB18" s="629">
        <f t="shared" si="8"/>
        <v>-9.0513212944031474E-2</v>
      </c>
      <c r="AC18" s="636">
        <f>IF(M18="","",SQRT(Z18^2+AA18^2+AB18^2))</f>
        <v>1</v>
      </c>
      <c r="AD18" s="637">
        <f>IF(M18="","",Z18*(1/SQRT(Z18^2+AA18^2+AB18^2)))</f>
        <v>0.70096745327158039</v>
      </c>
      <c r="AE18" s="629">
        <f>IF(M18="","",AA18*(1/SQRT(Z18^2+AA18^2+AB18^2)))</f>
        <v>-0.70742631258421773</v>
      </c>
      <c r="AF18" s="633">
        <f>IF(M18="","",AB18*(1/SQRT(Z18^2+AA18^2+AB18^2)))</f>
        <v>-9.0513212944031474E-2</v>
      </c>
      <c r="AG18" s="602">
        <f>IF(M18="","",DEGREES(ATAN2(-AF18,AE18)))</f>
        <v>-82.70878039790459</v>
      </c>
      <c r="AH18" s="603">
        <f>IF(M18="","",DEGREES(ACOS(AD18)))</f>
        <v>45.495325462244907</v>
      </c>
      <c r="AI18" s="585">
        <f>IF(M18="","",DEGREES(-ACOS(-AF18)))</f>
        <v>-84.806867466320753</v>
      </c>
      <c r="AJ18" s="586">
        <f>IF(M18="","",DEGREES(ATAN2(-AE18,AD18)))</f>
        <v>44.737244800577514</v>
      </c>
      <c r="AK18" s="635">
        <f>IF(M18="","",(COS(RADIANS((90-$Q$8)-W18))*AD18)+(-SIN(RADIANS((90-$Q$8)-W18))*AE18))</f>
        <v>0.75146621847391359</v>
      </c>
      <c r="AL18" s="629">
        <f>IF(M18="","",(SIN(RADIANS((90-$Q$8)-W18))*AD18)+(COS(RADIANS((90-$Q$8)-W18))*AE18))</f>
        <v>-0.65353338153078688</v>
      </c>
      <c r="AM18" s="634">
        <f>IF(M18="","",AF18)</f>
        <v>-9.0513212944031474E-2</v>
      </c>
      <c r="AN18" s="581">
        <f>IF(M18="","",DEGREES(ATAN2(-AM18,AL18)))</f>
        <v>-82.114798282431977</v>
      </c>
      <c r="AO18" s="582">
        <f t="shared" si="94"/>
        <v>41.282453628400035</v>
      </c>
      <c r="AP18" s="585">
        <f>IF(M18="","",DEGREES(ATAN2(AK18,AL18)))</f>
        <v>-41.012755199422486</v>
      </c>
      <c r="AQ18" s="586">
        <f t="shared" si="9"/>
        <v>0.47918329428090173</v>
      </c>
      <c r="AS18" s="52">
        <f t="shared" si="116"/>
        <v>-4.25</v>
      </c>
      <c r="AT18" s="72">
        <f t="shared" si="10"/>
        <v>-3.4877591390940634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1.1519999999999999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0.94565809070872542</v>
      </c>
      <c r="C19" s="708">
        <v>2.1682283301691569</v>
      </c>
      <c r="D19" s="709">
        <v>-8.1034919244443976E-2</v>
      </c>
      <c r="E19" s="710">
        <v>-3.484286649914331E-2</v>
      </c>
      <c r="F19" s="708">
        <v>-7.9888021380881732E-2</v>
      </c>
      <c r="G19" s="711">
        <v>0.99619469918985748</v>
      </c>
      <c r="H19" s="710">
        <v>0.26250000000000001</v>
      </c>
      <c r="I19" s="708">
        <v>0.40699999999999997</v>
      </c>
      <c r="J19" s="570">
        <v>1.21</v>
      </c>
      <c r="K19" s="865" t="str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Inactive</v>
      </c>
      <c r="L19" s="775" t="s">
        <v>366</v>
      </c>
      <c r="M19" s="168">
        <f t="shared" si="1"/>
        <v>1.21</v>
      </c>
      <c r="N19" s="632">
        <f t="shared" si="2"/>
        <v>0.94565809070872542</v>
      </c>
      <c r="O19" s="629">
        <f t="shared" si="3"/>
        <v>2.1682283301691569</v>
      </c>
      <c r="P19" s="633">
        <f t="shared" si="4"/>
        <v>-8.1034919244443976E-2</v>
      </c>
      <c r="Q19" s="585">
        <f t="shared" si="113"/>
        <v>66.435903402234615</v>
      </c>
      <c r="R19" s="629">
        <f>IF(M19="","",SQRT(N19^2+O19^2))</f>
        <v>2.3654773971169125</v>
      </c>
      <c r="S19" s="634">
        <f>IF(M19="","",P19)</f>
        <v>-8.1034919244443976E-2</v>
      </c>
      <c r="T19" s="635">
        <f>IF(M19="","",X19*COS(RADIANS(W19)))</f>
        <v>2.1682283301691569</v>
      </c>
      <c r="U19" s="629">
        <f>IF(M19="","",X19*SIN(RADIANS(W19)))</f>
        <v>-0.94565809070872542</v>
      </c>
      <c r="V19" s="636">
        <f>IF(M19="","",Y19)</f>
        <v>-8.1034919244443976E-2</v>
      </c>
      <c r="W19" s="585">
        <f t="shared" si="224"/>
        <v>336.4359034022346</v>
      </c>
      <c r="X19" s="629">
        <f>IF(M19="","",R19)</f>
        <v>2.3654773971169125</v>
      </c>
      <c r="Y19" s="630">
        <f t="shared" si="223"/>
        <v>-8.1034919244443976E-2</v>
      </c>
      <c r="Z19" s="632">
        <f t="shared" si="6"/>
        <v>3.484286649914331E-2</v>
      </c>
      <c r="AA19" s="629">
        <f t="shared" si="7"/>
        <v>7.9888021380881732E-2</v>
      </c>
      <c r="AB19" s="629">
        <f t="shared" si="8"/>
        <v>-0.99619469918985748</v>
      </c>
      <c r="AC19" s="636">
        <f>IF(M19="","",SQRT(Z19^2+AA19^2+AB19^2))</f>
        <v>1</v>
      </c>
      <c r="AD19" s="637">
        <f>IF(M19="","",Z19*(1/SQRT(Z19^2+AA19^2+AB19^2)))</f>
        <v>3.484286649914331E-2</v>
      </c>
      <c r="AE19" s="629">
        <f>IF(M19="","",AA19*(1/SQRT(Z19^2+AA19^2+AB19^2)))</f>
        <v>7.9888021380881732E-2</v>
      </c>
      <c r="AF19" s="633">
        <f>IF(M19="","",AB19*(1/SQRT(Z19^2+AA19^2+AB19^2)))</f>
        <v>-0.99619469918985748</v>
      </c>
      <c r="AG19" s="602">
        <f>IF(M19="","",DEGREES(ATAN2(-AF19,AE19)))</f>
        <v>4.5849191339374595</v>
      </c>
      <c r="AH19" s="603">
        <f>IF(M19="","",DEGREES(ACOS(AD19)))</f>
        <v>88.003246646206009</v>
      </c>
      <c r="AI19" s="585">
        <f>IF(M19="","",DEGREES(-ACOS(-AF19)))</f>
        <v>-4.9999992781062668</v>
      </c>
      <c r="AJ19" s="586">
        <f>IF(M19="","",DEGREES(ATAN2(-AE19,AD19)))</f>
        <v>156.43575430830393</v>
      </c>
      <c r="AK19" s="635">
        <f>IF(M19="","",(COS(RADIANS((90-$Q$8)-W19))*AD19)+(-SIN(RADIANS((90-$Q$8)-W19))*AE19))</f>
        <v>2.2679489668914199E-7</v>
      </c>
      <c r="AL19" s="629">
        <f>IF(M19="","",(SIN(RADIANS((90-$Q$8)-W19))*AD19)+(COS(RADIANS((90-$Q$8)-W19))*AE19))</f>
        <v>8.7155730195885017E-2</v>
      </c>
      <c r="AM19" s="634">
        <f>IF(M19="","",AF19)</f>
        <v>-0.99619469918985748</v>
      </c>
      <c r="AN19" s="581">
        <f>IF(M19="","",DEGREES(ATAN2(-AM19,AL19)))</f>
        <v>4.9999992780894136</v>
      </c>
      <c r="AO19" s="582">
        <f t="shared" si="94"/>
        <v>0</v>
      </c>
      <c r="AP19" s="585">
        <f>IF(M19="","",DEGREES(ATAN2(AK19,AL19)))</f>
        <v>89.999850906069341</v>
      </c>
      <c r="AQ19" s="586">
        <f t="shared" si="9"/>
        <v>0.96365818941404913</v>
      </c>
      <c r="AS19" s="52">
        <f t="shared" si="116"/>
        <v>-23.564096597765399</v>
      </c>
      <c r="AT19" s="72">
        <f t="shared" si="10"/>
        <v>-6.4670963273773557E-2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1.1100000000000001</v>
      </c>
      <c r="II19" s="734" cm="1">
        <f t="array" ref="II19">IFERROR(IF($IH19&lt;1,$IH19+LARGE((IF($M$9:$M$150="",0,$M$9:$M$150)-MOD(IF($M$9:$M$150="",0,$M$9:$M$150),1)),1),$IH19),"")</f>
        <v>1.1100000000000001</v>
      </c>
      <c r="IJ19" s="533">
        <f t="shared" si="112"/>
        <v>1613</v>
      </c>
      <c r="IK19" s="533" t="str">
        <f t="shared" si="66"/>
        <v>Inactive</v>
      </c>
      <c r="IL19" s="727">
        <f t="shared" si="225"/>
        <v>23.564096597765399</v>
      </c>
      <c r="IM19" s="759">
        <v>4.0667779636408101E-2</v>
      </c>
      <c r="IN19" s="5">
        <f t="shared" si="226"/>
        <v>0.62</v>
      </c>
      <c r="IO19" s="771">
        <v>310</v>
      </c>
      <c r="IP19" s="9">
        <f t="shared" si="227"/>
        <v>-2.3689071446239485</v>
      </c>
      <c r="IQ19" s="5">
        <f t="shared" si="228"/>
        <v>-8.0600243090333201E-2</v>
      </c>
      <c r="IR19" s="5">
        <f t="shared" si="71"/>
        <v>0.314</v>
      </c>
      <c r="IS19" s="5">
        <f t="shared" si="229"/>
        <v>0.30330071252667312</v>
      </c>
      <c r="IT19" s="727">
        <f t="shared" si="230"/>
        <v>-4.9999992780894242</v>
      </c>
      <c r="IU19" s="9">
        <f t="shared" si="231"/>
        <v>-2.3654773971169125</v>
      </c>
      <c r="IV19" s="5">
        <f t="shared" si="232"/>
        <v>-8.1034919244443976E-2</v>
      </c>
      <c r="IW19" s="5">
        <f t="shared" si="76"/>
        <v>0.26250000000000001</v>
      </c>
      <c r="IX19" s="5">
        <f t="shared" si="233"/>
        <v>0.26250000000000001</v>
      </c>
      <c r="IY19" s="762">
        <f t="shared" si="234"/>
        <v>-4.9999992780894136</v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0.98553692287533845</v>
      </c>
      <c r="C20" s="708">
        <v>3.0098811748947241</v>
      </c>
      <c r="D20" s="709">
        <v>-0.19245710685303721</v>
      </c>
      <c r="E20" s="710">
        <v>-0.83760610837855909</v>
      </c>
      <c r="F20" s="708">
        <v>0.45220220366744135</v>
      </c>
      <c r="G20" s="711">
        <v>0.30647866843425742</v>
      </c>
      <c r="H20" s="710">
        <v>0.26600000000000001</v>
      </c>
      <c r="I20" s="708">
        <v>0.39400000000000002</v>
      </c>
      <c r="J20" s="570">
        <v>1.2170000000000001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1310</v>
      </c>
      <c r="L20" s="774">
        <f>IF($L19=$JH$22,$JH$30,IF($L19=$JI$22,$JI$30,""))</f>
        <v>310</v>
      </c>
      <c r="M20" s="168">
        <f t="shared" si="1"/>
        <v>1.2170000000000001</v>
      </c>
      <c r="N20" s="632">
        <f t="shared" si="2"/>
        <v>0.98553692287533845</v>
      </c>
      <c r="O20" s="629">
        <f t="shared" si="3"/>
        <v>3.0098811748947241</v>
      </c>
      <c r="P20" s="633">
        <f t="shared" si="4"/>
        <v>-0.19245710685303721</v>
      </c>
      <c r="Q20" s="585">
        <f t="shared" si="113"/>
        <v>71.869802617676626</v>
      </c>
      <c r="R20" s="629">
        <f>IF(M20="","",SQRT(N20^2+O20^2))</f>
        <v>3.1671229394098734</v>
      </c>
      <c r="S20" s="634">
        <f>IF(M20="","",P20)</f>
        <v>-0.19245710685303721</v>
      </c>
      <c r="T20" s="635">
        <f>IF(M20="","",X20*COS(RADIANS(W20)))</f>
        <v>3.0098811748947241</v>
      </c>
      <c r="U20" s="629">
        <f>IF(M20="","",X20*SIN(RADIANS(W20)))</f>
        <v>-0.98553692287533923</v>
      </c>
      <c r="V20" s="636">
        <f>IF(M20="","",Y20)</f>
        <v>-0.19245710685303721</v>
      </c>
      <c r="W20" s="585">
        <f t="shared" si="224"/>
        <v>341.86980261767661</v>
      </c>
      <c r="X20" s="629">
        <f>IF(M20="","",R20)</f>
        <v>3.1671229394098734</v>
      </c>
      <c r="Y20" s="630">
        <f t="shared" si="223"/>
        <v>-0.19245710685303721</v>
      </c>
      <c r="Z20" s="632">
        <f t="shared" si="6"/>
        <v>0.83760610837855909</v>
      </c>
      <c r="AA20" s="629">
        <f t="shared" si="7"/>
        <v>-0.45220220366744135</v>
      </c>
      <c r="AB20" s="629">
        <f t="shared" si="8"/>
        <v>-0.30647866843425742</v>
      </c>
      <c r="AC20" s="636">
        <f>IF(M20="","",SQRT(Z20^2+AA20^2+AB20^2))</f>
        <v>1</v>
      </c>
      <c r="AD20" s="637">
        <f>IF(M20="","",Z20*(1/SQRT(Z20^2+AA20^2+AB20^2)))</f>
        <v>0.83760610837855909</v>
      </c>
      <c r="AE20" s="629">
        <f>IF(M20="","",AA20*(1/SQRT(Z20^2+AA20^2+AB20^2)))</f>
        <v>-0.45220220366744135</v>
      </c>
      <c r="AF20" s="633">
        <f>IF(M20="","",AB20*(1/SQRT(Z20^2+AA20^2+AB20^2)))</f>
        <v>-0.30647866843425742</v>
      </c>
      <c r="AG20" s="602">
        <f>IF(M20="","",DEGREES(ATAN2(-AF20,AE20)))</f>
        <v>-55.872662893178266</v>
      </c>
      <c r="AH20" s="603">
        <f>IF(M20="","",DEGREES(ACOS(AD20)))</f>
        <v>33.111812733510838</v>
      </c>
      <c r="AI20" s="585">
        <f>IF(M20="","",DEGREES(-ACOS(-AF20)))</f>
        <v>-72.152853723658879</v>
      </c>
      <c r="AJ20" s="586">
        <f>IF(M20="","",DEGREES(ATAN2(-AE20,AD20)))</f>
        <v>61.636519909258723</v>
      </c>
      <c r="AK20" s="635">
        <f>IF(M20="","",(COS(RADIANS((90-$Q$8)-W20))*AD20)+(-SIN(RADIANS((90-$Q$8)-W20))*AE20))</f>
        <v>0.93673560599390726</v>
      </c>
      <c r="AL20" s="629">
        <f>IF(M20="","",(SIN(RADIANS((90-$Q$8)-W20))*AD20)+(COS(RADIANS((90-$Q$8)-W20))*AE20))</f>
        <v>-0.16910715614069072</v>
      </c>
      <c r="AM20" s="634">
        <f>IF(M20="","",AF20)</f>
        <v>-0.30647866843425742</v>
      </c>
      <c r="AN20" s="581">
        <f>IF(M20="","",DEGREES(ATAN2(-AM20,AL20)))</f>
        <v>-28.888799909099827</v>
      </c>
      <c r="AO20" s="582">
        <f t="shared" si="94"/>
        <v>20.489622171268881</v>
      </c>
      <c r="AP20" s="585">
        <f>IF(M20="","",DEGREES(ATAN2(AK20,AL20)))</f>
        <v>-10.233282708417894</v>
      </c>
      <c r="AQ20" s="586">
        <f t="shared" si="9"/>
        <v>0.71977209292438415</v>
      </c>
      <c r="AS20" s="52">
        <f t="shared" si="116"/>
        <v>-18.130197382323388</v>
      </c>
      <c r="AT20" s="72">
        <f t="shared" si="10"/>
        <v>-0.17986669200420152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1.2170000000000001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1.117</v>
      </c>
      <c r="II20" s="734" cm="1">
        <f t="array" ref="II20">IFERROR(IF($IH20&lt;1,$IH20+LARGE((IF($M$9:$M$150="",0,$M$9:$M$150)-MOD(IF($M$9:$M$150="",0,$M$9:$M$150),1)),1),$IH20),"")</f>
        <v>1.117</v>
      </c>
      <c r="IJ20" s="533">
        <f t="shared" si="112"/>
        <v>1613</v>
      </c>
      <c r="IK20" s="533">
        <f t="shared" si="66"/>
        <v>1310</v>
      </c>
      <c r="IL20" s="727">
        <f t="shared" si="225"/>
        <v>17.334897497150507</v>
      </c>
      <c r="IM20" s="759">
        <v>1.37505736506597E-2</v>
      </c>
      <c r="IN20" s="5">
        <f t="shared" si="226"/>
        <v>0.28000000000000003</v>
      </c>
      <c r="IO20" s="771">
        <v>140</v>
      </c>
      <c r="IP20" s="9">
        <f t="shared" si="227"/>
        <v>-3.1526095082702783</v>
      </c>
      <c r="IQ20" s="5">
        <f t="shared" si="228"/>
        <v>-0.22930069157088603</v>
      </c>
      <c r="IR20" s="5">
        <f t="shared" si="71"/>
        <v>0.314</v>
      </c>
      <c r="IS20" s="5">
        <f t="shared" si="229"/>
        <v>0.3023462835089295</v>
      </c>
      <c r="IT20" s="727">
        <f t="shared" si="230"/>
        <v>32.879162308528826</v>
      </c>
      <c r="IU20" s="9">
        <f t="shared" si="231"/>
        <v>-3.1671229394098734</v>
      </c>
      <c r="IV20" s="5">
        <f t="shared" si="232"/>
        <v>-0.19245710685303721</v>
      </c>
      <c r="IW20" s="5">
        <f t="shared" si="76"/>
        <v>0.26600000000000001</v>
      </c>
      <c r="IX20" s="5">
        <f t="shared" si="233"/>
        <v>0.24917167119437936</v>
      </c>
      <c r="IY20" s="762">
        <f t="shared" si="234"/>
        <v>28.888799909099827</v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1.0515009404225761</v>
      </c>
      <c r="C21" s="708">
        <v>3.6602681712419267</v>
      </c>
      <c r="D21" s="709">
        <v>-0.65490042223870737</v>
      </c>
      <c r="E21" s="710">
        <v>-0.81575032816668291</v>
      </c>
      <c r="F21" s="708">
        <v>0.5373861941970367</v>
      </c>
      <c r="G21" s="711">
        <v>0.21393335500191202</v>
      </c>
      <c r="H21" s="710">
        <v>0.26600000000000001</v>
      </c>
      <c r="I21" s="708">
        <v>0.39400000000000002</v>
      </c>
      <c r="J21" s="570">
        <v>1.224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1310</v>
      </c>
      <c r="L21" s="776" t="s">
        <v>367</v>
      </c>
      <c r="M21" s="168">
        <f t="shared" si="1"/>
        <v>1.224</v>
      </c>
      <c r="N21" s="632">
        <f t="shared" si="2"/>
        <v>1.0515009404225761</v>
      </c>
      <c r="O21" s="629">
        <f t="shared" si="3"/>
        <v>3.6602681712419267</v>
      </c>
      <c r="P21" s="633">
        <f t="shared" si="4"/>
        <v>-0.65490042223870737</v>
      </c>
      <c r="Q21" s="585">
        <f t="shared" si="113"/>
        <v>73.972002314156555</v>
      </c>
      <c r="R21" s="629">
        <f>IF(M21="","",SQRT(N21^2+O21^2))</f>
        <v>3.80830898340934</v>
      </c>
      <c r="S21" s="634">
        <f>IF(M21="","",P21)</f>
        <v>-0.65490042223870737</v>
      </c>
      <c r="T21" s="635">
        <f>IF(M21="","",X21*COS(RADIANS(W21)))</f>
        <v>3.6602681712419272</v>
      </c>
      <c r="U21" s="629">
        <f>IF(M21="","",X21*SIN(RADIANS(W21)))</f>
        <v>-1.0515009404225752</v>
      </c>
      <c r="V21" s="636">
        <f>IF(M21="","",Y21)</f>
        <v>-0.65490042223870737</v>
      </c>
      <c r="W21" s="585">
        <f t="shared" si="224"/>
        <v>343.97200231415655</v>
      </c>
      <c r="X21" s="629">
        <f>IF(M21="","",R21)</f>
        <v>3.80830898340934</v>
      </c>
      <c r="Y21" s="630">
        <f t="shared" si="223"/>
        <v>-0.65490042223870737</v>
      </c>
      <c r="Z21" s="632">
        <f t="shared" si="6"/>
        <v>0.81575032816668291</v>
      </c>
      <c r="AA21" s="629">
        <f t="shared" si="7"/>
        <v>-0.5373861941970367</v>
      </c>
      <c r="AB21" s="629">
        <f t="shared" si="8"/>
        <v>-0.21393335500191202</v>
      </c>
      <c r="AC21" s="636">
        <f>IF(M21="","",SQRT(Z21^2+AA21^2+AB21^2))</f>
        <v>1</v>
      </c>
      <c r="AD21" s="637">
        <f>IF(M21="","",Z21*(1/SQRT(Z21^2+AA21^2+AB21^2)))</f>
        <v>0.81575032816668291</v>
      </c>
      <c r="AE21" s="629">
        <f>IF(M21="","",AA21*(1/SQRT(Z21^2+AA21^2+AB21^2)))</f>
        <v>-0.5373861941970367</v>
      </c>
      <c r="AF21" s="633">
        <f>IF(M21="","",AB21*(1/SQRT(Z21^2+AA21^2+AB21^2)))</f>
        <v>-0.21393335500191202</v>
      </c>
      <c r="AG21" s="602">
        <f>IF(M21="","",DEGREES(ATAN2(-AF21,AE21)))</f>
        <v>-68.292506673453218</v>
      </c>
      <c r="AH21" s="603">
        <f>IF(M21="","",DEGREES(ACOS(AD21)))</f>
        <v>35.338379668314282</v>
      </c>
      <c r="AI21" s="585">
        <f>IF(M21="","",DEGREES(-ACOS(-AF21)))</f>
        <v>-77.647042881719059</v>
      </c>
      <c r="AJ21" s="586">
        <f>IF(M21="","",DEGREES(ATAN2(-AE21,AD21)))</f>
        <v>56.624583438617826</v>
      </c>
      <c r="AK21" s="635">
        <f>IF(M21="","",(COS(RADIANS((90-$Q$8)-W21))*AD21)+(-SIN(RADIANS((90-$Q$8)-W21))*AE21))</f>
        <v>0.93241569050892426</v>
      </c>
      <c r="AL21" s="629">
        <f>IF(M21="","",(SIN(RADIANS((90-$Q$8)-W21))*AD21)+(COS(RADIANS((90-$Q$8)-W21))*AE21))</f>
        <v>-0.29126190913058325</v>
      </c>
      <c r="AM21" s="634">
        <f>IF(M21="","",AF21)</f>
        <v>-0.21393335500191202</v>
      </c>
      <c r="AN21" s="581">
        <f>IF(M21="","",DEGREES(ATAN2(-AM21,AL21)))</f>
        <v>-53.702528358340714</v>
      </c>
      <c r="AO21" s="582">
        <f>IF(ROUND(IF(M21="",0,DEGREES(ACOS(AK21))),4)=90,0,IF(M21="","",DEGREES(ACOS(AK21))))</f>
        <v>21.185436292612568</v>
      </c>
      <c r="AP21" s="585">
        <f>IF(M21="","",DEGREES(ATAN2(AK21,AL21)))</f>
        <v>-17.34741887553874</v>
      </c>
      <c r="AQ21" s="586">
        <f t="shared" si="9"/>
        <v>0.59859735570690908</v>
      </c>
      <c r="AS21" s="52">
        <f t="shared" si="116"/>
        <v>-16.027997685843445</v>
      </c>
      <c r="AT21" s="72">
        <f t="shared" si="10"/>
        <v>-0.64376986829020499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1.224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1.1240000000000001</v>
      </c>
      <c r="II21" s="734" cm="1">
        <f t="array" ref="II21">IFERROR(IF($IH21&lt;1,$IH21+LARGE((IF($M$9:$M$150="",0,$M$9:$M$150)-MOD(IF($M$9:$M$150="",0,$M$9:$M$150),1)),1),$IH21),"")</f>
        <v>1.1240000000000001</v>
      </c>
      <c r="IJ21" s="533">
        <f t="shared" si="112"/>
        <v>1613</v>
      </c>
      <c r="IK21" s="533">
        <f t="shared" si="66"/>
        <v>1310</v>
      </c>
      <c r="IL21" s="727">
        <f t="shared" si="225"/>
        <v>14.394897921633856</v>
      </c>
      <c r="IM21" s="759">
        <v>9.5382513664724194E-3</v>
      </c>
      <c r="IN21" s="5">
        <f t="shared" si="226"/>
        <v>0.26</v>
      </c>
      <c r="IO21" s="771">
        <v>130</v>
      </c>
      <c r="IP21" s="9">
        <f t="shared" si="227"/>
        <v>-3.7788113968951729</v>
      </c>
      <c r="IQ21" s="5">
        <f t="shared" si="228"/>
        <v>-0.68730207290305134</v>
      </c>
      <c r="IR21" s="5">
        <f t="shared" si="71"/>
        <v>0.314</v>
      </c>
      <c r="IS21" s="5">
        <f t="shared" si="229"/>
        <v>0.30095196222595516</v>
      </c>
      <c r="IT21" s="727">
        <f t="shared" si="230"/>
        <v>59.410891736258392</v>
      </c>
      <c r="IU21" s="9">
        <f t="shared" si="231"/>
        <v>-3.80830898340934</v>
      </c>
      <c r="IV21" s="5">
        <f t="shared" si="232"/>
        <v>-0.65490042223870737</v>
      </c>
      <c r="IW21" s="5">
        <f t="shared" si="76"/>
        <v>0.26600000000000001</v>
      </c>
      <c r="IX21" s="5">
        <f t="shared" si="233"/>
        <v>0.24802257367537386</v>
      </c>
      <c r="IY21" s="762">
        <f t="shared" si="234"/>
        <v>53.702528358340714</v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1.1134635588719977</v>
      </c>
      <c r="C22" s="708">
        <v>4.0978598730232099</v>
      </c>
      <c r="D22" s="709">
        <v>-1.2978935610933426</v>
      </c>
      <c r="E22" s="710">
        <v>-0.79515705371924372</v>
      </c>
      <c r="F22" s="708">
        <v>0.59101537764852441</v>
      </c>
      <c r="G22" s="711">
        <v>0.13574270994607424</v>
      </c>
      <c r="H22" s="710">
        <v>0.26600000000000001</v>
      </c>
      <c r="I22" s="708">
        <v>0.39400000000000002</v>
      </c>
      <c r="J22" s="570">
        <v>1.2310000000000001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1310</v>
      </c>
      <c r="L22" s="873" t="str">
        <f>IF($L21=$JH$22,$JH$30,IF($L21=$JI$22,$JI$30,""))</f>
        <v/>
      </c>
      <c r="M22" s="168">
        <f t="shared" si="1"/>
        <v>1.2310000000000001</v>
      </c>
      <c r="N22" s="632">
        <f t="shared" si="2"/>
        <v>1.1134635588719977</v>
      </c>
      <c r="O22" s="629">
        <f t="shared" si="3"/>
        <v>4.0978598730232099</v>
      </c>
      <c r="P22" s="633">
        <f t="shared" si="4"/>
        <v>-1.2978935610933426</v>
      </c>
      <c r="Q22" s="585">
        <f t="shared" si="113"/>
        <v>74.798702194795851</v>
      </c>
      <c r="R22" s="629">
        <f t="shared" si="79"/>
        <v>4.2464404665401458</v>
      </c>
      <c r="S22" s="634">
        <f t="shared" si="80"/>
        <v>-1.2978935610933426</v>
      </c>
      <c r="T22" s="635">
        <f t="shared" si="81"/>
        <v>4.0978598730232099</v>
      </c>
      <c r="U22" s="629">
        <f t="shared" si="82"/>
        <v>-1.1134635588719961</v>
      </c>
      <c r="V22" s="636">
        <f t="shared" si="114"/>
        <v>-1.2978935610933426</v>
      </c>
      <c r="W22" s="585">
        <f t="shared" si="224"/>
        <v>344.79870219479585</v>
      </c>
      <c r="X22" s="629">
        <f t="shared" si="83"/>
        <v>4.2464404665401458</v>
      </c>
      <c r="Y22" s="630">
        <f t="shared" si="223"/>
        <v>-1.2978935610933426</v>
      </c>
      <c r="Z22" s="632">
        <f t="shared" si="6"/>
        <v>0.79515705371924372</v>
      </c>
      <c r="AA22" s="629">
        <f t="shared" si="7"/>
        <v>-0.59101537764852441</v>
      </c>
      <c r="AB22" s="629">
        <f t="shared" si="8"/>
        <v>-0.13574270994607424</v>
      </c>
      <c r="AC22" s="636">
        <f t="shared" si="84"/>
        <v>1</v>
      </c>
      <c r="AD22" s="637">
        <f t="shared" si="115"/>
        <v>0.79515705371924372</v>
      </c>
      <c r="AE22" s="629">
        <f t="shared" si="85"/>
        <v>-0.59101537764852441</v>
      </c>
      <c r="AF22" s="633">
        <f t="shared" si="86"/>
        <v>-0.13574270994607424</v>
      </c>
      <c r="AG22" s="602">
        <f t="shared" si="87"/>
        <v>-77.064806911074129</v>
      </c>
      <c r="AH22" s="603">
        <f t="shared" si="88"/>
        <v>37.329907719279831</v>
      </c>
      <c r="AI22" s="585">
        <f t="shared" si="89"/>
        <v>-82.198430611963417</v>
      </c>
      <c r="AJ22" s="586">
        <f t="shared" si="90"/>
        <v>53.377731668111394</v>
      </c>
      <c r="AK22" s="635">
        <f t="shared" si="211"/>
        <v>0.92230570516465904</v>
      </c>
      <c r="AL22" s="629">
        <f t="shared" si="91"/>
        <v>-0.36183712208287477</v>
      </c>
      <c r="AM22" s="634">
        <f t="shared" si="92"/>
        <v>-0.13574270994607424</v>
      </c>
      <c r="AN22" s="581">
        <f t="shared" si="93"/>
        <v>-69.436487882722702</v>
      </c>
      <c r="AO22" s="582">
        <f t="shared" si="94"/>
        <v>22.734477485908979</v>
      </c>
      <c r="AP22" s="585">
        <f t="shared" si="95"/>
        <v>-21.420970526684467</v>
      </c>
      <c r="AQ22" s="586">
        <f t="shared" si="9"/>
        <v>0.53684019290163654</v>
      </c>
      <c r="AS22" s="52">
        <f t="shared" si="116"/>
        <v>-15.201297805204149</v>
      </c>
      <c r="AT22" s="72">
        <f t="shared" si="10"/>
        <v>-1.287337104284173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1.2310000000000001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1.131</v>
      </c>
      <c r="II22" s="734" cm="1">
        <f t="array" ref="II22">IFERROR(IF($IH22&lt;1,$IH22+LARGE((IF($M$9:$M$150="",0,$M$9:$M$150)-MOD(IF($M$9:$M$150="",0,$M$9:$M$150),1)),1),$IH22),"")</f>
        <v>1.131</v>
      </c>
      <c r="IJ22" s="533">
        <f t="shared" si="112"/>
        <v>1613</v>
      </c>
      <c r="IK22" s="533">
        <f t="shared" si="66"/>
        <v>1310</v>
      </c>
      <c r="IL22" s="727">
        <f t="shared" si="225"/>
        <v>12.913998135449333</v>
      </c>
      <c r="IM22" s="759">
        <v>6.89609021835705E-3</v>
      </c>
      <c r="IN22" s="5">
        <f t="shared" si="226"/>
        <v>0.24</v>
      </c>
      <c r="IO22" s="771">
        <v>120</v>
      </c>
      <c r="IP22" s="9">
        <f t="shared" si="227"/>
        <v>-4.2081126916678793</v>
      </c>
      <c r="IQ22" s="5">
        <f t="shared" si="228"/>
        <v>-1.3244039944024473</v>
      </c>
      <c r="IR22" s="5">
        <f t="shared" si="71"/>
        <v>0.314</v>
      </c>
      <c r="IS22" s="5">
        <f t="shared" si="229"/>
        <v>0.29819093632084875</v>
      </c>
      <c r="IT22" s="727">
        <f t="shared" si="230"/>
        <v>75.440083019104748</v>
      </c>
      <c r="IU22" s="9">
        <f t="shared" si="231"/>
        <v>-4.2464404665401458</v>
      </c>
      <c r="IV22" s="5">
        <f t="shared" si="232"/>
        <v>-1.2978935610933426</v>
      </c>
      <c r="IW22" s="5">
        <f t="shared" si="76"/>
        <v>0.26600000000000001</v>
      </c>
      <c r="IX22" s="5">
        <f t="shared" si="233"/>
        <v>0.24533331757379931</v>
      </c>
      <c r="IY22" s="762">
        <f t="shared" si="234"/>
        <v>69.436487882722702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1.1592242928298511</v>
      </c>
      <c r="C23" s="708">
        <v>4.3693889782938191</v>
      </c>
      <c r="D23" s="709">
        <v>-2.0167593845032794</v>
      </c>
      <c r="E23" s="710">
        <v>-0.77990357679651379</v>
      </c>
      <c r="F23" s="708">
        <v>0.62075494998705283</v>
      </c>
      <c r="G23" s="711">
        <v>8.008559774751059E-2</v>
      </c>
      <c r="H23" s="710">
        <v>0.26600000000000001</v>
      </c>
      <c r="I23" s="708">
        <v>0.39400000000000002</v>
      </c>
      <c r="J23" s="570">
        <v>1.238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1310</v>
      </c>
      <c r="M23" s="168">
        <f t="shared" si="1"/>
        <v>1.238</v>
      </c>
      <c r="N23" s="632">
        <f t="shared" si="2"/>
        <v>1.1592242928298511</v>
      </c>
      <c r="O23" s="629">
        <f t="shared" si="3"/>
        <v>4.3693889782938191</v>
      </c>
      <c r="P23" s="633">
        <f t="shared" si="4"/>
        <v>-2.0167593845032794</v>
      </c>
      <c r="Q23" s="585">
        <f t="shared" si="113"/>
        <v>75.141402145316107</v>
      </c>
      <c r="R23" s="629">
        <f t="shared" si="79"/>
        <v>4.520548750397718</v>
      </c>
      <c r="S23" s="634">
        <f t="shared" si="80"/>
        <v>-2.0167593845032794</v>
      </c>
      <c r="T23" s="635">
        <f t="shared" si="81"/>
        <v>4.3693889782938182</v>
      </c>
      <c r="U23" s="629">
        <f t="shared" si="82"/>
        <v>-1.1592242928298531</v>
      </c>
      <c r="V23" s="636">
        <f t="shared" si="114"/>
        <v>-2.0167593845032794</v>
      </c>
      <c r="W23" s="585">
        <f t="shared" si="224"/>
        <v>345.14140214531608</v>
      </c>
      <c r="X23" s="629">
        <f t="shared" si="83"/>
        <v>4.520548750397718</v>
      </c>
      <c r="Y23" s="630">
        <f t="shared" si="223"/>
        <v>-2.0167593845032794</v>
      </c>
      <c r="Z23" s="632">
        <f t="shared" si="6"/>
        <v>0.77990357679651379</v>
      </c>
      <c r="AA23" s="629">
        <f t="shared" si="7"/>
        <v>-0.62075494998705283</v>
      </c>
      <c r="AB23" s="629">
        <f t="shared" si="8"/>
        <v>-8.008559774751059E-2</v>
      </c>
      <c r="AC23" s="636">
        <f t="shared" si="84"/>
        <v>1</v>
      </c>
      <c r="AD23" s="637">
        <f t="shared" si="115"/>
        <v>0.77990357679651379</v>
      </c>
      <c r="AE23" s="629">
        <f t="shared" si="85"/>
        <v>-0.62075494998705283</v>
      </c>
      <c r="AF23" s="633">
        <f t="shared" si="86"/>
        <v>-8.008559774751059E-2</v>
      </c>
      <c r="AG23" s="602">
        <f t="shared" si="87"/>
        <v>-82.648693323859575</v>
      </c>
      <c r="AH23" s="603">
        <f t="shared" si="88"/>
        <v>38.748252167440157</v>
      </c>
      <c r="AI23" s="585">
        <f t="shared" si="89"/>
        <v>-85.406514087802734</v>
      </c>
      <c r="AJ23" s="586">
        <f t="shared" si="90"/>
        <v>51.482382511032313</v>
      </c>
      <c r="AK23" s="635">
        <f t="shared" si="211"/>
        <v>0.91300780909460744</v>
      </c>
      <c r="AL23" s="629">
        <f t="shared" si="91"/>
        <v>-0.40000379693909033</v>
      </c>
      <c r="AM23" s="634">
        <f t="shared" si="92"/>
        <v>-8.008559774751059E-2</v>
      </c>
      <c r="AN23" s="581">
        <f t="shared" si="93"/>
        <v>-78.678383306049597</v>
      </c>
      <c r="AO23" s="582">
        <f t="shared" si="94"/>
        <v>24.075624874742218</v>
      </c>
      <c r="AP23" s="585">
        <f t="shared" si="95"/>
        <v>-23.659019634283766</v>
      </c>
      <c r="AQ23" s="586">
        <f t="shared" si="9"/>
        <v>0.50429005189906695</v>
      </c>
      <c r="AS23" s="52">
        <f t="shared" si="116"/>
        <v>-14.858597854683921</v>
      </c>
      <c r="AT23" s="72">
        <f t="shared" si="10"/>
        <v>-2.0064409137708599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1.238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1.1379999999999999</v>
      </c>
      <c r="II23" s="734" cm="1">
        <f t="array" ref="II23">IFERROR(IF($IH23&lt;1,$IH23+LARGE((IF($M$9:$M$150="",0,$M$9:$M$150)-MOD(IF($M$9:$M$150="",0,$M$9:$M$150),1)),1),$IH23),"")</f>
        <v>1.1379999999999999</v>
      </c>
      <c r="IJ23" s="533">
        <f t="shared" si="112"/>
        <v>1613</v>
      </c>
      <c r="IK23" s="533">
        <f t="shared" si="66"/>
        <v>1310</v>
      </c>
      <c r="IL23" s="727">
        <f t="shared" si="225"/>
        <v>12.136798247663137</v>
      </c>
      <c r="IM23" s="759">
        <v>5.3515099948340797E-3</v>
      </c>
      <c r="IN23" s="5">
        <f t="shared" si="226"/>
        <v>0.22</v>
      </c>
      <c r="IO23" s="771">
        <v>110</v>
      </c>
      <c r="IP23" s="9">
        <f t="shared" si="227"/>
        <v>-4.4775135041807301</v>
      </c>
      <c r="IQ23" s="5">
        <f t="shared" si="228"/>
        <v>-2.038606148436144</v>
      </c>
      <c r="IR23" s="5">
        <f t="shared" si="71"/>
        <v>0.314</v>
      </c>
      <c r="IS23" s="5">
        <f t="shared" si="229"/>
        <v>0.29568860702341165</v>
      </c>
      <c r="IT23" s="727">
        <f t="shared" si="230"/>
        <v>84.576516244926395</v>
      </c>
      <c r="IU23" s="9">
        <f t="shared" si="231"/>
        <v>-4.520548750397718</v>
      </c>
      <c r="IV23" s="5">
        <f t="shared" si="232"/>
        <v>-2.0167593845032794</v>
      </c>
      <c r="IW23" s="5">
        <f t="shared" si="76"/>
        <v>0.26600000000000001</v>
      </c>
      <c r="IX23" s="5">
        <f t="shared" si="233"/>
        <v>0.24286007721916561</v>
      </c>
      <c r="IY23" s="762">
        <f t="shared" si="234"/>
        <v>78.678383306049597</v>
      </c>
      <c r="JA23" s="855" cm="1">
        <f t="array" ref="JA23:JA25">IFERROR(_xlfn._xlws.SORT(_xlfn.UNIQUE(_xlfn._xlws.FILTER($IK$9:$IK$150,$IK$9:$IK$150&lt;&gt;"")),,1),"")</f>
        <v>1310</v>
      </c>
      <c r="JB23" s="859" cm="1">
        <f t="array" ref="JB23">IF($JA23="","",COUNT(IF(IF($II$9:$II$150&lt;&gt;"",$IK$9:$IK$150,"")=$JA23,$IG$9:$IG$150,"")))</f>
        <v>28</v>
      </c>
      <c r="JC23" s="199"/>
      <c r="JD23" s="199"/>
      <c r="JE23" s="871"/>
      <c r="JF23" s="796" cm="1">
        <f t="array" ref="JF23:JG25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>
        <v>22</v>
      </c>
      <c r="JH23" s="800" cm="1">
        <f t="array" ref="JH23:JI25">IF(_xlfn.ANCHORARRAY($JF$23)="","",_xlfn.MINIFS($IO$9:$IO$150,$IK$9:$IK$150,_xlfn.ANCHORARRAY($JA$23),$IE$9:$IE$150,_xlfn.ANCHORARRAY($JH$22),$II$9:$II$150,"&lt;&gt;"&amp;"",$IF$9:$IF$150,"&lt;&gt;"&amp;"Gage"))</f>
        <v>130</v>
      </c>
      <c r="JI23" s="801">
        <v>100</v>
      </c>
    </row>
    <row r="24" spans="1:269" ht="15" customHeight="1" x14ac:dyDescent="0.25">
      <c r="A24" s="79"/>
      <c r="B24" s="707">
        <v>1.1804689208427417</v>
      </c>
      <c r="C24" s="708">
        <v>4.5015050207768361</v>
      </c>
      <c r="D24" s="709">
        <v>-2.8087084710647487</v>
      </c>
      <c r="E24" s="710">
        <v>-0.80546295888534936</v>
      </c>
      <c r="F24" s="708">
        <v>0.59264521209655696</v>
      </c>
      <c r="G24" s="711">
        <v>1.0365532718101258E-3</v>
      </c>
      <c r="H24" s="710">
        <v>0.26600000000000001</v>
      </c>
      <c r="I24" s="708">
        <v>0.52</v>
      </c>
      <c r="J24" s="570">
        <v>1.2450000000000001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1313</v>
      </c>
      <c r="L24" s="86"/>
      <c r="M24" s="168">
        <f t="shared" si="1"/>
        <v>1.2450000000000001</v>
      </c>
      <c r="N24" s="632">
        <f t="shared" si="2"/>
        <v>1.1804689208427417</v>
      </c>
      <c r="O24" s="629">
        <f t="shared" si="3"/>
        <v>4.5015050207768361</v>
      </c>
      <c r="P24" s="633">
        <f t="shared" si="4"/>
        <v>-2.8087084710647487</v>
      </c>
      <c r="Q24" s="585">
        <f t="shared" si="113"/>
        <v>75.305702121594123</v>
      </c>
      <c r="R24" s="629">
        <f t="shared" si="79"/>
        <v>4.6537140356015314</v>
      </c>
      <c r="S24" s="634">
        <f t="shared" si="80"/>
        <v>-2.8087084710647487</v>
      </c>
      <c r="T24" s="635">
        <f t="shared" si="81"/>
        <v>4.5015050207768352</v>
      </c>
      <c r="U24" s="629">
        <f t="shared" si="82"/>
        <v>-1.1804689208427459</v>
      </c>
      <c r="V24" s="636">
        <f t="shared" si="114"/>
        <v>-2.8087084710647487</v>
      </c>
      <c r="W24" s="585">
        <f t="shared" si="224"/>
        <v>345.30570212159409</v>
      </c>
      <c r="X24" s="629">
        <f t="shared" si="83"/>
        <v>4.6537140356015314</v>
      </c>
      <c r="Y24" s="630">
        <f t="shared" si="223"/>
        <v>-2.8087084710647487</v>
      </c>
      <c r="Z24" s="632">
        <f t="shared" si="6"/>
        <v>0.80546295888534936</v>
      </c>
      <c r="AA24" s="629">
        <f t="shared" si="7"/>
        <v>-0.59264521209655696</v>
      </c>
      <c r="AB24" s="629">
        <f t="shared" si="8"/>
        <v>-1.0365532718101258E-3</v>
      </c>
      <c r="AC24" s="636">
        <f t="shared" si="84"/>
        <v>1</v>
      </c>
      <c r="AD24" s="637">
        <f t="shared" si="115"/>
        <v>0.80546295888534936</v>
      </c>
      <c r="AE24" s="629">
        <f t="shared" si="85"/>
        <v>-0.59264521209655696</v>
      </c>
      <c r="AF24" s="633">
        <f t="shared" si="86"/>
        <v>-1.0365532718101258E-3</v>
      </c>
      <c r="AG24" s="602">
        <f t="shared" si="87"/>
        <v>-89.899788160027327</v>
      </c>
      <c r="AH24" s="603">
        <f t="shared" si="88"/>
        <v>36.345010516536185</v>
      </c>
      <c r="AI24" s="585">
        <f t="shared" si="89"/>
        <v>-89.940609861649591</v>
      </c>
      <c r="AJ24" s="586">
        <f t="shared" si="90"/>
        <v>53.655031317193355</v>
      </c>
      <c r="AK24" s="635">
        <f>IF(M24="","",(COS(RADIANS((90-$Q$8)-W24))*AD24)+(-SIN(RADIANS((90-$Q$8)-W24))*AE24))</f>
        <v>0.92945006383042938</v>
      </c>
      <c r="AL24" s="629">
        <f t="shared" si="91"/>
        <v>-0.36894647904936795</v>
      </c>
      <c r="AM24" s="634">
        <f t="shared" si="92"/>
        <v>-1.0365532718101258E-3</v>
      </c>
      <c r="AN24" s="581">
        <f t="shared" si="93"/>
        <v>-89.839028220005375</v>
      </c>
      <c r="AO24" s="582">
        <f t="shared" si="94"/>
        <v>21.650748346572051</v>
      </c>
      <c r="AP24" s="585">
        <f t="shared" si="95"/>
        <v>-21.650670804400708</v>
      </c>
      <c r="AQ24" s="586">
        <f t="shared" si="9"/>
        <v>0.48986058600942001</v>
      </c>
      <c r="AS24" s="52">
        <f t="shared" si="116"/>
        <v>-14.694297878405905</v>
      </c>
      <c r="AT24" s="72">
        <f t="shared" si="10"/>
        <v>-2.7985040975380779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1.2450000000000001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1.145</v>
      </c>
      <c r="II24" s="734" cm="1">
        <f t="array" ref="II24">IFERROR(IF($IH24&lt;1,$IH24+LARGE((IF($M$9:$M$150="",0,$M$9:$M$150)-MOD(IF($M$9:$M$150="",0,$M$9:$M$150),1)),1),$IH24),"")</f>
        <v>1.145</v>
      </c>
      <c r="IJ24" s="533">
        <f t="shared" si="112"/>
        <v>1613</v>
      </c>
      <c r="IK24" s="533">
        <f t="shared" si="66"/>
        <v>1313</v>
      </c>
      <c r="IL24" s="727">
        <f t="shared" si="225"/>
        <v>11.755098302773831</v>
      </c>
      <c r="IM24" s="759">
        <v>1.2437719480097199E-4</v>
      </c>
      <c r="IN24" s="5">
        <f t="shared" si="226"/>
        <v>0</v>
      </c>
      <c r="IO24" s="771">
        <v>0</v>
      </c>
      <c r="IP24" s="9">
        <f t="shared" si="227"/>
        <v>-4.6089139004843247</v>
      </c>
      <c r="IQ24" s="5">
        <f t="shared" si="228"/>
        <v>-2.8087084710647487</v>
      </c>
      <c r="IR24" s="5">
        <f t="shared" si="71"/>
        <v>0.314</v>
      </c>
      <c r="IS24" s="5">
        <f t="shared" si="229"/>
        <v>0.29184732004275477</v>
      </c>
      <c r="IT24" s="727">
        <f t="shared" si="230"/>
        <v>89.839036882932234</v>
      </c>
      <c r="IU24" s="9">
        <f t="shared" si="231"/>
        <v>-4.6537140356015314</v>
      </c>
      <c r="IV24" s="5">
        <f t="shared" si="232"/>
        <v>-2.8087084710647487</v>
      </c>
      <c r="IW24" s="5">
        <f t="shared" si="76"/>
        <v>0.26600000000000001</v>
      </c>
      <c r="IX24" s="5">
        <f t="shared" si="233"/>
        <v>0.24723371697889424</v>
      </c>
      <c r="IY24" s="762">
        <f t="shared" si="234"/>
        <v>89.839028220005375</v>
      </c>
      <c r="JA24" s="798">
        <v>1313</v>
      </c>
      <c r="JB24" s="856" cm="1">
        <f t="array" ref="JB24">IF($JA24="","",COUNT(IF(IF($II$9:$II$150&lt;&gt;"",$IK$9:$IK$150,"")=$JA24,$IG$9:$IG$150,"")))</f>
        <v>8</v>
      </c>
      <c r="JC24" s="5"/>
      <c r="JD24" s="5"/>
      <c r="JE24" s="10"/>
      <c r="JF24" s="247" t="str">
        <v/>
      </c>
      <c r="JG24" s="803">
        <v>7</v>
      </c>
      <c r="JH24" s="787" t="str">
        <v/>
      </c>
      <c r="JI24" s="803">
        <v>0</v>
      </c>
    </row>
    <row r="25" spans="1:269" ht="15" customHeight="1" x14ac:dyDescent="0.25">
      <c r="A25" s="79"/>
      <c r="B25" s="707">
        <v>0.82611621393667756</v>
      </c>
      <c r="C25" s="708">
        <v>4.6851385553757599</v>
      </c>
      <c r="D25" s="709">
        <v>-8.5</v>
      </c>
      <c r="E25" s="710">
        <v>-0.64448344272813374</v>
      </c>
      <c r="F25" s="708">
        <v>0.75642736100337615</v>
      </c>
      <c r="G25" s="711">
        <v>-0.111618724122616</v>
      </c>
      <c r="H25" s="710">
        <v>0.26600000000000001</v>
      </c>
      <c r="I25" s="708">
        <v>0.52</v>
      </c>
      <c r="J25" s="570">
        <v>1.5009999999999999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1313</v>
      </c>
      <c r="L25" s="86"/>
      <c r="M25" s="168">
        <f t="shared" si="1"/>
        <v>1.5009999999999999</v>
      </c>
      <c r="N25" s="632">
        <f t="shared" si="2"/>
        <v>0.82611621393667756</v>
      </c>
      <c r="O25" s="629">
        <f t="shared" si="3"/>
        <v>4.6851385553757599</v>
      </c>
      <c r="P25" s="633">
        <f t="shared" si="4"/>
        <v>-8.5</v>
      </c>
      <c r="Q25" s="585">
        <f t="shared" si="113"/>
        <v>80.000001443821148</v>
      </c>
      <c r="R25" s="629">
        <f>IF(M25="","",SQRT(N25^2+O25^2))</f>
        <v>4.7574143483616744</v>
      </c>
      <c r="S25" s="634">
        <f>IF(M25="","",P25)</f>
        <v>-8.5</v>
      </c>
      <c r="T25" s="635">
        <f>IF(M25="","",X25*COS(RADIANS(W25)))</f>
        <v>4.6851385553757599</v>
      </c>
      <c r="U25" s="629">
        <f>IF(M25="","",X25*SIN(RADIANS(W25)))</f>
        <v>-0.82611621393667822</v>
      </c>
      <c r="V25" s="636">
        <f>IF(M25="","",Y25)</f>
        <v>-8.5</v>
      </c>
      <c r="W25" s="585">
        <f t="shared" si="224"/>
        <v>350.00000144382113</v>
      </c>
      <c r="X25" s="629">
        <f>IF(M25="","",R25)</f>
        <v>4.7574143483616744</v>
      </c>
      <c r="Y25" s="630">
        <f t="shared" si="223"/>
        <v>-8.5</v>
      </c>
      <c r="Z25" s="632">
        <f t="shared" si="6"/>
        <v>0.64448344272813374</v>
      </c>
      <c r="AA25" s="629">
        <f t="shared" si="7"/>
        <v>-0.75642736100337615</v>
      </c>
      <c r="AB25" s="629">
        <f t="shared" si="8"/>
        <v>0.111618724122616</v>
      </c>
      <c r="AC25" s="636">
        <f>IF(M25="","",SQRT(Z25^2+AA25^2+AB25^2))</f>
        <v>1</v>
      </c>
      <c r="AD25" s="637">
        <f>IF(M25="","",Z25*(1/SQRT(Z25^2+AA25^2+AB25^2)))</f>
        <v>0.64448344272813374</v>
      </c>
      <c r="AE25" s="629">
        <f>IF(M25="","",AA25*(1/SQRT(Z25^2+AA25^2+AB25^2)))</f>
        <v>-0.75642736100337615</v>
      </c>
      <c r="AF25" s="633">
        <f>IF(M25="","",AB25*(1/SQRT(Z25^2+AA25^2+AB25^2)))</f>
        <v>0.111618724122616</v>
      </c>
      <c r="AG25" s="602">
        <f>IF(M25="","",DEGREES(ATAN2(-AF25,AE25)))</f>
        <v>-98.394013972887791</v>
      </c>
      <c r="AH25" s="603">
        <f>IF(M25="","",DEGREES(ACOS(AD25)))</f>
        <v>49.87304317831039</v>
      </c>
      <c r="AI25" s="585">
        <f>IF(M25="","",DEGREES(-ACOS(-AF25)))</f>
        <v>-96.408636339561312</v>
      </c>
      <c r="AJ25" s="586">
        <f>IF(M25="","",DEGREES(ATAN2(-AE25,AD25)))</f>
        <v>40.431318997851349</v>
      </c>
      <c r="AK25" s="635">
        <f>IF(M25="","",(COS(RADIANS((90-$Q$8)-W25))*AD25)+(-SIN(RADIANS((90-$Q$8)-W25))*AE25))</f>
        <v>0.76604450791050749</v>
      </c>
      <c r="AL25" s="629">
        <f>IF(M25="","",(SIN(RADIANS((90-$Q$8)-W25))*AD25)+(COS(RADIANS((90-$Q$8)-W25))*AE25))</f>
        <v>-0.63302217364432656</v>
      </c>
      <c r="AM25" s="634">
        <f>IF(M25="","",AF25)</f>
        <v>0.111618724122616</v>
      </c>
      <c r="AN25" s="581">
        <f>IF(M25="","",DEGREES(ATAN2(-AM25,AL25)))</f>
        <v>-99.999985561788435</v>
      </c>
      <c r="AO25" s="582">
        <f>IF(ROUND(IF(M25="",0,DEGREES(ACOS(AK25))),4)=90,0,IF(M25="","",DEGREES(ACOS(AK25))))</f>
        <v>39.999994224715358</v>
      </c>
      <c r="AP25" s="585">
        <f>IF(M25="","",DEGREES(ATAN2(AK25,AL25)))</f>
        <v>-39.568682445969799</v>
      </c>
      <c r="AQ25" s="586">
        <f t="shared" si="9"/>
        <v>0.47918329428090162</v>
      </c>
      <c r="AS25" s="52">
        <f t="shared" si="116"/>
        <v>-9.9999985561788662</v>
      </c>
      <c r="AT25" s="72">
        <f t="shared" si="10"/>
        <v>-8.4930555565582093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>Gage</v>
      </c>
      <c r="IG25" s="847">
        <f t="shared" si="210"/>
        <v>1.5009999999999999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1.101</v>
      </c>
      <c r="II25" s="734" cm="1">
        <f t="array" ref="II25">IFERROR(IF($IH25&lt;1,$IH25+LARGE((IF($M$9:$M$150="",0,$M$9:$M$150)-MOD(IF($M$9:$M$150="",0,$M$9:$M$150),1)),1),$IH25),"")</f>
        <v>1.101</v>
      </c>
      <c r="IJ25" s="533">
        <f t="shared" si="112"/>
        <v>1313</v>
      </c>
      <c r="IK25" s="533">
        <f t="shared" si="66"/>
        <v>1313</v>
      </c>
      <c r="IL25" s="727">
        <f t="shared" si="225"/>
        <v>9.9999985561788662</v>
      </c>
      <c r="IM25" s="759">
        <v>9.0697174475337299</v>
      </c>
      <c r="IN25" s="5">
        <f t="shared" si="226"/>
        <v>4</v>
      </c>
      <c r="IO25" s="771">
        <v>2000</v>
      </c>
      <c r="IP25" s="9">
        <f t="shared" si="227"/>
        <v>-0.29580089213549071</v>
      </c>
      <c r="IQ25" s="5">
        <f t="shared" si="228"/>
        <v>-0.54920165639219576</v>
      </c>
      <c r="IR25" s="5">
        <f t="shared" si="71"/>
        <v>0.26600000000000001</v>
      </c>
      <c r="IS25" s="5">
        <f t="shared" si="229"/>
        <v>0.24995824171420702</v>
      </c>
      <c r="IT25" s="727">
        <f t="shared" si="230"/>
        <v>-14.999997834268264</v>
      </c>
      <c r="IU25" s="9">
        <f t="shared" si="231"/>
        <v>-4.7574143483616744</v>
      </c>
      <c r="IV25" s="5">
        <f t="shared" si="232"/>
        <v>-8.5</v>
      </c>
      <c r="IW25" s="5">
        <f t="shared" si="76"/>
        <v>0.26600000000000001</v>
      </c>
      <c r="IX25" s="5">
        <f t="shared" si="233"/>
        <v>0.20376783910419499</v>
      </c>
      <c r="IY25" s="762">
        <f t="shared" si="234"/>
        <v>99.999985561788435</v>
      </c>
      <c r="JA25" s="798" t="str">
        <v>Inactive</v>
      </c>
      <c r="JB25" s="856" cm="1">
        <f t="array" ref="JB25">IF($JA25="","",COUNT(IF(IF($II$9:$II$150&lt;&gt;"",$IK$9:$IK$150,"")=$JA25,$IG$9:$IG$150,"")))</f>
        <v>6</v>
      </c>
      <c r="JC25" s="5"/>
      <c r="JD25" s="5"/>
      <c r="JE25" s="10"/>
      <c r="JF25" s="247">
        <v>6</v>
      </c>
      <c r="JG25" s="803" t="str">
        <v/>
      </c>
      <c r="JH25" s="787">
        <v>310</v>
      </c>
      <c r="JI25" s="803" t="str">
        <v/>
      </c>
    </row>
    <row r="26" spans="1:269" ht="15" customHeight="1" x14ac:dyDescent="0.25">
      <c r="A26" s="79"/>
      <c r="B26" s="707">
        <v>2.5446971998240793</v>
      </c>
      <c r="C26" s="708">
        <v>1.6733951931204154</v>
      </c>
      <c r="D26" s="709">
        <v>-0.18780056640650802</v>
      </c>
      <c r="E26" s="710">
        <v>-0.42325732318086118</v>
      </c>
      <c r="F26" s="708">
        <v>0.87476439804686967</v>
      </c>
      <c r="G26" s="711">
        <v>0.23588235687195847</v>
      </c>
      <c r="H26" s="710">
        <v>0.314</v>
      </c>
      <c r="I26" s="708">
        <v>0.52</v>
      </c>
      <c r="J26" s="570">
        <v>2.1160000000000001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1613</v>
      </c>
      <c r="L26" s="320"/>
      <c r="M26" s="168">
        <f t="shared" si="1"/>
        <v>2.1160000000000001</v>
      </c>
      <c r="N26" s="632">
        <f t="shared" si="2"/>
        <v>2.5446971998240793</v>
      </c>
      <c r="O26" s="629">
        <f t="shared" si="3"/>
        <v>1.6733951931204154</v>
      </c>
      <c r="P26" s="633">
        <f t="shared" si="4"/>
        <v>-0.18780056640650802</v>
      </c>
      <c r="Q26" s="585">
        <f t="shared" si="113"/>
        <v>33.328956204717265</v>
      </c>
      <c r="R26" s="629">
        <f>IF(M26="","",SQRT(N26^2+O26^2))</f>
        <v>3.0456091855573035</v>
      </c>
      <c r="S26" s="634">
        <f>IF(M26="","",P26)</f>
        <v>-0.18780056640650802</v>
      </c>
      <c r="T26" s="635">
        <f>IF(M26="","",X26*COS(RADIANS(W26)))</f>
        <v>1.6733951931204141</v>
      </c>
      <c r="U26" s="629">
        <f>IF(M26="","",X26*SIN(RADIANS(W26)))</f>
        <v>-2.5446971998240802</v>
      </c>
      <c r="V26" s="636">
        <f>IF(M26="","",Y26)</f>
        <v>-0.18780056640650802</v>
      </c>
      <c r="W26" s="585">
        <f t="shared" si="224"/>
        <v>303.32895620471726</v>
      </c>
      <c r="X26" s="629">
        <f>IF(M26="","",R26)</f>
        <v>3.0456091855573035</v>
      </c>
      <c r="Y26" s="630">
        <f t="shared" si="223"/>
        <v>-0.18780056640650802</v>
      </c>
      <c r="Z26" s="632">
        <f t="shared" si="6"/>
        <v>0.42325732318086118</v>
      </c>
      <c r="AA26" s="629">
        <f t="shared" si="7"/>
        <v>-0.87476439804686967</v>
      </c>
      <c r="AB26" s="629">
        <f t="shared" si="8"/>
        <v>-0.23588235687195847</v>
      </c>
      <c r="AC26" s="636">
        <f>IF(M26="","",SQRT(Z26^2+AA26^2+AB26^2))</f>
        <v>1</v>
      </c>
      <c r="AD26" s="637">
        <f>IF(M26="","",Z26*(1/SQRT(Z26^2+AA26^2+AB26^2)))</f>
        <v>0.42325732318086118</v>
      </c>
      <c r="AE26" s="629">
        <f>IF(M26="","",AA26*(1/SQRT(Z26^2+AA26^2+AB26^2)))</f>
        <v>-0.87476439804686967</v>
      </c>
      <c r="AF26" s="633">
        <f>IF(M26="","",AB26*(1/SQRT(Z26^2+AA26^2+AB26^2)))</f>
        <v>-0.23588235687195847</v>
      </c>
      <c r="AG26" s="602">
        <f>IF(M26="","",DEGREES(ATAN2(-AF26,AE26)))</f>
        <v>-74.908986996848839</v>
      </c>
      <c r="AH26" s="603">
        <f>IF(M26="","",DEGREES(ACOS(AD26)))</f>
        <v>64.95959259248437</v>
      </c>
      <c r="AI26" s="585">
        <f>IF(M26="","",DEGREES(-ACOS(-AF26)))</f>
        <v>-76.356359611264665</v>
      </c>
      <c r="AJ26" s="586">
        <f>IF(M26="","",DEGREES(ATAN2(-AE26,AD26)))</f>
        <v>25.820154873074181</v>
      </c>
      <c r="AK26" s="635">
        <f>IF(M26="","",(COS(RADIANS((90-$Q$8)-W26))*AD26)+(-SIN(RADIANS((90-$Q$8)-W26))*AE26))</f>
        <v>0.96344839587243358</v>
      </c>
      <c r="AL26" s="629">
        <f>IF(M26="","",(SIN(RADIANS((90-$Q$8)-W26))*AD26)+(COS(RADIANS((90-$Q$8)-W26))*AE26))</f>
        <v>-0.12699095325008303</v>
      </c>
      <c r="AM26" s="634">
        <f>IF(M26="","",AF26)</f>
        <v>-0.23588235687195847</v>
      </c>
      <c r="AN26" s="581">
        <f>IF(M26="","",DEGREES(ATAN2(-AM26,AL26)))</f>
        <v>-28.296495515992873</v>
      </c>
      <c r="AO26" s="582">
        <f t="shared" si="94"/>
        <v>15.538985183114679</v>
      </c>
      <c r="AP26" s="585">
        <f>IF(M26="","",DEGREES(ATAN2(AK26,AL26)))</f>
        <v>-7.5088013316430589</v>
      </c>
      <c r="AQ26" s="586">
        <f t="shared" si="9"/>
        <v>0.74848636456427153</v>
      </c>
      <c r="AS26" s="52">
        <f t="shared" si="116"/>
        <v>-56.671043795282742</v>
      </c>
      <c r="AT26" s="72">
        <f t="shared" si="10"/>
        <v>-0.14844567488200611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2.1160000000000001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3.1250609597047432</v>
      </c>
      <c r="C27" s="708">
        <v>1.9889482795270217</v>
      </c>
      <c r="D27" s="709">
        <v>-0.60410182197109508</v>
      </c>
      <c r="E27" s="710">
        <v>-0.31617502653859741</v>
      </c>
      <c r="F27" s="708">
        <v>0.93561870855632367</v>
      </c>
      <c r="G27" s="711">
        <v>0.15700632086866498</v>
      </c>
      <c r="H27" s="710">
        <v>0.314</v>
      </c>
      <c r="I27" s="708">
        <v>0.52</v>
      </c>
      <c r="J27" s="570">
        <v>2.1230000000000002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1613</v>
      </c>
      <c r="L27" s="320"/>
      <c r="M27" s="168">
        <f t="shared" si="1"/>
        <v>2.1230000000000002</v>
      </c>
      <c r="N27" s="632">
        <f t="shared" si="2"/>
        <v>3.1250609597047432</v>
      </c>
      <c r="O27" s="629">
        <f t="shared" si="3"/>
        <v>1.9889482795270217</v>
      </c>
      <c r="P27" s="633">
        <f t="shared" si="4"/>
        <v>-0.60410182197109508</v>
      </c>
      <c r="Q27" s="585">
        <f t="shared" si="113"/>
        <v>32.474756328048478</v>
      </c>
      <c r="R27" s="629">
        <f t="shared" si="79"/>
        <v>3.7043111722024959</v>
      </c>
      <c r="S27" s="634">
        <f t="shared" si="80"/>
        <v>-0.60410182197109508</v>
      </c>
      <c r="T27" s="635">
        <f t="shared" si="81"/>
        <v>1.9889482795270226</v>
      </c>
      <c r="U27" s="629">
        <f t="shared" si="82"/>
        <v>-3.1250609597047423</v>
      </c>
      <c r="V27" s="636">
        <f t="shared" si="114"/>
        <v>-0.60410182197109508</v>
      </c>
      <c r="W27" s="585">
        <f t="shared" si="224"/>
        <v>302.4747563280485</v>
      </c>
      <c r="X27" s="629">
        <f t="shared" si="83"/>
        <v>3.7043111722024959</v>
      </c>
      <c r="Y27" s="630">
        <f t="shared" si="223"/>
        <v>-0.60410182197109508</v>
      </c>
      <c r="Z27" s="632">
        <f t="shared" si="6"/>
        <v>0.31617502653859741</v>
      </c>
      <c r="AA27" s="629">
        <f t="shared" si="7"/>
        <v>-0.93561870855632367</v>
      </c>
      <c r="AB27" s="629">
        <f t="shared" si="8"/>
        <v>-0.15700632086866498</v>
      </c>
      <c r="AC27" s="636">
        <f t="shared" si="84"/>
        <v>1</v>
      </c>
      <c r="AD27" s="637">
        <f t="shared" si="115"/>
        <v>0.31617502653859741</v>
      </c>
      <c r="AE27" s="629">
        <f t="shared" si="85"/>
        <v>-0.93561870855632367</v>
      </c>
      <c r="AF27" s="633">
        <f t="shared" si="86"/>
        <v>-0.15700632086866498</v>
      </c>
      <c r="AG27" s="602">
        <f t="shared" si="87"/>
        <v>-80.473943290655853</v>
      </c>
      <c r="AH27" s="603">
        <f t="shared" si="88"/>
        <v>71.568236351232017</v>
      </c>
      <c r="AI27" s="585">
        <f t="shared" si="89"/>
        <v>-80.966825132598018</v>
      </c>
      <c r="AJ27" s="586">
        <f t="shared" si="90"/>
        <v>18.67173044460403</v>
      </c>
      <c r="AK27" s="635">
        <f t="shared" si="211"/>
        <v>0.95907743955260816</v>
      </c>
      <c r="AL27" s="629">
        <f t="shared" si="91"/>
        <v>-0.23562572047316654</v>
      </c>
      <c r="AM27" s="634">
        <f t="shared" si="92"/>
        <v>-0.15700632086866498</v>
      </c>
      <c r="AN27" s="581">
        <f t="shared" si="93"/>
        <v>-56.322979942471896</v>
      </c>
      <c r="AO27" s="582">
        <f t="shared" si="94"/>
        <v>16.447932119435539</v>
      </c>
      <c r="AP27" s="585">
        <f t="shared" si="95"/>
        <v>-13.803025883444469</v>
      </c>
      <c r="AQ27" s="586">
        <f t="shared" si="9"/>
        <v>0.61540158449006344</v>
      </c>
      <c r="AS27" s="52">
        <f t="shared" si="116"/>
        <v>-57.5252436719515</v>
      </c>
      <c r="AT27" s="72">
        <f t="shared" si="10"/>
        <v>-0.5641537360877954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3.5328206462769574</v>
      </c>
      <c r="C28" s="708">
        <v>2.1899257392687943</v>
      </c>
      <c r="D28" s="709">
        <v>-1.2266036994367577</v>
      </c>
      <c r="E28" s="710">
        <v>-0.25917768954308917</v>
      </c>
      <c r="F28" s="708">
        <v>0.96271811966837184</v>
      </c>
      <c r="G28" s="711">
        <v>7.7464490608927947E-2</v>
      </c>
      <c r="H28" s="710">
        <v>0.314</v>
      </c>
      <c r="I28" s="708">
        <v>0.52</v>
      </c>
      <c r="J28" s="570">
        <v>2.13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1613</v>
      </c>
      <c r="L28" s="320"/>
      <c r="M28" s="168">
        <f t="shared" si="1"/>
        <v>2.13</v>
      </c>
      <c r="N28" s="632">
        <f t="shared" si="2"/>
        <v>3.5328206462769574</v>
      </c>
      <c r="O28" s="629">
        <f t="shared" si="3"/>
        <v>2.1899257392687943</v>
      </c>
      <c r="P28" s="633">
        <f t="shared" si="4"/>
        <v>-1.2266036994367577</v>
      </c>
      <c r="Q28" s="585">
        <f t="shared" si="113"/>
        <v>31.793956426343822</v>
      </c>
      <c r="R28" s="629">
        <f t="shared" si="79"/>
        <v>4.1565125360418094</v>
      </c>
      <c r="S28" s="634">
        <f t="shared" si="80"/>
        <v>-1.2266036994367577</v>
      </c>
      <c r="T28" s="635">
        <f t="shared" si="81"/>
        <v>2.189925739268793</v>
      </c>
      <c r="U28" s="629">
        <f t="shared" si="82"/>
        <v>-3.5328206462769578</v>
      </c>
      <c r="V28" s="636">
        <f t="shared" si="114"/>
        <v>-1.2266036994367577</v>
      </c>
      <c r="W28" s="585">
        <f t="shared" si="224"/>
        <v>301.79395642634381</v>
      </c>
      <c r="X28" s="629">
        <f t="shared" si="83"/>
        <v>4.1565125360418094</v>
      </c>
      <c r="Y28" s="630">
        <f t="shared" si="223"/>
        <v>-1.2266036994367577</v>
      </c>
      <c r="Z28" s="632">
        <f t="shared" si="6"/>
        <v>0.25917768954308917</v>
      </c>
      <c r="AA28" s="629">
        <f t="shared" si="7"/>
        <v>-0.96271811966837184</v>
      </c>
      <c r="AB28" s="629">
        <f t="shared" si="8"/>
        <v>-7.7464490608927947E-2</v>
      </c>
      <c r="AC28" s="636">
        <f t="shared" si="84"/>
        <v>1</v>
      </c>
      <c r="AD28" s="637">
        <f t="shared" si="115"/>
        <v>0.25917768954308917</v>
      </c>
      <c r="AE28" s="629">
        <f t="shared" si="85"/>
        <v>-0.96271811966837184</v>
      </c>
      <c r="AF28" s="633">
        <f t="shared" si="86"/>
        <v>-7.7464490608927947E-2</v>
      </c>
      <c r="AG28" s="602">
        <f t="shared" si="87"/>
        <v>-85.399643443494</v>
      </c>
      <c r="AH28" s="603">
        <f t="shared" si="88"/>
        <v>74.978725244744368</v>
      </c>
      <c r="AI28" s="585">
        <f t="shared" si="89"/>
        <v>-85.557160655174101</v>
      </c>
      <c r="AJ28" s="586">
        <f t="shared" si="90"/>
        <v>15.067619682151712</v>
      </c>
      <c r="AK28" s="635">
        <f t="shared" si="211"/>
        <v>0.95481255227087869</v>
      </c>
      <c r="AL28" s="629">
        <f t="shared" si="91"/>
        <v>-0.28693595578224429</v>
      </c>
      <c r="AM28" s="634">
        <f t="shared" si="92"/>
        <v>-7.7464490608927947E-2</v>
      </c>
      <c r="AN28" s="581">
        <f t="shared" si="93"/>
        <v>-74.891954269380136</v>
      </c>
      <c r="AO28" s="582">
        <f t="shared" si="94"/>
        <v>17.29002590892209</v>
      </c>
      <c r="AP28" s="585">
        <f t="shared" si="95"/>
        <v>-16.726336744192093</v>
      </c>
      <c r="AQ28" s="586">
        <f t="shared" si="9"/>
        <v>0.54845425862433728</v>
      </c>
      <c r="AS28" s="52">
        <f t="shared" si="116"/>
        <v>-58.206043573656189</v>
      </c>
      <c r="AT28" s="72">
        <f t="shared" si="10"/>
        <v>-1.186182835843941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2.13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3.7975483412085071</v>
      </c>
      <c r="C29" s="708">
        <v>2.3116841177016654</v>
      </c>
      <c r="D29" s="709">
        <v>-1.9327058290407806</v>
      </c>
      <c r="E29" s="710">
        <v>-0.21896819514884586</v>
      </c>
      <c r="F29" s="708">
        <v>0.97530408781246991</v>
      </c>
      <c r="G29" s="711">
        <v>2.8894044534175684E-2</v>
      </c>
      <c r="H29" s="710">
        <v>0.314</v>
      </c>
      <c r="I29" s="708">
        <v>0.52</v>
      </c>
      <c r="J29" s="570">
        <v>2.137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1613</v>
      </c>
      <c r="L29" s="86"/>
      <c r="M29" s="168">
        <f t="shared" si="1"/>
        <v>2.137</v>
      </c>
      <c r="N29" s="632">
        <f t="shared" si="2"/>
        <v>3.7975483412085071</v>
      </c>
      <c r="O29" s="629">
        <f t="shared" si="3"/>
        <v>2.3116841177016654</v>
      </c>
      <c r="P29" s="633">
        <f t="shared" si="4"/>
        <v>-1.9327058290407806</v>
      </c>
      <c r="Q29" s="585">
        <f t="shared" si="113"/>
        <v>31.330156493308252</v>
      </c>
      <c r="R29" s="629">
        <f>IF(M29="","",SQRT(N29^2+O29^2))</f>
        <v>4.4458134085732404</v>
      </c>
      <c r="S29" s="634">
        <f>IF(M29="","",P29)</f>
        <v>-1.9327058290407806</v>
      </c>
      <c r="T29" s="635">
        <f>IF(M29="","",X29*COS(RADIANS(W29)))</f>
        <v>2.311684117701668</v>
      </c>
      <c r="U29" s="629">
        <f>IF(M29="","",X29*SIN(RADIANS(W29)))</f>
        <v>-3.7975483412085058</v>
      </c>
      <c r="V29" s="636">
        <f>IF(M29="","",Y29)</f>
        <v>-1.9327058290407806</v>
      </c>
      <c r="W29" s="585">
        <f t="shared" si="224"/>
        <v>301.33015649330827</v>
      </c>
      <c r="X29" s="629">
        <f>IF(M29="","",R29)</f>
        <v>4.4458134085732404</v>
      </c>
      <c r="Y29" s="630">
        <f t="shared" si="223"/>
        <v>-1.9327058290407806</v>
      </c>
      <c r="Z29" s="632">
        <f t="shared" si="6"/>
        <v>0.21896819514884586</v>
      </c>
      <c r="AA29" s="629">
        <f t="shared" si="7"/>
        <v>-0.97530408781246991</v>
      </c>
      <c r="AB29" s="629">
        <f t="shared" si="8"/>
        <v>-2.8894044534175684E-2</v>
      </c>
      <c r="AC29" s="636">
        <f>IF(M29="","",SQRT(Z29^2+AA29^2+AB29^2))</f>
        <v>1</v>
      </c>
      <c r="AD29" s="637">
        <f>IF(M29="","",Z29*(1/SQRT(Z29^2+AA29^2+AB29^2)))</f>
        <v>0.21896819514884586</v>
      </c>
      <c r="AE29" s="629">
        <f>IF(M29="","",AA29*(1/SQRT(Z29^2+AA29^2+AB29^2)))</f>
        <v>-0.97530408781246991</v>
      </c>
      <c r="AF29" s="633">
        <f>IF(M29="","",AB29*(1/SQRT(Z29^2+AA29^2+AB29^2)))</f>
        <v>-2.8894044534175684E-2</v>
      </c>
      <c r="AG29" s="602">
        <f>IF(M29="","",DEGREES(ATAN2(-AF29,AE29)))</f>
        <v>-88.303070042514634</v>
      </c>
      <c r="AH29" s="603">
        <f>IF(M29="","",DEGREES(ACOS(AD29)))</f>
        <v>77.351562631057874</v>
      </c>
      <c r="AI29" s="585">
        <f>IF(M29="","",DEGREES(-ACOS(-AF29)))</f>
        <v>-88.344262754205786</v>
      </c>
      <c r="AJ29" s="586">
        <f>IF(M29="","",DEGREES(ATAN2(-AE29,AD29)))</f>
        <v>12.653808137158462</v>
      </c>
      <c r="AK29" s="635">
        <f>IF(M29="","",(COS(RADIANS((90-$Q$8)-W29))*AD29)+(-SIN(RADIANS((90-$Q$8)-W29))*AE29))</f>
        <v>0.94694701125672565</v>
      </c>
      <c r="AL29" s="629">
        <f>IF(M29="","",(SIN(RADIANS((90-$Q$8)-W29))*AD29)+(COS(RADIANS((90-$Q$8)-W29))*AE29))</f>
        <v>-0.32008825667682911</v>
      </c>
      <c r="AM29" s="634">
        <f>IF(M29="","",AF29)</f>
        <v>-2.8894044534175684E-2</v>
      </c>
      <c r="AN29" s="581">
        <f>IF(M29="","",DEGREES(ATAN2(-AM29,AL29)))</f>
        <v>-84.841947493381952</v>
      </c>
      <c r="AO29" s="582">
        <f t="shared" si="94"/>
        <v>18.746990635459607</v>
      </c>
      <c r="AP29" s="585">
        <f>IF(M29="","",DEGREES(ATAN2(AK29,AL29)))</f>
        <v>-18.67634835614983</v>
      </c>
      <c r="AQ29" s="586">
        <f t="shared" si="9"/>
        <v>0.51276685698064306</v>
      </c>
      <c r="AS29" s="52">
        <f t="shared" si="116"/>
        <v>-58.669843506691734</v>
      </c>
      <c r="AT29" s="72">
        <f t="shared" si="10"/>
        <v>-1.8919628821611336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2.137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130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3.9475354490635892</v>
      </c>
      <c r="C30" s="708">
        <v>2.3777133694171209</v>
      </c>
      <c r="D30" s="709">
        <v>-2.6943081260333082</v>
      </c>
      <c r="E30" s="710">
        <v>-0.16362569449258796</v>
      </c>
      <c r="F30" s="708">
        <v>0.98648323583028297</v>
      </c>
      <c r="G30" s="711">
        <v>8.8009958318761017E-3</v>
      </c>
      <c r="H30" s="710">
        <v>0.314</v>
      </c>
      <c r="I30" s="708">
        <v>0.52</v>
      </c>
      <c r="J30" s="570">
        <v>2.1440000000000001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1613</v>
      </c>
      <c r="L30" s="86"/>
      <c r="M30" s="168">
        <f t="shared" si="1"/>
        <v>2.1440000000000001</v>
      </c>
      <c r="N30" s="632">
        <f t="shared" si="2"/>
        <v>3.9475354490635892</v>
      </c>
      <c r="O30" s="629">
        <f t="shared" si="3"/>
        <v>2.3777133694171209</v>
      </c>
      <c r="P30" s="633">
        <f t="shared" si="4"/>
        <v>-2.6943081260333082</v>
      </c>
      <c r="Q30" s="585">
        <f t="shared" si="113"/>
        <v>31.061756532060393</v>
      </c>
      <c r="R30" s="629">
        <f>IF(M30="","",SQRT(N30^2+O30^2))</f>
        <v>4.6083138986747194</v>
      </c>
      <c r="S30" s="634">
        <f>IF(M30="","",P30)</f>
        <v>-2.6943081260333082</v>
      </c>
      <c r="T30" s="635">
        <f>IF(M30="","",X30*COS(RADIANS(W30)))</f>
        <v>2.3777133694171182</v>
      </c>
      <c r="U30" s="629">
        <f>IF(M30="","",X30*SIN(RADIANS(W30)))</f>
        <v>-3.947535449063591</v>
      </c>
      <c r="V30" s="636">
        <f>IF(M30="","",Y30)</f>
        <v>-2.6943081260333082</v>
      </c>
      <c r="W30" s="585">
        <f t="shared" si="224"/>
        <v>301.06175653206037</v>
      </c>
      <c r="X30" s="629">
        <f>IF(M30="","",R30)</f>
        <v>4.6083138986747194</v>
      </c>
      <c r="Y30" s="630">
        <f t="shared" si="223"/>
        <v>-2.6943081260333082</v>
      </c>
      <c r="Z30" s="632">
        <f t="shared" si="6"/>
        <v>0.16362569449258796</v>
      </c>
      <c r="AA30" s="629">
        <f t="shared" si="7"/>
        <v>-0.98648323583028297</v>
      </c>
      <c r="AB30" s="629">
        <f t="shared" si="8"/>
        <v>-8.8009958318761017E-3</v>
      </c>
      <c r="AC30" s="636">
        <f>IF(M30="","",SQRT(Z30^2+AA30^2+AB30^2))</f>
        <v>1</v>
      </c>
      <c r="AD30" s="637">
        <f>IF(M30="","",Z30*(1/SQRT(Z30^2+AA30^2+AB30^2)))</f>
        <v>0.16362569449258796</v>
      </c>
      <c r="AE30" s="629">
        <f>IF(M30="","",AA30*(1/SQRT(Z30^2+AA30^2+AB30^2)))</f>
        <v>-0.98648323583028297</v>
      </c>
      <c r="AF30" s="633">
        <f>IF(M30="","",AB30*(1/SQRT(Z30^2+AA30^2+AB30^2)))</f>
        <v>-8.8009958318761017E-3</v>
      </c>
      <c r="AG30" s="602">
        <f>IF(M30="","",DEGREES(ATAN2(-AF30,AE30)))</f>
        <v>-89.488844290307966</v>
      </c>
      <c r="AH30" s="603">
        <f>IF(M30="","",DEGREES(ACOS(AD30)))</f>
        <v>80.582592428823148</v>
      </c>
      <c r="AI30" s="585">
        <f>IF(M30="","",DEGREES(-ACOS(-AF30)))</f>
        <v>-89.495733573306609</v>
      </c>
      <c r="AJ30" s="586">
        <f>IF(M30="","",DEGREES(ATAN2(-AE30,AD30)))</f>
        <v>9.4177756376329747</v>
      </c>
      <c r="AK30" s="635">
        <f>IF(M30="","",(COS(RADIANS((90-$Q$8)-W30))*AD30)+(-SIN(RADIANS((90-$Q$8)-W30))*AE30))</f>
        <v>0.92945763654554436</v>
      </c>
      <c r="AL30" s="629">
        <f>IF(M30="","",(SIN(RADIANS((90-$Q$8)-W30))*AD30)+(COS(RADIANS((90-$Q$8)-W30))*AE30))</f>
        <v>-0.368823866282455</v>
      </c>
      <c r="AM30" s="634">
        <f>IF(M30="","",AF30)</f>
        <v>-8.8009958318761017E-3</v>
      </c>
      <c r="AN30" s="581">
        <f>IF(M30="","",DEGREES(ATAN2(-AM30,AL30)))</f>
        <v>-88.633048766282045</v>
      </c>
      <c r="AO30" s="582">
        <f>IF(ROUND(IF(M30="",0,DEGREES(ACOS(AK30))),4)=90,0,IF(M30="","",DEGREES(ACOS(AK30))))</f>
        <v>21.649572311169173</v>
      </c>
      <c r="AP30" s="585">
        <f>IF(M30="","",DEGREES(ATAN2(AK30,AL30)))</f>
        <v>-21.643980894427379</v>
      </c>
      <c r="AQ30" s="586">
        <f t="shared" si="9"/>
        <v>0.494686350561299</v>
      </c>
      <c r="AS30" s="52">
        <f t="shared" si="116"/>
        <v>-58.938243467939628</v>
      </c>
      <c r="AT30" s="72">
        <f t="shared" si="10"/>
        <v>-2.6533787902916832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2.1440000000000001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310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3.9668767212627674</v>
      </c>
      <c r="C31" s="708">
        <v>2.3860808281161709</v>
      </c>
      <c r="D31" s="709">
        <v>-3.4004000000000003</v>
      </c>
      <c r="E31" s="710">
        <v>9.9414485877661468E-3</v>
      </c>
      <c r="F31" s="708">
        <v>0.99915119152539655</v>
      </c>
      <c r="G31" s="711">
        <v>3.9975793592589418E-2</v>
      </c>
      <c r="H31" s="710">
        <v>0.314</v>
      </c>
      <c r="I31" s="708">
        <v>0.52</v>
      </c>
      <c r="J31" s="570">
        <v>2.1509999999999998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1613</v>
      </c>
      <c r="L31" s="320"/>
      <c r="M31" s="168">
        <f t="shared" si="1"/>
        <v>2.1509999999999998</v>
      </c>
      <c r="N31" s="632">
        <f t="shared" si="2"/>
        <v>3.9668767212627674</v>
      </c>
      <c r="O31" s="629">
        <f t="shared" si="3"/>
        <v>2.3860808281161709</v>
      </c>
      <c r="P31" s="633">
        <f t="shared" si="4"/>
        <v>-3.4004000000000003</v>
      </c>
      <c r="Q31" s="585">
        <f t="shared" si="113"/>
        <v>31.026956107836881</v>
      </c>
      <c r="R31" s="629">
        <f>IF(M31="","",SQRT(N31^2+O31^2))</f>
        <v>4.6292</v>
      </c>
      <c r="S31" s="634">
        <f>IF(M31="","",P31)</f>
        <v>-3.4004000000000003</v>
      </c>
      <c r="T31" s="635">
        <f>IF(M31="","",X31*COS(RADIANS(W31)))</f>
        <v>2.3860808281161727</v>
      </c>
      <c r="U31" s="629">
        <f>IF(M31="","",X31*SIN(RADIANS(W31)))</f>
        <v>-3.9668767212627665</v>
      </c>
      <c r="V31" s="636">
        <f>IF(M31="","",Y31)</f>
        <v>-3.4004000000000003</v>
      </c>
      <c r="W31" s="585">
        <f t="shared" si="224"/>
        <v>301.0269561078369</v>
      </c>
      <c r="X31" s="629">
        <f>IF(M31="","",R31)</f>
        <v>4.6292</v>
      </c>
      <c r="Y31" s="630">
        <f t="shared" si="223"/>
        <v>-3.4004000000000003</v>
      </c>
      <c r="Z31" s="632">
        <f t="shared" si="6"/>
        <v>-9.9414485877661468E-3</v>
      </c>
      <c r="AA31" s="629">
        <f t="shared" si="7"/>
        <v>-0.99915119152539655</v>
      </c>
      <c r="AB31" s="629">
        <f t="shared" si="8"/>
        <v>-3.9975793592589418E-2</v>
      </c>
      <c r="AC31" s="636">
        <f>IF(M31="","",SQRT(Z31^2+AA31^2+AB31^2))</f>
        <v>1</v>
      </c>
      <c r="AD31" s="637">
        <f>IF(M31="","",Z31*(1/SQRT(Z31^2+AA31^2+AB31^2)))</f>
        <v>-9.9414485877661468E-3</v>
      </c>
      <c r="AE31" s="629">
        <f>IF(M31="","",AA31*(1/SQRT(Z31^2+AA31^2+AB31^2)))</f>
        <v>-0.99915119152539655</v>
      </c>
      <c r="AF31" s="633">
        <f>IF(M31="","",AB31*(1/SQRT(Z31^2+AA31^2+AB31^2)))</f>
        <v>-3.9975793592589418E-2</v>
      </c>
      <c r="AG31" s="602">
        <f>IF(M31="","",DEGREES(ATAN2(-AF31,AE31)))</f>
        <v>-87.70883197522609</v>
      </c>
      <c r="AH31" s="603">
        <f>IF(M31="","",DEGREES(ACOS(AD31)))</f>
        <v>90.56961242928196</v>
      </c>
      <c r="AI31" s="585">
        <f>IF(M31="","",DEGREES(-ACOS(-AF31)))</f>
        <v>-87.708945259226198</v>
      </c>
      <c r="AJ31" s="586">
        <f>IF(M31="","",DEGREES(ATAN2(-AE31,AD31)))</f>
        <v>-0.5700681291256311</v>
      </c>
      <c r="AK31" s="635">
        <f>IF(M31="","",(COS(RADIANS((90-$Q$8)-W31))*AD31)+(-SIN(RADIANS((90-$Q$8)-W31))*AE31))</f>
        <v>0.85107329620778549</v>
      </c>
      <c r="AL31" s="629">
        <f>IF(M31="","",(SIN(RADIANS((90-$Q$8)-W31))*AD31)+(COS(RADIANS((90-$Q$8)-W31))*AE31))</f>
        <v>-0.52352285566979595</v>
      </c>
      <c r="AM31" s="634">
        <f>IF(M31="","",AF31)</f>
        <v>-3.9975793592589418E-2</v>
      </c>
      <c r="AN31" s="581">
        <f>IF(M31="","",DEGREES(ATAN2(-AM31,AL31)))</f>
        <v>-85.633412970590427</v>
      </c>
      <c r="AO31" s="582">
        <f t="shared" si="94"/>
        <v>31.671400417704476</v>
      </c>
      <c r="AP31" s="585">
        <f>IF(M31="","",DEGREES(ATAN2(AK31,AL31)))</f>
        <v>-31.59702423696254</v>
      </c>
      <c r="AQ31" s="586">
        <f t="shared" si="9"/>
        <v>0.49245452664907641</v>
      </c>
      <c r="AS31" s="52">
        <f t="shared" si="116"/>
        <v>-58.973043892163105</v>
      </c>
      <c r="AT31" s="72">
        <f t="shared" si="10"/>
        <v>-3.3594464972971094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2.1509999999999998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4.1303708484940991</v>
      </c>
      <c r="C32" s="708">
        <v>2.3606972304618252</v>
      </c>
      <c r="D32" s="709">
        <v>-4.0485000000000007</v>
      </c>
      <c r="E32" s="710">
        <v>0.19450772520516652</v>
      </c>
      <c r="F32" s="708">
        <v>0.97671598119827119</v>
      </c>
      <c r="G32" s="711">
        <v>9.0513186373090151E-2</v>
      </c>
      <c r="H32" s="710">
        <v>0.26600000000000001</v>
      </c>
      <c r="I32" s="708">
        <v>0.52</v>
      </c>
      <c r="J32" s="570">
        <v>2.1579999999999999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1313</v>
      </c>
      <c r="L32" s="320"/>
      <c r="M32" s="168">
        <f t="shared" si="1"/>
        <v>2.1579999999999999</v>
      </c>
      <c r="N32" s="632">
        <f t="shared" si="2"/>
        <v>4.1303708484940991</v>
      </c>
      <c r="O32" s="629">
        <f t="shared" si="3"/>
        <v>2.3606972304618252</v>
      </c>
      <c r="P32" s="633">
        <f t="shared" si="4"/>
        <v>-4.0485000000000007</v>
      </c>
      <c r="Q32" s="585">
        <f t="shared" si="113"/>
        <v>29.749956107836862</v>
      </c>
      <c r="R32" s="629">
        <f t="shared" si="79"/>
        <v>4.7573999999999996</v>
      </c>
      <c r="S32" s="634">
        <f t="shared" si="80"/>
        <v>-4.0485000000000007</v>
      </c>
      <c r="T32" s="635">
        <f t="shared" si="81"/>
        <v>2.360697230461823</v>
      </c>
      <c r="U32" s="629">
        <f t="shared" si="82"/>
        <v>-4.1303708484941009</v>
      </c>
      <c r="V32" s="636">
        <f t="shared" si="114"/>
        <v>-4.0485000000000007</v>
      </c>
      <c r="W32" s="585">
        <f t="shared" si="224"/>
        <v>299.74995610783685</v>
      </c>
      <c r="X32" s="629">
        <f t="shared" si="83"/>
        <v>4.7573999999999996</v>
      </c>
      <c r="Y32" s="630">
        <f t="shared" si="223"/>
        <v>-4.0485000000000007</v>
      </c>
      <c r="Z32" s="632">
        <f t="shared" si="6"/>
        <v>-0.19450772520516652</v>
      </c>
      <c r="AA32" s="629">
        <f t="shared" si="7"/>
        <v>-0.97671598119827119</v>
      </c>
      <c r="AB32" s="629">
        <f t="shared" si="8"/>
        <v>-9.0513186373090151E-2</v>
      </c>
      <c r="AC32" s="636">
        <f t="shared" si="84"/>
        <v>1</v>
      </c>
      <c r="AD32" s="637">
        <f t="shared" si="115"/>
        <v>-0.19450772520516652</v>
      </c>
      <c r="AE32" s="629">
        <f t="shared" si="85"/>
        <v>-0.97671598119827119</v>
      </c>
      <c r="AF32" s="633">
        <f t="shared" si="86"/>
        <v>-9.0513186373090151E-2</v>
      </c>
      <c r="AG32" s="602">
        <f t="shared" si="87"/>
        <v>-84.70546810935231</v>
      </c>
      <c r="AH32" s="603">
        <f t="shared" si="88"/>
        <v>101.2159677105235</v>
      </c>
      <c r="AI32" s="585">
        <f t="shared" si="89"/>
        <v>-84.806868994998396</v>
      </c>
      <c r="AJ32" s="586">
        <f t="shared" si="90"/>
        <v>-11.262799619232807</v>
      </c>
      <c r="AK32" s="635">
        <f t="shared" si="211"/>
        <v>0.75146621427762761</v>
      </c>
      <c r="AL32" s="629">
        <f t="shared" si="91"/>
        <v>-0.65353339003591926</v>
      </c>
      <c r="AM32" s="634">
        <f t="shared" si="92"/>
        <v>-9.0513186373090151E-2</v>
      </c>
      <c r="AN32" s="581">
        <f t="shared" si="93"/>
        <v>-82.114800669411991</v>
      </c>
      <c r="AO32" s="582">
        <f t="shared" si="94"/>
        <v>41.282453992813245</v>
      </c>
      <c r="AP32" s="585">
        <f t="shared" si="95"/>
        <v>-41.012755727069639</v>
      </c>
      <c r="AQ32" s="586">
        <f t="shared" si="9"/>
        <v>0.47918473943468581</v>
      </c>
      <c r="AS32" s="52">
        <f t="shared" si="116"/>
        <v>-60.250043892163148</v>
      </c>
      <c r="AT32" s="72">
        <f t="shared" si="10"/>
        <v>-4.0066596917415538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2.1579999999999999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2.9452306801888541</v>
      </c>
      <c r="C33" s="708">
        <v>0.80903214687181879</v>
      </c>
      <c r="D33" s="709">
        <v>-0.1844009035918189</v>
      </c>
      <c r="E33" s="710">
        <v>0.2136349641061755</v>
      </c>
      <c r="F33" s="708">
        <v>5.8684111749277748E-2</v>
      </c>
      <c r="G33" s="711">
        <v>0.97514936145164521</v>
      </c>
      <c r="H33" s="710">
        <v>0.26250000000000001</v>
      </c>
      <c r="I33" s="708">
        <v>0.40699999999999997</v>
      </c>
      <c r="J33" s="570">
        <v>2.2160000000000002</v>
      </c>
      <c r="K33" s="865" t="str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Inactive</v>
      </c>
      <c r="L33" s="320"/>
      <c r="M33" s="168">
        <f t="shared" si="1"/>
        <v>2.2160000000000002</v>
      </c>
      <c r="N33" s="632">
        <f t="shared" si="2"/>
        <v>2.9452306801888541</v>
      </c>
      <c r="O33" s="629">
        <f t="shared" si="3"/>
        <v>0.80903214687181879</v>
      </c>
      <c r="P33" s="633">
        <f t="shared" si="4"/>
        <v>-0.1844009035918189</v>
      </c>
      <c r="Q33" s="585">
        <f t="shared" si="113"/>
        <v>15.359858799133937</v>
      </c>
      <c r="R33" s="629">
        <f t="shared" si="79"/>
        <v>3.0543275486099595</v>
      </c>
      <c r="S33" s="634">
        <f t="shared" si="80"/>
        <v>-0.1844009035918189</v>
      </c>
      <c r="T33" s="635">
        <f t="shared" si="81"/>
        <v>0.80903214687181713</v>
      </c>
      <c r="U33" s="629">
        <f t="shared" si="82"/>
        <v>-2.9452306801888546</v>
      </c>
      <c r="V33" s="636">
        <f t="shared" si="114"/>
        <v>-0.1844009035918189</v>
      </c>
      <c r="W33" s="585">
        <f t="shared" si="224"/>
        <v>285.35985879913392</v>
      </c>
      <c r="X33" s="629">
        <f t="shared" si="83"/>
        <v>3.0543275486099595</v>
      </c>
      <c r="Y33" s="630">
        <f t="shared" si="223"/>
        <v>-0.1844009035918189</v>
      </c>
      <c r="Z33" s="632">
        <f t="shared" si="6"/>
        <v>-0.2136349641061755</v>
      </c>
      <c r="AA33" s="629">
        <f t="shared" si="7"/>
        <v>-5.8684111749277748E-2</v>
      </c>
      <c r="AB33" s="629">
        <f t="shared" si="8"/>
        <v>-0.97514936145164521</v>
      </c>
      <c r="AC33" s="636">
        <f t="shared" si="84"/>
        <v>1</v>
      </c>
      <c r="AD33" s="637">
        <f t="shared" si="115"/>
        <v>-0.2136349641061755</v>
      </c>
      <c r="AE33" s="629">
        <f t="shared" si="85"/>
        <v>-5.8684111749277748E-2</v>
      </c>
      <c r="AF33" s="633">
        <f t="shared" si="86"/>
        <v>-0.97514936145164521</v>
      </c>
      <c r="AG33" s="602">
        <f t="shared" si="87"/>
        <v>-3.4438844369106598</v>
      </c>
      <c r="AH33" s="603">
        <f t="shared" si="88"/>
        <v>102.33545596876976</v>
      </c>
      <c r="AI33" s="585">
        <f t="shared" si="89"/>
        <v>-12.7999981519154</v>
      </c>
      <c r="AJ33" s="586">
        <f t="shared" si="90"/>
        <v>-74.640082548280375</v>
      </c>
      <c r="AK33" s="635">
        <f t="shared" si="211"/>
        <v>2.2679489684179766E-7</v>
      </c>
      <c r="AL33" s="629">
        <f t="shared" si="91"/>
        <v>-0.22154846616575161</v>
      </c>
      <c r="AM33" s="634">
        <f t="shared" si="92"/>
        <v>-0.97514936145164521</v>
      </c>
      <c r="AN33" s="581">
        <f t="shared" si="93"/>
        <v>-12.799998151908916</v>
      </c>
      <c r="AO33" s="582">
        <f t="shared" si="94"/>
        <v>0</v>
      </c>
      <c r="AP33" s="585">
        <f t="shared" si="95"/>
        <v>-89.999941347414278</v>
      </c>
      <c r="AQ33" s="586">
        <f t="shared" si="9"/>
        <v>0.74635010493193332</v>
      </c>
      <c r="AS33" s="52">
        <f t="shared" si="116"/>
        <v>-74.640141200866083</v>
      </c>
      <c r="AT33" s="72">
        <f t="shared" si="10"/>
        <v>-0.13256747220232856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2.2160000000000002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2.1160000000000001</v>
      </c>
      <c r="II33" s="734" cm="1">
        <f t="array" ref="II33">IFERROR(IF($IH33&lt;1,$IH33+LARGE((IF($M$9:$M$150="",0,$M$9:$M$150)-MOD(IF($M$9:$M$150="",0,$M$9:$M$150),1)),1),$IH33),"")</f>
        <v>2.1160000000000001</v>
      </c>
      <c r="IJ33" s="533">
        <f t="shared" si="112"/>
        <v>1613</v>
      </c>
      <c r="IK33" s="533" t="str">
        <f t="shared" si="66"/>
        <v>Inactive</v>
      </c>
      <c r="IL33" s="727">
        <f t="shared" si="225"/>
        <v>17.969097405583341</v>
      </c>
      <c r="IM33" s="759">
        <v>3.2296506356744699E-2</v>
      </c>
      <c r="IN33" s="5">
        <f t="shared" si="226"/>
        <v>0.7</v>
      </c>
      <c r="IO33" s="771">
        <v>350</v>
      </c>
      <c r="IP33" s="9">
        <f t="shared" si="227"/>
        <v>-3.0456091855573035</v>
      </c>
      <c r="IQ33" s="5">
        <f t="shared" si="228"/>
        <v>-0.18780056640650802</v>
      </c>
      <c r="IR33" s="5">
        <f t="shared" si="71"/>
        <v>0.314</v>
      </c>
      <c r="IS33" s="5">
        <f t="shared" si="229"/>
        <v>0.30252279630394413</v>
      </c>
      <c r="IT33" s="727">
        <f t="shared" si="230"/>
        <v>28.296495515992873</v>
      </c>
      <c r="IU33" s="9">
        <f t="shared" si="231"/>
        <v>-3.0543275486099595</v>
      </c>
      <c r="IV33" s="5">
        <f t="shared" si="232"/>
        <v>-0.1844009035918189</v>
      </c>
      <c r="IW33" s="5">
        <f t="shared" si="76"/>
        <v>0.26250000000000001</v>
      </c>
      <c r="IX33" s="5">
        <f t="shared" si="233"/>
        <v>0.26250000000000001</v>
      </c>
      <c r="IY33" s="762">
        <f t="shared" si="234"/>
        <v>12.799998151908916</v>
      </c>
    </row>
    <row r="34" spans="1:267" ht="15" customHeight="1" x14ac:dyDescent="0.25">
      <c r="A34" s="79"/>
      <c r="B34" s="707">
        <v>3.5537886520183397</v>
      </c>
      <c r="C34" s="708">
        <v>1.1400087139704773</v>
      </c>
      <c r="D34" s="709">
        <v>-0.57089433867345107</v>
      </c>
      <c r="E34" s="710">
        <v>-1.9533464641218221E-2</v>
      </c>
      <c r="F34" s="708">
        <v>0.97359524205645032</v>
      </c>
      <c r="G34" s="711">
        <v>0.22744394563090106</v>
      </c>
      <c r="H34" s="710">
        <v>0.26600000000000001</v>
      </c>
      <c r="I34" s="708">
        <v>0.39400000000000002</v>
      </c>
      <c r="J34" s="570">
        <v>2.2229999999999999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1310</v>
      </c>
      <c r="L34" s="320"/>
      <c r="M34" s="168">
        <f t="shared" si="1"/>
        <v>2.2229999999999999</v>
      </c>
      <c r="N34" s="632">
        <f t="shared" si="2"/>
        <v>3.5537886520183397</v>
      </c>
      <c r="O34" s="629">
        <f t="shared" si="3"/>
        <v>1.1400087139704773</v>
      </c>
      <c r="P34" s="633">
        <f t="shared" si="4"/>
        <v>-0.57089433867345107</v>
      </c>
      <c r="Q34" s="585">
        <f t="shared" si="113"/>
        <v>17.78555844890624</v>
      </c>
      <c r="R34" s="629">
        <f>IF(M34="","",SQRT(N34^2+O34^2))</f>
        <v>3.732162061211028</v>
      </c>
      <c r="S34" s="634">
        <f>IF(M34="","",P34)</f>
        <v>-0.57089433867345107</v>
      </c>
      <c r="T34" s="635">
        <f>IF(M34="","",X34*COS(RADIANS(W34)))</f>
        <v>1.1400087139704769</v>
      </c>
      <c r="U34" s="629">
        <f>IF(M34="","",X34*SIN(RADIANS(W34)))</f>
        <v>-3.5537886520183402</v>
      </c>
      <c r="V34" s="636">
        <f>IF(M34="","",Y34)</f>
        <v>-0.57089433867345107</v>
      </c>
      <c r="W34" s="585">
        <f t="shared" si="224"/>
        <v>287.78555844890622</v>
      </c>
      <c r="X34" s="629">
        <f>IF(M34="","",R34)</f>
        <v>3.732162061211028</v>
      </c>
      <c r="Y34" s="630">
        <f t="shared" si="223"/>
        <v>-0.57089433867345107</v>
      </c>
      <c r="Z34" s="632">
        <f t="shared" si="6"/>
        <v>1.9533464641218221E-2</v>
      </c>
      <c r="AA34" s="629">
        <f t="shared" si="7"/>
        <v>-0.97359524205645032</v>
      </c>
      <c r="AB34" s="629">
        <f t="shared" si="8"/>
        <v>-0.22744394563090106</v>
      </c>
      <c r="AC34" s="636">
        <f>IF(M34="","",SQRT(Z34^2+AA34^2+AB34^2))</f>
        <v>1</v>
      </c>
      <c r="AD34" s="637">
        <f>IF(M34="","",Z34*(1/SQRT(Z34^2+AA34^2+AB34^2)))</f>
        <v>1.9533464641218221E-2</v>
      </c>
      <c r="AE34" s="629">
        <f>IF(M34="","",AA34*(1/SQRT(Z34^2+AA34^2+AB34^2)))</f>
        <v>-0.97359524205645032</v>
      </c>
      <c r="AF34" s="633">
        <f>IF(M34="","",AB34*(1/SQRT(Z34^2+AA34^2+AB34^2)))</f>
        <v>-0.22744394563090106</v>
      </c>
      <c r="AG34" s="602">
        <f>IF(M34="","",DEGREES(ATAN2(-AF34,AE34)))</f>
        <v>-76.850813503074946</v>
      </c>
      <c r="AH34" s="603">
        <f>IF(M34="","",DEGREES(ACOS(AD34)))</f>
        <v>88.880743732558273</v>
      </c>
      <c r="AI34" s="585">
        <f>IF(M34="","",DEGREES(-ACOS(-AF34)))</f>
        <v>-76.853367299696316</v>
      </c>
      <c r="AJ34" s="586">
        <f>IF(M34="","",DEGREES(ATAN2(-AE34,AD34)))</f>
        <v>1.1493841602979236</v>
      </c>
      <c r="AK34" s="635">
        <f>IF(M34="","",(COS(RADIANS((90-$Q$8)-W34))*AD34)+(-SIN(RADIANS((90-$Q$8)-W34))*AE34))</f>
        <v>0.93303023439833133</v>
      </c>
      <c r="AL34" s="629">
        <f>IF(M34="","",(SIN(RADIANS((90-$Q$8)-W34))*AD34)+(COS(RADIANS((90-$Q$8)-W34))*AE34))</f>
        <v>-0.27878994475131763</v>
      </c>
      <c r="AM34" s="634">
        <f>IF(M34="","",AF34)</f>
        <v>-0.22744394563090106</v>
      </c>
      <c r="AN34" s="581">
        <f>IF(M34="","",DEGREES(ATAN2(-AM34,AL34)))</f>
        <v>-50.791557219509677</v>
      </c>
      <c r="AO34" s="582">
        <f t="shared" si="94"/>
        <v>21.08778940356277</v>
      </c>
      <c r="AP34" s="585">
        <f>IF(M34="","",DEGREES(ATAN2(AK34,AL34)))</f>
        <v>-16.636174288608306</v>
      </c>
      <c r="AQ34" s="586">
        <f t="shared" si="9"/>
        <v>0.61080956048347468</v>
      </c>
      <c r="AS34" s="52">
        <f t="shared" si="116"/>
        <v>-72.214441551093785</v>
      </c>
      <c r="AT34" s="72">
        <f t="shared" si="10"/>
        <v>-0.52074542092963594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2.2229999999999999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2.1230000000000002</v>
      </c>
      <c r="II34" s="734" cm="1">
        <f t="array" ref="II34">IFERROR(IF($IH34&lt;1,$IH34+LARGE((IF($M$9:$M$150="",0,$M$9:$M$150)-MOD(IF($M$9:$M$150="",0,$M$9:$M$150),1)),1),$IH34),"")</f>
        <v>2.1230000000000002</v>
      </c>
      <c r="IJ34" s="533">
        <f t="shared" si="112"/>
        <v>1613</v>
      </c>
      <c r="IK34" s="533">
        <f t="shared" si="66"/>
        <v>1310</v>
      </c>
      <c r="IL34" s="727">
        <f t="shared" si="225"/>
        <v>14.689197879142284</v>
      </c>
      <c r="IM34" s="759">
        <v>1.0012453144966901E-2</v>
      </c>
      <c r="IN34" s="5">
        <f t="shared" si="226"/>
        <v>0.26</v>
      </c>
      <c r="IO34" s="771">
        <v>130</v>
      </c>
      <c r="IP34" s="9">
        <f t="shared" si="227"/>
        <v>-3.7043111722024959</v>
      </c>
      <c r="IQ34" s="5">
        <f t="shared" si="228"/>
        <v>-0.60410182197109508</v>
      </c>
      <c r="IR34" s="5">
        <f t="shared" si="71"/>
        <v>0.314</v>
      </c>
      <c r="IS34" s="5">
        <f t="shared" si="229"/>
        <v>0.30115031601951897</v>
      </c>
      <c r="IT34" s="727">
        <f t="shared" si="230"/>
        <v>56.322979942471896</v>
      </c>
      <c r="IU34" s="9">
        <f t="shared" si="231"/>
        <v>-3.732162061211028</v>
      </c>
      <c r="IV34" s="5">
        <f t="shared" si="232"/>
        <v>-0.57089433867345107</v>
      </c>
      <c r="IW34" s="5">
        <f t="shared" si="76"/>
        <v>0.26600000000000001</v>
      </c>
      <c r="IX34" s="5">
        <f t="shared" si="233"/>
        <v>0.24818604234995614</v>
      </c>
      <c r="IY34" s="762">
        <f t="shared" si="234"/>
        <v>50.791557219509677</v>
      </c>
      <c r="JG34" s="470"/>
    </row>
    <row r="35" spans="1:267" ht="15" customHeight="1" x14ac:dyDescent="0.25">
      <c r="A35" s="79"/>
      <c r="B35" s="707">
        <v>3.9719065111077301</v>
      </c>
      <c r="C35" s="708">
        <v>1.3458888908044235</v>
      </c>
      <c r="D35" s="709">
        <v>-1.1993507097722733</v>
      </c>
      <c r="E35" s="710">
        <v>2.8056006973918041E-2</v>
      </c>
      <c r="F35" s="708">
        <v>0.99026669838283088</v>
      </c>
      <c r="G35" s="711">
        <v>0.13632581027320931</v>
      </c>
      <c r="H35" s="710">
        <v>0.26600000000000001</v>
      </c>
      <c r="I35" s="708">
        <v>0.39400000000000002</v>
      </c>
      <c r="J35" s="570">
        <v>2.23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1310</v>
      </c>
      <c r="L35" s="320"/>
      <c r="M35" s="168">
        <f t="shared" si="1"/>
        <v>2.23</v>
      </c>
      <c r="N35" s="632">
        <f t="shared" si="2"/>
        <v>3.9719065111077301</v>
      </c>
      <c r="O35" s="629">
        <f t="shared" si="3"/>
        <v>1.3458888908044235</v>
      </c>
      <c r="P35" s="633">
        <f t="shared" si="4"/>
        <v>-1.1993507097722733</v>
      </c>
      <c r="Q35" s="585">
        <f t="shared" si="113"/>
        <v>18.719058314125551</v>
      </c>
      <c r="R35" s="629">
        <f>IF(M35="","",SQRT(N35^2+O35^2))</f>
        <v>4.1937403638483328</v>
      </c>
      <c r="S35" s="634">
        <f>IF(M35="","",P35)</f>
        <v>-1.1993507097722733</v>
      </c>
      <c r="T35" s="635">
        <f>IF(M35="","",X35*COS(RADIANS(W35)))</f>
        <v>1.3458888908044244</v>
      </c>
      <c r="U35" s="629">
        <f>IF(M35="","",X35*SIN(RADIANS(W35)))</f>
        <v>-3.9719065111077305</v>
      </c>
      <c r="V35" s="636">
        <f>IF(M35="","",Y35)</f>
        <v>-1.1993507097722733</v>
      </c>
      <c r="W35" s="585">
        <f t="shared" si="224"/>
        <v>288.71905831412556</v>
      </c>
      <c r="X35" s="629">
        <f>IF(M35="","",R35)</f>
        <v>4.1937403638483328</v>
      </c>
      <c r="Y35" s="630">
        <f t="shared" si="223"/>
        <v>-1.1993507097722733</v>
      </c>
      <c r="Z35" s="632">
        <f t="shared" si="6"/>
        <v>-2.8056006973918041E-2</v>
      </c>
      <c r="AA35" s="629">
        <f t="shared" si="7"/>
        <v>-0.99026669838283088</v>
      </c>
      <c r="AB35" s="629">
        <f t="shared" si="8"/>
        <v>-0.13632581027320931</v>
      </c>
      <c r="AC35" s="636">
        <f>IF(M35="","",SQRT(Z35^2+AA35^2+AB35^2))</f>
        <v>1</v>
      </c>
      <c r="AD35" s="637">
        <f>IF(M35="","",Z35*(1/SQRT(Z35^2+AA35^2+AB35^2)))</f>
        <v>-2.8056006973918041E-2</v>
      </c>
      <c r="AE35" s="629">
        <f>IF(M35="","",AA35*(1/SQRT(Z35^2+AA35^2+AB35^2)))</f>
        <v>-0.99026669838283088</v>
      </c>
      <c r="AF35" s="633">
        <f>IF(M35="","",AB35*(1/SQRT(Z35^2+AA35^2+AB35^2)))</f>
        <v>-0.13632581027320931</v>
      </c>
      <c r="AG35" s="602">
        <f>IF(M35="","",DEGREES(ATAN2(-AF35,AE35)))</f>
        <v>-82.161602995609186</v>
      </c>
      <c r="AH35" s="603">
        <f>IF(M35="","",DEGREES(ACOS(AD35)))</f>
        <v>91.607701750918906</v>
      </c>
      <c r="AI35" s="585">
        <f>IF(M35="","",DEGREES(-ACOS(-AF35)))</f>
        <v>-82.164707942239616</v>
      </c>
      <c r="AJ35" s="586">
        <f>IF(M35="","",DEGREES(ATAN2(-AE35,AD35)))</f>
        <v>-1.6228566447063293</v>
      </c>
      <c r="AK35" s="635">
        <f>IF(M35="","",(COS(RADIANS((90-$Q$8)-W35))*AD35)+(-SIN(RADIANS((90-$Q$8)-W35))*AE35))</f>
        <v>0.92888117550480631</v>
      </c>
      <c r="AL35" s="629">
        <f>IF(M35="","",(SIN(RADIANS((90-$Q$8)-W35))*AD35)+(COS(RADIANS((90-$Q$8)-W35))*AE35))</f>
        <v>-0.34437629890304938</v>
      </c>
      <c r="AM35" s="634">
        <f>IF(M35="","",AF35)</f>
        <v>-0.13632581027320931</v>
      </c>
      <c r="AN35" s="581">
        <f>IF(M35="","",DEGREES(ATAN2(-AM35,AL35)))</f>
        <v>-68.403223571720474</v>
      </c>
      <c r="AO35" s="582">
        <f t="shared" si="94"/>
        <v>21.738922988111863</v>
      </c>
      <c r="AP35" s="585">
        <f>IF(M35="","",DEGREES(ATAN2(AK35,AL35)))</f>
        <v>-20.341914958831886</v>
      </c>
      <c r="AQ35" s="586">
        <f t="shared" si="9"/>
        <v>0.54358592433046682</v>
      </c>
      <c r="AS35" s="52">
        <f t="shared" si="116"/>
        <v>-71.280941685874438</v>
      </c>
      <c r="AT35" s="72">
        <f t="shared" si="10"/>
        <v>-1.1498500558237494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2.23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2.13</v>
      </c>
      <c r="II35" s="734" cm="1">
        <f t="array" ref="II35">IFERROR(IF($IH35&lt;1,$IH35+LARGE((IF($M$9:$M$150="",0,$M$9:$M$150)-MOD(IF($M$9:$M$150="",0,$M$9:$M$150),1)),1),$IH35),"")</f>
        <v>2.13</v>
      </c>
      <c r="IJ35" s="533">
        <f t="shared" si="112"/>
        <v>1613</v>
      </c>
      <c r="IK35" s="533">
        <f t="shared" si="66"/>
        <v>1310</v>
      </c>
      <c r="IL35" s="727">
        <f t="shared" si="225"/>
        <v>13.07489811221825</v>
      </c>
      <c r="IM35" s="759">
        <v>7.2282509129057296E-3</v>
      </c>
      <c r="IN35" s="5">
        <f t="shared" si="226"/>
        <v>0.24</v>
      </c>
      <c r="IO35" s="771">
        <v>120</v>
      </c>
      <c r="IP35" s="9">
        <f t="shared" si="227"/>
        <v>-4.1565125360418094</v>
      </c>
      <c r="IQ35" s="5">
        <f t="shared" si="228"/>
        <v>-1.2266036994367577</v>
      </c>
      <c r="IR35" s="5">
        <f t="shared" si="71"/>
        <v>0.314</v>
      </c>
      <c r="IS35" s="5">
        <f t="shared" si="229"/>
        <v>0.29981114141305593</v>
      </c>
      <c r="IT35" s="727">
        <f t="shared" si="230"/>
        <v>74.891954269380136</v>
      </c>
      <c r="IU35" s="9">
        <f t="shared" si="231"/>
        <v>-4.1937403638483328</v>
      </c>
      <c r="IV35" s="5">
        <f t="shared" si="232"/>
        <v>-1.1993507097722733</v>
      </c>
      <c r="IW35" s="5">
        <f t="shared" si="76"/>
        <v>0.26600000000000001</v>
      </c>
      <c r="IX35" s="5">
        <f t="shared" si="233"/>
        <v>0.24708239268427848</v>
      </c>
      <c r="IY35" s="762">
        <f t="shared" si="234"/>
        <v>68.403223571720474</v>
      </c>
    </row>
    <row r="36" spans="1:267" ht="15" customHeight="1" x14ac:dyDescent="0.25">
      <c r="A36" s="79"/>
      <c r="B36" s="707">
        <v>4.2409677749390156</v>
      </c>
      <c r="C36" s="708">
        <v>1.4691435883577268</v>
      </c>
      <c r="D36" s="709">
        <v>-1.9103460015293519</v>
      </c>
      <c r="E36" s="710">
        <v>6.2508854825342533E-2</v>
      </c>
      <c r="F36" s="708">
        <v>0.99495188532711176</v>
      </c>
      <c r="G36" s="711">
        <v>7.8507254139029412E-2</v>
      </c>
      <c r="H36" s="710">
        <v>0.26600000000000001</v>
      </c>
      <c r="I36" s="708">
        <v>0.39400000000000002</v>
      </c>
      <c r="J36" s="570">
        <v>2.2370000000000001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1310</v>
      </c>
      <c r="L36" s="320"/>
      <c r="M36" s="168">
        <f t="shared" si="1"/>
        <v>2.2370000000000001</v>
      </c>
      <c r="N36" s="632">
        <f t="shared" si="2"/>
        <v>4.2409677749390156</v>
      </c>
      <c r="O36" s="629">
        <f t="shared" si="3"/>
        <v>1.4691435883577268</v>
      </c>
      <c r="P36" s="633">
        <f t="shared" si="4"/>
        <v>-1.9103460015293519</v>
      </c>
      <c r="Q36" s="585">
        <f t="shared" si="113"/>
        <v>19.106958258119718</v>
      </c>
      <c r="R36" s="629">
        <f>IF(M36="","",SQRT(N36^2+O36^2))</f>
        <v>4.488227996802725</v>
      </c>
      <c r="S36" s="634">
        <f>IF(M36="","",P36)</f>
        <v>-1.9103460015293519</v>
      </c>
      <c r="T36" s="635">
        <f>IF(M36="","",X36*COS(RADIANS(W36)))</f>
        <v>1.4691435883577277</v>
      </c>
      <c r="U36" s="629">
        <f>IF(M36="","",X36*SIN(RADIANS(W36)))</f>
        <v>-4.2409677749390156</v>
      </c>
      <c r="V36" s="636">
        <f>IF(M36="","",Y36)</f>
        <v>-1.9103460015293519</v>
      </c>
      <c r="W36" s="585">
        <f t="shared" si="224"/>
        <v>289.10695825811973</v>
      </c>
      <c r="X36" s="629">
        <f>IF(M36="","",R36)</f>
        <v>4.488227996802725</v>
      </c>
      <c r="Y36" s="630">
        <f t="shared" si="223"/>
        <v>-1.9103460015293519</v>
      </c>
      <c r="Z36" s="632">
        <f t="shared" si="6"/>
        <v>-6.2508854825342533E-2</v>
      </c>
      <c r="AA36" s="629">
        <f t="shared" si="7"/>
        <v>-0.99495188532711176</v>
      </c>
      <c r="AB36" s="629">
        <f t="shared" si="8"/>
        <v>-7.8507254139029412E-2</v>
      </c>
      <c r="AC36" s="636">
        <f>IF(M36="","",SQRT(Z36^2+AA36^2+AB36^2))</f>
        <v>1</v>
      </c>
      <c r="AD36" s="637">
        <f>IF(M36="","",Z36*(1/SQRT(Z36^2+AA36^2+AB36^2)))</f>
        <v>-6.2508854825342533E-2</v>
      </c>
      <c r="AE36" s="629">
        <f>IF(M36="","",AA36*(1/SQRT(Z36^2+AA36^2+AB36^2)))</f>
        <v>-0.99495188532711176</v>
      </c>
      <c r="AF36" s="633">
        <f>IF(M36="","",AB36*(1/SQRT(Z36^2+AA36^2+AB36^2)))</f>
        <v>-7.8507254139029412E-2</v>
      </c>
      <c r="AG36" s="602">
        <f>IF(M36="","",DEGREES(ATAN2(-AF36,AE36)))</f>
        <v>-85.488391102154182</v>
      </c>
      <c r="AH36" s="603">
        <f>IF(M36="","",DEGREES(ACOS(AD36)))</f>
        <v>93.583830036552669</v>
      </c>
      <c r="AI36" s="585">
        <f>IF(M36="","",DEGREES(-ACOS(-AF36)))</f>
        <v>-85.497232188806578</v>
      </c>
      <c r="AJ36" s="586">
        <f>IF(M36="","",DEGREES(ATAN2(-AE36,AD36)))</f>
        <v>-3.5949401825603764</v>
      </c>
      <c r="AK36" s="635">
        <f>IF(M36="","",(COS(RADIANS((90-$Q$8)-W36))*AD36)+(-SIN(RADIANS((90-$Q$8)-W36))*AE36))</f>
        <v>0.91967796710535366</v>
      </c>
      <c r="AL36" s="629">
        <f>IF(M36="","",(SIN(RADIANS((90-$Q$8)-W36))*AD36)+(COS(RADIANS((90-$Q$8)-W36))*AE36))</f>
        <v>-0.3847454325505556</v>
      </c>
      <c r="AM36" s="634">
        <f>IF(M36="","",AF36)</f>
        <v>-7.8507254139029412E-2</v>
      </c>
      <c r="AN36" s="581">
        <f>IF(M36="","",DEGREES(ATAN2(-AM36,AL36)))</f>
        <v>-78.46712665152387</v>
      </c>
      <c r="AO36" s="582">
        <f t="shared" si="94"/>
        <v>23.1209517576191</v>
      </c>
      <c r="AP36" s="585">
        <f>IF(M36="","",DEGREES(ATAN2(AK36,AL36)))</f>
        <v>-22.7018984406801</v>
      </c>
      <c r="AQ36" s="586">
        <f t="shared" si="9"/>
        <v>0.50792137001904303</v>
      </c>
      <c r="AS36" s="52">
        <f t="shared" si="116"/>
        <v>-70.893041741880268</v>
      </c>
      <c r="AT36" s="72">
        <f t="shared" si="10"/>
        <v>-1.8611147225419351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2.2370000000000001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2.137</v>
      </c>
      <c r="II36" s="734" cm="1">
        <f t="array" ref="II36">IFERROR(IF($IH36&lt;1,$IH36+LARGE((IF($M$9:$M$150="",0,$M$9:$M$150)-MOD(IF($M$9:$M$150="",0,$M$9:$M$150),1)),1),$IH36),"")</f>
        <v>2.137</v>
      </c>
      <c r="IJ36" s="533">
        <f t="shared" si="112"/>
        <v>1613</v>
      </c>
      <c r="IK36" s="533">
        <f t="shared" si="66"/>
        <v>1310</v>
      </c>
      <c r="IL36" s="727">
        <f t="shared" si="225"/>
        <v>12.223198235188534</v>
      </c>
      <c r="IM36" s="759">
        <v>5.5494468210233903E-3</v>
      </c>
      <c r="IN36" s="5">
        <f t="shared" si="226"/>
        <v>0.22</v>
      </c>
      <c r="IO36" s="771">
        <v>110</v>
      </c>
      <c r="IP36" s="9">
        <f t="shared" si="227"/>
        <v>-4.4458134085732404</v>
      </c>
      <c r="IQ36" s="5">
        <f t="shared" si="228"/>
        <v>-1.9327058290407806</v>
      </c>
      <c r="IR36" s="5">
        <f t="shared" si="71"/>
        <v>0.314</v>
      </c>
      <c r="IS36" s="5">
        <f t="shared" si="229"/>
        <v>0.29734136153461188</v>
      </c>
      <c r="IT36" s="727">
        <f t="shared" si="230"/>
        <v>84.841947493381952</v>
      </c>
      <c r="IU36" s="9">
        <f t="shared" si="231"/>
        <v>-4.488227996802725</v>
      </c>
      <c r="IV36" s="5">
        <f t="shared" si="232"/>
        <v>-1.9103460015293519</v>
      </c>
      <c r="IW36" s="5">
        <f t="shared" si="76"/>
        <v>0.26600000000000001</v>
      </c>
      <c r="IX36" s="5">
        <f t="shared" si="233"/>
        <v>0.24463433925002409</v>
      </c>
      <c r="IY36" s="762">
        <f t="shared" si="234"/>
        <v>78.46712665152387</v>
      </c>
    </row>
    <row r="37" spans="1:267" ht="15" customHeight="1" x14ac:dyDescent="0.25">
      <c r="A37" s="79"/>
      <c r="B37" s="707">
        <v>4.3936622638374905</v>
      </c>
      <c r="C37" s="708">
        <v>1.5358635561666998</v>
      </c>
      <c r="D37" s="709">
        <v>-2.6762449079271455</v>
      </c>
      <c r="E37" s="710">
        <v>0.11625719607377721</v>
      </c>
      <c r="F37" s="708">
        <v>0.99195303458239348</v>
      </c>
      <c r="G37" s="711">
        <v>5.0134235247427522E-2</v>
      </c>
      <c r="H37" s="710">
        <v>0.26600000000000001</v>
      </c>
      <c r="I37" s="708">
        <v>0.39400000000000002</v>
      </c>
      <c r="J37" s="570">
        <v>2.2440000000000002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1310</v>
      </c>
      <c r="L37" s="320"/>
      <c r="M37" s="168">
        <f t="shared" si="1"/>
        <v>2.2440000000000002</v>
      </c>
      <c r="N37" s="632">
        <f t="shared" si="2"/>
        <v>4.3936622638374905</v>
      </c>
      <c r="O37" s="629">
        <f t="shared" si="3"/>
        <v>1.5358635561666998</v>
      </c>
      <c r="P37" s="633">
        <f t="shared" si="4"/>
        <v>-2.6762449079271455</v>
      </c>
      <c r="Q37" s="585">
        <f t="shared" si="113"/>
        <v>19.26775823490307</v>
      </c>
      <c r="R37" s="629">
        <f t="shared" si="79"/>
        <v>4.6543683730266343</v>
      </c>
      <c r="S37" s="634">
        <f t="shared" si="80"/>
        <v>-2.6762449079271455</v>
      </c>
      <c r="T37" s="635">
        <f t="shared" si="81"/>
        <v>1.5358635561666978</v>
      </c>
      <c r="U37" s="629">
        <f t="shared" si="82"/>
        <v>-4.3936622638374905</v>
      </c>
      <c r="V37" s="636">
        <f t="shared" si="114"/>
        <v>-2.6762449079271455</v>
      </c>
      <c r="W37" s="585">
        <f t="shared" si="224"/>
        <v>289.26775823490306</v>
      </c>
      <c r="X37" s="629">
        <f t="shared" si="83"/>
        <v>4.6543683730266343</v>
      </c>
      <c r="Y37" s="630">
        <f t="shared" si="223"/>
        <v>-2.6762449079271455</v>
      </c>
      <c r="Z37" s="632">
        <f t="shared" si="6"/>
        <v>-0.11625719607377721</v>
      </c>
      <c r="AA37" s="629">
        <f t="shared" si="7"/>
        <v>-0.99195303458239348</v>
      </c>
      <c r="AB37" s="629">
        <f t="shared" si="8"/>
        <v>-5.0134235247427522E-2</v>
      </c>
      <c r="AC37" s="636">
        <f t="shared" si="84"/>
        <v>1</v>
      </c>
      <c r="AD37" s="637">
        <f t="shared" si="115"/>
        <v>-0.11625719607377721</v>
      </c>
      <c r="AE37" s="629">
        <f t="shared" si="85"/>
        <v>-0.99195303458239348</v>
      </c>
      <c r="AF37" s="633">
        <f t="shared" si="86"/>
        <v>-5.0134235247427522E-2</v>
      </c>
      <c r="AG37" s="602">
        <f t="shared" si="87"/>
        <v>-87.106679527610339</v>
      </c>
      <c r="AH37" s="603">
        <f t="shared" si="88"/>
        <v>96.676143498948164</v>
      </c>
      <c r="AI37" s="585">
        <f t="shared" si="89"/>
        <v>-87.126315246375626</v>
      </c>
      <c r="AJ37" s="586">
        <f t="shared" si="90"/>
        <v>-6.6845877193769097</v>
      </c>
      <c r="AK37" s="635">
        <f t="shared" si="211"/>
        <v>0.89802763553798948</v>
      </c>
      <c r="AL37" s="629">
        <f t="shared" si="91"/>
        <v>-0.43707313377306073</v>
      </c>
      <c r="AM37" s="634">
        <f t="shared" si="92"/>
        <v>-5.0134235247427522E-2</v>
      </c>
      <c r="AN37" s="581">
        <f t="shared" si="93"/>
        <v>-83.456516664675661</v>
      </c>
      <c r="AO37" s="582">
        <f t="shared" si="94"/>
        <v>26.099992214851632</v>
      </c>
      <c r="AP37" s="585">
        <f t="shared" si="95"/>
        <v>-25.952345954279952</v>
      </c>
      <c r="AQ37" s="586">
        <f t="shared" si="9"/>
        <v>0.48979172199345011</v>
      </c>
      <c r="AS37" s="52">
        <f t="shared" si="116"/>
        <v>-70.732241765096944</v>
      </c>
      <c r="AT37" s="72">
        <f t="shared" si="10"/>
        <v>-2.6271252955902726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2.2440000000000002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2.1440000000000001</v>
      </c>
      <c r="II37" s="734" cm="1">
        <f t="array" ref="II37">IFERROR(IF($IH37&lt;1,$IH37+LARGE((IF($M$9:$M$150="",0,$M$9:$M$150)-MOD(IF($M$9:$M$150="",0,$M$9:$M$150),1)),1),$IH37),"")</f>
        <v>2.1440000000000001</v>
      </c>
      <c r="IJ37" s="533">
        <f t="shared" si="112"/>
        <v>1613</v>
      </c>
      <c r="IK37" s="533">
        <f t="shared" si="66"/>
        <v>1310</v>
      </c>
      <c r="IL37" s="727">
        <f t="shared" si="225"/>
        <v>11.793998297157316</v>
      </c>
      <c r="IM37" s="759">
        <v>4.3084874191168503E-3</v>
      </c>
      <c r="IN37" s="5">
        <f t="shared" si="226"/>
        <v>0.2</v>
      </c>
      <c r="IO37" s="771">
        <v>100</v>
      </c>
      <c r="IP37" s="9">
        <f t="shared" si="227"/>
        <v>-4.6083138986747194</v>
      </c>
      <c r="IQ37" s="5">
        <f t="shared" si="228"/>
        <v>-2.6943081260333082</v>
      </c>
      <c r="IR37" s="5">
        <f t="shared" si="71"/>
        <v>0.314</v>
      </c>
      <c r="IS37" s="5">
        <f t="shared" si="229"/>
        <v>0.29184969787530096</v>
      </c>
      <c r="IT37" s="727">
        <f t="shared" si="230"/>
        <v>88.633048766282045</v>
      </c>
      <c r="IU37" s="9">
        <f t="shared" si="231"/>
        <v>-4.6543683730266343</v>
      </c>
      <c r="IV37" s="5">
        <f t="shared" si="232"/>
        <v>-2.6762449079271455</v>
      </c>
      <c r="IW37" s="5">
        <f t="shared" si="76"/>
        <v>0.26600000000000001</v>
      </c>
      <c r="IX37" s="5">
        <f t="shared" si="233"/>
        <v>0.23887535105310526</v>
      </c>
      <c r="IY37" s="762">
        <f t="shared" si="234"/>
        <v>83.456516664675661</v>
      </c>
    </row>
    <row r="38" spans="1:267" ht="15" customHeight="1" x14ac:dyDescent="0.25">
      <c r="A38" s="79"/>
      <c r="B38" s="707">
        <v>4.4087055651460823</v>
      </c>
      <c r="C38" s="708">
        <v>1.5456914741176169</v>
      </c>
      <c r="D38" s="709">
        <v>-3.4004102556373308</v>
      </c>
      <c r="E38" s="710">
        <v>0.21245737188883029</v>
      </c>
      <c r="F38" s="708">
        <v>0.97635229249459843</v>
      </c>
      <c r="G38" s="711">
        <v>3.9975818573651518E-2</v>
      </c>
      <c r="H38" s="710">
        <v>0.26600000000000001</v>
      </c>
      <c r="I38" s="708">
        <v>0.52</v>
      </c>
      <c r="J38" s="570">
        <v>2.2509999999999999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1313</v>
      </c>
      <c r="L38" s="320"/>
      <c r="M38" s="168">
        <f t="shared" si="1"/>
        <v>2.2509999999999999</v>
      </c>
      <c r="N38" s="632">
        <f t="shared" si="2"/>
        <v>4.4087055651460823</v>
      </c>
      <c r="O38" s="629">
        <f t="shared" si="3"/>
        <v>1.5456914741176169</v>
      </c>
      <c r="P38" s="633">
        <f t="shared" si="4"/>
        <v>-3.4004102556373308</v>
      </c>
      <c r="Q38" s="585">
        <f t="shared" si="113"/>
        <v>19.320658227265262</v>
      </c>
      <c r="R38" s="629">
        <f t="shared" si="79"/>
        <v>4.6718140901912966</v>
      </c>
      <c r="S38" s="634">
        <f t="shared" si="80"/>
        <v>-3.4004102556373308</v>
      </c>
      <c r="T38" s="635">
        <f t="shared" si="81"/>
        <v>1.5456914741176162</v>
      </c>
      <c r="U38" s="629">
        <f t="shared" si="82"/>
        <v>-4.4087055651460831</v>
      </c>
      <c r="V38" s="636">
        <f t="shared" si="114"/>
        <v>-3.4004102556373308</v>
      </c>
      <c r="W38" s="585">
        <f t="shared" si="224"/>
        <v>289.32065822726526</v>
      </c>
      <c r="X38" s="629">
        <f t="shared" si="83"/>
        <v>4.6718140901912966</v>
      </c>
      <c r="Y38" s="630">
        <f t="shared" si="223"/>
        <v>-3.4004102556373308</v>
      </c>
      <c r="Z38" s="632">
        <f t="shared" si="6"/>
        <v>-0.21245737188883029</v>
      </c>
      <c r="AA38" s="629">
        <f t="shared" si="7"/>
        <v>-0.97635229249459843</v>
      </c>
      <c r="AB38" s="629">
        <f t="shared" si="8"/>
        <v>-3.9975818573651518E-2</v>
      </c>
      <c r="AC38" s="636">
        <f t="shared" si="84"/>
        <v>1</v>
      </c>
      <c r="AD38" s="637">
        <f t="shared" si="115"/>
        <v>-0.21245737188883029</v>
      </c>
      <c r="AE38" s="629">
        <f t="shared" si="85"/>
        <v>-0.97635229249459843</v>
      </c>
      <c r="AF38" s="633">
        <f t="shared" si="86"/>
        <v>-3.9975818573651518E-2</v>
      </c>
      <c r="AG38" s="602">
        <f t="shared" si="87"/>
        <v>-87.655388247117003</v>
      </c>
      <c r="AH38" s="603">
        <f t="shared" si="88"/>
        <v>102.2663995111145</v>
      </c>
      <c r="AI38" s="585">
        <f t="shared" si="89"/>
        <v>-87.708943826771744</v>
      </c>
      <c r="AJ38" s="586">
        <f t="shared" si="90"/>
        <v>-12.276365445360998</v>
      </c>
      <c r="AK38" s="635">
        <f t="shared" si="211"/>
        <v>0.85107330051296282</v>
      </c>
      <c r="AL38" s="629">
        <f t="shared" si="91"/>
        <v>-0.52352284676348049</v>
      </c>
      <c r="AM38" s="634">
        <f t="shared" si="92"/>
        <v>-3.9975818573651518E-2</v>
      </c>
      <c r="AN38" s="581">
        <f t="shared" si="93"/>
        <v>-85.633410178444834</v>
      </c>
      <c r="AO38" s="582">
        <f t="shared" si="94"/>
        <v>31.671399947901691</v>
      </c>
      <c r="AP38" s="585">
        <f t="shared" si="95"/>
        <v>-31.597023672626253</v>
      </c>
      <c r="AQ38" s="586">
        <f t="shared" si="9"/>
        <v>0.48796280634307088</v>
      </c>
      <c r="AS38" s="52">
        <f t="shared" si="116"/>
        <v>-70.679341772734745</v>
      </c>
      <c r="AT38" s="72">
        <f t="shared" si="10"/>
        <v>-3.351327379406265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2.2509999999999999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2.1509999999999998</v>
      </c>
      <c r="II38" s="734" cm="1">
        <f t="array" ref="II38">IFERROR(IF($IH38&lt;1,$IH38+LARGE((IF($M$9:$M$150="",0,$M$9:$M$150)-MOD(IF($M$9:$M$150="",0,$M$9:$M$150),1)),1),$IH38),"")</f>
        <v>2.1509999999999998</v>
      </c>
      <c r="IJ38" s="533">
        <f t="shared" si="112"/>
        <v>1613</v>
      </c>
      <c r="IK38" s="533">
        <f t="shared" si="66"/>
        <v>1313</v>
      </c>
      <c r="IL38" s="727">
        <f t="shared" si="225"/>
        <v>11.70629788057164</v>
      </c>
      <c r="IM38" s="759">
        <v>2.9207587119064999E-4</v>
      </c>
      <c r="IN38" s="5">
        <f t="shared" si="226"/>
        <v>0</v>
      </c>
      <c r="IO38" s="771">
        <v>0</v>
      </c>
      <c r="IP38" s="9">
        <f t="shared" si="227"/>
        <v>-4.6292</v>
      </c>
      <c r="IQ38" s="5">
        <f t="shared" si="228"/>
        <v>-3.4004000000000003</v>
      </c>
      <c r="IR38" s="5">
        <f t="shared" si="71"/>
        <v>0.314</v>
      </c>
      <c r="IS38" s="5">
        <f t="shared" si="229"/>
        <v>0.26723701500924463</v>
      </c>
      <c r="IT38" s="727">
        <f t="shared" si="230"/>
        <v>85.633412970590427</v>
      </c>
      <c r="IU38" s="9">
        <f t="shared" si="231"/>
        <v>-4.6718140901912966</v>
      </c>
      <c r="IV38" s="5">
        <f t="shared" si="232"/>
        <v>-3.4004102556373308</v>
      </c>
      <c r="IW38" s="5">
        <f t="shared" si="76"/>
        <v>0.26600000000000001</v>
      </c>
      <c r="IX38" s="5">
        <f t="shared" si="233"/>
        <v>0.22638549793644816</v>
      </c>
      <c r="IY38" s="762">
        <f t="shared" si="234"/>
        <v>85.633410178444834</v>
      </c>
    </row>
    <row r="39" spans="1:267" ht="15" customHeight="1" x14ac:dyDescent="0.25">
      <c r="A39" s="79"/>
      <c r="B39" s="707">
        <v>0.7086441294550393</v>
      </c>
      <c r="C39" s="708">
        <v>-0.20320092513968349</v>
      </c>
      <c r="D39" s="709">
        <v>-0.48580146517721901</v>
      </c>
      <c r="E39" s="710">
        <v>0.20185354387626067</v>
      </c>
      <c r="F39" s="708">
        <v>0.94697157464841875</v>
      </c>
      <c r="G39" s="711">
        <v>0.24999996726497567</v>
      </c>
      <c r="H39" s="710">
        <v>0.314</v>
      </c>
      <c r="I39" s="708">
        <v>0.52</v>
      </c>
      <c r="J39" s="570">
        <v>3.1030000000000002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1613</v>
      </c>
      <c r="L39" s="320"/>
      <c r="M39" s="168">
        <f t="shared" si="1"/>
        <v>3.1030000000000002</v>
      </c>
      <c r="N39" s="632">
        <f t="shared" si="2"/>
        <v>0.7086441294550393</v>
      </c>
      <c r="O39" s="629">
        <f t="shared" si="3"/>
        <v>-0.20320092513968349</v>
      </c>
      <c r="P39" s="633">
        <f t="shared" si="4"/>
        <v>-0.48580146517721901</v>
      </c>
      <c r="Q39" s="585">
        <f t="shared" si="113"/>
        <v>343.99996332694269</v>
      </c>
      <c r="R39" s="629">
        <f t="shared" si="79"/>
        <v>0.737202223401906</v>
      </c>
      <c r="S39" s="634">
        <f t="shared" si="80"/>
        <v>-0.48580146517721901</v>
      </c>
      <c r="T39" s="635">
        <f t="shared" si="81"/>
        <v>-0.20320092513968324</v>
      </c>
      <c r="U39" s="629">
        <f t="shared" si="82"/>
        <v>-0.7086441294550393</v>
      </c>
      <c r="V39" s="636">
        <f t="shared" si="114"/>
        <v>-0.48580146517721901</v>
      </c>
      <c r="W39" s="585">
        <f t="shared" si="224"/>
        <v>253.99996332694269</v>
      </c>
      <c r="X39" s="629">
        <f t="shared" si="83"/>
        <v>0.737202223401906</v>
      </c>
      <c r="Y39" s="630">
        <f t="shared" si="223"/>
        <v>-0.48580146517721901</v>
      </c>
      <c r="Z39" s="632">
        <f t="shared" si="6"/>
        <v>-0.20185354387626067</v>
      </c>
      <c r="AA39" s="629">
        <f t="shared" si="7"/>
        <v>-0.94697157464841875</v>
      </c>
      <c r="AB39" s="629">
        <f t="shared" si="8"/>
        <v>-0.24999996726497567</v>
      </c>
      <c r="AC39" s="636">
        <f t="shared" si="84"/>
        <v>1</v>
      </c>
      <c r="AD39" s="637">
        <f t="shared" si="115"/>
        <v>-0.20185354387626067</v>
      </c>
      <c r="AE39" s="629">
        <f t="shared" si="85"/>
        <v>-0.94697157464841875</v>
      </c>
      <c r="AF39" s="633">
        <f t="shared" si="86"/>
        <v>-0.24999996726497567</v>
      </c>
      <c r="AG39" s="602">
        <f t="shared" si="87"/>
        <v>-75.2113522756256</v>
      </c>
      <c r="AH39" s="603">
        <f t="shared" si="88"/>
        <v>101.64537020065389</v>
      </c>
      <c r="AI39" s="585">
        <f t="shared" si="89"/>
        <v>-75.522489751159455</v>
      </c>
      <c r="AJ39" s="586">
        <f t="shared" si="90"/>
        <v>-12.032907027970781</v>
      </c>
      <c r="AK39" s="635">
        <f t="shared" si="211"/>
        <v>0.9659258360722075</v>
      </c>
      <c r="AL39" s="629">
        <f t="shared" si="91"/>
        <v>6.6987279208206324E-2</v>
      </c>
      <c r="AM39" s="634">
        <f t="shared" si="92"/>
        <v>-0.24999996726497567</v>
      </c>
      <c r="AN39" s="581">
        <f t="shared" si="93"/>
        <v>14.999997834268081</v>
      </c>
      <c r="AO39" s="582">
        <f t="shared" si="94"/>
        <v>14.99999783426823</v>
      </c>
      <c r="AP39" s="585">
        <f t="shared" si="95"/>
        <v>3.9671296450865197</v>
      </c>
      <c r="AQ39" s="586">
        <f t="shared" si="9"/>
        <v>3.0894058277158698</v>
      </c>
      <c r="AS39" s="52">
        <f t="shared" si="116"/>
        <v>-106.00003667305731</v>
      </c>
      <c r="AT39" s="72">
        <f t="shared" si="10"/>
        <v>-0.41219032859870697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3.1030000000000002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1.3632651985799458</v>
      </c>
      <c r="C40" s="708">
        <v>-0.39091094958369399</v>
      </c>
      <c r="D40" s="709">
        <v>-0.30330091475555904</v>
      </c>
      <c r="E40" s="710">
        <v>0.20185354387626067</v>
      </c>
      <c r="F40" s="708">
        <v>0.94697157464841875</v>
      </c>
      <c r="G40" s="711">
        <v>0.2499999672649757</v>
      </c>
      <c r="H40" s="710">
        <v>0.314</v>
      </c>
      <c r="I40" s="708">
        <v>0.52</v>
      </c>
      <c r="J40" s="570">
        <v>3.1059999999999999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1613</v>
      </c>
      <c r="L40" s="320"/>
      <c r="M40" s="168">
        <f t="shared" si="1"/>
        <v>3.1059999999999999</v>
      </c>
      <c r="N40" s="632">
        <f t="shared" si="2"/>
        <v>1.3632651985799458</v>
      </c>
      <c r="O40" s="629">
        <f t="shared" si="3"/>
        <v>-0.39091094958369399</v>
      </c>
      <c r="P40" s="633">
        <f t="shared" si="4"/>
        <v>-0.30330091475555904</v>
      </c>
      <c r="Q40" s="585">
        <f t="shared" si="113"/>
        <v>343.99996332694269</v>
      </c>
      <c r="R40" s="629">
        <f t="shared" si="79"/>
        <v>1.4182042773040999</v>
      </c>
      <c r="S40" s="634">
        <f t="shared" si="80"/>
        <v>-0.30330091475555904</v>
      </c>
      <c r="T40" s="635">
        <f t="shared" si="81"/>
        <v>-0.39091094958369316</v>
      </c>
      <c r="U40" s="629">
        <f t="shared" si="82"/>
        <v>-1.363265198579946</v>
      </c>
      <c r="V40" s="636">
        <f t="shared" si="114"/>
        <v>-0.30330091475555904</v>
      </c>
      <c r="W40" s="585">
        <f t="shared" si="224"/>
        <v>253.99996332694269</v>
      </c>
      <c r="X40" s="629">
        <f t="shared" si="83"/>
        <v>1.4182042773040999</v>
      </c>
      <c r="Y40" s="630">
        <f t="shared" si="223"/>
        <v>-0.30330091475555904</v>
      </c>
      <c r="Z40" s="632">
        <f t="shared" si="6"/>
        <v>-0.20185354387626067</v>
      </c>
      <c r="AA40" s="629">
        <f t="shared" si="7"/>
        <v>-0.94697157464841875</v>
      </c>
      <c r="AB40" s="629">
        <f t="shared" si="8"/>
        <v>-0.2499999672649757</v>
      </c>
      <c r="AC40" s="636">
        <f t="shared" si="84"/>
        <v>1</v>
      </c>
      <c r="AD40" s="637">
        <f t="shared" si="115"/>
        <v>-0.20185354387626067</v>
      </c>
      <c r="AE40" s="629">
        <f t="shared" si="85"/>
        <v>-0.94697157464841875</v>
      </c>
      <c r="AF40" s="633">
        <f t="shared" si="86"/>
        <v>-0.2499999672649757</v>
      </c>
      <c r="AG40" s="602">
        <f t="shared" si="87"/>
        <v>-75.2113522756256</v>
      </c>
      <c r="AH40" s="603">
        <f t="shared" si="88"/>
        <v>101.64537020065389</v>
      </c>
      <c r="AI40" s="585">
        <f t="shared" si="89"/>
        <v>-75.522489751159455</v>
      </c>
      <c r="AJ40" s="586">
        <f t="shared" si="90"/>
        <v>-12.032907027970781</v>
      </c>
      <c r="AK40" s="635">
        <f t="shared" si="211"/>
        <v>0.9659258360722075</v>
      </c>
      <c r="AL40" s="629">
        <f t="shared" si="91"/>
        <v>6.6987279208206324E-2</v>
      </c>
      <c r="AM40" s="634">
        <f t="shared" si="92"/>
        <v>-0.2499999672649757</v>
      </c>
      <c r="AN40" s="581">
        <f t="shared" si="93"/>
        <v>14.999997834268081</v>
      </c>
      <c r="AO40" s="582">
        <f t="shared" si="94"/>
        <v>14.99999783426823</v>
      </c>
      <c r="AP40" s="585">
        <f t="shared" si="95"/>
        <v>3.9671296450865197</v>
      </c>
      <c r="AQ40" s="586">
        <f t="shared" si="9"/>
        <v>1.6070525303488561</v>
      </c>
      <c r="AS40" s="52">
        <f t="shared" si="116"/>
        <v>-106.00003667305731</v>
      </c>
      <c r="AT40" s="72">
        <f t="shared" si="10"/>
        <v>-0.229689778177047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3.1059999999999999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2.0305749580315031</v>
      </c>
      <c r="C41" s="708">
        <v>-0.58225940621957117</v>
      </c>
      <c r="D41" s="709">
        <v>-0.11730035377786706</v>
      </c>
      <c r="E41" s="710">
        <v>0.20185354387626067</v>
      </c>
      <c r="F41" s="708">
        <v>0.94697157464841875</v>
      </c>
      <c r="G41" s="711">
        <v>0.24999996726497567</v>
      </c>
      <c r="H41" s="710">
        <v>0.314</v>
      </c>
      <c r="I41" s="708">
        <v>0.52</v>
      </c>
      <c r="J41" s="570">
        <v>3.109</v>
      </c>
      <c r="K41" s="865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1613</v>
      </c>
      <c r="L41" s="320"/>
      <c r="M41" s="168">
        <f t="shared" ref="M41:M72" si="239">IF(J41="","",VALUE(J41))</f>
        <v>3.109</v>
      </c>
      <c r="N41" s="632">
        <f t="shared" ref="N41:N72" si="240">IF(M41="","",B41)</f>
        <v>2.0305749580315031</v>
      </c>
      <c r="O41" s="629">
        <f t="shared" ref="O41:O72" si="241">IF(M41="","",C41)</f>
        <v>-0.58225940621957117</v>
      </c>
      <c r="P41" s="633">
        <f t="shared" ref="P41:P72" si="242">IF(M41="","",D41)</f>
        <v>-0.11730035377786706</v>
      </c>
      <c r="Q41" s="585">
        <f t="shared" si="113"/>
        <v>343.99996332694263</v>
      </c>
      <c r="R41" s="629">
        <f t="shared" si="79"/>
        <v>2.1124063710176149</v>
      </c>
      <c r="S41" s="634">
        <f t="shared" si="80"/>
        <v>-0.11730035377786706</v>
      </c>
      <c r="T41" s="635">
        <f t="shared" si="81"/>
        <v>-0.5822594062195714</v>
      </c>
      <c r="U41" s="629">
        <f t="shared" si="82"/>
        <v>-2.0305749580315031</v>
      </c>
      <c r="V41" s="636">
        <f t="shared" si="114"/>
        <v>-0.11730035377786706</v>
      </c>
      <c r="W41" s="585">
        <f t="shared" si="224"/>
        <v>253.99996332694263</v>
      </c>
      <c r="X41" s="629">
        <f t="shared" si="83"/>
        <v>2.1124063710176149</v>
      </c>
      <c r="Y41" s="630">
        <f t="shared" si="223"/>
        <v>-0.11730035377786706</v>
      </c>
      <c r="Z41" s="632">
        <f t="shared" ref="Z41:Z72" si="243">IF(M41="","",-E41)</f>
        <v>-0.20185354387626067</v>
      </c>
      <c r="AA41" s="629">
        <f t="shared" ref="AA41:AA72" si="244">IF(M41="","",-F41)</f>
        <v>-0.94697157464841875</v>
      </c>
      <c r="AB41" s="629">
        <f t="shared" ref="AB41:AB72" si="245">IF(M41="","",-G41)</f>
        <v>-0.24999996726497567</v>
      </c>
      <c r="AC41" s="636">
        <f t="shared" si="84"/>
        <v>1</v>
      </c>
      <c r="AD41" s="637">
        <f t="shared" si="115"/>
        <v>-0.20185354387626067</v>
      </c>
      <c r="AE41" s="629">
        <f t="shared" si="85"/>
        <v>-0.94697157464841875</v>
      </c>
      <c r="AF41" s="633">
        <f t="shared" si="86"/>
        <v>-0.24999996726497567</v>
      </c>
      <c r="AG41" s="602">
        <f t="shared" si="87"/>
        <v>-75.2113522756256</v>
      </c>
      <c r="AH41" s="603">
        <f t="shared" si="88"/>
        <v>101.64537020065389</v>
      </c>
      <c r="AI41" s="585">
        <f t="shared" si="89"/>
        <v>-75.522489751159455</v>
      </c>
      <c r="AJ41" s="586">
        <f t="shared" si="90"/>
        <v>-12.032907027970781</v>
      </c>
      <c r="AK41" s="635">
        <f t="shared" si="211"/>
        <v>0.96592583607220739</v>
      </c>
      <c r="AL41" s="629">
        <f t="shared" si="91"/>
        <v>6.6987279208207157E-2</v>
      </c>
      <c r="AM41" s="634">
        <f t="shared" si="92"/>
        <v>-0.24999996726497567</v>
      </c>
      <c r="AN41" s="581">
        <f t="shared" si="93"/>
        <v>14.999997834268259</v>
      </c>
      <c r="AO41" s="582">
        <f t="shared" si="94"/>
        <v>14.999997834268255</v>
      </c>
      <c r="AP41" s="585">
        <f t="shared" si="95"/>
        <v>3.967129645086569</v>
      </c>
      <c r="AQ41" s="586">
        <f t="shared" ref="AQ41:AQ72" si="246">IF(M41="","",DEGREES(ATAN(($AS$5*SIN(RADIANS(90)))/(($X41*2*PI())-($AS$5*COS(RADIANS(90)))))))</f>
        <v>1.0790807660279518</v>
      </c>
      <c r="AS41" s="52">
        <f t="shared" si="116"/>
        <v>-106.00003667305737</v>
      </c>
      <c r="AT41" s="72">
        <f t="shared" ref="AT41:AT72" si="247">IF(M41="","",Y41+(((AS41-$AS$9)*$AS$6)*-1))</f>
        <v>-4.3689217199354993E-2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2.8145452129667081</v>
      </c>
      <c r="C42" s="708">
        <v>-0.83645543091353636</v>
      </c>
      <c r="D42" s="709">
        <v>-0.15320046205259344</v>
      </c>
      <c r="E42" s="710">
        <v>0.37653013223832521</v>
      </c>
      <c r="F42" s="708">
        <v>0.89373097369427623</v>
      </c>
      <c r="G42" s="711">
        <v>0.24386472925798497</v>
      </c>
      <c r="H42" s="710">
        <v>0.314</v>
      </c>
      <c r="I42" s="708">
        <v>0.52</v>
      </c>
      <c r="J42" s="570">
        <v>3.1150000000000002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1613</v>
      </c>
      <c r="L42" s="320"/>
      <c r="M42" s="168">
        <f t="shared" si="239"/>
        <v>3.1150000000000002</v>
      </c>
      <c r="N42" s="632">
        <f t="shared" si="240"/>
        <v>2.8145452129667081</v>
      </c>
      <c r="O42" s="629">
        <f t="shared" si="241"/>
        <v>-0.83645543091353636</v>
      </c>
      <c r="P42" s="633">
        <f t="shared" si="242"/>
        <v>-0.15320046205259344</v>
      </c>
      <c r="Q42" s="585">
        <f t="shared" si="113"/>
        <v>343.44856340655497</v>
      </c>
      <c r="R42" s="629">
        <f t="shared" ref="R42:R47" si="385">IF(M42="","",SQRT(N42^2+O42^2))</f>
        <v>2.9362088556059089</v>
      </c>
      <c r="S42" s="634">
        <f t="shared" ref="S42:S47" si="386">IF(M42="","",P42)</f>
        <v>-0.15320046205259344</v>
      </c>
      <c r="T42" s="635">
        <f t="shared" ref="T42:T47" si="387">IF(M42="","",X42*COS(RADIANS(W42)))</f>
        <v>-0.83645543091353547</v>
      </c>
      <c r="U42" s="629">
        <f t="shared" ref="U42:U47" si="388">IF(M42="","",X42*SIN(RADIANS(W42)))</f>
        <v>-2.8145452129667081</v>
      </c>
      <c r="V42" s="636">
        <f t="shared" ref="V42:V47" si="389">IF(M42="","",Y42)</f>
        <v>-0.15320046205259344</v>
      </c>
      <c r="W42" s="585">
        <f t="shared" si="224"/>
        <v>253.44856340655497</v>
      </c>
      <c r="X42" s="629">
        <f t="shared" ref="X42:X47" si="390">IF(M42="","",R42)</f>
        <v>2.9362088556059089</v>
      </c>
      <c r="Y42" s="630">
        <f t="shared" si="223"/>
        <v>-0.15320046205259344</v>
      </c>
      <c r="Z42" s="632">
        <f t="shared" si="243"/>
        <v>-0.37653013223832521</v>
      </c>
      <c r="AA42" s="629">
        <f t="shared" si="244"/>
        <v>-0.89373097369427623</v>
      </c>
      <c r="AB42" s="629">
        <f t="shared" si="245"/>
        <v>-0.24386472925798497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-0.37653013223832521</v>
      </c>
      <c r="AE42" s="629">
        <f t="shared" ref="AE42:AE47" si="393">IF(M42="","",AA42*(1/SQRT(Z42^2+AA42^2+AB42^2)))</f>
        <v>-0.89373097369427623</v>
      </c>
      <c r="AF42" s="633">
        <f t="shared" ref="AF42:AF47" si="394">IF(M42="","",AB42*(1/SQRT(Z42^2+AA42^2+AB42^2)))</f>
        <v>-0.24386472925798497</v>
      </c>
      <c r="AG42" s="602">
        <f t="shared" ref="AG42:AG47" si="395">IF(M42="","",DEGREES(ATAN2(-AF42,AE42)))</f>
        <v>-74.73772598897709</v>
      </c>
      <c r="AH42" s="603">
        <f t="shared" ref="AH42:AH47" si="396">IF(M42="","",DEGREES(ACOS(AD42)))</f>
        <v>112.1189159654152</v>
      </c>
      <c r="AI42" s="585">
        <f t="shared" ref="AI42:AI47" si="397">IF(M42="","",DEGREES(-ACOS(-AF42)))</f>
        <v>-75.885247311149683</v>
      </c>
      <c r="AJ42" s="586">
        <f t="shared" ref="AJ42:AJ47" si="398">IF(M42="","",DEGREES(ATAN2(-AE42,AD42)))</f>
        <v>-22.845761276594327</v>
      </c>
      <c r="AK42" s="635">
        <f t="shared" ref="AK42:AK47" si="399">IF(M42="","",(COS(RADIANS((90-$Q$8)-W42))*AD42)+(-SIN(RADIANS((90-$Q$8)-W42))*AE42))</f>
        <v>0.96396307173474738</v>
      </c>
      <c r="AL42" s="629">
        <f t="shared" ref="AL42:AL47" si="400">IF(M42="","",(SIN(RADIANS((90-$Q$8)-W42))*AD42)+(COS(RADIANS((90-$Q$8)-W42))*AE42))</f>
        <v>-0.10632586776340086</v>
      </c>
      <c r="AM42" s="634">
        <f t="shared" ref="AM42:AM47" si="401">IF(M42="","",AF42)</f>
        <v>-0.24386472925798497</v>
      </c>
      <c r="AN42" s="581">
        <f t="shared" ref="AN42:AN47" si="402">IF(M42="","",DEGREES(ATAN2(-AM42,AL42)))</f>
        <v>-23.557368666328259</v>
      </c>
      <c r="AO42" s="582">
        <f t="shared" si="94"/>
        <v>15.428525977516347</v>
      </c>
      <c r="AP42" s="585">
        <f t="shared" ref="AP42:AP47" si="403">IF(M42="","",DEGREES(ATAN2(AK42,AL42)))</f>
        <v>-6.2943246831493083</v>
      </c>
      <c r="AQ42" s="586">
        <f t="shared" si="246"/>
        <v>0.77637089746515919</v>
      </c>
      <c r="AS42" s="52">
        <f t="shared" si="116"/>
        <v>-106.55143659344503</v>
      </c>
      <c r="AT42" s="72">
        <f t="shared" si="247"/>
        <v>-7.9206408862701055E-2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3.1150000000000002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3.4557032884097398</v>
      </c>
      <c r="C43" s="708">
        <v>-1.0889316821473694</v>
      </c>
      <c r="D43" s="709">
        <v>-0.52740159064319736</v>
      </c>
      <c r="E43" s="710">
        <v>0.50222254260282562</v>
      </c>
      <c r="F43" s="708">
        <v>0.84799821293845257</v>
      </c>
      <c r="G43" s="711">
        <v>0.16932675085391591</v>
      </c>
      <c r="H43" s="710">
        <v>0.314</v>
      </c>
      <c r="I43" s="708">
        <v>0.52</v>
      </c>
      <c r="J43" s="570">
        <v>3.1219999999999999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1613</v>
      </c>
      <c r="L43" s="320"/>
      <c r="M43" s="168">
        <f t="shared" si="239"/>
        <v>3.1219999999999999</v>
      </c>
      <c r="N43" s="632">
        <f t="shared" si="240"/>
        <v>3.4557032884097398</v>
      </c>
      <c r="O43" s="629">
        <f t="shared" si="241"/>
        <v>-1.0889316821473694</v>
      </c>
      <c r="P43" s="633">
        <f t="shared" si="242"/>
        <v>-0.52740159064319736</v>
      </c>
      <c r="Q43" s="585">
        <f t="shared" si="113"/>
        <v>342.50976354210087</v>
      </c>
      <c r="R43" s="629">
        <f t="shared" si="385"/>
        <v>3.6232109276041591</v>
      </c>
      <c r="S43" s="634">
        <f t="shared" si="386"/>
        <v>-0.52740159064319736</v>
      </c>
      <c r="T43" s="635">
        <f t="shared" si="387"/>
        <v>-1.0889316821473694</v>
      </c>
      <c r="U43" s="629">
        <f t="shared" si="388"/>
        <v>-3.4557032884097403</v>
      </c>
      <c r="V43" s="636">
        <f t="shared" si="389"/>
        <v>-0.52740159064319736</v>
      </c>
      <c r="W43" s="585">
        <f t="shared" si="224"/>
        <v>252.50976354210087</v>
      </c>
      <c r="X43" s="629">
        <f t="shared" si="390"/>
        <v>3.6232109276041591</v>
      </c>
      <c r="Y43" s="630">
        <f t="shared" si="223"/>
        <v>-0.52740159064319736</v>
      </c>
      <c r="Z43" s="632">
        <f t="shared" si="243"/>
        <v>-0.50222254260282562</v>
      </c>
      <c r="AA43" s="629">
        <f t="shared" si="244"/>
        <v>-0.84799821293845257</v>
      </c>
      <c r="AB43" s="629">
        <f t="shared" si="245"/>
        <v>-0.16932675085391591</v>
      </c>
      <c r="AC43" s="636">
        <f t="shared" si="391"/>
        <v>1</v>
      </c>
      <c r="AD43" s="637">
        <f t="shared" si="392"/>
        <v>-0.50222254260282562</v>
      </c>
      <c r="AE43" s="629">
        <f t="shared" si="393"/>
        <v>-0.84799821293845257</v>
      </c>
      <c r="AF43" s="633">
        <f t="shared" si="394"/>
        <v>-0.16932675085391591</v>
      </c>
      <c r="AG43" s="602">
        <f t="shared" si="395"/>
        <v>-78.707797642932448</v>
      </c>
      <c r="AH43" s="603">
        <f t="shared" si="396"/>
        <v>120.14715149452573</v>
      </c>
      <c r="AI43" s="585">
        <f t="shared" si="397"/>
        <v>-80.251322753782873</v>
      </c>
      <c r="AJ43" s="586">
        <f t="shared" si="398"/>
        <v>-30.635918198360311</v>
      </c>
      <c r="AK43" s="635">
        <f t="shared" si="399"/>
        <v>0.95973331959593788</v>
      </c>
      <c r="AL43" s="629">
        <f t="shared" si="400"/>
        <v>-0.22414371885604395</v>
      </c>
      <c r="AM43" s="634">
        <f t="shared" si="401"/>
        <v>-0.16932675085391591</v>
      </c>
      <c r="AN43" s="581">
        <f t="shared" si="402"/>
        <v>-52.931203558268287</v>
      </c>
      <c r="AO43" s="582">
        <f t="shared" si="94"/>
        <v>16.314686127556012</v>
      </c>
      <c r="AP43" s="585">
        <f t="shared" si="403"/>
        <v>-13.145681740461189</v>
      </c>
      <c r="AQ43" s="586">
        <f t="shared" si="246"/>
        <v>0.62917534809086895</v>
      </c>
      <c r="AS43" s="52">
        <f t="shared" ref="AS43:AS74" si="406">IF(G43="","",IF(AND(W43&lt;(AS42+180),W43&gt;(AS42-180)),W43,IF(W43&gt;(AS42+180),W43-360,IF(W43&lt;(AS42-180),W43+360,"Error"))))</f>
        <v>-107.49023645789913</v>
      </c>
      <c r="AT43" s="72">
        <f t="shared" si="247"/>
        <v>-0.45275559310298963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3.1219999999999999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3.89938553646682</v>
      </c>
      <c r="C44" s="708">
        <v>-1.2761984132040114</v>
      </c>
      <c r="D44" s="709">
        <v>-1.1311034114078888</v>
      </c>
      <c r="E44" s="710">
        <v>0.56526896562321194</v>
      </c>
      <c r="F44" s="708">
        <v>0.82023516636204574</v>
      </c>
      <c r="G44" s="711">
        <v>8.7665662412893336E-2</v>
      </c>
      <c r="H44" s="710">
        <v>0.314</v>
      </c>
      <c r="I44" s="708">
        <v>0.52</v>
      </c>
      <c r="J44" s="570">
        <v>3.129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1613</v>
      </c>
      <c r="L44" s="320"/>
      <c r="M44" s="168">
        <f t="shared" si="239"/>
        <v>3.129</v>
      </c>
      <c r="N44" s="632">
        <f t="shared" si="240"/>
        <v>3.89938553646682</v>
      </c>
      <c r="O44" s="629">
        <f t="shared" si="241"/>
        <v>-1.2761984132040114</v>
      </c>
      <c r="P44" s="633">
        <f t="shared" si="242"/>
        <v>-1.1311034114078888</v>
      </c>
      <c r="Q44" s="585">
        <f t="shared" si="113"/>
        <v>341.87766363336482</v>
      </c>
      <c r="R44" s="629">
        <f t="shared" si="385"/>
        <v>4.1029123743837213</v>
      </c>
      <c r="S44" s="634">
        <f t="shared" si="386"/>
        <v>-1.1311034114078888</v>
      </c>
      <c r="T44" s="635">
        <f t="shared" si="387"/>
        <v>-1.2761984132040114</v>
      </c>
      <c r="U44" s="629">
        <f t="shared" si="388"/>
        <v>-3.89938553646682</v>
      </c>
      <c r="V44" s="636">
        <f t="shared" si="389"/>
        <v>-1.1311034114078888</v>
      </c>
      <c r="W44" s="585">
        <f t="shared" si="224"/>
        <v>251.87766363336482</v>
      </c>
      <c r="X44" s="629">
        <f t="shared" si="390"/>
        <v>4.1029123743837213</v>
      </c>
      <c r="Y44" s="630">
        <f t="shared" si="223"/>
        <v>-1.1311034114078888</v>
      </c>
      <c r="Z44" s="632">
        <f t="shared" si="243"/>
        <v>-0.56526896562321194</v>
      </c>
      <c r="AA44" s="629">
        <f t="shared" si="244"/>
        <v>-0.82023516636204574</v>
      </c>
      <c r="AB44" s="629">
        <f t="shared" si="245"/>
        <v>-8.7665662412893336E-2</v>
      </c>
      <c r="AC44" s="636">
        <f t="shared" si="391"/>
        <v>1</v>
      </c>
      <c r="AD44" s="637">
        <f t="shared" si="392"/>
        <v>-0.56526896562321194</v>
      </c>
      <c r="AE44" s="629">
        <f t="shared" si="393"/>
        <v>-0.82023516636204574</v>
      </c>
      <c r="AF44" s="633">
        <f t="shared" si="394"/>
        <v>-8.7665662412893336E-2</v>
      </c>
      <c r="AG44" s="602">
        <f t="shared" si="395"/>
        <v>-83.899460573590346</v>
      </c>
      <c r="AH44" s="603">
        <f t="shared" si="396"/>
        <v>124.42097084603644</v>
      </c>
      <c r="AI44" s="585">
        <f t="shared" si="397"/>
        <v>-84.97067149598405</v>
      </c>
      <c r="AJ44" s="586">
        <f t="shared" si="398"/>
        <v>-34.572853877848388</v>
      </c>
      <c r="AK44" s="635">
        <f t="shared" si="399"/>
        <v>0.95537221941382766</v>
      </c>
      <c r="AL44" s="629">
        <f t="shared" si="400"/>
        <v>-0.28209688762197654</v>
      </c>
      <c r="AM44" s="634">
        <f t="shared" si="401"/>
        <v>-8.7665662412893336E-2</v>
      </c>
      <c r="AN44" s="581">
        <f t="shared" si="402"/>
        <v>-72.736616837519975</v>
      </c>
      <c r="AO44" s="582">
        <f t="shared" si="94"/>
        <v>17.181805072366132</v>
      </c>
      <c r="AP44" s="585">
        <f t="shared" si="403"/>
        <v>-16.450517511213196</v>
      </c>
      <c r="AQ44" s="586">
        <f t="shared" si="246"/>
        <v>0.55561878059430925</v>
      </c>
      <c r="AS44" s="52">
        <f t="shared" si="406"/>
        <v>-108.12233636663518</v>
      </c>
      <c r="AT44" s="72">
        <f t="shared" si="247"/>
        <v>-1.0560184555977254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3.129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4.1824749669282415</v>
      </c>
      <c r="C45" s="708">
        <v>-1.4089429383217398</v>
      </c>
      <c r="D45" s="709">
        <v>-1.8295055177886417</v>
      </c>
      <c r="E45" s="710">
        <v>0.60402134396587437</v>
      </c>
      <c r="F45" s="708">
        <v>0.79616380924848107</v>
      </c>
      <c r="G45" s="711">
        <v>3.5796716003110268E-2</v>
      </c>
      <c r="H45" s="710">
        <v>0.314</v>
      </c>
      <c r="I45" s="708">
        <v>0.52</v>
      </c>
      <c r="J45" s="570">
        <v>3.1360000000000001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1613</v>
      </c>
      <c r="L45" s="320"/>
      <c r="M45" s="168">
        <f t="shared" si="239"/>
        <v>3.1360000000000001</v>
      </c>
      <c r="N45" s="632">
        <f t="shared" si="240"/>
        <v>4.1824749669282415</v>
      </c>
      <c r="O45" s="629">
        <f t="shared" si="241"/>
        <v>-1.4089429383217398</v>
      </c>
      <c r="P45" s="633">
        <f t="shared" si="242"/>
        <v>-1.8295055177886417</v>
      </c>
      <c r="Q45" s="585">
        <f t="shared" si="113"/>
        <v>341.38296370479065</v>
      </c>
      <c r="R45" s="629">
        <f t="shared" si="385"/>
        <v>4.4134133108545468</v>
      </c>
      <c r="S45" s="634">
        <f t="shared" si="386"/>
        <v>-1.8295055177886417</v>
      </c>
      <c r="T45" s="635">
        <f t="shared" si="387"/>
        <v>-1.4089429383217413</v>
      </c>
      <c r="U45" s="629">
        <f t="shared" si="388"/>
        <v>-4.1824749669282415</v>
      </c>
      <c r="V45" s="636">
        <f t="shared" si="389"/>
        <v>-1.8295055177886417</v>
      </c>
      <c r="W45" s="585">
        <f t="shared" si="224"/>
        <v>251.38296370479065</v>
      </c>
      <c r="X45" s="629">
        <f t="shared" si="390"/>
        <v>4.4134133108545468</v>
      </c>
      <c r="Y45" s="630">
        <f t="shared" si="223"/>
        <v>-1.8295055177886417</v>
      </c>
      <c r="Z45" s="632">
        <f t="shared" si="243"/>
        <v>-0.60402134396587437</v>
      </c>
      <c r="AA45" s="629">
        <f t="shared" si="244"/>
        <v>-0.79616380924848107</v>
      </c>
      <c r="AB45" s="629">
        <f t="shared" si="245"/>
        <v>-3.5796716003110268E-2</v>
      </c>
      <c r="AC45" s="636">
        <f t="shared" si="391"/>
        <v>1</v>
      </c>
      <c r="AD45" s="637">
        <f t="shared" si="392"/>
        <v>-0.60402134396587437</v>
      </c>
      <c r="AE45" s="629">
        <f t="shared" si="393"/>
        <v>-0.79616380924848107</v>
      </c>
      <c r="AF45" s="633">
        <f t="shared" si="394"/>
        <v>-3.5796716003110268E-2</v>
      </c>
      <c r="AG45" s="602">
        <f t="shared" si="395"/>
        <v>-87.425629826254223</v>
      </c>
      <c r="AH45" s="603">
        <f t="shared" si="396"/>
        <v>127.15845136769455</v>
      </c>
      <c r="AI45" s="585">
        <f t="shared" si="397"/>
        <v>-87.948560972760092</v>
      </c>
      <c r="AJ45" s="586">
        <f t="shared" si="398"/>
        <v>-37.186305394682428</v>
      </c>
      <c r="AK45" s="635">
        <f t="shared" si="399"/>
        <v>0.9473318074809518</v>
      </c>
      <c r="AL45" s="629">
        <f t="shared" si="400"/>
        <v>-0.31824682505606527</v>
      </c>
      <c r="AM45" s="634">
        <f t="shared" si="401"/>
        <v>-3.5796716003110268E-2</v>
      </c>
      <c r="AN45" s="581">
        <f t="shared" si="402"/>
        <v>-83.582289197529377</v>
      </c>
      <c r="AO45" s="582">
        <f t="shared" si="94"/>
        <v>18.67826961308846</v>
      </c>
      <c r="AP45" s="585">
        <f t="shared" si="403"/>
        <v>-18.56926909947305</v>
      </c>
      <c r="AQ45" s="586">
        <f t="shared" si="246"/>
        <v>0.51653101823894298</v>
      </c>
      <c r="AS45" s="52">
        <f t="shared" si="406"/>
        <v>-108.61703629520935</v>
      </c>
      <c r="AT45" s="72">
        <f t="shared" si="247"/>
        <v>-1.7540770203614129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3.1360000000000001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4.3449603351824093</v>
      </c>
      <c r="C46" s="708">
        <v>-1.4886830890693459</v>
      </c>
      <c r="D46" s="709">
        <v>-2.5837077924627021</v>
      </c>
      <c r="E46" s="710">
        <v>0.64965898495536389</v>
      </c>
      <c r="F46" s="708">
        <v>0.76011482122889029</v>
      </c>
      <c r="G46" s="711">
        <v>1.2986986368611677E-2</v>
      </c>
      <c r="H46" s="710">
        <v>0.314</v>
      </c>
      <c r="I46" s="708">
        <v>0.52</v>
      </c>
      <c r="J46" s="570">
        <v>3.1429999999999998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1613</v>
      </c>
      <c r="L46" s="320"/>
      <c r="M46" s="168">
        <f t="shared" si="239"/>
        <v>3.1429999999999998</v>
      </c>
      <c r="N46" s="632">
        <f t="shared" si="240"/>
        <v>4.3449603351824093</v>
      </c>
      <c r="O46" s="629">
        <f t="shared" si="241"/>
        <v>-1.4886830890693459</v>
      </c>
      <c r="P46" s="633">
        <f t="shared" si="242"/>
        <v>-2.5837077924627021</v>
      </c>
      <c r="Q46" s="585">
        <f t="shared" si="113"/>
        <v>341.08736374747002</v>
      </c>
      <c r="R46" s="629">
        <f t="shared" si="385"/>
        <v>4.5929138522281781</v>
      </c>
      <c r="S46" s="634">
        <f t="shared" si="386"/>
        <v>-2.5837077924627021</v>
      </c>
      <c r="T46" s="635">
        <f t="shared" si="387"/>
        <v>-1.4886830890693443</v>
      </c>
      <c r="U46" s="629">
        <f t="shared" si="388"/>
        <v>-4.3449603351824093</v>
      </c>
      <c r="V46" s="636">
        <f t="shared" si="389"/>
        <v>-2.5837077924627021</v>
      </c>
      <c r="W46" s="585">
        <f t="shared" si="224"/>
        <v>251.08736374747002</v>
      </c>
      <c r="X46" s="629">
        <f t="shared" si="390"/>
        <v>4.5929138522281781</v>
      </c>
      <c r="Y46" s="630">
        <f t="shared" si="223"/>
        <v>-2.5837077924627021</v>
      </c>
      <c r="Z46" s="632">
        <f t="shared" si="243"/>
        <v>-0.64965898495536389</v>
      </c>
      <c r="AA46" s="629">
        <f t="shared" si="244"/>
        <v>-0.76011482122889029</v>
      </c>
      <c r="AB46" s="629">
        <f t="shared" si="245"/>
        <v>-1.2986986368611677E-2</v>
      </c>
      <c r="AC46" s="636">
        <f t="shared" si="391"/>
        <v>1</v>
      </c>
      <c r="AD46" s="637">
        <f t="shared" si="392"/>
        <v>-0.64965898495536389</v>
      </c>
      <c r="AE46" s="629">
        <f t="shared" si="393"/>
        <v>-0.76011482122889029</v>
      </c>
      <c r="AF46" s="633">
        <f t="shared" si="394"/>
        <v>-1.2986986368611677E-2</v>
      </c>
      <c r="AG46" s="602">
        <f t="shared" si="395"/>
        <v>-89.021164836566584</v>
      </c>
      <c r="AH46" s="603">
        <f t="shared" si="396"/>
        <v>130.51589573346621</v>
      </c>
      <c r="AI46" s="585">
        <f t="shared" si="397"/>
        <v>-89.25587957403468</v>
      </c>
      <c r="AJ46" s="586">
        <f t="shared" si="398"/>
        <v>-40.520025453319619</v>
      </c>
      <c r="AK46" s="635">
        <f t="shared" si="399"/>
        <v>0.92965059445157572</v>
      </c>
      <c r="AL46" s="629">
        <f t="shared" si="400"/>
        <v>-0.3682134033694231</v>
      </c>
      <c r="AM46" s="634">
        <f t="shared" si="401"/>
        <v>-1.2986986368611677E-2</v>
      </c>
      <c r="AN46" s="581">
        <f t="shared" si="402"/>
        <v>-87.979999697102386</v>
      </c>
      <c r="AO46" s="582">
        <f t="shared" si="94"/>
        <v>21.61958558770235</v>
      </c>
      <c r="AP46" s="585">
        <f t="shared" si="403"/>
        <v>-21.60738920078964</v>
      </c>
      <c r="AQ46" s="586">
        <f t="shared" si="246"/>
        <v>0.49634495172917609</v>
      </c>
      <c r="AS46" s="52">
        <f t="shared" si="406"/>
        <v>-108.91263625252998</v>
      </c>
      <c r="AT46" s="72">
        <f t="shared" si="247"/>
        <v>-2.5080740172873339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3.1429999999999998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4.3723768780423047</v>
      </c>
      <c r="C47" s="708">
        <v>-1.500558471490206</v>
      </c>
      <c r="D47" s="709">
        <v>-3.3263999999999991</v>
      </c>
      <c r="E47" s="710">
        <v>0.74028226335628211</v>
      </c>
      <c r="F47" s="708">
        <v>0.67193193646849669</v>
      </c>
      <c r="G47" s="711">
        <v>2.2127885434366196E-2</v>
      </c>
      <c r="H47" s="710">
        <v>0.314</v>
      </c>
      <c r="I47" s="708">
        <v>0.52</v>
      </c>
      <c r="J47" s="570">
        <v>3.15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1613</v>
      </c>
      <c r="L47" s="320"/>
      <c r="M47" s="168">
        <f t="shared" si="239"/>
        <v>3.15</v>
      </c>
      <c r="N47" s="632">
        <f t="shared" si="240"/>
        <v>4.3723768780423047</v>
      </c>
      <c r="O47" s="629">
        <f t="shared" si="241"/>
        <v>-1.500558471490206</v>
      </c>
      <c r="P47" s="633">
        <f t="shared" si="242"/>
        <v>-3.3263999999999991</v>
      </c>
      <c r="Q47" s="585">
        <f t="shared" si="113"/>
        <v>341.05826332694267</v>
      </c>
      <c r="R47" s="629">
        <f t="shared" si="385"/>
        <v>4.6226999999999991</v>
      </c>
      <c r="S47" s="634">
        <f t="shared" si="386"/>
        <v>-3.3263999999999991</v>
      </c>
      <c r="T47" s="635">
        <f t="shared" si="387"/>
        <v>-1.5005584714902036</v>
      </c>
      <c r="U47" s="629">
        <f t="shared" si="388"/>
        <v>-4.3723768780423056</v>
      </c>
      <c r="V47" s="636">
        <f t="shared" si="389"/>
        <v>-3.3263999999999991</v>
      </c>
      <c r="W47" s="585">
        <f t="shared" si="224"/>
        <v>251.05826332694267</v>
      </c>
      <c r="X47" s="629">
        <f t="shared" si="390"/>
        <v>4.6226999999999991</v>
      </c>
      <c r="Y47" s="630">
        <f t="shared" si="223"/>
        <v>-3.3263999999999991</v>
      </c>
      <c r="Z47" s="632">
        <f t="shared" si="243"/>
        <v>-0.74028226335628211</v>
      </c>
      <c r="AA47" s="629">
        <f t="shared" si="244"/>
        <v>-0.67193193646849669</v>
      </c>
      <c r="AB47" s="629">
        <f t="shared" si="245"/>
        <v>-2.2127885434366196E-2</v>
      </c>
      <c r="AC47" s="636">
        <f t="shared" si="391"/>
        <v>1</v>
      </c>
      <c r="AD47" s="637">
        <f t="shared" si="392"/>
        <v>-0.74028226335628211</v>
      </c>
      <c r="AE47" s="629">
        <f t="shared" si="393"/>
        <v>-0.67193193646849669</v>
      </c>
      <c r="AF47" s="633">
        <f t="shared" si="394"/>
        <v>-2.2127885434366196E-2</v>
      </c>
      <c r="AG47" s="602">
        <f t="shared" si="395"/>
        <v>-88.113832142348954</v>
      </c>
      <c r="AH47" s="603">
        <f t="shared" si="396"/>
        <v>137.75546562913095</v>
      </c>
      <c r="AI47" s="585">
        <f t="shared" si="397"/>
        <v>-88.732062067814695</v>
      </c>
      <c r="AJ47" s="586">
        <f t="shared" si="398"/>
        <v>-47.770919354209433</v>
      </c>
      <c r="AK47" s="635">
        <f t="shared" si="399"/>
        <v>0.87584668791101694</v>
      </c>
      <c r="AL47" s="629">
        <f t="shared" si="400"/>
        <v>-0.48208187682333103</v>
      </c>
      <c r="AM47" s="634">
        <f t="shared" si="401"/>
        <v>-2.2127885434366196E-2</v>
      </c>
      <c r="AN47" s="581">
        <f t="shared" si="402"/>
        <v>-87.371929455797087</v>
      </c>
      <c r="AO47" s="582">
        <f t="shared" si="94"/>
        <v>28.854660224367095</v>
      </c>
      <c r="AP47" s="585">
        <f t="shared" si="403"/>
        <v>-28.829182681152105</v>
      </c>
      <c r="AQ47" s="586">
        <f t="shared" si="246"/>
        <v>0.4931469350791553</v>
      </c>
      <c r="AS47" s="52">
        <f t="shared" si="406"/>
        <v>-108.94173667305733</v>
      </c>
      <c r="AT47" s="72">
        <f t="shared" si="247"/>
        <v>-3.250746016199265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3.15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4.4633504075736337</v>
      </c>
      <c r="C48" s="708">
        <v>-1.6466201441778479</v>
      </c>
      <c r="D48" s="709">
        <v>-3.9734000000000003</v>
      </c>
      <c r="E48" s="710">
        <v>0.87323494532274115</v>
      </c>
      <c r="F48" s="708">
        <v>0.47881947888508009</v>
      </c>
      <c r="G48" s="711">
        <v>9.0513186373090193E-2</v>
      </c>
      <c r="H48" s="710">
        <v>0.26600000000000001</v>
      </c>
      <c r="I48" s="708">
        <v>0.52</v>
      </c>
      <c r="J48" s="570">
        <v>3.157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1313</v>
      </c>
      <c r="L48" s="320"/>
      <c r="M48" s="168">
        <f t="shared" si="239"/>
        <v>3.157</v>
      </c>
      <c r="N48" s="632">
        <f t="shared" si="240"/>
        <v>4.4633504075736337</v>
      </c>
      <c r="O48" s="629">
        <f t="shared" si="241"/>
        <v>-1.6466201441778479</v>
      </c>
      <c r="P48" s="633">
        <f t="shared" si="242"/>
        <v>-3.9734000000000003</v>
      </c>
      <c r="Q48" s="585">
        <f t="shared" si="113"/>
        <v>339.74996332694263</v>
      </c>
      <c r="R48" s="629">
        <f t="shared" si="79"/>
        <v>4.7574000000000005</v>
      </c>
      <c r="S48" s="634">
        <f t="shared" si="80"/>
        <v>-3.9734000000000003</v>
      </c>
      <c r="T48" s="635">
        <f t="shared" si="81"/>
        <v>-1.6466201441778514</v>
      </c>
      <c r="U48" s="629">
        <f t="shared" si="82"/>
        <v>-4.4633504075736328</v>
      </c>
      <c r="V48" s="636">
        <f t="shared" si="114"/>
        <v>-3.9734000000000003</v>
      </c>
      <c r="W48" s="585">
        <f t="shared" si="224"/>
        <v>249.74996332694263</v>
      </c>
      <c r="X48" s="629">
        <f t="shared" si="83"/>
        <v>4.7574000000000005</v>
      </c>
      <c r="Y48" s="630">
        <f t="shared" si="223"/>
        <v>-3.9734000000000003</v>
      </c>
      <c r="Z48" s="632">
        <f t="shared" si="243"/>
        <v>-0.87323494532274115</v>
      </c>
      <c r="AA48" s="629">
        <f t="shared" si="244"/>
        <v>-0.47881947888508009</v>
      </c>
      <c r="AB48" s="629">
        <f t="shared" si="245"/>
        <v>-9.0513186373090193E-2</v>
      </c>
      <c r="AC48" s="636">
        <f t="shared" si="84"/>
        <v>1</v>
      </c>
      <c r="AD48" s="637">
        <f t="shared" si="115"/>
        <v>-0.87323494532274115</v>
      </c>
      <c r="AE48" s="629">
        <f t="shared" si="85"/>
        <v>-0.47881947888508009</v>
      </c>
      <c r="AF48" s="633">
        <f t="shared" si="86"/>
        <v>-9.0513186373090193E-2</v>
      </c>
      <c r="AG48" s="602">
        <f t="shared" si="87"/>
        <v>-79.295458759041651</v>
      </c>
      <c r="AH48" s="603">
        <f t="shared" si="88"/>
        <v>150.83676532094393</v>
      </c>
      <c r="AI48" s="585">
        <f t="shared" si="89"/>
        <v>-84.806868994998396</v>
      </c>
      <c r="AJ48" s="586">
        <f t="shared" si="90"/>
        <v>-61.262792400127012</v>
      </c>
      <c r="AK48" s="635">
        <f t="shared" si="211"/>
        <v>0.75146621427762783</v>
      </c>
      <c r="AL48" s="629">
        <f t="shared" si="91"/>
        <v>-0.65353339003591904</v>
      </c>
      <c r="AM48" s="634">
        <f t="shared" si="92"/>
        <v>-9.0513186373090193E-2</v>
      </c>
      <c r="AN48" s="581">
        <f t="shared" si="93"/>
        <v>-82.114800669411991</v>
      </c>
      <c r="AO48" s="582">
        <f t="shared" si="94"/>
        <v>41.282453992813224</v>
      </c>
      <c r="AP48" s="585">
        <f t="shared" si="95"/>
        <v>-41.012755727069624</v>
      </c>
      <c r="AQ48" s="586">
        <f t="shared" si="246"/>
        <v>0.4791847394346857</v>
      </c>
      <c r="AS48" s="52">
        <f t="shared" si="406"/>
        <v>-110.25003667305737</v>
      </c>
      <c r="AT48" s="72">
        <f t="shared" si="247"/>
        <v>-3.8968374745325991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3.157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2.4041238970217504</v>
      </c>
      <c r="C49" s="708">
        <v>-1.6972009536515686</v>
      </c>
      <c r="D49" s="709">
        <v>-0.14996864277802568</v>
      </c>
      <c r="E49" s="710">
        <v>0.13764587115959748</v>
      </c>
      <c r="F49" s="708">
        <v>-9.7171379838929692E-2</v>
      </c>
      <c r="G49" s="711">
        <v>0.98570347320728968</v>
      </c>
      <c r="H49" s="710">
        <v>0.26250000000000001</v>
      </c>
      <c r="I49" s="708">
        <v>0.40699999999999997</v>
      </c>
      <c r="J49" s="570">
        <v>3.2149999999999999</v>
      </c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Inactive</v>
      </c>
      <c r="L49" s="320"/>
      <c r="M49" s="168">
        <f t="shared" si="239"/>
        <v>3.2149999999999999</v>
      </c>
      <c r="N49" s="632">
        <f t="shared" si="240"/>
        <v>2.4041238970217504</v>
      </c>
      <c r="O49" s="629">
        <f t="shared" si="241"/>
        <v>-1.6972009536515686</v>
      </c>
      <c r="P49" s="633">
        <f t="shared" si="242"/>
        <v>-0.14996864277802568</v>
      </c>
      <c r="Q49" s="585">
        <f t="shared" si="113"/>
        <v>324.7796661020102</v>
      </c>
      <c r="R49" s="629">
        <f t="shared" si="79"/>
        <v>2.9428392394602261</v>
      </c>
      <c r="S49" s="634">
        <f t="shared" si="80"/>
        <v>-0.14996864277802568</v>
      </c>
      <c r="T49" s="635">
        <f t="shared" si="81"/>
        <v>-1.6972009536515695</v>
      </c>
      <c r="U49" s="629">
        <f t="shared" si="82"/>
        <v>-2.40412389702175</v>
      </c>
      <c r="V49" s="636">
        <f t="shared" si="114"/>
        <v>-0.14996864277802568</v>
      </c>
      <c r="W49" s="585">
        <f t="shared" si="224"/>
        <v>234.7796661020102</v>
      </c>
      <c r="X49" s="629">
        <f t="shared" si="83"/>
        <v>2.9428392394602261</v>
      </c>
      <c r="Y49" s="630">
        <f t="shared" si="223"/>
        <v>-0.14996864277802568</v>
      </c>
      <c r="Z49" s="632">
        <f t="shared" si="243"/>
        <v>-0.13764587115959748</v>
      </c>
      <c r="AA49" s="629">
        <f t="shared" si="244"/>
        <v>9.7171379838929692E-2</v>
      </c>
      <c r="AB49" s="629">
        <f t="shared" si="245"/>
        <v>-0.98570347320728968</v>
      </c>
      <c r="AC49" s="636">
        <f t="shared" si="84"/>
        <v>1</v>
      </c>
      <c r="AD49" s="637">
        <f t="shared" si="115"/>
        <v>-0.13764587115959748</v>
      </c>
      <c r="AE49" s="629">
        <f t="shared" si="85"/>
        <v>9.7171379838929692E-2</v>
      </c>
      <c r="AF49" s="633">
        <f t="shared" si="86"/>
        <v>-0.98570347320728968</v>
      </c>
      <c r="AG49" s="602">
        <f t="shared" si="87"/>
        <v>5.6300695088856187</v>
      </c>
      <c r="AH49" s="603">
        <f t="shared" si="88"/>
        <v>97.911645767158504</v>
      </c>
      <c r="AI49" s="585">
        <f t="shared" si="89"/>
        <v>-9.6999985995020772</v>
      </c>
      <c r="AJ49" s="586">
        <f t="shared" si="90"/>
        <v>-125.22025677507384</v>
      </c>
      <c r="AK49" s="635">
        <f t="shared" si="211"/>
        <v>2.267948967932254E-7</v>
      </c>
      <c r="AL49" s="629">
        <f t="shared" si="91"/>
        <v>-0.16848935547100483</v>
      </c>
      <c r="AM49" s="634">
        <f t="shared" si="92"/>
        <v>-0.98570347320728968</v>
      </c>
      <c r="AN49" s="581">
        <f t="shared" si="93"/>
        <v>-9.6999985994934814</v>
      </c>
      <c r="AO49" s="582">
        <f t="shared" si="94"/>
        <v>0</v>
      </c>
      <c r="AP49" s="585">
        <f t="shared" si="95"/>
        <v>-89.999922877084046</v>
      </c>
      <c r="AQ49" s="586">
        <f t="shared" si="246"/>
        <v>0.77462190314547941</v>
      </c>
      <c r="AS49" s="52">
        <f t="shared" si="406"/>
        <v>-125.2203338979898</v>
      </c>
      <c r="AT49" s="72">
        <f t="shared" si="247"/>
        <v>-6.3010077571088313E-2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Nose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3.2149999999999999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3.1150000000000002</v>
      </c>
      <c r="II49" s="734" cm="1">
        <f t="array" ref="II49">IFERROR(IF($IH49&lt;1,$IH49+LARGE((IF($M$9:$M$150="",0,$M$9:$M$150)-MOD(IF($M$9:$M$150="",0,$M$9:$M$150),1)),1),$IH49),"")</f>
        <v>3.1150000000000002</v>
      </c>
      <c r="IJ49" s="533">
        <f t="shared" si="112"/>
        <v>1613</v>
      </c>
      <c r="IK49" s="533" t="str">
        <f t="shared" si="382"/>
        <v>Inactive</v>
      </c>
      <c r="IL49" s="727">
        <f t="shared" si="225"/>
        <v>18.668897304544771</v>
      </c>
      <c r="IM49" s="759">
        <v>3.41728540489546E-2</v>
      </c>
      <c r="IN49" s="5">
        <f t="shared" si="226"/>
        <v>0.68</v>
      </c>
      <c r="IO49" s="771">
        <v>340</v>
      </c>
      <c r="IP49" s="9">
        <f t="shared" si="227"/>
        <v>-2.9362088556059089</v>
      </c>
      <c r="IQ49" s="5">
        <f t="shared" si="228"/>
        <v>-0.15320046205259344</v>
      </c>
      <c r="IR49" s="5">
        <f t="shared" si="383"/>
        <v>0.314</v>
      </c>
      <c r="IS49" s="5">
        <f t="shared" si="229"/>
        <v>0.30268440452471068</v>
      </c>
      <c r="IT49" s="727">
        <f t="shared" si="230"/>
        <v>23.557368666328259</v>
      </c>
      <c r="IU49" s="9">
        <f t="shared" si="231"/>
        <v>-2.9428392394602261</v>
      </c>
      <c r="IV49" s="5">
        <f t="shared" si="232"/>
        <v>-0.14996864277802568</v>
      </c>
      <c r="IW49" s="5">
        <f t="shared" si="384"/>
        <v>0.26250000000000001</v>
      </c>
      <c r="IX49" s="5">
        <f t="shared" si="233"/>
        <v>0.26250000000000001</v>
      </c>
      <c r="IY49" s="762">
        <f t="shared" si="234"/>
        <v>9.6999985994934814</v>
      </c>
    </row>
    <row r="50" spans="1:259" ht="15" customHeight="1" x14ac:dyDescent="0.25">
      <c r="A50" s="79"/>
      <c r="B50" s="707">
        <v>3.0799690534146604</v>
      </c>
      <c r="C50" s="708">
        <v>-1.957182675379626</v>
      </c>
      <c r="D50" s="709">
        <v>-0.49332526543609134</v>
      </c>
      <c r="E50" s="710">
        <v>0.72397232318963944</v>
      </c>
      <c r="F50" s="708">
        <v>0.64617879852865401</v>
      </c>
      <c r="G50" s="711">
        <v>0.24148920387351006</v>
      </c>
      <c r="H50" s="710">
        <v>0.26600000000000001</v>
      </c>
      <c r="I50" s="708">
        <v>0.39400000000000002</v>
      </c>
      <c r="J50" s="570">
        <v>3.222</v>
      </c>
      <c r="K50" s="865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1310</v>
      </c>
      <c r="L50" s="320"/>
      <c r="M50" s="168">
        <f t="shared" si="239"/>
        <v>3.222</v>
      </c>
      <c r="N50" s="632">
        <f t="shared" si="240"/>
        <v>3.0799690534146604</v>
      </c>
      <c r="O50" s="629">
        <f t="shared" si="241"/>
        <v>-1.957182675379626</v>
      </c>
      <c r="P50" s="633">
        <f t="shared" si="242"/>
        <v>-0.49332526543609134</v>
      </c>
      <c r="Q50" s="585">
        <f t="shared" si="113"/>
        <v>327.5658656997328</v>
      </c>
      <c r="R50" s="629">
        <f t="shared" si="79"/>
        <v>3.6492154492161943</v>
      </c>
      <c r="S50" s="634">
        <f t="shared" si="80"/>
        <v>-0.49332526543609134</v>
      </c>
      <c r="T50" s="635">
        <f t="shared" si="81"/>
        <v>-1.9571826753796242</v>
      </c>
      <c r="U50" s="629">
        <f t="shared" si="82"/>
        <v>-3.0799690534146618</v>
      </c>
      <c r="V50" s="636">
        <f t="shared" si="114"/>
        <v>-0.49332526543609134</v>
      </c>
      <c r="W50" s="585">
        <f t="shared" si="224"/>
        <v>237.5658656997328</v>
      </c>
      <c r="X50" s="629">
        <f t="shared" si="83"/>
        <v>3.6492154492161943</v>
      </c>
      <c r="Y50" s="630">
        <f t="shared" si="223"/>
        <v>-0.49332526543609134</v>
      </c>
      <c r="Z50" s="632">
        <f t="shared" si="243"/>
        <v>-0.72397232318963944</v>
      </c>
      <c r="AA50" s="629">
        <f t="shared" si="244"/>
        <v>-0.64617879852865401</v>
      </c>
      <c r="AB50" s="629">
        <f t="shared" si="245"/>
        <v>-0.24148920387351006</v>
      </c>
      <c r="AC50" s="636">
        <f t="shared" si="84"/>
        <v>1</v>
      </c>
      <c r="AD50" s="637">
        <f t="shared" si="115"/>
        <v>-0.72397232318963944</v>
      </c>
      <c r="AE50" s="629">
        <f t="shared" si="85"/>
        <v>-0.64617879852865401</v>
      </c>
      <c r="AF50" s="633">
        <f t="shared" si="86"/>
        <v>-0.24148920387351006</v>
      </c>
      <c r="AG50" s="602">
        <f t="shared" si="87"/>
        <v>-69.508335993066254</v>
      </c>
      <c r="AH50" s="603">
        <f t="shared" si="88"/>
        <v>136.3834242469313</v>
      </c>
      <c r="AI50" s="585">
        <f t="shared" si="89"/>
        <v>-76.025548945365927</v>
      </c>
      <c r="AJ50" s="586">
        <f t="shared" si="90"/>
        <v>-48.249612584933658</v>
      </c>
      <c r="AK50" s="635">
        <f t="shared" si="211"/>
        <v>0.93366830165476711</v>
      </c>
      <c r="AL50" s="629">
        <f t="shared" si="91"/>
        <v>-0.26447394370266664</v>
      </c>
      <c r="AM50" s="634">
        <f t="shared" si="92"/>
        <v>-0.24148920387351006</v>
      </c>
      <c r="AN50" s="581">
        <f t="shared" si="93"/>
        <v>-47.60102698652468</v>
      </c>
      <c r="AO50" s="582">
        <f t="shared" si="94"/>
        <v>20.985946051099408</v>
      </c>
      <c r="AP50" s="585">
        <f t="shared" si="95"/>
        <v>-15.815478284666456</v>
      </c>
      <c r="AQ50" s="586">
        <f t="shared" si="246"/>
        <v>0.62469216453730214</v>
      </c>
      <c r="AS50" s="52">
        <f t="shared" si="406"/>
        <v>-122.4341343002672</v>
      </c>
      <c r="AT50" s="72">
        <f t="shared" si="247"/>
        <v>-0.40830156106090576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Nose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3.222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3.1219999999999999</v>
      </c>
      <c r="II50" s="734" cm="1">
        <f t="array" ref="II50">IFERROR(IF($IH50&lt;1,$IH50+LARGE((IF($M$9:$M$150="",0,$M$9:$M$150)-MOD(IF($M$9:$M$150="",0,$M$9:$M$150),1)),1),$IH50),"")</f>
        <v>3.1219999999999999</v>
      </c>
      <c r="IJ50" s="533">
        <f t="shared" si="112"/>
        <v>1613</v>
      </c>
      <c r="IK50" s="533">
        <f t="shared" si="382"/>
        <v>1310</v>
      </c>
      <c r="IL50" s="727">
        <f t="shared" si="225"/>
        <v>14.943897842368074</v>
      </c>
      <c r="IM50" s="759">
        <v>1.0499701949498201E-2</v>
      </c>
      <c r="IN50" s="5">
        <f t="shared" si="226"/>
        <v>0.26</v>
      </c>
      <c r="IO50" s="771">
        <v>130</v>
      </c>
      <c r="IP50" s="9">
        <f t="shared" si="227"/>
        <v>-3.6232109276041591</v>
      </c>
      <c r="IQ50" s="5">
        <f t="shared" si="228"/>
        <v>-0.52740159064319736</v>
      </c>
      <c r="IR50" s="5">
        <f t="shared" si="383"/>
        <v>0.314</v>
      </c>
      <c r="IS50" s="5">
        <f t="shared" si="229"/>
        <v>0.30135626235312452</v>
      </c>
      <c r="IT50" s="727">
        <f t="shared" si="230"/>
        <v>52.931203558268287</v>
      </c>
      <c r="IU50" s="9">
        <f t="shared" si="231"/>
        <v>-3.6492154492161943</v>
      </c>
      <c r="IV50" s="5">
        <f t="shared" si="232"/>
        <v>-0.49332526543609134</v>
      </c>
      <c r="IW50" s="5">
        <f t="shared" si="384"/>
        <v>0.26600000000000001</v>
      </c>
      <c r="IX50" s="5">
        <f t="shared" si="233"/>
        <v>0.24835576824016806</v>
      </c>
      <c r="IY50" s="762">
        <f t="shared" si="234"/>
        <v>47.60102698652468</v>
      </c>
    </row>
    <row r="51" spans="1:259" ht="15" customHeight="1" x14ac:dyDescent="0.25">
      <c r="A51" s="79"/>
      <c r="B51" s="707">
        <v>3.5341254505861213</v>
      </c>
      <c r="C51" s="708">
        <v>-2.1546101140377263</v>
      </c>
      <c r="D51" s="709">
        <v>-1.1030320672157312</v>
      </c>
      <c r="E51" s="710">
        <v>0.77241322333889839</v>
      </c>
      <c r="F51" s="708">
        <v>0.61762468762562162</v>
      </c>
      <c r="G51" s="711">
        <v>0.14804579577470781</v>
      </c>
      <c r="H51" s="710">
        <v>0.26600000000000001</v>
      </c>
      <c r="I51" s="708">
        <v>0.39400000000000002</v>
      </c>
      <c r="J51" s="570">
        <v>3.2290000000000001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1310</v>
      </c>
      <c r="L51" s="320"/>
      <c r="M51" s="168">
        <f t="shared" si="239"/>
        <v>3.2290000000000001</v>
      </c>
      <c r="N51" s="632">
        <f t="shared" si="240"/>
        <v>3.5341254505861213</v>
      </c>
      <c r="O51" s="629">
        <f t="shared" si="241"/>
        <v>-2.1546101140377263</v>
      </c>
      <c r="P51" s="633">
        <f t="shared" si="242"/>
        <v>-1.1030320672157312</v>
      </c>
      <c r="Q51" s="585">
        <f t="shared" si="113"/>
        <v>328.63106554593696</v>
      </c>
      <c r="R51" s="629">
        <f t="shared" si="79"/>
        <v>4.1391288266970161</v>
      </c>
      <c r="S51" s="634">
        <f t="shared" si="80"/>
        <v>-1.1030320672157312</v>
      </c>
      <c r="T51" s="635">
        <f t="shared" si="81"/>
        <v>-2.1546101140377272</v>
      </c>
      <c r="U51" s="629">
        <f t="shared" si="82"/>
        <v>-3.5341254505861208</v>
      </c>
      <c r="V51" s="636">
        <f t="shared" si="114"/>
        <v>-1.1030320672157312</v>
      </c>
      <c r="W51" s="585">
        <f t="shared" si="224"/>
        <v>238.63106554593696</v>
      </c>
      <c r="X51" s="629">
        <f t="shared" si="83"/>
        <v>4.1391288266970161</v>
      </c>
      <c r="Y51" s="630">
        <f t="shared" si="223"/>
        <v>-1.1030320672157312</v>
      </c>
      <c r="Z51" s="632">
        <f t="shared" si="243"/>
        <v>-0.77241322333889839</v>
      </c>
      <c r="AA51" s="629">
        <f t="shared" si="244"/>
        <v>-0.61762468762562162</v>
      </c>
      <c r="AB51" s="629">
        <f t="shared" si="245"/>
        <v>-0.14804579577470781</v>
      </c>
      <c r="AC51" s="636">
        <f t="shared" si="84"/>
        <v>1</v>
      </c>
      <c r="AD51" s="637">
        <f t="shared" si="115"/>
        <v>-0.77241322333889839</v>
      </c>
      <c r="AE51" s="629">
        <f t="shared" si="85"/>
        <v>-0.61762468762562162</v>
      </c>
      <c r="AF51" s="633">
        <f t="shared" si="86"/>
        <v>-0.14804579577470781</v>
      </c>
      <c r="AG51" s="602">
        <f t="shared" si="87"/>
        <v>-76.520418808648827</v>
      </c>
      <c r="AH51" s="603">
        <f t="shared" si="88"/>
        <v>140.5710915467034</v>
      </c>
      <c r="AI51" s="585">
        <f t="shared" si="89"/>
        <v>-81.486305493127034</v>
      </c>
      <c r="AJ51" s="586">
        <f t="shared" si="90"/>
        <v>-51.354029950432562</v>
      </c>
      <c r="AK51" s="635">
        <f t="shared" si="211"/>
        <v>0.92942564286899998</v>
      </c>
      <c r="AL51" s="629">
        <f t="shared" si="91"/>
        <v>-0.3380094920723079</v>
      </c>
      <c r="AM51" s="634">
        <f t="shared" si="92"/>
        <v>-0.14804579577470781</v>
      </c>
      <c r="AN51" s="581">
        <f t="shared" si="93"/>
        <v>-66.346917142874403</v>
      </c>
      <c r="AO51" s="582">
        <f t="shared" si="94"/>
        <v>21.654540484299055</v>
      </c>
      <c r="AP51" s="585">
        <f t="shared" si="95"/>
        <v>-19.985095496369503</v>
      </c>
      <c r="AQ51" s="586">
        <f t="shared" si="246"/>
        <v>0.55075754121085874</v>
      </c>
      <c r="AS51" s="52">
        <f t="shared" si="406"/>
        <v>-121.36893445406304</v>
      </c>
      <c r="AT51" s="72">
        <f t="shared" si="247"/>
        <v>-1.0187480849559651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3.2290000000000001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3.129</v>
      </c>
      <c r="II51" s="734" cm="1">
        <f t="array" ref="II51">IFERROR(IF($IH51&lt;1,$IH51+LARGE((IF($M$9:$M$150="",0,$M$9:$M$150)-MOD(IF($M$9:$M$150="",0,$M$9:$M$150),1)),1),$IH51),"")</f>
        <v>3.129</v>
      </c>
      <c r="IJ51" s="533">
        <f t="shared" si="112"/>
        <v>1613</v>
      </c>
      <c r="IK51" s="533">
        <f t="shared" si="382"/>
        <v>1310</v>
      </c>
      <c r="IL51" s="727">
        <f t="shared" si="225"/>
        <v>13.246598087427856</v>
      </c>
      <c r="IM51" s="759">
        <v>7.5483705509064702E-3</v>
      </c>
      <c r="IN51" s="5">
        <f t="shared" si="226"/>
        <v>0.24</v>
      </c>
      <c r="IO51" s="771">
        <v>120</v>
      </c>
      <c r="IP51" s="9">
        <f t="shared" si="227"/>
        <v>-4.1029123743837213</v>
      </c>
      <c r="IQ51" s="5">
        <f t="shared" si="228"/>
        <v>-1.1311034114078888</v>
      </c>
      <c r="IR51" s="5">
        <f t="shared" si="383"/>
        <v>0.314</v>
      </c>
      <c r="IS51" s="5">
        <f t="shared" si="229"/>
        <v>0.29998687689594189</v>
      </c>
      <c r="IT51" s="727">
        <f t="shared" si="230"/>
        <v>72.736616837519975</v>
      </c>
      <c r="IU51" s="9">
        <f t="shared" si="231"/>
        <v>-4.1391288266970161</v>
      </c>
      <c r="IV51" s="5">
        <f t="shared" si="232"/>
        <v>-1.1030320672157312</v>
      </c>
      <c r="IW51" s="5">
        <f t="shared" si="384"/>
        <v>0.26600000000000001</v>
      </c>
      <c r="IX51" s="5">
        <f t="shared" si="233"/>
        <v>0.247227221003154</v>
      </c>
      <c r="IY51" s="762">
        <f t="shared" si="234"/>
        <v>66.346917142874403</v>
      </c>
    </row>
    <row r="52" spans="1:259" ht="15" customHeight="1" x14ac:dyDescent="0.25">
      <c r="A52" s="79"/>
      <c r="B52" s="707">
        <v>3.8217625031939222</v>
      </c>
      <c r="C52" s="708">
        <v>-2.2899632224874229</v>
      </c>
      <c r="D52" s="709">
        <v>-1.806557986207697</v>
      </c>
      <c r="E52" s="710">
        <v>0.80069443947430308</v>
      </c>
      <c r="F52" s="708">
        <v>0.59280396997179607</v>
      </c>
      <c r="G52" s="711">
        <v>8.6439966338550583E-2</v>
      </c>
      <c r="H52" s="710">
        <v>0.26600000000000001</v>
      </c>
      <c r="I52" s="708">
        <v>0.39400000000000002</v>
      </c>
      <c r="J52" s="570">
        <v>3.2360000000000002</v>
      </c>
      <c r="K52" s="865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1310</v>
      </c>
      <c r="L52" s="320"/>
      <c r="M52" s="168">
        <f t="shared" si="239"/>
        <v>3.2360000000000002</v>
      </c>
      <c r="N52" s="632">
        <f t="shared" si="240"/>
        <v>3.8217625031939222</v>
      </c>
      <c r="O52" s="629">
        <f t="shared" si="241"/>
        <v>-2.2899632224874229</v>
      </c>
      <c r="P52" s="633">
        <f t="shared" si="242"/>
        <v>-1.806557986207697</v>
      </c>
      <c r="Q52" s="585">
        <f t="shared" si="113"/>
        <v>329.07036548250989</v>
      </c>
      <c r="R52" s="629">
        <f t="shared" si="79"/>
        <v>4.4553114583790947</v>
      </c>
      <c r="S52" s="634">
        <f t="shared" si="80"/>
        <v>-1.806557986207697</v>
      </c>
      <c r="T52" s="635">
        <f t="shared" si="81"/>
        <v>-2.2899632224874238</v>
      </c>
      <c r="U52" s="629">
        <f t="shared" si="82"/>
        <v>-3.8217625031939217</v>
      </c>
      <c r="V52" s="636">
        <f t="shared" si="114"/>
        <v>-1.806557986207697</v>
      </c>
      <c r="W52" s="585">
        <f t="shared" si="224"/>
        <v>239.07036548250989</v>
      </c>
      <c r="X52" s="629">
        <f t="shared" si="83"/>
        <v>4.4553114583790947</v>
      </c>
      <c r="Y52" s="630">
        <f t="shared" si="223"/>
        <v>-1.806557986207697</v>
      </c>
      <c r="Z52" s="632">
        <f t="shared" si="243"/>
        <v>-0.80069443947430308</v>
      </c>
      <c r="AA52" s="629">
        <f t="shared" si="244"/>
        <v>-0.59280396997179607</v>
      </c>
      <c r="AB52" s="629">
        <f t="shared" si="245"/>
        <v>-8.6439966338550583E-2</v>
      </c>
      <c r="AC52" s="636">
        <f t="shared" si="84"/>
        <v>1</v>
      </c>
      <c r="AD52" s="637">
        <f t="shared" si="115"/>
        <v>-0.80069443947430308</v>
      </c>
      <c r="AE52" s="629">
        <f t="shared" si="85"/>
        <v>-0.59280396997179607</v>
      </c>
      <c r="AF52" s="633">
        <f t="shared" si="86"/>
        <v>-8.6439966338550583E-2</v>
      </c>
      <c r="AG52" s="602">
        <f t="shared" si="87"/>
        <v>-81.70385940453734</v>
      </c>
      <c r="AH52" s="603">
        <f t="shared" si="88"/>
        <v>143.19646770104524</v>
      </c>
      <c r="AI52" s="585">
        <f t="shared" si="89"/>
        <v>-85.04116633224271</v>
      </c>
      <c r="AJ52" s="586">
        <f t="shared" si="90"/>
        <v>-53.4851483236924</v>
      </c>
      <c r="AK52" s="635">
        <f t="shared" si="211"/>
        <v>0.92005168242948365</v>
      </c>
      <c r="AL52" s="629">
        <f t="shared" si="91"/>
        <v>-0.38214268785110511</v>
      </c>
      <c r="AM52" s="634">
        <f t="shared" si="92"/>
        <v>-8.6439966338550583E-2</v>
      </c>
      <c r="AN52" s="581">
        <f t="shared" si="93"/>
        <v>-77.254292634202031</v>
      </c>
      <c r="AO52" s="582">
        <f t="shared" si="94"/>
        <v>23.066361278624939</v>
      </c>
      <c r="AP52" s="585">
        <f t="shared" si="95"/>
        <v>-22.555513806202253</v>
      </c>
      <c r="AQ52" s="586">
        <f t="shared" si="246"/>
        <v>0.51167377381991674</v>
      </c>
      <c r="AS52" s="52">
        <f t="shared" si="406"/>
        <v>-120.92963451749011</v>
      </c>
      <c r="AT52" s="72">
        <f t="shared" si="247"/>
        <v>-1.7225790733483288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3.2360000000000002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3.1360000000000001</v>
      </c>
      <c r="II52" s="734" cm="1">
        <f t="array" ref="II52">IFERROR(IF($IH52&lt;1,$IH52+LARGE((IF($M$9:$M$150="",0,$M$9:$M$150)-MOD(IF($M$9:$M$150="",0,$M$9:$M$150),1)),1),$IH52),"")</f>
        <v>3.1360000000000001</v>
      </c>
      <c r="IJ52" s="533">
        <f t="shared" si="112"/>
        <v>1613</v>
      </c>
      <c r="IK52" s="533">
        <f t="shared" si="382"/>
        <v>1310</v>
      </c>
      <c r="IL52" s="727">
        <f t="shared" si="225"/>
        <v>12.312598222280769</v>
      </c>
      <c r="IM52" s="759">
        <v>5.7246935264959001E-3</v>
      </c>
      <c r="IN52" s="5">
        <f t="shared" si="226"/>
        <v>0.22</v>
      </c>
      <c r="IO52" s="771">
        <v>110</v>
      </c>
      <c r="IP52" s="9">
        <f t="shared" si="227"/>
        <v>-4.4134133108545468</v>
      </c>
      <c r="IQ52" s="5">
        <f t="shared" si="228"/>
        <v>-1.8295055177886417</v>
      </c>
      <c r="IR52" s="5">
        <f t="shared" si="383"/>
        <v>0.314</v>
      </c>
      <c r="IS52" s="5">
        <f t="shared" si="229"/>
        <v>0.29746218754901887</v>
      </c>
      <c r="IT52" s="727">
        <f t="shared" si="230"/>
        <v>83.582289197529377</v>
      </c>
      <c r="IU52" s="9">
        <f t="shared" si="231"/>
        <v>-4.4553114583790947</v>
      </c>
      <c r="IV52" s="5">
        <f t="shared" si="232"/>
        <v>-1.806557986207697</v>
      </c>
      <c r="IW52" s="5">
        <f t="shared" si="384"/>
        <v>0.26600000000000001</v>
      </c>
      <c r="IX52" s="5">
        <f t="shared" si="233"/>
        <v>0.24473374752624269</v>
      </c>
      <c r="IY52" s="762">
        <f t="shared" si="234"/>
        <v>77.254292634202031</v>
      </c>
    </row>
    <row r="53" spans="1:259" ht="15" customHeight="1" x14ac:dyDescent="0.25">
      <c r="A53" s="79"/>
      <c r="B53" s="707">
        <v>3.9867208563795002</v>
      </c>
      <c r="C53" s="708">
        <v>-2.3714572561495051</v>
      </c>
      <c r="D53" s="709">
        <v>-2.5652764071423788</v>
      </c>
      <c r="E53" s="710">
        <v>0.83400944357229401</v>
      </c>
      <c r="F53" s="708">
        <v>0.54900976235777321</v>
      </c>
      <c r="G53" s="711">
        <v>5.4922935719914467E-2</v>
      </c>
      <c r="H53" s="710">
        <v>0.26600000000000001</v>
      </c>
      <c r="I53" s="708">
        <v>0.39400000000000002</v>
      </c>
      <c r="J53" s="570">
        <v>3.2429999999999999</v>
      </c>
      <c r="K53" s="865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1310</v>
      </c>
      <c r="L53" s="320"/>
      <c r="M53" s="168">
        <f t="shared" si="239"/>
        <v>3.2429999999999999</v>
      </c>
      <c r="N53" s="632">
        <f t="shared" si="240"/>
        <v>3.9867208563795002</v>
      </c>
      <c r="O53" s="629">
        <f t="shared" si="241"/>
        <v>-2.3714572561495051</v>
      </c>
      <c r="P53" s="633">
        <f t="shared" si="242"/>
        <v>-2.5652764071423788</v>
      </c>
      <c r="Q53" s="585">
        <f t="shared" si="113"/>
        <v>329.25416545597244</v>
      </c>
      <c r="R53" s="629">
        <f t="shared" ref="R53:R58" si="410">IF(M53="","",SQRT(N53^2+O53^2))</f>
        <v>4.6387231760944125</v>
      </c>
      <c r="S53" s="634">
        <f t="shared" ref="S53:S58" si="411">IF(M53="","",P53)</f>
        <v>-2.5652764071423788</v>
      </c>
      <c r="T53" s="635">
        <f t="shared" ref="T53:T58" si="412">IF(M53="","",X53*COS(RADIANS(W53)))</f>
        <v>-2.371457256149506</v>
      </c>
      <c r="U53" s="629">
        <f t="shared" ref="U53:U58" si="413">IF(M53="","",X53*SIN(RADIANS(W53)))</f>
        <v>-3.9867208563794994</v>
      </c>
      <c r="V53" s="636">
        <f t="shared" ref="V53:V58" si="414">IF(M53="","",Y53)</f>
        <v>-2.5652764071423788</v>
      </c>
      <c r="W53" s="585">
        <f t="shared" si="224"/>
        <v>239.25416545597244</v>
      </c>
      <c r="X53" s="629">
        <f t="shared" ref="X53:X58" si="415">IF(M53="","",R53)</f>
        <v>4.6387231760944125</v>
      </c>
      <c r="Y53" s="630">
        <f t="shared" si="223"/>
        <v>-2.5652764071423788</v>
      </c>
      <c r="Z53" s="632">
        <f t="shared" si="243"/>
        <v>-0.83400944357229401</v>
      </c>
      <c r="AA53" s="629">
        <f t="shared" si="244"/>
        <v>-0.54900976235777321</v>
      </c>
      <c r="AB53" s="629">
        <f t="shared" si="245"/>
        <v>-5.4922935719914467E-2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-0.83400944357229401</v>
      </c>
      <c r="AE53" s="629">
        <f t="shared" ref="AE53:AE58" si="418">IF(M53="","",AA53*(1/SQRT(Z53^2+AA53^2+AB53^2)))</f>
        <v>-0.54900976235777321</v>
      </c>
      <c r="AF53" s="633">
        <f t="shared" ref="AF53:AF58" si="419">IF(M53="","",AB53*(1/SQRT(Z53^2+AA53^2+AB53^2)))</f>
        <v>-5.4922935719914467E-2</v>
      </c>
      <c r="AG53" s="602">
        <f t="shared" ref="AG53:AG58" si="420">IF(M53="","",DEGREES(ATAN2(-AF53,AE53)))</f>
        <v>-84.287137825357519</v>
      </c>
      <c r="AH53" s="603">
        <f t="shared" ref="AH53:AH58" si="421">IF(M53="","",DEGREES(ACOS(AD53)))</f>
        <v>146.51283514164146</v>
      </c>
      <c r="AI53" s="585">
        <f t="shared" ref="AI53:AI58" si="422">IF(M53="","",DEGREES(-ACOS(-AF53)))</f>
        <v>-86.851563338128059</v>
      </c>
      <c r="AJ53" s="586">
        <f t="shared" ref="AJ53:AJ58" si="423">IF(M53="","",DEGREES(ATAN2(-AE53,AD53)))</f>
        <v>-56.643984108724588</v>
      </c>
      <c r="AK53" s="635">
        <f t="shared" ref="AK53:AK58" si="424">IF(M53="","",(COS(RADIANS((90-$Q$8)-W53))*AD53)+(-SIN(RADIANS((90-$Q$8)-W53))*AE53))</f>
        <v>0.89821406849125007</v>
      </c>
      <c r="AL53" s="629">
        <f t="shared" ref="AL53:AL58" si="425">IF(M53="","",(SIN(RADIANS((90-$Q$8)-W53))*AD53)+(COS(RADIANS((90-$Q$8)-W53))*AE53))</f>
        <v>-0.43611346951946112</v>
      </c>
      <c r="AM53" s="634">
        <f t="shared" ref="AM53:AM58" si="426">IF(M53="","",AF53)</f>
        <v>-5.4922935719914467E-2</v>
      </c>
      <c r="AN53" s="581">
        <f t="shared" ref="AN53:AN58" si="427">IF(M53="","",DEGREES(ATAN2(-AM53,AL53)))</f>
        <v>-82.822114851034556</v>
      </c>
      <c r="AO53" s="582">
        <f t="shared" si="94"/>
        <v>26.075701473293016</v>
      </c>
      <c r="AP53" s="585">
        <f t="shared" ref="AP53:AP58" si="428">IF(M53="","",DEGREES(ATAN2(AK53,AL53)))</f>
        <v>-25.898149564697022</v>
      </c>
      <c r="AQ53" s="586">
        <f t="shared" si="246"/>
        <v>0.49144358015621964</v>
      </c>
      <c r="AS53" s="52">
        <f t="shared" si="406"/>
        <v>-120.74583454402756</v>
      </c>
      <c r="AT53" s="72">
        <f t="shared" si="247"/>
        <v>-2.4814251331534707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3.2429999999999999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3.1429999999999998</v>
      </c>
      <c r="II53" s="734" cm="1">
        <f t="array" ref="II53">IFERROR(IF($IH53&lt;1,$IH53+LARGE((IF($M$9:$M$150="",0,$M$9:$M$150)-MOD(IF($M$9:$M$150="",0,$M$9:$M$150),1)),1),$IH53),"")</f>
        <v>3.1429999999999998</v>
      </c>
      <c r="IJ53" s="533">
        <f t="shared" si="112"/>
        <v>1613</v>
      </c>
      <c r="IK53" s="533">
        <f t="shared" si="382"/>
        <v>1310</v>
      </c>
      <c r="IL53" s="727">
        <f t="shared" si="225"/>
        <v>11.833198291497581</v>
      </c>
      <c r="IM53" s="759">
        <v>4.4038505708726104E-3</v>
      </c>
      <c r="IN53" s="5">
        <f t="shared" si="226"/>
        <v>0.2</v>
      </c>
      <c r="IO53" s="771">
        <v>100</v>
      </c>
      <c r="IP53" s="9">
        <f t="shared" si="227"/>
        <v>-4.5929138522281781</v>
      </c>
      <c r="IQ53" s="5">
        <f t="shared" si="228"/>
        <v>-2.5837077924627021</v>
      </c>
      <c r="IR53" s="5">
        <f t="shared" si="383"/>
        <v>0.314</v>
      </c>
      <c r="IS53" s="5">
        <f t="shared" si="229"/>
        <v>0.29191028665779484</v>
      </c>
      <c r="IT53" s="727">
        <f t="shared" si="230"/>
        <v>87.979999697102386</v>
      </c>
      <c r="IU53" s="9">
        <f t="shared" si="231"/>
        <v>-4.6387231760944125</v>
      </c>
      <c r="IV53" s="5">
        <f t="shared" si="232"/>
        <v>-2.5652764071423788</v>
      </c>
      <c r="IW53" s="5">
        <f t="shared" si="384"/>
        <v>0.26600000000000001</v>
      </c>
      <c r="IX53" s="5">
        <f t="shared" si="233"/>
        <v>0.23892494221867253</v>
      </c>
      <c r="IY53" s="762">
        <f t="shared" si="234"/>
        <v>82.822114851034556</v>
      </c>
    </row>
    <row r="54" spans="1:259" ht="15" customHeight="1" x14ac:dyDescent="0.25">
      <c r="A54" s="79"/>
      <c r="B54" s="707">
        <v>4.0132611541485126</v>
      </c>
      <c r="C54" s="708">
        <v>-2.381586690555066</v>
      </c>
      <c r="D54" s="709">
        <v>-3.3264100324526584</v>
      </c>
      <c r="E54" s="710">
        <v>0.86155377196879901</v>
      </c>
      <c r="F54" s="708">
        <v>0.50718384705538921</v>
      </c>
      <c r="G54" s="711">
        <v>2.2127884951576388E-2</v>
      </c>
      <c r="H54" s="710">
        <v>0.26600000000000001</v>
      </c>
      <c r="I54" s="708">
        <v>0.52</v>
      </c>
      <c r="J54" s="570">
        <v>3.25</v>
      </c>
      <c r="K54" s="865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1313</v>
      </c>
      <c r="L54" s="320"/>
      <c r="M54" s="168">
        <f t="shared" si="239"/>
        <v>3.25</v>
      </c>
      <c r="N54" s="632">
        <f t="shared" si="240"/>
        <v>4.0132611541485126</v>
      </c>
      <c r="O54" s="629">
        <f t="shared" si="241"/>
        <v>-2.381586690555066</v>
      </c>
      <c r="P54" s="633">
        <f t="shared" si="242"/>
        <v>-3.3264100324526584</v>
      </c>
      <c r="Q54" s="585">
        <f t="shared" si="113"/>
        <v>329.31386544735284</v>
      </c>
      <c r="R54" s="629">
        <f t="shared" si="410"/>
        <v>4.6667140748096498</v>
      </c>
      <c r="S54" s="634">
        <f t="shared" si="411"/>
        <v>-3.3264100324526584</v>
      </c>
      <c r="T54" s="635">
        <f t="shared" si="412"/>
        <v>-2.3815866905550642</v>
      </c>
      <c r="U54" s="629">
        <f t="shared" si="413"/>
        <v>-4.0132611541485144</v>
      </c>
      <c r="V54" s="636">
        <f t="shared" si="414"/>
        <v>-3.3264100324526584</v>
      </c>
      <c r="W54" s="585">
        <f t="shared" si="224"/>
        <v>239.31386544735284</v>
      </c>
      <c r="X54" s="629">
        <f t="shared" si="415"/>
        <v>4.6667140748096498</v>
      </c>
      <c r="Y54" s="630">
        <f t="shared" si="223"/>
        <v>-3.3264100324526584</v>
      </c>
      <c r="Z54" s="632">
        <f t="shared" si="243"/>
        <v>-0.86155377196879901</v>
      </c>
      <c r="AA54" s="629">
        <f t="shared" si="244"/>
        <v>-0.50718384705538921</v>
      </c>
      <c r="AB54" s="629">
        <f t="shared" si="245"/>
        <v>-2.2127884951576388E-2</v>
      </c>
      <c r="AC54" s="636">
        <f t="shared" si="416"/>
        <v>1</v>
      </c>
      <c r="AD54" s="637">
        <f t="shared" si="417"/>
        <v>-0.86155377196879901</v>
      </c>
      <c r="AE54" s="629">
        <f t="shared" si="418"/>
        <v>-0.50718384705538921</v>
      </c>
      <c r="AF54" s="633">
        <f t="shared" si="419"/>
        <v>-2.2127884951576388E-2</v>
      </c>
      <c r="AG54" s="602">
        <f t="shared" si="420"/>
        <v>-87.50183112414858</v>
      </c>
      <c r="AH54" s="603">
        <f t="shared" si="421"/>
        <v>149.49149050166432</v>
      </c>
      <c r="AI54" s="585">
        <f t="shared" si="422"/>
        <v>-88.732062095483286</v>
      </c>
      <c r="AJ54" s="586">
        <f t="shared" si="423"/>
        <v>-59.515313107412858</v>
      </c>
      <c r="AK54" s="635">
        <f t="shared" si="424"/>
        <v>0.87584672263944452</v>
      </c>
      <c r="AL54" s="629">
        <f t="shared" si="425"/>
        <v>-0.48208181375085485</v>
      </c>
      <c r="AM54" s="634">
        <f t="shared" si="426"/>
        <v>-2.2127884951576388E-2</v>
      </c>
      <c r="AN54" s="581">
        <f t="shared" si="427"/>
        <v>-87.371929169698646</v>
      </c>
      <c r="AO54" s="582">
        <f t="shared" si="94"/>
        <v>28.854656101209297</v>
      </c>
      <c r="AP54" s="585">
        <f t="shared" si="428"/>
        <v>-28.829178554765718</v>
      </c>
      <c r="AQ54" s="586">
        <f t="shared" si="246"/>
        <v>0.48849605034445553</v>
      </c>
      <c r="AS54" s="52">
        <f t="shared" si="406"/>
        <v>-120.68613455264716</v>
      </c>
      <c r="AT54" s="72">
        <f t="shared" si="247"/>
        <v>-3.2426002167910979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3.25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3.15</v>
      </c>
      <c r="II54" s="734" cm="1">
        <f t="array" ref="II54">IFERROR(IF($IH54&lt;1,$IH54+LARGE((IF($M$9:$M$150="",0,$M$9:$M$150)-MOD(IF($M$9:$M$150="",0,$M$9:$M$150),1)),1),$IH54),"")</f>
        <v>3.15</v>
      </c>
      <c r="IJ54" s="533">
        <f t="shared" si="112"/>
        <v>1613</v>
      </c>
      <c r="IK54" s="533">
        <f t="shared" si="382"/>
        <v>1313</v>
      </c>
      <c r="IL54" s="727">
        <f t="shared" si="225"/>
        <v>11.744397879589826</v>
      </c>
      <c r="IM54" s="759">
        <v>1.3692010607847799E-4</v>
      </c>
      <c r="IN54" s="5">
        <f t="shared" si="226"/>
        <v>0</v>
      </c>
      <c r="IO54" s="771">
        <v>0</v>
      </c>
      <c r="IP54" s="9">
        <f t="shared" si="227"/>
        <v>-4.6226999999999991</v>
      </c>
      <c r="IQ54" s="5">
        <f t="shared" si="228"/>
        <v>-3.3263999999999991</v>
      </c>
      <c r="IR54" s="5">
        <f t="shared" si="383"/>
        <v>0.314</v>
      </c>
      <c r="IS54" s="5">
        <f t="shared" si="229"/>
        <v>0.27501586000405931</v>
      </c>
      <c r="IT54" s="727">
        <f t="shared" si="230"/>
        <v>87.371929455797087</v>
      </c>
      <c r="IU54" s="9">
        <f t="shared" si="231"/>
        <v>-4.6667140748096498</v>
      </c>
      <c r="IV54" s="5">
        <f t="shared" si="232"/>
        <v>-3.3264100324526584</v>
      </c>
      <c r="IW54" s="5">
        <f t="shared" si="384"/>
        <v>0.26600000000000001</v>
      </c>
      <c r="IX54" s="5">
        <f t="shared" si="233"/>
        <v>0.23297522822209227</v>
      </c>
      <c r="IY54" s="762">
        <f t="shared" si="234"/>
        <v>87.371929169698646</v>
      </c>
    </row>
    <row r="55" spans="1:259" ht="15" customHeight="1" x14ac:dyDescent="0.25">
      <c r="A55" s="79"/>
      <c r="B55" s="707">
        <v>0.75788042955847446</v>
      </c>
      <c r="C55" s="708">
        <v>-2.7214500535266208</v>
      </c>
      <c r="D55" s="709">
        <v>-0.1252003776043388</v>
      </c>
      <c r="E55" s="710">
        <v>0.95177337539615925</v>
      </c>
      <c r="F55" s="708">
        <v>0.1772107982109834</v>
      </c>
      <c r="G55" s="711">
        <v>0.25044714988282085</v>
      </c>
      <c r="H55" s="710">
        <v>0.314</v>
      </c>
      <c r="I55" s="708">
        <v>0.52</v>
      </c>
      <c r="J55" s="570">
        <v>4.1139999999999999</v>
      </c>
      <c r="K55" s="865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>1613</v>
      </c>
      <c r="L55" s="320"/>
      <c r="M55" s="168">
        <f t="shared" si="239"/>
        <v>4.1139999999999999</v>
      </c>
      <c r="N55" s="632">
        <f t="shared" si="240"/>
        <v>0.75788042955847446</v>
      </c>
      <c r="O55" s="629">
        <f t="shared" si="241"/>
        <v>-2.7214500535266208</v>
      </c>
      <c r="P55" s="633">
        <f t="shared" si="242"/>
        <v>-0.1252003776043388</v>
      </c>
      <c r="Q55" s="585">
        <f t="shared" si="113"/>
        <v>285.56167176438805</v>
      </c>
      <c r="R55" s="629">
        <f t="shared" si="410"/>
        <v>2.8250085202256972</v>
      </c>
      <c r="S55" s="634">
        <f t="shared" si="411"/>
        <v>-0.1252003776043388</v>
      </c>
      <c r="T55" s="635">
        <f t="shared" si="412"/>
        <v>-2.7214500535266204</v>
      </c>
      <c r="U55" s="629">
        <f t="shared" si="413"/>
        <v>-0.75788042955847412</v>
      </c>
      <c r="V55" s="636">
        <f t="shared" si="414"/>
        <v>-0.1252003776043388</v>
      </c>
      <c r="W55" s="585">
        <f t="shared" si="224"/>
        <v>195.56167176438805</v>
      </c>
      <c r="X55" s="629">
        <f t="shared" si="415"/>
        <v>2.8250085202256972</v>
      </c>
      <c r="Y55" s="630">
        <f t="shared" si="223"/>
        <v>-0.1252003776043388</v>
      </c>
      <c r="Z55" s="632">
        <f t="shared" si="243"/>
        <v>-0.95177337539615925</v>
      </c>
      <c r="AA55" s="629">
        <f t="shared" si="244"/>
        <v>-0.1772107982109834</v>
      </c>
      <c r="AB55" s="629">
        <f t="shared" si="245"/>
        <v>-0.25044714988282085</v>
      </c>
      <c r="AC55" s="636">
        <f t="shared" si="416"/>
        <v>1</v>
      </c>
      <c r="AD55" s="637">
        <f t="shared" si="417"/>
        <v>-0.95177337539615925</v>
      </c>
      <c r="AE55" s="629">
        <f t="shared" si="418"/>
        <v>-0.1772107982109834</v>
      </c>
      <c r="AF55" s="633">
        <f t="shared" si="419"/>
        <v>-0.25044714988282085</v>
      </c>
      <c r="AG55" s="602">
        <f t="shared" si="420"/>
        <v>-35.282370403208695</v>
      </c>
      <c r="AH55" s="603">
        <f t="shared" si="421"/>
        <v>162.13339304428075</v>
      </c>
      <c r="AI55" s="585">
        <f t="shared" si="422"/>
        <v>-75.496026218601855</v>
      </c>
      <c r="AJ55" s="586">
        <f t="shared" si="423"/>
        <v>-79.452863643180379</v>
      </c>
      <c r="AK55" s="635">
        <f t="shared" si="424"/>
        <v>0.96442480784799978</v>
      </c>
      <c r="AL55" s="629">
        <f t="shared" si="425"/>
        <v>-8.4622781347110737E-2</v>
      </c>
      <c r="AM55" s="634">
        <f t="shared" si="426"/>
        <v>-0.25044714988282085</v>
      </c>
      <c r="AN55" s="581">
        <f t="shared" si="427"/>
        <v>-18.66943121410965</v>
      </c>
      <c r="AO55" s="582">
        <f>IF(ROUND(IF(M55="",0,DEGREES(ACOS(AK55))),4)=90,0,IF(M55="","",DEGREES(ACOS(AK55))))</f>
        <v>15.328767858131792</v>
      </c>
      <c r="AP55" s="585">
        <f t="shared" si="428"/>
        <v>-5.0145354075684301</v>
      </c>
      <c r="AQ55" s="586">
        <f t="shared" si="246"/>
        <v>0.80692709023501696</v>
      </c>
      <c r="AS55" s="52">
        <f t="shared" si="406"/>
        <v>-164.43832823561195</v>
      </c>
      <c r="AT55" s="72">
        <f t="shared" si="247"/>
        <v>-1.1007094107386053E-2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4.1139999999999999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0.89821917252989381</v>
      </c>
      <c r="C56" s="708">
        <v>-3.421576252595242</v>
      </c>
      <c r="D56" s="709">
        <v>-0.45520137288734036</v>
      </c>
      <c r="E56" s="710">
        <v>0.98252434176876902</v>
      </c>
      <c r="F56" s="708">
        <v>3.9645106990545048E-2</v>
      </c>
      <c r="G56" s="711">
        <v>0.181863089502943</v>
      </c>
      <c r="H56" s="710">
        <v>0.314</v>
      </c>
      <c r="I56" s="708">
        <v>0.52</v>
      </c>
      <c r="J56" s="570">
        <v>4.1210000000000004</v>
      </c>
      <c r="K56" s="865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>1613</v>
      </c>
      <c r="L56" s="320"/>
      <c r="M56" s="168">
        <f t="shared" si="239"/>
        <v>4.1210000000000004</v>
      </c>
      <c r="N56" s="632">
        <f t="shared" si="240"/>
        <v>0.89821917252989381</v>
      </c>
      <c r="O56" s="629">
        <f t="shared" si="241"/>
        <v>-3.421576252595242</v>
      </c>
      <c r="P56" s="633">
        <f t="shared" si="242"/>
        <v>-0.45520137288734036</v>
      </c>
      <c r="Q56" s="585">
        <f t="shared" si="113"/>
        <v>284.70917188747381</v>
      </c>
      <c r="R56" s="629">
        <f t="shared" si="410"/>
        <v>3.5375106691321774</v>
      </c>
      <c r="S56" s="634">
        <f t="shared" si="411"/>
        <v>-0.45520137288734036</v>
      </c>
      <c r="T56" s="635">
        <f t="shared" si="412"/>
        <v>-3.421576252595242</v>
      </c>
      <c r="U56" s="629">
        <f t="shared" si="413"/>
        <v>-0.89821917252989381</v>
      </c>
      <c r="V56" s="636">
        <f t="shared" si="414"/>
        <v>-0.45520137288734036</v>
      </c>
      <c r="W56" s="585">
        <f t="shared" si="224"/>
        <v>194.70917188747381</v>
      </c>
      <c r="X56" s="629">
        <f t="shared" si="415"/>
        <v>3.5375106691321774</v>
      </c>
      <c r="Y56" s="630">
        <f t="shared" si="223"/>
        <v>-0.45520137288734036</v>
      </c>
      <c r="Z56" s="632">
        <f t="shared" si="243"/>
        <v>-0.98252434176876902</v>
      </c>
      <c r="AA56" s="629">
        <f t="shared" si="244"/>
        <v>-3.9645106990545048E-2</v>
      </c>
      <c r="AB56" s="629">
        <f t="shared" si="245"/>
        <v>-0.181863089502943</v>
      </c>
      <c r="AC56" s="636">
        <f t="shared" si="416"/>
        <v>1</v>
      </c>
      <c r="AD56" s="637">
        <f t="shared" si="417"/>
        <v>-0.98252434176876902</v>
      </c>
      <c r="AE56" s="629">
        <f t="shared" si="418"/>
        <v>-3.9645106990545048E-2</v>
      </c>
      <c r="AF56" s="633">
        <f t="shared" si="419"/>
        <v>-0.181863089502943</v>
      </c>
      <c r="AG56" s="602">
        <f t="shared" si="420"/>
        <v>-12.297756648203373</v>
      </c>
      <c r="AH56" s="603">
        <f t="shared" si="421"/>
        <v>169.272737628333</v>
      </c>
      <c r="AI56" s="585">
        <f t="shared" si="422"/>
        <v>-79.521701658128649</v>
      </c>
      <c r="AJ56" s="586">
        <f t="shared" si="423"/>
        <v>-87.689354206191226</v>
      </c>
      <c r="AK56" s="635">
        <f t="shared" si="424"/>
        <v>0.96039058771860786</v>
      </c>
      <c r="AL56" s="629">
        <f t="shared" si="425"/>
        <v>-0.21112966560375035</v>
      </c>
      <c r="AM56" s="634">
        <f t="shared" si="426"/>
        <v>-0.181863089502943</v>
      </c>
      <c r="AN56" s="581">
        <f t="shared" si="427"/>
        <v>-49.259014044162797</v>
      </c>
      <c r="AO56" s="582">
        <f t="shared" ref="AO56:AO119" si="461">IF(ROUND(IF(M56="",0,DEGREES(ACOS(AK56))),4)=90,0,IF(M56="","",DEGREES(ACOS(AK56))))</f>
        <v>16.180087534029724</v>
      </c>
      <c r="AP56" s="585">
        <f t="shared" si="428"/>
        <v>-12.398526093665037</v>
      </c>
      <c r="AQ56" s="586">
        <f t="shared" si="246"/>
        <v>0.64441657323870116</v>
      </c>
      <c r="AS56" s="52">
        <f t="shared" si="406"/>
        <v>-165.29082811252619</v>
      </c>
      <c r="AT56" s="72">
        <f t="shared" si="247"/>
        <v>-0.34041607558697495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4.1210000000000004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0.97643894764509465</v>
      </c>
      <c r="C57" s="708">
        <v>-3.9262148892726434</v>
      </c>
      <c r="D57" s="709">
        <v>-1.0370031276014329</v>
      </c>
      <c r="E57" s="710">
        <v>0.99440029688085896</v>
      </c>
      <c r="F57" s="708">
        <v>-3.7511409666740721E-2</v>
      </c>
      <c r="G57" s="711">
        <v>9.8797488369257419E-2</v>
      </c>
      <c r="H57" s="710">
        <v>0.314</v>
      </c>
      <c r="I57" s="708">
        <v>0.52</v>
      </c>
      <c r="J57" s="570">
        <v>4.1280000000000001</v>
      </c>
      <c r="K57" s="865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>1613</v>
      </c>
      <c r="L57" s="320"/>
      <c r="M57" s="168">
        <f t="shared" si="239"/>
        <v>4.1280000000000001</v>
      </c>
      <c r="N57" s="632">
        <f t="shared" si="240"/>
        <v>0.97643894764509465</v>
      </c>
      <c r="O57" s="629">
        <f t="shared" si="241"/>
        <v>-3.9262148892726434</v>
      </c>
      <c r="P57" s="633">
        <f t="shared" si="242"/>
        <v>-1.0370031276014329</v>
      </c>
      <c r="Q57" s="585">
        <f t="shared" si="113"/>
        <v>283.96597199477861</v>
      </c>
      <c r="R57" s="629">
        <f t="shared" si="410"/>
        <v>4.0458122021696035</v>
      </c>
      <c r="S57" s="634">
        <f t="shared" si="411"/>
        <v>-1.0370031276014329</v>
      </c>
      <c r="T57" s="635">
        <f t="shared" si="412"/>
        <v>-3.9262148892726429</v>
      </c>
      <c r="U57" s="629">
        <f t="shared" si="413"/>
        <v>-0.97643894764509609</v>
      </c>
      <c r="V57" s="636">
        <f t="shared" si="414"/>
        <v>-1.0370031276014329</v>
      </c>
      <c r="W57" s="585">
        <f t="shared" si="224"/>
        <v>193.96597199477861</v>
      </c>
      <c r="X57" s="629">
        <f t="shared" si="415"/>
        <v>4.0458122021696035</v>
      </c>
      <c r="Y57" s="630">
        <f t="shared" si="223"/>
        <v>-1.0370031276014329</v>
      </c>
      <c r="Z57" s="632">
        <f t="shared" si="243"/>
        <v>-0.99440029688085896</v>
      </c>
      <c r="AA57" s="629">
        <f t="shared" si="244"/>
        <v>3.7511409666740721E-2</v>
      </c>
      <c r="AB57" s="629">
        <f t="shared" si="245"/>
        <v>-9.8797488369257419E-2</v>
      </c>
      <c r="AC57" s="636">
        <f t="shared" si="416"/>
        <v>1</v>
      </c>
      <c r="AD57" s="637">
        <f t="shared" si="417"/>
        <v>-0.99440029688085896</v>
      </c>
      <c r="AE57" s="629">
        <f t="shared" si="418"/>
        <v>3.7511409666740721E-2</v>
      </c>
      <c r="AF57" s="633">
        <f t="shared" si="419"/>
        <v>-9.8797488369257419E-2</v>
      </c>
      <c r="AG57" s="602">
        <f t="shared" si="420"/>
        <v>20.790757620087582</v>
      </c>
      <c r="AH57" s="603">
        <f t="shared" si="421"/>
        <v>173.93371234807441</v>
      </c>
      <c r="AI57" s="585">
        <f t="shared" si="422"/>
        <v>-84.330071275479838</v>
      </c>
      <c r="AJ57" s="586">
        <f t="shared" si="423"/>
        <v>-92.160324042994517</v>
      </c>
      <c r="AK57" s="635">
        <f t="shared" si="424"/>
        <v>0.95595184770490627</v>
      </c>
      <c r="AL57" s="629">
        <f t="shared" si="425"/>
        <v>-0.27639667357170189</v>
      </c>
      <c r="AM57" s="634">
        <f t="shared" si="426"/>
        <v>-9.8797488369257419E-2</v>
      </c>
      <c r="AN57" s="581">
        <f t="shared" si="427"/>
        <v>-70.330662576658327</v>
      </c>
      <c r="AO57" s="582">
        <f t="shared" si="461"/>
        <v>17.069023094822128</v>
      </c>
      <c r="AP57" s="585">
        <f t="shared" si="428"/>
        <v>-16.126296037773145</v>
      </c>
      <c r="AQ57" s="586">
        <f t="shared" si="246"/>
        <v>0.5634599494926168</v>
      </c>
      <c r="AS57" s="52">
        <f t="shared" si="406"/>
        <v>-166.03402800522139</v>
      </c>
      <c r="AT57" s="72">
        <f t="shared" si="247"/>
        <v>-0.92170171926447353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4.1280000000000001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1.0176108703920186</v>
      </c>
      <c r="C58" s="708">
        <v>-4.2581061202872013</v>
      </c>
      <c r="D58" s="709">
        <v>-1.7262052062349018</v>
      </c>
      <c r="E58" s="710">
        <v>0.99525381012611303</v>
      </c>
      <c r="F58" s="708">
        <v>-8.7109591838507749E-2</v>
      </c>
      <c r="G58" s="711">
        <v>4.3379401092957313E-2</v>
      </c>
      <c r="H58" s="710">
        <v>0.314</v>
      </c>
      <c r="I58" s="708">
        <v>0.52</v>
      </c>
      <c r="J58" s="570">
        <v>4.1349999999999998</v>
      </c>
      <c r="K58" s="865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>1613</v>
      </c>
      <c r="L58" s="320"/>
      <c r="M58" s="168">
        <f t="shared" si="239"/>
        <v>4.1349999999999998</v>
      </c>
      <c r="N58" s="632">
        <f t="shared" si="240"/>
        <v>1.0176108703920186</v>
      </c>
      <c r="O58" s="629">
        <f t="shared" si="241"/>
        <v>-4.2581061202872013</v>
      </c>
      <c r="P58" s="633">
        <f t="shared" si="242"/>
        <v>-1.7262052062349018</v>
      </c>
      <c r="Q58" s="585">
        <f t="shared" si="113"/>
        <v>283.44057207063696</v>
      </c>
      <c r="R58" s="629">
        <f t="shared" si="410"/>
        <v>4.3780132040878224</v>
      </c>
      <c r="S58" s="634">
        <f t="shared" si="411"/>
        <v>-1.7262052062349018</v>
      </c>
      <c r="T58" s="635">
        <f t="shared" si="412"/>
        <v>-4.2581061202872013</v>
      </c>
      <c r="U58" s="629">
        <f t="shared" si="413"/>
        <v>-1.0176108703920186</v>
      </c>
      <c r="V58" s="636">
        <f t="shared" si="414"/>
        <v>-1.7262052062349018</v>
      </c>
      <c r="W58" s="585">
        <f t="shared" si="224"/>
        <v>193.44057207063696</v>
      </c>
      <c r="X58" s="629">
        <f t="shared" si="415"/>
        <v>4.3780132040878224</v>
      </c>
      <c r="Y58" s="630">
        <f t="shared" si="223"/>
        <v>-1.7262052062349018</v>
      </c>
      <c r="Z58" s="632">
        <f t="shared" si="243"/>
        <v>-0.99525381012611303</v>
      </c>
      <c r="AA58" s="629">
        <f t="shared" si="244"/>
        <v>8.7109591838507749E-2</v>
      </c>
      <c r="AB58" s="629">
        <f t="shared" si="245"/>
        <v>-4.3379401092957313E-2</v>
      </c>
      <c r="AC58" s="636">
        <f t="shared" si="416"/>
        <v>1</v>
      </c>
      <c r="AD58" s="637">
        <f t="shared" si="417"/>
        <v>-0.99525381012611303</v>
      </c>
      <c r="AE58" s="629">
        <f t="shared" si="418"/>
        <v>8.7109591838507749E-2</v>
      </c>
      <c r="AF58" s="633">
        <f t="shared" si="419"/>
        <v>-4.3379401092957313E-2</v>
      </c>
      <c r="AG58" s="602">
        <f t="shared" si="420"/>
        <v>63.527314998926727</v>
      </c>
      <c r="AH58" s="603">
        <f t="shared" si="421"/>
        <v>174.41552817131068</v>
      </c>
      <c r="AI58" s="585">
        <f t="shared" si="422"/>
        <v>-87.513763228118748</v>
      </c>
      <c r="AJ58" s="586">
        <f t="shared" si="423"/>
        <v>-95.002066225904429</v>
      </c>
      <c r="AK58" s="635">
        <f t="shared" si="424"/>
        <v>0.94774786624504825</v>
      </c>
      <c r="AL58" s="629">
        <f t="shared" si="425"/>
        <v>-0.3160572884601377</v>
      </c>
      <c r="AM58" s="634">
        <f t="shared" si="426"/>
        <v>-4.3379401092957313E-2</v>
      </c>
      <c r="AN58" s="581">
        <f t="shared" si="427"/>
        <v>-82.184886350072446</v>
      </c>
      <c r="AO58" s="582">
        <f t="shared" si="461"/>
        <v>18.603689995411667</v>
      </c>
      <c r="AP58" s="585">
        <f t="shared" si="428"/>
        <v>-18.442638296541386</v>
      </c>
      <c r="AQ58" s="586">
        <f t="shared" si="246"/>
        <v>0.5207073990709411</v>
      </c>
      <c r="AS58" s="52">
        <f t="shared" si="406"/>
        <v>-166.55942792936304</v>
      </c>
      <c r="AT58" s="72">
        <f t="shared" si="247"/>
        <v>-1.6105389368395109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4.1349999999999998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1.0382170397337844</v>
      </c>
      <c r="C59" s="708">
        <v>-4.4551410589242373</v>
      </c>
      <c r="D59" s="709">
        <v>-2.4735074600984999</v>
      </c>
      <c r="E59" s="710">
        <v>0.99118531608889915</v>
      </c>
      <c r="F59" s="708">
        <v>-0.13215615377333154</v>
      </c>
      <c r="G59" s="711">
        <v>9.2962459944161014E-3</v>
      </c>
      <c r="H59" s="710">
        <v>0.314</v>
      </c>
      <c r="I59" s="708">
        <v>0.52</v>
      </c>
      <c r="J59" s="570">
        <v>4.1420000000000003</v>
      </c>
      <c r="K59" s="865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>1613</v>
      </c>
      <c r="L59" s="320"/>
      <c r="M59" s="168">
        <f t="shared" si="239"/>
        <v>4.1420000000000003</v>
      </c>
      <c r="N59" s="632">
        <f t="shared" si="240"/>
        <v>1.0382170397337844</v>
      </c>
      <c r="O59" s="629">
        <f t="shared" si="241"/>
        <v>-4.4551410589242373</v>
      </c>
      <c r="P59" s="633">
        <f t="shared" si="242"/>
        <v>-2.4735074600984999</v>
      </c>
      <c r="Q59" s="585">
        <f t="shared" si="113"/>
        <v>283.11797211721466</v>
      </c>
      <c r="R59" s="629">
        <f t="shared" si="79"/>
        <v>4.5745137967336111</v>
      </c>
      <c r="S59" s="634">
        <f t="shared" si="80"/>
        <v>-2.4735074600984999</v>
      </c>
      <c r="T59" s="635">
        <f t="shared" si="81"/>
        <v>-4.4551410589242373</v>
      </c>
      <c r="U59" s="629">
        <f t="shared" si="82"/>
        <v>-1.0382170397337855</v>
      </c>
      <c r="V59" s="636">
        <f t="shared" si="114"/>
        <v>-2.4735074600984999</v>
      </c>
      <c r="W59" s="585">
        <f t="shared" si="224"/>
        <v>193.11797211721466</v>
      </c>
      <c r="X59" s="629">
        <f t="shared" si="83"/>
        <v>4.5745137967336111</v>
      </c>
      <c r="Y59" s="630">
        <f t="shared" si="223"/>
        <v>-2.4735074600984999</v>
      </c>
      <c r="Z59" s="632">
        <f t="shared" si="243"/>
        <v>-0.99118531608889915</v>
      </c>
      <c r="AA59" s="629">
        <f t="shared" si="244"/>
        <v>0.13215615377333154</v>
      </c>
      <c r="AB59" s="629">
        <f t="shared" si="245"/>
        <v>-9.2962459944161014E-3</v>
      </c>
      <c r="AC59" s="636">
        <f t="shared" si="84"/>
        <v>1</v>
      </c>
      <c r="AD59" s="637">
        <f t="shared" si="115"/>
        <v>-0.99118531608889915</v>
      </c>
      <c r="AE59" s="629">
        <f t="shared" si="85"/>
        <v>0.13215615377333154</v>
      </c>
      <c r="AF59" s="633">
        <f t="shared" si="86"/>
        <v>-9.2962459944161014E-3</v>
      </c>
      <c r="AG59" s="602">
        <f t="shared" si="87"/>
        <v>85.976277084717012</v>
      </c>
      <c r="AH59" s="603">
        <f t="shared" si="88"/>
        <v>172.38691755821691</v>
      </c>
      <c r="AI59" s="585">
        <f t="shared" si="89"/>
        <v>-89.467356667160402</v>
      </c>
      <c r="AJ59" s="586">
        <f t="shared" si="90"/>
        <v>-97.594536117323315</v>
      </c>
      <c r="AK59" s="635">
        <f t="shared" si="211"/>
        <v>0.93532642332665861</v>
      </c>
      <c r="AL59" s="629">
        <f t="shared" si="91"/>
        <v>-0.35366376918956755</v>
      </c>
      <c r="AM59" s="634">
        <f t="shared" si="92"/>
        <v>-9.2962459944161014E-3</v>
      </c>
      <c r="AN59" s="581">
        <f t="shared" si="93"/>
        <v>-88.49429575011419</v>
      </c>
      <c r="AO59" s="582">
        <f t="shared" si="461"/>
        <v>20.719054961885288</v>
      </c>
      <c r="AP59" s="585">
        <f t="shared" si="95"/>
        <v>-20.712508234537967</v>
      </c>
      <c r="AQ59" s="586">
        <f t="shared" si="246"/>
        <v>0.4983412983128237</v>
      </c>
      <c r="AS59" s="52">
        <f t="shared" si="406"/>
        <v>-166.88202788278534</v>
      </c>
      <c r="AT59" s="72">
        <f t="shared" si="247"/>
        <v>-2.3576171629576765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4.1420000000000003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1.0431059899846193</v>
      </c>
      <c r="C60" s="708">
        <v>-4.4973157309286398</v>
      </c>
      <c r="D60" s="709">
        <v>-3.2262000000000008</v>
      </c>
      <c r="E60" s="710">
        <v>0.97416633720969914</v>
      </c>
      <c r="F60" s="708">
        <v>-0.22560231318584362</v>
      </c>
      <c r="G60" s="711">
        <v>1.0175644089459826E-2</v>
      </c>
      <c r="H60" s="710">
        <v>0.314</v>
      </c>
      <c r="I60" s="708">
        <v>0.52</v>
      </c>
      <c r="J60" s="570">
        <v>4.149</v>
      </c>
      <c r="K60" s="865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>1613</v>
      </c>
      <c r="L60" s="320"/>
      <c r="M60" s="168">
        <f t="shared" si="239"/>
        <v>4.149</v>
      </c>
      <c r="N60" s="632">
        <f t="shared" si="240"/>
        <v>1.0431059899846193</v>
      </c>
      <c r="O60" s="629">
        <f t="shared" si="241"/>
        <v>-4.4973157309286398</v>
      </c>
      <c r="P60" s="633">
        <f t="shared" si="242"/>
        <v>-3.2262000000000008</v>
      </c>
      <c r="Q60" s="585">
        <f t="shared" si="113"/>
        <v>283.05827170110535</v>
      </c>
      <c r="R60" s="629">
        <f t="shared" si="79"/>
        <v>4.6166999999999998</v>
      </c>
      <c r="S60" s="634">
        <f t="shared" si="80"/>
        <v>-3.2262000000000008</v>
      </c>
      <c r="T60" s="635">
        <f t="shared" si="81"/>
        <v>-4.4973157309286398</v>
      </c>
      <c r="U60" s="629">
        <f t="shared" si="82"/>
        <v>-1.0431059899846176</v>
      </c>
      <c r="V60" s="636">
        <f t="shared" si="114"/>
        <v>-3.2262000000000008</v>
      </c>
      <c r="W60" s="585">
        <f t="shared" si="224"/>
        <v>193.05827170110535</v>
      </c>
      <c r="X60" s="629">
        <f t="shared" si="83"/>
        <v>4.6166999999999998</v>
      </c>
      <c r="Y60" s="630">
        <f t="shared" si="223"/>
        <v>-3.2262000000000008</v>
      </c>
      <c r="Z60" s="632">
        <f t="shared" si="243"/>
        <v>-0.97416633720969914</v>
      </c>
      <c r="AA60" s="629">
        <f t="shared" si="244"/>
        <v>0.22560231318584362</v>
      </c>
      <c r="AB60" s="629">
        <f t="shared" si="245"/>
        <v>-1.0175644089459826E-2</v>
      </c>
      <c r="AC60" s="636">
        <f t="shared" si="84"/>
        <v>1</v>
      </c>
      <c r="AD60" s="637">
        <f t="shared" si="115"/>
        <v>-0.97416633720969914</v>
      </c>
      <c r="AE60" s="629">
        <f t="shared" si="85"/>
        <v>0.22560231318584362</v>
      </c>
      <c r="AF60" s="633">
        <f t="shared" si="86"/>
        <v>-1.0175644089459826E-2</v>
      </c>
      <c r="AG60" s="602">
        <f t="shared" si="87"/>
        <v>87.417461872617451</v>
      </c>
      <c r="AH60" s="603">
        <f t="shared" si="88"/>
        <v>166.94821128415703</v>
      </c>
      <c r="AI60" s="585">
        <f t="shared" si="89"/>
        <v>-89.416968478008172</v>
      </c>
      <c r="AJ60" s="586">
        <f t="shared" si="90"/>
        <v>-103.03898583220288</v>
      </c>
      <c r="AK60" s="635">
        <f t="shared" si="211"/>
        <v>0.89800213759520331</v>
      </c>
      <c r="AL60" s="629">
        <f t="shared" si="91"/>
        <v>-0.43987341036008321</v>
      </c>
      <c r="AM60" s="634">
        <f t="shared" si="92"/>
        <v>-1.0175644089459826E-2</v>
      </c>
      <c r="AN60" s="581">
        <f t="shared" si="93"/>
        <v>-88.674806250614509</v>
      </c>
      <c r="AO60" s="582">
        <f t="shared" si="461"/>
        <v>26.10331276143069</v>
      </c>
      <c r="AP60" s="585">
        <f t="shared" si="95"/>
        <v>-26.09725753330823</v>
      </c>
      <c r="AQ60" s="586">
        <f t="shared" si="246"/>
        <v>0.49378781172182129</v>
      </c>
      <c r="AS60" s="52">
        <f t="shared" si="406"/>
        <v>-166.94172829889465</v>
      </c>
      <c r="AT60" s="72">
        <f t="shared" si="247"/>
        <v>-3.1102682442368796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4.149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0.96880296638934549</v>
      </c>
      <c r="C61" s="708">
        <v>-4.6577114092991208</v>
      </c>
      <c r="D61" s="709">
        <v>-3.8669000000000002</v>
      </c>
      <c r="E61" s="710">
        <v>0.86880603834973025</v>
      </c>
      <c r="F61" s="708">
        <v>-0.48680943994507464</v>
      </c>
      <c r="G61" s="711">
        <v>9.0513186373090207E-2</v>
      </c>
      <c r="H61" s="710">
        <v>0.26600000000000001</v>
      </c>
      <c r="I61" s="708">
        <v>0.52</v>
      </c>
      <c r="J61" s="570">
        <v>4.1559999999999997</v>
      </c>
      <c r="K61" s="865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>1313</v>
      </c>
      <c r="L61" s="320"/>
      <c r="M61" s="168">
        <f t="shared" si="239"/>
        <v>4.1559999999999997</v>
      </c>
      <c r="N61" s="632">
        <f t="shared" si="240"/>
        <v>0.96880296638934549</v>
      </c>
      <c r="O61" s="629">
        <f t="shared" si="241"/>
        <v>-4.6577114092991208</v>
      </c>
      <c r="P61" s="633">
        <f t="shared" si="242"/>
        <v>-3.8669000000000002</v>
      </c>
      <c r="Q61" s="585">
        <f t="shared" si="113"/>
        <v>281.74997170110538</v>
      </c>
      <c r="R61" s="629">
        <f t="shared" si="79"/>
        <v>4.7573999999999996</v>
      </c>
      <c r="S61" s="634">
        <f t="shared" si="80"/>
        <v>-3.8669000000000002</v>
      </c>
      <c r="T61" s="635">
        <f t="shared" si="81"/>
        <v>-4.6577114092991208</v>
      </c>
      <c r="U61" s="629">
        <f t="shared" si="82"/>
        <v>-0.96880296638934593</v>
      </c>
      <c r="V61" s="636">
        <f t="shared" si="114"/>
        <v>-3.8669000000000002</v>
      </c>
      <c r="W61" s="585">
        <f t="shared" si="224"/>
        <v>191.74997170110538</v>
      </c>
      <c r="X61" s="629">
        <f t="shared" si="83"/>
        <v>4.7573999999999996</v>
      </c>
      <c r="Y61" s="630">
        <f t="shared" si="223"/>
        <v>-3.8669000000000002</v>
      </c>
      <c r="Z61" s="632">
        <f t="shared" si="243"/>
        <v>-0.86880603834973025</v>
      </c>
      <c r="AA61" s="629">
        <f t="shared" si="244"/>
        <v>0.48680943994507464</v>
      </c>
      <c r="AB61" s="629">
        <f t="shared" si="245"/>
        <v>-9.0513186373090207E-2</v>
      </c>
      <c r="AC61" s="636">
        <f t="shared" si="84"/>
        <v>1</v>
      </c>
      <c r="AD61" s="637">
        <f t="shared" si="115"/>
        <v>-0.86880603834973025</v>
      </c>
      <c r="AE61" s="629">
        <f t="shared" si="85"/>
        <v>0.48680943994507464</v>
      </c>
      <c r="AF61" s="633">
        <f t="shared" si="86"/>
        <v>-9.0513186373090207E-2</v>
      </c>
      <c r="AG61" s="602">
        <f t="shared" si="87"/>
        <v>79.467188241867774</v>
      </c>
      <c r="AH61" s="603">
        <f t="shared" si="88"/>
        <v>150.32018851202645</v>
      </c>
      <c r="AI61" s="585">
        <f t="shared" si="89"/>
        <v>-84.806868994998396</v>
      </c>
      <c r="AJ61" s="586">
        <f t="shared" si="90"/>
        <v>-119.26278402596429</v>
      </c>
      <c r="AK61" s="635">
        <f t="shared" si="211"/>
        <v>0.75146621427762716</v>
      </c>
      <c r="AL61" s="629">
        <f t="shared" si="91"/>
        <v>-0.65353339003591959</v>
      </c>
      <c r="AM61" s="634">
        <f t="shared" si="92"/>
        <v>-9.0513186373090207E-2</v>
      </c>
      <c r="AN61" s="581">
        <f t="shared" si="93"/>
        <v>-82.114800669411991</v>
      </c>
      <c r="AO61" s="582">
        <f t="shared" si="461"/>
        <v>41.282453992813288</v>
      </c>
      <c r="AP61" s="585">
        <f t="shared" si="95"/>
        <v>-41.012755727069674</v>
      </c>
      <c r="AQ61" s="586">
        <f t="shared" si="246"/>
        <v>0.47918473943468581</v>
      </c>
      <c r="AS61" s="52">
        <f t="shared" si="406"/>
        <v>-168.25002829889462</v>
      </c>
      <c r="AT61" s="72">
        <f t="shared" si="247"/>
        <v>-3.7500597025702125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4.1559999999999997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>
        <f t="shared" si="112"/>
        <v>1313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-0.19146262716585111</v>
      </c>
      <c r="C62" s="708">
        <v>-2.8229779578565783</v>
      </c>
      <c r="D62" s="709">
        <v>-0.12230292399989916</v>
      </c>
      <c r="E62" s="710">
        <v>-7.6599479004183565E-3</v>
      </c>
      <c r="F62" s="708">
        <v>-0.11294374316880483</v>
      </c>
      <c r="G62" s="711">
        <v>0.99357185753078869</v>
      </c>
      <c r="H62" s="710">
        <v>0.26250000000000001</v>
      </c>
      <c r="I62" s="708">
        <v>0.40699999999999997</v>
      </c>
      <c r="J62" s="570">
        <v>4.2140000000000004</v>
      </c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>Inactive</v>
      </c>
      <c r="L62" s="320"/>
      <c r="M62" s="168">
        <f t="shared" si="239"/>
        <v>4.2140000000000004</v>
      </c>
      <c r="N62" s="632">
        <f t="shared" si="240"/>
        <v>-0.19146262716585111</v>
      </c>
      <c r="O62" s="629">
        <f t="shared" si="241"/>
        <v>-2.8229779578565783</v>
      </c>
      <c r="P62" s="633">
        <f t="shared" si="242"/>
        <v>-0.12230292399989916</v>
      </c>
      <c r="Q62" s="585">
        <f t="shared" si="113"/>
        <v>266.11997457142184</v>
      </c>
      <c r="R62" s="629">
        <f t="shared" si="79"/>
        <v>2.8294632862338656</v>
      </c>
      <c r="S62" s="634">
        <f t="shared" si="80"/>
        <v>-0.12230292399989916</v>
      </c>
      <c r="T62" s="635">
        <f t="shared" si="81"/>
        <v>-2.8229779578565779</v>
      </c>
      <c r="U62" s="629">
        <f t="shared" si="82"/>
        <v>0.19146262716585025</v>
      </c>
      <c r="V62" s="636">
        <f t="shared" si="114"/>
        <v>-0.12230292399989916</v>
      </c>
      <c r="W62" s="585">
        <f t="shared" si="224"/>
        <v>176.11997457142184</v>
      </c>
      <c r="X62" s="629">
        <f t="shared" si="83"/>
        <v>2.8294632862338656</v>
      </c>
      <c r="Y62" s="630">
        <f t="shared" si="223"/>
        <v>-0.12230292399989916</v>
      </c>
      <c r="Z62" s="632">
        <f t="shared" si="243"/>
        <v>7.6599479004183565E-3</v>
      </c>
      <c r="AA62" s="629">
        <f t="shared" si="244"/>
        <v>0.11294374316880483</v>
      </c>
      <c r="AB62" s="629">
        <f t="shared" si="245"/>
        <v>-0.99357185753078869</v>
      </c>
      <c r="AC62" s="636">
        <f t="shared" si="84"/>
        <v>1</v>
      </c>
      <c r="AD62" s="637">
        <f t="shared" si="115"/>
        <v>7.6599479004183565E-3</v>
      </c>
      <c r="AE62" s="629">
        <f t="shared" si="85"/>
        <v>0.11294374316880483</v>
      </c>
      <c r="AF62" s="633">
        <f t="shared" si="86"/>
        <v>-0.99357185753078869</v>
      </c>
      <c r="AG62" s="602">
        <f t="shared" si="87"/>
        <v>6.4852285486703565</v>
      </c>
      <c r="AH62" s="603">
        <f t="shared" si="88"/>
        <v>89.561113022010161</v>
      </c>
      <c r="AI62" s="585">
        <f t="shared" si="89"/>
        <v>-6.4999990615291905</v>
      </c>
      <c r="AJ62" s="586">
        <f t="shared" si="90"/>
        <v>176.12008935961404</v>
      </c>
      <c r="AK62" s="635">
        <f t="shared" si="211"/>
        <v>2.2679489666832531E-7</v>
      </c>
      <c r="AL62" s="629">
        <f t="shared" si="91"/>
        <v>-0.11320319749356303</v>
      </c>
      <c r="AM62" s="634">
        <f t="shared" si="92"/>
        <v>-0.99357185753078869</v>
      </c>
      <c r="AN62" s="581">
        <f t="shared" si="93"/>
        <v>-6.4999990615162515</v>
      </c>
      <c r="AO62" s="582">
        <f t="shared" si="461"/>
        <v>0</v>
      </c>
      <c r="AP62" s="585">
        <f t="shared" si="95"/>
        <v>-89.999885211807779</v>
      </c>
      <c r="AQ62" s="586">
        <f t="shared" si="246"/>
        <v>0.80565681498350084</v>
      </c>
      <c r="AS62" s="52">
        <f t="shared" si="406"/>
        <v>-183.88002542857816</v>
      </c>
      <c r="AT62" s="72">
        <f t="shared" si="247"/>
        <v>5.3915381032801218E-3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Nose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4.2140000000000004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4.1139999999999999</v>
      </c>
      <c r="II62" s="734" cm="1">
        <f t="array" ref="II62">IFERROR(IF($IH62&lt;1,$IH62+LARGE((IF($M$9:$M$150="",0,$M$9:$M$150)-MOD(IF($M$9:$M$150="",0,$M$9:$M$150),1)),1),$IH62),"")</f>
        <v>4.1139999999999999</v>
      </c>
      <c r="IJ62" s="533">
        <f t="shared" si="112"/>
        <v>1613</v>
      </c>
      <c r="IK62" s="533" t="str">
        <f t="shared" si="382"/>
        <v>Inactive</v>
      </c>
      <c r="IL62" s="727">
        <f t="shared" si="225"/>
        <v>19.441697192966217</v>
      </c>
      <c r="IM62" s="759">
        <v>3.5959187599380403E-2</v>
      </c>
      <c r="IN62" s="5">
        <f t="shared" si="226"/>
        <v>0.68</v>
      </c>
      <c r="IO62" s="771">
        <v>340</v>
      </c>
      <c r="IP62" s="9">
        <f t="shared" si="227"/>
        <v>-2.8250085202256972</v>
      </c>
      <c r="IQ62" s="5">
        <f t="shared" si="228"/>
        <v>-0.1252003776043388</v>
      </c>
      <c r="IR62" s="5">
        <f t="shared" si="383"/>
        <v>0.314</v>
      </c>
      <c r="IS62" s="5">
        <f t="shared" si="229"/>
        <v>0.30282938966427192</v>
      </c>
      <c r="IT62" s="727">
        <f t="shared" si="230"/>
        <v>18.66943121410965</v>
      </c>
      <c r="IU62" s="9">
        <f t="shared" si="231"/>
        <v>-2.8294632862338656</v>
      </c>
      <c r="IV62" s="5">
        <f t="shared" si="232"/>
        <v>-0.12230292399989916</v>
      </c>
      <c r="IW62" s="5">
        <f t="shared" si="384"/>
        <v>0.26250000000000001</v>
      </c>
      <c r="IX62" s="5">
        <f t="shared" si="233"/>
        <v>0.26250000000000001</v>
      </c>
      <c r="IY62" s="762">
        <f t="shared" si="234"/>
        <v>6.4999990615162515</v>
      </c>
    </row>
    <row r="63" spans="1:259" ht="15" customHeight="1" x14ac:dyDescent="0.25">
      <c r="A63" s="79"/>
      <c r="B63" s="707">
        <v>-4.2691537715143987E-2</v>
      </c>
      <c r="C63" s="708">
        <v>-3.5612049642376977</v>
      </c>
      <c r="D63" s="709">
        <v>-0.4204117833963058</v>
      </c>
      <c r="E63" s="710">
        <v>0.93126420681530386</v>
      </c>
      <c r="F63" s="708">
        <v>-0.25948104877895306</v>
      </c>
      <c r="G63" s="711">
        <v>0.25576661711262799</v>
      </c>
      <c r="H63" s="710">
        <v>0.26600000000000001</v>
      </c>
      <c r="I63" s="708">
        <v>0.39400000000000002</v>
      </c>
      <c r="J63" s="570">
        <v>4.2210000000000001</v>
      </c>
      <c r="K63" s="865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>1310</v>
      </c>
      <c r="L63" s="320"/>
      <c r="M63" s="168">
        <f t="shared" si="239"/>
        <v>4.2210000000000001</v>
      </c>
      <c r="N63" s="632">
        <f t="shared" si="240"/>
        <v>-4.2691537715143987E-2</v>
      </c>
      <c r="O63" s="629">
        <f t="shared" si="241"/>
        <v>-3.5612049642376977</v>
      </c>
      <c r="P63" s="633">
        <f t="shared" si="242"/>
        <v>-0.4204117833963058</v>
      </c>
      <c r="Q63" s="585">
        <f t="shared" si="113"/>
        <v>269.31317411038083</v>
      </c>
      <c r="R63" s="629">
        <f t="shared" si="79"/>
        <v>3.5614608469985609</v>
      </c>
      <c r="S63" s="634">
        <f t="shared" si="80"/>
        <v>-0.4204117833963058</v>
      </c>
      <c r="T63" s="635">
        <f t="shared" si="81"/>
        <v>-3.5612049642376977</v>
      </c>
      <c r="U63" s="629">
        <f t="shared" si="82"/>
        <v>4.269153771514491E-2</v>
      </c>
      <c r="V63" s="636">
        <f t="shared" si="114"/>
        <v>-0.4204117833963058</v>
      </c>
      <c r="W63" s="585">
        <f t="shared" si="224"/>
        <v>179.31317411038083</v>
      </c>
      <c r="X63" s="629">
        <f t="shared" si="83"/>
        <v>3.5614608469985609</v>
      </c>
      <c r="Y63" s="630">
        <f t="shared" si="223"/>
        <v>-0.4204117833963058</v>
      </c>
      <c r="Z63" s="632">
        <f t="shared" si="243"/>
        <v>-0.93126420681530386</v>
      </c>
      <c r="AA63" s="629">
        <f t="shared" si="244"/>
        <v>0.25948104877895306</v>
      </c>
      <c r="AB63" s="629">
        <f t="shared" si="245"/>
        <v>-0.25576661711262799</v>
      </c>
      <c r="AC63" s="636">
        <f t="shared" si="84"/>
        <v>1</v>
      </c>
      <c r="AD63" s="637">
        <f t="shared" si="115"/>
        <v>-0.93126420681530386</v>
      </c>
      <c r="AE63" s="629">
        <f t="shared" si="85"/>
        <v>0.25948104877895306</v>
      </c>
      <c r="AF63" s="633">
        <f t="shared" si="86"/>
        <v>-0.25576661711262799</v>
      </c>
      <c r="AG63" s="602">
        <f t="shared" si="87"/>
        <v>45.413039369608001</v>
      </c>
      <c r="AH63" s="603">
        <f t="shared" si="88"/>
        <v>158.63274704293883</v>
      </c>
      <c r="AI63" s="585">
        <f t="shared" si="89"/>
        <v>-75.180984445288672</v>
      </c>
      <c r="AJ63" s="586">
        <f t="shared" si="90"/>
        <v>-105.56959773268522</v>
      </c>
      <c r="AK63" s="635">
        <f t="shared" si="211"/>
        <v>0.93430771929224554</v>
      </c>
      <c r="AL63" s="629">
        <f t="shared" si="91"/>
        <v>-0.24829926146020867</v>
      </c>
      <c r="AM63" s="634">
        <f t="shared" si="92"/>
        <v>-0.25576661711262799</v>
      </c>
      <c r="AN63" s="581">
        <f t="shared" si="93"/>
        <v>-44.151268343003856</v>
      </c>
      <c r="AO63" s="582">
        <f t="shared" si="461"/>
        <v>20.883411510460363</v>
      </c>
      <c r="AP63" s="585">
        <f t="shared" si="95"/>
        <v>-14.88277184306607</v>
      </c>
      <c r="AQ63" s="586">
        <f t="shared" si="246"/>
        <v>0.64008335050820597</v>
      </c>
      <c r="AS63" s="52">
        <f t="shared" si="406"/>
        <v>-180.68682588961917</v>
      </c>
      <c r="AT63" s="72">
        <f t="shared" si="247"/>
        <v>-0.29493482097295914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Nose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4.2210000000000001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4.1210000000000004</v>
      </c>
      <c r="II63" s="734" cm="1">
        <f t="array" ref="II63">IFERROR(IF($IH63&lt;1,$IH63+LARGE((IF($M$9:$M$150="",0,$M$9:$M$150)-MOD(IF($M$9:$M$150="",0,$M$9:$M$150),1)),1),$IH63),"")</f>
        <v>4.1210000000000004</v>
      </c>
      <c r="IJ63" s="533">
        <f t="shared" si="112"/>
        <v>1613</v>
      </c>
      <c r="IK63" s="533">
        <f t="shared" si="382"/>
        <v>1310</v>
      </c>
      <c r="IL63" s="727">
        <f t="shared" si="225"/>
        <v>15.395997777092987</v>
      </c>
      <c r="IM63" s="759">
        <v>1.1113896599714901E-2</v>
      </c>
      <c r="IN63" s="5">
        <f t="shared" si="226"/>
        <v>0.26</v>
      </c>
      <c r="IO63" s="771">
        <v>130</v>
      </c>
      <c r="IP63" s="9">
        <f t="shared" si="227"/>
        <v>-3.5375106691321774</v>
      </c>
      <c r="IQ63" s="5">
        <f t="shared" si="228"/>
        <v>-0.45520137288734036</v>
      </c>
      <c r="IR63" s="5">
        <f t="shared" si="383"/>
        <v>0.314</v>
      </c>
      <c r="IS63" s="5">
        <f t="shared" si="229"/>
        <v>0.30156264454364284</v>
      </c>
      <c r="IT63" s="727">
        <f t="shared" si="230"/>
        <v>49.259014044162797</v>
      </c>
      <c r="IU63" s="9">
        <f t="shared" si="231"/>
        <v>-3.5614608469985609</v>
      </c>
      <c r="IV63" s="5">
        <f t="shared" si="232"/>
        <v>-0.4204117833963058</v>
      </c>
      <c r="IW63" s="5">
        <f t="shared" si="384"/>
        <v>0.26600000000000001</v>
      </c>
      <c r="IX63" s="5">
        <f t="shared" si="233"/>
        <v>0.24852585333173732</v>
      </c>
      <c r="IY63" s="762">
        <f t="shared" si="234"/>
        <v>44.151268343003856</v>
      </c>
    </row>
    <row r="64" spans="1:259" ht="15" customHeight="1" x14ac:dyDescent="0.25">
      <c r="A64" s="79"/>
      <c r="B64" s="707">
        <v>3.7839078095617561E-2</v>
      </c>
      <c r="C64" s="708">
        <v>-4.0806770288247369</v>
      </c>
      <c r="D64" s="709">
        <v>-1.008031341731332</v>
      </c>
      <c r="E64" s="710">
        <v>0.93301430363431737</v>
      </c>
      <c r="F64" s="708">
        <v>-0.32188884365968073</v>
      </c>
      <c r="G64" s="711">
        <v>0.16084738586997185</v>
      </c>
      <c r="H64" s="710">
        <v>0.26600000000000001</v>
      </c>
      <c r="I64" s="708">
        <v>0.39400000000000002</v>
      </c>
      <c r="J64" s="570">
        <v>4.2279999999999998</v>
      </c>
      <c r="K64" s="865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>1310</v>
      </c>
      <c r="L64" s="320"/>
      <c r="M64" s="168">
        <f t="shared" si="239"/>
        <v>4.2279999999999998</v>
      </c>
      <c r="N64" s="632">
        <f t="shared" si="240"/>
        <v>3.7839078095617561E-2</v>
      </c>
      <c r="O64" s="629">
        <f t="shared" si="241"/>
        <v>-4.0806770288247369</v>
      </c>
      <c r="P64" s="633">
        <f t="shared" si="242"/>
        <v>-1.008031341731332</v>
      </c>
      <c r="Q64" s="585">
        <f t="shared" si="113"/>
        <v>270.53127393450899</v>
      </c>
      <c r="R64" s="629">
        <f t="shared" si="79"/>
        <v>4.080852461117531</v>
      </c>
      <c r="S64" s="634">
        <f t="shared" si="80"/>
        <v>-1.008031341731332</v>
      </c>
      <c r="T64" s="635">
        <f t="shared" si="81"/>
        <v>-4.0806770288247369</v>
      </c>
      <c r="U64" s="629">
        <f t="shared" si="82"/>
        <v>-3.7839078095615958E-2</v>
      </c>
      <c r="V64" s="636">
        <f t="shared" si="114"/>
        <v>-1.008031341731332</v>
      </c>
      <c r="W64" s="585">
        <f t="shared" si="224"/>
        <v>180.53127393450899</v>
      </c>
      <c r="X64" s="629">
        <f t="shared" si="83"/>
        <v>4.080852461117531</v>
      </c>
      <c r="Y64" s="630">
        <f t="shared" si="223"/>
        <v>-1.008031341731332</v>
      </c>
      <c r="Z64" s="632">
        <f t="shared" si="243"/>
        <v>-0.93301430363431737</v>
      </c>
      <c r="AA64" s="629">
        <f t="shared" si="244"/>
        <v>0.32188884365968073</v>
      </c>
      <c r="AB64" s="629">
        <f t="shared" si="245"/>
        <v>-0.16084738586997185</v>
      </c>
      <c r="AC64" s="636">
        <f t="shared" si="84"/>
        <v>1</v>
      </c>
      <c r="AD64" s="637">
        <f t="shared" si="115"/>
        <v>-0.93301430363431737</v>
      </c>
      <c r="AE64" s="629">
        <f t="shared" si="85"/>
        <v>0.32188884365968073</v>
      </c>
      <c r="AF64" s="633">
        <f t="shared" si="86"/>
        <v>-0.16084738586997185</v>
      </c>
      <c r="AG64" s="602">
        <f t="shared" si="87"/>
        <v>63.448768304911596</v>
      </c>
      <c r="AH64" s="603">
        <f t="shared" si="88"/>
        <v>158.90967385856061</v>
      </c>
      <c r="AI64" s="585">
        <f t="shared" si="89"/>
        <v>-80.743915062900953</v>
      </c>
      <c r="AJ64" s="586">
        <f t="shared" si="90"/>
        <v>-109.03437447826316</v>
      </c>
      <c r="AK64" s="635">
        <f t="shared" si="211"/>
        <v>0.92998952926439027</v>
      </c>
      <c r="AL64" s="629">
        <f t="shared" si="91"/>
        <v>-0.33052623786530833</v>
      </c>
      <c r="AM64" s="634">
        <f t="shared" si="92"/>
        <v>-0.16084738586997185</v>
      </c>
      <c r="AN64" s="581">
        <f t="shared" si="93"/>
        <v>-64.050578885146322</v>
      </c>
      <c r="AO64" s="582">
        <f t="shared" si="461"/>
        <v>21.566817151831543</v>
      </c>
      <c r="AP64" s="585">
        <f t="shared" si="95"/>
        <v>-19.565648412772134</v>
      </c>
      <c r="AQ64" s="586">
        <f t="shared" si="246"/>
        <v>0.55862210589947814</v>
      </c>
      <c r="AS64" s="52">
        <f t="shared" si="406"/>
        <v>-179.46872606549101</v>
      </c>
      <c r="AT64" s="72">
        <f t="shared" si="247"/>
        <v>-0.88340028196362996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4.2279999999999998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4.1280000000000001</v>
      </c>
      <c r="II64" s="734" cm="1">
        <f t="array" ref="II64">IFERROR(IF($IH64&lt;1,$IH64+LARGE((IF($M$9:$M$150="",0,$M$9:$M$150)-MOD(IF($M$9:$M$150="",0,$M$9:$M$150),1)),1),$IH64),"")</f>
        <v>4.1280000000000001</v>
      </c>
      <c r="IJ64" s="533">
        <f t="shared" si="112"/>
        <v>1613</v>
      </c>
      <c r="IK64" s="533">
        <f t="shared" si="382"/>
        <v>1310</v>
      </c>
      <c r="IL64" s="727">
        <f t="shared" si="225"/>
        <v>13.434698060269625</v>
      </c>
      <c r="IM64" s="759">
        <v>7.8971348039963297E-3</v>
      </c>
      <c r="IN64" s="5">
        <f t="shared" si="226"/>
        <v>0.24</v>
      </c>
      <c r="IO64" s="771">
        <v>120</v>
      </c>
      <c r="IP64" s="9">
        <f t="shared" si="227"/>
        <v>-4.0458122021696035</v>
      </c>
      <c r="IQ64" s="5">
        <f t="shared" si="228"/>
        <v>-1.0370031276014329</v>
      </c>
      <c r="IR64" s="5">
        <f t="shared" si="383"/>
        <v>0.314</v>
      </c>
      <c r="IS64" s="5">
        <f t="shared" si="229"/>
        <v>0.30016888017934057</v>
      </c>
      <c r="IT64" s="727">
        <f t="shared" si="230"/>
        <v>70.330662576658327</v>
      </c>
      <c r="IU64" s="9">
        <f t="shared" si="231"/>
        <v>-4.080852461117531</v>
      </c>
      <c r="IV64" s="5">
        <f t="shared" si="232"/>
        <v>-1.008031341731332</v>
      </c>
      <c r="IW64" s="5">
        <f t="shared" si="384"/>
        <v>0.26600000000000001</v>
      </c>
      <c r="IX64" s="5">
        <f t="shared" si="233"/>
        <v>0.24737721478432784</v>
      </c>
      <c r="IY64" s="762">
        <f t="shared" si="234"/>
        <v>64.050578885146322</v>
      </c>
    </row>
    <row r="65" spans="1:259" ht="15" customHeight="1" x14ac:dyDescent="0.25">
      <c r="A65" s="79"/>
      <c r="B65" s="707">
        <v>7.9316046872236895E-2</v>
      </c>
      <c r="C65" s="708">
        <v>-4.4186135881837458</v>
      </c>
      <c r="D65" s="709">
        <v>-1.7026145091534883</v>
      </c>
      <c r="E65" s="710">
        <v>0.92711118786061186</v>
      </c>
      <c r="F65" s="708">
        <v>-0.36250626121941787</v>
      </c>
      <c r="G65" s="711">
        <v>9.515280300865786E-2</v>
      </c>
      <c r="H65" s="710">
        <v>0.26600000000000001</v>
      </c>
      <c r="I65" s="708">
        <v>0.39400000000000002</v>
      </c>
      <c r="J65" s="570">
        <v>4.2350000000000003</v>
      </c>
      <c r="K65" s="865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>1310</v>
      </c>
      <c r="L65" s="320"/>
      <c r="M65" s="168">
        <f t="shared" si="239"/>
        <v>4.2350000000000003</v>
      </c>
      <c r="N65" s="632">
        <f t="shared" si="240"/>
        <v>7.9316046872236895E-2</v>
      </c>
      <c r="O65" s="629">
        <f t="shared" si="241"/>
        <v>-4.4186135881837458</v>
      </c>
      <c r="P65" s="633">
        <f t="shared" si="242"/>
        <v>-1.7026145091534883</v>
      </c>
      <c r="Q65" s="585">
        <f t="shared" si="113"/>
        <v>271.02837386273666</v>
      </c>
      <c r="R65" s="629">
        <f t="shared" si="79"/>
        <v>4.4193254097173558</v>
      </c>
      <c r="S65" s="634">
        <f t="shared" si="80"/>
        <v>-1.7026145091534883</v>
      </c>
      <c r="T65" s="635">
        <f t="shared" si="81"/>
        <v>-4.4186135881837458</v>
      </c>
      <c r="U65" s="629">
        <f t="shared" si="82"/>
        <v>-7.9316046872237908E-2</v>
      </c>
      <c r="V65" s="636">
        <f t="shared" si="114"/>
        <v>-1.7026145091534883</v>
      </c>
      <c r="W65" s="585">
        <f t="shared" si="224"/>
        <v>181.02837386273666</v>
      </c>
      <c r="X65" s="629">
        <f t="shared" si="83"/>
        <v>4.4193254097173558</v>
      </c>
      <c r="Y65" s="630">
        <f t="shared" si="223"/>
        <v>-1.7026145091534883</v>
      </c>
      <c r="Z65" s="632">
        <f t="shared" si="243"/>
        <v>-0.92711118786061186</v>
      </c>
      <c r="AA65" s="629">
        <f t="shared" si="244"/>
        <v>0.36250626121941787</v>
      </c>
      <c r="AB65" s="629">
        <f t="shared" si="245"/>
        <v>-9.515280300865786E-2</v>
      </c>
      <c r="AC65" s="636">
        <f t="shared" si="84"/>
        <v>1</v>
      </c>
      <c r="AD65" s="637">
        <f t="shared" si="115"/>
        <v>-0.92711118786061186</v>
      </c>
      <c r="AE65" s="629">
        <f t="shared" si="85"/>
        <v>0.36250626121941787</v>
      </c>
      <c r="AF65" s="633">
        <f t="shared" si="86"/>
        <v>-9.515280300865786E-2</v>
      </c>
      <c r="AG65" s="602">
        <f t="shared" si="87"/>
        <v>75.292448822448108</v>
      </c>
      <c r="AH65" s="603">
        <f t="shared" si="88"/>
        <v>157.988888352038</v>
      </c>
      <c r="AI65" s="585">
        <f t="shared" si="89"/>
        <v>-84.539885379409313</v>
      </c>
      <c r="AJ65" s="586">
        <f t="shared" si="90"/>
        <v>-111.35580857869255</v>
      </c>
      <c r="AK65" s="635">
        <f t="shared" si="211"/>
        <v>0.92045576003236096</v>
      </c>
      <c r="AL65" s="629">
        <f t="shared" si="91"/>
        <v>-0.37908724312860265</v>
      </c>
      <c r="AM65" s="634">
        <f t="shared" si="92"/>
        <v>-9.515280300865786E-2</v>
      </c>
      <c r="AN65" s="581">
        <f t="shared" si="93"/>
        <v>-75.909572936547136</v>
      </c>
      <c r="AO65" s="582">
        <f t="shared" si="461"/>
        <v>23.007197864196584</v>
      </c>
      <c r="AP65" s="585">
        <f t="shared" si="95"/>
        <v>-22.384182441429207</v>
      </c>
      <c r="AQ65" s="586">
        <f t="shared" si="246"/>
        <v>0.5158400491347348</v>
      </c>
      <c r="AS65" s="52">
        <f t="shared" si="406"/>
        <v>-178.97162613726334</v>
      </c>
      <c r="AT65" s="72">
        <f t="shared" si="247"/>
        <v>-1.5783286576692777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4.2350000000000003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4.1349999999999998</v>
      </c>
      <c r="II65" s="734" cm="1">
        <f t="array" ref="II65">IFERROR(IF($IH65&lt;1,$IH65+LARGE((IF($M$9:$M$150="",0,$M$9:$M$150)-MOD(IF($M$9:$M$150="",0,$M$9:$M$150),1)),1),$IH65),"")</f>
        <v>4.1349999999999998</v>
      </c>
      <c r="IJ65" s="533">
        <f t="shared" si="112"/>
        <v>1613</v>
      </c>
      <c r="IK65" s="533">
        <f t="shared" si="382"/>
        <v>1310</v>
      </c>
      <c r="IL65" s="727">
        <f t="shared" si="225"/>
        <v>12.412198207900303</v>
      </c>
      <c r="IM65" s="759">
        <v>5.9218116576873203E-3</v>
      </c>
      <c r="IN65" s="5">
        <f t="shared" si="226"/>
        <v>0.22</v>
      </c>
      <c r="IO65" s="771">
        <v>110</v>
      </c>
      <c r="IP65" s="9">
        <f t="shared" si="227"/>
        <v>-4.3780132040878224</v>
      </c>
      <c r="IQ65" s="5">
        <f t="shared" si="228"/>
        <v>-1.7262052062349018</v>
      </c>
      <c r="IR65" s="5">
        <f t="shared" si="383"/>
        <v>0.314</v>
      </c>
      <c r="IS65" s="5">
        <f t="shared" si="229"/>
        <v>0.29759283000094516</v>
      </c>
      <c r="IT65" s="727">
        <f t="shared" si="230"/>
        <v>82.184886350072446</v>
      </c>
      <c r="IU65" s="9">
        <f t="shared" si="231"/>
        <v>-4.4193254097173558</v>
      </c>
      <c r="IV65" s="5">
        <f t="shared" si="232"/>
        <v>-1.7026145091534883</v>
      </c>
      <c r="IW65" s="5">
        <f t="shared" si="384"/>
        <v>0.26600000000000001</v>
      </c>
      <c r="IX65" s="5">
        <f t="shared" si="233"/>
        <v>0.24484123216860804</v>
      </c>
      <c r="IY65" s="762">
        <f t="shared" si="234"/>
        <v>75.909572936547136</v>
      </c>
    </row>
    <row r="66" spans="1:259" ht="15" customHeight="1" x14ac:dyDescent="0.25">
      <c r="A66" s="79"/>
      <c r="B66" s="707">
        <v>9.9765422539436155E-2</v>
      </c>
      <c r="C66" s="708">
        <v>-4.618853906514798</v>
      </c>
      <c r="D66" s="709">
        <v>-2.4546962819172151</v>
      </c>
      <c r="E66" s="710">
        <v>0.91417305974986873</v>
      </c>
      <c r="F66" s="708">
        <v>-0.40194376108046487</v>
      </c>
      <c r="G66" s="711">
        <v>5.2238202075235926E-2</v>
      </c>
      <c r="H66" s="710">
        <v>0.26600000000000001</v>
      </c>
      <c r="I66" s="708">
        <v>0.39400000000000002</v>
      </c>
      <c r="J66" s="570">
        <v>4.242</v>
      </c>
      <c r="K66" s="865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>1310</v>
      </c>
      <c r="L66" s="320"/>
      <c r="M66" s="168">
        <f t="shared" si="239"/>
        <v>4.242</v>
      </c>
      <c r="N66" s="632">
        <f t="shared" si="240"/>
        <v>9.9765422539436155E-2</v>
      </c>
      <c r="O66" s="629">
        <f t="shared" si="241"/>
        <v>-4.618853906514798</v>
      </c>
      <c r="P66" s="633">
        <f t="shared" si="242"/>
        <v>-2.4546962819172151</v>
      </c>
      <c r="Q66" s="585">
        <f t="shared" si="113"/>
        <v>271.23737383256082</v>
      </c>
      <c r="R66" s="629">
        <f t="shared" si="79"/>
        <v>4.6199312277631881</v>
      </c>
      <c r="S66" s="634">
        <f t="shared" si="80"/>
        <v>-2.4546962819172151</v>
      </c>
      <c r="T66" s="635">
        <f t="shared" si="81"/>
        <v>-4.618853906514798</v>
      </c>
      <c r="U66" s="629">
        <f t="shared" si="82"/>
        <v>-9.9765422539437723E-2</v>
      </c>
      <c r="V66" s="636">
        <f t="shared" si="114"/>
        <v>-2.4546962819172151</v>
      </c>
      <c r="W66" s="585">
        <f t="shared" si="224"/>
        <v>181.23737383256082</v>
      </c>
      <c r="X66" s="629">
        <f t="shared" si="83"/>
        <v>4.6199312277631881</v>
      </c>
      <c r="Y66" s="630">
        <f t="shared" si="223"/>
        <v>-2.4546962819172151</v>
      </c>
      <c r="Z66" s="632">
        <f t="shared" si="243"/>
        <v>-0.91417305974986873</v>
      </c>
      <c r="AA66" s="629">
        <f t="shared" si="244"/>
        <v>0.40194376108046487</v>
      </c>
      <c r="AB66" s="629">
        <f t="shared" si="245"/>
        <v>-5.2238202075235926E-2</v>
      </c>
      <c r="AC66" s="636">
        <f t="shared" si="84"/>
        <v>1</v>
      </c>
      <c r="AD66" s="637">
        <f t="shared" si="115"/>
        <v>-0.91417305974986873</v>
      </c>
      <c r="AE66" s="629">
        <f t="shared" si="85"/>
        <v>0.40194376108046487</v>
      </c>
      <c r="AF66" s="633">
        <f t="shared" si="86"/>
        <v>-5.2238202075235926E-2</v>
      </c>
      <c r="AG66" s="602">
        <f t="shared" si="87"/>
        <v>82.595118617071151</v>
      </c>
      <c r="AH66" s="603">
        <f t="shared" si="88"/>
        <v>156.08856220574737</v>
      </c>
      <c r="AI66" s="585">
        <f t="shared" si="89"/>
        <v>-87.005608573236572</v>
      </c>
      <c r="AJ66" s="586">
        <f t="shared" si="90"/>
        <v>-113.7341397693738</v>
      </c>
      <c r="AK66" s="635">
        <f t="shared" si="211"/>
        <v>0.90528008165176188</v>
      </c>
      <c r="AL66" s="629">
        <f t="shared" si="91"/>
        <v>-0.42159120485195889</v>
      </c>
      <c r="AM66" s="634">
        <f t="shared" si="92"/>
        <v>-5.2238202075235926E-2</v>
      </c>
      <c r="AN66" s="581">
        <f t="shared" si="93"/>
        <v>-82.936639287020213</v>
      </c>
      <c r="AO66" s="582">
        <f t="shared" si="461"/>
        <v>25.138968198270987</v>
      </c>
      <c r="AP66" s="585">
        <f t="shared" si="95"/>
        <v>-24.971513601934618</v>
      </c>
      <c r="AQ66" s="586">
        <f t="shared" si="246"/>
        <v>0.49344246849327983</v>
      </c>
      <c r="AS66" s="52">
        <f t="shared" si="406"/>
        <v>-178.76262616743918</v>
      </c>
      <c r="AT66" s="72">
        <f t="shared" si="247"/>
        <v>-2.3305555693009379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Taper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4.242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4.1420000000000003</v>
      </c>
      <c r="II66" s="734" cm="1">
        <f t="array" ref="II66">IFERROR(IF($IH66&lt;1,$IH66+LARGE((IF($M$9:$M$150="",0,$M$9:$M$150)-MOD(IF($M$9:$M$150="",0,$M$9:$M$150),1)),1),$IH66),"")</f>
        <v>4.1420000000000003</v>
      </c>
      <c r="IJ66" s="533">
        <f t="shared" si="112"/>
        <v>1613</v>
      </c>
      <c r="IK66" s="533">
        <f t="shared" si="382"/>
        <v>1310</v>
      </c>
      <c r="IL66" s="727">
        <f t="shared" si="225"/>
        <v>11.880598284653843</v>
      </c>
      <c r="IM66" s="759">
        <v>4.5448662549739498E-3</v>
      </c>
      <c r="IN66" s="5">
        <f t="shared" si="226"/>
        <v>0.2</v>
      </c>
      <c r="IO66" s="771">
        <v>100</v>
      </c>
      <c r="IP66" s="9">
        <f t="shared" si="227"/>
        <v>-4.5745137967336111</v>
      </c>
      <c r="IQ66" s="5">
        <f t="shared" si="228"/>
        <v>-2.4735074600984999</v>
      </c>
      <c r="IR66" s="5">
        <f t="shared" si="383"/>
        <v>0.314</v>
      </c>
      <c r="IS66" s="5">
        <f t="shared" si="229"/>
        <v>0.29369249692457078</v>
      </c>
      <c r="IT66" s="727">
        <f t="shared" si="230"/>
        <v>88.49429575011419</v>
      </c>
      <c r="IU66" s="9">
        <f t="shared" si="231"/>
        <v>-4.6199312277631881</v>
      </c>
      <c r="IV66" s="5">
        <f t="shared" si="232"/>
        <v>-2.4546962819172151</v>
      </c>
      <c r="IW66" s="5">
        <f t="shared" si="384"/>
        <v>0.26600000000000001</v>
      </c>
      <c r="IX66" s="5">
        <f t="shared" si="233"/>
        <v>0.24080450171936871</v>
      </c>
      <c r="IY66" s="762">
        <f t="shared" si="234"/>
        <v>82.936639287020213</v>
      </c>
    </row>
    <row r="67" spans="1:259" ht="15" customHeight="1" x14ac:dyDescent="0.25">
      <c r="A67" s="79"/>
      <c r="B67" s="707">
        <v>0.10688349485455279</v>
      </c>
      <c r="C67" s="708">
        <v>-4.6601885097426257</v>
      </c>
      <c r="D67" s="709">
        <v>-3.2262000000000008</v>
      </c>
      <c r="E67" s="710">
        <v>0.9078521076322329</v>
      </c>
      <c r="F67" s="708">
        <v>-0.41916703768128288</v>
      </c>
      <c r="G67" s="711">
        <v>1.0175715660859978E-2</v>
      </c>
      <c r="H67" s="710">
        <v>0.26600000000000001</v>
      </c>
      <c r="I67" s="708">
        <v>0.52</v>
      </c>
      <c r="J67" s="570">
        <v>4.2489999999999997</v>
      </c>
      <c r="K67" s="865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>1313</v>
      </c>
      <c r="L67" s="320"/>
      <c r="M67" s="168">
        <f t="shared" si="239"/>
        <v>4.2489999999999997</v>
      </c>
      <c r="N67" s="632">
        <f t="shared" si="240"/>
        <v>0.10688349485455279</v>
      </c>
      <c r="O67" s="629">
        <f t="shared" si="241"/>
        <v>-4.6601885097426257</v>
      </c>
      <c r="P67" s="633">
        <f t="shared" si="242"/>
        <v>-3.2262000000000008</v>
      </c>
      <c r="Q67" s="585">
        <f t="shared" si="113"/>
        <v>271.31387382151553</v>
      </c>
      <c r="R67" s="629">
        <f>IF(M67="","",SQRT(N67^2+O67^2))</f>
        <v>4.6614140588248025</v>
      </c>
      <c r="S67" s="634">
        <f>IF(M67="","",P67)</f>
        <v>-3.2262000000000008</v>
      </c>
      <c r="T67" s="635">
        <f>IF(M67="","",X67*COS(RADIANS(W67)))</f>
        <v>-4.6601885097426257</v>
      </c>
      <c r="U67" s="629">
        <f>IF(M67="","",X67*SIN(RADIANS(W67)))</f>
        <v>-0.1068834948545509</v>
      </c>
      <c r="V67" s="636">
        <f>IF(M67="","",Y67)</f>
        <v>-3.2262000000000008</v>
      </c>
      <c r="W67" s="585">
        <f t="shared" si="224"/>
        <v>181.31387382151553</v>
      </c>
      <c r="X67" s="629">
        <f>IF(M67="","",R67)</f>
        <v>4.6614140588248025</v>
      </c>
      <c r="Y67" s="630">
        <f t="shared" si="223"/>
        <v>-3.2262000000000008</v>
      </c>
      <c r="Z67" s="632">
        <f t="shared" si="243"/>
        <v>-0.9078521076322329</v>
      </c>
      <c r="AA67" s="629">
        <f t="shared" si="244"/>
        <v>0.41916703768128288</v>
      </c>
      <c r="AB67" s="629">
        <f t="shared" si="245"/>
        <v>-1.0175715660859978E-2</v>
      </c>
      <c r="AC67" s="636">
        <f>IF(M67="","",SQRT(Z67^2+AA67^2+AB67^2))</f>
        <v>1</v>
      </c>
      <c r="AD67" s="637">
        <f>IF(M67="","",Z67*(1/SQRT(Z67^2+AA67^2+AB67^2)))</f>
        <v>-0.9078521076322329</v>
      </c>
      <c r="AE67" s="629">
        <f>IF(M67="","",AA67*(1/SQRT(Z67^2+AA67^2+AB67^2)))</f>
        <v>0.41916703768128288</v>
      </c>
      <c r="AF67" s="633">
        <f>IF(M67="","",AB67*(1/SQRT(Z67^2+AA67^2+AB67^2)))</f>
        <v>-1.0175715660859978E-2</v>
      </c>
      <c r="AG67" s="602">
        <f>IF(M67="","",DEGREES(ATAN2(-AF67,AE67)))</f>
        <v>88.60935851762143</v>
      </c>
      <c r="AH67" s="603">
        <f>IF(M67="","",DEGREES(ACOS(AD67)))</f>
        <v>155.21019605378939</v>
      </c>
      <c r="AI67" s="585">
        <f>IF(M67="","",DEGREES(-ACOS(-AF67)))</f>
        <v>-89.416964377056701</v>
      </c>
      <c r="AJ67" s="586">
        <f>IF(M67="","",DEGREES(ATAN2(-AE67,AD67)))</f>
        <v>-114.78337989401383</v>
      </c>
      <c r="AK67" s="635">
        <f>IF(M67="","",(COS(RADIANS((90-$Q$8)-W67))*AD67)+(-SIN(RADIANS((90-$Q$8)-W67))*AE67))</f>
        <v>0.89800216625113161</v>
      </c>
      <c r="AL67" s="629">
        <f>IF(M67="","",(SIN(RADIANS((90-$Q$8)-W67))*AD67)+(COS(RADIANS((90-$Q$8)-W67))*AE67))</f>
        <v>-0.43987335020328783</v>
      </c>
      <c r="AM67" s="634">
        <f>IF(M67="","",AF67)</f>
        <v>-1.0175715660859978E-2</v>
      </c>
      <c r="AN67" s="581">
        <f>IF(M67="","",DEGREES(ATAN2(-AM67,AL67)))</f>
        <v>-88.674796751887598</v>
      </c>
      <c r="AO67" s="582">
        <f t="shared" si="461"/>
        <v>26.103309029846361</v>
      </c>
      <c r="AP67" s="585">
        <f>IF(M67="","",DEGREES(ATAN2(AK67,AL67)))</f>
        <v>-26.097253715529373</v>
      </c>
      <c r="AQ67" s="586">
        <f t="shared" si="246"/>
        <v>0.48905144215584817</v>
      </c>
      <c r="AS67" s="52">
        <f t="shared" si="406"/>
        <v>-178.68612617848447</v>
      </c>
      <c r="AT67" s="72">
        <f t="shared" si="247"/>
        <v>-3.1021124123760533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4.2489999999999997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4.149</v>
      </c>
      <c r="II67" s="734" cm="1">
        <f t="array" ref="II67">IFERROR(IF($IH67&lt;1,$IH67+LARGE((IF($M$9:$M$150="",0,$M$9:$M$150)-MOD(IF($M$9:$M$150="",0,$M$9:$M$150),1)),1),$IH67),"")</f>
        <v>4.149</v>
      </c>
      <c r="IJ67" s="533">
        <f t="shared" si="112"/>
        <v>1613</v>
      </c>
      <c r="IK67" s="533">
        <f t="shared" si="382"/>
        <v>1313</v>
      </c>
      <c r="IL67" s="727">
        <f t="shared" si="225"/>
        <v>11.744397879589826</v>
      </c>
      <c r="IM67" s="759">
        <v>2.0714998698567299E-4</v>
      </c>
      <c r="IN67" s="5">
        <f t="shared" si="226"/>
        <v>0</v>
      </c>
      <c r="IO67" s="771">
        <v>0</v>
      </c>
      <c r="IP67" s="9">
        <f t="shared" si="227"/>
        <v>-4.6166999999999998</v>
      </c>
      <c r="IQ67" s="5">
        <f t="shared" si="228"/>
        <v>-3.2262000000000008</v>
      </c>
      <c r="IR67" s="5">
        <f t="shared" si="383"/>
        <v>0.314</v>
      </c>
      <c r="IS67" s="5">
        <f t="shared" si="229"/>
        <v>0.28197267120489383</v>
      </c>
      <c r="IT67" s="727">
        <f t="shared" si="230"/>
        <v>88.674806250614509</v>
      </c>
      <c r="IU67" s="9">
        <f t="shared" si="231"/>
        <v>-4.6614140588248025</v>
      </c>
      <c r="IV67" s="5">
        <f t="shared" si="232"/>
        <v>-3.2262000000000008</v>
      </c>
      <c r="IW67" s="5">
        <f t="shared" si="384"/>
        <v>0.26600000000000001</v>
      </c>
      <c r="IX67" s="5">
        <f t="shared" si="233"/>
        <v>0.23886857622280105</v>
      </c>
      <c r="IY67" s="762">
        <f t="shared" si="234"/>
        <v>88.674796751887598</v>
      </c>
    </row>
    <row r="68" spans="1:259" ht="15" customHeight="1" x14ac:dyDescent="0.25">
      <c r="A68" s="79"/>
      <c r="B68" s="707">
        <v>-0.25290092832293171</v>
      </c>
      <c r="C68" s="708">
        <v>-0.43803687475930286</v>
      </c>
      <c r="D68" s="709">
        <v>-0.54780165216978305</v>
      </c>
      <c r="E68" s="710">
        <v>0.87000979118672284</v>
      </c>
      <c r="F68" s="708">
        <v>-0.42495056136772674</v>
      </c>
      <c r="G68" s="711">
        <v>0.24999996726497564</v>
      </c>
      <c r="H68" s="710">
        <v>0.314</v>
      </c>
      <c r="I68" s="708">
        <v>0.52</v>
      </c>
      <c r="J68" s="570">
        <v>5.1020000000000003</v>
      </c>
      <c r="K68" s="865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>1613</v>
      </c>
      <c r="L68" s="320"/>
      <c r="M68" s="168">
        <f t="shared" si="239"/>
        <v>5.1020000000000003</v>
      </c>
      <c r="N68" s="632">
        <f t="shared" si="240"/>
        <v>-0.25290092832293171</v>
      </c>
      <c r="O68" s="629">
        <f t="shared" si="241"/>
        <v>-0.43803687475930286</v>
      </c>
      <c r="P68" s="633">
        <f t="shared" si="242"/>
        <v>-0.54780165216978305</v>
      </c>
      <c r="Q68" s="585">
        <f t="shared" si="113"/>
        <v>239.99997834268262</v>
      </c>
      <c r="R68" s="629">
        <f>IF(M68="","",SQRT(N68^2+O68^2))</f>
        <v>0.50580152549740076</v>
      </c>
      <c r="S68" s="634">
        <f>IF(M68="","",P68)</f>
        <v>-0.54780165216978305</v>
      </c>
      <c r="T68" s="635">
        <f>IF(M68="","",X68*COS(RADIANS(W68)))</f>
        <v>-0.4380368747593027</v>
      </c>
      <c r="U68" s="629">
        <f>IF(M68="","",X68*SIN(RADIANS(W68)))</f>
        <v>0.25290092832293176</v>
      </c>
      <c r="V68" s="636">
        <f>IF(M68="","",Y68)</f>
        <v>-0.54780165216978305</v>
      </c>
      <c r="W68" s="585">
        <f t="shared" si="224"/>
        <v>149.99997834268262</v>
      </c>
      <c r="X68" s="629">
        <f>IF(M68="","",R68)</f>
        <v>0.50580152549740076</v>
      </c>
      <c r="Y68" s="630">
        <f t="shared" si="223"/>
        <v>-0.54780165216978305</v>
      </c>
      <c r="Z68" s="632">
        <f t="shared" si="243"/>
        <v>-0.87000979118672284</v>
      </c>
      <c r="AA68" s="629">
        <f t="shared" si="244"/>
        <v>0.42495056136772674</v>
      </c>
      <c r="AB68" s="629">
        <f t="shared" si="245"/>
        <v>-0.24999996726497564</v>
      </c>
      <c r="AC68" s="636">
        <f>IF(M68="","",SQRT(Z68^2+AA68^2+AB68^2))</f>
        <v>1</v>
      </c>
      <c r="AD68" s="637">
        <f>IF(M68="","",Z68*(1/SQRT(Z68^2+AA68^2+AB68^2)))</f>
        <v>-0.87000979118672284</v>
      </c>
      <c r="AE68" s="629">
        <f>IF(M68="","",AA68*(1/SQRT(Z68^2+AA68^2+AB68^2)))</f>
        <v>0.42495056136772674</v>
      </c>
      <c r="AF68" s="633">
        <f>IF(M68="","",AB68*(1/SQRT(Z68^2+AA68^2+AB68^2)))</f>
        <v>-0.24999996726497564</v>
      </c>
      <c r="AG68" s="602">
        <f>IF(M68="","",DEGREES(ATAN2(-AF68,AE68)))</f>
        <v>59.531545382719415</v>
      </c>
      <c r="AH68" s="603">
        <f>IF(M68="","",DEGREES(ACOS(AD68)))</f>
        <v>150.45977731863033</v>
      </c>
      <c r="AI68" s="585">
        <f>IF(M68="","",DEGREES(-ACOS(-AF68)))</f>
        <v>-75.522489751159469</v>
      </c>
      <c r="AJ68" s="586">
        <f>IF(M68="","",DEGREES(ATAN2(-AE68,AD68)))</f>
        <v>-116.03289201223075</v>
      </c>
      <c r="AK68" s="635">
        <f>IF(M68="","",(COS(RADIANS((90-$Q$8)-W68))*AD68)+(-SIN(RADIANS((90-$Q$8)-W68))*AE68))</f>
        <v>0.96592583607220739</v>
      </c>
      <c r="AL68" s="629">
        <f>IF(M68="","",(SIN(RADIANS((90-$Q$8)-W68))*AD68)+(COS(RADIANS((90-$Q$8)-W68))*AE68))</f>
        <v>6.6987279208208073E-2</v>
      </c>
      <c r="AM68" s="634">
        <f>IF(M68="","",AF68)</f>
        <v>-0.24999996726497564</v>
      </c>
      <c r="AN68" s="581">
        <f>IF(M68="","",DEGREES(ATAN2(-AM68,AL68)))</f>
        <v>14.999997834268456</v>
      </c>
      <c r="AO68" s="582">
        <f t="shared" si="461"/>
        <v>14.999997834268255</v>
      </c>
      <c r="AP68" s="585">
        <f>IF(M68="","",DEGREES(ATAN2(AK68,AL68)))</f>
        <v>3.9671296450866227</v>
      </c>
      <c r="AQ68" s="586">
        <f t="shared" si="246"/>
        <v>4.4978938946992741</v>
      </c>
      <c r="AS68" s="52">
        <f t="shared" si="406"/>
        <v>-210.00002165731738</v>
      </c>
      <c r="AT68" s="72">
        <f t="shared" si="247"/>
        <v>-0.40196830379664594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5.1020000000000003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-0.59340217820018815</v>
      </c>
      <c r="C69" s="708">
        <v>-1.0278018247614491</v>
      </c>
      <c r="D69" s="709">
        <v>-0.3653011017481228</v>
      </c>
      <c r="E69" s="710">
        <v>0.87000979118672295</v>
      </c>
      <c r="F69" s="708">
        <v>-0.42495056136772658</v>
      </c>
      <c r="G69" s="711">
        <v>0.24999996726497559</v>
      </c>
      <c r="H69" s="710">
        <v>0.314</v>
      </c>
      <c r="I69" s="708">
        <v>0.52</v>
      </c>
      <c r="J69" s="570">
        <v>5.1050000000000004</v>
      </c>
      <c r="K69" s="865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>1613</v>
      </c>
      <c r="L69" s="320"/>
      <c r="M69" s="168">
        <f t="shared" si="239"/>
        <v>5.1050000000000004</v>
      </c>
      <c r="N69" s="632">
        <f t="shared" si="240"/>
        <v>-0.59340217820018815</v>
      </c>
      <c r="O69" s="629">
        <f t="shared" si="241"/>
        <v>-1.0278018247614491</v>
      </c>
      <c r="P69" s="633">
        <f t="shared" si="242"/>
        <v>-0.3653011017481228</v>
      </c>
      <c r="Q69" s="585">
        <f t="shared" si="113"/>
        <v>239.99997834268268</v>
      </c>
      <c r="R69" s="629">
        <f t="shared" si="79"/>
        <v>1.1868035793995957</v>
      </c>
      <c r="S69" s="634">
        <f t="shared" si="80"/>
        <v>-0.3653011017481228</v>
      </c>
      <c r="T69" s="635">
        <f t="shared" si="81"/>
        <v>-1.0278018247614491</v>
      </c>
      <c r="U69" s="629">
        <f t="shared" si="82"/>
        <v>0.59340217820018804</v>
      </c>
      <c r="V69" s="636">
        <f t="shared" si="114"/>
        <v>-0.3653011017481228</v>
      </c>
      <c r="W69" s="585">
        <f t="shared" si="224"/>
        <v>149.99997834268268</v>
      </c>
      <c r="X69" s="629">
        <f t="shared" si="83"/>
        <v>1.1868035793995957</v>
      </c>
      <c r="Y69" s="630">
        <f t="shared" si="223"/>
        <v>-0.3653011017481228</v>
      </c>
      <c r="Z69" s="632">
        <f t="shared" si="243"/>
        <v>-0.87000979118672295</v>
      </c>
      <c r="AA69" s="629">
        <f t="shared" si="244"/>
        <v>0.42495056136772658</v>
      </c>
      <c r="AB69" s="629">
        <f t="shared" si="245"/>
        <v>-0.24999996726497559</v>
      </c>
      <c r="AC69" s="636">
        <f t="shared" si="84"/>
        <v>1</v>
      </c>
      <c r="AD69" s="637">
        <f t="shared" si="115"/>
        <v>-0.87000979118672295</v>
      </c>
      <c r="AE69" s="629">
        <f t="shared" si="85"/>
        <v>0.42495056136772658</v>
      </c>
      <c r="AF69" s="633">
        <f t="shared" si="86"/>
        <v>-0.24999996726497559</v>
      </c>
      <c r="AG69" s="602">
        <f t="shared" si="87"/>
        <v>59.531545382719415</v>
      </c>
      <c r="AH69" s="603">
        <f t="shared" si="88"/>
        <v>150.45977731863033</v>
      </c>
      <c r="AI69" s="585">
        <f t="shared" si="89"/>
        <v>-75.522489751159469</v>
      </c>
      <c r="AJ69" s="586">
        <f t="shared" si="90"/>
        <v>-116.03289201223073</v>
      </c>
      <c r="AK69" s="635">
        <f t="shared" si="211"/>
        <v>0.96592583607220739</v>
      </c>
      <c r="AL69" s="629">
        <f t="shared" si="91"/>
        <v>6.6987279208207351E-2</v>
      </c>
      <c r="AM69" s="634">
        <f t="shared" si="92"/>
        <v>-0.24999996726497559</v>
      </c>
      <c r="AN69" s="581">
        <f t="shared" si="93"/>
        <v>14.999997834268306</v>
      </c>
      <c r="AO69" s="582">
        <f t="shared" si="461"/>
        <v>14.999997834268255</v>
      </c>
      <c r="AP69" s="585">
        <f t="shared" si="95"/>
        <v>3.9671296450865805</v>
      </c>
      <c r="AQ69" s="586">
        <f t="shared" si="246"/>
        <v>1.9201771184520251</v>
      </c>
      <c r="AS69" s="52">
        <f t="shared" si="406"/>
        <v>-210.00002165731732</v>
      </c>
      <c r="AT69" s="72">
        <f t="shared" si="247"/>
        <v>-0.21946775337498578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5.1050000000000004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-0.94050345230414067</v>
      </c>
      <c r="C70" s="708">
        <v>-1.628998342076412</v>
      </c>
      <c r="D70" s="709">
        <v>-0.17930054077043101</v>
      </c>
      <c r="E70" s="710">
        <v>0.87000979118672284</v>
      </c>
      <c r="F70" s="708">
        <v>-0.42495056136772685</v>
      </c>
      <c r="G70" s="711">
        <v>0.24999996726497567</v>
      </c>
      <c r="H70" s="710">
        <v>0.314</v>
      </c>
      <c r="I70" s="708">
        <v>0.52</v>
      </c>
      <c r="J70" s="570">
        <v>5.1079999999999997</v>
      </c>
      <c r="K70" s="865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>1613</v>
      </c>
      <c r="L70" s="320"/>
      <c r="M70" s="168">
        <f t="shared" si="239"/>
        <v>5.1079999999999997</v>
      </c>
      <c r="N70" s="632">
        <f t="shared" si="240"/>
        <v>-0.94050345230414067</v>
      </c>
      <c r="O70" s="629">
        <f t="shared" si="241"/>
        <v>-1.628998342076412</v>
      </c>
      <c r="P70" s="633">
        <f t="shared" si="242"/>
        <v>-0.17930054077043101</v>
      </c>
      <c r="Q70" s="585">
        <f t="shared" si="113"/>
        <v>239.99997834268268</v>
      </c>
      <c r="R70" s="629">
        <f t="shared" si="79"/>
        <v>1.8810056731131106</v>
      </c>
      <c r="S70" s="634">
        <f t="shared" si="80"/>
        <v>-0.17930054077043101</v>
      </c>
      <c r="T70" s="635">
        <f t="shared" si="81"/>
        <v>-1.6289983420764123</v>
      </c>
      <c r="U70" s="629">
        <f t="shared" si="82"/>
        <v>0.94050345230414034</v>
      </c>
      <c r="V70" s="636">
        <f t="shared" si="114"/>
        <v>-0.17930054077043101</v>
      </c>
      <c r="W70" s="585">
        <f t="shared" si="224"/>
        <v>149.99997834268268</v>
      </c>
      <c r="X70" s="629">
        <f t="shared" si="83"/>
        <v>1.8810056731131106</v>
      </c>
      <c r="Y70" s="630">
        <f t="shared" si="223"/>
        <v>-0.17930054077043101</v>
      </c>
      <c r="Z70" s="632">
        <f t="shared" si="243"/>
        <v>-0.87000979118672284</v>
      </c>
      <c r="AA70" s="629">
        <f t="shared" si="244"/>
        <v>0.42495056136772685</v>
      </c>
      <c r="AB70" s="629">
        <f t="shared" si="245"/>
        <v>-0.24999996726497567</v>
      </c>
      <c r="AC70" s="636">
        <f t="shared" si="84"/>
        <v>1</v>
      </c>
      <c r="AD70" s="637">
        <f t="shared" si="115"/>
        <v>-0.87000979118672284</v>
      </c>
      <c r="AE70" s="629">
        <f t="shared" si="85"/>
        <v>0.42495056136772685</v>
      </c>
      <c r="AF70" s="633">
        <f t="shared" si="86"/>
        <v>-0.24999996726497567</v>
      </c>
      <c r="AG70" s="602">
        <f t="shared" si="87"/>
        <v>59.531545382719415</v>
      </c>
      <c r="AH70" s="603">
        <f t="shared" si="88"/>
        <v>150.45977731863033</v>
      </c>
      <c r="AI70" s="585">
        <f t="shared" si="89"/>
        <v>-75.522489751159455</v>
      </c>
      <c r="AJ70" s="586">
        <f t="shared" si="90"/>
        <v>-116.03289201223077</v>
      </c>
      <c r="AK70" s="635">
        <f t="shared" si="211"/>
        <v>0.96592583607220739</v>
      </c>
      <c r="AL70" s="629">
        <f t="shared" si="91"/>
        <v>6.6987279208207018E-2</v>
      </c>
      <c r="AM70" s="634">
        <f t="shared" si="92"/>
        <v>-0.24999996726497567</v>
      </c>
      <c r="AN70" s="581">
        <f t="shared" si="93"/>
        <v>14.999997834268227</v>
      </c>
      <c r="AO70" s="582">
        <f t="shared" si="461"/>
        <v>14.999997834268255</v>
      </c>
      <c r="AP70" s="585">
        <f t="shared" si="95"/>
        <v>3.967129645086561</v>
      </c>
      <c r="AQ70" s="586">
        <f t="shared" si="246"/>
        <v>1.2117915102752748</v>
      </c>
      <c r="AS70" s="52">
        <f t="shared" si="406"/>
        <v>-210.00002165731732</v>
      </c>
      <c r="AT70" s="72">
        <f t="shared" si="247"/>
        <v>-3.3467192397293982E-2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5.1079999999999997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-1.3698506806631763</v>
      </c>
      <c r="C71" s="708">
        <v>-2.3410824955557628</v>
      </c>
      <c r="D71" s="709">
        <v>-0.10380031306174431</v>
      </c>
      <c r="E71" s="710">
        <v>0.80121620233676671</v>
      </c>
      <c r="F71" s="708">
        <v>-0.54115287954000213</v>
      </c>
      <c r="G71" s="711">
        <v>0.25535496485992482</v>
      </c>
      <c r="H71" s="710">
        <v>0.314</v>
      </c>
      <c r="I71" s="708">
        <v>0.52</v>
      </c>
      <c r="J71" s="570">
        <v>5.1130000000000004</v>
      </c>
      <c r="K71" s="865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>1613</v>
      </c>
      <c r="L71" s="320"/>
      <c r="M71" s="168">
        <f t="shared" si="239"/>
        <v>5.1130000000000004</v>
      </c>
      <c r="N71" s="632">
        <f t="shared" si="240"/>
        <v>-1.3698506806631763</v>
      </c>
      <c r="O71" s="629">
        <f t="shared" si="241"/>
        <v>-2.3410824955557628</v>
      </c>
      <c r="P71" s="633">
        <f t="shared" si="242"/>
        <v>-0.10380031306174431</v>
      </c>
      <c r="Q71" s="585">
        <f t="shared" si="113"/>
        <v>239.66657839081967</v>
      </c>
      <c r="R71" s="629">
        <f t="shared" si="79"/>
        <v>2.7124081806230724</v>
      </c>
      <c r="S71" s="634">
        <f t="shared" si="80"/>
        <v>-0.10380031306174431</v>
      </c>
      <c r="T71" s="635">
        <f t="shared" si="81"/>
        <v>-2.3410824955557628</v>
      </c>
      <c r="U71" s="629">
        <f t="shared" si="82"/>
        <v>1.3698506806631761</v>
      </c>
      <c r="V71" s="636">
        <f t="shared" si="114"/>
        <v>-0.10380031306174431</v>
      </c>
      <c r="W71" s="585">
        <f t="shared" si="224"/>
        <v>149.66657839081967</v>
      </c>
      <c r="X71" s="629">
        <f t="shared" si="83"/>
        <v>2.7124081806230724</v>
      </c>
      <c r="Y71" s="630">
        <f t="shared" si="223"/>
        <v>-0.10380031306174431</v>
      </c>
      <c r="Z71" s="632">
        <f t="shared" si="243"/>
        <v>-0.80121620233676671</v>
      </c>
      <c r="AA71" s="629">
        <f t="shared" si="244"/>
        <v>0.54115287954000213</v>
      </c>
      <c r="AB71" s="629">
        <f t="shared" si="245"/>
        <v>-0.25535496485992482</v>
      </c>
      <c r="AC71" s="636">
        <f t="shared" si="84"/>
        <v>1</v>
      </c>
      <c r="AD71" s="637">
        <f t="shared" si="115"/>
        <v>-0.80121620233676671</v>
      </c>
      <c r="AE71" s="629">
        <f t="shared" si="85"/>
        <v>0.54115287954000213</v>
      </c>
      <c r="AF71" s="633">
        <f t="shared" si="86"/>
        <v>-0.25535496485992482</v>
      </c>
      <c r="AG71" s="602">
        <f t="shared" si="87"/>
        <v>64.738681123756024</v>
      </c>
      <c r="AH71" s="603">
        <f t="shared" si="88"/>
        <v>143.24639857048373</v>
      </c>
      <c r="AI71" s="585">
        <f t="shared" si="89"/>
        <v>-75.205380502365387</v>
      </c>
      <c r="AJ71" s="586">
        <f t="shared" si="90"/>
        <v>-124.03565433758185</v>
      </c>
      <c r="AK71" s="635">
        <f t="shared" si="211"/>
        <v>0.96482966152454974</v>
      </c>
      <c r="AL71" s="629">
        <f t="shared" si="91"/>
        <v>-6.2430490658088089E-2</v>
      </c>
      <c r="AM71" s="634">
        <f t="shared" si="92"/>
        <v>-0.25535496485992482</v>
      </c>
      <c r="AN71" s="581">
        <f t="shared" si="93"/>
        <v>-13.738467720810306</v>
      </c>
      <c r="AO71" s="582">
        <f t="shared" si="461"/>
        <v>15.240774905545788</v>
      </c>
      <c r="AP71" s="585">
        <f t="shared" si="95"/>
        <v>-3.7022327284015213</v>
      </c>
      <c r="AQ71" s="586">
        <f t="shared" si="246"/>
        <v>0.84042038695876686</v>
      </c>
      <c r="AS71" s="52">
        <f t="shared" si="406"/>
        <v>-210.33342160918033</v>
      </c>
      <c r="AT71" s="72">
        <f t="shared" si="247"/>
        <v>4.2264563055742027E-2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5.1130000000000004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-1.7843606066067439</v>
      </c>
      <c r="C72" s="708">
        <v>-2.9499279113122729</v>
      </c>
      <c r="D72" s="709">
        <v>-0.38810117051312998</v>
      </c>
      <c r="E72" s="710">
        <v>0.72025418044046341</v>
      </c>
      <c r="F72" s="708">
        <v>-0.66611787107133313</v>
      </c>
      <c r="G72" s="711">
        <v>0.19370311664356679</v>
      </c>
      <c r="H72" s="710">
        <v>0.314</v>
      </c>
      <c r="I72" s="708">
        <v>0.52</v>
      </c>
      <c r="J72" s="570">
        <v>5.12</v>
      </c>
      <c r="K72" s="865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>1613</v>
      </c>
      <c r="L72" s="320"/>
      <c r="M72" s="168">
        <f t="shared" si="239"/>
        <v>5.12</v>
      </c>
      <c r="N72" s="632">
        <f t="shared" si="240"/>
        <v>-1.7843606066067439</v>
      </c>
      <c r="O72" s="629">
        <f t="shared" si="241"/>
        <v>-2.9499279113122729</v>
      </c>
      <c r="P72" s="633">
        <f t="shared" si="242"/>
        <v>-0.38810117051312998</v>
      </c>
      <c r="Q72" s="585">
        <f t="shared" si="113"/>
        <v>238.83097851146536</v>
      </c>
      <c r="R72" s="629">
        <f t="shared" si="79"/>
        <v>3.44761039799296</v>
      </c>
      <c r="S72" s="634">
        <f t="shared" si="80"/>
        <v>-0.38810117051312998</v>
      </c>
      <c r="T72" s="635">
        <f t="shared" si="81"/>
        <v>-2.9499279113122729</v>
      </c>
      <c r="U72" s="629">
        <f t="shared" si="82"/>
        <v>1.7843606066067441</v>
      </c>
      <c r="V72" s="636">
        <f t="shared" si="114"/>
        <v>-0.38810117051312998</v>
      </c>
      <c r="W72" s="585">
        <f t="shared" si="224"/>
        <v>148.83097851146536</v>
      </c>
      <c r="X72" s="629">
        <f t="shared" si="83"/>
        <v>3.44761039799296</v>
      </c>
      <c r="Y72" s="630">
        <f t="shared" si="223"/>
        <v>-0.38810117051312998</v>
      </c>
      <c r="Z72" s="632">
        <f t="shared" si="243"/>
        <v>-0.72025418044046341</v>
      </c>
      <c r="AA72" s="629">
        <f t="shared" si="244"/>
        <v>0.66611787107133313</v>
      </c>
      <c r="AB72" s="629">
        <f t="shared" si="245"/>
        <v>-0.19370311664356679</v>
      </c>
      <c r="AC72" s="636">
        <f t="shared" si="84"/>
        <v>1</v>
      </c>
      <c r="AD72" s="637">
        <f t="shared" si="115"/>
        <v>-0.72025418044046341</v>
      </c>
      <c r="AE72" s="629">
        <f t="shared" si="85"/>
        <v>0.66611787107133313</v>
      </c>
      <c r="AF72" s="633">
        <f t="shared" si="86"/>
        <v>-0.19370311664356679</v>
      </c>
      <c r="AG72" s="602">
        <f t="shared" si="87"/>
        <v>73.785883310932476</v>
      </c>
      <c r="AH72" s="603">
        <f t="shared" si="88"/>
        <v>136.0754700332931</v>
      </c>
      <c r="AI72" s="585">
        <f t="shared" si="89"/>
        <v>-78.831026768917752</v>
      </c>
      <c r="AJ72" s="586">
        <f t="shared" si="90"/>
        <v>-132.76379873441979</v>
      </c>
      <c r="AK72" s="635">
        <f t="shared" si="211"/>
        <v>0.9610402615521616</v>
      </c>
      <c r="AL72" s="629">
        <f t="shared" si="91"/>
        <v>-0.19718194206955603</v>
      </c>
      <c r="AM72" s="634">
        <f t="shared" si="92"/>
        <v>-0.19370311664356679</v>
      </c>
      <c r="AN72" s="581">
        <f t="shared" si="93"/>
        <v>-45.509911411985868</v>
      </c>
      <c r="AO72" s="582">
        <f t="shared" si="461"/>
        <v>16.045964503664194</v>
      </c>
      <c r="AP72" s="585">
        <f t="shared" si="95"/>
        <v>-11.594777245885137</v>
      </c>
      <c r="AQ72" s="586">
        <f t="shared" si="246"/>
        <v>0.66121897829238774</v>
      </c>
      <c r="AS72" s="52">
        <f t="shared" si="406"/>
        <v>-211.16902148853464</v>
      </c>
      <c r="AT72" s="72">
        <f t="shared" si="247"/>
        <v>-0.2414560167016476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5.12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-2.1084900073820809</v>
      </c>
      <c r="C73" s="708">
        <v>-3.3819785419117512</v>
      </c>
      <c r="D73" s="709">
        <v>-0.94500285012859564</v>
      </c>
      <c r="E73" s="710">
        <v>0.66881738747605335</v>
      </c>
      <c r="F73" s="708">
        <v>-0.7352702990036899</v>
      </c>
      <c r="G73" s="711">
        <v>0.10982208162628829</v>
      </c>
      <c r="H73" s="710">
        <v>0.314</v>
      </c>
      <c r="I73" s="708">
        <v>0.52</v>
      </c>
      <c r="J73" s="570">
        <v>5.1269999999999998</v>
      </c>
      <c r="K73" s="865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>1613</v>
      </c>
      <c r="L73" s="320"/>
      <c r="M73" s="168">
        <f t="shared" ref="M73:M104" si="464">IF(J73="","",VALUE(J73))</f>
        <v>5.1269999999999998</v>
      </c>
      <c r="N73" s="632">
        <f t="shared" ref="N73:N104" si="465">IF(M73="","",B73)</f>
        <v>-2.1084900073820809</v>
      </c>
      <c r="O73" s="629">
        <f t="shared" ref="O73:O104" si="466">IF(M73="","",C73)</f>
        <v>-3.3819785419117512</v>
      </c>
      <c r="P73" s="633">
        <f t="shared" ref="P73:P104" si="467">IF(M73="","",D73)</f>
        <v>-0.94500285012859564</v>
      </c>
      <c r="Q73" s="585">
        <f t="shared" si="113"/>
        <v>238.05857862298612</v>
      </c>
      <c r="R73" s="629">
        <f>IF(M73="","",SQRT(N73^2+O73^2))</f>
        <v>3.9854120200026526</v>
      </c>
      <c r="S73" s="634">
        <f>IF(M73="","",P73)</f>
        <v>-0.94500285012859564</v>
      </c>
      <c r="T73" s="635">
        <f>IF(M73="","",X73*COS(RADIANS(W73)))</f>
        <v>-3.3819785419117512</v>
      </c>
      <c r="U73" s="629">
        <f>IF(M73="","",X73*SIN(RADIANS(W73)))</f>
        <v>2.1084900073820814</v>
      </c>
      <c r="V73" s="636">
        <f>IF(M73="","",Y73)</f>
        <v>-0.94500285012859564</v>
      </c>
      <c r="W73" s="585">
        <f t="shared" si="224"/>
        <v>148.05857862298612</v>
      </c>
      <c r="X73" s="629">
        <f>IF(M73="","",R73)</f>
        <v>3.9854120200026526</v>
      </c>
      <c r="Y73" s="630">
        <f t="shared" si="223"/>
        <v>-0.94500285012859564</v>
      </c>
      <c r="Z73" s="632">
        <f t="shared" ref="Z73:Z104" si="468">IF(M73="","",-E73)</f>
        <v>-0.66881738747605335</v>
      </c>
      <c r="AA73" s="629">
        <f t="shared" ref="AA73:AA104" si="469">IF(M73="","",-F73)</f>
        <v>0.7352702990036899</v>
      </c>
      <c r="AB73" s="629">
        <f t="shared" ref="AB73:AB104" si="470">IF(M73="","",-G73)</f>
        <v>-0.10982208162628829</v>
      </c>
      <c r="AC73" s="636">
        <f>IF(M73="","",SQRT(Z73^2+AA73^2+AB73^2))</f>
        <v>1</v>
      </c>
      <c r="AD73" s="637">
        <f>IF(M73="","",Z73*(1/SQRT(Z73^2+AA73^2+AB73^2)))</f>
        <v>-0.66881738747605335</v>
      </c>
      <c r="AE73" s="629">
        <f>IF(M73="","",AA73*(1/SQRT(Z73^2+AA73^2+AB73^2)))</f>
        <v>0.7352702990036899</v>
      </c>
      <c r="AF73" s="633">
        <f>IF(M73="","",AB73*(1/SQRT(Z73^2+AA73^2+AB73^2)))</f>
        <v>-0.10982208162628829</v>
      </c>
      <c r="AG73" s="602">
        <f>IF(M73="","",DEGREES(ATAN2(-AF73,AE73)))</f>
        <v>81.504939332177642</v>
      </c>
      <c r="AH73" s="603">
        <f>IF(M73="","",DEGREES(ACOS(AD73)))</f>
        <v>131.9758556932934</v>
      </c>
      <c r="AI73" s="585">
        <f>IF(M73="","",DEGREES(-ACOS(-AF73)))</f>
        <v>-83.694940539940674</v>
      </c>
      <c r="AJ73" s="586">
        <f>IF(M73="","",DEGREES(ATAN2(-AE73,AD73)))</f>
        <v>-137.70968285066814</v>
      </c>
      <c r="AK73" s="635">
        <f>IF(M73="","",(COS(RADIANS((90-$Q$8)-W73))*AD73)+(-SIN(RADIANS((90-$Q$8)-W73))*AE73))</f>
        <v>0.95654755692563687</v>
      </c>
      <c r="AL73" s="629">
        <f>IF(M73="","",(SIN(RADIANS((90-$Q$8)-W73))*AD73)+(COS(RADIANS((90-$Q$8)-W73))*AE73))</f>
        <v>-0.27010346485534809</v>
      </c>
      <c r="AM73" s="634">
        <f>IF(M73="","",AF73)</f>
        <v>-0.10982208162628829</v>
      </c>
      <c r="AN73" s="581">
        <f>IF(M73="","",DEGREES(ATAN2(-AM73,AL73)))</f>
        <v>-67.873702740566983</v>
      </c>
      <c r="AO73" s="582">
        <f t="shared" si="461"/>
        <v>16.9523537432372</v>
      </c>
      <c r="AP73" s="585">
        <f>IF(M73="","",DEGREES(ATAN2(AK73,AL73)))</f>
        <v>-15.768261473654245</v>
      </c>
      <c r="AQ73" s="586">
        <f t="shared" ref="AQ73:AQ104" si="471">IF(M73="","",DEGREES(ATAN(($AS$5*SIN(RADIANS(90)))/(($X73*2*PI())-($AS$5*COS(RADIANS(90)))))))</f>
        <v>0.57199880044735674</v>
      </c>
      <c r="AS73" s="52">
        <f t="shared" si="406"/>
        <v>-211.94142137701388</v>
      </c>
      <c r="AT73" s="72">
        <f t="shared" ref="AT73:AT104" si="472">IF(M73="","",Y73+(((AS73-$AS$9)*$AS$6)*-1))</f>
        <v>-0.79782130750566926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5.1269999999999998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-2.3315678001080662</v>
      </c>
      <c r="C74" s="708">
        <v>-3.6601777668093631</v>
      </c>
      <c r="D74" s="709">
        <v>-1.6240048979987727</v>
      </c>
      <c r="E74" s="710">
        <v>0.63129322604346083</v>
      </c>
      <c r="F74" s="708">
        <v>-0.77382560890323526</v>
      </c>
      <c r="G74" s="711">
        <v>5.1602226281210112E-2</v>
      </c>
      <c r="H74" s="710">
        <v>0.314</v>
      </c>
      <c r="I74" s="708">
        <v>0.52</v>
      </c>
      <c r="J74" s="570">
        <v>5.1340000000000003</v>
      </c>
      <c r="K74" s="865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>1613</v>
      </c>
      <c r="L74" s="320"/>
      <c r="M74" s="168">
        <f t="shared" si="464"/>
        <v>5.1340000000000003</v>
      </c>
      <c r="N74" s="632">
        <f t="shared" si="465"/>
        <v>-2.3315678001080662</v>
      </c>
      <c r="O74" s="629">
        <f t="shared" si="466"/>
        <v>-3.6601777668093631</v>
      </c>
      <c r="P74" s="633">
        <f t="shared" si="467"/>
        <v>-1.6240048979987727</v>
      </c>
      <c r="Q74" s="585">
        <f t="shared" ref="Q74:Q129" si="520">IF(M74="","",IF(DEGREES(ATAN2(N74,O74))&lt;0,DEGREES(ATAN2(N74,O74))+360,IF(DEGREES(ATAN2(N74,O74))&gt;360,DEGREES(ATAN2(N74,O74))-360,DEGREES(ATAN2(N74,O74)))))</f>
        <v>237.50247870327701</v>
      </c>
      <c r="R74" s="629">
        <f>IF(M74="","",SQRT(N74^2+O74^2))</f>
        <v>4.3397130885746753</v>
      </c>
      <c r="S74" s="634">
        <f>IF(M74="","",P74)</f>
        <v>-1.6240048979987727</v>
      </c>
      <c r="T74" s="635">
        <f>IF(M74="","",X74*COS(RADIANS(W74)))</f>
        <v>-3.6601777668093636</v>
      </c>
      <c r="U74" s="629">
        <f>IF(M74="","",X74*SIN(RADIANS(W74)))</f>
        <v>2.3315678001080662</v>
      </c>
      <c r="V74" s="636">
        <f>IF(M74="","",Y74)</f>
        <v>-1.6240048979987727</v>
      </c>
      <c r="W74" s="585">
        <f t="shared" si="224"/>
        <v>147.50247870327701</v>
      </c>
      <c r="X74" s="629">
        <f>IF(M74="","",R74)</f>
        <v>4.3397130885746753</v>
      </c>
      <c r="Y74" s="630">
        <f t="shared" si="223"/>
        <v>-1.6240048979987727</v>
      </c>
      <c r="Z74" s="632">
        <f t="shared" si="468"/>
        <v>-0.63129322604346083</v>
      </c>
      <c r="AA74" s="629">
        <f t="shared" si="469"/>
        <v>0.77382560890323526</v>
      </c>
      <c r="AB74" s="629">
        <f t="shared" si="470"/>
        <v>-5.1602226281210112E-2</v>
      </c>
      <c r="AC74" s="636">
        <f>IF(M74="","",SQRT(Z74^2+AA74^2+AB74^2))</f>
        <v>1</v>
      </c>
      <c r="AD74" s="637">
        <f>IF(M74="","",Z74*(1/SQRT(Z74^2+AA74^2+AB74^2)))</f>
        <v>-0.63129322604346083</v>
      </c>
      <c r="AE74" s="629">
        <f>IF(M74="","",AA74*(1/SQRT(Z74^2+AA74^2+AB74^2)))</f>
        <v>0.77382560890323526</v>
      </c>
      <c r="AF74" s="633">
        <f>IF(M74="","",AB74*(1/SQRT(Z74^2+AA74^2+AB74^2)))</f>
        <v>-5.1602226281210112E-2</v>
      </c>
      <c r="AG74" s="602">
        <f>IF(M74="","",DEGREES(ATAN2(-AF74,AE74)))</f>
        <v>86.184904045929528</v>
      </c>
      <c r="AH74" s="603">
        <f>IF(M74="","",DEGREES(ACOS(AD74)))</f>
        <v>129.14559898443599</v>
      </c>
      <c r="AI74" s="585">
        <f>IF(M74="","",DEGREES(-ACOS(-AF74)))</f>
        <v>-87.04209651634801</v>
      </c>
      <c r="AJ74" s="586">
        <f>IF(M74="","",DEGREES(ATAN2(-AE74,AD74)))</f>
        <v>-140.79215456181998</v>
      </c>
      <c r="AK74" s="635">
        <f>IF(M74="","",(COS(RADIANS((90-$Q$8)-W74))*AD74)+(-SIN(RADIANS((90-$Q$8)-W74))*AE74))</f>
        <v>0.94818994226895148</v>
      </c>
      <c r="AL74" s="629">
        <f>IF(M74="","",(SIN(RADIANS((90-$Q$8)-W74))*AD74)+(COS(RADIANS((90-$Q$8)-W74))*AE74))</f>
        <v>-0.31348531643894495</v>
      </c>
      <c r="AM74" s="634">
        <f>IF(M74="","",AF74)</f>
        <v>-5.1602226281210112E-2</v>
      </c>
      <c r="AN74" s="581">
        <f>IF(M74="","",DEGREES(ATAN2(-AM74,AL74)))</f>
        <v>-80.65247467506218</v>
      </c>
      <c r="AO74" s="582">
        <f t="shared" si="461"/>
        <v>18.524129393344793</v>
      </c>
      <c r="AP74" s="585">
        <f>IF(M74="","",DEGREES(ATAN2(AK74,AL74)))</f>
        <v>-18.294633265096994</v>
      </c>
      <c r="AQ74" s="586">
        <f t="shared" si="471"/>
        <v>0.52530264314771646</v>
      </c>
      <c r="AS74" s="52">
        <f t="shared" si="406"/>
        <v>-212.49752129672299</v>
      </c>
      <c r="AT74" s="72">
        <f t="shared" si="472"/>
        <v>-1.4764371748760483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5.1340000000000003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-2.4704787121058942</v>
      </c>
      <c r="C75" s="708">
        <v>-3.8262684574151646</v>
      </c>
      <c r="D75" s="709">
        <v>-2.3636071286391003</v>
      </c>
      <c r="E75" s="710">
        <v>0.59460597759442113</v>
      </c>
      <c r="F75" s="708">
        <v>-0.80387997189014126</v>
      </c>
      <c r="G75" s="711">
        <v>1.4856722481370262E-2</v>
      </c>
      <c r="H75" s="710">
        <v>0.314</v>
      </c>
      <c r="I75" s="708">
        <v>0.52</v>
      </c>
      <c r="J75" s="570">
        <v>5.141</v>
      </c>
      <c r="K75" s="865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>1613</v>
      </c>
      <c r="L75" s="320"/>
      <c r="M75" s="168">
        <f t="shared" si="464"/>
        <v>5.141</v>
      </c>
      <c r="N75" s="632">
        <f t="shared" si="465"/>
        <v>-2.4704787121058942</v>
      </c>
      <c r="O75" s="629">
        <f t="shared" si="466"/>
        <v>-3.8262684574151646</v>
      </c>
      <c r="P75" s="633">
        <f t="shared" si="467"/>
        <v>-2.3636071286391003</v>
      </c>
      <c r="Q75" s="585">
        <f t="shared" si="520"/>
        <v>237.15117875399844</v>
      </c>
      <c r="R75" s="629">
        <f>IF(M75="","",SQRT(N75^2+O75^2))</f>
        <v>4.5545137364134298</v>
      </c>
      <c r="S75" s="634">
        <f>IF(M75="","",P75)</f>
        <v>-2.3636071286391003</v>
      </c>
      <c r="T75" s="635">
        <f>IF(M75="","",X75*COS(RADIANS(W75)))</f>
        <v>-3.8262684574151642</v>
      </c>
      <c r="U75" s="629">
        <f>IF(M75="","",X75*SIN(RADIANS(W75)))</f>
        <v>2.4704787121058946</v>
      </c>
      <c r="V75" s="636">
        <f>IF(M75="","",Y75)</f>
        <v>-2.3636071286391003</v>
      </c>
      <c r="W75" s="585">
        <f t="shared" si="224"/>
        <v>147.15117875399844</v>
      </c>
      <c r="X75" s="629">
        <f>IF(M75="","",R75)</f>
        <v>4.5545137364134298</v>
      </c>
      <c r="Y75" s="630">
        <f t="shared" si="223"/>
        <v>-2.3636071286391003</v>
      </c>
      <c r="Z75" s="632">
        <f t="shared" si="468"/>
        <v>-0.59460597759442113</v>
      </c>
      <c r="AA75" s="629">
        <f t="shared" si="469"/>
        <v>0.80387997189014126</v>
      </c>
      <c r="AB75" s="629">
        <f t="shared" si="470"/>
        <v>-1.4856722481370262E-2</v>
      </c>
      <c r="AC75" s="636">
        <f>IF(M75="","",SQRT(Z75^2+AA75^2+AB75^2))</f>
        <v>1</v>
      </c>
      <c r="AD75" s="637">
        <f>IF(M75="","",Z75*(1/SQRT(Z75^2+AA75^2+AB75^2)))</f>
        <v>-0.59460597759442113</v>
      </c>
      <c r="AE75" s="629">
        <f>IF(M75="","",AA75*(1/SQRT(Z75^2+AA75^2+AB75^2)))</f>
        <v>0.80387997189014126</v>
      </c>
      <c r="AF75" s="633">
        <f>IF(M75="","",AB75*(1/SQRT(Z75^2+AA75^2+AB75^2)))</f>
        <v>-1.4856722481370262E-2</v>
      </c>
      <c r="AG75" s="602">
        <f>IF(M75="","",DEGREES(ATAN2(-AF75,AE75)))</f>
        <v>88.941221785752887</v>
      </c>
      <c r="AH75" s="603">
        <f>IF(M75="","",DEGREES(ACOS(AD75)))</f>
        <v>126.4845482310747</v>
      </c>
      <c r="AI75" s="585">
        <f>IF(M75="","",DEGREES(-ACOS(-AF75)))</f>
        <v>-89.148741187175006</v>
      </c>
      <c r="AJ75" s="586">
        <f>IF(M75="","",DEGREES(ATAN2(-AE75,AD75)))</f>
        <v>-143.51077455131167</v>
      </c>
      <c r="AK75" s="635">
        <f>IF(M75="","",(COS(RADIANS((90-$Q$8)-W75))*AD75)+(-SIN(RADIANS((90-$Q$8)-W75))*AE75))</f>
        <v>0.93557527782503236</v>
      </c>
      <c r="AL75" s="629">
        <f>IF(M75="","",(SIN(RADIANS((90-$Q$8)-W75))*AD75)+(COS(RADIANS((90-$Q$8)-W75))*AE75))</f>
        <v>-0.35281465009226187</v>
      </c>
      <c r="AM75" s="634">
        <f>IF(M75="","",AF75)</f>
        <v>-1.4856722481370262E-2</v>
      </c>
      <c r="AN75" s="581">
        <f>IF(M75="","",DEGREES(ATAN2(-AM75,AL75)))</f>
        <v>-87.588748359901544</v>
      </c>
      <c r="AO75" s="582">
        <f t="shared" si="461"/>
        <v>20.678715324506047</v>
      </c>
      <c r="AP75" s="585">
        <f>IF(M75="","",DEGREES(ATAN2(AK75,AL75)))</f>
        <v>-20.661953305310096</v>
      </c>
      <c r="AQ75" s="586">
        <f t="shared" si="471"/>
        <v>0.50052953412324264</v>
      </c>
      <c r="AS75" s="52">
        <f t="shared" ref="AS75:AS106" si="543">IF(G75="","",IF(AND(W75&lt;(AS74+180),W75&gt;(AS74-180)),W75,IF(W75&gt;(AS74+180),W75-360,IF(W75&lt;(AS74-180),W75+360,"Error"))))</f>
        <v>-212.84882124600156</v>
      </c>
      <c r="AT75" s="72">
        <f t="shared" si="472"/>
        <v>-2.2157954472182659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5.141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-2.5084290579497011</v>
      </c>
      <c r="C76" s="708">
        <v>-3.8712569110346529</v>
      </c>
      <c r="D76" s="709">
        <v>-3.0866999999999996</v>
      </c>
      <c r="E76" s="710">
        <v>0.54111478235720833</v>
      </c>
      <c r="F76" s="708">
        <v>-0.84094140995457445</v>
      </c>
      <c r="G76" s="711">
        <v>3.512454714816204E-3</v>
      </c>
      <c r="H76" s="710">
        <v>0.314</v>
      </c>
      <c r="I76" s="708">
        <v>0.52</v>
      </c>
      <c r="J76" s="570">
        <v>5.1479999999999997</v>
      </c>
      <c r="K76" s="865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>1613</v>
      </c>
      <c r="L76" s="320"/>
      <c r="M76" s="168">
        <f t="shared" si="464"/>
        <v>5.1479999999999997</v>
      </c>
      <c r="N76" s="632">
        <f t="shared" si="465"/>
        <v>-2.5084290579497011</v>
      </c>
      <c r="O76" s="629">
        <f t="shared" si="466"/>
        <v>-3.8712569110346529</v>
      </c>
      <c r="P76" s="633">
        <f t="shared" si="467"/>
        <v>-3.0866999999999996</v>
      </c>
      <c r="Q76" s="585">
        <f t="shared" si="520"/>
        <v>237.05827834268268</v>
      </c>
      <c r="R76" s="629">
        <f t="shared" si="79"/>
        <v>4.6128999999999989</v>
      </c>
      <c r="S76" s="634">
        <f t="shared" si="80"/>
        <v>-3.0866999999999996</v>
      </c>
      <c r="T76" s="635">
        <f t="shared" si="81"/>
        <v>-3.8712569110346529</v>
      </c>
      <c r="U76" s="629">
        <f t="shared" si="82"/>
        <v>2.5084290579497011</v>
      </c>
      <c r="V76" s="636">
        <f t="shared" si="114"/>
        <v>-3.0866999999999996</v>
      </c>
      <c r="W76" s="585">
        <f t="shared" si="224"/>
        <v>147.05827834268268</v>
      </c>
      <c r="X76" s="629">
        <f t="shared" si="83"/>
        <v>4.6128999999999989</v>
      </c>
      <c r="Y76" s="630">
        <f t="shared" ref="Y76:Y129" si="644">IF(M76="","",S76)</f>
        <v>-3.0866999999999996</v>
      </c>
      <c r="Z76" s="632">
        <f t="shared" si="468"/>
        <v>-0.54111478235720833</v>
      </c>
      <c r="AA76" s="629">
        <f t="shared" si="469"/>
        <v>0.84094140995457445</v>
      </c>
      <c r="AB76" s="629">
        <f t="shared" si="470"/>
        <v>-3.512454714816204E-3</v>
      </c>
      <c r="AC76" s="636">
        <f t="shared" si="84"/>
        <v>1</v>
      </c>
      <c r="AD76" s="637">
        <f t="shared" si="115"/>
        <v>-0.54111478235720833</v>
      </c>
      <c r="AE76" s="629">
        <f t="shared" si="85"/>
        <v>0.84094140995457445</v>
      </c>
      <c r="AF76" s="633">
        <f t="shared" si="86"/>
        <v>-3.512454714816204E-3</v>
      </c>
      <c r="AG76" s="602">
        <f t="shared" si="87"/>
        <v>89.76068765527944</v>
      </c>
      <c r="AH76" s="603">
        <f t="shared" si="88"/>
        <v>122.75955919856476</v>
      </c>
      <c r="AI76" s="585">
        <f t="shared" si="89"/>
        <v>-89.798750755295416</v>
      </c>
      <c r="AJ76" s="586">
        <f t="shared" si="90"/>
        <v>-147.24021337625445</v>
      </c>
      <c r="AK76" s="635">
        <f t="shared" si="211"/>
        <v>0.91140848698792576</v>
      </c>
      <c r="AL76" s="629">
        <f t="shared" si="91"/>
        <v>-0.41148782789805161</v>
      </c>
      <c r="AM76" s="634">
        <f t="shared" si="92"/>
        <v>-3.512454714816204E-3</v>
      </c>
      <c r="AN76" s="581">
        <f t="shared" si="93"/>
        <v>-89.510935853772239</v>
      </c>
      <c r="AO76" s="582">
        <f t="shared" si="461"/>
        <v>24.29927454440778</v>
      </c>
      <c r="AP76" s="585">
        <f t="shared" si="95"/>
        <v>-24.298491718937107</v>
      </c>
      <c r="AQ76" s="586">
        <f t="shared" si="471"/>
        <v>0.49419456249896182</v>
      </c>
      <c r="AS76" s="52">
        <f t="shared" si="543"/>
        <v>-212.94172165731732</v>
      </c>
      <c r="AT76" s="72">
        <f t="shared" si="472"/>
        <v>-2.9388238044046404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5.1479999999999997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-2.67748964943691</v>
      </c>
      <c r="C77" s="708">
        <v>-3.9324170604296529</v>
      </c>
      <c r="D77" s="709">
        <v>-3.7551999999999981</v>
      </c>
      <c r="E77" s="710">
        <v>0.25334210141110469</v>
      </c>
      <c r="F77" s="708">
        <v>-0.9631329804005021</v>
      </c>
      <c r="G77" s="711">
        <v>9.0513212944031557E-2</v>
      </c>
      <c r="H77" s="710">
        <v>0.26600000000000001</v>
      </c>
      <c r="I77" s="708">
        <v>0.52</v>
      </c>
      <c r="J77" s="570">
        <v>5.1550000000000002</v>
      </c>
      <c r="K77" s="865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>1313</v>
      </c>
      <c r="L77" s="320"/>
      <c r="M77" s="168">
        <f t="shared" si="464"/>
        <v>5.1550000000000002</v>
      </c>
      <c r="N77" s="632">
        <f t="shared" si="465"/>
        <v>-2.67748964943691</v>
      </c>
      <c r="O77" s="629">
        <f t="shared" si="466"/>
        <v>-3.9324170604296529</v>
      </c>
      <c r="P77" s="633">
        <f t="shared" si="467"/>
        <v>-3.7551999999999981</v>
      </c>
      <c r="Q77" s="585">
        <f t="shared" si="520"/>
        <v>235.74997834268271</v>
      </c>
      <c r="R77" s="629">
        <f t="shared" si="79"/>
        <v>4.7573999999999979</v>
      </c>
      <c r="S77" s="634">
        <f t="shared" si="80"/>
        <v>-3.7551999999999981</v>
      </c>
      <c r="T77" s="635">
        <f t="shared" si="81"/>
        <v>-3.9324170604296542</v>
      </c>
      <c r="U77" s="629">
        <f t="shared" si="82"/>
        <v>2.6774896494369083</v>
      </c>
      <c r="V77" s="636">
        <f t="shared" si="114"/>
        <v>-3.7551999999999981</v>
      </c>
      <c r="W77" s="585">
        <f t="shared" si="224"/>
        <v>145.74997834268271</v>
      </c>
      <c r="X77" s="629">
        <f t="shared" si="83"/>
        <v>4.7573999999999979</v>
      </c>
      <c r="Y77" s="630">
        <f t="shared" si="644"/>
        <v>-3.7551999999999981</v>
      </c>
      <c r="Z77" s="632">
        <f t="shared" si="468"/>
        <v>-0.25334210141110469</v>
      </c>
      <c r="AA77" s="629">
        <f t="shared" si="469"/>
        <v>0.9631329804005021</v>
      </c>
      <c r="AB77" s="629">
        <f t="shared" si="470"/>
        <v>-9.0513212944031557E-2</v>
      </c>
      <c r="AC77" s="636">
        <f t="shared" si="84"/>
        <v>1</v>
      </c>
      <c r="AD77" s="637">
        <f t="shared" si="115"/>
        <v>-0.25334210141110469</v>
      </c>
      <c r="AE77" s="629">
        <f t="shared" si="85"/>
        <v>0.9631329804005021</v>
      </c>
      <c r="AF77" s="633">
        <f t="shared" si="86"/>
        <v>-9.0513212944031557E-2</v>
      </c>
      <c r="AG77" s="602">
        <f t="shared" si="87"/>
        <v>84.631231404925686</v>
      </c>
      <c r="AH77" s="603">
        <f t="shared" si="88"/>
        <v>104.67536905785964</v>
      </c>
      <c r="AI77" s="585">
        <f t="shared" si="89"/>
        <v>-84.806867466320753</v>
      </c>
      <c r="AJ77" s="586">
        <f t="shared" si="90"/>
        <v>-165.2627768567398</v>
      </c>
      <c r="AK77" s="635">
        <f t="shared" si="211"/>
        <v>0.75146621847391315</v>
      </c>
      <c r="AL77" s="629">
        <f t="shared" si="91"/>
        <v>-0.65353338153078722</v>
      </c>
      <c r="AM77" s="634">
        <f t="shared" si="92"/>
        <v>-9.0513212944031557E-2</v>
      </c>
      <c r="AN77" s="581">
        <f t="shared" si="93"/>
        <v>-82.114798282431977</v>
      </c>
      <c r="AO77" s="582">
        <f t="shared" si="461"/>
        <v>41.28245362840007</v>
      </c>
      <c r="AP77" s="585">
        <f t="shared" si="95"/>
        <v>-41.012755199422521</v>
      </c>
      <c r="AQ77" s="586">
        <f t="shared" si="471"/>
        <v>0.47918473943468604</v>
      </c>
      <c r="AS77" s="52">
        <f t="shared" si="543"/>
        <v>-214.25002165731729</v>
      </c>
      <c r="AT77" s="72">
        <f t="shared" si="472"/>
        <v>-3.606415262737972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5.1550000000000002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>
        <f t="shared" si="542"/>
        <v>1313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-2.0986247906057334</v>
      </c>
      <c r="C78" s="708">
        <v>-1.7219831173121414</v>
      </c>
      <c r="D78" s="709">
        <v>-0.10142765439245602</v>
      </c>
      <c r="E78" s="710">
        <v>-4.4500706578698028E-2</v>
      </c>
      <c r="F78" s="708">
        <v>-3.6514426711286123E-2</v>
      </c>
      <c r="G78" s="711">
        <v>0.99834181709269432</v>
      </c>
      <c r="H78" s="710">
        <v>0.26250000000000001</v>
      </c>
      <c r="I78" s="708">
        <v>0.40699999999999997</v>
      </c>
      <c r="J78" s="570">
        <v>5.2130000000000001</v>
      </c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>Inactive</v>
      </c>
      <c r="L78" s="320"/>
      <c r="M78" s="168">
        <f t="shared" si="464"/>
        <v>5.2130000000000001</v>
      </c>
      <c r="N78" s="632">
        <f t="shared" si="465"/>
        <v>-2.0986247906057334</v>
      </c>
      <c r="O78" s="629">
        <f t="shared" si="466"/>
        <v>-1.7219831173121414</v>
      </c>
      <c r="P78" s="633">
        <f t="shared" si="467"/>
        <v>-0.10142765439245602</v>
      </c>
      <c r="Q78" s="585">
        <f t="shared" si="520"/>
        <v>219.36988132130014</v>
      </c>
      <c r="R78" s="629">
        <f>IF(M78="","",SQRT(N78^2+O78^2))</f>
        <v>2.7146734367236509</v>
      </c>
      <c r="S78" s="634">
        <f>IF(M78="","",P78)</f>
        <v>-0.10142765439245602</v>
      </c>
      <c r="T78" s="635">
        <f>IF(M78="","",X78*COS(RADIANS(W78)))</f>
        <v>-1.7219831173121409</v>
      </c>
      <c r="U78" s="629">
        <f>IF(M78="","",X78*SIN(RADIANS(W78)))</f>
        <v>2.0986247906057338</v>
      </c>
      <c r="V78" s="636">
        <f>IF(M78="","",Y78)</f>
        <v>-0.10142765439245602</v>
      </c>
      <c r="W78" s="585">
        <f t="shared" si="224"/>
        <v>129.36988132130014</v>
      </c>
      <c r="X78" s="629">
        <f>IF(M78="","",R78)</f>
        <v>2.7146734367236509</v>
      </c>
      <c r="Y78" s="630">
        <f t="shared" si="644"/>
        <v>-0.10142765439245602</v>
      </c>
      <c r="Z78" s="632">
        <f t="shared" si="468"/>
        <v>4.4500706578698028E-2</v>
      </c>
      <c r="AA78" s="629">
        <f t="shared" si="469"/>
        <v>3.6514426711286123E-2</v>
      </c>
      <c r="AB78" s="629">
        <f t="shared" si="470"/>
        <v>-0.99834181709269432</v>
      </c>
      <c r="AC78" s="636">
        <f>IF(M78="","",SQRT(Z78^2+AA78^2+AB78^2))</f>
        <v>1</v>
      </c>
      <c r="AD78" s="637">
        <f>IF(M78="","",Z78*(1/SQRT(Z78^2+AA78^2+AB78^2)))</f>
        <v>4.4500706578698028E-2</v>
      </c>
      <c r="AE78" s="629">
        <f>IF(M78="","",AA78*(1/SQRT(Z78^2+AA78^2+AB78^2)))</f>
        <v>3.6514426711286123E-2</v>
      </c>
      <c r="AF78" s="633">
        <f>IF(M78="","",AB78*(1/SQRT(Z78^2+AA78^2+AB78^2)))</f>
        <v>-0.99834181709269432</v>
      </c>
      <c r="AG78" s="602">
        <f>IF(M78="","",DEGREES(ATAN2(-AF78,AE78)))</f>
        <v>2.0946637229320118</v>
      </c>
      <c r="AH78" s="603">
        <f>IF(M78="","",DEGREES(ACOS(AD78)))</f>
        <v>87.449455042036419</v>
      </c>
      <c r="AI78" s="585">
        <f>IF(M78="","",DEGREES(-ACOS(-AF78)))</f>
        <v>-3.2999995235645732</v>
      </c>
      <c r="AJ78" s="586">
        <f>IF(M78="","",DEGREES(ATAN2(-AE78,AD78)))</f>
        <v>129.37010705936891</v>
      </c>
      <c r="AK78" s="635">
        <f>IF(M78="","",(COS(RADIANS((90-$Q$8)-W78))*AD78)+(-SIN(RADIANS((90-$Q$8)-W78))*AE78))</f>
        <v>2.2679489679669484E-7</v>
      </c>
      <c r="AL78" s="629">
        <f>IF(M78="","",(SIN(RADIANS((90-$Q$8)-W78))*AD78)+(COS(RADIANS((90-$Q$8)-W78))*AE78))</f>
        <v>-5.7564018657541863E-2</v>
      </c>
      <c r="AM78" s="634">
        <f>IF(M78="","",AF78)</f>
        <v>-0.99834181709269432</v>
      </c>
      <c r="AN78" s="581">
        <f>IF(M78="","",DEGREES(ATAN2(-AM78,AL78)))</f>
        <v>-3.2999995235390074</v>
      </c>
      <c r="AO78" s="582">
        <f t="shared" si="461"/>
        <v>0</v>
      </c>
      <c r="AP78" s="585">
        <f>IF(M78="","",DEGREES(ATAN2(AK78,AL78)))</f>
        <v>-89.99977426193125</v>
      </c>
      <c r="AQ78" s="586">
        <f t="shared" si="471"/>
        <v>0.83971919960104913</v>
      </c>
      <c r="AS78" s="52">
        <f t="shared" si="543"/>
        <v>-230.63011867869986</v>
      </c>
      <c r="AT78" s="72">
        <f t="shared" si="472"/>
        <v>5.8732150245529996E-2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Nose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5.2130000000000001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5.1130000000000004</v>
      </c>
      <c r="II78" s="734" cm="1">
        <f t="array" ref="II78">IFERROR(IF($IH78&lt;1,$IH78+LARGE((IF($M$9:$M$150="",0,$M$9:$M$150)-MOD(IF($M$9:$M$150="",0,$M$9:$M$150),1)),1),$IH78),"")</f>
        <v>5.1130000000000004</v>
      </c>
      <c r="IJ78" s="533">
        <f t="shared" si="542"/>
        <v>1613</v>
      </c>
      <c r="IK78" s="533" t="str">
        <f t="shared" si="517"/>
        <v>Inactive</v>
      </c>
      <c r="IL78" s="727">
        <f t="shared" si="225"/>
        <v>20.296697069519524</v>
      </c>
      <c r="IM78" s="759">
        <v>3.7571325041521102E-2</v>
      </c>
      <c r="IN78" s="5">
        <f t="shared" si="226"/>
        <v>0.66</v>
      </c>
      <c r="IO78" s="771">
        <v>330</v>
      </c>
      <c r="IP78" s="9">
        <f t="shared" si="227"/>
        <v>-2.7124081806230724</v>
      </c>
      <c r="IQ78" s="5">
        <f t="shared" si="228"/>
        <v>-0.10380031306174431</v>
      </c>
      <c r="IR78" s="5">
        <f t="shared" si="518"/>
        <v>0.314</v>
      </c>
      <c r="IS78" s="5">
        <f t="shared" si="229"/>
        <v>0.30295651371870863</v>
      </c>
      <c r="IT78" s="727">
        <f t="shared" si="230"/>
        <v>13.738467720810306</v>
      </c>
      <c r="IU78" s="9">
        <f t="shared" si="231"/>
        <v>-2.7146734367236509</v>
      </c>
      <c r="IV78" s="5">
        <f t="shared" si="232"/>
        <v>-0.10142765439245602</v>
      </c>
      <c r="IW78" s="5">
        <f t="shared" si="519"/>
        <v>0.26250000000000001</v>
      </c>
      <c r="IX78" s="5">
        <f t="shared" si="233"/>
        <v>0.26250000000000001</v>
      </c>
      <c r="IY78" s="762">
        <f t="shared" si="234"/>
        <v>3.2999995235390074</v>
      </c>
    </row>
    <row r="79" spans="1:259" ht="15" customHeight="1" x14ac:dyDescent="0.25">
      <c r="A79" s="79"/>
      <c r="B79" s="707">
        <v>-2.5364247110461893</v>
      </c>
      <c r="C79" s="708">
        <v>-2.367214994192246</v>
      </c>
      <c r="D79" s="709">
        <v>-0.35265496330439788</v>
      </c>
      <c r="E79" s="710">
        <v>0.46894793193864276</v>
      </c>
      <c r="F79" s="708">
        <v>-0.84119827241918477</v>
      </c>
      <c r="G79" s="711">
        <v>0.26920866183956493</v>
      </c>
      <c r="H79" s="710">
        <v>0.26600000000000001</v>
      </c>
      <c r="I79" s="708">
        <v>0.39400000000000002</v>
      </c>
      <c r="J79" s="570">
        <v>5.22</v>
      </c>
      <c r="K79" s="865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>1310</v>
      </c>
      <c r="L79" s="320"/>
      <c r="M79" s="168">
        <f t="shared" si="464"/>
        <v>5.22</v>
      </c>
      <c r="N79" s="632">
        <f t="shared" si="465"/>
        <v>-2.5364247110461893</v>
      </c>
      <c r="O79" s="629">
        <f t="shared" si="466"/>
        <v>-2.367214994192246</v>
      </c>
      <c r="P79" s="633">
        <f t="shared" si="467"/>
        <v>-0.35265496330439788</v>
      </c>
      <c r="Q79" s="585">
        <f t="shared" si="520"/>
        <v>223.0236807937568</v>
      </c>
      <c r="R79" s="629">
        <f>IF(M79="","",SQRT(N79^2+O79^2))</f>
        <v>3.4694606415888827</v>
      </c>
      <c r="S79" s="634">
        <f>IF(M79="","",P79)</f>
        <v>-0.35265496330439788</v>
      </c>
      <c r="T79" s="635">
        <f>IF(M79="","",X79*COS(RADIANS(W79)))</f>
        <v>-2.3672149941922465</v>
      </c>
      <c r="U79" s="629">
        <f>IF(M79="","",X79*SIN(RADIANS(W79)))</f>
        <v>2.5364247110461888</v>
      </c>
      <c r="V79" s="636">
        <f>IF(M79="","",Y79)</f>
        <v>-0.35265496330439788</v>
      </c>
      <c r="W79" s="585">
        <f t="shared" ref="W79:W129" si="645">IF(M79="","",IF(Q79-$Q$8&lt;0,360+Q79-$Q$8,Q79-$Q$8))</f>
        <v>133.0236807937568</v>
      </c>
      <c r="X79" s="629">
        <f>IF(M79="","",R79)</f>
        <v>3.4694606415888827</v>
      </c>
      <c r="Y79" s="630">
        <f t="shared" si="644"/>
        <v>-0.35265496330439788</v>
      </c>
      <c r="Z79" s="632">
        <f t="shared" si="468"/>
        <v>-0.46894793193864276</v>
      </c>
      <c r="AA79" s="629">
        <f t="shared" si="469"/>
        <v>0.84119827241918477</v>
      </c>
      <c r="AB79" s="629">
        <f t="shared" si="470"/>
        <v>-0.26920866183956493</v>
      </c>
      <c r="AC79" s="636">
        <f>IF(M79="","",SQRT(Z79^2+AA79^2+AB79^2))</f>
        <v>1</v>
      </c>
      <c r="AD79" s="637">
        <f>IF(M79="","",Z79*(1/SQRT(Z79^2+AA79^2+AB79^2)))</f>
        <v>-0.46894793193864276</v>
      </c>
      <c r="AE79" s="629">
        <f>IF(M79="","",AA79*(1/SQRT(Z79^2+AA79^2+AB79^2)))</f>
        <v>0.84119827241918477</v>
      </c>
      <c r="AF79" s="633">
        <f>IF(M79="","",AB79*(1/SQRT(Z79^2+AA79^2+AB79^2)))</f>
        <v>-0.26920866183956493</v>
      </c>
      <c r="AG79" s="602">
        <f>IF(M79="","",DEGREES(ATAN2(-AF79,AE79)))</f>
        <v>72.253770493203803</v>
      </c>
      <c r="AH79" s="603">
        <f>IF(M79="","",DEGREES(ACOS(AD79)))</f>
        <v>117.96602617094342</v>
      </c>
      <c r="AI79" s="585">
        <f>IF(M79="","",DEGREES(-ACOS(-AF79)))</f>
        <v>-74.382816944074619</v>
      </c>
      <c r="AJ79" s="586">
        <f>IF(M79="","",DEGREES(ATAN2(-AE79,AD79)))</f>
        <v>-150.8613780033125</v>
      </c>
      <c r="AK79" s="635">
        <f>IF(M79="","",(COS(RADIANS((90-$Q$8)-W79))*AD79)+(-SIN(RADIANS((90-$Q$8)-W79))*AE79))</f>
        <v>0.93493974889090392</v>
      </c>
      <c r="AL79" s="629">
        <f>IF(M79="","",(SIN(RADIANS((90-$Q$8)-W79))*AD79)+(COS(RADIANS((90-$Q$8)-W79))*AE79))</f>
        <v>-0.23111547402622012</v>
      </c>
      <c r="AM79" s="634">
        <f>IF(M79="","",AF79)</f>
        <v>-0.26920866183956493</v>
      </c>
      <c r="AN79" s="581">
        <f>IF(M79="","",DEGREES(ATAN2(-AM79,AL79)))</f>
        <v>-40.646070248979164</v>
      </c>
      <c r="AO79" s="582">
        <f t="shared" si="461"/>
        <v>20.781586847889599</v>
      </c>
      <c r="AP79" s="585">
        <f>IF(M79="","",DEGREES(ATAN2(AK79,AL79)))</f>
        <v>-13.885058797069284</v>
      </c>
      <c r="AQ79" s="586">
        <f t="shared" si="471"/>
        <v>0.65705506736403851</v>
      </c>
      <c r="AS79" s="52">
        <f t="shared" si="543"/>
        <v>-226.9763192062432</v>
      </c>
      <c r="AT79" s="72">
        <f t="shared" si="472"/>
        <v>-0.19503251941117344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Nose</v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5.22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</v>
      </c>
      <c r="II79" s="734" cm="1">
        <f t="array" ref="II79">IFERROR(IF($IH79&lt;1,$IH79+LARGE((IF($M$9:$M$150="",0,$M$9:$M$150)-MOD(IF($M$9:$M$150="",0,$M$9:$M$150),1)),1),$IH79),"")</f>
        <v>5.12</v>
      </c>
      <c r="IJ79" s="533">
        <f t="shared" si="542"/>
        <v>1613</v>
      </c>
      <c r="IK79" s="533">
        <f t="shared" si="517"/>
        <v>1310</v>
      </c>
      <c r="IL79" s="727">
        <f t="shared" si="225"/>
        <v>15.807297717708565</v>
      </c>
      <c r="IM79" s="759">
        <v>1.17183824469643E-2</v>
      </c>
      <c r="IN79" s="5">
        <f t="shared" si="226"/>
        <v>0.26</v>
      </c>
      <c r="IO79" s="771">
        <v>130</v>
      </c>
      <c r="IP79" s="9">
        <f t="shared" si="227"/>
        <v>-3.44761039799296</v>
      </c>
      <c r="IQ79" s="5">
        <f t="shared" si="228"/>
        <v>-0.38810117051312998</v>
      </c>
      <c r="IR79" s="5">
        <f t="shared" si="518"/>
        <v>0.314</v>
      </c>
      <c r="IS79" s="5">
        <f t="shared" si="229"/>
        <v>0.30176664212737875</v>
      </c>
      <c r="IT79" s="727">
        <f t="shared" si="230"/>
        <v>45.509911411985868</v>
      </c>
      <c r="IU79" s="9">
        <f t="shared" si="231"/>
        <v>-3.4694606415888827</v>
      </c>
      <c r="IV79" s="5">
        <f t="shared" si="232"/>
        <v>-0.35265496330439788</v>
      </c>
      <c r="IW79" s="5">
        <f t="shared" si="519"/>
        <v>0.26600000000000001</v>
      </c>
      <c r="IX79" s="5">
        <f t="shared" si="233"/>
        <v>0.24869397320498046</v>
      </c>
      <c r="IY79" s="762">
        <f t="shared" si="234"/>
        <v>40.646070248979164</v>
      </c>
    </row>
    <row r="80" spans="1:259" ht="15" customHeight="1" x14ac:dyDescent="0.25">
      <c r="A80" s="79"/>
      <c r="B80" s="707">
        <v>-2.8707337266936381</v>
      </c>
      <c r="C80" s="708">
        <v>-2.8130446446040356</v>
      </c>
      <c r="D80" s="709">
        <v>-0.91518039784259508</v>
      </c>
      <c r="E80" s="710">
        <v>0.42102554654437963</v>
      </c>
      <c r="F80" s="708">
        <v>-0.89030256687514897</v>
      </c>
      <c r="G80" s="711">
        <v>0.17349013969827634</v>
      </c>
      <c r="H80" s="710">
        <v>0.26600000000000001</v>
      </c>
      <c r="I80" s="708">
        <v>0.39400000000000002</v>
      </c>
      <c r="J80" s="570">
        <v>5.2270000000000003</v>
      </c>
      <c r="K80" s="865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>1310</v>
      </c>
      <c r="L80" s="320"/>
      <c r="M80" s="168">
        <f t="shared" si="464"/>
        <v>5.2270000000000003</v>
      </c>
      <c r="N80" s="632">
        <f t="shared" si="465"/>
        <v>-2.8707337266936381</v>
      </c>
      <c r="O80" s="629">
        <f t="shared" si="466"/>
        <v>-2.8130446446040356</v>
      </c>
      <c r="P80" s="633">
        <f t="shared" si="467"/>
        <v>-0.91518039784259508</v>
      </c>
      <c r="Q80" s="585">
        <f t="shared" si="520"/>
        <v>224.41848059237262</v>
      </c>
      <c r="R80" s="629">
        <f t="shared" si="79"/>
        <v>4.0192452403544365</v>
      </c>
      <c r="S80" s="634">
        <f t="shared" si="80"/>
        <v>-0.91518039784259508</v>
      </c>
      <c r="T80" s="635">
        <f t="shared" si="81"/>
        <v>-2.8130446446040356</v>
      </c>
      <c r="U80" s="629">
        <f t="shared" si="82"/>
        <v>2.8707337266936381</v>
      </c>
      <c r="V80" s="636">
        <f t="shared" si="114"/>
        <v>-0.91518039784259508</v>
      </c>
      <c r="W80" s="585">
        <f t="shared" si="645"/>
        <v>134.41848059237262</v>
      </c>
      <c r="X80" s="629">
        <f t="shared" si="83"/>
        <v>4.0192452403544365</v>
      </c>
      <c r="Y80" s="630">
        <f t="shared" si="644"/>
        <v>-0.91518039784259508</v>
      </c>
      <c r="Z80" s="632">
        <f t="shared" si="468"/>
        <v>-0.42102554654437963</v>
      </c>
      <c r="AA80" s="629">
        <f t="shared" si="469"/>
        <v>0.89030256687514897</v>
      </c>
      <c r="AB80" s="629">
        <f t="shared" si="470"/>
        <v>-0.17349013969827634</v>
      </c>
      <c r="AC80" s="636">
        <f t="shared" si="84"/>
        <v>1</v>
      </c>
      <c r="AD80" s="637">
        <f t="shared" si="115"/>
        <v>-0.42102554654437963</v>
      </c>
      <c r="AE80" s="629">
        <f t="shared" si="85"/>
        <v>0.89030256687514897</v>
      </c>
      <c r="AF80" s="633">
        <f t="shared" si="86"/>
        <v>-0.17349013969827634</v>
      </c>
      <c r="AG80" s="602">
        <f t="shared" si="87"/>
        <v>78.973160307788348</v>
      </c>
      <c r="AH80" s="603">
        <f t="shared" si="88"/>
        <v>114.89935147128618</v>
      </c>
      <c r="AI80" s="585">
        <f t="shared" si="89"/>
        <v>-80.009194465124338</v>
      </c>
      <c r="AJ80" s="586">
        <f t="shared" si="90"/>
        <v>-154.69045608038294</v>
      </c>
      <c r="AK80" s="635">
        <f t="shared" si="211"/>
        <v>0.93056905985381855</v>
      </c>
      <c r="AL80" s="629">
        <f t="shared" si="91"/>
        <v>-0.32240098676997392</v>
      </c>
      <c r="AM80" s="634">
        <f t="shared" si="92"/>
        <v>-0.17349013969827634</v>
      </c>
      <c r="AN80" s="581">
        <f t="shared" si="93"/>
        <v>-61.714455127723795</v>
      </c>
      <c r="AO80" s="582">
        <f t="shared" si="461"/>
        <v>21.476304570518298</v>
      </c>
      <c r="AP80" s="585">
        <f t="shared" si="95"/>
        <v>-19.108936672755544</v>
      </c>
      <c r="AQ80" s="586">
        <f t="shared" si="471"/>
        <v>0.56718414230674508</v>
      </c>
      <c r="AS80" s="52">
        <f t="shared" si="543"/>
        <v>-225.58151940762738</v>
      </c>
      <c r="AT80" s="72">
        <f t="shared" si="472"/>
        <v>-0.75852656492063164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>Taper</v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5.2270000000000003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5.1269999999999998</v>
      </c>
      <c r="II80" s="734" cm="1">
        <f t="array" ref="II80">IFERROR(IF($IH80&lt;1,$IH80+LARGE((IF($M$9:$M$150="",0,$M$9:$M$150)-MOD(IF($M$9:$M$150="",0,$M$9:$M$150),1)),1),$IH80),"")</f>
        <v>5.1269999999999998</v>
      </c>
      <c r="IJ80" s="533">
        <f t="shared" si="542"/>
        <v>1613</v>
      </c>
      <c r="IK80" s="533">
        <f t="shared" si="517"/>
        <v>1310</v>
      </c>
      <c r="IL80" s="727">
        <f t="shared" si="225"/>
        <v>13.640098030613501</v>
      </c>
      <c r="IM80" s="759">
        <v>8.2560458772796899E-3</v>
      </c>
      <c r="IN80" s="5">
        <f t="shared" si="226"/>
        <v>0.26</v>
      </c>
      <c r="IO80" s="771">
        <v>130</v>
      </c>
      <c r="IP80" s="9">
        <f t="shared" si="227"/>
        <v>-3.9854120200026526</v>
      </c>
      <c r="IQ80" s="5">
        <f t="shared" si="228"/>
        <v>-0.94500285012859564</v>
      </c>
      <c r="IR80" s="5">
        <f t="shared" si="518"/>
        <v>0.314</v>
      </c>
      <c r="IS80" s="5">
        <f t="shared" si="229"/>
        <v>0.30035593287464996</v>
      </c>
      <c r="IT80" s="727">
        <f t="shared" si="230"/>
        <v>67.873702740566983</v>
      </c>
      <c r="IU80" s="9">
        <f t="shared" si="231"/>
        <v>-4.0192452403544365</v>
      </c>
      <c r="IV80" s="5">
        <f t="shared" si="232"/>
        <v>-0.91518039784259508</v>
      </c>
      <c r="IW80" s="5">
        <f t="shared" si="519"/>
        <v>0.26600000000000001</v>
      </c>
      <c r="IX80" s="5">
        <f t="shared" si="233"/>
        <v>0.24753136992111574</v>
      </c>
      <c r="IY80" s="762">
        <f t="shared" si="234"/>
        <v>61.714455127723795</v>
      </c>
    </row>
    <row r="81" spans="1:259" ht="15" customHeight="1" x14ac:dyDescent="0.25">
      <c r="A81" s="79"/>
      <c r="B81" s="707">
        <v>-3.0984254891573082</v>
      </c>
      <c r="C81" s="708">
        <v>-3.0963474936134525</v>
      </c>
      <c r="D81" s="709">
        <v>-1.5997186161715253</v>
      </c>
      <c r="E81" s="710">
        <v>0.38531063683235223</v>
      </c>
      <c r="F81" s="708">
        <v>-0.9168393444973354</v>
      </c>
      <c r="G81" s="711">
        <v>0.10460081034840929</v>
      </c>
      <c r="H81" s="710">
        <v>0.26600000000000001</v>
      </c>
      <c r="I81" s="708">
        <v>0.39400000000000002</v>
      </c>
      <c r="J81" s="570">
        <v>5.234</v>
      </c>
      <c r="K81" s="865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>1310</v>
      </c>
      <c r="L81" s="320"/>
      <c r="M81" s="168">
        <f t="shared" si="464"/>
        <v>5.234</v>
      </c>
      <c r="N81" s="632">
        <f t="shared" si="465"/>
        <v>-3.0984254891573082</v>
      </c>
      <c r="O81" s="629">
        <f t="shared" si="466"/>
        <v>-3.0963474936134525</v>
      </c>
      <c r="P81" s="633">
        <f t="shared" si="467"/>
        <v>-1.5997186161715253</v>
      </c>
      <c r="Q81" s="585">
        <f t="shared" si="520"/>
        <v>224.98078051118654</v>
      </c>
      <c r="R81" s="629">
        <f t="shared" si="79"/>
        <v>4.3803662304727462</v>
      </c>
      <c r="S81" s="634">
        <f t="shared" si="80"/>
        <v>-1.5997186161715253</v>
      </c>
      <c r="T81" s="635">
        <f t="shared" si="81"/>
        <v>-3.0963474936134521</v>
      </c>
      <c r="U81" s="629">
        <f t="shared" si="82"/>
        <v>3.0984254891573091</v>
      </c>
      <c r="V81" s="636">
        <f t="shared" si="114"/>
        <v>-1.5997186161715253</v>
      </c>
      <c r="W81" s="585">
        <f t="shared" si="645"/>
        <v>134.98078051118654</v>
      </c>
      <c r="X81" s="629">
        <f t="shared" si="83"/>
        <v>4.3803662304727462</v>
      </c>
      <c r="Y81" s="630">
        <f t="shared" si="644"/>
        <v>-1.5997186161715253</v>
      </c>
      <c r="Z81" s="632">
        <f t="shared" si="468"/>
        <v>-0.38531063683235223</v>
      </c>
      <c r="AA81" s="629">
        <f t="shared" si="469"/>
        <v>0.9168393444973354</v>
      </c>
      <c r="AB81" s="629">
        <f t="shared" si="470"/>
        <v>-0.10460081034840929</v>
      </c>
      <c r="AC81" s="636">
        <f t="shared" si="84"/>
        <v>1</v>
      </c>
      <c r="AD81" s="637">
        <f t="shared" si="115"/>
        <v>-0.38531063683235223</v>
      </c>
      <c r="AE81" s="629">
        <f t="shared" si="85"/>
        <v>0.9168393444973354</v>
      </c>
      <c r="AF81" s="633">
        <f t="shared" si="86"/>
        <v>-0.10460081034840929</v>
      </c>
      <c r="AG81" s="602">
        <f t="shared" si="87"/>
        <v>83.491353297553118</v>
      </c>
      <c r="AH81" s="603">
        <f t="shared" si="88"/>
        <v>112.66302632837522</v>
      </c>
      <c r="AI81" s="585">
        <f t="shared" si="89"/>
        <v>-83.99583196885132</v>
      </c>
      <c r="AJ81" s="586">
        <f t="shared" si="90"/>
        <v>-157.20494645041856</v>
      </c>
      <c r="AK81" s="635">
        <f t="shared" si="211"/>
        <v>0.92088510568120574</v>
      </c>
      <c r="AL81" s="629">
        <f t="shared" si="91"/>
        <v>-0.3755386699249107</v>
      </c>
      <c r="AM81" s="634">
        <f t="shared" si="92"/>
        <v>-0.10460081034840929</v>
      </c>
      <c r="AN81" s="581">
        <f t="shared" si="93"/>
        <v>-74.435598287860458</v>
      </c>
      <c r="AO81" s="582">
        <f t="shared" si="461"/>
        <v>22.944176744078856</v>
      </c>
      <c r="AP81" s="585">
        <f t="shared" si="95"/>
        <v>-22.185726961605095</v>
      </c>
      <c r="AQ81" s="586">
        <f t="shared" si="471"/>
        <v>0.52042770308756325</v>
      </c>
      <c r="AS81" s="52">
        <f t="shared" si="543"/>
        <v>-225.01921948881346</v>
      </c>
      <c r="AT81" s="72">
        <f t="shared" si="472"/>
        <v>-1.4434552693042937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Taper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5.234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5.1340000000000003</v>
      </c>
      <c r="II81" s="734" cm="1">
        <f t="array" ref="II81">IFERROR(IF($IH81&lt;1,$IH81+LARGE((IF($M$9:$M$150="",0,$M$9:$M$150)-MOD(IF($M$9:$M$150="",0,$M$9:$M$150),1)),1),$IH81),"")</f>
        <v>5.1340000000000003</v>
      </c>
      <c r="IJ81" s="533">
        <f t="shared" si="542"/>
        <v>1613</v>
      </c>
      <c r="IK81" s="533">
        <f t="shared" si="517"/>
        <v>1310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12.521698192090469</v>
      </c>
      <c r="IM81" s="759">
        <v>6.1373007547265703E-3</v>
      </c>
      <c r="IN81" s="5">
        <f t="shared" ref="IN81:IN144" si="648">IF(ISNUMBER($II81),(($IO81*12)/60)/$AS$3,"")</f>
        <v>0.24</v>
      </c>
      <c r="IO81" s="771">
        <v>120</v>
      </c>
      <c r="IP81" s="9">
        <f t="shared" ref="IP81:IP144" si="649">IF(ISNUMBER($II81),(INDEX($X$9:$X$150,MATCH($II81,$M$9:$M$150,0))*-1),"")</f>
        <v>-4.3397130885746753</v>
      </c>
      <c r="IQ81" s="5">
        <f t="shared" ref="IQ81:IQ144" si="650">IF(ISNUMBER($II81),INDEX($Y$9:$Y$150,MATCH($II81,$M$9:$M$150,0)),"")</f>
        <v>-1.6240048979987727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0.29773164187245077</v>
      </c>
      <c r="IT81" s="727">
        <f t="shared" ref="IT81:IT144" si="652">IF(ISNUMBER($II81),(-1*INDEX($AN$9:$AN$150,MATCH($II81,$M$9:$M$150,0))),"")</f>
        <v>80.65247467506218</v>
      </c>
      <c r="IU81" s="9">
        <f t="shared" ref="IU81:IU144" si="653">IF(ISNUMBER($II81),-$X81,"")</f>
        <v>-4.3803662304727462</v>
      </c>
      <c r="IV81" s="5">
        <f t="shared" ref="IV81:IV144" si="654">IF(ISNUMBER($II81),$Y81,"")</f>
        <v>-1.5997186161715253</v>
      </c>
      <c r="IW81" s="5">
        <f t="shared" si="519"/>
        <v>0.26600000000000001</v>
      </c>
      <c r="IX81" s="5">
        <f t="shared" ref="IX81:IX144" si="655">IF(ISNUMBER($II81),$IW81*COS(RADIANS($AO81)),"")</f>
        <v>0.24495543811120074</v>
      </c>
      <c r="IY81" s="762">
        <f t="shared" ref="IY81:IY144" si="656">IF(ISNUMBER($II81),(-1*$AN81),"")</f>
        <v>74.435598287860458</v>
      </c>
    </row>
    <row r="82" spans="1:259" ht="15" customHeight="1" x14ac:dyDescent="0.25">
      <c r="A82" s="79"/>
      <c r="B82" s="707">
        <v>-3.2399550468700862</v>
      </c>
      <c r="C82" s="708">
        <v>-3.2647817595130566</v>
      </c>
      <c r="D82" s="709">
        <v>-2.3442864785599546</v>
      </c>
      <c r="E82" s="710">
        <v>0.34672772840522875</v>
      </c>
      <c r="F82" s="708">
        <v>-0.93613117988397143</v>
      </c>
      <c r="G82" s="711">
        <v>5.8636988360534902E-2</v>
      </c>
      <c r="H82" s="710">
        <v>0.26600000000000001</v>
      </c>
      <c r="I82" s="708">
        <v>0.39400000000000002</v>
      </c>
      <c r="J82" s="570">
        <v>5.2409999999999997</v>
      </c>
      <c r="K82" s="865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>1310</v>
      </c>
      <c r="L82" s="320"/>
      <c r="M82" s="168">
        <f t="shared" si="464"/>
        <v>5.2409999999999997</v>
      </c>
      <c r="N82" s="632">
        <f t="shared" si="465"/>
        <v>-3.2399550468700862</v>
      </c>
      <c r="O82" s="629">
        <f t="shared" si="466"/>
        <v>-3.2647817595130566</v>
      </c>
      <c r="P82" s="633">
        <f t="shared" si="467"/>
        <v>-2.3442864785599546</v>
      </c>
      <c r="Q82" s="585">
        <f t="shared" si="520"/>
        <v>225.21868047683802</v>
      </c>
      <c r="R82" s="629">
        <f t="shared" si="79"/>
        <v>4.5995770069635871</v>
      </c>
      <c r="S82" s="634">
        <f t="shared" si="80"/>
        <v>-2.3442864785599546</v>
      </c>
      <c r="T82" s="635">
        <f t="shared" si="81"/>
        <v>-3.2647817595130557</v>
      </c>
      <c r="U82" s="629">
        <f t="shared" si="82"/>
        <v>3.2399550468700866</v>
      </c>
      <c r="V82" s="636">
        <f t="shared" si="114"/>
        <v>-2.3442864785599546</v>
      </c>
      <c r="W82" s="585">
        <f t="shared" si="645"/>
        <v>135.21868047683802</v>
      </c>
      <c r="X82" s="629">
        <f t="shared" si="83"/>
        <v>4.5995770069635871</v>
      </c>
      <c r="Y82" s="630">
        <f t="shared" si="644"/>
        <v>-2.3442864785599546</v>
      </c>
      <c r="Z82" s="632">
        <f t="shared" si="468"/>
        <v>-0.34672772840522875</v>
      </c>
      <c r="AA82" s="629">
        <f t="shared" si="469"/>
        <v>0.93613117988397143</v>
      </c>
      <c r="AB82" s="629">
        <f t="shared" si="470"/>
        <v>-5.8636988360534902E-2</v>
      </c>
      <c r="AC82" s="636">
        <f t="shared" si="84"/>
        <v>1</v>
      </c>
      <c r="AD82" s="637">
        <f t="shared" si="115"/>
        <v>-0.34672772840522875</v>
      </c>
      <c r="AE82" s="629">
        <f t="shared" si="85"/>
        <v>0.93613117988397143</v>
      </c>
      <c r="AF82" s="633">
        <f t="shared" si="86"/>
        <v>-5.8636988360534902E-2</v>
      </c>
      <c r="AG82" s="602">
        <f t="shared" si="87"/>
        <v>86.415813812945999</v>
      </c>
      <c r="AH82" s="603">
        <f t="shared" si="88"/>
        <v>110.28729846231094</v>
      </c>
      <c r="AI82" s="585">
        <f t="shared" si="89"/>
        <v>-86.638419812127097</v>
      </c>
      <c r="AJ82" s="586">
        <f t="shared" si="90"/>
        <v>-159.67619165929386</v>
      </c>
      <c r="AK82" s="635">
        <f t="shared" si="211"/>
        <v>0.90552094197067168</v>
      </c>
      <c r="AL82" s="629">
        <f t="shared" si="91"/>
        <v>-0.42023032642653735</v>
      </c>
      <c r="AM82" s="634">
        <f t="shared" si="92"/>
        <v>-5.8636988360534902E-2</v>
      </c>
      <c r="AN82" s="581">
        <f t="shared" si="93"/>
        <v>-82.056501625121726</v>
      </c>
      <c r="AO82" s="582">
        <f t="shared" si="461"/>
        <v>25.106463177896551</v>
      </c>
      <c r="AP82" s="585">
        <f t="shared" si="95"/>
        <v>-24.894872136131895</v>
      </c>
      <c r="AQ82" s="586">
        <f t="shared" si="471"/>
        <v>0.49562595993669684</v>
      </c>
      <c r="AS82" s="52">
        <f t="shared" si="543"/>
        <v>-224.78131952316198</v>
      </c>
      <c r="AT82" s="72">
        <f t="shared" si="472"/>
        <v>-2.1881883400022031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Taper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5.2409999999999997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5.141</v>
      </c>
      <c r="II82" s="734" cm="1">
        <f t="array" ref="II82">IFERROR(IF($IH82&lt;1,$IH82+LARGE((IF($M$9:$M$150="",0,$M$9:$M$150)-MOD(IF($M$9:$M$150="",0,$M$9:$M$150),1)),1),$IH82),"")</f>
        <v>5.141</v>
      </c>
      <c r="IJ82" s="533">
        <f t="shared" si="542"/>
        <v>1613</v>
      </c>
      <c r="IK82" s="533">
        <f t="shared" si="517"/>
        <v>1310</v>
      </c>
      <c r="IL82" s="727">
        <f t="shared" si="647"/>
        <v>11.93249827716042</v>
      </c>
      <c r="IM82" s="759">
        <v>4.6735269863809404E-3</v>
      </c>
      <c r="IN82" s="5">
        <f t="shared" si="648"/>
        <v>0.2</v>
      </c>
      <c r="IO82" s="771">
        <v>100</v>
      </c>
      <c r="IP82" s="9">
        <f t="shared" si="649"/>
        <v>-4.5545137364134298</v>
      </c>
      <c r="IQ82" s="5">
        <f t="shared" si="650"/>
        <v>-2.3636071286391003</v>
      </c>
      <c r="IR82" s="5">
        <f t="shared" si="518"/>
        <v>0.314</v>
      </c>
      <c r="IS82" s="5">
        <f t="shared" si="651"/>
        <v>0.29377063723706015</v>
      </c>
      <c r="IT82" s="727">
        <f t="shared" si="652"/>
        <v>87.588748359901544</v>
      </c>
      <c r="IU82" s="9">
        <f t="shared" si="653"/>
        <v>-4.5995770069635871</v>
      </c>
      <c r="IV82" s="5">
        <f t="shared" si="654"/>
        <v>-2.3442864785599546</v>
      </c>
      <c r="IW82" s="5">
        <f t="shared" si="519"/>
        <v>0.26600000000000001</v>
      </c>
      <c r="IX82" s="5">
        <f t="shared" si="655"/>
        <v>0.24086857056419869</v>
      </c>
      <c r="IY82" s="762">
        <f t="shared" si="656"/>
        <v>82.056501625121726</v>
      </c>
    </row>
    <row r="83" spans="1:259" ht="15" customHeight="1" x14ac:dyDescent="0.25">
      <c r="A83" s="79"/>
      <c r="B83" s="707">
        <v>-3.2760315435041258</v>
      </c>
      <c r="C83" s="708">
        <v>-3.3114413505699303</v>
      </c>
      <c r="D83" s="709">
        <v>-3.0867093095152773</v>
      </c>
      <c r="E83" s="710">
        <v>0.35852039974886407</v>
      </c>
      <c r="F83" s="708">
        <v>-0.93351528408322115</v>
      </c>
      <c r="G83" s="711">
        <v>3.5124559694951485E-3</v>
      </c>
      <c r="H83" s="710">
        <v>0.26600000000000001</v>
      </c>
      <c r="I83" s="708">
        <v>0.52</v>
      </c>
      <c r="J83" s="570">
        <v>5.2480000000000002</v>
      </c>
      <c r="K83" s="865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>1313</v>
      </c>
      <c r="L83" s="320"/>
      <c r="M83" s="168">
        <f t="shared" si="464"/>
        <v>5.2480000000000002</v>
      </c>
      <c r="N83" s="632">
        <f t="shared" si="465"/>
        <v>-3.2760315435041258</v>
      </c>
      <c r="O83" s="629">
        <f t="shared" si="466"/>
        <v>-3.3114413505699303</v>
      </c>
      <c r="P83" s="633">
        <f t="shared" si="467"/>
        <v>-3.0867093095152773</v>
      </c>
      <c r="Q83" s="585">
        <f t="shared" si="520"/>
        <v>225.30798046394472</v>
      </c>
      <c r="R83" s="629">
        <f t="shared" si="79"/>
        <v>4.6581140488719708</v>
      </c>
      <c r="S83" s="634">
        <f t="shared" si="80"/>
        <v>-3.0867093095152773</v>
      </c>
      <c r="T83" s="635">
        <f t="shared" si="81"/>
        <v>-3.3114413505699298</v>
      </c>
      <c r="U83" s="629">
        <f t="shared" si="82"/>
        <v>3.2760315435041254</v>
      </c>
      <c r="V83" s="636">
        <f t="shared" si="114"/>
        <v>-3.0867093095152773</v>
      </c>
      <c r="W83" s="585">
        <f t="shared" si="645"/>
        <v>135.30798046394472</v>
      </c>
      <c r="X83" s="629">
        <f t="shared" si="83"/>
        <v>4.6581140488719708</v>
      </c>
      <c r="Y83" s="630">
        <f t="shared" si="644"/>
        <v>-3.0867093095152773</v>
      </c>
      <c r="Z83" s="632">
        <f t="shared" si="468"/>
        <v>-0.35852039974886407</v>
      </c>
      <c r="AA83" s="629">
        <f t="shared" si="469"/>
        <v>0.93351528408322115</v>
      </c>
      <c r="AB83" s="629">
        <f t="shared" si="470"/>
        <v>-3.5124559694951485E-3</v>
      </c>
      <c r="AC83" s="636">
        <f t="shared" si="84"/>
        <v>1</v>
      </c>
      <c r="AD83" s="637">
        <f t="shared" si="115"/>
        <v>-0.35852039974886407</v>
      </c>
      <c r="AE83" s="629">
        <f t="shared" si="85"/>
        <v>0.93351528408322115</v>
      </c>
      <c r="AF83" s="633">
        <f t="shared" si="86"/>
        <v>-3.5124559694951485E-3</v>
      </c>
      <c r="AG83" s="602">
        <f t="shared" si="87"/>
        <v>89.784419220009937</v>
      </c>
      <c r="AH83" s="603">
        <f t="shared" si="88"/>
        <v>111.00935648051409</v>
      </c>
      <c r="AI83" s="585">
        <f t="shared" si="89"/>
        <v>-89.798750683407178</v>
      </c>
      <c r="AJ83" s="586">
        <f t="shared" si="90"/>
        <v>-158.99050777943884</v>
      </c>
      <c r="AK83" s="635">
        <f t="shared" si="211"/>
        <v>0.91140851194469841</v>
      </c>
      <c r="AL83" s="629">
        <f t="shared" si="91"/>
        <v>-0.41148777261033281</v>
      </c>
      <c r="AM83" s="634">
        <f t="shared" si="92"/>
        <v>-3.5124559694951485E-3</v>
      </c>
      <c r="AN83" s="581">
        <f t="shared" si="93"/>
        <v>-89.510935613375054</v>
      </c>
      <c r="AO83" s="582">
        <f t="shared" si="461"/>
        <v>24.299271069540115</v>
      </c>
      <c r="AP83" s="585">
        <f t="shared" si="95"/>
        <v>-24.298488243383563</v>
      </c>
      <c r="AQ83" s="586">
        <f t="shared" si="471"/>
        <v>0.48939789055551458</v>
      </c>
      <c r="AS83" s="52">
        <f t="shared" si="543"/>
        <v>-224.69201953605528</v>
      </c>
      <c r="AT83" s="72">
        <f t="shared" si="472"/>
        <v>-2.930673184837461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Taper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5.2480000000000002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5.1479999999999997</v>
      </c>
      <c r="II83" s="734" cm="1">
        <f t="array" ref="II83">IFERROR(IF($IH83&lt;1,$IH83+LARGE((IF($M$9:$M$150="",0,$M$9:$M$150)-MOD(IF($M$9:$M$150="",0,$M$9:$M$150),1)),1),$IH83),"")</f>
        <v>5.1479999999999997</v>
      </c>
      <c r="IJ83" s="533">
        <f t="shared" si="542"/>
        <v>1613</v>
      </c>
      <c r="IK83" s="533">
        <f t="shared" si="517"/>
        <v>1313</v>
      </c>
      <c r="IL83" s="727">
        <f t="shared" si="647"/>
        <v>11.750297878737967</v>
      </c>
      <c r="IM83" s="759">
        <v>2.6998125190190799E-5</v>
      </c>
      <c r="IN83" s="5">
        <f t="shared" si="648"/>
        <v>0</v>
      </c>
      <c r="IO83" s="771">
        <v>0</v>
      </c>
      <c r="IP83" s="9">
        <f t="shared" si="649"/>
        <v>-4.6128999999999989</v>
      </c>
      <c r="IQ83" s="5">
        <f t="shared" si="650"/>
        <v>-3.0866999999999996</v>
      </c>
      <c r="IR83" s="5">
        <f t="shared" si="518"/>
        <v>0.314</v>
      </c>
      <c r="IS83" s="5">
        <f t="shared" si="651"/>
        <v>0.28618226491420867</v>
      </c>
      <c r="IT83" s="727">
        <f t="shared" si="652"/>
        <v>89.510935853772239</v>
      </c>
      <c r="IU83" s="9">
        <f t="shared" si="653"/>
        <v>-4.6581140488719708</v>
      </c>
      <c r="IV83" s="5">
        <f t="shared" si="654"/>
        <v>-3.0867093095152773</v>
      </c>
      <c r="IW83" s="5">
        <f t="shared" si="519"/>
        <v>0.26600000000000001</v>
      </c>
      <c r="IX83" s="5">
        <f t="shared" si="655"/>
        <v>0.24243466417728979</v>
      </c>
      <c r="IY83" s="762">
        <f t="shared" si="656"/>
        <v>89.510935613375054</v>
      </c>
    </row>
    <row r="84" spans="1:259" ht="15" customHeight="1" x14ac:dyDescent="0.25">
      <c r="A84" s="79"/>
      <c r="B84" s="707">
        <v>-2.5851818041997743</v>
      </c>
      <c r="C84" s="708">
        <v>-0.2608421983368221</v>
      </c>
      <c r="D84" s="709">
        <v>-8.1300245201539501E-2</v>
      </c>
      <c r="E84" s="710">
        <v>5.766860916532765E-2</v>
      </c>
      <c r="F84" s="708">
        <v>-0.96425679466327729</v>
      </c>
      <c r="G84" s="711">
        <v>0.25861779803918983</v>
      </c>
      <c r="H84" s="710">
        <v>0.314</v>
      </c>
      <c r="I84" s="708">
        <v>0.52</v>
      </c>
      <c r="J84" s="570">
        <v>6.1120000000000001</v>
      </c>
      <c r="K84" s="865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>1613</v>
      </c>
      <c r="L84" s="320"/>
      <c r="M84" s="168">
        <f t="shared" si="464"/>
        <v>6.1120000000000001</v>
      </c>
      <c r="N84" s="632">
        <f t="shared" si="465"/>
        <v>-2.5851818041997743</v>
      </c>
      <c r="O84" s="629">
        <f t="shared" si="466"/>
        <v>-0.2608421983368221</v>
      </c>
      <c r="P84" s="633">
        <f t="shared" si="467"/>
        <v>-8.1300245201539501E-2</v>
      </c>
      <c r="Q84" s="585">
        <f t="shared" si="520"/>
        <v>185.76158617373764</v>
      </c>
      <c r="R84" s="629">
        <f t="shared" si="79"/>
        <v>2.5983078364964354</v>
      </c>
      <c r="S84" s="634">
        <f t="shared" si="80"/>
        <v>-8.1300245201539501E-2</v>
      </c>
      <c r="T84" s="635">
        <f t="shared" si="81"/>
        <v>-0.26084219833682304</v>
      </c>
      <c r="U84" s="629">
        <f t="shared" si="82"/>
        <v>2.5851818041997743</v>
      </c>
      <c r="V84" s="636">
        <f t="shared" si="114"/>
        <v>-8.1300245201539501E-2</v>
      </c>
      <c r="W84" s="585">
        <f t="shared" si="645"/>
        <v>95.761586173737641</v>
      </c>
      <c r="X84" s="629">
        <f t="shared" si="83"/>
        <v>2.5983078364964354</v>
      </c>
      <c r="Y84" s="630">
        <f t="shared" si="644"/>
        <v>-8.1300245201539501E-2</v>
      </c>
      <c r="Z84" s="632">
        <f t="shared" si="468"/>
        <v>-5.766860916532765E-2</v>
      </c>
      <c r="AA84" s="629">
        <f t="shared" si="469"/>
        <v>0.96425679466327729</v>
      </c>
      <c r="AB84" s="629">
        <f t="shared" si="470"/>
        <v>-0.25861779803918983</v>
      </c>
      <c r="AC84" s="636">
        <f t="shared" si="84"/>
        <v>1</v>
      </c>
      <c r="AD84" s="637">
        <f t="shared" si="115"/>
        <v>-5.766860916532765E-2</v>
      </c>
      <c r="AE84" s="629">
        <f t="shared" si="85"/>
        <v>0.96425679466327729</v>
      </c>
      <c r="AF84" s="633">
        <f t="shared" si="86"/>
        <v>-0.25861779803918983</v>
      </c>
      <c r="AG84" s="602">
        <f t="shared" si="87"/>
        <v>74.986364550165305</v>
      </c>
      <c r="AH84" s="603">
        <f t="shared" si="88"/>
        <v>93.306002089675445</v>
      </c>
      <c r="AI84" s="585">
        <f t="shared" si="89"/>
        <v>-75.011937030050049</v>
      </c>
      <c r="AJ84" s="586">
        <f t="shared" si="90"/>
        <v>-176.57742944878296</v>
      </c>
      <c r="AK84" s="635">
        <f t="shared" si="211"/>
        <v>0.96517490795500438</v>
      </c>
      <c r="AL84" s="629">
        <f t="shared" si="91"/>
        <v>-3.9423744005482458E-2</v>
      </c>
      <c r="AM84" s="634">
        <f t="shared" si="92"/>
        <v>-0.25861779803918983</v>
      </c>
      <c r="AN84" s="581">
        <f t="shared" si="93"/>
        <v>-8.6674519573874047</v>
      </c>
      <c r="AO84" s="582">
        <f t="shared" si="461"/>
        <v>15.165343576735305</v>
      </c>
      <c r="AP84" s="585">
        <f t="shared" si="95"/>
        <v>-2.3390156225205896</v>
      </c>
      <c r="AQ84" s="586">
        <f t="shared" si="471"/>
        <v>0.87732039595837186</v>
      </c>
      <c r="AS84" s="52">
        <f t="shared" si="543"/>
        <v>-264.23841382626233</v>
      </c>
      <c r="AT84" s="72">
        <f t="shared" si="472"/>
        <v>0.10219865328892047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6.1120000000000001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-3.3407778303165938</v>
      </c>
      <c r="C85" s="708">
        <v>-0.28964151347003692</v>
      </c>
      <c r="D85" s="709">
        <v>-0.32810098955258443</v>
      </c>
      <c r="E85" s="710">
        <v>-9.7857562395624778E-2</v>
      </c>
      <c r="F85" s="708">
        <v>-0.97376980783558731</v>
      </c>
      <c r="G85" s="711">
        <v>0.20541727977419474</v>
      </c>
      <c r="H85" s="710">
        <v>0.314</v>
      </c>
      <c r="I85" s="708">
        <v>0.52</v>
      </c>
      <c r="J85" s="570">
        <v>6.1189999999999998</v>
      </c>
      <c r="K85" s="865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>1613</v>
      </c>
      <c r="L85" s="320"/>
      <c r="M85" s="168">
        <f t="shared" si="464"/>
        <v>6.1189999999999998</v>
      </c>
      <c r="N85" s="632">
        <f t="shared" si="465"/>
        <v>-3.3407778303165938</v>
      </c>
      <c r="O85" s="629">
        <f t="shared" si="466"/>
        <v>-0.28964151347003692</v>
      </c>
      <c r="P85" s="633">
        <f t="shared" si="467"/>
        <v>-0.32810098955258443</v>
      </c>
      <c r="Q85" s="585">
        <f t="shared" si="520"/>
        <v>184.95508629018181</v>
      </c>
      <c r="R85" s="629">
        <f t="shared" si="79"/>
        <v>3.3533101135833023</v>
      </c>
      <c r="S85" s="634">
        <f t="shared" si="80"/>
        <v>-0.32810098955258443</v>
      </c>
      <c r="T85" s="635">
        <f t="shared" si="81"/>
        <v>-0.28964151347003791</v>
      </c>
      <c r="U85" s="629">
        <f t="shared" si="82"/>
        <v>3.3407778303165934</v>
      </c>
      <c r="V85" s="636">
        <f t="shared" si="114"/>
        <v>-0.32810098955258443</v>
      </c>
      <c r="W85" s="585">
        <f t="shared" si="645"/>
        <v>94.955086290181811</v>
      </c>
      <c r="X85" s="629">
        <f t="shared" si="83"/>
        <v>3.3533101135833023</v>
      </c>
      <c r="Y85" s="630">
        <f t="shared" si="644"/>
        <v>-0.32810098955258443</v>
      </c>
      <c r="Z85" s="632">
        <f t="shared" si="468"/>
        <v>9.7857562395624778E-2</v>
      </c>
      <c r="AA85" s="629">
        <f t="shared" si="469"/>
        <v>0.97376980783558731</v>
      </c>
      <c r="AB85" s="629">
        <f t="shared" si="470"/>
        <v>-0.20541727977419474</v>
      </c>
      <c r="AC85" s="636">
        <f t="shared" si="84"/>
        <v>1</v>
      </c>
      <c r="AD85" s="637">
        <f t="shared" si="115"/>
        <v>9.7857562395624778E-2</v>
      </c>
      <c r="AE85" s="629">
        <f t="shared" si="85"/>
        <v>0.97376980783558731</v>
      </c>
      <c r="AF85" s="633">
        <f t="shared" si="86"/>
        <v>-0.20541727977419474</v>
      </c>
      <c r="AG85" s="602">
        <f t="shared" si="87"/>
        <v>78.088068529434608</v>
      </c>
      <c r="AH85" s="603">
        <f t="shared" si="88"/>
        <v>84.384187309364705</v>
      </c>
      <c r="AI85" s="585">
        <f t="shared" si="89"/>
        <v>-78.146072705370244</v>
      </c>
      <c r="AJ85" s="586">
        <f t="shared" si="90"/>
        <v>174.26141119362572</v>
      </c>
      <c r="AK85" s="635">
        <f t="shared" si="211"/>
        <v>0.96167812225575477</v>
      </c>
      <c r="AL85" s="629">
        <f t="shared" si="91"/>
        <v>-0.18160101966898676</v>
      </c>
      <c r="AM85" s="634">
        <f t="shared" si="92"/>
        <v>-0.20541727977419474</v>
      </c>
      <c r="AN85" s="581">
        <f t="shared" si="93"/>
        <v>-41.478583587355381</v>
      </c>
      <c r="AO85" s="582">
        <f t="shared" si="461"/>
        <v>15.913209633137162</v>
      </c>
      <c r="AP85" s="585">
        <f t="shared" si="95"/>
        <v>-10.693675096556101</v>
      </c>
      <c r="AQ85" s="586">
        <f t="shared" si="471"/>
        <v>0.67981176090147888</v>
      </c>
      <c r="AS85" s="52">
        <f t="shared" si="543"/>
        <v>-265.04491370981816</v>
      </c>
      <c r="AT85" s="72">
        <f t="shared" si="472"/>
        <v>-0.14404202169854405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6.1189999999999998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-3.9112034611884505</v>
      </c>
      <c r="C86" s="708">
        <v>-0.28415224208480622</v>
      </c>
      <c r="D86" s="709">
        <v>-0.85540257989418089</v>
      </c>
      <c r="E86" s="710">
        <v>-0.18879638683661812</v>
      </c>
      <c r="F86" s="708">
        <v>-0.97339657872709395</v>
      </c>
      <c r="G86" s="711">
        <v>0.12982690337455682</v>
      </c>
      <c r="H86" s="710">
        <v>0.314</v>
      </c>
      <c r="I86" s="708">
        <v>0.52</v>
      </c>
      <c r="J86" s="570">
        <v>6.1260000000000003</v>
      </c>
      <c r="K86" s="865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>1613</v>
      </c>
      <c r="L86" s="320"/>
      <c r="M86" s="168">
        <f t="shared" si="464"/>
        <v>6.1260000000000003</v>
      </c>
      <c r="N86" s="632">
        <f t="shared" si="465"/>
        <v>-3.9112034611884505</v>
      </c>
      <c r="O86" s="629">
        <f t="shared" si="466"/>
        <v>-0.28415224208480622</v>
      </c>
      <c r="P86" s="633">
        <f t="shared" si="467"/>
        <v>-0.85540257989418089</v>
      </c>
      <c r="Q86" s="585">
        <f t="shared" si="520"/>
        <v>184.15528640565861</v>
      </c>
      <c r="R86" s="629">
        <f t="shared" si="79"/>
        <v>3.9215118272796703</v>
      </c>
      <c r="S86" s="634">
        <f t="shared" si="80"/>
        <v>-0.85540257989418089</v>
      </c>
      <c r="T86" s="635">
        <f t="shared" si="81"/>
        <v>-0.28415224208480633</v>
      </c>
      <c r="U86" s="629">
        <f t="shared" si="82"/>
        <v>3.9112034611884505</v>
      </c>
      <c r="V86" s="636">
        <f t="shared" si="114"/>
        <v>-0.85540257989418089</v>
      </c>
      <c r="W86" s="585">
        <f t="shared" si="645"/>
        <v>94.155286405658615</v>
      </c>
      <c r="X86" s="629">
        <f t="shared" si="83"/>
        <v>3.9215118272796703</v>
      </c>
      <c r="Y86" s="630">
        <f t="shared" si="644"/>
        <v>-0.85540257989418089</v>
      </c>
      <c r="Z86" s="632">
        <f t="shared" si="468"/>
        <v>0.18879638683661812</v>
      </c>
      <c r="AA86" s="629">
        <f t="shared" si="469"/>
        <v>0.97339657872709395</v>
      </c>
      <c r="AB86" s="629">
        <f t="shared" si="470"/>
        <v>-0.12982690337455682</v>
      </c>
      <c r="AC86" s="636">
        <f t="shared" si="84"/>
        <v>1</v>
      </c>
      <c r="AD86" s="637">
        <f t="shared" si="115"/>
        <v>0.18879638683661812</v>
      </c>
      <c r="AE86" s="629">
        <f t="shared" si="85"/>
        <v>0.97339657872709395</v>
      </c>
      <c r="AF86" s="633">
        <f t="shared" si="86"/>
        <v>-0.12982690337455682</v>
      </c>
      <c r="AG86" s="602">
        <f t="shared" si="87"/>
        <v>82.403003230719747</v>
      </c>
      <c r="AH86" s="603">
        <f t="shared" si="88"/>
        <v>79.117448954872415</v>
      </c>
      <c r="AI86" s="585">
        <f t="shared" si="89"/>
        <v>-82.540410157269989</v>
      </c>
      <c r="AJ86" s="586">
        <f t="shared" si="90"/>
        <v>169.02341197780035</v>
      </c>
      <c r="AK86" s="635">
        <f t="shared" si="211"/>
        <v>0.95715767707197119</v>
      </c>
      <c r="AL86" s="629">
        <f t="shared" si="91"/>
        <v>-0.25883229393250284</v>
      </c>
      <c r="AM86" s="634">
        <f t="shared" si="92"/>
        <v>-0.12982690337455682</v>
      </c>
      <c r="AN86" s="581">
        <f t="shared" si="93"/>
        <v>-63.362254134902344</v>
      </c>
      <c r="AO86" s="582">
        <f t="shared" si="461"/>
        <v>16.83204854731563</v>
      </c>
      <c r="AP86" s="585">
        <f t="shared" si="95"/>
        <v>-15.131874427858262</v>
      </c>
      <c r="AQ86" s="586">
        <f t="shared" si="471"/>
        <v>0.58131876351161493</v>
      </c>
      <c r="AS86" s="52">
        <f t="shared" si="543"/>
        <v>-265.84471359434139</v>
      </c>
      <c r="AT86" s="72">
        <f t="shared" si="472"/>
        <v>-0.67078819545366608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6.1260000000000003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-4.2901777001728139</v>
      </c>
      <c r="C87" s="708">
        <v>-0.26756121790143744</v>
      </c>
      <c r="D87" s="709">
        <v>-1.5228045927786524</v>
      </c>
      <c r="E87" s="710">
        <v>-0.24949443581565467</v>
      </c>
      <c r="F87" s="708">
        <v>-0.96606032180573331</v>
      </c>
      <c r="G87" s="711">
        <v>6.6932661157549742E-2</v>
      </c>
      <c r="H87" s="710">
        <v>0.314</v>
      </c>
      <c r="I87" s="708">
        <v>0.52</v>
      </c>
      <c r="J87" s="570">
        <v>6.133</v>
      </c>
      <c r="K87" s="865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>1613</v>
      </c>
      <c r="L87" s="86">
        <f>H87*2</f>
        <v>0.628</v>
      </c>
      <c r="M87" s="168">
        <f t="shared" si="464"/>
        <v>6.133</v>
      </c>
      <c r="N87" s="632">
        <f t="shared" si="465"/>
        <v>-4.2901777001728139</v>
      </c>
      <c r="O87" s="629">
        <f t="shared" si="466"/>
        <v>-0.26756121790143744</v>
      </c>
      <c r="P87" s="633">
        <f t="shared" si="467"/>
        <v>-1.5228045927786524</v>
      </c>
      <c r="Q87" s="585">
        <f t="shared" si="520"/>
        <v>183.56868649035317</v>
      </c>
      <c r="R87" s="629">
        <f t="shared" si="79"/>
        <v>4.2985129643151003</v>
      </c>
      <c r="S87" s="634">
        <f t="shared" si="80"/>
        <v>-1.5228045927786524</v>
      </c>
      <c r="T87" s="635">
        <f t="shared" si="81"/>
        <v>-0.26756121790143828</v>
      </c>
      <c r="U87" s="629">
        <f t="shared" si="82"/>
        <v>4.290177700172813</v>
      </c>
      <c r="V87" s="636">
        <f t="shared" si="114"/>
        <v>-1.5228045927786524</v>
      </c>
      <c r="W87" s="585">
        <f t="shared" si="645"/>
        <v>93.568686490353173</v>
      </c>
      <c r="X87" s="629">
        <f t="shared" si="83"/>
        <v>4.2985129643151003</v>
      </c>
      <c r="Y87" s="630">
        <f t="shared" si="644"/>
        <v>-1.5228045927786524</v>
      </c>
      <c r="Z87" s="632">
        <f t="shared" si="468"/>
        <v>0.24949443581565467</v>
      </c>
      <c r="AA87" s="629">
        <f t="shared" si="469"/>
        <v>0.96606032180573331</v>
      </c>
      <c r="AB87" s="629">
        <f t="shared" si="470"/>
        <v>-6.6932661157549742E-2</v>
      </c>
      <c r="AC87" s="636">
        <f t="shared" si="84"/>
        <v>1</v>
      </c>
      <c r="AD87" s="637">
        <f t="shared" si="115"/>
        <v>0.24949443581565467</v>
      </c>
      <c r="AE87" s="629">
        <f t="shared" si="85"/>
        <v>0.96606032180573331</v>
      </c>
      <c r="AF87" s="633">
        <f t="shared" si="86"/>
        <v>-6.6932661157549742E-2</v>
      </c>
      <c r="AG87" s="602">
        <f t="shared" si="87"/>
        <v>86.036644695421231</v>
      </c>
      <c r="AH87" s="603">
        <f t="shared" si="88"/>
        <v>75.552402472020034</v>
      </c>
      <c r="AI87" s="585">
        <f t="shared" si="89"/>
        <v>-86.162171792024907</v>
      </c>
      <c r="AJ87" s="586">
        <f t="shared" si="90"/>
        <v>165.51922217901034</v>
      </c>
      <c r="AK87" s="635">
        <f t="shared" si="211"/>
        <v>0.94865723294985915</v>
      </c>
      <c r="AL87" s="629">
        <f t="shared" si="91"/>
        <v>-0.30914312743822292</v>
      </c>
      <c r="AM87" s="634">
        <f t="shared" si="92"/>
        <v>-6.6932661157549742E-2</v>
      </c>
      <c r="AN87" s="581">
        <f t="shared" si="93"/>
        <v>-77.783436816891538</v>
      </c>
      <c r="AO87" s="582">
        <f t="shared" si="461"/>
        <v>18.439670848705195</v>
      </c>
      <c r="AP87" s="585">
        <f t="shared" si="95"/>
        <v>-18.049464311342838</v>
      </c>
      <c r="AQ87" s="586">
        <f t="shared" si="471"/>
        <v>0.53033724559660711</v>
      </c>
      <c r="AS87" s="52">
        <f t="shared" si="543"/>
        <v>-266.43131350964683</v>
      </c>
      <c r="AT87" s="72">
        <f t="shared" si="472"/>
        <v>-1.3377828472858422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6.133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-4.5248976502229521</v>
      </c>
      <c r="C88" s="708">
        <v>-0.25207687615624308</v>
      </c>
      <c r="D88" s="709">
        <v>-2.2541067983861041</v>
      </c>
      <c r="E88" s="710">
        <v>-0.2991873878398596</v>
      </c>
      <c r="F88" s="708">
        <v>-0.95397286529100844</v>
      </c>
      <c r="G88" s="711">
        <v>2.0559164526438203E-2</v>
      </c>
      <c r="H88" s="710">
        <v>0.314</v>
      </c>
      <c r="I88" s="708">
        <v>0.52</v>
      </c>
      <c r="J88" s="570">
        <v>6.14</v>
      </c>
      <c r="K88" s="865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>1613</v>
      </c>
      <c r="L88" s="320"/>
      <c r="M88" s="168">
        <f t="shared" si="464"/>
        <v>6.14</v>
      </c>
      <c r="N88" s="632">
        <f t="shared" si="465"/>
        <v>-4.5248976502229521</v>
      </c>
      <c r="O88" s="629">
        <f t="shared" si="466"/>
        <v>-0.25207687615624308</v>
      </c>
      <c r="P88" s="633">
        <f t="shared" si="467"/>
        <v>-2.2541067983861041</v>
      </c>
      <c r="Q88" s="585">
        <f t="shared" si="520"/>
        <v>183.18858654523279</v>
      </c>
      <c r="R88" s="629">
        <f t="shared" si="79"/>
        <v>4.5319136682516232</v>
      </c>
      <c r="S88" s="634">
        <f t="shared" si="80"/>
        <v>-2.2541067983861041</v>
      </c>
      <c r="T88" s="635">
        <f t="shared" si="81"/>
        <v>-0.2520768761562423</v>
      </c>
      <c r="U88" s="629">
        <f t="shared" si="82"/>
        <v>4.5248976502229521</v>
      </c>
      <c r="V88" s="636">
        <f t="shared" si="114"/>
        <v>-2.2541067983861041</v>
      </c>
      <c r="W88" s="585">
        <f t="shared" si="645"/>
        <v>93.188586545232795</v>
      </c>
      <c r="X88" s="629">
        <f t="shared" si="83"/>
        <v>4.5319136682516232</v>
      </c>
      <c r="Y88" s="630">
        <f t="shared" si="644"/>
        <v>-2.2541067983861041</v>
      </c>
      <c r="Z88" s="632">
        <f t="shared" si="468"/>
        <v>0.2991873878398596</v>
      </c>
      <c r="AA88" s="629">
        <f t="shared" si="469"/>
        <v>0.95397286529100844</v>
      </c>
      <c r="AB88" s="629">
        <f t="shared" si="470"/>
        <v>-2.0559164526438203E-2</v>
      </c>
      <c r="AC88" s="636">
        <f t="shared" si="84"/>
        <v>1</v>
      </c>
      <c r="AD88" s="637">
        <f t="shared" si="115"/>
        <v>0.2991873878398596</v>
      </c>
      <c r="AE88" s="629">
        <f t="shared" si="85"/>
        <v>0.95397286529100844</v>
      </c>
      <c r="AF88" s="633">
        <f t="shared" si="86"/>
        <v>-2.0559164526438203E-2</v>
      </c>
      <c r="AG88" s="602">
        <f t="shared" si="87"/>
        <v>88.765404043910479</v>
      </c>
      <c r="AH88" s="603">
        <f t="shared" si="88"/>
        <v>72.591197699130518</v>
      </c>
      <c r="AI88" s="585">
        <f t="shared" si="89"/>
        <v>-88.821963643792742</v>
      </c>
      <c r="AJ88" s="586">
        <f t="shared" si="90"/>
        <v>162.58739972321746</v>
      </c>
      <c r="AK88" s="635">
        <f t="shared" si="211"/>
        <v>0.93585440166955991</v>
      </c>
      <c r="AL88" s="629">
        <f t="shared" si="91"/>
        <v>-0.35178666778274192</v>
      </c>
      <c r="AM88" s="634">
        <f t="shared" si="92"/>
        <v>-2.0559164526438203E-2</v>
      </c>
      <c r="AN88" s="581">
        <f t="shared" si="93"/>
        <v>-86.655316662961141</v>
      </c>
      <c r="AO88" s="582">
        <f t="shared" si="461"/>
        <v>20.63337926538653</v>
      </c>
      <c r="AP88" s="585">
        <f t="shared" si="95"/>
        <v>-20.601186822015343</v>
      </c>
      <c r="AQ88" s="586">
        <f t="shared" si="471"/>
        <v>0.50302548232317013</v>
      </c>
      <c r="AS88" s="52">
        <f t="shared" si="543"/>
        <v>-266.81141345476721</v>
      </c>
      <c r="AT88" s="72">
        <f t="shared" si="472"/>
        <v>-2.0688210945980714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6.14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-4.6038337625468326</v>
      </c>
      <c r="C89" s="708">
        <v>-0.24597326446970449</v>
      </c>
      <c r="D89" s="709">
        <v>-2.9976000000000007</v>
      </c>
      <c r="E89" s="710">
        <v>-0.33325430154410651</v>
      </c>
      <c r="F89" s="708">
        <v>-0.94282696881310202</v>
      </c>
      <c r="G89" s="711">
        <v>-4.3448108184196005E-3</v>
      </c>
      <c r="H89" s="710">
        <v>0.314</v>
      </c>
      <c r="I89" s="708">
        <v>0.52</v>
      </c>
      <c r="J89" s="570">
        <v>6.1470000000000002</v>
      </c>
      <c r="K89" s="865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>1613</v>
      </c>
      <c r="L89" s="320"/>
      <c r="M89" s="168">
        <f t="shared" si="464"/>
        <v>6.1470000000000002</v>
      </c>
      <c r="N89" s="632">
        <f t="shared" si="465"/>
        <v>-4.6038337625468326</v>
      </c>
      <c r="O89" s="629">
        <f t="shared" si="466"/>
        <v>-0.24597326446970449</v>
      </c>
      <c r="P89" s="633">
        <f t="shared" si="467"/>
        <v>-2.9976000000000007</v>
      </c>
      <c r="Q89" s="585">
        <f t="shared" si="520"/>
        <v>183.05828656404577</v>
      </c>
      <c r="R89" s="629">
        <f t="shared" si="79"/>
        <v>4.6104000000000012</v>
      </c>
      <c r="S89" s="634">
        <f t="shared" si="80"/>
        <v>-2.9976000000000007</v>
      </c>
      <c r="T89" s="635">
        <f t="shared" si="81"/>
        <v>-0.24597326446970344</v>
      </c>
      <c r="U89" s="629">
        <f t="shared" si="82"/>
        <v>4.6038337625468326</v>
      </c>
      <c r="V89" s="636">
        <f t="shared" si="114"/>
        <v>-2.9976000000000007</v>
      </c>
      <c r="W89" s="585">
        <f t="shared" si="645"/>
        <v>93.058286564045773</v>
      </c>
      <c r="X89" s="629">
        <f t="shared" si="83"/>
        <v>4.6104000000000012</v>
      </c>
      <c r="Y89" s="630">
        <f t="shared" si="644"/>
        <v>-2.9976000000000007</v>
      </c>
      <c r="Z89" s="632">
        <f t="shared" si="468"/>
        <v>0.33325430154410651</v>
      </c>
      <c r="AA89" s="629">
        <f t="shared" si="469"/>
        <v>0.94282696881310202</v>
      </c>
      <c r="AB89" s="629">
        <f t="shared" si="470"/>
        <v>4.3448108184196005E-3</v>
      </c>
      <c r="AC89" s="636">
        <f t="shared" si="84"/>
        <v>1</v>
      </c>
      <c r="AD89" s="637">
        <f t="shared" si="115"/>
        <v>0.33325430154410651</v>
      </c>
      <c r="AE89" s="629">
        <f t="shared" si="85"/>
        <v>0.94282696881310202</v>
      </c>
      <c r="AF89" s="633">
        <f t="shared" si="86"/>
        <v>4.3448108184196005E-3</v>
      </c>
      <c r="AG89" s="602">
        <f t="shared" si="87"/>
        <v>90.264033135194637</v>
      </c>
      <c r="AH89" s="603">
        <f t="shared" si="88"/>
        <v>70.533582162976103</v>
      </c>
      <c r="AI89" s="585">
        <f t="shared" si="89"/>
        <v>-90.248940105905291</v>
      </c>
      <c r="AJ89" s="586">
        <f t="shared" si="90"/>
        <v>160.53339101049482</v>
      </c>
      <c r="AK89" s="635">
        <f t="shared" si="211"/>
        <v>0.92370444707879429</v>
      </c>
      <c r="AL89" s="629">
        <f t="shared" si="91"/>
        <v>-0.38308121471276985</v>
      </c>
      <c r="AM89" s="634">
        <f t="shared" si="92"/>
        <v>4.3448108184196005E-3</v>
      </c>
      <c r="AN89" s="581">
        <f t="shared" si="93"/>
        <v>-90.649806463529544</v>
      </c>
      <c r="AO89" s="582">
        <f t="shared" si="461"/>
        <v>22.526199520822832</v>
      </c>
      <c r="AP89" s="585">
        <f t="shared" si="95"/>
        <v>-22.524895553550941</v>
      </c>
      <c r="AQ89" s="586">
        <f t="shared" si="471"/>
        <v>0.49446252733505602</v>
      </c>
      <c r="AS89" s="52">
        <f t="shared" si="543"/>
        <v>-266.94171343595423</v>
      </c>
      <c r="AT89" s="72">
        <f t="shared" si="472"/>
        <v>-2.8122238101139212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6.1470000000000002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-4.7551811401927342</v>
      </c>
      <c r="C90" s="708">
        <v>-0.14528277239687856</v>
      </c>
      <c r="D90" s="709">
        <v>-3.6898000000000004</v>
      </c>
      <c r="E90" s="710">
        <v>-0.63028009306745103</v>
      </c>
      <c r="F90" s="708">
        <v>-0.77107351307474814</v>
      </c>
      <c r="G90" s="711">
        <v>9.0513212944031474E-2</v>
      </c>
      <c r="H90" s="710">
        <v>0.26600000000000001</v>
      </c>
      <c r="I90" s="708">
        <v>0.52</v>
      </c>
      <c r="J90" s="570">
        <v>6.1539999999999999</v>
      </c>
      <c r="K90" s="865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>1313</v>
      </c>
      <c r="L90" s="320"/>
      <c r="M90" s="168">
        <f t="shared" si="464"/>
        <v>6.1539999999999999</v>
      </c>
      <c r="N90" s="632">
        <f t="shared" si="465"/>
        <v>-4.7551811401927342</v>
      </c>
      <c r="O90" s="629">
        <f t="shared" si="466"/>
        <v>-0.14528277239687856</v>
      </c>
      <c r="P90" s="633">
        <f t="shared" si="467"/>
        <v>-3.6898000000000004</v>
      </c>
      <c r="Q90" s="585">
        <f t="shared" si="520"/>
        <v>181.74998613931692</v>
      </c>
      <c r="R90" s="629">
        <f t="shared" si="79"/>
        <v>4.7573999999999996</v>
      </c>
      <c r="S90" s="634">
        <f t="shared" si="80"/>
        <v>-3.6898000000000004</v>
      </c>
      <c r="T90" s="635">
        <f t="shared" si="81"/>
        <v>-0.14528277239687867</v>
      </c>
      <c r="U90" s="629">
        <f t="shared" si="82"/>
        <v>4.7551811401927342</v>
      </c>
      <c r="V90" s="636">
        <f t="shared" si="114"/>
        <v>-3.6898000000000004</v>
      </c>
      <c r="W90" s="585">
        <f t="shared" si="645"/>
        <v>91.749986139316917</v>
      </c>
      <c r="X90" s="629">
        <f t="shared" si="83"/>
        <v>4.7573999999999996</v>
      </c>
      <c r="Y90" s="630">
        <f t="shared" si="644"/>
        <v>-3.6898000000000004</v>
      </c>
      <c r="Z90" s="632">
        <f t="shared" si="468"/>
        <v>0.63028009306745103</v>
      </c>
      <c r="AA90" s="629">
        <f t="shared" si="469"/>
        <v>0.77107351307474814</v>
      </c>
      <c r="AB90" s="629">
        <f t="shared" si="470"/>
        <v>-9.0513212944031474E-2</v>
      </c>
      <c r="AC90" s="636">
        <f t="shared" si="84"/>
        <v>1</v>
      </c>
      <c r="AD90" s="637">
        <f t="shared" si="115"/>
        <v>0.63028009306745103</v>
      </c>
      <c r="AE90" s="629">
        <f t="shared" si="85"/>
        <v>0.77107351307474814</v>
      </c>
      <c r="AF90" s="633">
        <f t="shared" si="86"/>
        <v>-9.0513212944031474E-2</v>
      </c>
      <c r="AG90" s="602">
        <f t="shared" si="87"/>
        <v>83.304918655132369</v>
      </c>
      <c r="AH90" s="603">
        <f t="shared" si="88"/>
        <v>50.929209681202252</v>
      </c>
      <c r="AI90" s="585">
        <f t="shared" si="89"/>
        <v>-84.806867466320753</v>
      </c>
      <c r="AJ90" s="586">
        <f t="shared" si="90"/>
        <v>140.73723093989443</v>
      </c>
      <c r="AK90" s="635">
        <f t="shared" si="211"/>
        <v>0.75146621847391359</v>
      </c>
      <c r="AL90" s="629">
        <f t="shared" si="91"/>
        <v>-0.65353338153078677</v>
      </c>
      <c r="AM90" s="634">
        <f t="shared" si="92"/>
        <v>-9.0513212944031474E-2</v>
      </c>
      <c r="AN90" s="581">
        <f t="shared" si="93"/>
        <v>-82.114798282431977</v>
      </c>
      <c r="AO90" s="582">
        <f t="shared" si="461"/>
        <v>41.282453628400035</v>
      </c>
      <c r="AP90" s="585">
        <f t="shared" si="95"/>
        <v>-41.012755199422486</v>
      </c>
      <c r="AQ90" s="586">
        <f t="shared" si="471"/>
        <v>0.47918473943468581</v>
      </c>
      <c r="AS90" s="52">
        <f t="shared" si="543"/>
        <v>-268.25001386068311</v>
      </c>
      <c r="AT90" s="72">
        <f t="shared" si="472"/>
        <v>-3.5035152681523036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6.1539999999999999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>
        <f t="shared" si="542"/>
        <v>1313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-2.5039804406987085</v>
      </c>
      <c r="C91" s="708">
        <v>0.69374747984917851</v>
      </c>
      <c r="D91" s="709">
        <v>-7.9654586189564572E-2</v>
      </c>
      <c r="E91" s="710">
        <v>-6.0554175225336705E-8</v>
      </c>
      <c r="F91" s="708">
        <v>-2.1856147196361592E-7</v>
      </c>
      <c r="G91" s="711">
        <v>0.99999999999997435</v>
      </c>
      <c r="H91" s="710">
        <v>0.26250000000000001</v>
      </c>
      <c r="I91" s="708">
        <v>0.40699999999999997</v>
      </c>
      <c r="J91" s="570">
        <v>6.2119999999999997</v>
      </c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>Inactive</v>
      </c>
      <c r="L91" s="320"/>
      <c r="M91" s="168">
        <f t="shared" si="464"/>
        <v>6.2119999999999997</v>
      </c>
      <c r="N91" s="632">
        <f t="shared" si="465"/>
        <v>-2.5039804406987085</v>
      </c>
      <c r="O91" s="629">
        <f t="shared" si="466"/>
        <v>0.69374747984917851</v>
      </c>
      <c r="P91" s="633">
        <f t="shared" si="467"/>
        <v>-7.9654586189564572E-2</v>
      </c>
      <c r="Q91" s="585">
        <f t="shared" si="520"/>
        <v>164.51418924148217</v>
      </c>
      <c r="R91" s="629">
        <f t="shared" si="79"/>
        <v>2.5983078364964349</v>
      </c>
      <c r="S91" s="634">
        <f t="shared" si="80"/>
        <v>-7.9654586189564572E-2</v>
      </c>
      <c r="T91" s="635">
        <f t="shared" si="81"/>
        <v>0.69374747984917873</v>
      </c>
      <c r="U91" s="629">
        <f t="shared" si="82"/>
        <v>2.5039804406987085</v>
      </c>
      <c r="V91" s="636">
        <f t="shared" si="114"/>
        <v>-7.9654586189564572E-2</v>
      </c>
      <c r="W91" s="585">
        <f t="shared" si="645"/>
        <v>74.514189241482171</v>
      </c>
      <c r="X91" s="629">
        <f t="shared" si="83"/>
        <v>2.5983078364964349</v>
      </c>
      <c r="Y91" s="630">
        <f t="shared" si="644"/>
        <v>-7.9654586189564572E-2</v>
      </c>
      <c r="Z91" s="632">
        <f t="shared" si="468"/>
        <v>6.0554175225336705E-8</v>
      </c>
      <c r="AA91" s="629">
        <f t="shared" si="469"/>
        <v>2.1856147196361592E-7</v>
      </c>
      <c r="AB91" s="629">
        <f t="shared" si="470"/>
        <v>-0.99999999999997435</v>
      </c>
      <c r="AC91" s="636">
        <f t="shared" si="84"/>
        <v>1</v>
      </c>
      <c r="AD91" s="637">
        <f t="shared" si="115"/>
        <v>6.0554175225336705E-8</v>
      </c>
      <c r="AE91" s="629">
        <f t="shared" si="85"/>
        <v>2.1856147196361592E-7</v>
      </c>
      <c r="AF91" s="633">
        <f t="shared" si="86"/>
        <v>-0.99999999999997435</v>
      </c>
      <c r="AG91" s="602">
        <f t="shared" si="87"/>
        <v>1.2522649907682185E-5</v>
      </c>
      <c r="AH91" s="603">
        <f t="shared" si="88"/>
        <v>89.999996530501321</v>
      </c>
      <c r="AI91" s="585">
        <f t="shared" si="89"/>
        <v>-1.2976235990044085E-5</v>
      </c>
      <c r="AJ91" s="586">
        <f t="shared" si="90"/>
        <v>164.51418924148217</v>
      </c>
      <c r="AK91" s="635">
        <f t="shared" si="211"/>
        <v>2.2679489668888772E-7</v>
      </c>
      <c r="AL91" s="629">
        <f t="shared" si="91"/>
        <v>1.9852334701272664E-23</v>
      </c>
      <c r="AM91" s="634">
        <f t="shared" si="92"/>
        <v>-0.99999999999997435</v>
      </c>
      <c r="AN91" s="581">
        <f t="shared" si="93"/>
        <v>1.1374549918640607E-21</v>
      </c>
      <c r="AO91" s="582">
        <f t="shared" si="461"/>
        <v>0</v>
      </c>
      <c r="AP91" s="585">
        <f t="shared" si="95"/>
        <v>5.0153465023702339E-15</v>
      </c>
      <c r="AQ91" s="586">
        <f t="shared" si="471"/>
        <v>0.87732039595837208</v>
      </c>
      <c r="AS91" s="52">
        <f t="shared" si="543"/>
        <v>-285.4858107585178</v>
      </c>
      <c r="AT91" s="72">
        <f t="shared" si="472"/>
        <v>0.11859944905940613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Nose</v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6.2119999999999997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6.1120000000000001</v>
      </c>
      <c r="II91" s="734" cm="1">
        <f t="array" ref="II91">IFERROR(IF($IH91&lt;1,$IH91+LARGE((IF($M$9:$M$150="",0,$M$9:$M$150)-MOD(IF($M$9:$M$150="",0,$M$9:$M$150),1)),1),$IH91),"")</f>
        <v>6.1120000000000001</v>
      </c>
      <c r="IJ91" s="533">
        <f t="shared" si="542"/>
        <v>1613</v>
      </c>
      <c r="IK91" s="533" t="str">
        <f t="shared" si="517"/>
        <v>Inactive</v>
      </c>
      <c r="IL91" s="727">
        <f t="shared" si="647"/>
        <v>21.247396932255469</v>
      </c>
      <c r="IM91" s="759">
        <v>3.8946561329807498E-2</v>
      </c>
      <c r="IN91" s="5">
        <f t="shared" si="648"/>
        <v>0.64</v>
      </c>
      <c r="IO91" s="771">
        <v>320</v>
      </c>
      <c r="IP91" s="9">
        <f t="shared" si="649"/>
        <v>-2.5983078364964354</v>
      </c>
      <c r="IQ91" s="5">
        <f t="shared" si="650"/>
        <v>-8.1300245201539501E-2</v>
      </c>
      <c r="IR91" s="5">
        <f t="shared" si="518"/>
        <v>0.314</v>
      </c>
      <c r="IS91" s="5">
        <f t="shared" si="651"/>
        <v>0.30306492109787136</v>
      </c>
      <c r="IT91" s="727">
        <f t="shared" si="652"/>
        <v>8.6674519573874047</v>
      </c>
      <c r="IU91" s="9">
        <f t="shared" si="653"/>
        <v>-2.5983078364964349</v>
      </c>
      <c r="IV91" s="5">
        <f t="shared" si="654"/>
        <v>-7.9654586189564572E-2</v>
      </c>
      <c r="IW91" s="5">
        <f t="shared" si="519"/>
        <v>0.26250000000000001</v>
      </c>
      <c r="IX91" s="5">
        <f t="shared" si="655"/>
        <v>0.26250000000000001</v>
      </c>
      <c r="IY91" s="762">
        <f t="shared" si="656"/>
        <v>-1.1374549918640607E-21</v>
      </c>
    </row>
    <row r="92" spans="1:259" ht="15" customHeight="1" x14ac:dyDescent="0.25">
      <c r="A92" s="79"/>
      <c r="B92" s="707">
        <v>-3.3073546156699427</v>
      </c>
      <c r="C92" s="708">
        <v>0.66143363584652914</v>
      </c>
      <c r="D92" s="709">
        <v>-0.29206038590224653</v>
      </c>
      <c r="E92" s="710">
        <v>-0.39131306896787682</v>
      </c>
      <c r="F92" s="708">
        <v>-0.87582776048329747</v>
      </c>
      <c r="G92" s="711">
        <v>0.28248861219835658</v>
      </c>
      <c r="H92" s="710">
        <v>0.26600000000000001</v>
      </c>
      <c r="I92" s="708">
        <v>0.39400000000000002</v>
      </c>
      <c r="J92" s="570">
        <v>6.2190000000000003</v>
      </c>
      <c r="K92" s="865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>1310</v>
      </c>
      <c r="L92" s="320"/>
      <c r="M92" s="168">
        <f t="shared" si="464"/>
        <v>6.2190000000000003</v>
      </c>
      <c r="N92" s="632">
        <f t="shared" si="465"/>
        <v>-3.3073546156699427</v>
      </c>
      <c r="O92" s="629">
        <f t="shared" si="466"/>
        <v>0.66143363584652914</v>
      </c>
      <c r="P92" s="633">
        <f t="shared" si="467"/>
        <v>-0.29206038590224653</v>
      </c>
      <c r="Q92" s="585">
        <f t="shared" si="520"/>
        <v>168.69068863847025</v>
      </c>
      <c r="R92" s="629">
        <f t="shared" si="79"/>
        <v>3.372845832293915</v>
      </c>
      <c r="S92" s="634">
        <f t="shared" si="80"/>
        <v>-0.29206038590224653</v>
      </c>
      <c r="T92" s="635">
        <f t="shared" si="81"/>
        <v>0.66143363584653081</v>
      </c>
      <c r="U92" s="629">
        <f t="shared" si="82"/>
        <v>3.3073546156699423</v>
      </c>
      <c r="V92" s="636">
        <f t="shared" si="114"/>
        <v>-0.29206038590224653</v>
      </c>
      <c r="W92" s="585">
        <f t="shared" si="645"/>
        <v>78.690688638470249</v>
      </c>
      <c r="X92" s="629">
        <f t="shared" si="83"/>
        <v>3.372845832293915</v>
      </c>
      <c r="Y92" s="630">
        <f t="shared" si="644"/>
        <v>-0.29206038590224653</v>
      </c>
      <c r="Z92" s="632">
        <f t="shared" si="468"/>
        <v>0.39131306896787682</v>
      </c>
      <c r="AA92" s="629">
        <f t="shared" si="469"/>
        <v>0.87582776048329747</v>
      </c>
      <c r="AB92" s="629">
        <f t="shared" si="470"/>
        <v>-0.28248861219835658</v>
      </c>
      <c r="AC92" s="636">
        <f t="shared" si="84"/>
        <v>1</v>
      </c>
      <c r="AD92" s="637">
        <f t="shared" si="115"/>
        <v>0.39131306896787682</v>
      </c>
      <c r="AE92" s="629">
        <f t="shared" si="85"/>
        <v>0.87582776048329747</v>
      </c>
      <c r="AF92" s="633">
        <f t="shared" si="86"/>
        <v>-0.28248861219835658</v>
      </c>
      <c r="AG92" s="602">
        <f t="shared" si="87"/>
        <v>72.123464503598072</v>
      </c>
      <c r="AH92" s="603">
        <f t="shared" si="88"/>
        <v>66.963772911744826</v>
      </c>
      <c r="AI92" s="585">
        <f t="shared" si="89"/>
        <v>-73.591210832539616</v>
      </c>
      <c r="AJ92" s="586">
        <f t="shared" si="90"/>
        <v>155.92527764978323</v>
      </c>
      <c r="AK92" s="635">
        <f t="shared" si="211"/>
        <v>0.93556028618773057</v>
      </c>
      <c r="AL92" s="629">
        <f t="shared" si="91"/>
        <v>-0.21196022005692064</v>
      </c>
      <c r="AM92" s="634">
        <f t="shared" si="92"/>
        <v>-0.28248861219835658</v>
      </c>
      <c r="AN92" s="581">
        <f t="shared" si="93"/>
        <v>-36.882066628581867</v>
      </c>
      <c r="AO92" s="582">
        <f t="shared" si="461"/>
        <v>20.681147617935789</v>
      </c>
      <c r="AP92" s="585">
        <f t="shared" si="95"/>
        <v>-12.765410988687023</v>
      </c>
      <c r="AQ92" s="586">
        <f t="shared" si="471"/>
        <v>0.67587461807467875</v>
      </c>
      <c r="AS92" s="52">
        <f t="shared" si="543"/>
        <v>-281.30931136152975</v>
      </c>
      <c r="AT92" s="73">
        <f t="shared" si="472"/>
        <v>-9.6706697456739765E-2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Nose</v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6.2190000000000003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6.1189999999999998</v>
      </c>
      <c r="II92" s="734" cm="1">
        <f t="array" ref="II92">IFERROR(IF($IH92&lt;1,$IH92+LARGE((IF($M$9:$M$150="",0,$M$9:$M$150)-MOD(IF($M$9:$M$150="",0,$M$9:$M$150),1)),1),$IH92),"")</f>
        <v>6.1189999999999998</v>
      </c>
      <c r="IJ92" s="533">
        <f t="shared" si="542"/>
        <v>1613</v>
      </c>
      <c r="IK92" s="533">
        <f t="shared" si="517"/>
        <v>1310</v>
      </c>
      <c r="IL92" s="727">
        <f t="shared" si="647"/>
        <v>16.264397651711562</v>
      </c>
      <c r="IM92" s="759">
        <v>1.2355702538381899E-2</v>
      </c>
      <c r="IN92" s="5">
        <f t="shared" si="648"/>
        <v>0.28000000000000003</v>
      </c>
      <c r="IO92" s="771">
        <v>140</v>
      </c>
      <c r="IP92" s="9">
        <f t="shared" si="649"/>
        <v>-3.3533101135833023</v>
      </c>
      <c r="IQ92" s="5">
        <f t="shared" si="650"/>
        <v>-0.32810098955258443</v>
      </c>
      <c r="IR92" s="5">
        <f t="shared" si="518"/>
        <v>0.314</v>
      </c>
      <c r="IS92" s="5">
        <f t="shared" si="651"/>
        <v>0.30196693038830702</v>
      </c>
      <c r="IT92" s="727">
        <f t="shared" si="652"/>
        <v>41.478583587355381</v>
      </c>
      <c r="IU92" s="9">
        <f t="shared" si="653"/>
        <v>-3.372845832293915</v>
      </c>
      <c r="IV92" s="5">
        <f t="shared" si="654"/>
        <v>-0.29206038590224653</v>
      </c>
      <c r="IW92" s="5">
        <f t="shared" si="519"/>
        <v>0.26600000000000001</v>
      </c>
      <c r="IX92" s="5">
        <f t="shared" si="655"/>
        <v>0.24885903612593635</v>
      </c>
      <c r="IY92" s="762">
        <f t="shared" si="656"/>
        <v>36.882066628581867</v>
      </c>
    </row>
    <row r="93" spans="1:259" ht="15" customHeight="1" x14ac:dyDescent="0.25">
      <c r="A93" s="79"/>
      <c r="B93" s="707">
        <v>-3.8960006652273678</v>
      </c>
      <c r="C93" s="708">
        <v>0.66660027886516215</v>
      </c>
      <c r="D93" s="709">
        <v>-0.82366964645932794</v>
      </c>
      <c r="E93" s="710">
        <v>-0.45958486619895345</v>
      </c>
      <c r="F93" s="708">
        <v>-0.8660597306990705</v>
      </c>
      <c r="G93" s="711">
        <v>0.19677980999671654</v>
      </c>
      <c r="H93" s="710">
        <v>0.26600000000000001</v>
      </c>
      <c r="I93" s="708">
        <v>0.39400000000000002</v>
      </c>
      <c r="J93" s="570">
        <v>6.226</v>
      </c>
      <c r="K93" s="865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>1310</v>
      </c>
      <c r="L93" s="320"/>
      <c r="M93" s="168">
        <f t="shared" si="464"/>
        <v>6.226</v>
      </c>
      <c r="N93" s="632">
        <f t="shared" si="465"/>
        <v>-3.8960006652273678</v>
      </c>
      <c r="O93" s="629">
        <f t="shared" si="466"/>
        <v>0.66660027886516215</v>
      </c>
      <c r="P93" s="633">
        <f t="shared" si="467"/>
        <v>-0.82366964645932794</v>
      </c>
      <c r="Q93" s="585">
        <f t="shared" si="520"/>
        <v>170.29078840744447</v>
      </c>
      <c r="R93" s="629">
        <f t="shared" si="79"/>
        <v>3.9526164897742362</v>
      </c>
      <c r="S93" s="634">
        <f t="shared" si="80"/>
        <v>-0.82366964645932794</v>
      </c>
      <c r="T93" s="635">
        <f t="shared" si="81"/>
        <v>0.66660027886516127</v>
      </c>
      <c r="U93" s="629">
        <f t="shared" si="82"/>
        <v>3.8960006652273682</v>
      </c>
      <c r="V93" s="636">
        <f t="shared" si="114"/>
        <v>-0.82366964645932794</v>
      </c>
      <c r="W93" s="585">
        <f t="shared" si="645"/>
        <v>80.290788407444467</v>
      </c>
      <c r="X93" s="629">
        <f t="shared" si="83"/>
        <v>3.9526164897742362</v>
      </c>
      <c r="Y93" s="630">
        <f t="shared" si="644"/>
        <v>-0.82366964645932794</v>
      </c>
      <c r="Z93" s="632">
        <f t="shared" si="468"/>
        <v>0.45958486619895345</v>
      </c>
      <c r="AA93" s="629">
        <f t="shared" si="469"/>
        <v>0.8660597306990705</v>
      </c>
      <c r="AB93" s="629">
        <f t="shared" si="470"/>
        <v>-0.19677980999671654</v>
      </c>
      <c r="AC93" s="636">
        <f t="shared" si="84"/>
        <v>1</v>
      </c>
      <c r="AD93" s="637">
        <f t="shared" si="115"/>
        <v>0.45958486619895345</v>
      </c>
      <c r="AE93" s="629">
        <f t="shared" si="85"/>
        <v>0.8660597306990705</v>
      </c>
      <c r="AF93" s="633">
        <f t="shared" si="86"/>
        <v>-0.19677980999671654</v>
      </c>
      <c r="AG93" s="602">
        <f t="shared" si="87"/>
        <v>77.199001831282899</v>
      </c>
      <c r="AH93" s="603">
        <f t="shared" si="88"/>
        <v>62.639677077906875</v>
      </c>
      <c r="AI93" s="585">
        <f t="shared" si="89"/>
        <v>-78.651286071060952</v>
      </c>
      <c r="AJ93" s="586">
        <f t="shared" si="90"/>
        <v>152.04681288566232</v>
      </c>
      <c r="AK93" s="635">
        <f t="shared" si="211"/>
        <v>0.93116260998821743</v>
      </c>
      <c r="AL93" s="629">
        <f t="shared" si="91"/>
        <v>-0.30694282877693591</v>
      </c>
      <c r="AM93" s="634">
        <f t="shared" si="92"/>
        <v>-0.19677980999671654</v>
      </c>
      <c r="AN93" s="581">
        <f t="shared" si="93"/>
        <v>-57.336231454458165</v>
      </c>
      <c r="AO93" s="582">
        <f t="shared" si="461"/>
        <v>21.383224091926053</v>
      </c>
      <c r="AP93" s="585">
        <f t="shared" si="95"/>
        <v>-18.24397552178214</v>
      </c>
      <c r="AQ93" s="586">
        <f t="shared" si="471"/>
        <v>0.57674445235989802</v>
      </c>
      <c r="AS93" s="52">
        <f t="shared" si="543"/>
        <v>-279.70921159255556</v>
      </c>
      <c r="AT93" s="73">
        <f t="shared" si="472"/>
        <v>-0.62942713840894216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>Taper</v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6.226</v>
      </c>
      <c r="IH93" s="731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6.1260000000000003</v>
      </c>
      <c r="II93" s="734" cm="1">
        <f t="array" ref="II93">IFERROR(IF($IH93&lt;1,$IH93+LARGE((IF($M$9:$M$150="",0,$M$9:$M$150)-MOD(IF($M$9:$M$150="",0,$M$9:$M$150),1)),1),$IH93),"")</f>
        <v>6.1260000000000003</v>
      </c>
      <c r="IJ93" s="533">
        <f t="shared" si="542"/>
        <v>1613</v>
      </c>
      <c r="IK93" s="533">
        <f t="shared" si="517"/>
        <v>1310</v>
      </c>
      <c r="IL93" s="727">
        <f t="shared" si="647"/>
        <v>13.864497998214148</v>
      </c>
      <c r="IM93" s="759">
        <v>8.9245727139463903E-3</v>
      </c>
      <c r="IN93" s="5">
        <f t="shared" si="648"/>
        <v>0.26</v>
      </c>
      <c r="IO93" s="771">
        <v>130</v>
      </c>
      <c r="IP93" s="9">
        <f t="shared" si="649"/>
        <v>-3.9215118272796703</v>
      </c>
      <c r="IQ93" s="5">
        <f t="shared" si="650"/>
        <v>-0.85540257989418089</v>
      </c>
      <c r="IR93" s="5">
        <f t="shared" si="518"/>
        <v>0.314</v>
      </c>
      <c r="IS93" s="5">
        <f t="shared" si="651"/>
        <v>0.30054751060059898</v>
      </c>
      <c r="IT93" s="727">
        <f t="shared" si="652"/>
        <v>63.362254134902344</v>
      </c>
      <c r="IU93" s="9">
        <f t="shared" si="653"/>
        <v>-3.9526164897742362</v>
      </c>
      <c r="IV93" s="5">
        <f t="shared" si="654"/>
        <v>-0.82366964645932794</v>
      </c>
      <c r="IW93" s="5">
        <f t="shared" si="519"/>
        <v>0.26600000000000001</v>
      </c>
      <c r="IX93" s="5">
        <f t="shared" si="655"/>
        <v>0.24768925425686586</v>
      </c>
      <c r="IY93" s="762">
        <f t="shared" si="656"/>
        <v>57.336231454458165</v>
      </c>
    </row>
    <row r="94" spans="1:259" ht="15" customHeight="1" x14ac:dyDescent="0.25">
      <c r="A94" s="79"/>
      <c r="B94" s="707">
        <v>-4.2834031239797774</v>
      </c>
      <c r="C94" s="708">
        <v>0.68402844703449506</v>
      </c>
      <c r="D94" s="709">
        <v>-1.4969464739651233</v>
      </c>
      <c r="E94" s="710">
        <v>-0.5096260385371667</v>
      </c>
      <c r="F94" s="708">
        <v>-0.85162928533457971</v>
      </c>
      <c r="G94" s="711">
        <v>0.12251065751773338</v>
      </c>
      <c r="H94" s="710">
        <v>0.26600000000000001</v>
      </c>
      <c r="I94" s="708">
        <v>0.39400000000000002</v>
      </c>
      <c r="J94" s="570">
        <v>6.2329999999999997</v>
      </c>
      <c r="K94" s="865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>1310</v>
      </c>
      <c r="L94" s="320"/>
      <c r="M94" s="168">
        <f t="shared" si="464"/>
        <v>6.2329999999999997</v>
      </c>
      <c r="N94" s="632">
        <f t="shared" si="465"/>
        <v>-4.2834031239797774</v>
      </c>
      <c r="O94" s="629">
        <f t="shared" si="466"/>
        <v>0.68402844703449506</v>
      </c>
      <c r="P94" s="633">
        <f t="shared" si="467"/>
        <v>-1.4969464739651233</v>
      </c>
      <c r="Q94" s="585">
        <f t="shared" si="520"/>
        <v>170.92688831560301</v>
      </c>
      <c r="R94" s="629">
        <f t="shared" si="79"/>
        <v>4.3376764792769107</v>
      </c>
      <c r="S94" s="634">
        <f t="shared" si="80"/>
        <v>-1.4969464739651233</v>
      </c>
      <c r="T94" s="635">
        <f t="shared" si="81"/>
        <v>0.68402844703449428</v>
      </c>
      <c r="U94" s="629">
        <f t="shared" si="82"/>
        <v>4.2834031239797765</v>
      </c>
      <c r="V94" s="636">
        <f t="shared" si="114"/>
        <v>-1.4969464739651233</v>
      </c>
      <c r="W94" s="585">
        <f t="shared" si="645"/>
        <v>80.926888315603009</v>
      </c>
      <c r="X94" s="629">
        <f t="shared" si="83"/>
        <v>4.3376764792769107</v>
      </c>
      <c r="Y94" s="630">
        <f t="shared" si="644"/>
        <v>-1.4969464739651233</v>
      </c>
      <c r="Z94" s="632">
        <f t="shared" si="468"/>
        <v>0.5096260385371667</v>
      </c>
      <c r="AA94" s="629">
        <f t="shared" si="469"/>
        <v>0.85162928533457971</v>
      </c>
      <c r="AB94" s="629">
        <f t="shared" si="470"/>
        <v>-0.12251065751773338</v>
      </c>
      <c r="AC94" s="636">
        <f t="shared" si="84"/>
        <v>1</v>
      </c>
      <c r="AD94" s="637">
        <f t="shared" si="115"/>
        <v>0.5096260385371667</v>
      </c>
      <c r="AE94" s="629">
        <f t="shared" si="85"/>
        <v>0.85162928533457971</v>
      </c>
      <c r="AF94" s="633">
        <f t="shared" si="86"/>
        <v>-0.12251065751773338</v>
      </c>
      <c r="AG94" s="602">
        <f t="shared" si="87"/>
        <v>81.81390714573692</v>
      </c>
      <c r="AH94" s="603">
        <f t="shared" si="88"/>
        <v>59.361076431750377</v>
      </c>
      <c r="AI94" s="585">
        <f t="shared" si="89"/>
        <v>-82.962977991332465</v>
      </c>
      <c r="AJ94" s="586">
        <f t="shared" si="90"/>
        <v>149.10314925148944</v>
      </c>
      <c r="AK94" s="635">
        <f t="shared" si="211"/>
        <v>0.92133893988560744</v>
      </c>
      <c r="AL94" s="629">
        <f t="shared" si="91"/>
        <v>-0.36895216037453649</v>
      </c>
      <c r="AM94" s="634">
        <f t="shared" si="92"/>
        <v>-0.12251065751773338</v>
      </c>
      <c r="AN94" s="581">
        <f t="shared" si="93"/>
        <v>-71.631240299532635</v>
      </c>
      <c r="AO94" s="582">
        <f t="shared" si="461"/>
        <v>22.877382576872488</v>
      </c>
      <c r="AP94" s="585">
        <f t="shared" si="95"/>
        <v>-21.823739064113571</v>
      </c>
      <c r="AQ94" s="586">
        <f t="shared" si="471"/>
        <v>0.5255492674083273</v>
      </c>
      <c r="AS94" s="52">
        <f t="shared" si="543"/>
        <v>-279.07311168439696</v>
      </c>
      <c r="AT94" s="73">
        <f t="shared" si="472"/>
        <v>-1.3031457019620698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>Taper</v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6.2329999999999997</v>
      </c>
      <c r="IH94" s="731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6.133</v>
      </c>
      <c r="II94" s="734" cm="1">
        <f t="array" ref="II94">IFERROR(IF($IH94&lt;1,$IH94+LARGE((IF($M$9:$M$150="",0,$M$9:$M$150)-MOD(IF($M$9:$M$150="",0,$M$9:$M$150),1)),1),$IH94),"")</f>
        <v>6.133</v>
      </c>
      <c r="IJ94" s="533">
        <f t="shared" si="542"/>
        <v>1613</v>
      </c>
      <c r="IK94" s="533">
        <f t="shared" si="517"/>
        <v>1310</v>
      </c>
      <c r="IL94" s="727">
        <f t="shared" si="647"/>
        <v>12.641798174750164</v>
      </c>
      <c r="IM94" s="759">
        <v>6.5649565635913301E-3</v>
      </c>
      <c r="IN94" s="5">
        <f t="shared" si="648"/>
        <v>0.24</v>
      </c>
      <c r="IO94" s="771">
        <v>120</v>
      </c>
      <c r="IP94" s="9">
        <f t="shared" si="649"/>
        <v>-4.2985129643151003</v>
      </c>
      <c r="IQ94" s="5">
        <f t="shared" si="650"/>
        <v>-1.5228045927786524</v>
      </c>
      <c r="IR94" s="5">
        <f t="shared" si="518"/>
        <v>0.314</v>
      </c>
      <c r="IS94" s="5">
        <f t="shared" si="651"/>
        <v>0.29787837114625576</v>
      </c>
      <c r="IT94" s="727">
        <f t="shared" si="652"/>
        <v>77.783436816891538</v>
      </c>
      <c r="IU94" s="9">
        <f t="shared" si="653"/>
        <v>-4.3376764792769107</v>
      </c>
      <c r="IV94" s="5">
        <f t="shared" si="654"/>
        <v>-1.4969464739651233</v>
      </c>
      <c r="IW94" s="5">
        <f t="shared" si="519"/>
        <v>0.26600000000000001</v>
      </c>
      <c r="IX94" s="5">
        <f t="shared" si="655"/>
        <v>0.24507615800957158</v>
      </c>
      <c r="IY94" s="762">
        <f t="shared" si="656"/>
        <v>71.631240299532635</v>
      </c>
    </row>
    <row r="95" spans="1:259" ht="15" customHeight="1" x14ac:dyDescent="0.25">
      <c r="A95" s="79"/>
      <c r="B95" s="707">
        <v>-4.52270384162341</v>
      </c>
      <c r="C95" s="708">
        <v>0.70040306234592831</v>
      </c>
      <c r="D95" s="709">
        <v>-2.2342871277894853</v>
      </c>
      <c r="E95" s="710">
        <v>-0.55237217549225603</v>
      </c>
      <c r="F95" s="708">
        <v>-0.83104599662995327</v>
      </c>
      <c r="G95" s="711">
        <v>6.5173086679089581E-2</v>
      </c>
      <c r="H95" s="710">
        <v>0.26600000000000001</v>
      </c>
      <c r="I95" s="708">
        <v>0.39400000000000002</v>
      </c>
      <c r="J95" s="570">
        <v>6.24</v>
      </c>
      <c r="K95" s="865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>1310</v>
      </c>
      <c r="L95" s="320"/>
      <c r="M95" s="168">
        <f t="shared" si="464"/>
        <v>6.24</v>
      </c>
      <c r="N95" s="632">
        <f t="shared" si="465"/>
        <v>-4.52270384162341</v>
      </c>
      <c r="O95" s="629">
        <f t="shared" si="466"/>
        <v>0.70040306234592831</v>
      </c>
      <c r="P95" s="633">
        <f t="shared" si="467"/>
        <v>-2.2342871277894853</v>
      </c>
      <c r="Q95" s="585">
        <f t="shared" si="520"/>
        <v>171.1968882766198</v>
      </c>
      <c r="R95" s="629">
        <f t="shared" si="79"/>
        <v>4.5766160521479957</v>
      </c>
      <c r="S95" s="634">
        <f t="shared" si="80"/>
        <v>-2.2342871277894853</v>
      </c>
      <c r="T95" s="635">
        <f t="shared" si="81"/>
        <v>0.7004030623459282</v>
      </c>
      <c r="U95" s="629">
        <f t="shared" si="82"/>
        <v>4.52270384162341</v>
      </c>
      <c r="V95" s="636">
        <f t="shared" si="114"/>
        <v>-2.2342871277894853</v>
      </c>
      <c r="W95" s="585">
        <f t="shared" si="645"/>
        <v>81.196888276619802</v>
      </c>
      <c r="X95" s="629">
        <f t="shared" si="83"/>
        <v>4.5766160521479957</v>
      </c>
      <c r="Y95" s="630">
        <f t="shared" si="644"/>
        <v>-2.2342871277894853</v>
      </c>
      <c r="Z95" s="632">
        <f t="shared" si="468"/>
        <v>0.55237217549225603</v>
      </c>
      <c r="AA95" s="629">
        <f t="shared" si="469"/>
        <v>0.83104599662995327</v>
      </c>
      <c r="AB95" s="629">
        <f t="shared" si="470"/>
        <v>-6.5173086679089581E-2</v>
      </c>
      <c r="AC95" s="636">
        <f t="shared" si="84"/>
        <v>1</v>
      </c>
      <c r="AD95" s="637">
        <f t="shared" si="115"/>
        <v>0.55237217549225603</v>
      </c>
      <c r="AE95" s="629">
        <f t="shared" si="85"/>
        <v>0.83104599662995327</v>
      </c>
      <c r="AF95" s="633">
        <f t="shared" si="86"/>
        <v>-6.5173086679089581E-2</v>
      </c>
      <c r="AG95" s="602">
        <f t="shared" si="87"/>
        <v>85.515873066107545</v>
      </c>
      <c r="AH95" s="603">
        <f t="shared" si="88"/>
        <v>56.470093184104535</v>
      </c>
      <c r="AI95" s="585">
        <f t="shared" si="89"/>
        <v>-86.263208648553174</v>
      </c>
      <c r="AJ95" s="586">
        <f t="shared" si="90"/>
        <v>146.38916604506292</v>
      </c>
      <c r="AK95" s="635">
        <f t="shared" si="211"/>
        <v>0.905791099265989</v>
      </c>
      <c r="AL95" s="629">
        <f t="shared" si="91"/>
        <v>-0.41868240142527047</v>
      </c>
      <c r="AM95" s="634">
        <f t="shared" si="92"/>
        <v>-6.5173086679089581E-2</v>
      </c>
      <c r="AN95" s="581">
        <f t="shared" si="93"/>
        <v>-81.152211206619683</v>
      </c>
      <c r="AO95" s="582">
        <f t="shared" si="461"/>
        <v>25.069957527612079</v>
      </c>
      <c r="AP95" s="585">
        <f t="shared" si="95"/>
        <v>-24.807722231556891</v>
      </c>
      <c r="AQ95" s="586">
        <f t="shared" si="471"/>
        <v>0.4981123982080542</v>
      </c>
      <c r="AS95" s="52">
        <f t="shared" si="543"/>
        <v>-278.8031117233802</v>
      </c>
      <c r="AT95" s="73">
        <f t="shared" si="472"/>
        <v>-2.0406738557593602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Taper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6.24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6.14</v>
      </c>
      <c r="II95" s="734" cm="1">
        <f t="array" ref="II95">IFERROR(IF($IH95&lt;1,$IH95+LARGE((IF($M$9:$M$150="",0,$M$9:$M$150)-MOD(IF($M$9:$M$150="",0,$M$9:$M$150),1)),1),$IH95),"")</f>
        <v>6.14</v>
      </c>
      <c r="IJ95" s="533">
        <f t="shared" si="542"/>
        <v>1613</v>
      </c>
      <c r="IK95" s="533">
        <f t="shared" si="517"/>
        <v>1310</v>
      </c>
      <c r="IL95" s="727">
        <f t="shared" si="647"/>
        <v>11.991698268612993</v>
      </c>
      <c r="IM95" s="759">
        <v>4.8075999752012002E-3</v>
      </c>
      <c r="IN95" s="5">
        <f t="shared" si="648"/>
        <v>0.22</v>
      </c>
      <c r="IO95" s="771">
        <v>110</v>
      </c>
      <c r="IP95" s="9">
        <f t="shared" si="649"/>
        <v>-4.5319136682516232</v>
      </c>
      <c r="IQ95" s="5">
        <f t="shared" si="650"/>
        <v>-2.2541067983861041</v>
      </c>
      <c r="IR95" s="5">
        <f t="shared" si="518"/>
        <v>0.314</v>
      </c>
      <c r="IS95" s="5">
        <f t="shared" si="651"/>
        <v>0.29385828212424181</v>
      </c>
      <c r="IT95" s="727">
        <f t="shared" si="652"/>
        <v>86.655316662961141</v>
      </c>
      <c r="IU95" s="9">
        <f t="shared" si="653"/>
        <v>-4.5766160521479957</v>
      </c>
      <c r="IV95" s="5">
        <f t="shared" si="654"/>
        <v>-2.2342871277894853</v>
      </c>
      <c r="IW95" s="5">
        <f t="shared" si="519"/>
        <v>0.26600000000000001</v>
      </c>
      <c r="IX95" s="5">
        <f t="shared" si="655"/>
        <v>0.24094043240475307</v>
      </c>
      <c r="IY95" s="762">
        <f t="shared" si="656"/>
        <v>81.152211206619683</v>
      </c>
    </row>
    <row r="96" spans="1:259" ht="15" customHeight="1" x14ac:dyDescent="0.25">
      <c r="A96" s="79"/>
      <c r="B96" s="707">
        <v>-4.6019403134160788</v>
      </c>
      <c r="C96" s="708">
        <v>0.70358030271625149</v>
      </c>
      <c r="D96" s="709">
        <v>-2.9976090407888671</v>
      </c>
      <c r="E96" s="710">
        <v>-0.51828196628914724</v>
      </c>
      <c r="F96" s="708">
        <v>-0.85519876435743802</v>
      </c>
      <c r="G96" s="711">
        <v>-4.3447509671573356E-3</v>
      </c>
      <c r="H96" s="710">
        <v>0.26600000000000001</v>
      </c>
      <c r="I96" s="708">
        <v>0.52</v>
      </c>
      <c r="J96" s="570">
        <v>6.2469999999999999</v>
      </c>
      <c r="K96" s="865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>1313</v>
      </c>
      <c r="L96" s="320"/>
      <c r="M96" s="168">
        <f t="shared" si="464"/>
        <v>6.2469999999999999</v>
      </c>
      <c r="N96" s="632">
        <f t="shared" si="465"/>
        <v>-4.6019403134160788</v>
      </c>
      <c r="O96" s="629">
        <f t="shared" si="466"/>
        <v>0.70358030271625149</v>
      </c>
      <c r="P96" s="633">
        <f t="shared" si="467"/>
        <v>-2.9976090407888671</v>
      </c>
      <c r="Q96" s="585">
        <f t="shared" si="520"/>
        <v>171.30748826065113</v>
      </c>
      <c r="R96" s="629">
        <f t="shared" si="79"/>
        <v>4.6554140407287479</v>
      </c>
      <c r="S96" s="634">
        <f t="shared" si="80"/>
        <v>-2.9976090407888671</v>
      </c>
      <c r="T96" s="635">
        <f t="shared" si="81"/>
        <v>0.70358030271625283</v>
      </c>
      <c r="U96" s="629">
        <f t="shared" si="82"/>
        <v>4.6019403134160788</v>
      </c>
      <c r="V96" s="636">
        <f t="shared" si="114"/>
        <v>-2.9976090407888671</v>
      </c>
      <c r="W96" s="585">
        <f t="shared" si="645"/>
        <v>81.307488260651127</v>
      </c>
      <c r="X96" s="629">
        <f t="shared" si="83"/>
        <v>4.6554140407287479</v>
      </c>
      <c r="Y96" s="630">
        <f t="shared" si="644"/>
        <v>-2.9976090407888671</v>
      </c>
      <c r="Z96" s="632">
        <f t="shared" si="468"/>
        <v>0.51828196628914724</v>
      </c>
      <c r="AA96" s="629">
        <f t="shared" si="469"/>
        <v>0.85519876435743802</v>
      </c>
      <c r="AB96" s="629">
        <f t="shared" si="470"/>
        <v>4.3447509671573356E-3</v>
      </c>
      <c r="AC96" s="636">
        <f t="shared" si="84"/>
        <v>1</v>
      </c>
      <c r="AD96" s="637">
        <f t="shared" si="115"/>
        <v>0.51828196628914724</v>
      </c>
      <c r="AE96" s="629">
        <f t="shared" si="85"/>
        <v>0.85519876435743802</v>
      </c>
      <c r="AF96" s="633">
        <f t="shared" si="86"/>
        <v>4.3447509671573356E-3</v>
      </c>
      <c r="AG96" s="602">
        <f t="shared" si="87"/>
        <v>90.291082917966492</v>
      </c>
      <c r="AH96" s="603">
        <f t="shared" si="88"/>
        <v>58.782920406113377</v>
      </c>
      <c r="AI96" s="585">
        <f t="shared" si="89"/>
        <v>-90.248936676648185</v>
      </c>
      <c r="AJ96" s="586">
        <f t="shared" si="90"/>
        <v>148.78259267117375</v>
      </c>
      <c r="AK96" s="635">
        <f t="shared" si="211"/>
        <v>0.9237044470787944</v>
      </c>
      <c r="AL96" s="629">
        <f t="shared" si="91"/>
        <v>-0.3830812153915828</v>
      </c>
      <c r="AM96" s="634">
        <f t="shared" si="92"/>
        <v>4.3447509671573356E-3</v>
      </c>
      <c r="AN96" s="581">
        <f t="shared" si="93"/>
        <v>-90.649797511838386</v>
      </c>
      <c r="AO96" s="582">
        <f t="shared" si="461"/>
        <v>22.526199520822807</v>
      </c>
      <c r="AP96" s="585">
        <f t="shared" si="95"/>
        <v>-22.524895589477364</v>
      </c>
      <c r="AQ96" s="586">
        <f t="shared" si="471"/>
        <v>0.48968171363811658</v>
      </c>
      <c r="AS96" s="52">
        <f t="shared" si="543"/>
        <v>-278.6925117393489</v>
      </c>
      <c r="AT96" s="73">
        <f t="shared" si="472"/>
        <v>-2.8040725743032082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Taper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6.2469999999999999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6.1470000000000002</v>
      </c>
      <c r="II96" s="734" cm="1">
        <f t="array" ref="II96">IFERROR(IF($IH96&lt;1,$IH96+LARGE((IF($M$9:$M$150="",0,$M$9:$M$150)-MOD(IF($M$9:$M$150="",0,$M$9:$M$150),1)),1),$IH96),"")</f>
        <v>6.1470000000000002</v>
      </c>
      <c r="IJ96" s="533">
        <f t="shared" si="542"/>
        <v>1613</v>
      </c>
      <c r="IK96" s="533">
        <f t="shared" si="517"/>
        <v>1313</v>
      </c>
      <c r="IL96" s="727">
        <f t="shared" si="647"/>
        <v>11.750798303394646</v>
      </c>
      <c r="IM96" s="759">
        <v>1.80063477511458E-4</v>
      </c>
      <c r="IN96" s="5">
        <f t="shared" si="648"/>
        <v>0</v>
      </c>
      <c r="IO96" s="771">
        <v>0</v>
      </c>
      <c r="IP96" s="9">
        <f t="shared" si="649"/>
        <v>-4.6104000000000012</v>
      </c>
      <c r="IQ96" s="5">
        <f t="shared" si="650"/>
        <v>-2.9976000000000007</v>
      </c>
      <c r="IR96" s="5">
        <f t="shared" si="518"/>
        <v>0.314</v>
      </c>
      <c r="IS96" s="5">
        <f t="shared" si="651"/>
        <v>0.2900431963827414</v>
      </c>
      <c r="IT96" s="727">
        <f t="shared" si="652"/>
        <v>90.649806463529544</v>
      </c>
      <c r="IU96" s="9">
        <f t="shared" si="653"/>
        <v>-4.6554140407287479</v>
      </c>
      <c r="IV96" s="5">
        <f t="shared" si="654"/>
        <v>-2.9976090407888671</v>
      </c>
      <c r="IW96" s="5">
        <f t="shared" si="519"/>
        <v>0.26600000000000001</v>
      </c>
      <c r="IX96" s="5">
        <f t="shared" si="655"/>
        <v>0.24570538292295932</v>
      </c>
      <c r="IY96" s="762">
        <f t="shared" si="656"/>
        <v>90.649797511838386</v>
      </c>
    </row>
    <row r="97" spans="1:259" ht="15" customHeight="1" x14ac:dyDescent="0.25">
      <c r="A97" s="79"/>
      <c r="B97" s="707">
        <v>-1.7819941850889083</v>
      </c>
      <c r="C97" s="708">
        <v>1.73025904923763</v>
      </c>
      <c r="D97" s="709">
        <v>-8.1300245201539362E-2</v>
      </c>
      <c r="E97" s="710">
        <v>-0.69493303680508511</v>
      </c>
      <c r="F97" s="708">
        <v>-0.67092919693287245</v>
      </c>
      <c r="G97" s="711">
        <v>0.25869303635752017</v>
      </c>
      <c r="H97" s="710">
        <v>0.314</v>
      </c>
      <c r="I97" s="708">
        <v>0.52</v>
      </c>
      <c r="J97" s="570">
        <v>7.1109999999999998</v>
      </c>
      <c r="K97" s="865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>1613</v>
      </c>
      <c r="L97" s="320"/>
      <c r="M97" s="168">
        <f t="shared" si="464"/>
        <v>7.1109999999999998</v>
      </c>
      <c r="N97" s="632">
        <f t="shared" si="465"/>
        <v>-1.7819941850889083</v>
      </c>
      <c r="O97" s="629">
        <f t="shared" si="466"/>
        <v>1.73025904923763</v>
      </c>
      <c r="P97" s="633">
        <f t="shared" si="467"/>
        <v>-8.1300245201539362E-2</v>
      </c>
      <c r="Q97" s="585">
        <f t="shared" si="520"/>
        <v>135.84390002253807</v>
      </c>
      <c r="R97" s="629">
        <f t="shared" si="79"/>
        <v>2.4838074911633932</v>
      </c>
      <c r="S97" s="634">
        <f t="shared" si="80"/>
        <v>-8.1300245201539362E-2</v>
      </c>
      <c r="T97" s="635">
        <f t="shared" si="81"/>
        <v>1.73025904923763</v>
      </c>
      <c r="U97" s="629">
        <f t="shared" si="82"/>
        <v>1.7819941850889083</v>
      </c>
      <c r="V97" s="636">
        <f t="shared" si="114"/>
        <v>-8.1300245201539362E-2</v>
      </c>
      <c r="W97" s="585">
        <f t="shared" si="645"/>
        <v>45.843900022538065</v>
      </c>
      <c r="X97" s="629">
        <f t="shared" si="83"/>
        <v>2.4838074911633932</v>
      </c>
      <c r="Y97" s="630">
        <f t="shared" si="644"/>
        <v>-8.1300245201539362E-2</v>
      </c>
      <c r="Z97" s="632">
        <f t="shared" si="468"/>
        <v>0.69493303680508511</v>
      </c>
      <c r="AA97" s="629">
        <f t="shared" si="469"/>
        <v>0.67092919693287245</v>
      </c>
      <c r="AB97" s="629">
        <f t="shared" si="470"/>
        <v>-0.25869303635752017</v>
      </c>
      <c r="AC97" s="636">
        <f t="shared" si="84"/>
        <v>1</v>
      </c>
      <c r="AD97" s="637">
        <f t="shared" si="115"/>
        <v>0.69493303680508511</v>
      </c>
      <c r="AE97" s="629">
        <f t="shared" si="85"/>
        <v>0.67092919693287245</v>
      </c>
      <c r="AF97" s="633">
        <f t="shared" si="86"/>
        <v>-0.25869303635752017</v>
      </c>
      <c r="AG97" s="602">
        <f t="shared" si="87"/>
        <v>68.914644102988731</v>
      </c>
      <c r="AH97" s="603">
        <f t="shared" si="88"/>
        <v>45.978118650957136</v>
      </c>
      <c r="AI97" s="585">
        <f t="shared" si="89"/>
        <v>-75.007474324544532</v>
      </c>
      <c r="AJ97" s="586">
        <f t="shared" si="90"/>
        <v>133.99318019052441</v>
      </c>
      <c r="AK97" s="635">
        <f t="shared" si="211"/>
        <v>0.96545570122414381</v>
      </c>
      <c r="AL97" s="629">
        <f t="shared" si="91"/>
        <v>-3.1196184284679018E-2</v>
      </c>
      <c r="AM97" s="634">
        <f t="shared" si="92"/>
        <v>-0.25869303635752017</v>
      </c>
      <c r="AN97" s="581">
        <f t="shared" si="93"/>
        <v>-6.8761810829972951</v>
      </c>
      <c r="AO97" s="582">
        <f t="shared" si="461"/>
        <v>15.103723087188408</v>
      </c>
      <c r="AP97" s="585">
        <f t="shared" si="95"/>
        <v>-1.8507198320136788</v>
      </c>
      <c r="AQ97" s="586">
        <f t="shared" si="471"/>
        <v>0.9177569779453999</v>
      </c>
      <c r="AS97" s="52">
        <f t="shared" si="543"/>
        <v>-314.15609997746196</v>
      </c>
      <c r="AT97" s="73">
        <f t="shared" si="472"/>
        <v>0.13686371311614257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7.1109999999999998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-2.3044501773742296</v>
      </c>
      <c r="C98" s="708">
        <v>2.297975767043873</v>
      </c>
      <c r="D98" s="709">
        <v>-0.275200830005703</v>
      </c>
      <c r="E98" s="710">
        <v>-0.79609921277226026</v>
      </c>
      <c r="F98" s="708">
        <v>-0.56512288965445667</v>
      </c>
      <c r="G98" s="711">
        <v>0.21647670316222098</v>
      </c>
      <c r="H98" s="710">
        <v>0.314</v>
      </c>
      <c r="I98" s="708">
        <v>0.52</v>
      </c>
      <c r="J98" s="570">
        <v>7.1180000000000003</v>
      </c>
      <c r="K98" s="865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>1613</v>
      </c>
      <c r="L98" s="320"/>
      <c r="M98" s="168">
        <f t="shared" si="464"/>
        <v>7.1180000000000003</v>
      </c>
      <c r="N98" s="632">
        <f t="shared" si="465"/>
        <v>-2.3044501773742296</v>
      </c>
      <c r="O98" s="629">
        <f t="shared" si="466"/>
        <v>2.297975767043873</v>
      </c>
      <c r="P98" s="633">
        <f t="shared" si="467"/>
        <v>-0.275200830005703</v>
      </c>
      <c r="Q98" s="585">
        <f t="shared" si="520"/>
        <v>135.08060013274493</v>
      </c>
      <c r="R98" s="629">
        <f t="shared" si="79"/>
        <v>3.2544098153000021</v>
      </c>
      <c r="S98" s="634">
        <f t="shared" si="80"/>
        <v>-0.275200830005703</v>
      </c>
      <c r="T98" s="635">
        <f t="shared" si="81"/>
        <v>2.2979757670438721</v>
      </c>
      <c r="U98" s="629">
        <f t="shared" si="82"/>
        <v>2.3044501773742301</v>
      </c>
      <c r="V98" s="636">
        <f t="shared" si="114"/>
        <v>-0.275200830005703</v>
      </c>
      <c r="W98" s="585">
        <f t="shared" si="645"/>
        <v>45.080600132744934</v>
      </c>
      <c r="X98" s="629">
        <f t="shared" si="83"/>
        <v>3.2544098153000021</v>
      </c>
      <c r="Y98" s="630">
        <f t="shared" si="644"/>
        <v>-0.275200830005703</v>
      </c>
      <c r="Z98" s="632">
        <f t="shared" si="468"/>
        <v>0.79609921277226026</v>
      </c>
      <c r="AA98" s="629">
        <f t="shared" si="469"/>
        <v>0.56512288965445667</v>
      </c>
      <c r="AB98" s="629">
        <f t="shared" si="470"/>
        <v>-0.21647670316222098</v>
      </c>
      <c r="AC98" s="636">
        <f t="shared" si="84"/>
        <v>1</v>
      </c>
      <c r="AD98" s="637">
        <f t="shared" si="115"/>
        <v>0.79609921277226026</v>
      </c>
      <c r="AE98" s="629">
        <f t="shared" si="85"/>
        <v>0.56512288965445667</v>
      </c>
      <c r="AF98" s="633">
        <f t="shared" si="86"/>
        <v>-0.21647670316222098</v>
      </c>
      <c r="AG98" s="602">
        <f t="shared" si="87"/>
        <v>69.040097775390706</v>
      </c>
      <c r="AH98" s="603">
        <f t="shared" si="88"/>
        <v>37.240797323674279</v>
      </c>
      <c r="AI98" s="585">
        <f t="shared" si="89"/>
        <v>-77.497823339498254</v>
      </c>
      <c r="AJ98" s="586">
        <f t="shared" si="90"/>
        <v>125.36960521862856</v>
      </c>
      <c r="AK98" s="635">
        <f t="shared" si="211"/>
        <v>0.96229867169544425</v>
      </c>
      <c r="AL98" s="629">
        <f t="shared" si="91"/>
        <v>-0.16467878868026536</v>
      </c>
      <c r="AM98" s="634">
        <f t="shared" si="92"/>
        <v>-0.21647670316222098</v>
      </c>
      <c r="AN98" s="581">
        <f t="shared" si="93"/>
        <v>-37.261079900199967</v>
      </c>
      <c r="AO98" s="582">
        <f t="shared" si="461"/>
        <v>15.783014040697507</v>
      </c>
      <c r="AP98" s="585">
        <f t="shared" si="95"/>
        <v>-9.7109949141163678</v>
      </c>
      <c r="AQ98" s="586">
        <f t="shared" si="471"/>
        <v>0.70046895819625121</v>
      </c>
      <c r="AS98" s="52">
        <f t="shared" si="543"/>
        <v>-314.91939986725504</v>
      </c>
      <c r="AT98" s="73">
        <f t="shared" si="472"/>
        <v>-5.6506802320109212E-2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7.1180000000000003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-2.688900672315695</v>
      </c>
      <c r="C99" s="708">
        <v>2.7594820399652162</v>
      </c>
      <c r="D99" s="709">
        <v>-0.76900231931099505</v>
      </c>
      <c r="E99" s="710">
        <v>-0.86389580934551435</v>
      </c>
      <c r="F99" s="708">
        <v>-0.48583928280856853</v>
      </c>
      <c r="G99" s="711">
        <v>0.13283155451666867</v>
      </c>
      <c r="H99" s="710">
        <v>0.314</v>
      </c>
      <c r="I99" s="708">
        <v>0.52</v>
      </c>
      <c r="J99" s="570">
        <v>7.125</v>
      </c>
      <c r="K99" s="865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>1613</v>
      </c>
      <c r="L99" s="320"/>
      <c r="M99" s="168">
        <f t="shared" si="464"/>
        <v>7.125</v>
      </c>
      <c r="N99" s="632">
        <f t="shared" si="465"/>
        <v>-2.688900672315695</v>
      </c>
      <c r="O99" s="629">
        <f t="shared" si="466"/>
        <v>2.7594820399652162</v>
      </c>
      <c r="P99" s="633">
        <f t="shared" si="467"/>
        <v>-0.76900231931099505</v>
      </c>
      <c r="Q99" s="585">
        <f t="shared" si="520"/>
        <v>134.25780025154251</v>
      </c>
      <c r="R99" s="629">
        <f t="shared" si="79"/>
        <v>3.8529116203814469</v>
      </c>
      <c r="S99" s="634">
        <f t="shared" si="80"/>
        <v>-0.76900231931099505</v>
      </c>
      <c r="T99" s="635">
        <f t="shared" si="81"/>
        <v>2.7594820399652171</v>
      </c>
      <c r="U99" s="629">
        <f t="shared" si="82"/>
        <v>2.6889006723156936</v>
      </c>
      <c r="V99" s="636">
        <f t="shared" si="114"/>
        <v>-0.76900231931099505</v>
      </c>
      <c r="W99" s="585">
        <f t="shared" si="645"/>
        <v>44.257800251542506</v>
      </c>
      <c r="X99" s="629">
        <f t="shared" si="83"/>
        <v>3.8529116203814469</v>
      </c>
      <c r="Y99" s="630">
        <f t="shared" si="644"/>
        <v>-0.76900231931099505</v>
      </c>
      <c r="Z99" s="632">
        <f t="shared" si="468"/>
        <v>0.86389580934551435</v>
      </c>
      <c r="AA99" s="629">
        <f t="shared" si="469"/>
        <v>0.48583928280856853</v>
      </c>
      <c r="AB99" s="629">
        <f t="shared" si="470"/>
        <v>-0.13283155451666867</v>
      </c>
      <c r="AC99" s="636">
        <f t="shared" si="84"/>
        <v>1</v>
      </c>
      <c r="AD99" s="637">
        <f t="shared" si="115"/>
        <v>0.86389580934551435</v>
      </c>
      <c r="AE99" s="629">
        <f t="shared" si="85"/>
        <v>0.48583928280856853</v>
      </c>
      <c r="AF99" s="633">
        <f t="shared" si="86"/>
        <v>-0.13283155451666867</v>
      </c>
      <c r="AG99" s="602">
        <f t="shared" si="87"/>
        <v>74.708671886266785</v>
      </c>
      <c r="AH99" s="603">
        <f t="shared" si="88"/>
        <v>30.243140718619628</v>
      </c>
      <c r="AI99" s="585">
        <f t="shared" si="89"/>
        <v>-82.366752173535062</v>
      </c>
      <c r="AJ99" s="586">
        <f t="shared" si="90"/>
        <v>119.35260882781313</v>
      </c>
      <c r="AK99" s="635">
        <f t="shared" si="211"/>
        <v>0.95778956489693656</v>
      </c>
      <c r="AL99" s="629">
        <f t="shared" si="91"/>
        <v>-0.25494102749307052</v>
      </c>
      <c r="AM99" s="634">
        <f t="shared" si="92"/>
        <v>-0.13283155451666867</v>
      </c>
      <c r="AN99" s="581">
        <f t="shared" si="93"/>
        <v>-62.479199590880427</v>
      </c>
      <c r="AO99" s="582">
        <f t="shared" si="461"/>
        <v>16.706564530402687</v>
      </c>
      <c r="AP99" s="585">
        <f t="shared" si="95"/>
        <v>-14.905191423729365</v>
      </c>
      <c r="AQ99" s="586">
        <f t="shared" si="471"/>
        <v>0.59166828127630799</v>
      </c>
      <c r="AS99" s="52">
        <f t="shared" si="543"/>
        <v>-315.74219974845749</v>
      </c>
      <c r="AT99" s="73">
        <f t="shared" si="472"/>
        <v>-0.54973690281901066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7.125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-2.9360917053549955</v>
      </c>
      <c r="C100" s="708">
        <v>3.0790006385328486</v>
      </c>
      <c r="D100" s="709">
        <v>-1.4226042905745404</v>
      </c>
      <c r="E100" s="710">
        <v>-0.89883806230062424</v>
      </c>
      <c r="F100" s="708">
        <v>-0.4327628045439717</v>
      </c>
      <c r="G100" s="711">
        <v>6.9328873947982358E-2</v>
      </c>
      <c r="H100" s="710">
        <v>0.314</v>
      </c>
      <c r="I100" s="708">
        <v>0.52</v>
      </c>
      <c r="J100" s="570">
        <v>7.1319999999999997</v>
      </c>
      <c r="K100" s="865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>1613</v>
      </c>
      <c r="L100" s="320"/>
      <c r="M100" s="168">
        <f t="shared" si="464"/>
        <v>7.1319999999999997</v>
      </c>
      <c r="N100" s="632">
        <f t="shared" si="465"/>
        <v>-2.9360917053549955</v>
      </c>
      <c r="O100" s="629">
        <f t="shared" si="466"/>
        <v>3.0790006385328486</v>
      </c>
      <c r="P100" s="633">
        <f t="shared" si="467"/>
        <v>-1.4226042905745404</v>
      </c>
      <c r="Q100" s="585">
        <f t="shared" si="520"/>
        <v>133.63900034088618</v>
      </c>
      <c r="R100" s="629">
        <f t="shared" si="79"/>
        <v>4.2545128316106995</v>
      </c>
      <c r="S100" s="634">
        <f t="shared" si="80"/>
        <v>-1.4226042905745404</v>
      </c>
      <c r="T100" s="635">
        <f t="shared" si="81"/>
        <v>3.0790006385328481</v>
      </c>
      <c r="U100" s="629">
        <f t="shared" si="82"/>
        <v>2.9360917053549951</v>
      </c>
      <c r="V100" s="636">
        <f t="shared" si="114"/>
        <v>-1.4226042905745404</v>
      </c>
      <c r="W100" s="585">
        <f t="shared" si="645"/>
        <v>43.639000340886184</v>
      </c>
      <c r="X100" s="629">
        <f t="shared" si="83"/>
        <v>4.2545128316106995</v>
      </c>
      <c r="Y100" s="630">
        <f t="shared" si="644"/>
        <v>-1.4226042905745404</v>
      </c>
      <c r="Z100" s="632">
        <f t="shared" si="468"/>
        <v>0.89883806230062424</v>
      </c>
      <c r="AA100" s="629">
        <f t="shared" si="469"/>
        <v>0.4327628045439717</v>
      </c>
      <c r="AB100" s="629">
        <f t="shared" si="470"/>
        <v>-6.9328873947982358E-2</v>
      </c>
      <c r="AC100" s="636">
        <f t="shared" si="84"/>
        <v>1</v>
      </c>
      <c r="AD100" s="637">
        <f t="shared" si="115"/>
        <v>0.89883806230062424</v>
      </c>
      <c r="AE100" s="629">
        <f t="shared" si="85"/>
        <v>0.4327628045439717</v>
      </c>
      <c r="AF100" s="633">
        <f t="shared" si="86"/>
        <v>-6.9328873947982358E-2</v>
      </c>
      <c r="AG100" s="602">
        <f t="shared" si="87"/>
        <v>80.89851510834103</v>
      </c>
      <c r="AH100" s="603">
        <f t="shared" si="88"/>
        <v>25.994246448969154</v>
      </c>
      <c r="AI100" s="585">
        <f t="shared" si="89"/>
        <v>-86.024559122014892</v>
      </c>
      <c r="AJ100" s="586">
        <f t="shared" si="90"/>
        <v>115.70938055128211</v>
      </c>
      <c r="AK100" s="635">
        <f t="shared" si="211"/>
        <v>0.94914609695516683</v>
      </c>
      <c r="AL100" s="629">
        <f t="shared" si="91"/>
        <v>-0.30710778868644423</v>
      </c>
      <c r="AM100" s="634">
        <f t="shared" si="92"/>
        <v>-6.9328873947982358E-2</v>
      </c>
      <c r="AN100" s="581">
        <f t="shared" si="93"/>
        <v>-77.278847795395592</v>
      </c>
      <c r="AO100" s="582">
        <f t="shared" si="461"/>
        <v>18.35091160821829</v>
      </c>
      <c r="AP100" s="585">
        <f t="shared" si="95"/>
        <v>-17.929619789604068</v>
      </c>
      <c r="AQ100" s="586">
        <f t="shared" si="471"/>
        <v>0.53582167038456374</v>
      </c>
      <c r="AS100" s="52">
        <f t="shared" si="543"/>
        <v>-316.36099965911382</v>
      </c>
      <c r="AT100" s="73">
        <f t="shared" si="472"/>
        <v>-1.202909151922378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7.1319999999999997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-3.0858420199929419</v>
      </c>
      <c r="C101" s="708">
        <v>3.2823204388397889</v>
      </c>
      <c r="D101" s="709">
        <v>-2.1455064708475162</v>
      </c>
      <c r="E101" s="710">
        <v>-0.91663257507890594</v>
      </c>
      <c r="F101" s="708">
        <v>-0.39930653867095089</v>
      </c>
      <c r="G101" s="711">
        <v>1.8412237203513648E-2</v>
      </c>
      <c r="H101" s="710">
        <v>0.314</v>
      </c>
      <c r="I101" s="708">
        <v>0.52</v>
      </c>
      <c r="J101" s="570">
        <v>7.1390000000000002</v>
      </c>
      <c r="K101" s="865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>1613</v>
      </c>
      <c r="L101" s="320"/>
      <c r="M101" s="168">
        <f t="shared" si="464"/>
        <v>7.1390000000000002</v>
      </c>
      <c r="N101" s="632">
        <f t="shared" si="465"/>
        <v>-3.0858420199929419</v>
      </c>
      <c r="O101" s="629">
        <f t="shared" si="466"/>
        <v>3.2823204388397889</v>
      </c>
      <c r="P101" s="633">
        <f t="shared" si="467"/>
        <v>-2.1455064708475162</v>
      </c>
      <c r="Q101" s="585">
        <f t="shared" si="520"/>
        <v>133.2328003995342</v>
      </c>
      <c r="R101" s="629">
        <f t="shared" si="79"/>
        <v>4.5051135874225796</v>
      </c>
      <c r="S101" s="634">
        <f t="shared" si="80"/>
        <v>-2.1455064708475162</v>
      </c>
      <c r="T101" s="635">
        <f t="shared" si="81"/>
        <v>3.2823204388397893</v>
      </c>
      <c r="U101" s="629">
        <f t="shared" si="82"/>
        <v>3.0858420199929419</v>
      </c>
      <c r="V101" s="636">
        <f t="shared" si="114"/>
        <v>-2.1455064708475162</v>
      </c>
      <c r="W101" s="585">
        <f t="shared" si="645"/>
        <v>43.232800399534199</v>
      </c>
      <c r="X101" s="629">
        <f t="shared" si="83"/>
        <v>4.5051135874225796</v>
      </c>
      <c r="Y101" s="630">
        <f t="shared" si="644"/>
        <v>-2.1455064708475162</v>
      </c>
      <c r="Z101" s="632">
        <f t="shared" si="468"/>
        <v>0.91663257507890594</v>
      </c>
      <c r="AA101" s="629">
        <f t="shared" si="469"/>
        <v>0.39930653867095089</v>
      </c>
      <c r="AB101" s="629">
        <f t="shared" si="470"/>
        <v>-1.8412237203513648E-2</v>
      </c>
      <c r="AC101" s="636">
        <f t="shared" si="84"/>
        <v>1</v>
      </c>
      <c r="AD101" s="637">
        <f t="shared" si="115"/>
        <v>0.91663257507890594</v>
      </c>
      <c r="AE101" s="629">
        <f t="shared" si="85"/>
        <v>0.39930653867095089</v>
      </c>
      <c r="AF101" s="633">
        <f t="shared" si="86"/>
        <v>-1.8412237203513648E-2</v>
      </c>
      <c r="AG101" s="602">
        <f t="shared" si="87"/>
        <v>87.359931114541595</v>
      </c>
      <c r="AH101" s="603">
        <f t="shared" si="88"/>
        <v>23.561351335773303</v>
      </c>
      <c r="AI101" s="585">
        <f t="shared" si="89"/>
        <v>-88.944996901600646</v>
      </c>
      <c r="AJ101" s="586">
        <f t="shared" si="90"/>
        <v>113.53906505489638</v>
      </c>
      <c r="AK101" s="635">
        <f t="shared" si="211"/>
        <v>0.94134779283175551</v>
      </c>
      <c r="AL101" s="629">
        <f t="shared" si="91"/>
        <v>-0.33693519028433944</v>
      </c>
      <c r="AM101" s="634">
        <f t="shared" si="92"/>
        <v>-1.8412237203513648E-2</v>
      </c>
      <c r="AN101" s="581">
        <f t="shared" si="93"/>
        <v>-86.872112807795133</v>
      </c>
      <c r="AO101" s="582">
        <f t="shared" si="461"/>
        <v>19.72085344592632</v>
      </c>
      <c r="AP101" s="585">
        <f t="shared" si="95"/>
        <v>-19.693735344637819</v>
      </c>
      <c r="AQ101" s="586">
        <f t="shared" si="471"/>
        <v>0.50601773199731037</v>
      </c>
      <c r="AS101" s="52">
        <f t="shared" si="543"/>
        <v>-316.7671996004658</v>
      </c>
      <c r="AT101" s="73">
        <f t="shared" si="472"/>
        <v>-1.9255292489027482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7.1390000000000002</v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>
        <f t="shared" si="542"/>
        <v>1613</v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>
        <v>-3.1477145669457109</v>
      </c>
      <c r="C102" s="708">
        <v>3.3686319426493871</v>
      </c>
      <c r="D102" s="709">
        <v>-2.8952000000000004</v>
      </c>
      <c r="E102" s="710">
        <v>-0.93647094698190347</v>
      </c>
      <c r="F102" s="708">
        <v>-0.35073734100260734</v>
      </c>
      <c r="G102" s="711">
        <v>2.3415988635736851E-3</v>
      </c>
      <c r="H102" s="710">
        <v>0.314</v>
      </c>
      <c r="I102" s="708">
        <v>0.52</v>
      </c>
      <c r="J102" s="570">
        <v>7.1459999999999999</v>
      </c>
      <c r="K102" s="865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>1613</v>
      </c>
      <c r="L102" s="320"/>
      <c r="M102" s="168">
        <f t="shared" si="464"/>
        <v>7.1459999999999999</v>
      </c>
      <c r="N102" s="632">
        <f t="shared" si="465"/>
        <v>-3.1477145669457109</v>
      </c>
      <c r="O102" s="629">
        <f t="shared" si="466"/>
        <v>3.3686319426493871</v>
      </c>
      <c r="P102" s="633">
        <f t="shared" si="467"/>
        <v>-2.8952000000000004</v>
      </c>
      <c r="Q102" s="585">
        <f t="shared" si="520"/>
        <v>133.05830042472886</v>
      </c>
      <c r="R102" s="629">
        <f t="shared" si="79"/>
        <v>4.6104000000000012</v>
      </c>
      <c r="S102" s="634">
        <f t="shared" si="80"/>
        <v>-2.8952000000000004</v>
      </c>
      <c r="T102" s="635">
        <f t="shared" si="81"/>
        <v>3.368631942649388</v>
      </c>
      <c r="U102" s="629">
        <f t="shared" si="82"/>
        <v>3.1477145669457101</v>
      </c>
      <c r="V102" s="636">
        <f t="shared" si="114"/>
        <v>-2.8952000000000004</v>
      </c>
      <c r="W102" s="585">
        <f t="shared" si="645"/>
        <v>43.058300424728856</v>
      </c>
      <c r="X102" s="629">
        <f t="shared" si="83"/>
        <v>4.6104000000000012</v>
      </c>
      <c r="Y102" s="630">
        <f t="shared" si="644"/>
        <v>-2.8952000000000004</v>
      </c>
      <c r="Z102" s="632">
        <f t="shared" si="468"/>
        <v>0.93647094698190347</v>
      </c>
      <c r="AA102" s="629">
        <f t="shared" si="469"/>
        <v>0.35073734100260734</v>
      </c>
      <c r="AB102" s="629">
        <f t="shared" si="470"/>
        <v>-2.3415988635736851E-3</v>
      </c>
      <c r="AC102" s="636">
        <f t="shared" si="84"/>
        <v>1</v>
      </c>
      <c r="AD102" s="637">
        <f t="shared" si="115"/>
        <v>0.93647094698190347</v>
      </c>
      <c r="AE102" s="629">
        <f t="shared" si="85"/>
        <v>0.35073734100260734</v>
      </c>
      <c r="AF102" s="633">
        <f t="shared" si="86"/>
        <v>-2.3415988635736851E-3</v>
      </c>
      <c r="AG102" s="602">
        <f t="shared" si="87"/>
        <v>89.617486582537481</v>
      </c>
      <c r="AH102" s="603">
        <f t="shared" si="88"/>
        <v>20.532899038313097</v>
      </c>
      <c r="AI102" s="585">
        <f t="shared" si="89"/>
        <v>-89.865836145199097</v>
      </c>
      <c r="AJ102" s="586">
        <f t="shared" si="90"/>
        <v>110.53247964037729</v>
      </c>
      <c r="AK102" s="635">
        <f t="shared" si="211"/>
        <v>0.92370444707879418</v>
      </c>
      <c r="AL102" s="629">
        <f t="shared" si="91"/>
        <v>-0.38309869663263202</v>
      </c>
      <c r="AM102" s="634">
        <f t="shared" si="92"/>
        <v>-2.3415988635736851E-3</v>
      </c>
      <c r="AN102" s="581">
        <f t="shared" si="93"/>
        <v>-89.649797656220656</v>
      </c>
      <c r="AO102" s="582">
        <f t="shared" si="461"/>
        <v>22.526199520822846</v>
      </c>
      <c r="AP102" s="585">
        <f t="shared" si="95"/>
        <v>-22.525820784351559</v>
      </c>
      <c r="AQ102" s="586">
        <f t="shared" si="471"/>
        <v>0.49446252733505602</v>
      </c>
      <c r="AS102" s="52">
        <f t="shared" si="543"/>
        <v>-316.94169957527117</v>
      </c>
      <c r="AT102" s="73">
        <f t="shared" si="472"/>
        <v>-2.6751015975171732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7.1459999999999999</v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>
        <f t="shared" si="542"/>
        <v>1613</v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>
        <v>-3.167865437832369</v>
      </c>
      <c r="C103" s="708">
        <v>3.5492933561185289</v>
      </c>
      <c r="D103" s="709">
        <v>-3.5824999999999987</v>
      </c>
      <c r="E103" s="710">
        <v>-0.99581281128306864</v>
      </c>
      <c r="F103" s="708">
        <v>-1.2814178360701534E-2</v>
      </c>
      <c r="G103" s="711">
        <v>9.0513212944031571E-2</v>
      </c>
      <c r="H103" s="710">
        <v>0.26600000000000001</v>
      </c>
      <c r="I103" s="708">
        <v>0.52</v>
      </c>
      <c r="J103" s="570">
        <v>7.1529999999999996</v>
      </c>
      <c r="K103" s="865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>1313</v>
      </c>
      <c r="L103" s="320"/>
      <c r="M103" s="168">
        <f t="shared" si="464"/>
        <v>7.1529999999999996</v>
      </c>
      <c r="N103" s="632">
        <f t="shared" si="465"/>
        <v>-3.167865437832369</v>
      </c>
      <c r="O103" s="629">
        <f t="shared" si="466"/>
        <v>3.5492933561185289</v>
      </c>
      <c r="P103" s="633">
        <f t="shared" si="467"/>
        <v>-3.5824999999999987</v>
      </c>
      <c r="Q103" s="585">
        <f t="shared" si="520"/>
        <v>131.75</v>
      </c>
      <c r="R103" s="629">
        <f t="shared" si="79"/>
        <v>4.7573999999999996</v>
      </c>
      <c r="S103" s="634">
        <f t="shared" si="80"/>
        <v>-3.5824999999999987</v>
      </c>
      <c r="T103" s="635">
        <f t="shared" si="81"/>
        <v>3.5492933561185294</v>
      </c>
      <c r="U103" s="629">
        <f t="shared" si="82"/>
        <v>3.1678654378323685</v>
      </c>
      <c r="V103" s="636">
        <f t="shared" si="114"/>
        <v>-3.5824999999999987</v>
      </c>
      <c r="W103" s="585">
        <f t="shared" si="645"/>
        <v>41.75</v>
      </c>
      <c r="X103" s="629">
        <f t="shared" si="83"/>
        <v>4.7573999999999996</v>
      </c>
      <c r="Y103" s="630">
        <f t="shared" si="644"/>
        <v>-3.5824999999999987</v>
      </c>
      <c r="Z103" s="632">
        <f t="shared" si="468"/>
        <v>0.99581281128306864</v>
      </c>
      <c r="AA103" s="629">
        <f t="shared" si="469"/>
        <v>1.2814178360701534E-2</v>
      </c>
      <c r="AB103" s="629">
        <f t="shared" si="470"/>
        <v>-9.0513212944031571E-2</v>
      </c>
      <c r="AC103" s="636">
        <f t="shared" si="84"/>
        <v>1</v>
      </c>
      <c r="AD103" s="637">
        <f t="shared" si="115"/>
        <v>0.99581281128306864</v>
      </c>
      <c r="AE103" s="629">
        <f t="shared" si="85"/>
        <v>1.2814178360701534E-2</v>
      </c>
      <c r="AF103" s="633">
        <f t="shared" si="86"/>
        <v>-9.0513212944031571E-2</v>
      </c>
      <c r="AG103" s="602">
        <f t="shared" si="87"/>
        <v>8.0579547364426958</v>
      </c>
      <c r="AH103" s="603">
        <f t="shared" si="88"/>
        <v>5.2450611235349616</v>
      </c>
      <c r="AI103" s="585">
        <f t="shared" si="89"/>
        <v>-84.806867466320753</v>
      </c>
      <c r="AJ103" s="586">
        <f t="shared" si="90"/>
        <v>90.737244800577514</v>
      </c>
      <c r="AK103" s="635">
        <f t="shared" si="211"/>
        <v>0.75146621847391359</v>
      </c>
      <c r="AL103" s="629">
        <f t="shared" si="91"/>
        <v>-0.65353338153078666</v>
      </c>
      <c r="AM103" s="634">
        <f t="shared" si="92"/>
        <v>-9.0513212944031571E-2</v>
      </c>
      <c r="AN103" s="581">
        <f t="shared" si="93"/>
        <v>-82.114798282431963</v>
      </c>
      <c r="AO103" s="582">
        <f t="shared" si="461"/>
        <v>41.282453628400035</v>
      </c>
      <c r="AP103" s="585">
        <f t="shared" si="95"/>
        <v>-41.012755199422472</v>
      </c>
      <c r="AQ103" s="586">
        <f t="shared" si="471"/>
        <v>0.47918473943468581</v>
      </c>
      <c r="AS103" s="52">
        <f t="shared" si="543"/>
        <v>-318.25</v>
      </c>
      <c r="AT103" s="73">
        <f t="shared" si="472"/>
        <v>-3.3614930555555542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7.1529999999999996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>
        <f t="shared" si="542"/>
        <v>1313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-1.5513112837404592</v>
      </c>
      <c r="C104" s="708">
        <v>2.8803025090289451</v>
      </c>
      <c r="D104" s="709">
        <v>-0.23868978773723826</v>
      </c>
      <c r="E104" s="710">
        <v>-0.91491069000499836</v>
      </c>
      <c r="F104" s="708">
        <v>-0.27553495326706756</v>
      </c>
      <c r="G104" s="711">
        <v>0.29498969277365056</v>
      </c>
      <c r="H104" s="710">
        <v>0.26600000000000001</v>
      </c>
      <c r="I104" s="708">
        <v>0.39400000000000002</v>
      </c>
      <c r="J104" s="570">
        <v>7.218</v>
      </c>
      <c r="K104" s="865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>1310</v>
      </c>
      <c r="L104" s="320"/>
      <c r="M104" s="168">
        <f t="shared" si="464"/>
        <v>7.218</v>
      </c>
      <c r="N104" s="632">
        <f t="shared" si="465"/>
        <v>-1.5513112837404592</v>
      </c>
      <c r="O104" s="629">
        <f t="shared" si="466"/>
        <v>2.8803025090289451</v>
      </c>
      <c r="P104" s="633">
        <f t="shared" si="467"/>
        <v>-0.23868978773723826</v>
      </c>
      <c r="Q104" s="585">
        <f t="shared" si="520"/>
        <v>118.30660255461054</v>
      </c>
      <c r="R104" s="629">
        <f t="shared" si="79"/>
        <v>3.2714995403604918</v>
      </c>
      <c r="S104" s="634">
        <f t="shared" si="80"/>
        <v>-0.23868978773723826</v>
      </c>
      <c r="T104" s="635">
        <f t="shared" si="81"/>
        <v>2.8803025090289451</v>
      </c>
      <c r="U104" s="629">
        <f t="shared" si="82"/>
        <v>1.5513112837404599</v>
      </c>
      <c r="V104" s="636">
        <f t="shared" si="114"/>
        <v>-0.23868978773723826</v>
      </c>
      <c r="W104" s="585">
        <f t="shared" si="645"/>
        <v>28.306602554610535</v>
      </c>
      <c r="X104" s="629">
        <f t="shared" si="83"/>
        <v>3.2714995403604918</v>
      </c>
      <c r="Y104" s="630">
        <f t="shared" si="644"/>
        <v>-0.23868978773723826</v>
      </c>
      <c r="Z104" s="632">
        <f t="shared" si="468"/>
        <v>0.91491069000499836</v>
      </c>
      <c r="AA104" s="629">
        <f t="shared" si="469"/>
        <v>0.27553495326706756</v>
      </c>
      <c r="AB104" s="629">
        <f t="shared" si="470"/>
        <v>-0.29498969277365056</v>
      </c>
      <c r="AC104" s="636">
        <f t="shared" si="84"/>
        <v>1</v>
      </c>
      <c r="AD104" s="637">
        <f t="shared" si="115"/>
        <v>0.91491069000499836</v>
      </c>
      <c r="AE104" s="629">
        <f t="shared" si="85"/>
        <v>0.27553495326706756</v>
      </c>
      <c r="AF104" s="633">
        <f t="shared" si="86"/>
        <v>-0.29498969277365056</v>
      </c>
      <c r="AG104" s="602">
        <f t="shared" si="87"/>
        <v>43.046985823788646</v>
      </c>
      <c r="AH104" s="603">
        <f t="shared" si="88"/>
        <v>23.806952968670856</v>
      </c>
      <c r="AI104" s="585">
        <f t="shared" si="89"/>
        <v>-72.843080693485362</v>
      </c>
      <c r="AJ104" s="586">
        <f t="shared" si="90"/>
        <v>106.76022590469995</v>
      </c>
      <c r="AK104" s="635">
        <f t="shared" si="211"/>
        <v>0.93616398237042797</v>
      </c>
      <c r="AL104" s="629">
        <f t="shared" si="91"/>
        <v>-0.19125396536973702</v>
      </c>
      <c r="AM104" s="634">
        <f t="shared" si="92"/>
        <v>-0.29498969277365056</v>
      </c>
      <c r="AN104" s="581">
        <f t="shared" si="93"/>
        <v>-32.957002555211631</v>
      </c>
      <c r="AO104" s="582">
        <f t="shared" si="461"/>
        <v>20.58298462875057</v>
      </c>
      <c r="AP104" s="585">
        <f t="shared" si="95"/>
        <v>-11.546376649910576</v>
      </c>
      <c r="AQ104" s="586">
        <f t="shared" si="471"/>
        <v>0.69681019611106754</v>
      </c>
      <c r="AS104" s="52">
        <f t="shared" si="543"/>
        <v>-331.69339744538945</v>
      </c>
      <c r="AT104" s="73">
        <f t="shared" si="472"/>
        <v>-8.3471506223844749E-3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>Nose</v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7.218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0.11799999999999999</v>
      </c>
      <c r="II104" s="734" cm="1">
        <f t="array" ref="II104">IFERROR(IF($IH104&lt;1,$IH104+LARGE((IF($M$9:$M$150="",0,$M$9:$M$150)-MOD(IF($M$9:$M$150="",0,$M$9:$M$150),1)),1),$IH104),"")</f>
        <v>7.1180000000000003</v>
      </c>
      <c r="IJ104" s="533">
        <f t="shared" si="542"/>
        <v>1613</v>
      </c>
      <c r="IK104" s="533">
        <f t="shared" si="517"/>
        <v>1310</v>
      </c>
      <c r="IL104" s="727">
        <f t="shared" si="647"/>
        <v>16.773997578134399</v>
      </c>
      <c r="IM104" s="759">
        <v>1.3049448536982099E-2</v>
      </c>
      <c r="IN104" s="5">
        <f t="shared" si="648"/>
        <v>0.28000000000000003</v>
      </c>
      <c r="IO104" s="771">
        <v>140</v>
      </c>
      <c r="IP104" s="9">
        <f t="shared" si="649"/>
        <v>-3.2544098153000021</v>
      </c>
      <c r="IQ104" s="5">
        <f t="shared" si="650"/>
        <v>-0.275200830005703</v>
      </c>
      <c r="IR104" s="5">
        <f t="shared" si="518"/>
        <v>0.314</v>
      </c>
      <c r="IS104" s="5">
        <f t="shared" si="651"/>
        <v>0.3021617829123695</v>
      </c>
      <c r="IT104" s="727">
        <f t="shared" si="652"/>
        <v>37.261079900199967</v>
      </c>
      <c r="IU104" s="9">
        <f t="shared" si="653"/>
        <v>-3.2714995403604918</v>
      </c>
      <c r="IV104" s="5">
        <f t="shared" si="654"/>
        <v>-0.23868978773723826</v>
      </c>
      <c r="IW104" s="5">
        <f t="shared" si="519"/>
        <v>0.26600000000000001</v>
      </c>
      <c r="IX104" s="5">
        <f t="shared" si="655"/>
        <v>0.24901961931053385</v>
      </c>
      <c r="IY104" s="762">
        <f t="shared" si="656"/>
        <v>32.957002555211631</v>
      </c>
    </row>
    <row r="105" spans="1:259" ht="15" customHeight="1" x14ac:dyDescent="0.25">
      <c r="A105" s="79"/>
      <c r="B105" s="707">
        <v>-1.9504266140433484</v>
      </c>
      <c r="C105" s="708">
        <v>3.3587822955466162</v>
      </c>
      <c r="D105" s="709">
        <v>-0.73747755317064123</v>
      </c>
      <c r="E105" s="710">
        <v>-0.95797204005280823</v>
      </c>
      <c r="F105" s="708">
        <v>-0.20581077842370396</v>
      </c>
      <c r="G105" s="711">
        <v>0.19982866151203144</v>
      </c>
      <c r="H105" s="710">
        <v>0.26600000000000001</v>
      </c>
      <c r="I105" s="708">
        <v>0.39400000000000002</v>
      </c>
      <c r="J105" s="570">
        <v>7.2249999999999996</v>
      </c>
      <c r="K105" s="865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>1310</v>
      </c>
      <c r="L105" s="320"/>
      <c r="M105" s="168">
        <f t="shared" ref="M105:M136" si="660">IF(J105="","",VALUE(J105))</f>
        <v>7.2249999999999996</v>
      </c>
      <c r="N105" s="632">
        <f t="shared" ref="N105:N136" si="661">IF(M105="","",B105)</f>
        <v>-1.9504266140433484</v>
      </c>
      <c r="O105" s="629">
        <f t="shared" ref="O105:O136" si="662">IF(M105="","",C105)</f>
        <v>3.3587822955466162</v>
      </c>
      <c r="P105" s="633">
        <f t="shared" ref="P105:P136" si="663">IF(M105="","",D105)</f>
        <v>-0.73747755317064123</v>
      </c>
      <c r="Q105" s="585">
        <f t="shared" si="520"/>
        <v>120.14350228939502</v>
      </c>
      <c r="R105" s="629">
        <f t="shared" si="79"/>
        <v>3.8840162828760127</v>
      </c>
      <c r="S105" s="634">
        <f t="shared" si="80"/>
        <v>-0.73747755317064123</v>
      </c>
      <c r="T105" s="635">
        <f t="shared" si="81"/>
        <v>3.3587822955466162</v>
      </c>
      <c r="U105" s="629">
        <f t="shared" si="82"/>
        <v>1.9504266140433486</v>
      </c>
      <c r="V105" s="636">
        <f t="shared" si="114"/>
        <v>-0.73747755317064123</v>
      </c>
      <c r="W105" s="585">
        <f t="shared" si="645"/>
        <v>30.143502289395016</v>
      </c>
      <c r="X105" s="629">
        <f t="shared" si="83"/>
        <v>3.8840162828760127</v>
      </c>
      <c r="Y105" s="630">
        <f t="shared" si="644"/>
        <v>-0.73747755317064123</v>
      </c>
      <c r="Z105" s="632">
        <f t="shared" ref="Z105:Z136" si="664">IF(M105="","",-E105)</f>
        <v>0.95797204005280823</v>
      </c>
      <c r="AA105" s="629">
        <f t="shared" ref="AA105:AA136" si="665">IF(M105="","",-F105)</f>
        <v>0.20581077842370396</v>
      </c>
      <c r="AB105" s="629">
        <f t="shared" ref="AB105:AB136" si="666">IF(M105="","",-G105)</f>
        <v>-0.19982866151203144</v>
      </c>
      <c r="AC105" s="636">
        <f t="shared" si="84"/>
        <v>1</v>
      </c>
      <c r="AD105" s="637">
        <f t="shared" si="115"/>
        <v>0.95797204005280823</v>
      </c>
      <c r="AE105" s="629">
        <f t="shared" si="85"/>
        <v>0.20581077842370396</v>
      </c>
      <c r="AF105" s="633">
        <f t="shared" si="86"/>
        <v>-0.19982866151203144</v>
      </c>
      <c r="AG105" s="602">
        <f t="shared" si="87"/>
        <v>45.84490109545596</v>
      </c>
      <c r="AH105" s="603">
        <f t="shared" si="88"/>
        <v>16.670156812390367</v>
      </c>
      <c r="AI105" s="585">
        <f t="shared" si="89"/>
        <v>-78.473060193742825</v>
      </c>
      <c r="AJ105" s="586">
        <f t="shared" si="90"/>
        <v>102.12512133008636</v>
      </c>
      <c r="AK105" s="635">
        <f t="shared" si="211"/>
        <v>0.93177733662146589</v>
      </c>
      <c r="AL105" s="629">
        <f t="shared" si="91"/>
        <v>-0.30308332352163109</v>
      </c>
      <c r="AM105" s="634">
        <f t="shared" si="92"/>
        <v>-0.19982866151203144</v>
      </c>
      <c r="AN105" s="581">
        <f t="shared" si="93"/>
        <v>-56.602367579304428</v>
      </c>
      <c r="AO105" s="582">
        <f t="shared" si="461"/>
        <v>21.286413851540935</v>
      </c>
      <c r="AP105" s="585">
        <f t="shared" si="95"/>
        <v>-18.018380959308647</v>
      </c>
      <c r="AQ105" s="586">
        <f t="shared" ref="AQ105:AQ136" si="667">IF(M105="","",DEGREES(ATAN(($AS$5*SIN(RADIANS(90)))/(($X105*2*PI())-($AS$5*COS(RADIANS(90)))))))</f>
        <v>0.5869303120689644</v>
      </c>
      <c r="AS105" s="52">
        <f t="shared" si="543"/>
        <v>-329.85649771060497</v>
      </c>
      <c r="AT105" s="73">
        <f t="shared" ref="AT105:AT136" si="668">IF(M105="","",Y105+(((AS105-$AS$9)*$AS$6)*-1))</f>
        <v>-0.50841054087160997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>Taper</v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7.2249999999999996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0.125</v>
      </c>
      <c r="II105" s="734" cm="1">
        <f t="array" ref="II105">IFERROR(IF($IH105&lt;1,$IH105+LARGE((IF($M$9:$M$150="",0,$M$9:$M$150)-MOD(IF($M$9:$M$150="",0,$M$9:$M$150),1)),1),$IH105),"")</f>
        <v>7.125</v>
      </c>
      <c r="IJ105" s="533">
        <f t="shared" si="542"/>
        <v>1613</v>
      </c>
      <c r="IK105" s="533">
        <f t="shared" ref="IK105:IK136" si="713">IF(ISNUMBER($II105),INDEX($K$9:$K$150,MATCH($IG105,$M$9:$M$150,0)),"")</f>
        <v>1310</v>
      </c>
      <c r="IL105" s="727">
        <f t="shared" si="647"/>
        <v>14.114297962147489</v>
      </c>
      <c r="IM105" s="759">
        <v>9.0786869058020296E-3</v>
      </c>
      <c r="IN105" s="5">
        <f t="shared" si="648"/>
        <v>0.26</v>
      </c>
      <c r="IO105" s="771">
        <v>130</v>
      </c>
      <c r="IP105" s="9">
        <f t="shared" si="649"/>
        <v>-3.8529116203814469</v>
      </c>
      <c r="IQ105" s="5">
        <f t="shared" si="650"/>
        <v>-0.76900231931099505</v>
      </c>
      <c r="IR105" s="5">
        <f t="shared" ref="IR105:IR136" si="714">IF(ISNUMBER($II105),INDEX($H$9:$H$150,MATCH($II105,$M$9:$M$150,0)),"")</f>
        <v>0.314</v>
      </c>
      <c r="IS105" s="5">
        <f t="shared" si="651"/>
        <v>0.30074592337763806</v>
      </c>
      <c r="IT105" s="727">
        <f t="shared" si="652"/>
        <v>62.479199590880427</v>
      </c>
      <c r="IU105" s="9">
        <f t="shared" si="653"/>
        <v>-3.8840162828760127</v>
      </c>
      <c r="IV105" s="5">
        <f t="shared" si="654"/>
        <v>-0.73747755317064123</v>
      </c>
      <c r="IW105" s="5">
        <f t="shared" ref="IW105:IW136" si="715">IF(ISNUMBER($II105),$H105,"")</f>
        <v>0.26600000000000001</v>
      </c>
      <c r="IX105" s="5">
        <f t="shared" si="655"/>
        <v>0.24785277154130997</v>
      </c>
      <c r="IY105" s="762">
        <f t="shared" si="656"/>
        <v>56.602367579304428</v>
      </c>
    </row>
    <row r="106" spans="1:259" ht="15" customHeight="1" x14ac:dyDescent="0.25">
      <c r="A106" s="79"/>
      <c r="B106" s="707">
        <v>-2.2028191296824167</v>
      </c>
      <c r="C106" s="708">
        <v>3.685545339705032</v>
      </c>
      <c r="D106" s="709">
        <v>-1.3968551720897573</v>
      </c>
      <c r="E106" s="710">
        <v>-0.97951154900118165</v>
      </c>
      <c r="F106" s="708">
        <v>-0.15795012977341544</v>
      </c>
      <c r="G106" s="711">
        <v>0.12493551087608051</v>
      </c>
      <c r="H106" s="710">
        <v>0.26600000000000001</v>
      </c>
      <c r="I106" s="708">
        <v>0.39400000000000002</v>
      </c>
      <c r="J106" s="570">
        <v>7.2320000000000002</v>
      </c>
      <c r="K106" s="865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>1310</v>
      </c>
      <c r="L106" s="320"/>
      <c r="M106" s="168">
        <f t="shared" si="660"/>
        <v>7.2320000000000002</v>
      </c>
      <c r="N106" s="632">
        <f t="shared" si="661"/>
        <v>-2.2028191296824167</v>
      </c>
      <c r="O106" s="629">
        <f t="shared" si="662"/>
        <v>3.685545339705032</v>
      </c>
      <c r="P106" s="633">
        <f t="shared" si="663"/>
        <v>-1.3968551720897573</v>
      </c>
      <c r="Q106" s="585">
        <f t="shared" si="520"/>
        <v>120.86640218502117</v>
      </c>
      <c r="R106" s="629">
        <f t="shared" ref="R106:R129" si="716">IF(M106="","",SQRT(N106^2+O106^2))</f>
        <v>4.2936763465725125</v>
      </c>
      <c r="S106" s="634">
        <f t="shared" ref="S106:S129" si="717">IF(M106="","",P106)</f>
        <v>-1.3968551720897573</v>
      </c>
      <c r="T106" s="635">
        <f t="shared" ref="T106:T129" si="718">IF(M106="","",X106*COS(RADIANS(W106)))</f>
        <v>3.6855453397050324</v>
      </c>
      <c r="U106" s="629">
        <f t="shared" ref="U106:U129" si="719">IF(M106="","",X106*SIN(RADIANS(W106)))</f>
        <v>2.2028191296824158</v>
      </c>
      <c r="V106" s="636">
        <f t="shared" ref="V106:V129" si="720">IF(M106="","",Y106)</f>
        <v>-1.3968551720897573</v>
      </c>
      <c r="W106" s="585">
        <f t="shared" si="645"/>
        <v>30.866402185021172</v>
      </c>
      <c r="X106" s="629">
        <f t="shared" ref="X106:X129" si="721">IF(M106="","",R106)</f>
        <v>4.2936763465725125</v>
      </c>
      <c r="Y106" s="630">
        <f t="shared" si="644"/>
        <v>-1.3968551720897573</v>
      </c>
      <c r="Z106" s="632">
        <f t="shared" si="664"/>
        <v>0.97951154900118165</v>
      </c>
      <c r="AA106" s="629">
        <f t="shared" si="665"/>
        <v>0.15795012977341544</v>
      </c>
      <c r="AB106" s="629">
        <f t="shared" si="666"/>
        <v>-0.12493551087608051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0.97951154900118165</v>
      </c>
      <c r="AE106" s="629">
        <f t="shared" ref="AE106:AE129" si="724">IF(M106="","",AA106*(1/SQRT(Z106^2+AA106^2+AB106^2)))</f>
        <v>0.15795012977341544</v>
      </c>
      <c r="AF106" s="633">
        <f t="shared" ref="AF106:AF129" si="725">IF(M106="","",AB106*(1/SQRT(Z106^2+AA106^2+AB106^2)))</f>
        <v>-0.12493551087608051</v>
      </c>
      <c r="AG106" s="602">
        <f t="shared" ref="AG106:AG129" si="726">IF(M106="","",DEGREES(ATAN2(-AF106,AE106)))</f>
        <v>51.656681841003298</v>
      </c>
      <c r="AH106" s="603">
        <f t="shared" ref="AH106:AH129" si="727">IF(M106="","",DEGREES(ACOS(AD106)))</f>
        <v>11.618137065680759</v>
      </c>
      <c r="AI106" s="585">
        <f t="shared" ref="AI106:AI129" si="728">IF(M106="","",DEGREES(-ACOS(-AF106)))</f>
        <v>-82.822968367502796</v>
      </c>
      <c r="AJ106" s="586">
        <f t="shared" ref="AJ106:AJ129" si="729">IF(M106="","",DEGREES(ATAN2(-AE106,AD106)))</f>
        <v>99.160317213964746</v>
      </c>
      <c r="AK106" s="635">
        <f t="shared" ref="AK106:AK129" si="730">IF(M106="","",(COS(RADIANS((90-$Q$8)-W106))*AD106)+(-SIN(RADIANS((90-$Q$8)-W106))*AE106))</f>
        <v>0.92181372617169133</v>
      </c>
      <c r="AL106" s="629">
        <f t="shared" ref="AL106:AL129" si="731">IF(M106="","",(SIN(RADIANS((90-$Q$8)-W106))*AD106)+(COS(RADIANS((90-$Q$8)-W106))*AE106))</f>
        <v>-0.36694764253718148</v>
      </c>
      <c r="AM106" s="634">
        <f t="shared" ref="AM106:AM129" si="732">IF(M106="","",AF106)</f>
        <v>-0.12493551087608051</v>
      </c>
      <c r="AN106" s="581">
        <f t="shared" ref="AN106:AN129" si="733">IF(M106="","",DEGREES(ATAN2(-AM106,AL106)))</f>
        <v>-71.197713124595211</v>
      </c>
      <c r="AO106" s="582">
        <f t="shared" si="461"/>
        <v>22.807306643665036</v>
      </c>
      <c r="AP106" s="585">
        <f t="shared" ref="AP106:AP129" si="734">IF(M106="","",DEGREES(ATAN2(AK106,AL106)))</f>
        <v>-21.706084971056423</v>
      </c>
      <c r="AQ106" s="586">
        <f t="shared" si="667"/>
        <v>0.53093461055180347</v>
      </c>
      <c r="AS106" s="52">
        <f t="shared" si="543"/>
        <v>-329.13359781497883</v>
      </c>
      <c r="AT106" s="73">
        <f t="shared" si="668"/>
        <v>-1.1682901736071332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>Taper</v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7.2320000000000002</v>
      </c>
      <c r="IH106" s="731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0.13200000000000001</v>
      </c>
      <c r="II106" s="734" cm="1">
        <f t="array" ref="II106">IFERROR(IF($IH106&lt;1,$IH106+LARGE((IF($M$9:$M$150="",0,$M$9:$M$150)-MOD(IF($M$9:$M$150="",0,$M$9:$M$150),1)),1),$IH106),"")</f>
        <v>7.1319999999999997</v>
      </c>
      <c r="IJ106" s="533">
        <f t="shared" si="542"/>
        <v>1613</v>
      </c>
      <c r="IK106" s="533">
        <f t="shared" si="713"/>
        <v>1310</v>
      </c>
      <c r="IL106" s="727">
        <f t="shared" si="647"/>
        <v>12.772598155865012</v>
      </c>
      <c r="IM106" s="759">
        <v>6.6257121162950896E-3</v>
      </c>
      <c r="IN106" s="5">
        <f t="shared" si="648"/>
        <v>0.24</v>
      </c>
      <c r="IO106" s="771">
        <v>120</v>
      </c>
      <c r="IP106" s="9">
        <f t="shared" si="649"/>
        <v>-4.2545128316106995</v>
      </c>
      <c r="IQ106" s="5">
        <f t="shared" si="650"/>
        <v>-1.4226042905745404</v>
      </c>
      <c r="IR106" s="5">
        <f t="shared" si="714"/>
        <v>0.314</v>
      </c>
      <c r="IS106" s="5">
        <f t="shared" si="651"/>
        <v>0.29803187444392237</v>
      </c>
      <c r="IT106" s="727">
        <f t="shared" si="652"/>
        <v>77.278847795395592</v>
      </c>
      <c r="IU106" s="9">
        <f t="shared" si="653"/>
        <v>-4.2936763465725125</v>
      </c>
      <c r="IV106" s="5">
        <f t="shared" si="654"/>
        <v>-1.3968551720897573</v>
      </c>
      <c r="IW106" s="5">
        <f t="shared" si="715"/>
        <v>0.26600000000000001</v>
      </c>
      <c r="IX106" s="5">
        <f t="shared" si="655"/>
        <v>0.24520245116166992</v>
      </c>
      <c r="IY106" s="762">
        <f t="shared" si="656"/>
        <v>71.197713124595211</v>
      </c>
    </row>
    <row r="107" spans="1:259" ht="15" customHeight="1" x14ac:dyDescent="0.25">
      <c r="A107" s="79"/>
      <c r="B107" s="707">
        <v>-2.3545973328598344</v>
      </c>
      <c r="C107" s="708">
        <v>3.8924848213388255</v>
      </c>
      <c r="D107" s="709">
        <v>-2.1251193348142725</v>
      </c>
      <c r="E107" s="710">
        <v>-0.98980092523068919</v>
      </c>
      <c r="F107" s="708">
        <v>-0.12708085173868103</v>
      </c>
      <c r="G107" s="711">
        <v>6.4378455509922966E-2</v>
      </c>
      <c r="H107" s="710">
        <v>0.26600000000000001</v>
      </c>
      <c r="I107" s="708">
        <v>0.39400000000000002</v>
      </c>
      <c r="J107" s="570">
        <v>7.2389999999999999</v>
      </c>
      <c r="K107" s="865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>1310</v>
      </c>
      <c r="L107" s="320"/>
      <c r="M107" s="168">
        <f t="shared" si="660"/>
        <v>7.2389999999999999</v>
      </c>
      <c r="N107" s="632">
        <f t="shared" si="661"/>
        <v>-2.3545973328598344</v>
      </c>
      <c r="O107" s="629">
        <f t="shared" si="662"/>
        <v>3.8924848213388255</v>
      </c>
      <c r="P107" s="633">
        <f t="shared" si="663"/>
        <v>-2.1251193348142725</v>
      </c>
      <c r="Q107" s="585">
        <f t="shared" si="520"/>
        <v>121.17010214117235</v>
      </c>
      <c r="R107" s="629">
        <f t="shared" si="716"/>
        <v>4.5492380333704014</v>
      </c>
      <c r="S107" s="634">
        <f t="shared" si="717"/>
        <v>-2.1251193348142725</v>
      </c>
      <c r="T107" s="635">
        <f t="shared" si="718"/>
        <v>3.8924848213388255</v>
      </c>
      <c r="U107" s="629">
        <f t="shared" si="719"/>
        <v>2.3545973328598353</v>
      </c>
      <c r="V107" s="636">
        <f t="shared" si="720"/>
        <v>-2.1251193348142725</v>
      </c>
      <c r="W107" s="585">
        <f t="shared" si="645"/>
        <v>31.17010214117235</v>
      </c>
      <c r="X107" s="629">
        <f t="shared" si="721"/>
        <v>4.5492380333704014</v>
      </c>
      <c r="Y107" s="630">
        <f t="shared" si="644"/>
        <v>-2.1251193348142725</v>
      </c>
      <c r="Z107" s="632">
        <f t="shared" si="664"/>
        <v>0.98980092523068919</v>
      </c>
      <c r="AA107" s="629">
        <f t="shared" si="665"/>
        <v>0.12708085173868103</v>
      </c>
      <c r="AB107" s="629">
        <f t="shared" si="666"/>
        <v>-6.4378455509922966E-2</v>
      </c>
      <c r="AC107" s="636">
        <f t="shared" si="722"/>
        <v>1</v>
      </c>
      <c r="AD107" s="637">
        <f t="shared" si="723"/>
        <v>0.98980092523068919</v>
      </c>
      <c r="AE107" s="629">
        <f t="shared" si="724"/>
        <v>0.12708085173868103</v>
      </c>
      <c r="AF107" s="633">
        <f t="shared" si="725"/>
        <v>-6.4378455509922966E-2</v>
      </c>
      <c r="AG107" s="602">
        <f t="shared" si="726"/>
        <v>63.133479026694822</v>
      </c>
      <c r="AH107" s="603">
        <f t="shared" si="727"/>
        <v>8.1900740231799194</v>
      </c>
      <c r="AI107" s="585">
        <f t="shared" si="728"/>
        <v>-86.308833481281454</v>
      </c>
      <c r="AJ107" s="586">
        <f t="shared" si="729"/>
        <v>97.316198084742354</v>
      </c>
      <c r="AK107" s="635">
        <f t="shared" si="730"/>
        <v>0.91268236168616834</v>
      </c>
      <c r="AL107" s="629">
        <f t="shared" si="731"/>
        <v>-0.40356699708117261</v>
      </c>
      <c r="AM107" s="634">
        <f t="shared" si="732"/>
        <v>-6.4378455509922966E-2</v>
      </c>
      <c r="AN107" s="581">
        <f t="shared" si="733"/>
        <v>-80.936340088127409</v>
      </c>
      <c r="AO107" s="582">
        <f t="shared" si="461"/>
        <v>24.121293484735794</v>
      </c>
      <c r="AP107" s="585">
        <f t="shared" si="734"/>
        <v>-23.853904056430004</v>
      </c>
      <c r="AQ107" s="586">
        <f t="shared" si="667"/>
        <v>0.5011099633262579</v>
      </c>
      <c r="AS107" s="52">
        <f t="shared" ref="AS107:AS138" si="737">IF(G107="","",IF(AND(W107&lt;(AS106+180),W107&gt;(AS106-180)),W107,IF(W107&gt;(AS106+180),W107-360,IF(W107&lt;(AS106-180),W107+360,"Error"))))</f>
        <v>-328.82989785882762</v>
      </c>
      <c r="AT107" s="73">
        <f t="shared" si="668"/>
        <v>-1.8967652390789755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Taper</v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7.2389999999999999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0.13900000000000001</v>
      </c>
      <c r="II107" s="734" cm="1">
        <f t="array" ref="II107">IFERROR(IF($IH107&lt;1,$IH107+LARGE((IF($M$9:$M$150="",0,$M$9:$M$150)-MOD(IF($M$9:$M$150="",0,$M$9:$M$150),1)),1),$IH107),"")</f>
        <v>7.1390000000000002</v>
      </c>
      <c r="IJ107" s="533">
        <f t="shared" si="542"/>
        <v>1613</v>
      </c>
      <c r="IK107" s="533">
        <f t="shared" si="713"/>
        <v>1310</v>
      </c>
      <c r="IL107" s="727">
        <f t="shared" si="647"/>
        <v>12.062698258361849</v>
      </c>
      <c r="IM107" s="759">
        <v>5.0097710605868503E-3</v>
      </c>
      <c r="IN107" s="5">
        <f t="shared" si="648"/>
        <v>0.22</v>
      </c>
      <c r="IO107" s="771">
        <v>110</v>
      </c>
      <c r="IP107" s="9">
        <f t="shared" si="649"/>
        <v>-4.5051135874225796</v>
      </c>
      <c r="IQ107" s="5">
        <f t="shared" si="650"/>
        <v>-2.1455064708475162</v>
      </c>
      <c r="IR107" s="5">
        <f t="shared" si="714"/>
        <v>0.314</v>
      </c>
      <c r="IS107" s="5">
        <f t="shared" si="651"/>
        <v>0.29558320694917123</v>
      </c>
      <c r="IT107" s="727">
        <f t="shared" si="652"/>
        <v>86.872112807795133</v>
      </c>
      <c r="IU107" s="9">
        <f t="shared" si="653"/>
        <v>-4.5492380333704014</v>
      </c>
      <c r="IV107" s="5">
        <f t="shared" si="654"/>
        <v>-2.1251193348142725</v>
      </c>
      <c r="IW107" s="5">
        <f t="shared" si="715"/>
        <v>0.26600000000000001</v>
      </c>
      <c r="IX107" s="5">
        <f t="shared" si="655"/>
        <v>0.24277350820852078</v>
      </c>
      <c r="IY107" s="762">
        <f t="shared" si="656"/>
        <v>80.936340088127409</v>
      </c>
    </row>
    <row r="108" spans="1:259" ht="15" customHeight="1" x14ac:dyDescent="0.25">
      <c r="A108" s="79"/>
      <c r="B108" s="707">
        <v>-2.4195131010664324</v>
      </c>
      <c r="C108" s="708">
        <v>3.9782264351487728</v>
      </c>
      <c r="D108" s="709">
        <v>-2.895208731949535</v>
      </c>
      <c r="E108" s="710">
        <v>-0.9882745343108732</v>
      </c>
      <c r="F108" s="708">
        <v>-0.15266945256792167</v>
      </c>
      <c r="G108" s="711">
        <v>2.3415988635744202E-3</v>
      </c>
      <c r="H108" s="710">
        <v>0.26600000000000001</v>
      </c>
      <c r="I108" s="708">
        <v>0.52</v>
      </c>
      <c r="J108" s="570">
        <v>7.2460000000000004</v>
      </c>
      <c r="K108" s="865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>1313</v>
      </c>
      <c r="L108" s="320"/>
      <c r="M108" s="168">
        <f t="shared" si="660"/>
        <v>7.2460000000000004</v>
      </c>
      <c r="N108" s="632">
        <f t="shared" si="661"/>
        <v>-2.4195131010664324</v>
      </c>
      <c r="O108" s="629">
        <f t="shared" si="662"/>
        <v>3.9782264351487728</v>
      </c>
      <c r="P108" s="633">
        <f t="shared" si="663"/>
        <v>-2.895208731949535</v>
      </c>
      <c r="Q108" s="585">
        <f t="shared" si="520"/>
        <v>121.30750212133422</v>
      </c>
      <c r="R108" s="629">
        <f t="shared" si="716"/>
        <v>4.6562140431415537</v>
      </c>
      <c r="S108" s="634">
        <f t="shared" si="717"/>
        <v>-2.895208731949535</v>
      </c>
      <c r="T108" s="635">
        <f t="shared" si="718"/>
        <v>3.9782264351487733</v>
      </c>
      <c r="U108" s="629">
        <f t="shared" si="719"/>
        <v>2.4195131010664315</v>
      </c>
      <c r="V108" s="636">
        <f t="shared" si="720"/>
        <v>-2.895208731949535</v>
      </c>
      <c r="W108" s="585">
        <f t="shared" si="645"/>
        <v>31.307502121334224</v>
      </c>
      <c r="X108" s="629">
        <f t="shared" si="721"/>
        <v>4.6562140431415537</v>
      </c>
      <c r="Y108" s="630">
        <f t="shared" si="644"/>
        <v>-2.895208731949535</v>
      </c>
      <c r="Z108" s="632">
        <f t="shared" si="664"/>
        <v>0.9882745343108732</v>
      </c>
      <c r="AA108" s="629">
        <f t="shared" si="665"/>
        <v>0.15266945256792167</v>
      </c>
      <c r="AB108" s="629">
        <f t="shared" si="666"/>
        <v>-2.3415988635744202E-3</v>
      </c>
      <c r="AC108" s="636">
        <f t="shared" si="722"/>
        <v>1</v>
      </c>
      <c r="AD108" s="637">
        <f t="shared" si="723"/>
        <v>0.9882745343108732</v>
      </c>
      <c r="AE108" s="629">
        <f t="shared" si="724"/>
        <v>0.15266945256792167</v>
      </c>
      <c r="AF108" s="633">
        <f t="shared" si="725"/>
        <v>-2.3415988635744202E-3</v>
      </c>
      <c r="AG108" s="602">
        <f t="shared" si="726"/>
        <v>89.121283197343374</v>
      </c>
      <c r="AH108" s="603">
        <f t="shared" si="727"/>
        <v>8.7826980976603011</v>
      </c>
      <c r="AI108" s="585">
        <f t="shared" si="728"/>
        <v>-89.865836145199054</v>
      </c>
      <c r="AJ108" s="586">
        <f t="shared" si="729"/>
        <v>98.781681336982672</v>
      </c>
      <c r="AK108" s="635">
        <f t="shared" si="730"/>
        <v>0.92370444707879418</v>
      </c>
      <c r="AL108" s="629">
        <f t="shared" si="731"/>
        <v>-0.38309869663263191</v>
      </c>
      <c r="AM108" s="634">
        <f t="shared" si="732"/>
        <v>-2.3415988635744202E-3</v>
      </c>
      <c r="AN108" s="581">
        <f t="shared" si="733"/>
        <v>-89.649797656220542</v>
      </c>
      <c r="AO108" s="582">
        <f t="shared" si="461"/>
        <v>22.526199520822846</v>
      </c>
      <c r="AP108" s="585">
        <f t="shared" si="734"/>
        <v>-22.525820784351552</v>
      </c>
      <c r="AQ108" s="586">
        <f t="shared" si="667"/>
        <v>0.48959758359650291</v>
      </c>
      <c r="AS108" s="52">
        <f t="shared" si="737"/>
        <v>-328.69249787866579</v>
      </c>
      <c r="AT108" s="73">
        <f t="shared" si="668"/>
        <v>-2.6669500528671284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>Taper</v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7.2460000000000004</v>
      </c>
      <c r="IH108" s="731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0.14599999999999999</v>
      </c>
      <c r="II108" s="734" cm="1">
        <f t="array" ref="II108">IFERROR(IF($IH108&lt;1,$IH108+LARGE((IF($M$9:$M$150="",0,$M$9:$M$150)-MOD(IF($M$9:$M$150="",0,$M$9:$M$150),1)),1),$IH108),"")</f>
        <v>7.1459999999999999</v>
      </c>
      <c r="IJ108" s="533">
        <f t="shared" si="542"/>
        <v>1613</v>
      </c>
      <c r="IK108" s="533">
        <f t="shared" si="713"/>
        <v>1313</v>
      </c>
      <c r="IL108" s="727">
        <f t="shared" si="647"/>
        <v>11.750798303394632</v>
      </c>
      <c r="IM108" s="759">
        <v>1.2956349629619299E-4</v>
      </c>
      <c r="IN108" s="5">
        <f t="shared" si="648"/>
        <v>0</v>
      </c>
      <c r="IO108" s="771">
        <v>0</v>
      </c>
      <c r="IP108" s="9">
        <f t="shared" si="649"/>
        <v>-4.6104000000000012</v>
      </c>
      <c r="IQ108" s="5">
        <f t="shared" si="650"/>
        <v>-2.8952000000000004</v>
      </c>
      <c r="IR108" s="5">
        <f t="shared" si="714"/>
        <v>0.314</v>
      </c>
      <c r="IS108" s="5">
        <f t="shared" si="651"/>
        <v>0.2900431963827414</v>
      </c>
      <c r="IT108" s="727">
        <f t="shared" si="652"/>
        <v>89.649797656220656</v>
      </c>
      <c r="IU108" s="9">
        <f t="shared" si="653"/>
        <v>-4.6562140431415537</v>
      </c>
      <c r="IV108" s="5">
        <f t="shared" si="654"/>
        <v>-2.895208731949535</v>
      </c>
      <c r="IW108" s="5">
        <f t="shared" si="715"/>
        <v>0.26600000000000001</v>
      </c>
      <c r="IX108" s="5">
        <f t="shared" si="655"/>
        <v>0.24570538292295926</v>
      </c>
      <c r="IY108" s="762">
        <f t="shared" si="656"/>
        <v>89.649797656220542</v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8.8521302156295556E-2</v>
      </c>
      <c r="G154" s="170">
        <f t="shared" si="929"/>
        <v>-0.33036604714967333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2.2557559682354417E-2</v>
      </c>
      <c r="G157" s="170">
        <f t="shared" si="929"/>
        <v>-0.25783412440827963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0.96075971254520087</v>
      </c>
      <c r="F158" s="170">
        <f t="shared" si="929"/>
        <v>-0.15987533045120422</v>
      </c>
      <c r="G158" s="170">
        <f t="shared" si="929"/>
        <v>-0.22667301000159101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0.95105774780570607</v>
      </c>
      <c r="F159" s="170">
        <f t="shared" si="929"/>
        <v>-0.2727907908407507</v>
      </c>
      <c r="G159" s="170">
        <f t="shared" si="929"/>
        <v>-0.14517005466423133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0.93679352250954739</v>
      </c>
      <c r="F160" s="170">
        <f t="shared" si="929"/>
        <v>-0.34090230707854624</v>
      </c>
      <c r="G160" s="170">
        <f t="shared" si="929"/>
        <v>-7.8762384503509128E-2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0.92471345600144605</v>
      </c>
      <c r="F161" s="170">
        <f t="shared" si="929"/>
        <v>-0.37933294330158912</v>
      </c>
      <c r="G161" s="170">
        <f t="shared" si="929"/>
        <v>-3.1804754613350056E-2</v>
      </c>
      <c r="H161" s="139"/>
      <c r="I161" s="86"/>
      <c r="J161" s="79">
        <f t="shared" si="930"/>
        <v>1.1379999999999999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0.90930920278256999</v>
      </c>
      <c r="F162" s="170">
        <f t="shared" si="929"/>
        <v>-0.41611981376507867</v>
      </c>
      <c r="G162" s="170">
        <f t="shared" si="929"/>
        <v>-1.0364974883581568E-3</v>
      </c>
      <c r="H162" s="139"/>
      <c r="I162" s="86"/>
      <c r="J162" s="79">
        <f t="shared" si="930"/>
        <v>1.145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0.70096745327158039</v>
      </c>
      <c r="F163" s="170">
        <f t="shared" si="929"/>
        <v>-0.70742631258421773</v>
      </c>
      <c r="G163" s="170">
        <f t="shared" si="929"/>
        <v>-9.0513212944031474E-2</v>
      </c>
      <c r="H163" s="139"/>
      <c r="I163" s="86"/>
      <c r="J163" s="79">
        <f t="shared" si="930"/>
        <v>1.1519999999999999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3.484286649914331E-2</v>
      </c>
      <c r="F164" s="170">
        <f t="shared" si="929"/>
        <v>7.9888021380881732E-2</v>
      </c>
      <c r="G164" s="170">
        <f t="shared" si="929"/>
        <v>-0.99619469918985748</v>
      </c>
      <c r="H164" s="139"/>
      <c r="I164" s="86"/>
      <c r="J164" s="79">
        <f t="shared" si="930"/>
        <v>1.21</v>
      </c>
    </row>
    <row r="165" spans="5:16" x14ac:dyDescent="0.25">
      <c r="E165" s="170">
        <f t="shared" si="929"/>
        <v>0.83760610837855909</v>
      </c>
      <c r="F165" s="170">
        <f t="shared" si="929"/>
        <v>-0.45220220366744135</v>
      </c>
      <c r="G165" s="170">
        <f t="shared" si="929"/>
        <v>-0.30647866843425742</v>
      </c>
      <c r="H165" s="139"/>
      <c r="I165" s="86"/>
      <c r="J165" s="79">
        <f t="shared" si="930"/>
        <v>1.2170000000000001</v>
      </c>
    </row>
    <row r="166" spans="5:16" x14ac:dyDescent="0.25">
      <c r="E166" s="170">
        <f t="shared" si="929"/>
        <v>0.81575032816668291</v>
      </c>
      <c r="F166" s="170">
        <f t="shared" si="929"/>
        <v>-0.5373861941970367</v>
      </c>
      <c r="G166" s="170">
        <f t="shared" si="929"/>
        <v>-0.21393335500191202</v>
      </c>
      <c r="H166" s="139"/>
      <c r="I166" s="86"/>
      <c r="J166" s="79">
        <f t="shared" si="930"/>
        <v>1.224</v>
      </c>
    </row>
    <row r="167" spans="5:16" x14ac:dyDescent="0.25">
      <c r="E167" s="170">
        <f t="shared" si="929"/>
        <v>0.79515705371924372</v>
      </c>
      <c r="F167" s="170">
        <f t="shared" si="929"/>
        <v>-0.59101537764852441</v>
      </c>
      <c r="G167" s="170">
        <f t="shared" si="929"/>
        <v>-0.13574270994607424</v>
      </c>
      <c r="H167" s="139"/>
      <c r="I167" s="86"/>
      <c r="J167" s="79">
        <f t="shared" si="930"/>
        <v>1.2310000000000001</v>
      </c>
    </row>
    <row r="168" spans="5:16" x14ac:dyDescent="0.25">
      <c r="E168" s="170">
        <f t="shared" si="929"/>
        <v>0.77990357679651379</v>
      </c>
      <c r="F168" s="170">
        <f t="shared" si="929"/>
        <v>-0.62075494998705283</v>
      </c>
      <c r="G168" s="170">
        <f t="shared" si="929"/>
        <v>-8.008559774751059E-2</v>
      </c>
      <c r="H168" s="139"/>
      <c r="I168" s="86"/>
      <c r="J168" s="79">
        <f t="shared" si="930"/>
        <v>1.238</v>
      </c>
    </row>
    <row r="169" spans="5:16" x14ac:dyDescent="0.25">
      <c r="E169" s="170">
        <f t="shared" si="929"/>
        <v>0.80546295888534936</v>
      </c>
      <c r="F169" s="170">
        <f t="shared" si="929"/>
        <v>-0.59264521209655696</v>
      </c>
      <c r="G169" s="170">
        <f t="shared" si="929"/>
        <v>-1.0365532718101258E-3</v>
      </c>
      <c r="H169" s="139"/>
      <c r="I169" s="86"/>
      <c r="J169" s="79">
        <f t="shared" si="930"/>
        <v>1.2450000000000001</v>
      </c>
    </row>
    <row r="170" spans="5:16" x14ac:dyDescent="0.25">
      <c r="E170" s="170">
        <f t="shared" si="929"/>
        <v>0.64448344272813374</v>
      </c>
      <c r="F170" s="170">
        <f t="shared" si="929"/>
        <v>-0.75642736100337615</v>
      </c>
      <c r="G170" s="170">
        <f t="shared" si="929"/>
        <v>0.111618724122616</v>
      </c>
      <c r="H170" s="139"/>
      <c r="I170" s="86"/>
      <c r="J170" s="79">
        <f t="shared" si="930"/>
        <v>1.5009999999999999</v>
      </c>
    </row>
    <row r="171" spans="5:16" x14ac:dyDescent="0.25">
      <c r="E171" s="170">
        <f t="shared" si="929"/>
        <v>0.42325732318086118</v>
      </c>
      <c r="F171" s="170">
        <f t="shared" si="929"/>
        <v>-0.87476439804686967</v>
      </c>
      <c r="G171" s="170">
        <f t="shared" si="929"/>
        <v>-0.23588235687195847</v>
      </c>
      <c r="H171" s="139"/>
      <c r="I171" s="86"/>
      <c r="J171" s="79">
        <f t="shared" si="930"/>
        <v>2.1160000000000001</v>
      </c>
    </row>
    <row r="172" spans="5:16" x14ac:dyDescent="0.25">
      <c r="E172" s="170">
        <f t="shared" si="929"/>
        <v>0.31617502653859741</v>
      </c>
      <c r="F172" s="170">
        <f t="shared" si="929"/>
        <v>-0.93561870855632367</v>
      </c>
      <c r="G172" s="170">
        <f t="shared" si="929"/>
        <v>-0.15700632086866498</v>
      </c>
      <c r="H172" s="139"/>
      <c r="I172" s="86"/>
      <c r="J172" s="79">
        <f t="shared" si="930"/>
        <v>2.1230000000000002</v>
      </c>
    </row>
    <row r="173" spans="5:16" x14ac:dyDescent="0.25">
      <c r="E173" s="170">
        <f t="shared" si="929"/>
        <v>0.25917768954308917</v>
      </c>
      <c r="F173" s="170">
        <f t="shared" si="929"/>
        <v>-0.96271811966837184</v>
      </c>
      <c r="G173" s="170">
        <f t="shared" si="929"/>
        <v>-7.7464490608927947E-2</v>
      </c>
      <c r="H173" s="139"/>
      <c r="I173" s="86"/>
      <c r="J173" s="79">
        <f t="shared" si="930"/>
        <v>2.13</v>
      </c>
    </row>
    <row r="174" spans="5:16" x14ac:dyDescent="0.25">
      <c r="E174" s="170">
        <f t="shared" ref="E174:G193" si="933">E29*-1</f>
        <v>0.21896819514884586</v>
      </c>
      <c r="F174" s="170">
        <f t="shared" si="933"/>
        <v>-0.97530408781246991</v>
      </c>
      <c r="G174" s="170">
        <f t="shared" si="933"/>
        <v>-2.8894044534175684E-2</v>
      </c>
      <c r="H174" s="139"/>
      <c r="I174" s="86"/>
      <c r="J174" s="79">
        <f t="shared" si="930"/>
        <v>2.137</v>
      </c>
    </row>
    <row r="175" spans="5:16" x14ac:dyDescent="0.25">
      <c r="E175" s="170">
        <f t="shared" si="933"/>
        <v>0.16362569449258796</v>
      </c>
      <c r="F175" s="170">
        <f t="shared" si="933"/>
        <v>-0.98648323583028297</v>
      </c>
      <c r="G175" s="170">
        <f t="shared" si="933"/>
        <v>-8.8009958318761017E-3</v>
      </c>
      <c r="H175" s="139"/>
      <c r="I175" s="86"/>
      <c r="J175" s="79">
        <f t="shared" si="930"/>
        <v>2.1440000000000001</v>
      </c>
    </row>
    <row r="176" spans="5:16" x14ac:dyDescent="0.25">
      <c r="E176" s="170">
        <f t="shared" si="933"/>
        <v>-9.9414485877661468E-3</v>
      </c>
      <c r="F176" s="170">
        <f t="shared" si="933"/>
        <v>-0.99915119152539655</v>
      </c>
      <c r="G176" s="170">
        <f t="shared" si="933"/>
        <v>-3.9975793592589418E-2</v>
      </c>
      <c r="H176" s="139"/>
      <c r="I176" s="86"/>
      <c r="J176" s="79">
        <f t="shared" si="930"/>
        <v>2.1509999999999998</v>
      </c>
    </row>
    <row r="177" spans="5:10" x14ac:dyDescent="0.25">
      <c r="E177" s="170">
        <f t="shared" si="933"/>
        <v>-0.19450772520516652</v>
      </c>
      <c r="F177" s="170">
        <f t="shared" si="933"/>
        <v>-0.97671598119827119</v>
      </c>
      <c r="G177" s="170">
        <f t="shared" si="933"/>
        <v>-9.0513186373090151E-2</v>
      </c>
      <c r="H177" s="139"/>
      <c r="I177" s="86"/>
      <c r="J177" s="79">
        <f t="shared" si="930"/>
        <v>2.1579999999999999</v>
      </c>
    </row>
    <row r="178" spans="5:10" x14ac:dyDescent="0.25">
      <c r="E178" s="170">
        <f t="shared" si="933"/>
        <v>-0.2136349641061755</v>
      </c>
      <c r="F178" s="170">
        <f t="shared" si="933"/>
        <v>-5.8684111749277748E-2</v>
      </c>
      <c r="G178" s="170">
        <f t="shared" si="933"/>
        <v>-0.97514936145164521</v>
      </c>
      <c r="H178" s="139"/>
      <c r="I178" s="86"/>
      <c r="J178" s="79">
        <f t="shared" si="930"/>
        <v>2.2160000000000002</v>
      </c>
    </row>
    <row r="179" spans="5:10" x14ac:dyDescent="0.25">
      <c r="E179" s="170">
        <f t="shared" si="933"/>
        <v>1.9533464641218221E-2</v>
      </c>
      <c r="F179" s="170">
        <f t="shared" si="933"/>
        <v>-0.97359524205645032</v>
      </c>
      <c r="G179" s="170">
        <f t="shared" si="933"/>
        <v>-0.22744394563090106</v>
      </c>
      <c r="H179" s="139"/>
      <c r="I179" s="86"/>
      <c r="J179" s="79">
        <f t="shared" si="930"/>
        <v>2.2229999999999999</v>
      </c>
    </row>
    <row r="180" spans="5:10" x14ac:dyDescent="0.25">
      <c r="E180" s="170">
        <f t="shared" si="933"/>
        <v>-2.8056006973918041E-2</v>
      </c>
      <c r="F180" s="170">
        <f t="shared" si="933"/>
        <v>-0.99026669838283088</v>
      </c>
      <c r="G180" s="170">
        <f t="shared" si="933"/>
        <v>-0.13632581027320931</v>
      </c>
      <c r="H180" s="139"/>
      <c r="I180" s="86"/>
      <c r="J180" s="79">
        <f t="shared" si="930"/>
        <v>2.23</v>
      </c>
    </row>
    <row r="181" spans="5:10" x14ac:dyDescent="0.25">
      <c r="E181" s="170">
        <f t="shared" si="933"/>
        <v>-6.2508854825342533E-2</v>
      </c>
      <c r="F181" s="170">
        <f t="shared" si="933"/>
        <v>-0.99495188532711176</v>
      </c>
      <c r="G181" s="170">
        <f t="shared" si="933"/>
        <v>-7.8507254139029412E-2</v>
      </c>
      <c r="H181" s="139"/>
      <c r="I181" s="86"/>
      <c r="J181" s="79">
        <f t="shared" si="930"/>
        <v>2.2370000000000001</v>
      </c>
    </row>
    <row r="182" spans="5:10" x14ac:dyDescent="0.25">
      <c r="E182" s="170">
        <f t="shared" si="933"/>
        <v>-0.11625719607377721</v>
      </c>
      <c r="F182" s="170">
        <f t="shared" si="933"/>
        <v>-0.99195303458239348</v>
      </c>
      <c r="G182" s="170">
        <f t="shared" si="933"/>
        <v>-5.0134235247427522E-2</v>
      </c>
      <c r="H182" s="139"/>
      <c r="I182" s="86"/>
      <c r="J182" s="79">
        <f t="shared" si="930"/>
        <v>2.2440000000000002</v>
      </c>
    </row>
    <row r="183" spans="5:10" x14ac:dyDescent="0.25">
      <c r="E183" s="170">
        <f t="shared" si="933"/>
        <v>-0.21245737188883029</v>
      </c>
      <c r="F183" s="170">
        <f t="shared" si="933"/>
        <v>-0.97635229249459843</v>
      </c>
      <c r="G183" s="170">
        <f t="shared" si="933"/>
        <v>-3.9975818573651518E-2</v>
      </c>
      <c r="H183" s="139"/>
      <c r="I183" s="86"/>
      <c r="J183" s="79">
        <f t="shared" si="930"/>
        <v>2.2509999999999999</v>
      </c>
    </row>
    <row r="184" spans="5:10" x14ac:dyDescent="0.25">
      <c r="E184" s="170">
        <f t="shared" si="933"/>
        <v>-0.20185354387626067</v>
      </c>
      <c r="F184" s="170">
        <f t="shared" si="933"/>
        <v>-0.94697157464841875</v>
      </c>
      <c r="G184" s="170">
        <f t="shared" si="933"/>
        <v>-0.24999996726497567</v>
      </c>
      <c r="H184" s="139"/>
      <c r="I184" s="86"/>
      <c r="J184" s="79">
        <f t="shared" si="930"/>
        <v>3.1030000000000002</v>
      </c>
    </row>
    <row r="185" spans="5:10" x14ac:dyDescent="0.25">
      <c r="E185" s="170">
        <f t="shared" si="933"/>
        <v>-0.20185354387626067</v>
      </c>
      <c r="F185" s="170">
        <f t="shared" si="933"/>
        <v>-0.94697157464841875</v>
      </c>
      <c r="G185" s="170">
        <f t="shared" si="933"/>
        <v>-0.2499999672649757</v>
      </c>
      <c r="H185" s="139"/>
      <c r="I185" s="86"/>
      <c r="J185" s="79">
        <f t="shared" si="930"/>
        <v>3.1059999999999999</v>
      </c>
    </row>
    <row r="186" spans="5:10" x14ac:dyDescent="0.25">
      <c r="E186" s="170">
        <f t="shared" si="933"/>
        <v>-0.20185354387626067</v>
      </c>
      <c r="F186" s="170">
        <f t="shared" si="933"/>
        <v>-0.94697157464841875</v>
      </c>
      <c r="G186" s="170">
        <f t="shared" si="933"/>
        <v>-0.24999996726497567</v>
      </c>
      <c r="H186" s="139"/>
      <c r="I186" s="86"/>
      <c r="J186" s="79">
        <f t="shared" si="930"/>
        <v>3.109</v>
      </c>
    </row>
    <row r="187" spans="5:10" x14ac:dyDescent="0.25">
      <c r="E187" s="170">
        <f t="shared" si="933"/>
        <v>-0.37653013223832521</v>
      </c>
      <c r="F187" s="170">
        <f t="shared" si="933"/>
        <v>-0.89373097369427623</v>
      </c>
      <c r="G187" s="170">
        <f t="shared" si="933"/>
        <v>-0.24386472925798497</v>
      </c>
      <c r="H187" s="139"/>
      <c r="I187" s="86"/>
      <c r="J187" s="79">
        <f t="shared" si="930"/>
        <v>3.1150000000000002</v>
      </c>
    </row>
    <row r="188" spans="5:10" x14ac:dyDescent="0.25">
      <c r="E188" s="170">
        <f t="shared" si="933"/>
        <v>-0.50222254260282562</v>
      </c>
      <c r="F188" s="170">
        <f t="shared" si="933"/>
        <v>-0.84799821293845257</v>
      </c>
      <c r="G188" s="170">
        <f t="shared" si="933"/>
        <v>-0.16932675085391591</v>
      </c>
      <c r="H188" s="139"/>
      <c r="I188" s="86"/>
      <c r="J188" s="79">
        <f t="shared" si="930"/>
        <v>3.1219999999999999</v>
      </c>
    </row>
    <row r="189" spans="5:10" x14ac:dyDescent="0.25">
      <c r="E189" s="170">
        <f t="shared" si="933"/>
        <v>-0.56526896562321194</v>
      </c>
      <c r="F189" s="170">
        <f t="shared" si="933"/>
        <v>-0.82023516636204574</v>
      </c>
      <c r="G189" s="170">
        <f t="shared" si="933"/>
        <v>-8.7665662412893336E-2</v>
      </c>
      <c r="H189" s="139"/>
      <c r="I189" s="86"/>
      <c r="J189" s="79">
        <f t="shared" si="930"/>
        <v>3.129</v>
      </c>
    </row>
    <row r="190" spans="5:10" x14ac:dyDescent="0.25">
      <c r="E190" s="170">
        <f t="shared" si="933"/>
        <v>-0.60402134396587437</v>
      </c>
      <c r="F190" s="170">
        <f t="shared" si="933"/>
        <v>-0.79616380924848107</v>
      </c>
      <c r="G190" s="170">
        <f t="shared" si="933"/>
        <v>-3.5796716003110268E-2</v>
      </c>
      <c r="H190" s="139"/>
      <c r="I190" s="86"/>
      <c r="J190" s="79">
        <f t="shared" si="930"/>
        <v>3.1360000000000001</v>
      </c>
    </row>
    <row r="191" spans="5:10" x14ac:dyDescent="0.25">
      <c r="E191" s="170">
        <f t="shared" si="933"/>
        <v>-0.64965898495536389</v>
      </c>
      <c r="F191" s="170">
        <f t="shared" si="933"/>
        <v>-0.76011482122889029</v>
      </c>
      <c r="G191" s="170">
        <f t="shared" si="933"/>
        <v>-1.2986986368611677E-2</v>
      </c>
      <c r="H191" s="139"/>
      <c r="I191" s="86"/>
      <c r="J191" s="79">
        <f t="shared" si="930"/>
        <v>3.1429999999999998</v>
      </c>
    </row>
    <row r="192" spans="5:10" x14ac:dyDescent="0.25">
      <c r="E192" s="170">
        <f t="shared" si="933"/>
        <v>-0.74028226335628211</v>
      </c>
      <c r="F192" s="170">
        <f t="shared" si="933"/>
        <v>-0.67193193646849669</v>
      </c>
      <c r="G192" s="170">
        <f t="shared" si="933"/>
        <v>-2.2127885434366196E-2</v>
      </c>
      <c r="H192" s="139"/>
      <c r="I192" s="86"/>
      <c r="J192" s="79">
        <f t="shared" si="930"/>
        <v>3.15</v>
      </c>
    </row>
    <row r="193" spans="5:10" x14ac:dyDescent="0.25">
      <c r="E193" s="170">
        <f t="shared" si="933"/>
        <v>-0.87323494532274115</v>
      </c>
      <c r="F193" s="170">
        <f t="shared" si="933"/>
        <v>-0.47881947888508009</v>
      </c>
      <c r="G193" s="170">
        <f t="shared" si="933"/>
        <v>-9.0513186373090193E-2</v>
      </c>
      <c r="H193" s="139"/>
      <c r="I193" s="86"/>
      <c r="J193" s="79">
        <f t="shared" si="930"/>
        <v>3.157</v>
      </c>
    </row>
    <row r="194" spans="5:10" x14ac:dyDescent="0.25">
      <c r="E194" s="170">
        <f t="shared" ref="E194:G213" si="934">E49*-1</f>
        <v>-0.13764587115959748</v>
      </c>
      <c r="F194" s="170">
        <f t="shared" si="934"/>
        <v>9.7171379838929692E-2</v>
      </c>
      <c r="G194" s="170">
        <f t="shared" si="934"/>
        <v>-0.98570347320728968</v>
      </c>
      <c r="H194" s="139"/>
      <c r="I194" s="86"/>
      <c r="J194" s="79">
        <f t="shared" si="930"/>
        <v>3.2149999999999999</v>
      </c>
    </row>
    <row r="195" spans="5:10" x14ac:dyDescent="0.25">
      <c r="E195" s="170">
        <f t="shared" si="934"/>
        <v>-0.72397232318963944</v>
      </c>
      <c r="F195" s="170">
        <f t="shared" si="934"/>
        <v>-0.64617879852865401</v>
      </c>
      <c r="G195" s="170">
        <f t="shared" si="934"/>
        <v>-0.24148920387351006</v>
      </c>
      <c r="H195" s="139"/>
      <c r="I195" s="86"/>
      <c r="J195" s="79">
        <f t="shared" si="930"/>
        <v>3.222</v>
      </c>
    </row>
    <row r="196" spans="5:10" x14ac:dyDescent="0.25">
      <c r="E196" s="170">
        <f t="shared" si="934"/>
        <v>-0.77241322333889839</v>
      </c>
      <c r="F196" s="170">
        <f t="shared" si="934"/>
        <v>-0.61762468762562162</v>
      </c>
      <c r="G196" s="170">
        <f t="shared" si="934"/>
        <v>-0.14804579577470781</v>
      </c>
      <c r="H196" s="139"/>
      <c r="I196" s="86"/>
      <c r="J196" s="79">
        <f t="shared" si="930"/>
        <v>3.2290000000000001</v>
      </c>
    </row>
    <row r="197" spans="5:10" x14ac:dyDescent="0.25">
      <c r="E197" s="170">
        <f t="shared" si="934"/>
        <v>-0.80069443947430308</v>
      </c>
      <c r="F197" s="170">
        <f t="shared" si="934"/>
        <v>-0.59280396997179607</v>
      </c>
      <c r="G197" s="170">
        <f t="shared" si="934"/>
        <v>-8.6439966338550583E-2</v>
      </c>
      <c r="H197" s="139"/>
      <c r="I197" s="86"/>
      <c r="J197" s="79">
        <f t="shared" si="930"/>
        <v>3.2360000000000002</v>
      </c>
    </row>
    <row r="198" spans="5:10" x14ac:dyDescent="0.25">
      <c r="E198" s="170">
        <f t="shared" si="934"/>
        <v>-0.83400944357229401</v>
      </c>
      <c r="F198" s="170">
        <f t="shared" si="934"/>
        <v>-0.54900976235777321</v>
      </c>
      <c r="G198" s="170">
        <f t="shared" si="934"/>
        <v>-5.4922935719914467E-2</v>
      </c>
      <c r="H198" s="139"/>
      <c r="I198" s="86"/>
      <c r="J198" s="79">
        <f t="shared" si="930"/>
        <v>3.2429999999999999</v>
      </c>
    </row>
    <row r="199" spans="5:10" x14ac:dyDescent="0.25">
      <c r="E199" s="170">
        <f t="shared" si="934"/>
        <v>-0.86155377196879901</v>
      </c>
      <c r="F199" s="170">
        <f t="shared" si="934"/>
        <v>-0.50718384705538921</v>
      </c>
      <c r="G199" s="170">
        <f t="shared" si="934"/>
        <v>-2.2127884951576388E-2</v>
      </c>
      <c r="H199" s="139"/>
      <c r="I199" s="86"/>
      <c r="J199" s="79">
        <f t="shared" si="930"/>
        <v>3.25</v>
      </c>
    </row>
    <row r="200" spans="5:10" x14ac:dyDescent="0.25">
      <c r="E200" s="170">
        <f t="shared" si="934"/>
        <v>-0.95177337539615925</v>
      </c>
      <c r="F200" s="170">
        <f t="shared" si="934"/>
        <v>-0.1772107982109834</v>
      </c>
      <c r="G200" s="170">
        <f t="shared" si="934"/>
        <v>-0.25044714988282085</v>
      </c>
      <c r="H200" s="139"/>
      <c r="I200" s="86"/>
      <c r="J200" s="79">
        <f t="shared" si="930"/>
        <v>4.1139999999999999</v>
      </c>
    </row>
    <row r="201" spans="5:10" x14ac:dyDescent="0.25">
      <c r="E201" s="170">
        <f t="shared" si="934"/>
        <v>-0.98252434176876902</v>
      </c>
      <c r="F201" s="170">
        <f t="shared" si="934"/>
        <v>-3.9645106990545048E-2</v>
      </c>
      <c r="G201" s="170">
        <f t="shared" si="934"/>
        <v>-0.181863089502943</v>
      </c>
      <c r="H201" s="139"/>
      <c r="I201" s="86"/>
      <c r="J201" s="79">
        <f t="shared" si="930"/>
        <v>4.1210000000000004</v>
      </c>
    </row>
    <row r="202" spans="5:10" x14ac:dyDescent="0.25">
      <c r="E202" s="170">
        <f t="shared" si="934"/>
        <v>-0.99440029688085896</v>
      </c>
      <c r="F202" s="170">
        <f t="shared" si="934"/>
        <v>3.7511409666740721E-2</v>
      </c>
      <c r="G202" s="170">
        <f t="shared" si="934"/>
        <v>-9.8797488369257419E-2</v>
      </c>
      <c r="H202" s="139"/>
      <c r="I202" s="86"/>
      <c r="J202" s="79">
        <f t="shared" si="930"/>
        <v>4.1280000000000001</v>
      </c>
    </row>
    <row r="203" spans="5:10" x14ac:dyDescent="0.25">
      <c r="E203" s="170">
        <f t="shared" si="934"/>
        <v>-0.99525381012611303</v>
      </c>
      <c r="F203" s="170">
        <f t="shared" si="934"/>
        <v>8.7109591838507749E-2</v>
      </c>
      <c r="G203" s="170">
        <f t="shared" si="934"/>
        <v>-4.3379401092957313E-2</v>
      </c>
      <c r="H203" s="139"/>
      <c r="I203" s="86"/>
      <c r="J203" s="79">
        <f t="shared" si="930"/>
        <v>4.1349999999999998</v>
      </c>
    </row>
    <row r="204" spans="5:10" x14ac:dyDescent="0.25">
      <c r="E204" s="170">
        <f t="shared" si="934"/>
        <v>-0.99118531608889915</v>
      </c>
      <c r="F204" s="170">
        <f t="shared" si="934"/>
        <v>0.13215615377333154</v>
      </c>
      <c r="G204" s="170">
        <f t="shared" si="934"/>
        <v>-9.2962459944161014E-3</v>
      </c>
      <c r="H204" s="139"/>
      <c r="I204" s="86"/>
      <c r="J204" s="79">
        <f t="shared" si="930"/>
        <v>4.1420000000000003</v>
      </c>
    </row>
    <row r="205" spans="5:10" x14ac:dyDescent="0.25">
      <c r="E205" s="170">
        <f t="shared" si="934"/>
        <v>-0.97416633720969914</v>
      </c>
      <c r="F205" s="170">
        <f t="shared" si="934"/>
        <v>0.22560231318584362</v>
      </c>
      <c r="G205" s="170">
        <f t="shared" si="934"/>
        <v>-1.0175644089459826E-2</v>
      </c>
      <c r="H205" s="139"/>
      <c r="I205" s="86"/>
      <c r="J205" s="79">
        <f t="shared" si="930"/>
        <v>4.149</v>
      </c>
    </row>
    <row r="206" spans="5:10" x14ac:dyDescent="0.25">
      <c r="E206" s="170">
        <f t="shared" si="934"/>
        <v>-0.86880603834973025</v>
      </c>
      <c r="F206" s="170">
        <f t="shared" si="934"/>
        <v>0.48680943994507464</v>
      </c>
      <c r="G206" s="170">
        <f t="shared" si="934"/>
        <v>-9.0513186373090207E-2</v>
      </c>
      <c r="H206" s="139"/>
      <c r="I206" s="86"/>
      <c r="J206" s="79">
        <f t="shared" si="930"/>
        <v>4.1559999999999997</v>
      </c>
    </row>
    <row r="207" spans="5:10" x14ac:dyDescent="0.25">
      <c r="E207" s="170">
        <f t="shared" si="934"/>
        <v>7.6599479004183565E-3</v>
      </c>
      <c r="F207" s="170">
        <f t="shared" si="934"/>
        <v>0.11294374316880483</v>
      </c>
      <c r="G207" s="170">
        <f t="shared" si="934"/>
        <v>-0.99357185753078869</v>
      </c>
      <c r="H207" s="139"/>
      <c r="I207" s="86"/>
      <c r="J207" s="79">
        <f t="shared" si="930"/>
        <v>4.2140000000000004</v>
      </c>
    </row>
    <row r="208" spans="5:10" x14ac:dyDescent="0.25">
      <c r="E208" s="170">
        <f t="shared" si="934"/>
        <v>-0.93126420681530386</v>
      </c>
      <c r="F208" s="170">
        <f t="shared" si="934"/>
        <v>0.25948104877895306</v>
      </c>
      <c r="G208" s="170">
        <f t="shared" si="934"/>
        <v>-0.25576661711262799</v>
      </c>
      <c r="H208" s="139"/>
      <c r="I208" s="86"/>
      <c r="J208" s="79">
        <f t="shared" si="930"/>
        <v>4.2210000000000001</v>
      </c>
    </row>
    <row r="209" spans="5:10" x14ac:dyDescent="0.25">
      <c r="E209" s="170">
        <f t="shared" si="934"/>
        <v>-0.93301430363431737</v>
      </c>
      <c r="F209" s="170">
        <f t="shared" si="934"/>
        <v>0.32188884365968073</v>
      </c>
      <c r="G209" s="170">
        <f t="shared" si="934"/>
        <v>-0.16084738586997185</v>
      </c>
      <c r="H209" s="139"/>
      <c r="I209" s="86"/>
      <c r="J209" s="79">
        <f t="shared" si="930"/>
        <v>4.2279999999999998</v>
      </c>
    </row>
    <row r="210" spans="5:10" x14ac:dyDescent="0.25">
      <c r="E210" s="170">
        <f t="shared" si="934"/>
        <v>-0.92711118786061186</v>
      </c>
      <c r="F210" s="170">
        <f t="shared" si="934"/>
        <v>0.36250626121941787</v>
      </c>
      <c r="G210" s="170">
        <f t="shared" si="934"/>
        <v>-9.515280300865786E-2</v>
      </c>
      <c r="H210" s="139"/>
      <c r="I210" s="86"/>
      <c r="J210" s="79">
        <f t="shared" si="930"/>
        <v>4.2350000000000003</v>
      </c>
    </row>
    <row r="211" spans="5:10" x14ac:dyDescent="0.25">
      <c r="E211" s="170">
        <f t="shared" si="934"/>
        <v>-0.91417305974986873</v>
      </c>
      <c r="F211" s="170">
        <f t="shared" si="934"/>
        <v>0.40194376108046487</v>
      </c>
      <c r="G211" s="170">
        <f t="shared" si="934"/>
        <v>-5.2238202075235926E-2</v>
      </c>
      <c r="H211" s="139"/>
      <c r="I211" s="86"/>
      <c r="J211" s="79">
        <f t="shared" si="930"/>
        <v>4.242</v>
      </c>
    </row>
    <row r="212" spans="5:10" x14ac:dyDescent="0.25">
      <c r="E212" s="170">
        <f t="shared" si="934"/>
        <v>-0.9078521076322329</v>
      </c>
      <c r="F212" s="170">
        <f t="shared" si="934"/>
        <v>0.41916703768128288</v>
      </c>
      <c r="G212" s="170">
        <f t="shared" si="934"/>
        <v>-1.0175715660859978E-2</v>
      </c>
      <c r="H212" s="139"/>
      <c r="I212" s="86"/>
      <c r="J212" s="79">
        <f t="shared" si="930"/>
        <v>4.2489999999999997</v>
      </c>
    </row>
    <row r="213" spans="5:10" x14ac:dyDescent="0.25">
      <c r="E213" s="170">
        <f t="shared" si="934"/>
        <v>-0.87000979118672284</v>
      </c>
      <c r="F213" s="170">
        <f t="shared" si="934"/>
        <v>0.42495056136772674</v>
      </c>
      <c r="G213" s="170">
        <f t="shared" si="934"/>
        <v>-0.24999996726497564</v>
      </c>
      <c r="H213" s="139"/>
      <c r="I213" s="86"/>
      <c r="J213" s="79">
        <f t="shared" si="930"/>
        <v>5.1020000000000003</v>
      </c>
    </row>
    <row r="214" spans="5:10" x14ac:dyDescent="0.25">
      <c r="E214" s="170">
        <f t="shared" ref="E214:G233" si="935">E69*-1</f>
        <v>-0.87000979118672295</v>
      </c>
      <c r="F214" s="170">
        <f t="shared" si="935"/>
        <v>0.42495056136772658</v>
      </c>
      <c r="G214" s="170">
        <f t="shared" si="935"/>
        <v>-0.24999996726497559</v>
      </c>
      <c r="H214" s="139"/>
      <c r="I214" s="86"/>
      <c r="J214" s="79">
        <f t="shared" si="930"/>
        <v>5.1050000000000004</v>
      </c>
    </row>
    <row r="215" spans="5:10" x14ac:dyDescent="0.25">
      <c r="E215" s="170">
        <f t="shared" si="935"/>
        <v>-0.87000979118672284</v>
      </c>
      <c r="F215" s="170">
        <f t="shared" si="935"/>
        <v>0.42495056136772685</v>
      </c>
      <c r="G215" s="170">
        <f t="shared" si="935"/>
        <v>-0.24999996726497567</v>
      </c>
      <c r="H215" s="139"/>
      <c r="I215" s="86"/>
      <c r="J215" s="79">
        <f t="shared" si="930"/>
        <v>5.1079999999999997</v>
      </c>
    </row>
    <row r="216" spans="5:10" x14ac:dyDescent="0.25">
      <c r="E216" s="170">
        <f t="shared" si="935"/>
        <v>-0.80121620233676671</v>
      </c>
      <c r="F216" s="170">
        <f t="shared" si="935"/>
        <v>0.54115287954000213</v>
      </c>
      <c r="G216" s="170">
        <f t="shared" si="935"/>
        <v>-0.25535496485992482</v>
      </c>
      <c r="H216" s="139"/>
      <c r="I216" s="86"/>
      <c r="J216" s="79">
        <f t="shared" si="930"/>
        <v>5.1130000000000004</v>
      </c>
    </row>
    <row r="217" spans="5:10" x14ac:dyDescent="0.25">
      <c r="E217" s="170">
        <f t="shared" si="935"/>
        <v>-0.72025418044046341</v>
      </c>
      <c r="F217" s="170">
        <f t="shared" si="935"/>
        <v>0.66611787107133313</v>
      </c>
      <c r="G217" s="170">
        <f t="shared" si="935"/>
        <v>-0.19370311664356679</v>
      </c>
      <c r="H217" s="139"/>
      <c r="I217" s="86"/>
      <c r="J217" s="79">
        <f t="shared" si="930"/>
        <v>5.12</v>
      </c>
    </row>
    <row r="218" spans="5:10" x14ac:dyDescent="0.25">
      <c r="E218" s="170">
        <f t="shared" si="935"/>
        <v>-0.66881738747605335</v>
      </c>
      <c r="F218" s="170">
        <f t="shared" si="935"/>
        <v>0.7352702990036899</v>
      </c>
      <c r="G218" s="170">
        <f t="shared" si="935"/>
        <v>-0.10982208162628829</v>
      </c>
      <c r="H218" s="139"/>
      <c r="I218" s="86"/>
      <c r="J218" s="79">
        <f t="shared" si="930"/>
        <v>5.1269999999999998</v>
      </c>
    </row>
    <row r="219" spans="5:10" x14ac:dyDescent="0.25">
      <c r="E219" s="170">
        <f t="shared" si="935"/>
        <v>-0.63129322604346083</v>
      </c>
      <c r="F219" s="170">
        <f t="shared" si="935"/>
        <v>0.77382560890323526</v>
      </c>
      <c r="G219" s="170">
        <f t="shared" si="935"/>
        <v>-5.1602226281210112E-2</v>
      </c>
      <c r="H219" s="139"/>
      <c r="I219" s="86"/>
      <c r="J219" s="79">
        <f t="shared" ref="J219:J282" si="936">J74</f>
        <v>5.1340000000000003</v>
      </c>
    </row>
    <row r="220" spans="5:10" x14ac:dyDescent="0.25">
      <c r="E220" s="170">
        <f t="shared" si="935"/>
        <v>-0.59460597759442113</v>
      </c>
      <c r="F220" s="170">
        <f t="shared" si="935"/>
        <v>0.80387997189014126</v>
      </c>
      <c r="G220" s="170">
        <f t="shared" si="935"/>
        <v>-1.4856722481370262E-2</v>
      </c>
      <c r="H220" s="139"/>
      <c r="I220" s="86"/>
      <c r="J220" s="79">
        <f t="shared" si="936"/>
        <v>5.141</v>
      </c>
    </row>
    <row r="221" spans="5:10" x14ac:dyDescent="0.25">
      <c r="E221" s="170">
        <f t="shared" si="935"/>
        <v>-0.54111478235720833</v>
      </c>
      <c r="F221" s="170">
        <f t="shared" si="935"/>
        <v>0.84094140995457445</v>
      </c>
      <c r="G221" s="170">
        <f t="shared" si="935"/>
        <v>-3.512454714816204E-3</v>
      </c>
      <c r="H221" s="139"/>
      <c r="I221" s="86"/>
      <c r="J221" s="79">
        <f t="shared" si="936"/>
        <v>5.1479999999999997</v>
      </c>
    </row>
    <row r="222" spans="5:10" x14ac:dyDescent="0.25">
      <c r="E222" s="170">
        <f t="shared" si="935"/>
        <v>-0.25334210141110469</v>
      </c>
      <c r="F222" s="170">
        <f t="shared" si="935"/>
        <v>0.9631329804005021</v>
      </c>
      <c r="G222" s="170">
        <f t="shared" si="935"/>
        <v>-9.0513212944031557E-2</v>
      </c>
      <c r="H222" s="139"/>
      <c r="I222" s="86"/>
      <c r="J222" s="79">
        <f t="shared" si="936"/>
        <v>5.1550000000000002</v>
      </c>
    </row>
    <row r="223" spans="5:10" x14ac:dyDescent="0.25">
      <c r="E223" s="170">
        <f t="shared" si="935"/>
        <v>4.4500706578698028E-2</v>
      </c>
      <c r="F223" s="170">
        <f t="shared" si="935"/>
        <v>3.6514426711286123E-2</v>
      </c>
      <c r="G223" s="170">
        <f t="shared" si="935"/>
        <v>-0.99834181709269432</v>
      </c>
      <c r="H223" s="139"/>
      <c r="I223" s="86"/>
      <c r="J223" s="79">
        <f t="shared" si="936"/>
        <v>5.2130000000000001</v>
      </c>
    </row>
    <row r="224" spans="5:10" x14ac:dyDescent="0.25">
      <c r="E224" s="170">
        <f t="shared" si="935"/>
        <v>-0.46894793193864276</v>
      </c>
      <c r="F224" s="170">
        <f t="shared" si="935"/>
        <v>0.84119827241918477</v>
      </c>
      <c r="G224" s="170">
        <f t="shared" si="935"/>
        <v>-0.26920866183956493</v>
      </c>
      <c r="H224" s="139"/>
      <c r="I224" s="86"/>
      <c r="J224" s="79">
        <f t="shared" si="936"/>
        <v>5.22</v>
      </c>
    </row>
    <row r="225" spans="5:10" x14ac:dyDescent="0.25">
      <c r="E225" s="170">
        <f t="shared" si="935"/>
        <v>-0.42102554654437963</v>
      </c>
      <c r="F225" s="170">
        <f t="shared" si="935"/>
        <v>0.89030256687514897</v>
      </c>
      <c r="G225" s="170">
        <f t="shared" si="935"/>
        <v>-0.17349013969827634</v>
      </c>
      <c r="H225" s="139"/>
      <c r="I225" s="86"/>
      <c r="J225" s="79">
        <f t="shared" si="936"/>
        <v>5.2270000000000003</v>
      </c>
    </row>
    <row r="226" spans="5:10" x14ac:dyDescent="0.25">
      <c r="E226" s="170">
        <f t="shared" si="935"/>
        <v>-0.38531063683235223</v>
      </c>
      <c r="F226" s="170">
        <f t="shared" si="935"/>
        <v>0.9168393444973354</v>
      </c>
      <c r="G226" s="170">
        <f t="shared" si="935"/>
        <v>-0.10460081034840929</v>
      </c>
      <c r="H226" s="139"/>
      <c r="I226" s="86"/>
      <c r="J226" s="79">
        <f t="shared" si="936"/>
        <v>5.234</v>
      </c>
    </row>
    <row r="227" spans="5:10" x14ac:dyDescent="0.25">
      <c r="E227" s="170">
        <f t="shared" si="935"/>
        <v>-0.34672772840522875</v>
      </c>
      <c r="F227" s="170">
        <f t="shared" si="935"/>
        <v>0.93613117988397143</v>
      </c>
      <c r="G227" s="170">
        <f t="shared" si="935"/>
        <v>-5.8636988360534902E-2</v>
      </c>
      <c r="H227" s="139"/>
      <c r="I227" s="86"/>
      <c r="J227" s="79">
        <f t="shared" si="936"/>
        <v>5.2409999999999997</v>
      </c>
    </row>
    <row r="228" spans="5:10" x14ac:dyDescent="0.25">
      <c r="E228" s="170">
        <f t="shared" si="935"/>
        <v>-0.35852039974886407</v>
      </c>
      <c r="F228" s="170">
        <f t="shared" si="935"/>
        <v>0.93351528408322115</v>
      </c>
      <c r="G228" s="170">
        <f t="shared" si="935"/>
        <v>-3.5124559694951485E-3</v>
      </c>
      <c r="H228" s="139"/>
      <c r="I228" s="86"/>
      <c r="J228" s="79">
        <f t="shared" si="936"/>
        <v>5.2480000000000002</v>
      </c>
    </row>
    <row r="229" spans="5:10" x14ac:dyDescent="0.25">
      <c r="E229" s="170">
        <f t="shared" si="935"/>
        <v>-5.766860916532765E-2</v>
      </c>
      <c r="F229" s="170">
        <f t="shared" si="935"/>
        <v>0.96425679466327729</v>
      </c>
      <c r="G229" s="170">
        <f t="shared" si="935"/>
        <v>-0.25861779803918983</v>
      </c>
      <c r="H229" s="139"/>
      <c r="I229" s="86"/>
      <c r="J229" s="79">
        <f t="shared" si="936"/>
        <v>6.1120000000000001</v>
      </c>
    </row>
    <row r="230" spans="5:10" x14ac:dyDescent="0.25">
      <c r="E230" s="170">
        <f t="shared" si="935"/>
        <v>9.7857562395624778E-2</v>
      </c>
      <c r="F230" s="170">
        <f t="shared" si="935"/>
        <v>0.97376980783558731</v>
      </c>
      <c r="G230" s="170">
        <f t="shared" si="935"/>
        <v>-0.20541727977419474</v>
      </c>
      <c r="H230" s="139"/>
      <c r="I230" s="86"/>
      <c r="J230" s="79">
        <f t="shared" si="936"/>
        <v>6.1189999999999998</v>
      </c>
    </row>
    <row r="231" spans="5:10" x14ac:dyDescent="0.25">
      <c r="E231" s="170">
        <f t="shared" si="935"/>
        <v>0.18879638683661812</v>
      </c>
      <c r="F231" s="170">
        <f t="shared" si="935"/>
        <v>0.97339657872709395</v>
      </c>
      <c r="G231" s="170">
        <f t="shared" si="935"/>
        <v>-0.12982690337455682</v>
      </c>
      <c r="H231" s="139"/>
      <c r="I231" s="86"/>
      <c r="J231" s="79">
        <f t="shared" si="936"/>
        <v>6.1260000000000003</v>
      </c>
    </row>
    <row r="232" spans="5:10" x14ac:dyDescent="0.25">
      <c r="E232" s="170">
        <f t="shared" si="935"/>
        <v>0.24949443581565467</v>
      </c>
      <c r="F232" s="170">
        <f t="shared" si="935"/>
        <v>0.96606032180573331</v>
      </c>
      <c r="G232" s="170">
        <f t="shared" si="935"/>
        <v>-6.6932661157549742E-2</v>
      </c>
      <c r="H232" s="139"/>
      <c r="I232" s="86"/>
      <c r="J232" s="79">
        <f t="shared" si="936"/>
        <v>6.133</v>
      </c>
    </row>
    <row r="233" spans="5:10" x14ac:dyDescent="0.25">
      <c r="E233" s="170">
        <f t="shared" si="935"/>
        <v>0.2991873878398596</v>
      </c>
      <c r="F233" s="170">
        <f t="shared" si="935"/>
        <v>0.95397286529100844</v>
      </c>
      <c r="G233" s="170">
        <f t="shared" si="935"/>
        <v>-2.0559164526438203E-2</v>
      </c>
      <c r="H233" s="139"/>
      <c r="I233" s="86"/>
      <c r="J233" s="79">
        <f t="shared" si="936"/>
        <v>6.14</v>
      </c>
    </row>
    <row r="234" spans="5:10" x14ac:dyDescent="0.25">
      <c r="E234" s="170">
        <f t="shared" ref="E234:G253" si="937">E89*-1</f>
        <v>0.33325430154410651</v>
      </c>
      <c r="F234" s="170">
        <f t="shared" si="937"/>
        <v>0.94282696881310202</v>
      </c>
      <c r="G234" s="170">
        <f t="shared" si="937"/>
        <v>4.3448108184196005E-3</v>
      </c>
      <c r="H234" s="139"/>
      <c r="I234" s="86"/>
      <c r="J234" s="79">
        <f t="shared" si="936"/>
        <v>6.1470000000000002</v>
      </c>
    </row>
    <row r="235" spans="5:10" x14ac:dyDescent="0.25">
      <c r="E235" s="170">
        <f t="shared" si="937"/>
        <v>0.63028009306745103</v>
      </c>
      <c r="F235" s="170">
        <f t="shared" si="937"/>
        <v>0.77107351307474814</v>
      </c>
      <c r="G235" s="170">
        <f t="shared" si="937"/>
        <v>-9.0513212944031474E-2</v>
      </c>
      <c r="H235" s="139"/>
      <c r="I235" s="86"/>
      <c r="J235" s="79">
        <f t="shared" si="936"/>
        <v>6.1539999999999999</v>
      </c>
    </row>
    <row r="236" spans="5:10" x14ac:dyDescent="0.25">
      <c r="E236" s="170">
        <f t="shared" si="937"/>
        <v>6.0554175225336705E-8</v>
      </c>
      <c r="F236" s="170">
        <f t="shared" si="937"/>
        <v>2.1856147196361592E-7</v>
      </c>
      <c r="G236" s="170">
        <f t="shared" si="937"/>
        <v>-0.99999999999997435</v>
      </c>
      <c r="H236" s="139"/>
      <c r="I236" s="86"/>
      <c r="J236" s="79">
        <f t="shared" si="936"/>
        <v>6.2119999999999997</v>
      </c>
    </row>
    <row r="237" spans="5:10" x14ac:dyDescent="0.25">
      <c r="E237" s="170">
        <f t="shared" si="937"/>
        <v>0.39131306896787682</v>
      </c>
      <c r="F237" s="170">
        <f t="shared" si="937"/>
        <v>0.87582776048329747</v>
      </c>
      <c r="G237" s="170">
        <f t="shared" si="937"/>
        <v>-0.28248861219835658</v>
      </c>
      <c r="H237" s="139"/>
      <c r="I237" s="86"/>
      <c r="J237" s="79">
        <f t="shared" si="936"/>
        <v>6.2190000000000003</v>
      </c>
    </row>
    <row r="238" spans="5:10" x14ac:dyDescent="0.25">
      <c r="E238" s="170">
        <f t="shared" si="937"/>
        <v>0.45958486619895345</v>
      </c>
      <c r="F238" s="170">
        <f t="shared" si="937"/>
        <v>0.8660597306990705</v>
      </c>
      <c r="G238" s="170">
        <f t="shared" si="937"/>
        <v>-0.19677980999671654</v>
      </c>
      <c r="H238" s="139"/>
      <c r="I238" s="86"/>
      <c r="J238" s="79">
        <f t="shared" si="936"/>
        <v>6.226</v>
      </c>
    </row>
    <row r="239" spans="5:10" x14ac:dyDescent="0.25">
      <c r="E239" s="170">
        <f t="shared" si="937"/>
        <v>0.5096260385371667</v>
      </c>
      <c r="F239" s="170">
        <f t="shared" si="937"/>
        <v>0.85162928533457971</v>
      </c>
      <c r="G239" s="170">
        <f t="shared" si="937"/>
        <v>-0.12251065751773338</v>
      </c>
      <c r="H239" s="139"/>
      <c r="I239" s="86"/>
      <c r="J239" s="79">
        <f t="shared" si="936"/>
        <v>6.2329999999999997</v>
      </c>
    </row>
    <row r="240" spans="5:10" x14ac:dyDescent="0.25">
      <c r="E240" s="170">
        <f t="shared" si="937"/>
        <v>0.55237217549225603</v>
      </c>
      <c r="F240" s="170">
        <f t="shared" si="937"/>
        <v>0.83104599662995327</v>
      </c>
      <c r="G240" s="170">
        <f t="shared" si="937"/>
        <v>-6.5173086679089581E-2</v>
      </c>
      <c r="H240" s="139"/>
      <c r="I240" s="86"/>
      <c r="J240" s="79">
        <f t="shared" si="936"/>
        <v>6.24</v>
      </c>
    </row>
    <row r="241" spans="5:10" x14ac:dyDescent="0.25">
      <c r="E241" s="170">
        <f t="shared" si="937"/>
        <v>0.51828196628914724</v>
      </c>
      <c r="F241" s="170">
        <f t="shared" si="937"/>
        <v>0.85519876435743802</v>
      </c>
      <c r="G241" s="170">
        <f t="shared" si="937"/>
        <v>4.3447509671573356E-3</v>
      </c>
      <c r="H241" s="139"/>
      <c r="I241" s="86"/>
      <c r="J241" s="79">
        <f t="shared" si="936"/>
        <v>6.2469999999999999</v>
      </c>
    </row>
    <row r="242" spans="5:10" x14ac:dyDescent="0.25">
      <c r="E242" s="170">
        <f t="shared" si="937"/>
        <v>0.69493303680508511</v>
      </c>
      <c r="F242" s="170">
        <f t="shared" si="937"/>
        <v>0.67092919693287245</v>
      </c>
      <c r="G242" s="170">
        <f t="shared" si="937"/>
        <v>-0.25869303635752017</v>
      </c>
      <c r="H242" s="139"/>
      <c r="I242" s="86"/>
      <c r="J242" s="79">
        <f t="shared" si="936"/>
        <v>7.1109999999999998</v>
      </c>
    </row>
    <row r="243" spans="5:10" x14ac:dyDescent="0.25">
      <c r="E243" s="170">
        <f t="shared" si="937"/>
        <v>0.79609921277226026</v>
      </c>
      <c r="F243" s="170">
        <f t="shared" si="937"/>
        <v>0.56512288965445667</v>
      </c>
      <c r="G243" s="170">
        <f t="shared" si="937"/>
        <v>-0.21647670316222098</v>
      </c>
      <c r="H243" s="139"/>
      <c r="I243" s="86"/>
      <c r="J243" s="79">
        <f t="shared" si="936"/>
        <v>7.1180000000000003</v>
      </c>
    </row>
    <row r="244" spans="5:10" x14ac:dyDescent="0.25">
      <c r="E244" s="170">
        <f t="shared" si="937"/>
        <v>0.86389580934551435</v>
      </c>
      <c r="F244" s="170">
        <f t="shared" si="937"/>
        <v>0.48583928280856853</v>
      </c>
      <c r="G244" s="170">
        <f t="shared" si="937"/>
        <v>-0.13283155451666867</v>
      </c>
      <c r="H244" s="139"/>
      <c r="I244" s="86"/>
      <c r="J244" s="79">
        <f t="shared" si="936"/>
        <v>7.125</v>
      </c>
    </row>
    <row r="245" spans="5:10" x14ac:dyDescent="0.25">
      <c r="E245" s="170">
        <f t="shared" si="937"/>
        <v>0.89883806230062424</v>
      </c>
      <c r="F245" s="170">
        <f t="shared" si="937"/>
        <v>0.4327628045439717</v>
      </c>
      <c r="G245" s="170">
        <f t="shared" si="937"/>
        <v>-6.9328873947982358E-2</v>
      </c>
      <c r="H245" s="139"/>
      <c r="I245" s="86"/>
      <c r="J245" s="79">
        <f t="shared" si="936"/>
        <v>7.1319999999999997</v>
      </c>
    </row>
    <row r="246" spans="5:10" x14ac:dyDescent="0.25">
      <c r="E246" s="170">
        <f t="shared" si="937"/>
        <v>0.91663257507890594</v>
      </c>
      <c r="F246" s="170">
        <f t="shared" si="937"/>
        <v>0.39930653867095089</v>
      </c>
      <c r="G246" s="170">
        <f t="shared" si="937"/>
        <v>-1.8412237203513648E-2</v>
      </c>
      <c r="H246" s="139"/>
      <c r="I246" s="86"/>
      <c r="J246" s="79">
        <f t="shared" si="936"/>
        <v>7.1390000000000002</v>
      </c>
    </row>
    <row r="247" spans="5:10" x14ac:dyDescent="0.25">
      <c r="E247" s="170">
        <f t="shared" si="937"/>
        <v>0.93647094698190347</v>
      </c>
      <c r="F247" s="170">
        <f t="shared" si="937"/>
        <v>0.35073734100260734</v>
      </c>
      <c r="G247" s="170">
        <f t="shared" si="937"/>
        <v>-2.3415988635736851E-3</v>
      </c>
      <c r="H247" s="139"/>
      <c r="I247" s="86"/>
      <c r="J247" s="79">
        <f t="shared" si="936"/>
        <v>7.1459999999999999</v>
      </c>
    </row>
    <row r="248" spans="5:10" x14ac:dyDescent="0.25">
      <c r="E248" s="170">
        <f t="shared" si="937"/>
        <v>0.99581281128306864</v>
      </c>
      <c r="F248" s="170">
        <f t="shared" si="937"/>
        <v>1.2814178360701534E-2</v>
      </c>
      <c r="G248" s="170">
        <f t="shared" si="937"/>
        <v>-9.0513212944031571E-2</v>
      </c>
      <c r="H248" s="139"/>
      <c r="I248" s="86"/>
      <c r="J248" s="79">
        <f t="shared" si="936"/>
        <v>7.1529999999999996</v>
      </c>
    </row>
    <row r="249" spans="5:10" x14ac:dyDescent="0.25">
      <c r="E249" s="170">
        <f t="shared" si="937"/>
        <v>0.91491069000499836</v>
      </c>
      <c r="F249" s="170">
        <f t="shared" si="937"/>
        <v>0.27553495326706756</v>
      </c>
      <c r="G249" s="170">
        <f t="shared" si="937"/>
        <v>-0.29498969277365056</v>
      </c>
      <c r="H249" s="139"/>
      <c r="I249" s="86"/>
      <c r="J249" s="79">
        <f t="shared" si="936"/>
        <v>7.218</v>
      </c>
    </row>
    <row r="250" spans="5:10" x14ac:dyDescent="0.25">
      <c r="E250" s="170">
        <f t="shared" si="937"/>
        <v>0.95797204005280823</v>
      </c>
      <c r="F250" s="170">
        <f t="shared" si="937"/>
        <v>0.20581077842370396</v>
      </c>
      <c r="G250" s="170">
        <f t="shared" si="937"/>
        <v>-0.19982866151203144</v>
      </c>
      <c r="H250" s="139"/>
      <c r="I250" s="86"/>
      <c r="J250" s="79">
        <f t="shared" si="936"/>
        <v>7.2249999999999996</v>
      </c>
    </row>
    <row r="251" spans="5:10" x14ac:dyDescent="0.25">
      <c r="E251" s="170">
        <f t="shared" si="937"/>
        <v>0.97951154900118165</v>
      </c>
      <c r="F251" s="170">
        <f t="shared" si="937"/>
        <v>0.15795012977341544</v>
      </c>
      <c r="G251" s="170">
        <f t="shared" si="937"/>
        <v>-0.12493551087608051</v>
      </c>
      <c r="H251" s="139"/>
      <c r="I251" s="86"/>
      <c r="J251" s="79">
        <f t="shared" si="936"/>
        <v>7.2320000000000002</v>
      </c>
    </row>
    <row r="252" spans="5:10" x14ac:dyDescent="0.25">
      <c r="E252" s="170">
        <f t="shared" si="937"/>
        <v>0.98980092523068919</v>
      </c>
      <c r="F252" s="170">
        <f t="shared" si="937"/>
        <v>0.12708085173868103</v>
      </c>
      <c r="G252" s="170">
        <f t="shared" si="937"/>
        <v>-6.4378455509922966E-2</v>
      </c>
      <c r="H252" s="139"/>
      <c r="I252" s="86"/>
      <c r="J252" s="79">
        <f t="shared" si="936"/>
        <v>7.2389999999999999</v>
      </c>
    </row>
    <row r="253" spans="5:10" x14ac:dyDescent="0.25">
      <c r="E253" s="170">
        <f t="shared" si="937"/>
        <v>0.9882745343108732</v>
      </c>
      <c r="F253" s="170">
        <f t="shared" si="937"/>
        <v>0.15266945256792167</v>
      </c>
      <c r="G253" s="170">
        <f t="shared" si="937"/>
        <v>-2.3415988635744202E-3</v>
      </c>
      <c r="H253" s="139"/>
      <c r="I253" s="86"/>
      <c r="J253" s="79">
        <f t="shared" si="936"/>
        <v>7.2460000000000004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9.875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1.1379999999999999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1.1519999999999999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1.2170000000000001</v>
      </c>
      <c r="N175" s="869">
        <f>Assy.Model!K20</f>
        <v>1310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1.224</v>
      </c>
      <c r="N176" s="869">
        <f>Assy.Model!K21</f>
        <v>1310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1.2310000000000001</v>
      </c>
      <c r="N177" s="869">
        <f>Assy.Model!K22</f>
        <v>1310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1.238</v>
      </c>
      <c r="N178" s="869">
        <f>Assy.Model!K23</f>
        <v>1310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1.2450000000000001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1.5009999999999999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2.1160000000000001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2.13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2.137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2.1440000000000001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2.1509999999999998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2.1579999999999999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2.2160000000000002</v>
      </c>
      <c r="N188" s="869" t="str">
        <f>Assy.Model!K33</f>
        <v>Inactive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2.2229999999999999</v>
      </c>
      <c r="N189" s="869">
        <f>Assy.Model!K34</f>
        <v>1310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2.23</v>
      </c>
      <c r="N190" s="869">
        <f>Assy.Model!K35</f>
        <v>1310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2.2370000000000001</v>
      </c>
      <c r="N191" s="869">
        <f>Assy.Model!K36</f>
        <v>1310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2.2440000000000002</v>
      </c>
      <c r="N192" s="869">
        <f>Assy.Model!K37</f>
        <v>1310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2.2509999999999999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3.1030000000000002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3.1059999999999999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3.1150000000000002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3.1219999999999999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3.129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3.1360000000000001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3.1429999999999998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3.15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3.157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3.2149999999999999</v>
      </c>
      <c r="N204" s="869" t="str">
        <f>Assy.Model!K49</f>
        <v>Inactive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3.222</v>
      </c>
      <c r="N205" s="869">
        <f>Assy.Model!K50</f>
        <v>1310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3.2290000000000001</v>
      </c>
      <c r="N206" s="869">
        <f>Assy.Model!K51</f>
        <v>1310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3.2360000000000002</v>
      </c>
      <c r="N207" s="869">
        <f>Assy.Model!K52</f>
        <v>1310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3.2429999999999999</v>
      </c>
      <c r="N208" s="869">
        <f>Assy.Model!K53</f>
        <v>1310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3.25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4.1139999999999999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4.1210000000000004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4.1280000000000001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4.1349999999999998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4.1420000000000003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4.149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4.1559999999999997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4.2140000000000004</v>
      </c>
      <c r="N217" s="869" t="str">
        <f>Assy.Model!K62</f>
        <v>Inactive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4.2210000000000001</v>
      </c>
      <c r="N218" s="869">
        <f>Assy.Model!K63</f>
        <v>1310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4.2279999999999998</v>
      </c>
      <c r="N219" s="869">
        <f>Assy.Model!K64</f>
        <v>1310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4.2350000000000003</v>
      </c>
      <c r="N220" s="869">
        <f>Assy.Model!K65</f>
        <v>1310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4.242</v>
      </c>
      <c r="N221" s="869">
        <f>Assy.Model!K66</f>
        <v>1310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4.2489999999999997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5.1020000000000003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5.1050000000000004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5.1079999999999997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5.1130000000000004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5.12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5.1269999999999998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5.1340000000000003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5.141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5.1479999999999997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5.1550000000000002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5.2130000000000001</v>
      </c>
      <c r="N233" s="869" t="str">
        <f>Assy.Model!K78</f>
        <v>Inactive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5.22</v>
      </c>
      <c r="N234" s="869">
        <f>Assy.Model!K79</f>
        <v>1310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5.2270000000000003</v>
      </c>
      <c r="N235" s="869">
        <f>Assy.Model!K80</f>
        <v>1310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5.234</v>
      </c>
      <c r="N236" s="869">
        <f>Assy.Model!K81</f>
        <v>1310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5.2409999999999997</v>
      </c>
      <c r="N237" s="869">
        <f>Assy.Model!K82</f>
        <v>1310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5.2480000000000002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6.1120000000000001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6.1189999999999998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6.1260000000000003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6.133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6.14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6.1470000000000002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6.1539999999999999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6.2119999999999997</v>
      </c>
      <c r="N246" s="869" t="str">
        <f>Assy.Model!K91</f>
        <v>Inactive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6.2190000000000003</v>
      </c>
      <c r="N247" s="869">
        <f>Assy.Model!K92</f>
        <v>1310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6.226</v>
      </c>
      <c r="N248" s="869">
        <f>Assy.Model!K93</f>
        <v>1310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6.2329999999999997</v>
      </c>
      <c r="N249" s="869">
        <f>Assy.Model!K94</f>
        <v>1310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6.24</v>
      </c>
      <c r="N250" s="869">
        <f>Assy.Model!K95</f>
        <v>1310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6.2469999999999999</v>
      </c>
      <c r="N251" s="869">
        <f>Assy.Model!K96</f>
        <v>1313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7.1109999999999998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7.1180000000000003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7.125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7.1319999999999997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7.1390000000000002</v>
      </c>
      <c r="N256" s="869">
        <f>Assy.Model!K101</f>
        <v>1613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7.1459999999999999</v>
      </c>
      <c r="N257" s="869">
        <f>Assy.Model!K102</f>
        <v>1613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7.1529999999999996</v>
      </c>
      <c r="N258" s="869">
        <f>Assy.Model!K103</f>
        <v>1313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7.218</v>
      </c>
      <c r="N259" s="869">
        <f>Assy.Model!K104</f>
        <v>1310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7.2249999999999996</v>
      </c>
      <c r="N260" s="869">
        <f>Assy.Model!K105</f>
        <v>1310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7.2320000000000002</v>
      </c>
      <c r="N261" s="869">
        <f>Assy.Model!K106</f>
        <v>1310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7.2389999999999999</v>
      </c>
      <c r="N262" s="869">
        <f>Assy.Model!K107</f>
        <v>1310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7.2460000000000004</v>
      </c>
      <c r="N263" s="869">
        <f>Assy.Model!K108</f>
        <v>1313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2023-03-30T18:59:55Z</dcterms:modified>
</cp:coreProperties>
</file>