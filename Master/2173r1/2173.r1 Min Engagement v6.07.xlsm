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73\"/>
    </mc:Choice>
  </mc:AlternateContent>
  <xr:revisionPtr revIDLastSave="0" documentId="13_ncr:1_{5D05B3BA-5579-4D32-8A74-5DC0816D36A2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AJ32" i="4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IG83" i="1" s="1"/>
  <c r="M82" i="1"/>
  <c r="IG82" i="1" s="1"/>
  <c r="M81" i="1"/>
  <c r="IG81" i="1" s="1"/>
  <c r="M80" i="1"/>
  <c r="IG80" i="1" s="1"/>
  <c r="M79" i="1"/>
  <c r="IG79" i="1" s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4" i="1" l="1" a="1"/>
  <c r="IG4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83" i="1" a="1"/>
  <c r="IH83" i="1" s="1"/>
  <c r="II83" i="1" s="1" a="1"/>
  <c r="II83" i="1" s="1"/>
  <c r="IJ83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II10" i="1" s="1" a="1"/>
  <c r="II10" i="1" s="1"/>
  <c r="IJ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I11" i="1" s="1" a="1"/>
  <c r="II11" i="1" s="1"/>
  <c r="IJ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J9" i="1" l="1"/>
  <c r="JA9" i="1" a="1"/>
  <c r="JA9" i="1" s="1"/>
  <c r="IK21" i="1"/>
  <c r="IJ21" i="1"/>
  <c r="IK59" i="1"/>
  <c r="IJ59" i="1"/>
  <c r="JB10" i="1" a="1"/>
  <c r="JB10" i="1" s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U68" i="1"/>
  <c r="IE68" i="1" s="1"/>
  <c r="IV68" i="1"/>
  <c r="IL68" i="1"/>
  <c r="IX68" i="1"/>
  <c r="IQ68" i="1"/>
  <c r="IY68" i="1"/>
  <c r="IP68" i="1"/>
  <c r="IT68" i="1"/>
  <c r="IK68" i="1"/>
  <c r="IN68" i="1"/>
  <c r="IR68" i="1"/>
  <c r="IW68" i="1"/>
  <c r="IS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Y82" i="1"/>
  <c r="IV82" i="1"/>
  <c r="IW82" i="1"/>
  <c r="IL82" i="1"/>
  <c r="IS82" i="1"/>
  <c r="IU82" i="1"/>
  <c r="IE82" i="1" s="1"/>
  <c r="IQ82" i="1"/>
  <c r="IK82" i="1"/>
  <c r="IN82" i="1"/>
  <c r="IT82" i="1"/>
  <c r="IX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S83" i="1"/>
  <c r="IX83" i="1"/>
  <c r="IR83" i="1"/>
  <c r="IL83" i="1"/>
  <c r="IK83" i="1"/>
  <c r="IT83" i="1"/>
  <c r="IW83" i="1"/>
  <c r="IU83" i="1"/>
  <c r="IE83" i="1" s="1"/>
  <c r="IY83" i="1"/>
  <c r="IV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T20" i="1"/>
  <c r="IQ20" i="1"/>
  <c r="IP20" i="1"/>
  <c r="IX20" i="1"/>
  <c r="IY20" i="1"/>
  <c r="IL20" i="1"/>
  <c r="IN20" i="1"/>
  <c r="IV20" i="1"/>
  <c r="IU20" i="1"/>
  <c r="IE20" i="1" s="1"/>
  <c r="IS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V37" i="1"/>
  <c r="IU37" i="1"/>
  <c r="IE37" i="1" s="1"/>
  <c r="IS37" i="1"/>
  <c r="IT37" i="1"/>
  <c r="IQ37" i="1"/>
  <c r="IY37" i="1"/>
  <c r="IP37" i="1"/>
  <c r="IX37" i="1"/>
  <c r="IL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S31" i="1"/>
  <c r="IX31" i="1"/>
  <c r="IV31" i="1"/>
  <c r="IU31" i="1"/>
  <c r="IE31" i="1" s="1"/>
  <c r="IR31" i="1"/>
  <c r="IQ31" i="1"/>
  <c r="IP31" i="1"/>
  <c r="IL31" i="1"/>
  <c r="IY31" i="1"/>
  <c r="IK31" i="1"/>
  <c r="IN31" i="1"/>
  <c r="IW31" i="1"/>
  <c r="IT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Y74" i="1"/>
  <c r="IV74" i="1"/>
  <c r="IU74" i="1"/>
  <c r="IE74" i="1" s="1"/>
  <c r="IS74" i="1"/>
  <c r="IQ74" i="1"/>
  <c r="IN74" i="1"/>
  <c r="IX74" i="1"/>
  <c r="IT74" i="1"/>
  <c r="IP74" i="1"/>
  <c r="IL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23" i="1" l="1" a="1"/>
  <c r="JA23" i="1" s="1"/>
  <c r="IF85" i="1"/>
  <c r="IF129" i="1"/>
  <c r="IF74" i="1"/>
  <c r="IF73" i="1"/>
  <c r="IF49" i="1"/>
  <c r="IF138" i="1"/>
  <c r="IF10" i="1"/>
  <c r="IF150" i="1"/>
  <c r="IF48" i="1"/>
  <c r="IF148" i="1"/>
  <c r="IF127" i="1"/>
  <c r="IF15" i="1"/>
  <c r="IF128" i="1"/>
  <c r="IF6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31" i="1"/>
  <c r="IF145" i="1"/>
  <c r="IF37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2" i="1"/>
  <c r="IF84" i="1"/>
  <c r="IF12" i="1"/>
  <c r="IF50" i="1"/>
  <c r="IF71" i="1"/>
  <c r="IF56" i="1"/>
  <c r="IF83" i="1"/>
  <c r="IF133" i="1"/>
  <c r="IF149" i="1"/>
  <c r="IF87" i="1"/>
  <c r="IF104" i="1"/>
  <c r="IF130" i="1"/>
  <c r="IF90" i="1"/>
  <c r="IF132" i="1"/>
  <c r="IF119" i="1"/>
  <c r="IF32" i="1"/>
  <c r="IF110" i="1"/>
  <c r="IF2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5" i="1" l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IQ35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IQ10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JB30" i="1" l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IP35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AQ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Q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AQ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AQ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AQ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AI62" i="1" l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H22" i="1" l="1" a="1"/>
  <c r="JH22" i="1" s="1"/>
  <c r="JF22" i="1" a="1"/>
  <c r="JF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IL16" i="1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IL45" i="1" s="1"/>
  <c r="W30" i="1"/>
  <c r="IL46" i="1" s="1"/>
  <c r="W27" i="1"/>
  <c r="W28" i="1"/>
  <c r="W25" i="1"/>
  <c r="W26" i="1"/>
  <c r="W23" i="1"/>
  <c r="W24" i="1"/>
  <c r="W21" i="1"/>
  <c r="IL21" i="1" s="1"/>
  <c r="W22" i="1"/>
  <c r="W19" i="1"/>
  <c r="W20" i="1"/>
  <c r="W17" i="1"/>
  <c r="W18" i="1"/>
  <c r="W15" i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94" i="1" l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AW83" i="7"/>
  <c r="AY32" i="7"/>
  <c r="V32" i="7"/>
  <c r="AY84" i="7"/>
  <c r="V84" i="7"/>
  <c r="T41" i="1"/>
  <c r="AW41" i="7"/>
  <c r="AL61" i="1"/>
  <c r="AN61" i="1" s="1"/>
  <c r="IY61" i="1" s="1"/>
  <c r="AW61" i="7"/>
  <c r="AL69" i="1"/>
  <c r="AN69" i="1" s="1"/>
  <c r="IT75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IS64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IY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IT76" i="1" s="1"/>
  <c r="T69" i="1"/>
  <c r="AK69" i="1"/>
  <c r="U69" i="1"/>
  <c r="U68" i="1"/>
  <c r="T68" i="1"/>
  <c r="AK68" i="1"/>
  <c r="AL68" i="1"/>
  <c r="AN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T64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IT54" i="1" s="1"/>
  <c r="U50" i="1"/>
  <c r="T50" i="1"/>
  <c r="T49" i="1"/>
  <c r="AK49" i="1"/>
  <c r="AO49" i="1" s="1"/>
  <c r="AK48" i="1"/>
  <c r="U48" i="1"/>
  <c r="AL48" i="1"/>
  <c r="AN48" i="1" s="1"/>
  <c r="IT52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IT35" i="1" s="1"/>
  <c r="AL30" i="1"/>
  <c r="AN30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IY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T19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25" i="1" l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IS5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3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IS46" i="1" s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AO81" i="1"/>
  <c r="IX81" i="1" s="1"/>
  <c r="IF81" i="1" s="1"/>
  <c r="AP81" i="1"/>
  <c r="AO82" i="1"/>
  <c r="AP82" i="1"/>
  <c r="AO79" i="1"/>
  <c r="AP79" i="1"/>
  <c r="AP80" i="1"/>
  <c r="AO80" i="1"/>
  <c r="AO77" i="1"/>
  <c r="IX77" i="1" s="1"/>
  <c r="IF77" i="1" s="1"/>
  <c r="AP77" i="1"/>
  <c r="AP78" i="1"/>
  <c r="AO78" i="1"/>
  <c r="IX78" i="1" s="1"/>
  <c r="IF78" i="1" s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AP71" i="1"/>
  <c r="AO72" i="1"/>
  <c r="IS78" i="1" s="1"/>
  <c r="AP72" i="1"/>
  <c r="AO69" i="1"/>
  <c r="IS75" i="1" s="1"/>
  <c r="AP69" i="1"/>
  <c r="AP70" i="1"/>
  <c r="AO70" i="1"/>
  <c r="IS76" i="1" s="1"/>
  <c r="AO67" i="1"/>
  <c r="AP67" i="1"/>
  <c r="AO68" i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IX61" i="1" s="1"/>
  <c r="IF61" i="1" s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IS35" i="1" s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IX26" i="1" s="1"/>
  <c r="IF26" i="1" s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AO17" i="1"/>
  <c r="IX17" i="1" s="1"/>
  <c r="IF17" i="1" s="1"/>
  <c r="AP17" i="1"/>
  <c r="AO18" i="1"/>
  <c r="AP18" i="1"/>
  <c r="AP15" i="1"/>
  <c r="AO15" i="1"/>
  <c r="IS19" i="1" s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AT11" i="1" l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<sst xmlns="http://schemas.openxmlformats.org/spreadsheetml/2006/main" count="734" uniqueCount="391">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</sst>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3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135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205" xfId="0" applyFill="1" applyBorder="1" applyAlignment="1">
      <alignment horizontal="center"/>
    </xf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206" xfId="0" applyFill="1" applyBorder="1" applyAlignment="1">
      <alignment horizont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70" xfId="0" applyBorder="1" applyAlignment="1">
      <alignment horizontal="center" vertical="center" wrapText="1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96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/>
    </xf>
    <xf numFmtId="0" fontId="0" fillId="0" borderId="226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224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75" xfId="0" applyBorder="1" applyAlignment="1">
      <alignment horizont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7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0" fillId="0" borderId="229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0" borderId="216" xfId="0" applyBorder="1" applyAlignment="1">
      <alignment horizontal="center" wrapText="1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39" fillId="0" borderId="192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135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237" xfId="0" applyBorder="1" applyAlignment="1">
      <alignment horizontal="center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121" xfId="0" applyBorder="1" applyAlignment="1">
      <alignment horizontal="center" vertic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237" xfId="0" applyFont="1" applyBorder="1" applyAlignment="1">
      <alignment horizontal="center" vertical="center"/>
    </xf>
    <xf numFmtId="0" fontId="18" fillId="0" borderId="122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122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0" fillId="0" borderId="281" xfId="0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266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/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911" t="s">
        <v>77</v>
      </c>
      <c r="D1" s="911"/>
      <c r="E1" s="911"/>
      <c r="F1" s="911"/>
      <c r="G1" s="911"/>
      <c r="H1" s="911"/>
      <c r="I1" s="911"/>
      <c r="J1" s="911"/>
      <c r="K1" s="911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7" t="s">
        <v>379</v>
      </c>
      <c r="AQ7" s="897"/>
      <c r="AR7" s="897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903">
        <v>9</v>
      </c>
      <c r="D9" s="873"/>
      <c r="E9" s="873"/>
      <c r="F9" s="873"/>
      <c r="G9" s="873"/>
      <c r="H9" s="873"/>
      <c r="I9" s="873"/>
      <c r="J9" s="873"/>
      <c r="K9" s="904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892"/>
      <c r="C10" s="893"/>
      <c r="D10" s="893"/>
      <c r="E10" s="893"/>
      <c r="F10" s="893"/>
      <c r="G10" s="893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909"/>
      <c r="B11" s="899" t="s">
        <v>33</v>
      </c>
      <c r="C11" s="908" t="s">
        <v>34</v>
      </c>
      <c r="D11" s="908"/>
      <c r="E11" s="905" t="s">
        <v>39</v>
      </c>
      <c r="F11" s="899" t="s">
        <v>35</v>
      </c>
      <c r="G11" s="899" t="s">
        <v>36</v>
      </c>
      <c r="H11" s="899" t="s">
        <v>43</v>
      </c>
      <c r="I11" s="906" t="s">
        <v>67</v>
      </c>
      <c r="J11" s="908" t="s">
        <v>56</v>
      </c>
      <c r="K11" s="908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872" t="s">
        <v>347</v>
      </c>
      <c r="AN11" s="873"/>
      <c r="AO11" s="873"/>
      <c r="AP11" s="873"/>
      <c r="AQ11" s="873"/>
      <c r="AR11" s="874"/>
      <c r="AS11" s="883" t="s">
        <v>354</v>
      </c>
      <c r="AT11" s="884"/>
      <c r="AU11" s="884"/>
      <c r="AV11" s="885"/>
      <c r="BC11" s="470"/>
    </row>
    <row r="12" spans="1:55" ht="15.75" thickBot="1" x14ac:dyDescent="0.3">
      <c r="A12" s="910"/>
      <c r="B12" s="900"/>
      <c r="C12" s="48" t="s">
        <v>8</v>
      </c>
      <c r="D12" s="49" t="s">
        <v>10</v>
      </c>
      <c r="E12" s="900"/>
      <c r="F12" s="900"/>
      <c r="G12" s="900"/>
      <c r="H12" s="900"/>
      <c r="I12" s="907"/>
      <c r="J12" s="53" t="s">
        <v>8</v>
      </c>
      <c r="K12" s="54" t="s">
        <v>10</v>
      </c>
      <c r="M12" s="31"/>
      <c r="N12" s="31"/>
      <c r="O12" s="920" t="s">
        <v>46</v>
      </c>
      <c r="P12" s="921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903"/>
      <c r="AF12" s="914" t="s">
        <v>56</v>
      </c>
      <c r="AG12" s="915"/>
      <c r="AH12" s="31"/>
      <c r="AK12" s="878" t="s">
        <v>355</v>
      </c>
      <c r="AL12" s="894"/>
      <c r="AM12" s="875" t="s">
        <v>352</v>
      </c>
      <c r="AN12" s="876"/>
      <c r="AO12" s="877"/>
      <c r="AP12" s="878" t="s">
        <v>380</v>
      </c>
      <c r="AQ12" s="877"/>
      <c r="AR12" s="802" t="s">
        <v>378</v>
      </c>
      <c r="AS12" s="880" t="s">
        <v>352</v>
      </c>
      <c r="AT12" s="877"/>
      <c r="AU12" s="881" t="s">
        <v>353</v>
      </c>
      <c r="AV12" s="882"/>
      <c r="AW12" s="886" t="s">
        <v>351</v>
      </c>
      <c r="AX12" s="887"/>
      <c r="AZ12" s="878" t="s">
        <v>60</v>
      </c>
      <c r="BA12" s="877"/>
      <c r="BC12" s="879" t="s">
        <v>383</v>
      </c>
    </row>
    <row r="13" spans="1:55" ht="15.75" thickBot="1" x14ac:dyDescent="0.3">
      <c r="A13" s="64" t="s">
        <v>57</v>
      </c>
      <c r="B13" s="888" t="s">
        <v>97</v>
      </c>
      <c r="C13" s="890" t="str">
        <f>SUBSTITUTE(ADDRESS(1,COLUMN(Assy.Model!X9),4),"1","")</f>
        <v>X</v>
      </c>
      <c r="D13" s="101" t="str">
        <f>SUBSTITUTE(ADDRESS(1,COLUMN(Assy.Model!Y9),4),"1","")</f>
        <v>Y</v>
      </c>
      <c r="E13" s="895" t="str">
        <f>SUBSTITUTE(ADDRESS(1,COLUMN(Assy.Model!H9),4),"1","")</f>
        <v>H</v>
      </c>
      <c r="F13" s="895" t="str">
        <f>SUBSTITUTE(ADDRESS(1,COLUMN(Assy.Model!AN9),4),"1","")</f>
        <v>AN</v>
      </c>
      <c r="G13" s="895" t="str">
        <f>SUBSTITUTE(ADDRESS(1,COLUMN(Assy.Model!AO9),4),"1","")</f>
        <v>AO</v>
      </c>
      <c r="H13" s="895" t="str">
        <f>SUBSTITUTE(ADDRESS(1,COLUMN(Assy.Model!AO9),4),"1","")</f>
        <v>AO</v>
      </c>
      <c r="I13" s="895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922"/>
      <c r="P13" s="923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879"/>
    </row>
    <row r="14" spans="1:55" x14ac:dyDescent="0.25">
      <c r="A14" s="62" t="s">
        <v>58</v>
      </c>
      <c r="B14" s="889"/>
      <c r="C14" s="891"/>
      <c r="D14" s="102" t="str">
        <f>SUBSTITUTE(ADDRESS(1,COLUMN(Assy.Model!AT9),4),"1","")</f>
        <v>AT</v>
      </c>
      <c r="E14" s="896"/>
      <c r="F14" s="896"/>
      <c r="G14" s="896"/>
      <c r="H14" s="896"/>
      <c r="I14" s="896"/>
      <c r="J14" s="91">
        <v>0</v>
      </c>
      <c r="K14" s="92">
        <v>0</v>
      </c>
      <c r="L14" s="31"/>
      <c r="M14" s="190">
        <v>6.25E-2</v>
      </c>
      <c r="N14" s="31">
        <v>32</v>
      </c>
      <c r="O14" s="918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918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918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918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918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7.875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918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919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903" t="s">
        <v>64</v>
      </c>
      <c r="C21" s="873"/>
      <c r="D21" s="873"/>
      <c r="E21" s="873"/>
      <c r="F21" s="904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909"/>
      <c r="C22" s="903" t="s">
        <v>63</v>
      </c>
      <c r="D22" s="904"/>
      <c r="E22" s="906" t="s">
        <v>60</v>
      </c>
      <c r="F22" s="906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924"/>
      <c r="C23" s="57" t="s">
        <v>8</v>
      </c>
      <c r="D23" s="57" t="s">
        <v>9</v>
      </c>
      <c r="E23" s="907"/>
      <c r="F23" s="907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916">
        <v>0</v>
      </c>
      <c r="E24" s="916">
        <v>2</v>
      </c>
      <c r="F24" s="916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3.9375</v>
      </c>
      <c r="D25" s="917"/>
      <c r="E25" s="917"/>
      <c r="F25" s="917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912" t="s">
        <v>311</v>
      </c>
      <c r="C27" s="912"/>
      <c r="D27" s="912"/>
      <c r="E27" s="912"/>
      <c r="F27" s="912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913" t="s">
        <v>390</v>
      </c>
      <c r="C28" s="913"/>
      <c r="D28" s="913"/>
      <c r="E28" s="913"/>
      <c r="F28" s="913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73" t="s">
        <v>95</v>
      </c>
      <c r="D3" s="873"/>
      <c r="E3" s="873"/>
      <c r="F3" s="873"/>
      <c r="G3" s="873"/>
      <c r="H3" s="873"/>
      <c r="I3" s="873"/>
      <c r="J3" s="873"/>
      <c r="K3" s="874"/>
      <c r="L3" s="930"/>
      <c r="M3" s="873"/>
      <c r="N3" s="873"/>
      <c r="O3" s="873"/>
      <c r="P3" s="873"/>
      <c r="Q3" s="873"/>
      <c r="R3" s="904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52" t="s">
        <v>86</v>
      </c>
      <c r="C4" s="969" t="s">
        <v>82</v>
      </c>
      <c r="D4" s="873" t="s">
        <v>83</v>
      </c>
      <c r="E4" s="873"/>
      <c r="F4" s="873"/>
      <c r="G4" s="873"/>
      <c r="H4" s="873"/>
      <c r="I4" s="873"/>
      <c r="J4" s="873"/>
      <c r="K4" s="873"/>
      <c r="L4" s="150" t="s">
        <v>91</v>
      </c>
      <c r="M4" s="903" t="s">
        <v>94</v>
      </c>
      <c r="N4" s="873"/>
      <c r="O4" s="873"/>
      <c r="P4" s="874"/>
      <c r="Q4" s="873" t="s">
        <v>52</v>
      </c>
      <c r="R4" s="904"/>
      <c r="S4" s="107"/>
      <c r="T4" s="903">
        <v>350</v>
      </c>
      <c r="U4" s="873"/>
      <c r="V4" s="873" t="s">
        <v>76</v>
      </c>
      <c r="W4" s="873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53"/>
      <c r="C5" s="970"/>
      <c r="D5" s="958" t="s">
        <v>85</v>
      </c>
      <c r="E5" s="972" t="s">
        <v>89</v>
      </c>
      <c r="F5" s="908" t="s">
        <v>34</v>
      </c>
      <c r="G5" s="908"/>
      <c r="H5" s="905" t="s">
        <v>39</v>
      </c>
      <c r="I5" s="899" t="s">
        <v>35</v>
      </c>
      <c r="J5" s="899" t="s">
        <v>36</v>
      </c>
      <c r="K5" s="942" t="s">
        <v>67</v>
      </c>
      <c r="L5" s="151" t="s">
        <v>92</v>
      </c>
      <c r="M5" s="906" t="s">
        <v>90</v>
      </c>
      <c r="N5" s="906" t="s">
        <v>47</v>
      </c>
      <c r="O5" s="925" t="s">
        <v>84</v>
      </c>
      <c r="P5" s="926"/>
      <c r="Q5" s="927" t="s">
        <v>84</v>
      </c>
      <c r="R5" s="928"/>
      <c r="S5" s="107"/>
      <c r="T5" s="920" t="s">
        <v>46</v>
      </c>
      <c r="U5" s="931"/>
      <c r="V5" s="887" t="s">
        <v>45</v>
      </c>
      <c r="W5" s="915"/>
      <c r="X5" s="915"/>
      <c r="Y5" s="915"/>
      <c r="Z5" s="915"/>
      <c r="AA5" s="915"/>
      <c r="AB5" s="915"/>
      <c r="AC5" s="915"/>
      <c r="AD5" s="915"/>
      <c r="AE5" s="915"/>
      <c r="AF5" s="915"/>
      <c r="AG5" s="915"/>
      <c r="AH5" s="915"/>
      <c r="AI5" s="915"/>
      <c r="AJ5" s="915"/>
      <c r="AK5" s="31"/>
      <c r="AL5" s="31"/>
    </row>
    <row r="6" spans="2:38" ht="15" customHeight="1" thickBot="1" x14ac:dyDescent="0.3">
      <c r="B6" s="954"/>
      <c r="C6" s="971"/>
      <c r="D6" s="959"/>
      <c r="E6" s="973"/>
      <c r="F6" s="108" t="s">
        <v>8</v>
      </c>
      <c r="G6" s="109" t="s">
        <v>10</v>
      </c>
      <c r="H6" s="943"/>
      <c r="I6" s="943"/>
      <c r="J6" s="943"/>
      <c r="K6" s="932"/>
      <c r="L6" s="152" t="s">
        <v>93</v>
      </c>
      <c r="M6" s="929"/>
      <c r="N6" s="929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32"/>
      <c r="U6" s="933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60">
        <f>ROW(Assy.Model!B9)</f>
        <v>9</v>
      </c>
      <c r="D7" s="949" t="str">
        <f>SUBSTITUTE(ADDRESS(1,COLUMN(Assy.Model!B9),4),"1","")</f>
        <v>B</v>
      </c>
      <c r="E7" s="963" t="str">
        <f>SUBSTITUTE(ADDRESS(1,COLUMN(Assy.Model!M9),4),"1","")</f>
        <v>M</v>
      </c>
      <c r="F7" s="966" t="str">
        <f>SUBSTITUTE(ADDRESS(1,COLUMN(Assy.Model!X9),4),"1","")</f>
        <v>X</v>
      </c>
      <c r="G7" s="955" t="str">
        <f>SUBSTITUTE(ADDRESS(1,COLUMN(Assy.Model!AT9),4),"1","")</f>
        <v>AT</v>
      </c>
      <c r="H7" s="934" t="str">
        <f>SUBSTITUTE(ADDRESS(1,COLUMN(Assy.Model!H9),4),"1","")</f>
        <v>H</v>
      </c>
      <c r="I7" s="934" t="str">
        <f>SUBSTITUTE(ADDRESS(1,COLUMN(Assy.Model!AN9),4),"1","")</f>
        <v>AN</v>
      </c>
      <c r="J7" s="934" t="str">
        <f>SUBSTITUTE(ADDRESS(1,COLUMN(Assy.Model!AO9),4),"1","")</f>
        <v>AO</v>
      </c>
      <c r="K7" s="937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46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44" t="s">
        <v>81</v>
      </c>
      <c r="C8" s="961"/>
      <c r="D8" s="950"/>
      <c r="E8" s="964"/>
      <c r="F8" s="967"/>
      <c r="G8" s="956"/>
      <c r="H8" s="935"/>
      <c r="I8" s="935"/>
      <c r="J8" s="935"/>
      <c r="K8" s="938"/>
      <c r="L8" s="153" t="s">
        <v>93</v>
      </c>
      <c r="M8" s="940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47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44"/>
      <c r="C9" s="961"/>
      <c r="D9" s="950"/>
      <c r="E9" s="964"/>
      <c r="F9" s="967"/>
      <c r="G9" s="956"/>
      <c r="H9" s="935"/>
      <c r="I9" s="935"/>
      <c r="J9" s="935"/>
      <c r="K9" s="938"/>
      <c r="L9" s="153" t="s">
        <v>92</v>
      </c>
      <c r="M9" s="940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47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44"/>
      <c r="C10" s="961"/>
      <c r="D10" s="950"/>
      <c r="E10" s="964"/>
      <c r="F10" s="967"/>
      <c r="G10" s="956"/>
      <c r="H10" s="935"/>
      <c r="I10" s="935"/>
      <c r="J10" s="935"/>
      <c r="K10" s="938"/>
      <c r="L10" s="153" t="s">
        <v>92</v>
      </c>
      <c r="M10" s="940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47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44"/>
      <c r="C11" s="961"/>
      <c r="D11" s="950"/>
      <c r="E11" s="964"/>
      <c r="F11" s="967"/>
      <c r="G11" s="956"/>
      <c r="H11" s="935"/>
      <c r="I11" s="935"/>
      <c r="J11" s="935"/>
      <c r="K11" s="938"/>
      <c r="L11" s="153" t="s">
        <v>92</v>
      </c>
      <c r="M11" s="940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47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44"/>
      <c r="C12" s="961"/>
      <c r="D12" s="950"/>
      <c r="E12" s="964"/>
      <c r="F12" s="967"/>
      <c r="G12" s="956"/>
      <c r="H12" s="935"/>
      <c r="I12" s="935"/>
      <c r="J12" s="935"/>
      <c r="K12" s="938"/>
      <c r="L12" s="153" t="s">
        <v>92</v>
      </c>
      <c r="M12" s="940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47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44"/>
      <c r="C13" s="961"/>
      <c r="D13" s="950"/>
      <c r="E13" s="964"/>
      <c r="F13" s="967"/>
      <c r="G13" s="956"/>
      <c r="H13" s="935"/>
      <c r="I13" s="935"/>
      <c r="J13" s="935"/>
      <c r="K13" s="938"/>
      <c r="L13" s="153" t="s">
        <v>92</v>
      </c>
      <c r="M13" s="940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47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45"/>
      <c r="C14" s="962"/>
      <c r="D14" s="951"/>
      <c r="E14" s="965"/>
      <c r="F14" s="968"/>
      <c r="G14" s="957"/>
      <c r="H14" s="936"/>
      <c r="I14" s="936"/>
      <c r="J14" s="936"/>
      <c r="K14" s="939"/>
      <c r="L14" s="154" t="s">
        <v>93</v>
      </c>
      <c r="M14" s="941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48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1227" t="str">
        <f>CONCATENATE(Settings!$C$19," ",Settings!$B$28)</f>
        <v>7.875  Job# --- Assy# --- Post Braze --- yy.mm.dd</v>
      </c>
      <c r="D1" s="1227"/>
      <c r="E1" s="1227"/>
      <c r="F1" s="1227"/>
      <c r="G1" s="1227"/>
      <c r="H1" s="1227"/>
      <c r="I1" s="1227"/>
      <c r="J1" s="1227"/>
      <c r="K1" s="1227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238" t="s">
        <v>315</v>
      </c>
      <c r="C2" s="1239"/>
      <c r="D2" s="1239"/>
      <c r="E2" s="1239"/>
      <c r="F2" s="1239"/>
      <c r="G2" s="1239"/>
      <c r="H2" s="1239"/>
      <c r="I2" s="1239"/>
      <c r="J2" s="1239"/>
      <c r="K2" s="1240"/>
      <c r="L2" s="985" t="str" cm="1">
        <f t="array" ref="L2">IF(OR($K$9:$K$150="Undefined"),"Undefined Element","")</f>
        <v/>
      </c>
      <c r="M2" s="1246" t="s">
        <v>0</v>
      </c>
      <c r="N2" s="1140" t="s">
        <v>1</v>
      </c>
      <c r="O2" s="1141"/>
      <c r="P2" s="1141"/>
      <c r="Q2" s="1141"/>
      <c r="R2" s="1141"/>
      <c r="S2" s="1141"/>
      <c r="T2" s="1141"/>
      <c r="U2" s="1141"/>
      <c r="V2" s="1141"/>
      <c r="W2" s="1141"/>
      <c r="X2" s="1141"/>
      <c r="Y2" s="1153"/>
      <c r="Z2" s="1140" t="s">
        <v>2</v>
      </c>
      <c r="AA2" s="1141"/>
      <c r="AB2" s="1141"/>
      <c r="AC2" s="1141"/>
      <c r="AD2" s="1141"/>
      <c r="AE2" s="1141"/>
      <c r="AF2" s="1141"/>
      <c r="AG2" s="1141"/>
      <c r="AH2" s="1141"/>
      <c r="AI2" s="1141"/>
      <c r="AJ2" s="1141"/>
      <c r="AK2" s="1141"/>
      <c r="AL2" s="1141"/>
      <c r="AM2" s="1141"/>
      <c r="AN2" s="1141"/>
      <c r="AO2" s="1141"/>
      <c r="AP2" s="1141"/>
      <c r="AQ2" s="1142"/>
      <c r="AS2" s="1203" t="s">
        <v>44</v>
      </c>
      <c r="AT2" s="1204"/>
      <c r="AV2" s="1198" t="s">
        <v>0</v>
      </c>
      <c r="AW2" s="1140" t="s">
        <v>109</v>
      </c>
      <c r="AX2" s="1141"/>
      <c r="AY2" s="1141"/>
      <c r="AZ2" s="1141"/>
      <c r="BA2" s="1141"/>
      <c r="BB2" s="1141"/>
      <c r="BC2" s="1141"/>
      <c r="BD2" s="1141"/>
      <c r="BE2" s="1142"/>
      <c r="BF2" s="1152" t="s">
        <v>115</v>
      </c>
      <c r="BG2" s="1141"/>
      <c r="BH2" s="1141"/>
      <c r="BI2" s="1141"/>
      <c r="BJ2" s="1141"/>
      <c r="BK2" s="1141"/>
      <c r="BL2" s="1141"/>
      <c r="BM2" s="1141"/>
      <c r="BN2" s="1141"/>
      <c r="BO2" s="1141"/>
      <c r="BP2" s="1141"/>
      <c r="BQ2" s="1141"/>
      <c r="BR2" s="1141"/>
      <c r="BS2" s="1141"/>
      <c r="BT2" s="1141"/>
      <c r="BU2" s="1141"/>
      <c r="BV2" s="1141"/>
      <c r="BW2" s="1141"/>
      <c r="BX2" s="1141"/>
      <c r="BY2" s="1141"/>
      <c r="BZ2" s="1141"/>
      <c r="CA2" s="1141"/>
      <c r="CB2" s="1141"/>
      <c r="CC2" s="1141"/>
      <c r="CD2" s="1141"/>
      <c r="CE2" s="1141"/>
      <c r="CF2" s="1141"/>
      <c r="CG2" s="1141"/>
      <c r="CH2" s="1141"/>
      <c r="CI2" s="1141"/>
      <c r="CJ2" s="1141"/>
      <c r="CK2" s="1141"/>
      <c r="CL2" s="1141"/>
      <c r="CM2" s="1141"/>
      <c r="CN2" s="1141"/>
      <c r="CO2" s="1141"/>
      <c r="CP2" s="1141"/>
      <c r="CQ2" s="1141"/>
      <c r="CR2" s="1141"/>
      <c r="CS2" s="1141"/>
      <c r="CT2" s="1141"/>
      <c r="CU2" s="1141"/>
      <c r="CV2" s="1141"/>
      <c r="CW2" s="1141"/>
      <c r="CX2" s="1141"/>
      <c r="CY2" s="1141"/>
      <c r="CZ2" s="1141"/>
      <c r="DA2" s="1141"/>
      <c r="DB2" s="1141"/>
      <c r="DC2" s="1141"/>
      <c r="DD2" s="1141"/>
      <c r="DE2" s="1141"/>
      <c r="DF2" s="1141"/>
      <c r="DG2" s="1141"/>
      <c r="DH2" s="1141"/>
      <c r="DI2" s="1141"/>
      <c r="DJ2" s="1141"/>
      <c r="DK2" s="1141"/>
      <c r="DL2" s="1141"/>
      <c r="DM2" s="1141"/>
      <c r="DN2" s="1141"/>
      <c r="DO2" s="1141"/>
      <c r="DP2" s="1141"/>
      <c r="DQ2" s="1141"/>
      <c r="DR2" s="1141"/>
      <c r="DS2" s="1141"/>
      <c r="DT2" s="1141"/>
      <c r="DU2" s="1141"/>
      <c r="DV2" s="1141"/>
      <c r="DW2" s="1141"/>
      <c r="DX2" s="1141"/>
      <c r="DY2" s="1141"/>
      <c r="DZ2" s="1141"/>
      <c r="EA2" s="1141"/>
      <c r="EB2" s="1141"/>
      <c r="EC2" s="1141"/>
      <c r="ED2" s="1141"/>
      <c r="EE2" s="1141"/>
      <c r="EF2" s="1141"/>
      <c r="EG2" s="1141"/>
      <c r="EH2" s="1141"/>
      <c r="EI2" s="1141"/>
      <c r="EJ2" s="1141"/>
      <c r="EK2" s="1141"/>
      <c r="EL2" s="1141"/>
      <c r="EM2" s="1141"/>
      <c r="EN2" s="1141"/>
      <c r="EO2" s="1141"/>
      <c r="EP2" s="1141"/>
      <c r="EQ2" s="1141"/>
      <c r="ER2" s="1153"/>
      <c r="ES2" s="1074" t="s">
        <v>197</v>
      </c>
      <c r="ET2" s="1075"/>
      <c r="EU2" s="1075"/>
      <c r="EV2" s="1075"/>
      <c r="EW2" s="1075"/>
      <c r="EX2" s="1075"/>
      <c r="EY2" s="1075"/>
      <c r="EZ2" s="1075"/>
      <c r="FA2" s="1075"/>
      <c r="FB2" s="1075"/>
      <c r="FC2" s="1075"/>
      <c r="FD2" s="1075"/>
      <c r="FE2" s="1075"/>
      <c r="FF2" s="1076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037" t="s">
        <v>266</v>
      </c>
      <c r="HQ2" s="1043" t="str">
        <f>IFERROR(CONCATENATE("Sum of Lateral Forces = ",ROUND(HE3,0)," lbs @ ",ROUND(HF3,1),"° Relative to Blade 1"),"")</f>
        <v/>
      </c>
      <c r="HR2" s="1044"/>
      <c r="HS2" s="1044"/>
      <c r="HT2" s="1044"/>
      <c r="HU2" s="1044"/>
      <c r="HV2" s="1045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241"/>
      <c r="C3" s="1196"/>
      <c r="D3" s="1196"/>
      <c r="E3" s="1196"/>
      <c r="F3" s="1196"/>
      <c r="G3" s="1196"/>
      <c r="H3" s="1196"/>
      <c r="I3" s="1196"/>
      <c r="J3" s="1196"/>
      <c r="K3" s="1242"/>
      <c r="L3" s="985"/>
      <c r="M3" s="1241"/>
      <c r="N3" s="1143"/>
      <c r="O3" s="1144"/>
      <c r="P3" s="1144"/>
      <c r="Q3" s="1144"/>
      <c r="R3" s="1144"/>
      <c r="S3" s="1144"/>
      <c r="T3" s="1144"/>
      <c r="U3" s="1144"/>
      <c r="V3" s="1144"/>
      <c r="W3" s="1144"/>
      <c r="X3" s="1144"/>
      <c r="Y3" s="1200"/>
      <c r="Z3" s="1143"/>
      <c r="AA3" s="1144"/>
      <c r="AB3" s="1144"/>
      <c r="AC3" s="1144"/>
      <c r="AD3" s="1144"/>
      <c r="AE3" s="1144"/>
      <c r="AF3" s="1144"/>
      <c r="AG3" s="1144"/>
      <c r="AH3" s="1144"/>
      <c r="AI3" s="1144"/>
      <c r="AJ3" s="1144"/>
      <c r="AK3" s="1144"/>
      <c r="AL3" s="1144"/>
      <c r="AM3" s="1144"/>
      <c r="AN3" s="1144"/>
      <c r="AO3" s="1144"/>
      <c r="AP3" s="1144"/>
      <c r="AQ3" s="1145"/>
      <c r="AS3" s="466">
        <v>100</v>
      </c>
      <c r="AT3" s="463" t="s">
        <v>45</v>
      </c>
      <c r="AV3" s="1199"/>
      <c r="AW3" s="1077"/>
      <c r="AX3" s="1078"/>
      <c r="AY3" s="1078"/>
      <c r="AZ3" s="1078"/>
      <c r="BA3" s="1078"/>
      <c r="BB3" s="1078"/>
      <c r="BC3" s="1078"/>
      <c r="BD3" s="1078"/>
      <c r="BE3" s="1161"/>
      <c r="BF3" s="1154"/>
      <c r="BG3" s="1078"/>
      <c r="BH3" s="1078"/>
      <c r="BI3" s="1078"/>
      <c r="BJ3" s="1078"/>
      <c r="BK3" s="1078"/>
      <c r="BL3" s="1078"/>
      <c r="BM3" s="1078"/>
      <c r="BN3" s="1078"/>
      <c r="BO3" s="1078"/>
      <c r="BP3" s="1078"/>
      <c r="BQ3" s="1078"/>
      <c r="BR3" s="1078"/>
      <c r="BS3" s="1078"/>
      <c r="BT3" s="1078"/>
      <c r="BU3" s="1078"/>
      <c r="BV3" s="1078"/>
      <c r="BW3" s="1078"/>
      <c r="BX3" s="1078"/>
      <c r="BY3" s="1078"/>
      <c r="BZ3" s="1078"/>
      <c r="CA3" s="1078"/>
      <c r="CB3" s="1078"/>
      <c r="CC3" s="1078"/>
      <c r="CD3" s="1078"/>
      <c r="CE3" s="1078"/>
      <c r="CF3" s="1078"/>
      <c r="CG3" s="1078"/>
      <c r="CH3" s="1078"/>
      <c r="CI3" s="1078"/>
      <c r="CJ3" s="1078"/>
      <c r="CK3" s="1078"/>
      <c r="CL3" s="1078"/>
      <c r="CM3" s="1078"/>
      <c r="CN3" s="1078"/>
      <c r="CO3" s="1078"/>
      <c r="CP3" s="1078"/>
      <c r="CQ3" s="1078"/>
      <c r="CR3" s="1078"/>
      <c r="CS3" s="1078"/>
      <c r="CT3" s="1078"/>
      <c r="CU3" s="1078"/>
      <c r="CV3" s="1078"/>
      <c r="CW3" s="1078"/>
      <c r="CX3" s="1078"/>
      <c r="CY3" s="1078"/>
      <c r="CZ3" s="1078"/>
      <c r="DA3" s="1078"/>
      <c r="DB3" s="1078"/>
      <c r="DC3" s="1078"/>
      <c r="DD3" s="1078"/>
      <c r="DE3" s="1078"/>
      <c r="DF3" s="1078"/>
      <c r="DG3" s="1078"/>
      <c r="DH3" s="1078"/>
      <c r="DI3" s="1078"/>
      <c r="DJ3" s="1078"/>
      <c r="DK3" s="1078"/>
      <c r="DL3" s="1078"/>
      <c r="DM3" s="1078"/>
      <c r="DN3" s="1078"/>
      <c r="DO3" s="1078"/>
      <c r="DP3" s="1078"/>
      <c r="DQ3" s="1078"/>
      <c r="DR3" s="1078"/>
      <c r="DS3" s="1078"/>
      <c r="DT3" s="1078"/>
      <c r="DU3" s="1078"/>
      <c r="DV3" s="1078"/>
      <c r="DW3" s="1078"/>
      <c r="DX3" s="1078"/>
      <c r="DY3" s="1078"/>
      <c r="DZ3" s="1078"/>
      <c r="EA3" s="1078"/>
      <c r="EB3" s="1078"/>
      <c r="EC3" s="1078"/>
      <c r="ED3" s="1078"/>
      <c r="EE3" s="1078"/>
      <c r="EF3" s="1078"/>
      <c r="EG3" s="1078"/>
      <c r="EH3" s="1078"/>
      <c r="EI3" s="1078"/>
      <c r="EJ3" s="1078"/>
      <c r="EK3" s="1078"/>
      <c r="EL3" s="1078"/>
      <c r="EM3" s="1078"/>
      <c r="EN3" s="1078"/>
      <c r="EO3" s="1078"/>
      <c r="EP3" s="1078"/>
      <c r="EQ3" s="1078"/>
      <c r="ER3" s="1079"/>
      <c r="ES3" s="1077"/>
      <c r="ET3" s="1078"/>
      <c r="EU3" s="1078"/>
      <c r="EV3" s="1078"/>
      <c r="EW3" s="1078"/>
      <c r="EX3" s="1078"/>
      <c r="EY3" s="1078"/>
      <c r="EZ3" s="1078"/>
      <c r="FA3" s="1078"/>
      <c r="FB3" s="1078"/>
      <c r="FC3" s="1078"/>
      <c r="FD3" s="1078"/>
      <c r="FE3" s="1078"/>
      <c r="FF3" s="1079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038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243"/>
      <c r="C4" s="1244"/>
      <c r="D4" s="1244"/>
      <c r="E4" s="1244"/>
      <c r="F4" s="1244"/>
      <c r="G4" s="1244"/>
      <c r="H4" s="1244"/>
      <c r="I4" s="1244"/>
      <c r="J4" s="1244"/>
      <c r="K4" s="1245"/>
      <c r="L4" s="985"/>
      <c r="M4" s="1241"/>
      <c r="N4" s="1184" t="s">
        <v>3</v>
      </c>
      <c r="O4" s="1182"/>
      <c r="P4" s="1182"/>
      <c r="Q4" s="1181" t="s">
        <v>4</v>
      </c>
      <c r="R4" s="1182"/>
      <c r="S4" s="1183"/>
      <c r="T4" s="1256" t="str">
        <f>N4</f>
        <v>Cartesian Coordinates</v>
      </c>
      <c r="U4" s="1165"/>
      <c r="V4" s="1257"/>
      <c r="W4" s="1165" t="str">
        <f>$Q$4</f>
        <v>Polar XY; Cartesian Z</v>
      </c>
      <c r="X4" s="1165"/>
      <c r="Y4" s="1231"/>
      <c r="Z4" s="1184" t="s">
        <v>3</v>
      </c>
      <c r="AA4" s="1182"/>
      <c r="AB4" s="1182"/>
      <c r="AC4" s="1182"/>
      <c r="AD4" s="1182"/>
      <c r="AE4" s="1182"/>
      <c r="AF4" s="1182"/>
      <c r="AG4" s="1194" t="s">
        <v>31</v>
      </c>
      <c r="AH4" s="1182"/>
      <c r="AI4" s="1182"/>
      <c r="AJ4" s="1183"/>
      <c r="AK4" s="1146" t="s">
        <v>32</v>
      </c>
      <c r="AL4" s="1147"/>
      <c r="AM4" s="1147"/>
      <c r="AN4" s="1147"/>
      <c r="AO4" s="1147"/>
      <c r="AP4" s="1147"/>
      <c r="AQ4" s="1148"/>
      <c r="AS4" s="467">
        <v>125</v>
      </c>
      <c r="AT4" s="464" t="s">
        <v>46</v>
      </c>
      <c r="AV4" s="1199"/>
      <c r="AW4" s="1097" t="s">
        <v>112</v>
      </c>
      <c r="AX4" s="1001"/>
      <c r="AY4" s="921"/>
      <c r="AZ4" s="1159"/>
      <c r="BA4" s="1160"/>
      <c r="BB4" s="1162" t="s">
        <v>113</v>
      </c>
      <c r="BC4" s="1165" t="str">
        <f>$Q$4</f>
        <v>Polar XY; Cartesian Z</v>
      </c>
      <c r="BD4" s="1165"/>
      <c r="BE4" s="1166"/>
      <c r="BF4" s="1117" t="s">
        <v>129</v>
      </c>
      <c r="BG4" s="1118"/>
      <c r="BH4" s="1118"/>
      <c r="BI4" s="1118"/>
      <c r="BJ4" s="1118"/>
      <c r="BK4" s="1118"/>
      <c r="BL4" s="1118"/>
      <c r="BM4" s="1118"/>
      <c r="BN4" s="1118"/>
      <c r="BO4" s="1118"/>
      <c r="BP4" s="1118"/>
      <c r="BQ4" s="1118"/>
      <c r="BR4" s="1118"/>
      <c r="BS4" s="1118"/>
      <c r="BT4" s="1118"/>
      <c r="BU4" s="1118"/>
      <c r="BV4" s="1118"/>
      <c r="BW4" s="1118"/>
      <c r="BX4" s="1118"/>
      <c r="BY4" s="1118"/>
      <c r="BZ4" s="1118"/>
      <c r="CA4" s="1118"/>
      <c r="CB4" s="1118"/>
      <c r="CC4" s="1118"/>
      <c r="CD4" s="1118"/>
      <c r="CE4" s="1118"/>
      <c r="CF4" s="1118"/>
      <c r="CG4" s="1118"/>
      <c r="CH4" s="1118"/>
      <c r="CI4" s="1118"/>
      <c r="CJ4" s="1118"/>
      <c r="CK4" s="1118"/>
      <c r="CL4" s="1118"/>
      <c r="CM4" s="1118"/>
      <c r="CN4" s="1119"/>
      <c r="CO4" s="1155" t="s">
        <v>193</v>
      </c>
      <c r="CP4" s="1156"/>
      <c r="CQ4" s="1156"/>
      <c r="CR4" s="1156"/>
      <c r="CS4" s="1156"/>
      <c r="CT4" s="1156"/>
      <c r="CU4" s="1156"/>
      <c r="CV4" s="1156"/>
      <c r="CW4" s="1156"/>
      <c r="CX4" s="1156"/>
      <c r="CY4" s="1156"/>
      <c r="CZ4" s="1156"/>
      <c r="DA4" s="1157"/>
      <c r="DB4" s="1069" t="s">
        <v>162</v>
      </c>
      <c r="DC4" s="1070"/>
      <c r="DD4" s="1070"/>
      <c r="DE4" s="1070"/>
      <c r="DF4" s="1070"/>
      <c r="DG4" s="1070"/>
      <c r="DH4" s="1070"/>
      <c r="DI4" s="1070"/>
      <c r="DJ4" s="1070"/>
      <c r="DK4" s="1070"/>
      <c r="DL4" s="1070"/>
      <c r="DM4" s="1070"/>
      <c r="DN4" s="1070"/>
      <c r="DO4" s="1070"/>
      <c r="DP4" s="1070"/>
      <c r="DQ4" s="1070"/>
      <c r="DR4" s="1070"/>
      <c r="DS4" s="1070"/>
      <c r="DT4" s="1070"/>
      <c r="DU4" s="1070"/>
      <c r="DV4" s="1070"/>
      <c r="DW4" s="1070"/>
      <c r="DX4" s="1070"/>
      <c r="DY4" s="1070"/>
      <c r="DZ4" s="1070"/>
      <c r="EA4" s="1070"/>
      <c r="EB4" s="1070"/>
      <c r="EC4" s="1070"/>
      <c r="ED4" s="1070"/>
      <c r="EE4" s="1070"/>
      <c r="EF4" s="1070"/>
      <c r="EG4" s="1070"/>
      <c r="EH4" s="1070"/>
      <c r="EI4" s="1070"/>
      <c r="EJ4" s="1070"/>
      <c r="EK4" s="1070"/>
      <c r="EL4" s="1070"/>
      <c r="EM4" s="1070"/>
      <c r="EN4" s="1070"/>
      <c r="EO4" s="1070"/>
      <c r="EP4" s="1070"/>
      <c r="EQ4" s="1070"/>
      <c r="ER4" s="1071"/>
      <c r="ES4" s="1091" t="s">
        <v>196</v>
      </c>
      <c r="ET4" s="1092"/>
      <c r="EU4" s="1092"/>
      <c r="EV4" s="1092"/>
      <c r="EW4" s="1092"/>
      <c r="EX4" s="1092"/>
      <c r="EY4" s="1093"/>
      <c r="EZ4" s="1101" t="s">
        <v>201</v>
      </c>
      <c r="FA4" s="1102"/>
      <c r="FB4" s="1102"/>
      <c r="FC4" s="1102"/>
      <c r="FD4" s="1102"/>
      <c r="FE4" s="1102"/>
      <c r="FF4" s="1103"/>
      <c r="FG4" s="343"/>
      <c r="FP4" s="1037" t="s">
        <v>229</v>
      </c>
      <c r="FZ4" s="1037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991"/>
      <c r="GO4" s="993" t="s">
        <v>229</v>
      </c>
      <c r="GP4" s="997" t="s">
        <v>228</v>
      </c>
      <c r="GR4" s="1003" t="s">
        <v>261</v>
      </c>
      <c r="GS4" s="930" t="s">
        <v>259</v>
      </c>
      <c r="GT4" s="873"/>
      <c r="GU4" s="873"/>
      <c r="GV4" s="873"/>
      <c r="GW4" s="873"/>
      <c r="GX4" s="873"/>
      <c r="GY4" s="873"/>
      <c r="GZ4" s="873"/>
      <c r="HA4" s="1049" t="str">
        <f>IFERROR(CONCATENATE("Lateral Forces = ",ROUND(HE3,0)," lbs @ ",ROUND(HF3,1),"° Relative to Blade 1"),"")</f>
        <v/>
      </c>
      <c r="HB4" s="1050"/>
      <c r="HC4" s="1050"/>
      <c r="HD4" s="1050"/>
      <c r="HE4" s="1050"/>
      <c r="HF4" s="1050"/>
      <c r="HG4" s="1050"/>
      <c r="HH4" s="1051"/>
      <c r="HI4" s="1057" t="s">
        <v>0</v>
      </c>
      <c r="HO4" s="1039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32</v>
      </c>
      <c r="IL4" s="31"/>
      <c r="IM4" s="767"/>
    </row>
    <row r="5" spans="1:283" ht="15" customHeight="1" x14ac:dyDescent="0.25">
      <c r="B5" s="1232" t="str">
        <f>CONCATENATE(B7," ; ",E7," ; ",H7)</f>
        <v>Absolute-Point ; Incremental-Vector Point ; Pocket Info.</v>
      </c>
      <c r="C5" s="1233"/>
      <c r="D5" s="1233"/>
      <c r="E5" s="1233"/>
      <c r="F5" s="1233"/>
      <c r="G5" s="1233"/>
      <c r="H5" s="1233"/>
      <c r="I5" s="1233"/>
      <c r="J5" s="1233"/>
      <c r="K5" s="1234"/>
      <c r="L5" s="843"/>
      <c r="M5" s="1241"/>
      <c r="N5" s="1189" t="s">
        <v>5</v>
      </c>
      <c r="O5" s="1150"/>
      <c r="P5" s="1150"/>
      <c r="Q5" s="1217" t="s">
        <v>6</v>
      </c>
      <c r="R5" s="1150"/>
      <c r="S5" s="1151"/>
      <c r="T5" s="1134" t="str">
        <f>CONCATENATE("Relative to ",M8,"'s θ about Z Axis")</f>
        <v>Relative to 1.111's θ about Z Axis</v>
      </c>
      <c r="U5" s="1135"/>
      <c r="V5" s="1136"/>
      <c r="W5" s="1135" t="str">
        <f>CONCATENATE("Relative to ",M8,"'s θ about Z Axis")</f>
        <v>Relative to 1.111's θ about Z Axis</v>
      </c>
      <c r="X5" s="1135"/>
      <c r="Y5" s="1258"/>
      <c r="Z5" s="1248" t="str">
        <f>N5</f>
        <v>Relative to World_CS</v>
      </c>
      <c r="AA5" s="1135"/>
      <c r="AB5" s="1135"/>
      <c r="AC5" s="1135"/>
      <c r="AD5" s="1135"/>
      <c r="AE5" s="1135"/>
      <c r="AF5" s="1135"/>
      <c r="AG5" s="1134" t="str">
        <f>N5</f>
        <v>Relative to World_CS</v>
      </c>
      <c r="AH5" s="1135"/>
      <c r="AI5" s="1135"/>
      <c r="AJ5" s="1172"/>
      <c r="AK5" s="1149" t="s">
        <v>7</v>
      </c>
      <c r="AL5" s="1150"/>
      <c r="AM5" s="1150"/>
      <c r="AN5" s="1150"/>
      <c r="AO5" s="1150"/>
      <c r="AP5" s="1150"/>
      <c r="AQ5" s="1151"/>
      <c r="AS5" s="171">
        <f>(((AS4*12)/60)/AS3)</f>
        <v>0.25</v>
      </c>
      <c r="AT5" s="464" t="s">
        <v>47</v>
      </c>
      <c r="AV5" s="1199"/>
      <c r="AW5" s="1175"/>
      <c r="AX5" s="1176"/>
      <c r="AY5" s="1177"/>
      <c r="AZ5" s="1009"/>
      <c r="BA5" s="911"/>
      <c r="BB5" s="1163"/>
      <c r="BC5" s="1171" t="str">
        <f>$W$5</f>
        <v>Relative to 1.111's θ about Z Axis</v>
      </c>
      <c r="BD5" s="1135"/>
      <c r="BE5" s="1172"/>
      <c r="BF5" s="930" t="s">
        <v>128</v>
      </c>
      <c r="BG5" s="873"/>
      <c r="BH5" s="873"/>
      <c r="BI5" s="873"/>
      <c r="BJ5" s="873"/>
      <c r="BK5" s="873"/>
      <c r="BL5" s="873"/>
      <c r="BM5" s="873"/>
      <c r="BN5" s="873"/>
      <c r="BO5" s="873"/>
      <c r="BP5" s="873"/>
      <c r="BQ5" s="873"/>
      <c r="BR5" s="874"/>
      <c r="BS5" s="930" t="s">
        <v>130</v>
      </c>
      <c r="BT5" s="873"/>
      <c r="BU5" s="873"/>
      <c r="BV5" s="873"/>
      <c r="BW5" s="873"/>
      <c r="BX5" s="873"/>
      <c r="BY5" s="873"/>
      <c r="BZ5" s="873"/>
      <c r="CA5" s="873"/>
      <c r="CB5" s="873"/>
      <c r="CC5" s="873"/>
      <c r="CD5" s="873"/>
      <c r="CE5" s="874"/>
      <c r="CF5" s="930" t="s">
        <v>138</v>
      </c>
      <c r="CG5" s="873"/>
      <c r="CH5" s="874"/>
      <c r="CI5" s="930" t="s">
        <v>139</v>
      </c>
      <c r="CJ5" s="873"/>
      <c r="CK5" s="873"/>
      <c r="CL5" s="873"/>
      <c r="CM5" s="873"/>
      <c r="CN5" s="874"/>
      <c r="CO5" s="1019" t="s">
        <v>275</v>
      </c>
      <c r="CP5" s="1019" t="s">
        <v>149</v>
      </c>
      <c r="CQ5" s="1001"/>
      <c r="CR5" s="1001"/>
      <c r="CS5" s="931"/>
      <c r="CT5" s="1001" t="s">
        <v>150</v>
      </c>
      <c r="CU5" s="921"/>
      <c r="CV5" s="930" t="s">
        <v>161</v>
      </c>
      <c r="CW5" s="873"/>
      <c r="CX5" s="873"/>
      <c r="CY5" s="873"/>
      <c r="CZ5" s="873"/>
      <c r="DA5" s="874"/>
      <c r="DB5" s="930" t="s">
        <v>163</v>
      </c>
      <c r="DC5" s="873"/>
      <c r="DD5" s="873"/>
      <c r="DE5" s="873"/>
      <c r="DF5" s="873"/>
      <c r="DG5" s="873"/>
      <c r="DH5" s="874"/>
      <c r="DI5" s="1026" t="s">
        <v>173</v>
      </c>
      <c r="DJ5" s="1026"/>
      <c r="DK5" s="1127"/>
      <c r="DL5" s="1025" t="s">
        <v>174</v>
      </c>
      <c r="DM5" s="1026"/>
      <c r="DN5" s="1027"/>
      <c r="DO5" s="1129" t="s">
        <v>175</v>
      </c>
      <c r="DP5" s="1130"/>
      <c r="DQ5" s="1130"/>
      <c r="DR5" s="1018" t="s">
        <v>187</v>
      </c>
      <c r="DS5" s="1018"/>
      <c r="DT5" s="1018"/>
      <c r="DU5" s="1018"/>
      <c r="DV5" s="1018"/>
      <c r="DW5" s="1018"/>
      <c r="DX5" s="1019" t="s">
        <v>190</v>
      </c>
      <c r="DY5" s="952" t="s">
        <v>149</v>
      </c>
      <c r="DZ5" s="1018"/>
      <c r="EA5" s="1018"/>
      <c r="EB5" s="1018"/>
      <c r="EC5" s="1018" t="s">
        <v>150</v>
      </c>
      <c r="ED5" s="1018"/>
      <c r="EE5" s="1003" t="s">
        <v>194</v>
      </c>
      <c r="EF5" s="1003"/>
      <c r="EG5" s="1015"/>
      <c r="EH5" s="1031" t="s">
        <v>195</v>
      </c>
      <c r="EI5" s="1032"/>
      <c r="EJ5" s="1033"/>
      <c r="EK5" s="1018" t="s">
        <v>188</v>
      </c>
      <c r="EL5" s="1019"/>
      <c r="EM5" s="930" t="s">
        <v>189</v>
      </c>
      <c r="EN5" s="873"/>
      <c r="EO5" s="873"/>
      <c r="EP5" s="873"/>
      <c r="EQ5" s="873"/>
      <c r="ER5" s="1120"/>
      <c r="ES5" s="1097" t="s">
        <v>202</v>
      </c>
      <c r="ET5" s="1001"/>
      <c r="EU5" s="931"/>
      <c r="EV5" s="1094" t="s">
        <v>222</v>
      </c>
      <c r="EW5" s="1095"/>
      <c r="EX5" s="1095"/>
      <c r="EY5" s="1096"/>
      <c r="EZ5" s="1086" t="s">
        <v>200</v>
      </c>
      <c r="FA5" s="925" t="s">
        <v>202</v>
      </c>
      <c r="FB5" s="1111"/>
      <c r="FC5" s="926"/>
      <c r="FD5" s="1012" t="s">
        <v>222</v>
      </c>
      <c r="FE5" s="1013"/>
      <c r="FF5" s="1014"/>
      <c r="FP5" s="1039"/>
      <c r="FQ5" s="31"/>
      <c r="FR5" s="31"/>
      <c r="FS5" s="31"/>
      <c r="FT5" s="31"/>
      <c r="FZ5" s="1039"/>
      <c r="GJ5" s="989" t="s">
        <v>269</v>
      </c>
      <c r="GK5" s="1062" t="s">
        <v>267</v>
      </c>
      <c r="GL5" s="1064" t="s">
        <v>110</v>
      </c>
      <c r="GM5" s="1064" t="s">
        <v>111</v>
      </c>
      <c r="GN5" s="1065"/>
      <c r="GO5" s="994"/>
      <c r="GP5" s="998"/>
      <c r="GQ5" s="31"/>
      <c r="GR5" s="985"/>
      <c r="GS5" s="1009" t="s">
        <v>248</v>
      </c>
      <c r="GT5" s="1010"/>
      <c r="GU5" s="1005" t="s">
        <v>249</v>
      </c>
      <c r="GV5" s="1006"/>
      <c r="GW5" s="1007"/>
      <c r="GX5" s="1008"/>
      <c r="GY5" s="992" t="s">
        <v>107</v>
      </c>
      <c r="GZ5" s="913"/>
      <c r="HA5" s="1046" t="s">
        <v>248</v>
      </c>
      <c r="HB5" s="1047"/>
      <c r="HC5" s="1047"/>
      <c r="HD5" s="1048"/>
      <c r="HE5" s="1072" t="s">
        <v>249</v>
      </c>
      <c r="HF5" s="1047"/>
      <c r="HG5" s="1047"/>
      <c r="HH5" s="1073"/>
      <c r="HI5" s="1058"/>
      <c r="HN5" s="386" t="s">
        <v>263</v>
      </c>
      <c r="HO5" s="58" t="s">
        <v>264</v>
      </c>
      <c r="HS5" s="1052" t="s">
        <v>274</v>
      </c>
      <c r="HZ5" s="383"/>
    </row>
    <row r="6" spans="1:283" ht="15" customHeight="1" thickBot="1" x14ac:dyDescent="0.4">
      <c r="B6" s="1235"/>
      <c r="C6" s="1236"/>
      <c r="D6" s="1236"/>
      <c r="E6" s="1236"/>
      <c r="F6" s="1236"/>
      <c r="G6" s="1236"/>
      <c r="H6" s="1236"/>
      <c r="I6" s="1236"/>
      <c r="J6" s="1236"/>
      <c r="K6" s="1237"/>
      <c r="L6" s="985" t="str" cm="1">
        <f t="array" ref="L6">IF(OR($K$9:$K$150="Inactive"),"Inactive Element","")</f>
        <v/>
      </c>
      <c r="M6" s="1241"/>
      <c r="N6" s="1185" t="s">
        <v>8</v>
      </c>
      <c r="O6" s="1187" t="s">
        <v>9</v>
      </c>
      <c r="P6" s="1215" t="s">
        <v>10</v>
      </c>
      <c r="Q6" s="1190" t="s">
        <v>11</v>
      </c>
      <c r="R6" s="1191"/>
      <c r="S6" s="1178" t="s">
        <v>10</v>
      </c>
      <c r="T6" s="1211" t="str">
        <f>N6</f>
        <v>X</v>
      </c>
      <c r="U6" s="1213" t="str">
        <f>O6</f>
        <v>Y</v>
      </c>
      <c r="V6" s="1254" t="str">
        <f>P6</f>
        <v>Z</v>
      </c>
      <c r="W6" s="1167" t="str">
        <f>$Q$6</f>
        <v>Projected XY</v>
      </c>
      <c r="X6" s="1168"/>
      <c r="Y6" s="1209" t="str">
        <f>$S$6</f>
        <v>Z</v>
      </c>
      <c r="Z6" s="1195" t="s">
        <v>12</v>
      </c>
      <c r="AA6" s="1196"/>
      <c r="AB6" s="1196"/>
      <c r="AC6" s="1197"/>
      <c r="AD6" s="1181" t="s">
        <v>13</v>
      </c>
      <c r="AE6" s="1182"/>
      <c r="AF6" s="1182"/>
      <c r="AG6" s="1194" t="s">
        <v>7</v>
      </c>
      <c r="AH6" s="1182"/>
      <c r="AI6" s="1181" t="s">
        <v>14</v>
      </c>
      <c r="AJ6" s="1183"/>
      <c r="AK6" s="1137" t="str">
        <f>AD6</f>
        <v>Unit Vector</v>
      </c>
      <c r="AL6" s="1138"/>
      <c r="AM6" s="1139"/>
      <c r="AN6" s="34" t="s">
        <v>15</v>
      </c>
      <c r="AO6" s="35" t="s">
        <v>16</v>
      </c>
      <c r="AP6" s="737" t="s">
        <v>17</v>
      </c>
      <c r="AQ6" s="1201" t="s">
        <v>108</v>
      </c>
      <c r="AS6" s="172">
        <f>(AS5/360)</f>
        <v>6.9444444444444447E-4</v>
      </c>
      <c r="AT6" s="465" t="s">
        <v>48</v>
      </c>
      <c r="AV6" s="1199"/>
      <c r="AW6" s="1192" t="s">
        <v>105</v>
      </c>
      <c r="AX6" s="1193"/>
      <c r="AY6" s="195" t="s">
        <v>110</v>
      </c>
      <c r="AZ6" s="1173" t="s">
        <v>111</v>
      </c>
      <c r="BA6" s="1174"/>
      <c r="BB6" s="1164"/>
      <c r="BC6" s="1167" t="str">
        <f>$Q$6</f>
        <v>Projected XY</v>
      </c>
      <c r="BD6" s="1168"/>
      <c r="BE6" s="1169" t="str">
        <f>$S$6</f>
        <v>Z</v>
      </c>
      <c r="BF6" s="880" t="s">
        <v>125</v>
      </c>
      <c r="BG6" s="876"/>
      <c r="BH6" s="988"/>
      <c r="BI6" s="878" t="s">
        <v>126</v>
      </c>
      <c r="BJ6" s="876"/>
      <c r="BK6" s="877"/>
      <c r="BL6" s="881" t="s">
        <v>127</v>
      </c>
      <c r="BM6" s="876"/>
      <c r="BN6" s="882"/>
      <c r="BO6" s="880" t="s">
        <v>135</v>
      </c>
      <c r="BP6" s="876"/>
      <c r="BQ6" s="876"/>
      <c r="BR6" s="882"/>
      <c r="BS6" s="880" t="s">
        <v>125</v>
      </c>
      <c r="BT6" s="876"/>
      <c r="BU6" s="988"/>
      <c r="BV6" s="878" t="s">
        <v>126</v>
      </c>
      <c r="BW6" s="876"/>
      <c r="BX6" s="877"/>
      <c r="BY6" s="881" t="s">
        <v>127</v>
      </c>
      <c r="BZ6" s="876"/>
      <c r="CA6" s="882"/>
      <c r="CB6" s="880" t="s">
        <v>135</v>
      </c>
      <c r="CC6" s="876"/>
      <c r="CD6" s="876"/>
      <c r="CE6" s="882"/>
      <c r="CF6" s="886" t="s">
        <v>136</v>
      </c>
      <c r="CG6" s="1122"/>
      <c r="CH6" s="1122"/>
      <c r="CI6" s="1124" t="s">
        <v>137</v>
      </c>
      <c r="CJ6" s="1122"/>
      <c r="CK6" s="887"/>
      <c r="CL6" s="1121" t="s">
        <v>140</v>
      </c>
      <c r="CM6" s="1122"/>
      <c r="CN6" s="1123"/>
      <c r="CO6" s="1021"/>
      <c r="CP6" s="1021"/>
      <c r="CQ6" s="1099"/>
      <c r="CR6" s="1099"/>
      <c r="CS6" s="1100"/>
      <c r="CT6" s="1099"/>
      <c r="CU6" s="1158"/>
      <c r="CV6" s="1180" t="s">
        <v>147</v>
      </c>
      <c r="CW6" s="876"/>
      <c r="CX6" s="877"/>
      <c r="CY6" s="1115" t="s">
        <v>148</v>
      </c>
      <c r="CZ6" s="1042"/>
      <c r="DA6" s="1116"/>
      <c r="DB6" s="1125" t="s">
        <v>176</v>
      </c>
      <c r="DC6" s="975"/>
      <c r="DD6" s="976"/>
      <c r="DE6" s="1126" t="s">
        <v>177</v>
      </c>
      <c r="DF6" s="975"/>
      <c r="DG6" s="976"/>
      <c r="DH6" s="253" t="s">
        <v>29</v>
      </c>
      <c r="DI6" s="1029"/>
      <c r="DJ6" s="1029"/>
      <c r="DK6" s="1128"/>
      <c r="DL6" s="1028"/>
      <c r="DM6" s="1029"/>
      <c r="DN6" s="1030"/>
      <c r="DO6" s="1131"/>
      <c r="DP6" s="1132"/>
      <c r="DQ6" s="1132"/>
      <c r="DR6" s="1020"/>
      <c r="DS6" s="1020"/>
      <c r="DT6" s="1020"/>
      <c r="DU6" s="1020"/>
      <c r="DV6" s="1020"/>
      <c r="DW6" s="1020"/>
      <c r="DX6" s="1021"/>
      <c r="DY6" s="1133"/>
      <c r="DZ6" s="1020"/>
      <c r="EA6" s="1020"/>
      <c r="EB6" s="1020"/>
      <c r="EC6" s="1020"/>
      <c r="ED6" s="1020"/>
      <c r="EE6" s="1016"/>
      <c r="EF6" s="1016"/>
      <c r="EG6" s="1017"/>
      <c r="EH6" s="1034"/>
      <c r="EI6" s="1035"/>
      <c r="EJ6" s="1036"/>
      <c r="EK6" s="1020"/>
      <c r="EL6" s="1021"/>
      <c r="EM6" s="1022" t="s">
        <v>199</v>
      </c>
      <c r="EN6" s="1023"/>
      <c r="EO6" s="1024"/>
      <c r="EP6" s="1104" t="s">
        <v>198</v>
      </c>
      <c r="EQ6" s="1023"/>
      <c r="ER6" s="1106"/>
      <c r="ES6" s="1098"/>
      <c r="ET6" s="1099"/>
      <c r="EU6" s="1100"/>
      <c r="EV6" s="274" t="s">
        <v>221</v>
      </c>
      <c r="EW6" s="1104" t="s">
        <v>202</v>
      </c>
      <c r="EX6" s="1023"/>
      <c r="EY6" s="1105"/>
      <c r="EZ6" s="1087"/>
      <c r="FA6" s="1112"/>
      <c r="FB6" s="1113"/>
      <c r="FC6" s="1114"/>
      <c r="FD6" s="1022" t="s">
        <v>202</v>
      </c>
      <c r="FE6" s="1023"/>
      <c r="FF6" s="1106"/>
      <c r="FG6" s="1108" t="s">
        <v>224</v>
      </c>
      <c r="FH6" s="1109"/>
      <c r="FI6" s="1110"/>
      <c r="FJ6" s="1018" t="s">
        <v>203</v>
      </c>
      <c r="FK6" s="1019" t="s">
        <v>214</v>
      </c>
      <c r="FL6" s="1001"/>
      <c r="FM6" s="931"/>
      <c r="FN6" s="1082" t="s">
        <v>204</v>
      </c>
      <c r="FO6" s="1089" t="s">
        <v>227</v>
      </c>
      <c r="FP6" s="1080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19" t="s">
        <v>218</v>
      </c>
      <c r="FV6" s="1001"/>
      <c r="FW6" s="931"/>
      <c r="FX6" s="1082" t="s">
        <v>219</v>
      </c>
      <c r="FY6" s="1089" t="s">
        <v>227</v>
      </c>
      <c r="FZ6" s="1080" t="s">
        <v>225</v>
      </c>
      <c r="GA6" s="1084" t="s">
        <v>239</v>
      </c>
      <c r="GB6" s="336" t="s">
        <v>207</v>
      </c>
      <c r="GC6" s="337" t="s">
        <v>240</v>
      </c>
      <c r="GD6" s="338" t="s">
        <v>226</v>
      </c>
      <c r="GE6" s="986"/>
      <c r="GF6" s="1015" t="s">
        <v>260</v>
      </c>
      <c r="GG6" s="336" t="s">
        <v>207</v>
      </c>
      <c r="GH6" s="337" t="s">
        <v>240</v>
      </c>
      <c r="GI6" s="338" t="s">
        <v>226</v>
      </c>
      <c r="GJ6" s="990"/>
      <c r="GK6" s="1063"/>
      <c r="GL6" s="1066"/>
      <c r="GM6" s="1066"/>
      <c r="GN6" s="1067"/>
      <c r="GO6" s="995" t="s">
        <v>238</v>
      </c>
      <c r="GP6" s="999" t="s">
        <v>225</v>
      </c>
      <c r="GQ6" s="1001" t="s">
        <v>203</v>
      </c>
      <c r="GR6" s="985"/>
      <c r="GS6" s="1055" t="s">
        <v>252</v>
      </c>
      <c r="GT6" s="1056"/>
      <c r="GU6" s="1041" t="s">
        <v>251</v>
      </c>
      <c r="GV6" s="1042"/>
      <c r="GW6" s="1042"/>
      <c r="GX6" s="361" t="s">
        <v>106</v>
      </c>
      <c r="GY6" s="878" t="s">
        <v>250</v>
      </c>
      <c r="GZ6" s="988"/>
      <c r="HA6" s="974" t="s">
        <v>252</v>
      </c>
      <c r="HB6" s="975"/>
      <c r="HC6" s="975"/>
      <c r="HD6" s="976"/>
      <c r="HE6" s="878" t="s">
        <v>251</v>
      </c>
      <c r="HF6" s="876"/>
      <c r="HG6" s="876"/>
      <c r="HH6" s="882"/>
      <c r="HI6" s="1058"/>
      <c r="HN6" s="969" t="s">
        <v>238</v>
      </c>
      <c r="HO6" s="972" t="s">
        <v>265</v>
      </c>
      <c r="HP6" s="952" t="s">
        <v>203</v>
      </c>
      <c r="HQ6" s="391"/>
      <c r="HS6" s="1053"/>
      <c r="HT6" s="904" t="s">
        <v>270</v>
      </c>
      <c r="HU6" s="902"/>
      <c r="HV6" s="991"/>
      <c r="HW6" s="930" t="s">
        <v>258</v>
      </c>
      <c r="HX6" s="873"/>
      <c r="HY6" s="874"/>
      <c r="HZ6" s="930" t="s">
        <v>249</v>
      </c>
      <c r="IA6" s="904"/>
      <c r="IE6" s="853"/>
      <c r="IF6" s="853"/>
    </row>
    <row r="7" spans="1:283" ht="15" customHeight="1" thickBot="1" x14ac:dyDescent="0.4">
      <c r="A7" s="143"/>
      <c r="B7" s="1249" t="s">
        <v>40</v>
      </c>
      <c r="C7" s="1250"/>
      <c r="D7" s="1251"/>
      <c r="E7" s="1252" t="s">
        <v>41</v>
      </c>
      <c r="F7" s="1250"/>
      <c r="G7" s="1253"/>
      <c r="H7" s="1228" t="s">
        <v>98</v>
      </c>
      <c r="I7" s="1229"/>
      <c r="J7" s="1230"/>
      <c r="K7" s="173"/>
      <c r="L7" s="985"/>
      <c r="M7" s="1247"/>
      <c r="N7" s="1186"/>
      <c r="O7" s="1188"/>
      <c r="P7" s="1216"/>
      <c r="Q7" s="36" t="s">
        <v>18</v>
      </c>
      <c r="R7" s="2" t="s">
        <v>19</v>
      </c>
      <c r="S7" s="1179"/>
      <c r="T7" s="1212"/>
      <c r="U7" s="1214"/>
      <c r="V7" s="1255"/>
      <c r="W7" s="37" t="str">
        <f>$Q$7</f>
        <v>&lt; θ°</v>
      </c>
      <c r="X7" s="27" t="str">
        <f>$R$7</f>
        <v>r</v>
      </c>
      <c r="Y7" s="1210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02"/>
      <c r="AS7" s="1207" t="s">
        <v>54</v>
      </c>
      <c r="AT7" s="1205" t="s">
        <v>53</v>
      </c>
      <c r="AV7" s="1199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64"/>
      <c r="BC7" s="37" t="str">
        <f>$Q$7</f>
        <v>&lt; θ°</v>
      </c>
      <c r="BD7" s="27" t="str">
        <f>$R$7</f>
        <v>r</v>
      </c>
      <c r="BE7" s="1170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088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07"/>
      <c r="FK7" s="350" t="s">
        <v>211</v>
      </c>
      <c r="FL7" s="351" t="s">
        <v>212</v>
      </c>
      <c r="FM7" s="352" t="s">
        <v>213</v>
      </c>
      <c r="FN7" s="1083"/>
      <c r="FO7" s="1090"/>
      <c r="FP7" s="1081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083"/>
      <c r="FY7" s="1090"/>
      <c r="FZ7" s="1081"/>
      <c r="GA7" s="1085"/>
      <c r="GB7" s="223" t="s">
        <v>232</v>
      </c>
      <c r="GC7" s="131" t="s">
        <v>233</v>
      </c>
      <c r="GD7" s="224" t="s">
        <v>234</v>
      </c>
      <c r="GE7" s="987"/>
      <c r="GF7" s="104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996"/>
      <c r="GP7" s="1000"/>
      <c r="GQ7" s="1002"/>
      <c r="GR7" s="1004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059"/>
      <c r="HJ7" s="31"/>
      <c r="HK7" s="1037" t="s">
        <v>246</v>
      </c>
      <c r="HL7" s="1037" t="s">
        <v>237</v>
      </c>
      <c r="HM7" s="920" t="s">
        <v>245</v>
      </c>
      <c r="HN7" s="970"/>
      <c r="HO7" s="1011"/>
      <c r="HP7" s="1060"/>
      <c r="HQ7" s="392"/>
      <c r="HR7" s="412"/>
      <c r="HS7" s="1053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884" t="s">
        <v>33</v>
      </c>
      <c r="IH7" s="977" t="s">
        <v>385</v>
      </c>
      <c r="II7" s="880" t="s">
        <v>333</v>
      </c>
      <c r="IJ7" s="881"/>
      <c r="IK7" s="881"/>
      <c r="IL7" s="876"/>
      <c r="IM7" s="876"/>
      <c r="IN7" s="876"/>
      <c r="IO7" s="877"/>
      <c r="IP7" s="878" t="s">
        <v>329</v>
      </c>
      <c r="IQ7" s="876"/>
      <c r="IR7" s="876"/>
      <c r="IS7" s="876"/>
      <c r="IT7" s="876"/>
      <c r="IU7" s="878" t="s">
        <v>328</v>
      </c>
      <c r="IV7" s="876"/>
      <c r="IW7" s="876"/>
      <c r="IX7" s="876"/>
      <c r="IY7" s="877"/>
      <c r="JA7" s="784"/>
      <c r="JB7" s="1218" t="s">
        <v>364</v>
      </c>
      <c r="JC7" s="1218"/>
      <c r="JD7" s="1218"/>
      <c r="JE7" s="1219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85"/>
      <c r="M8" s="462" cm="1">
        <f t="array" ref="M8">IF(AND(ISNUMBER('SN#.Run#'!$P$1),COUNT($M$9:$M$150)&gt;='SN#.Run#'!$P$1),INDEX($M$9:$M$150,'SN#.Run#'!$P$1),"")</f>
        <v>1.111</v>
      </c>
      <c r="N8" s="608"/>
      <c r="O8" s="609"/>
      <c r="P8" s="619"/>
      <c r="Q8" s="611">
        <f>IFERROR(INDEX(Q$9:Q$150,MATCH($M$8,$M$9:$M$150,0)),"")</f>
        <v>89.250000108286585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-9.0900274155226848E-2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08"/>
      <c r="AT8" s="1206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068"/>
      <c r="HL8" s="1068"/>
      <c r="HM8" s="932"/>
      <c r="HN8" s="971"/>
      <c r="HO8" s="973"/>
      <c r="HP8" s="1061"/>
      <c r="HQ8" s="393" t="s">
        <v>49</v>
      </c>
      <c r="HR8" s="413" t="s">
        <v>51</v>
      </c>
      <c r="HS8" s="1054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0.34130102936390455</v>
      </c>
      <c r="D9" s="704">
        <v>-0.36530110174812291</v>
      </c>
      <c r="E9" s="705">
        <v>-0.93969263802333458</v>
      </c>
      <c r="F9" s="703">
        <v>-5.3503723084143327E-2</v>
      </c>
      <c r="G9" s="706">
        <v>0.33780926224850871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0.34130102936390455</v>
      </c>
      <c r="P9" s="625">
        <f t="shared" ref="P9:P40" si="4">IF(M9="","",D9)</f>
        <v>-0.36530110174812291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0.34130102936390455</v>
      </c>
      <c r="S9" s="626">
        <f>IF(M9="","",P9)</f>
        <v>-0.36530110174812291</v>
      </c>
      <c r="T9" s="627">
        <f>IF(M9="","",X9*COS(RADIANS(W9)))</f>
        <v>0.34127178928516838</v>
      </c>
      <c r="U9" s="624">
        <f>IF(M9="","",X9*SIN(RADIANS(W9)))</f>
        <v>4.4674917974679047E-3</v>
      </c>
      <c r="V9" s="628">
        <f>IF(M9="","",Y9)</f>
        <v>-0.36530110174812291</v>
      </c>
      <c r="W9" s="583">
        <f t="shared" ref="W9:W14" si="5">IF(M9="","",IF(Q9-$Q$8&lt;0,360+Q9-$Q$8,Q9-$Q$8))</f>
        <v>0.74999989171341497</v>
      </c>
      <c r="X9" s="629">
        <f>IF(M9="","",R9)</f>
        <v>0.34130102936390455</v>
      </c>
      <c r="Y9" s="630">
        <f>IF(M9="","",S9)</f>
        <v>-0.36530110174812291</v>
      </c>
      <c r="Z9" s="623">
        <f t="shared" ref="Z9:Z40" si="6">IF(M9="","",-E9)</f>
        <v>0.93969263802333458</v>
      </c>
      <c r="AA9" s="624">
        <f t="shared" ref="AA9:AA40" si="7">IF(M9="","",-F9)</f>
        <v>5.3503723084143327E-2</v>
      </c>
      <c r="AB9" s="624">
        <f t="shared" ref="AB9:AB40" si="8">IF(M9="","",-G9)</f>
        <v>-0.33780926224850871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5.3503723084143327E-2</v>
      </c>
      <c r="AF9" s="625">
        <f>IF(M9="","",AB9*(1/SQRT(Z9^2+AA9^2+AB9^2)))</f>
        <v>-0.33780926224850871</v>
      </c>
      <c r="AG9" s="599">
        <f>IF(M9="","",DEGREES(ATAN2(-AF9,AE9)))</f>
        <v>8.9999987005609619</v>
      </c>
      <c r="AH9" s="600">
        <f>IF(M9="","",DEGREES(ACOS(AD9)))</f>
        <v>19.999997112357679</v>
      </c>
      <c r="AI9" s="583">
        <f>IF(M9="","",DEGREES(-ACOS(-AF9)))</f>
        <v>-70.256541427921746</v>
      </c>
      <c r="AJ9" s="601">
        <f>IF(M9="","",DEGREES(ATAN2(-AE9,AD9)))</f>
        <v>93.258758373305042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5.3503723084143327E-2</v>
      </c>
      <c r="AM9" s="626">
        <f>IF(M9="","",AF9)</f>
        <v>-0.33780926224850871</v>
      </c>
      <c r="AN9" s="581">
        <f>IF(M9="","",DEGREES(ATAN2(-AM9,AL9)))</f>
        <v>8.9999987005609619</v>
      </c>
      <c r="AO9" s="582">
        <f>IF(ROUND(IF(M9="",0,DEGREES(ACOS(AK9))),4)=90,0,IF(M9="","",DEGREES(ACOS(AK9))))</f>
        <v>19.999997112357679</v>
      </c>
      <c r="AP9" s="781">
        <f>IF(M9="","",DEGREES(ATAN2(AK9,AL9)))</f>
        <v>3.2587583733050414</v>
      </c>
      <c r="AQ9" s="584">
        <f t="shared" ref="AQ9:AQ40" si="9">IF(M9="","",DEGREES(ATAN(($AS$5*SIN(RADIANS(90)))/(($X9*2*PI())-($AS$5*COS(RADIANS(90)))))))</f>
        <v>6.6495031489303384</v>
      </c>
      <c r="AS9" s="51">
        <f>IF(M9="","",W9)</f>
        <v>0.74999989171341497</v>
      </c>
      <c r="AT9" s="71">
        <f t="shared" ref="AT9:AT40" si="10">IF(M9="","",Y9+(((AS9-$AS$9)*$AS$6)*-1))</f>
        <v>-0.36530110174812291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32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1.0310031095053782</v>
      </c>
      <c r="D10" s="709">
        <v>-0.25610077239992957</v>
      </c>
      <c r="E10" s="710">
        <v>-0.96592583607220739</v>
      </c>
      <c r="F10" s="708">
        <v>-4.0488207353615073E-2</v>
      </c>
      <c r="G10" s="711">
        <v>0.2556325180283171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1.0310031095053782</v>
      </c>
      <c r="P10" s="633">
        <f t="shared" si="4"/>
        <v>-0.25610077239992957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1.0310031095053782</v>
      </c>
      <c r="S10" s="634">
        <f t="shared" ref="S10:S105" si="80">IF(M10="","",P10)</f>
        <v>-0.25610077239992957</v>
      </c>
      <c r="T10" s="635">
        <f t="shared" ref="T10:T105" si="81">IF(M10="","",X10*COS(RADIANS(W10)))</f>
        <v>1.0309147809932864</v>
      </c>
      <c r="U10" s="629">
        <f t="shared" ref="U10:U105" si="82">IF(M10="","",X10*SIN(RADIANS(W10)))</f>
        <v>1.349541178783888E-2</v>
      </c>
      <c r="V10" s="636">
        <f>IF(M10="","",Y10)</f>
        <v>-0.25610077239992957</v>
      </c>
      <c r="W10" s="585">
        <f t="shared" si="5"/>
        <v>0.74999989171341497</v>
      </c>
      <c r="X10" s="629">
        <f t="shared" ref="X10:X105" si="83">IF(M10="","",R10)</f>
        <v>1.0310031095053782</v>
      </c>
      <c r="Y10" s="630">
        <f>IF(M10="","",S10)</f>
        <v>-0.25610077239992957</v>
      </c>
      <c r="Z10" s="632">
        <f t="shared" si="6"/>
        <v>0.96592583607220739</v>
      </c>
      <c r="AA10" s="629">
        <f t="shared" si="7"/>
        <v>4.0488207353615073E-2</v>
      </c>
      <c r="AB10" s="629">
        <f t="shared" si="8"/>
        <v>-0.2556325180283171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4.0488207353615073E-2</v>
      </c>
      <c r="AF10" s="633">
        <f t="shared" ref="AF10:AF105" si="86">IF(M10="","",AB10*(1/SQRT(Z10^2+AA10^2+AB10^2)))</f>
        <v>-0.2556325180283171</v>
      </c>
      <c r="AG10" s="602">
        <f t="shared" ref="AG10:AG105" si="87">IF(M10="","",DEGREES(ATAN2(-AF10,AE10)))</f>
        <v>8.9999987005609601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-75.188931961768461</v>
      </c>
      <c r="AJ10" s="586">
        <f t="shared" ref="AJ10:AJ105" si="90">IF(M10="","",DEGREES(ATAN2(-AE10,AD10)))</f>
        <v>92.400232109692112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4.0488207353615073E-2</v>
      </c>
      <c r="AM10" s="634">
        <f t="shared" ref="AM10:AM105" si="92">IF(M10="","",AF10)</f>
        <v>-0.2556325180283171</v>
      </c>
      <c r="AN10" s="581">
        <f t="shared" ref="AN10:AN105" si="93">IF(M10="","",DEGREES(ATAN2(-AM10,AL10)))</f>
        <v>8.9999987005609601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2.4002321096921237</v>
      </c>
      <c r="AQ10" s="586">
        <f t="shared" si="9"/>
        <v>2.2100766153686964</v>
      </c>
      <c r="AS10" s="52">
        <f>IF($M10="","",IF(AND($W10&lt;($AS$9+180),$W10&gt;($AS$9-180)),$W10,IF($W10&gt;($AS$9+180),$W10-360,IF($W10&lt;($AS$9-180),$W10+360,"Error"))))</f>
        <v>0.74999989171341497</v>
      </c>
      <c r="AT10" s="72">
        <f t="shared" si="10"/>
        <v>-0.25610077239992957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1.206654198691278E-3</v>
      </c>
      <c r="C11" s="708">
        <v>1.7284047916683918</v>
      </c>
      <c r="D11" s="709">
        <v>-0.14560043913092444</v>
      </c>
      <c r="E11" s="710">
        <v>-0.96585737235346603</v>
      </c>
      <c r="F11" s="708">
        <v>-2.6537085139240298E-2</v>
      </c>
      <c r="G11" s="711">
        <v>0.25771169818766632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1.206654198691278E-3</v>
      </c>
      <c r="O11" s="629">
        <f t="shared" si="3"/>
        <v>1.7284047916683918</v>
      </c>
      <c r="P11" s="633">
        <f t="shared" si="4"/>
        <v>-0.14560043913092444</v>
      </c>
      <c r="Q11" s="585">
        <f t="shared" ref="Q11:Q73" si="113">IF(M11="","",IF(DEGREES(ATAN2(N11,O11))&lt;0,DEGREES(ATAN2(N11,O11))+360,IF(DEGREES(ATAN2(N11,O11))&gt;360,DEGREES(ATAN2(N11,O11))-360,DEGREES(ATAN2(N11,O11)))))</f>
        <v>89.960000005775285</v>
      </c>
      <c r="R11" s="629">
        <f t="shared" si="79"/>
        <v>1.7284052128701222</v>
      </c>
      <c r="S11" s="634">
        <f t="shared" si="80"/>
        <v>-0.14560043913092444</v>
      </c>
      <c r="T11" s="635">
        <f t="shared" si="81"/>
        <v>1.7282725096927254</v>
      </c>
      <c r="U11" s="629">
        <f t="shared" si="82"/>
        <v>2.1417565618452868E-2</v>
      </c>
      <c r="V11" s="636">
        <f t="shared" ref="V11:V105" si="114">IF(M11="","",Y11)</f>
        <v>-0.14560043913092444</v>
      </c>
      <c r="W11" s="585">
        <f t="shared" si="5"/>
        <v>0.70999989748870007</v>
      </c>
      <c r="X11" s="629">
        <f>IF(M11="","",R11)</f>
        <v>1.7284052128701222</v>
      </c>
      <c r="Y11" s="630">
        <f>IF(M11="","",S11)</f>
        <v>-0.14560043913092444</v>
      </c>
      <c r="Z11" s="632">
        <f t="shared" si="6"/>
        <v>0.96585737235346603</v>
      </c>
      <c r="AA11" s="629">
        <f t="shared" si="7"/>
        <v>2.6537085139240298E-2</v>
      </c>
      <c r="AB11" s="629">
        <f t="shared" si="8"/>
        <v>-0.25771169818766632</v>
      </c>
      <c r="AC11" s="636">
        <f t="shared" si="84"/>
        <v>1</v>
      </c>
      <c r="AD11" s="637">
        <f t="shared" ref="AD11:AD105" si="115">IF(M11="","",Z11*(1/SQRT(Z11^2+AA11^2+AB11^2)))</f>
        <v>0.96585737235346603</v>
      </c>
      <c r="AE11" s="629">
        <f t="shared" si="85"/>
        <v>2.6537085139240298E-2</v>
      </c>
      <c r="AF11" s="633">
        <f t="shared" si="86"/>
        <v>-0.25771169818766632</v>
      </c>
      <c r="AG11" s="602">
        <f>IF(M11="","",DEGREES(ATAN2(-AF11,AE11)))</f>
        <v>5.879139294612628</v>
      </c>
      <c r="AH11" s="603">
        <f t="shared" si="88"/>
        <v>15.015146442725005</v>
      </c>
      <c r="AI11" s="585">
        <f t="shared" si="89"/>
        <v>-75.0656743769824</v>
      </c>
      <c r="AJ11" s="586">
        <f t="shared" si="90"/>
        <v>91.57381473135959</v>
      </c>
      <c r="AK11" s="635">
        <f>IF(M11="","",(COS(RADIANS((90-$Q$8)-W11))*AD11)+(-SIN(RADIANS((90-$Q$8)-W11))*AE11))</f>
        <v>0.96583861060375631</v>
      </c>
      <c r="AL11" s="629">
        <f t="shared" si="91"/>
        <v>2.7211374170274721E-2</v>
      </c>
      <c r="AM11" s="634">
        <f t="shared" si="92"/>
        <v>-0.25771169818766632</v>
      </c>
      <c r="AN11" s="581">
        <f>IF(M11="","",DEGREES(ATAN2(-AM11,AL11)))</f>
        <v>6.0274379379433887</v>
      </c>
      <c r="AO11" s="582">
        <f>IF(ROUND(IF(M11="",0,DEGREES(ACOS(AK11))),4)=90,0,IF(M11="","",DEGREES(ACOS(AK11))))</f>
        <v>15.019295150858714</v>
      </c>
      <c r="AP11" s="585">
        <f t="shared" si="95"/>
        <v>1.6138147255843018</v>
      </c>
      <c r="AQ11" s="586">
        <f t="shared" si="9"/>
        <v>1.3187440275013613</v>
      </c>
      <c r="AS11" s="52">
        <f t="shared" ref="AS11:AS42" si="116">IF(G11="","",IF(AND(W11&lt;(AS10+180),W11&gt;(AS10-180)),W11,IF(W11&gt;(AS10+180),W11-360,IF(W11&lt;(AS10-180),W11+360,"Error"))))</f>
        <v>0.70999989748870007</v>
      </c>
      <c r="AT11" s="72">
        <f t="shared" si="10"/>
        <v>-0.14557266135715727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3.2608894127899281E-2</v>
      </c>
      <c r="C12" s="708">
        <v>2.4909940857521589</v>
      </c>
      <c r="D12" s="709">
        <v>-9.0900274155226848E-2</v>
      </c>
      <c r="E12" s="710">
        <v>-0.9624653443631872</v>
      </c>
      <c r="F12" s="708">
        <v>9.8907048659418836E-2</v>
      </c>
      <c r="G12" s="711">
        <v>0.2527406904820334</v>
      </c>
      <c r="H12" s="710">
        <v>0.314</v>
      </c>
      <c r="I12" s="708">
        <v>0.52</v>
      </c>
      <c r="J12" s="570">
        <v>1.111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1.111</v>
      </c>
      <c r="N12" s="632">
        <f t="shared" si="2"/>
        <v>3.2608894127899281E-2</v>
      </c>
      <c r="O12" s="629">
        <f t="shared" si="3"/>
        <v>2.4909940857521589</v>
      </c>
      <c r="P12" s="633">
        <f t="shared" si="4"/>
        <v>-9.0900274155226848E-2</v>
      </c>
      <c r="Q12" s="585">
        <f>IF(M12="","",IF(DEGREES(ATAN2(N12,O12))&lt;0,DEGREES(ATAN2(N12,O12))+360,IF(DEGREES(ATAN2(N12,O12))&gt;360,DEGREES(ATAN2(N12,O12))-360,DEGREES(ATAN2(N12,O12)))))</f>
        <v>89.250000108286585</v>
      </c>
      <c r="R12" s="629">
        <f t="shared" si="79"/>
        <v>2.4912075134818612</v>
      </c>
      <c r="S12" s="634">
        <f t="shared" si="80"/>
        <v>-9.0900274155226848E-2</v>
      </c>
      <c r="T12" s="635">
        <f>IF(M12="","",X12*COS(RADIANS(W12)))</f>
        <v>2.4912075134818612</v>
      </c>
      <c r="U12" s="629">
        <f t="shared" si="82"/>
        <v>0</v>
      </c>
      <c r="V12" s="636">
        <f t="shared" si="114"/>
        <v>-9.0900274155226848E-2</v>
      </c>
      <c r="W12" s="585">
        <f>IF(M12="","",IF(Q12-$Q$8&lt;0,360+Q12-$Q$8,Q12-$Q$8))</f>
        <v>0</v>
      </c>
      <c r="X12" s="629">
        <f t="shared" si="83"/>
        <v>2.4912075134818612</v>
      </c>
      <c r="Y12" s="630">
        <f>IF(M12="","",S12)</f>
        <v>-9.0900274155226848E-2</v>
      </c>
      <c r="Z12" s="632">
        <f t="shared" si="6"/>
        <v>0.9624653443631872</v>
      </c>
      <c r="AA12" s="629">
        <f t="shared" si="7"/>
        <v>-9.8907048659418836E-2</v>
      </c>
      <c r="AB12" s="629">
        <f t="shared" si="8"/>
        <v>-0.2527406904820334</v>
      </c>
      <c r="AC12" s="636">
        <f t="shared" si="84"/>
        <v>1</v>
      </c>
      <c r="AD12" s="637">
        <f t="shared" si="115"/>
        <v>0.9624653443631872</v>
      </c>
      <c r="AE12" s="629">
        <f t="shared" si="85"/>
        <v>-9.8907048659418836E-2</v>
      </c>
      <c r="AF12" s="633">
        <f t="shared" si="86"/>
        <v>-0.2527406904820334</v>
      </c>
      <c r="AG12" s="602">
        <f t="shared" si="87"/>
        <v>-21.372296771220913</v>
      </c>
      <c r="AH12" s="603">
        <f t="shared" si="88"/>
        <v>15.747866276763304</v>
      </c>
      <c r="AI12" s="585">
        <f t="shared" si="89"/>
        <v>-75.360248405022148</v>
      </c>
      <c r="AJ12" s="586">
        <f t="shared" si="90"/>
        <v>84.132637275850897</v>
      </c>
      <c r="AK12" s="635">
        <f t="shared" ref="AK12:AK105" si="211">IF(M12="","",(COS(RADIANS((90-$Q$8)-W12))*AD12)+(-SIN(RADIANS((90-$Q$8)-W12))*AE12))</f>
        <v>0.96367754072520462</v>
      </c>
      <c r="AL12" s="629">
        <f>IF(M12="","",(SIN(RADIANS((90-$Q$8)-W12))*AD12)+(COS(RADIANS((90-$Q$8)-W12))*AE12))</f>
        <v>-8.6300294764773036E-2</v>
      </c>
      <c r="AM12" s="634">
        <f t="shared" si="92"/>
        <v>-0.2527406904820334</v>
      </c>
      <c r="AN12" s="581">
        <f>IF(M12="","",DEGREES(ATAN2(-AM12,AL12)))</f>
        <v>-18.852873629798285</v>
      </c>
      <c r="AO12" s="582">
        <f t="shared" si="94"/>
        <v>15.489901249820504</v>
      </c>
      <c r="AP12" s="585">
        <f t="shared" si="95"/>
        <v>-5.1173628324356901</v>
      </c>
      <c r="AQ12" s="586">
        <f t="shared" si="9"/>
        <v>0.91503128542454415</v>
      </c>
      <c r="AS12" s="52">
        <f t="shared" si="116"/>
        <v>0</v>
      </c>
      <c r="AT12" s="72">
        <f>IF(M12="","",Y12+(((AS12-$AS$9)*$AS$6)*-1))</f>
        <v>-9.0379440897092531E-2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9.9447947967949063E-2</v>
      </c>
      <c r="C13" s="708">
        <v>3.2000647642489684</v>
      </c>
      <c r="D13" s="709">
        <v>-0.42520128240706778</v>
      </c>
      <c r="E13" s="710">
        <v>-0.95150910621390672</v>
      </c>
      <c r="F13" s="708">
        <v>0.25693569580679931</v>
      </c>
      <c r="G13" s="711">
        <v>0.16915811837534805</v>
      </c>
      <c r="H13" s="710">
        <v>0.314</v>
      </c>
      <c r="I13" s="708">
        <v>0.52</v>
      </c>
      <c r="J13" s="570">
        <v>1.117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140</v>
      </c>
      <c r="M13" s="168">
        <f t="shared" si="1"/>
        <v>1.117</v>
      </c>
      <c r="N13" s="632">
        <f t="shared" si="2"/>
        <v>9.9447947967949063E-2</v>
      </c>
      <c r="O13" s="629">
        <f t="shared" si="3"/>
        <v>3.2000647642489684</v>
      </c>
      <c r="P13" s="633">
        <f t="shared" si="4"/>
        <v>-0.42520128240706778</v>
      </c>
      <c r="Q13" s="585">
        <f t="shared" si="113"/>
        <v>88.22000025700018</v>
      </c>
      <c r="R13" s="629">
        <f t="shared" si="79"/>
        <v>3.2016096560547229</v>
      </c>
      <c r="S13" s="634">
        <f t="shared" si="80"/>
        <v>-0.42520128240706778</v>
      </c>
      <c r="T13" s="635">
        <f>IF(M13="","",X13*COS(RADIANS(W13)))</f>
        <v>3.2010923402478104</v>
      </c>
      <c r="U13" s="629">
        <f t="shared" si="82"/>
        <v>-5.7551880504789335E-2</v>
      </c>
      <c r="V13" s="636">
        <f t="shared" si="114"/>
        <v>-0.42520128240706778</v>
      </c>
      <c r="W13" s="585">
        <f t="shared" si="5"/>
        <v>358.97000014871355</v>
      </c>
      <c r="X13" s="629">
        <f t="shared" si="83"/>
        <v>3.2016096560547229</v>
      </c>
      <c r="Y13" s="630">
        <f>IF(M13="","",S13)</f>
        <v>-0.42520128240706778</v>
      </c>
      <c r="Z13" s="632">
        <f t="shared" si="6"/>
        <v>0.95150910621390672</v>
      </c>
      <c r="AA13" s="629">
        <f t="shared" si="7"/>
        <v>-0.25693569580679931</v>
      </c>
      <c r="AB13" s="629">
        <f t="shared" si="8"/>
        <v>-0.16915811837534805</v>
      </c>
      <c r="AC13" s="636">
        <f t="shared" si="84"/>
        <v>1</v>
      </c>
      <c r="AD13" s="637">
        <f>IF(M13="","",Z13*(1/SQRT(Z13^2+AA13^2+AB13^2)))</f>
        <v>0.95150910621390672</v>
      </c>
      <c r="AE13" s="629">
        <f t="shared" si="85"/>
        <v>-0.25693569580679931</v>
      </c>
      <c r="AF13" s="633">
        <f t="shared" si="86"/>
        <v>-0.16915811837534805</v>
      </c>
      <c r="AG13" s="602">
        <f>IF(M13="","",DEGREES(ATAN2(-AF13,AE13)))</f>
        <v>-56.640390882019133</v>
      </c>
      <c r="AH13" s="603">
        <f t="shared" si="88"/>
        <v>17.91589391030821</v>
      </c>
      <c r="AI13" s="585">
        <f t="shared" si="89"/>
        <v>-80.261126101784114</v>
      </c>
      <c r="AJ13" s="586">
        <f t="shared" si="90"/>
        <v>74.888840102215383</v>
      </c>
      <c r="AK13" s="635">
        <f t="shared" si="211"/>
        <v>0.9590308692248567</v>
      </c>
      <c r="AL13" s="629">
        <f t="shared" si="91"/>
        <v>-0.22725607332154527</v>
      </c>
      <c r="AM13" s="634">
        <f t="shared" si="92"/>
        <v>-0.16915811837534805</v>
      </c>
      <c r="AN13" s="581">
        <f t="shared" si="93"/>
        <v>-53.337836620585762</v>
      </c>
      <c r="AO13" s="582">
        <f t="shared" si="94"/>
        <v>16.457353266889285</v>
      </c>
      <c r="AP13" s="585">
        <f t="shared" si="95"/>
        <v>-13.331160154784779</v>
      </c>
      <c r="AQ13" s="586">
        <f t="shared" si="9"/>
        <v>0.71201974037591476</v>
      </c>
      <c r="AS13" s="52">
        <f t="shared" si="116"/>
        <v>-1.0299998512864477</v>
      </c>
      <c r="AT13" s="72">
        <f t="shared" si="10"/>
        <v>-0.42396517147442897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1.117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0.15522323948158265</v>
      </c>
      <c r="C14" s="708">
        <v>3.6130781329612383</v>
      </c>
      <c r="D14" s="709">
        <v>-1.0919032931803325</v>
      </c>
      <c r="E14" s="710">
        <v>-0.9129424451845467</v>
      </c>
      <c r="F14" s="708">
        <v>0.39895395197808481</v>
      </c>
      <c r="G14" s="711">
        <v>8.5859396582605732E-2</v>
      </c>
      <c r="H14" s="710">
        <v>0.314</v>
      </c>
      <c r="I14" s="708">
        <v>0.52</v>
      </c>
      <c r="J14" s="570">
        <v>1.123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1.123</v>
      </c>
      <c r="N14" s="632">
        <f t="shared" si="2"/>
        <v>0.15522323948158265</v>
      </c>
      <c r="O14" s="629">
        <f t="shared" si="3"/>
        <v>3.6130781329612383</v>
      </c>
      <c r="P14" s="633">
        <f t="shared" si="4"/>
        <v>-1.0919032931803325</v>
      </c>
      <c r="Q14" s="585">
        <f t="shared" si="113"/>
        <v>87.540000355180013</v>
      </c>
      <c r="R14" s="629">
        <f t="shared" si="79"/>
        <v>3.6164109070952963</v>
      </c>
      <c r="S14" s="634">
        <f t="shared" si="80"/>
        <v>-1.0919032931803325</v>
      </c>
      <c r="T14" s="635">
        <f t="shared" si="81"/>
        <v>3.6148004010164163</v>
      </c>
      <c r="U14" s="629">
        <f t="shared" si="82"/>
        <v>-0.1079162164337736</v>
      </c>
      <c r="V14" s="636">
        <f t="shared" si="114"/>
        <v>-1.0919032931803325</v>
      </c>
      <c r="W14" s="585">
        <f t="shared" si="5"/>
        <v>358.29000024689344</v>
      </c>
      <c r="X14" s="629">
        <f t="shared" si="83"/>
        <v>3.6164109070952963</v>
      </c>
      <c r="Y14" s="630">
        <f t="shared" ref="Y14:Y75" si="223">IF(M14="","",S14)</f>
        <v>-1.0919032931803325</v>
      </c>
      <c r="Z14" s="632">
        <f t="shared" si="6"/>
        <v>0.9129424451845467</v>
      </c>
      <c r="AA14" s="629">
        <f t="shared" si="7"/>
        <v>-0.39895395197808481</v>
      </c>
      <c r="AB14" s="629">
        <f t="shared" si="8"/>
        <v>-8.5859396582605732E-2</v>
      </c>
      <c r="AC14" s="636">
        <f t="shared" si="84"/>
        <v>1</v>
      </c>
      <c r="AD14" s="637">
        <f>IF(M14="","",Z14*(1/SQRT(Z14^2+AA14^2+AB14^2)))</f>
        <v>0.9129424451845467</v>
      </c>
      <c r="AE14" s="629">
        <f t="shared" si="85"/>
        <v>-0.39895395197808481</v>
      </c>
      <c r="AF14" s="633">
        <f t="shared" si="86"/>
        <v>-8.5859396582605732E-2</v>
      </c>
      <c r="AG14" s="602">
        <f t="shared" si="87"/>
        <v>-77.854548918559786</v>
      </c>
      <c r="AH14" s="603">
        <f t="shared" si="88"/>
        <v>24.084803640846921</v>
      </c>
      <c r="AI14" s="585">
        <f t="shared" si="89"/>
        <v>-85.074554660405568</v>
      </c>
      <c r="AJ14" s="586">
        <f t="shared" si="90"/>
        <v>66.394772067395778</v>
      </c>
      <c r="AK14" s="635">
        <f>IF(M14="","",(COS(RADIANS((90-$Q$8)-W14))*AD14)+(-SIN(RADIANS((90-$Q$8)-W14))*AE14))</f>
        <v>0.92922496820959688</v>
      </c>
      <c r="AL14" s="629">
        <f t="shared" si="91"/>
        <v>-0.3594010607585133</v>
      </c>
      <c r="AM14" s="634">
        <f t="shared" si="92"/>
        <v>-8.5859396582605732E-2</v>
      </c>
      <c r="AN14" s="581">
        <f t="shared" si="93"/>
        <v>-76.564103146592714</v>
      </c>
      <c r="AO14" s="582">
        <f t="shared" si="94"/>
        <v>21.685677757247074</v>
      </c>
      <c r="AP14" s="585">
        <f>IF(M14="","",DEGREES(ATAN2(AK14,AL14)))</f>
        <v>-21.145228287784278</v>
      </c>
      <c r="AQ14" s="586">
        <f t="shared" si="9"/>
        <v>0.63035830557923755</v>
      </c>
      <c r="AS14" s="52">
        <f t="shared" si="116"/>
        <v>-1.7099997531065583</v>
      </c>
      <c r="AT14" s="72">
        <f t="shared" si="10"/>
        <v>-1.090194960093652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1.123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0.16780724758273116</v>
      </c>
      <c r="C15" s="708">
        <v>3.6954030782049414</v>
      </c>
      <c r="D15" s="709">
        <v>-1.869105637222602</v>
      </c>
      <c r="E15" s="710">
        <v>-0.84245244126724683</v>
      </c>
      <c r="F15" s="708">
        <v>0.53877071579925662</v>
      </c>
      <c r="G15" s="711">
        <v>1.1339743350155978E-7</v>
      </c>
      <c r="H15" s="710">
        <v>0.314</v>
      </c>
      <c r="I15" s="708">
        <v>0.52</v>
      </c>
      <c r="J15" s="570">
        <v>1.129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2">
        <f>IF($L14=$JH$22,$JH$29,IF($L14=$JI$22,$JI$29,""))</f>
        <v>130</v>
      </c>
      <c r="M15" s="168">
        <f t="shared" si="1"/>
        <v>1.129</v>
      </c>
      <c r="N15" s="632">
        <f t="shared" si="2"/>
        <v>0.16780724758273116</v>
      </c>
      <c r="O15" s="629">
        <f t="shared" si="3"/>
        <v>3.6954030782049414</v>
      </c>
      <c r="P15" s="633">
        <f t="shared" si="4"/>
        <v>-1.869105637222602</v>
      </c>
      <c r="Q15" s="585">
        <f t="shared" si="113"/>
        <v>87.400000375393503</v>
      </c>
      <c r="R15" s="629">
        <f t="shared" si="79"/>
        <v>3.6992111568208492</v>
      </c>
      <c r="S15" s="634">
        <f t="shared" si="80"/>
        <v>-1.869105637222602</v>
      </c>
      <c r="T15" s="635">
        <f t="shared" si="81"/>
        <v>3.697283012837306</v>
      </c>
      <c r="U15" s="629">
        <f t="shared" si="82"/>
        <v>-0.11942154634963609</v>
      </c>
      <c r="V15" s="636">
        <f t="shared" si="114"/>
        <v>-1.869105637222602</v>
      </c>
      <c r="W15" s="585">
        <f t="shared" ref="W15:W78" si="224">IF(M15="","",IF(Q15-$Q$8&lt;0,360+Q15-$Q$8,Q15-$Q$8))</f>
        <v>358.15000026710692</v>
      </c>
      <c r="X15" s="629">
        <f>IF(M15="","",R15)</f>
        <v>3.6992111568208492</v>
      </c>
      <c r="Y15" s="630">
        <f>IF(M15="","",S15)</f>
        <v>-1.869105637222602</v>
      </c>
      <c r="Z15" s="632">
        <f t="shared" si="6"/>
        <v>0.84245244126724683</v>
      </c>
      <c r="AA15" s="629">
        <f t="shared" si="7"/>
        <v>-0.53877071579925662</v>
      </c>
      <c r="AB15" s="629">
        <f t="shared" si="8"/>
        <v>-1.1339743350155978E-7</v>
      </c>
      <c r="AC15" s="636">
        <f t="shared" si="84"/>
        <v>1</v>
      </c>
      <c r="AD15" s="637">
        <f t="shared" si="115"/>
        <v>0.84245244126724683</v>
      </c>
      <c r="AE15" s="629">
        <f t="shared" si="85"/>
        <v>-0.53877071579925662</v>
      </c>
      <c r="AF15" s="633">
        <f t="shared" si="86"/>
        <v>-1.1339743350155978E-7</v>
      </c>
      <c r="AG15" s="602">
        <f t="shared" si="87"/>
        <v>-89.999987940706205</v>
      </c>
      <c r="AH15" s="603">
        <f t="shared" si="88"/>
        <v>32.599995293142975</v>
      </c>
      <c r="AI15" s="585">
        <f t="shared" si="89"/>
        <v>-89.999993502805651</v>
      </c>
      <c r="AJ15" s="586">
        <f t="shared" si="90"/>
        <v>57.400004706857587</v>
      </c>
      <c r="AK15" s="635">
        <f t="shared" si="211"/>
        <v>0.8660254415835853</v>
      </c>
      <c r="AL15" s="629">
        <f t="shared" si="91"/>
        <v>-0.49999993452993913</v>
      </c>
      <c r="AM15" s="634">
        <f t="shared" si="92"/>
        <v>-1.1339743350155978E-7</v>
      </c>
      <c r="AN15" s="581">
        <f>IF(M15="","",DEGREES(ATAN2(-AM15,AL15)))</f>
        <v>-89.999987005609611</v>
      </c>
      <c r="AO15" s="582">
        <f t="shared" si="94"/>
        <v>29.999995668536574</v>
      </c>
      <c r="AP15" s="585">
        <f t="shared" si="95"/>
        <v>-29.999995668535945</v>
      </c>
      <c r="AQ15" s="586">
        <f t="shared" si="9"/>
        <v>0.61624995878789901</v>
      </c>
      <c r="AS15" s="52">
        <f t="shared" si="116"/>
        <v>-1.8499997328930817</v>
      </c>
      <c r="AT15" s="72">
        <f t="shared" si="10"/>
        <v>-1.8673000819277363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32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0.83735553782179961</v>
      </c>
      <c r="C16" s="708">
        <v>2.3502697945622071</v>
      </c>
      <c r="D16" s="709">
        <v>-5.3447471958614691E-2</v>
      </c>
      <c r="E16" s="710">
        <v>-0.85219289155250488</v>
      </c>
      <c r="F16" s="708">
        <v>0.40147268039528633</v>
      </c>
      <c r="G16" s="711">
        <v>0.33553980759904639</v>
      </c>
      <c r="H16" s="710">
        <v>0.26600000000000001</v>
      </c>
      <c r="I16" s="708">
        <v>0.52</v>
      </c>
      <c r="J16" s="570">
        <v>1.2110000000000001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1.2110000000000001</v>
      </c>
      <c r="N16" s="632">
        <f t="shared" si="2"/>
        <v>0.83735553782179961</v>
      </c>
      <c r="O16" s="629">
        <f t="shared" si="3"/>
        <v>2.3502697945622071</v>
      </c>
      <c r="P16" s="633">
        <f t="shared" si="4"/>
        <v>-5.3447471958614691E-2</v>
      </c>
      <c r="Q16" s="585">
        <f>IF(M16="","",IF(DEGREES(ATAN2(N16,O16))&lt;0,DEGREES(ATAN2(N16,O16))+360,IF(DEGREES(ATAN2(N16,O16))&gt;360,DEGREES(ATAN2(N16,O16))-360,DEGREES(ATAN2(N16,O16)))))</f>
        <v>70.390002831333291</v>
      </c>
      <c r="R16" s="629">
        <f t="shared" si="79"/>
        <v>2.4949814436088125</v>
      </c>
      <c r="S16" s="634">
        <f t="shared" si="80"/>
        <v>-5.3447471958614691E-2</v>
      </c>
      <c r="T16" s="635">
        <f t="shared" si="81"/>
        <v>2.3610290850623938</v>
      </c>
      <c r="U16" s="629">
        <f t="shared" si="82"/>
        <v>-0.80651972290933471</v>
      </c>
      <c r="V16" s="636">
        <f t="shared" si="114"/>
        <v>-5.3447471958614691E-2</v>
      </c>
      <c r="W16" s="585">
        <f>IF(M16="","",IF(Q16-$Q$8&lt;0,360+Q16-$Q$8,Q16-$Q$8))</f>
        <v>341.14000272304668</v>
      </c>
      <c r="X16" s="629">
        <f t="shared" si="83"/>
        <v>2.4949814436088125</v>
      </c>
      <c r="Y16" s="630">
        <f t="shared" si="223"/>
        <v>-5.3447471958614691E-2</v>
      </c>
      <c r="Z16" s="632">
        <f t="shared" si="6"/>
        <v>0.85219289155250488</v>
      </c>
      <c r="AA16" s="629">
        <f t="shared" si="7"/>
        <v>-0.40147268039528633</v>
      </c>
      <c r="AB16" s="629">
        <f t="shared" si="8"/>
        <v>-0.33553980759904639</v>
      </c>
      <c r="AC16" s="636">
        <f t="shared" si="84"/>
        <v>1</v>
      </c>
      <c r="AD16" s="637">
        <f t="shared" si="115"/>
        <v>0.85219289155250488</v>
      </c>
      <c r="AE16" s="629">
        <f t="shared" si="85"/>
        <v>-0.40147268039528633</v>
      </c>
      <c r="AF16" s="633">
        <f t="shared" si="86"/>
        <v>-0.33553980759904639</v>
      </c>
      <c r="AG16" s="602">
        <f t="shared" si="87"/>
        <v>-50.112051568449914</v>
      </c>
      <c r="AH16" s="603">
        <f t="shared" si="88"/>
        <v>31.549012522614671</v>
      </c>
      <c r="AI16" s="585">
        <f t="shared" si="89"/>
        <v>-70.394633299026509</v>
      </c>
      <c r="AJ16" s="586">
        <f t="shared" si="90"/>
        <v>64.774621686566633</v>
      </c>
      <c r="AK16" s="635">
        <f t="shared" si="211"/>
        <v>0.93750540324113674</v>
      </c>
      <c r="AL16" s="629">
        <f t="shared" si="91"/>
        <v>-9.2177309626982562E-2</v>
      </c>
      <c r="AM16" s="634">
        <f t="shared" si="92"/>
        <v>-0.33553980759904639</v>
      </c>
      <c r="AN16" s="581">
        <f t="shared" si="93"/>
        <v>-15.360988169773648</v>
      </c>
      <c r="AO16" s="582">
        <f t="shared" si="94"/>
        <v>20.363245143988443</v>
      </c>
      <c r="AP16" s="585">
        <f t="shared" si="95"/>
        <v>-5.6153811447666531</v>
      </c>
      <c r="AQ16" s="586">
        <f t="shared" si="9"/>
        <v>0.91364743612440913</v>
      </c>
      <c r="AS16" s="52">
        <f t="shared" si="116"/>
        <v>-18.859997276953322</v>
      </c>
      <c r="AT16" s="72">
        <f t="shared" si="10"/>
        <v>-3.9829418369262792E-2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Nose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1.2110000000000001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1.111</v>
      </c>
      <c r="II16" s="734" cm="1">
        <f t="array" ref="II16">IFERROR(IF($IH16&lt;1,$IH16+LARGE((IF($M$9:$M$150="",0,$M$9:$M$150)-MOD(IF($M$9:$M$150="",0,$M$9:$M$150),1)),1),$IH16),"")</f>
        <v>1.111</v>
      </c>
      <c r="IJ16" s="533">
        <f t="shared" si="112"/>
        <v>1613</v>
      </c>
      <c r="IK16" s="533">
        <f t="shared" si="66"/>
        <v>1313</v>
      </c>
      <c r="IL16" s="727">
        <f>IF(ISNUMBER($II16),IFERROR(IF(INDEX($W$9:$W$150,MATCH($II16,$M$9:$M$150,0))&lt;$W16,((INDEX($W$9:$W$150,MATCH($II16,$M$9:$M$150,0))+360)-$W16),INDEX($W$9:$W$150,MATCH($II16,$M$9:$M$150,0))-$W16),""),"")</f>
        <v>18.859997276953322</v>
      </c>
      <c r="IM16" s="759">
        <v>1.5696722846311201E-2</v>
      </c>
      <c r="IN16" s="5">
        <f>IF(ISNUMBER($II16),(($IO16*12)/60)/$AS$3,"")</f>
        <v>0.28000000000000003</v>
      </c>
      <c r="IO16" s="771">
        <v>140</v>
      </c>
      <c r="IP16" s="9">
        <f>IF(ISNUMBER($II16),(INDEX($X$9:$X$150,MATCH($II16,$M$9:$M$150,0))*-1),"")</f>
        <v>-2.4912075134818612</v>
      </c>
      <c r="IQ16" s="5">
        <f>IF(ISNUMBER($II16),INDEX($Y$9:$Y$150,MATCH($II16,$M$9:$M$150,0)),"")</f>
        <v>-9.0900274155226848E-2</v>
      </c>
      <c r="IR16" s="5">
        <f t="shared" si="71"/>
        <v>0.314</v>
      </c>
      <c r="IS16" s="5">
        <f>IF(ISNUMBER($II16),$IR16*COS(RADIANS(INDEX($AO$9:$AO$150,MATCH($II16,$M$9:$M$150,0)))),"")</f>
        <v>0.30259474778771422</v>
      </c>
      <c r="IT16" s="727">
        <f>IF(ISNUMBER($II16),(-1*INDEX($AN$9:$AN$150,MATCH($II16,$M$9:$M$150,0))),"")</f>
        <v>18.852873629798285</v>
      </c>
      <c r="IU16" s="9">
        <f>IF(ISNUMBER($II16),-$X16,"")</f>
        <v>-2.4949814436088125</v>
      </c>
      <c r="IV16" s="5">
        <f>IF(ISNUMBER($II16),$Y16,"")</f>
        <v>-5.3447471958614691E-2</v>
      </c>
      <c r="IW16" s="5">
        <f t="shared" si="76"/>
        <v>0.26600000000000001</v>
      </c>
      <c r="IX16" s="5">
        <f>IF(ISNUMBER($II16),$IW16*COS(RADIANS($AO16)),"")</f>
        <v>0.2493764372621424</v>
      </c>
      <c r="IY16" s="762">
        <f>IF(ISNUMBER($II16),(-1*$AN16),"")</f>
        <v>15.360988169773648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0.9569379615360577</v>
      </c>
      <c r="C17" s="708">
        <v>3.0818443559717701</v>
      </c>
      <c r="D17" s="709">
        <v>-0.39122254158016323</v>
      </c>
      <c r="E17" s="710">
        <v>-0.81196221375326583</v>
      </c>
      <c r="F17" s="708">
        <v>0.53127401167072941</v>
      </c>
      <c r="G17" s="711">
        <v>0.24179596349026516</v>
      </c>
      <c r="H17" s="710">
        <v>0.26600000000000001</v>
      </c>
      <c r="I17" s="708">
        <v>0.52</v>
      </c>
      <c r="J17" s="570">
        <v>1.2170000000000001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1.2170000000000001</v>
      </c>
      <c r="N17" s="632">
        <f t="shared" si="2"/>
        <v>0.9569379615360577</v>
      </c>
      <c r="O17" s="629">
        <f t="shared" si="3"/>
        <v>3.0818443559717701</v>
      </c>
      <c r="P17" s="633">
        <f t="shared" si="4"/>
        <v>-0.39122254158016323</v>
      </c>
      <c r="Q17" s="585">
        <f>IF(M17="","",IF(DEGREES(ATAN2(N17,O17))&lt;0,DEGREES(ATAN2(N17,O17))+360,IF(DEGREES(ATAN2(N17,O17))&gt;360,DEGREES(ATAN2(N17,O17))-360,DEGREES(ATAN2(N17,O17)))))</f>
        <v>72.750002490591484</v>
      </c>
      <c r="R17" s="629">
        <f>IF(M17="","",SQRT(N17^2+O17^2))</f>
        <v>3.2269947159336718</v>
      </c>
      <c r="S17" s="634">
        <f>IF(M17="","",P17)</f>
        <v>-0.39122254158016323</v>
      </c>
      <c r="T17" s="635">
        <f>IF(M17="","",X17*COS(RADIANS(W17)))</f>
        <v>3.0941062560604591</v>
      </c>
      <c r="U17" s="629">
        <f>IF(M17="","",X17*SIN(RADIANS(W17)))</f>
        <v>-0.91651588795359573</v>
      </c>
      <c r="V17" s="636">
        <f>IF(M17="","",Y17)</f>
        <v>-0.39122254158016323</v>
      </c>
      <c r="W17" s="585">
        <f t="shared" si="224"/>
        <v>343.5000023823049</v>
      </c>
      <c r="X17" s="629">
        <f>IF(M17="","",R17)</f>
        <v>3.2269947159336718</v>
      </c>
      <c r="Y17" s="630">
        <f t="shared" si="223"/>
        <v>-0.39122254158016323</v>
      </c>
      <c r="Z17" s="632">
        <f t="shared" si="6"/>
        <v>0.81196221375326583</v>
      </c>
      <c r="AA17" s="629">
        <f t="shared" si="7"/>
        <v>-0.53127401167072941</v>
      </c>
      <c r="AB17" s="629">
        <f t="shared" si="8"/>
        <v>-0.24179596349026516</v>
      </c>
      <c r="AC17" s="636">
        <f>IF(M17="","",SQRT(Z17^2+AA17^2+AB17^2))</f>
        <v>1</v>
      </c>
      <c r="AD17" s="637">
        <f>IF(M17="","",Z17*(1/SQRT(Z17^2+AA17^2+AB17^2)))</f>
        <v>0.81196221375326583</v>
      </c>
      <c r="AE17" s="629">
        <f>IF(M17="","",AA17*(1/SQRT(Z17^2+AA17^2+AB17^2)))</f>
        <v>-0.53127401167072941</v>
      </c>
      <c r="AF17" s="633">
        <f>IF(M17="","",AB17*(1/SQRT(Z17^2+AA17^2+AB17^2)))</f>
        <v>-0.24179596349026516</v>
      </c>
      <c r="AG17" s="602">
        <f>IF(M17="","",DEGREES(ATAN2(-AF17,AE17)))</f>
        <v>-65.528542411242185</v>
      </c>
      <c r="AH17" s="603">
        <f>IF(M17="","",DEGREES(ACOS(AD17)))</f>
        <v>35.711909571390599</v>
      </c>
      <c r="AI17" s="585">
        <f>IF(M17="","",DEGREES(-ACOS(-AF17)))</f>
        <v>-76.00743614700049</v>
      </c>
      <c r="AJ17" s="586">
        <f>IF(M17="","",DEGREES(ATAN2(-AE17,AD17)))</f>
        <v>56.802923667223837</v>
      </c>
      <c r="AK17" s="635">
        <f>IF(M17="","",(COS(RADIANS((90-$Q$8)-W17))*AD17)+(-SIN(RADIANS((90-$Q$8)-W17))*AE17))</f>
        <v>0.9329849288557065</v>
      </c>
      <c r="AL17" s="629">
        <f>IF(M17="","",(SIN(RADIANS((90-$Q$8)-W17))*AD17)+(COS(RADIANS((90-$Q$8)-W17))*AE17))</f>
        <v>-0.26659676398622467</v>
      </c>
      <c r="AM17" s="634">
        <f>IF(M17="","",AF17)</f>
        <v>-0.24179596349026516</v>
      </c>
      <c r="AN17" s="581">
        <f>IF(M17="","",DEGREES(ATAN2(-AM17,AL17)))</f>
        <v>-47.792832253478586</v>
      </c>
      <c r="AO17" s="582">
        <f t="shared" si="94"/>
        <v>21.095002875859219</v>
      </c>
      <c r="AP17" s="585">
        <f>IF(M17="","",DEGREES(ATAN2(AK17,AL17)))</f>
        <v>-15.94707882336766</v>
      </c>
      <c r="AQ17" s="586">
        <f t="shared" si="9"/>
        <v>0.70641922769700782</v>
      </c>
      <c r="AS17" s="52">
        <f t="shared" si="116"/>
        <v>-16.499997617695101</v>
      </c>
      <c r="AT17" s="72">
        <f t="shared" si="10"/>
        <v>-0.379243376643074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1.2170000000000001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1.117</v>
      </c>
      <c r="II17" s="734" cm="1">
        <f t="array" ref="II17">IFERROR(IF($IH17&lt;1,$IH17+LARGE((IF($M$9:$M$150="",0,$M$9:$M$150)-MOD(IF($M$9:$M$150="",0,$M$9:$M$150),1)),1),$IH17),"")</f>
        <v>1.117</v>
      </c>
      <c r="IJ17" s="533">
        <f t="shared" si="112"/>
        <v>1613</v>
      </c>
      <c r="IK17" s="533">
        <f t="shared" si="66"/>
        <v>1313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15.469997766408653</v>
      </c>
      <c r="IM17" s="759">
        <v>1.09393625791413E-2</v>
      </c>
      <c r="IN17" s="5">
        <f t="shared" ref="IN17:IN80" si="226">IF(ISNUMBER($II17),(($IO17*12)/60)/$AS$3,"")</f>
        <v>0.26</v>
      </c>
      <c r="IO17" s="771">
        <v>130</v>
      </c>
      <c r="IP17" s="9">
        <f t="shared" ref="IP17:IP80" si="227">IF(ISNUMBER($II17),(INDEX($X$9:$X$150,MATCH($II17,$M$9:$M$150,0))*-1),"")</f>
        <v>-3.2016096560547229</v>
      </c>
      <c r="IQ17" s="5">
        <f t="shared" ref="IQ17:IQ80" si="228">IF(ISNUMBER($II17),INDEX($Y$9:$Y$150,MATCH($II17,$M$9:$M$150,0)),"")</f>
        <v>-0.42520128240706778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0.30113569293660503</v>
      </c>
      <c r="IT17" s="727">
        <f t="shared" ref="IT17:IT80" si="230">IF(ISNUMBER($II17),(-1*INDEX($AN$9:$AN$150,MATCH($II17,$M$9:$M$150,0))),"")</f>
        <v>53.337836620585762</v>
      </c>
      <c r="IU17" s="9">
        <f t="shared" ref="IU17:IU80" si="231">IF(ISNUMBER($II17),-$X17,"")</f>
        <v>-3.2269947159336718</v>
      </c>
      <c r="IV17" s="5">
        <f t="shared" ref="IV17:IV80" si="232">IF(ISNUMBER($II17),$Y17,"")</f>
        <v>-0.39122254158016323</v>
      </c>
      <c r="IW17" s="5">
        <f t="shared" si="76"/>
        <v>0.26600000000000001</v>
      </c>
      <c r="IX17" s="5">
        <f t="shared" ref="IX17:IX80" si="233">IF(ISNUMBER($II17),$IW17*COS(RADIANS($AO17)),"")</f>
        <v>0.24817399107561794</v>
      </c>
      <c r="IY17" s="762">
        <f t="shared" ref="IY17:IY80" si="234">IF(ISNUMBER($II17),(-1*$AN17),"")</f>
        <v>47.792832253478586</v>
      </c>
    </row>
    <row r="18" spans="1:269" ht="15" customHeight="1" x14ac:dyDescent="0.25">
      <c r="A18" s="79"/>
      <c r="B18" s="707">
        <v>1.1204475493939674</v>
      </c>
      <c r="C18" s="708">
        <v>3.4586504802484868</v>
      </c>
      <c r="D18" s="709">
        <v>-1.1139058467717466</v>
      </c>
      <c r="E18" s="710">
        <v>0.24551234693481855</v>
      </c>
      <c r="F18" s="708">
        <v>0.75785985843809101</v>
      </c>
      <c r="G18" s="711">
        <v>0.60446019097270098</v>
      </c>
      <c r="H18" s="710">
        <v>0.25700000000000001</v>
      </c>
      <c r="I18" s="708">
        <v>0.41499999999999992</v>
      </c>
      <c r="J18" s="570">
        <v>1.2230000000000001</v>
      </c>
      <c r="K18" s="865" t="str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CPS-32193r1</v>
      </c>
      <c r="L18" s="779" t="s">
        <v>331</v>
      </c>
      <c r="M18" s="168">
        <f t="shared" si="1"/>
        <v>1.2230000000000001</v>
      </c>
      <c r="N18" s="632">
        <f t="shared" si="2"/>
        <v>1.1204475493939674</v>
      </c>
      <c r="O18" s="629">
        <f t="shared" si="3"/>
        <v>3.4586504802484868</v>
      </c>
      <c r="P18" s="633">
        <f t="shared" si="4"/>
        <v>-1.1139058467717466</v>
      </c>
      <c r="Q18" s="585">
        <f t="shared" si="113"/>
        <v>72.050002591658981</v>
      </c>
      <c r="R18" s="629">
        <f>IF(M18="","",SQRT(N18^2+O18^2))</f>
        <v>3.6356107953775849</v>
      </c>
      <c r="S18" s="634">
        <f>IF(M18="","",P18)</f>
        <v>-1.1139058467717466</v>
      </c>
      <c r="T18" s="635">
        <f>IF(M18="","",X18*COS(RADIANS(W18)))</f>
        <v>3.4730203725197994</v>
      </c>
      <c r="U18" s="629">
        <f>IF(M18="","",X18*SIN(RADIANS(W18)))</f>
        <v>-1.0750792284889839</v>
      </c>
      <c r="V18" s="636">
        <f>IF(M18="","",Y18)</f>
        <v>-1.1139058467717466</v>
      </c>
      <c r="W18" s="585">
        <f t="shared" si="224"/>
        <v>342.8000024833724</v>
      </c>
      <c r="X18" s="629">
        <f>IF(M18="","",R18)</f>
        <v>3.6356107953775849</v>
      </c>
      <c r="Y18" s="630">
        <f t="shared" si="223"/>
        <v>-1.1139058467717466</v>
      </c>
      <c r="Z18" s="632">
        <f t="shared" si="6"/>
        <v>-0.24551234693481855</v>
      </c>
      <c r="AA18" s="629">
        <f t="shared" si="7"/>
        <v>-0.75785985843809101</v>
      </c>
      <c r="AB18" s="629">
        <f t="shared" si="8"/>
        <v>-0.60446019097270098</v>
      </c>
      <c r="AC18" s="636">
        <f>IF(M18="","",SQRT(Z18^2+AA18^2+AB18^2))</f>
        <v>1</v>
      </c>
      <c r="AD18" s="637">
        <f>IF(M18="","",Z18*(1/SQRT(Z18^2+AA18^2+AB18^2)))</f>
        <v>-0.24551234693481855</v>
      </c>
      <c r="AE18" s="629">
        <f>IF(M18="","",AA18*(1/SQRT(Z18^2+AA18^2+AB18^2)))</f>
        <v>-0.75785985843809101</v>
      </c>
      <c r="AF18" s="633">
        <f>IF(M18="","",AB18*(1/SQRT(Z18^2+AA18^2+AB18^2)))</f>
        <v>-0.60446019097270098</v>
      </c>
      <c r="AG18" s="602">
        <f>IF(M18="","",DEGREES(ATAN2(-AF18,AE18)))</f>
        <v>-51.424545552730386</v>
      </c>
      <c r="AH18" s="603">
        <f>IF(M18="","",DEGREES(ACOS(AD18)))</f>
        <v>104.21211385221716</v>
      </c>
      <c r="AI18" s="585">
        <f>IF(M18="","",DEGREES(-ACOS(-AF18)))</f>
        <v>-52.809992375181544</v>
      </c>
      <c r="AJ18" s="586">
        <f>IF(M18="","",DEGREES(ATAN2(-AE18,AD18)))</f>
        <v>-17.949981096749497</v>
      </c>
      <c r="AK18" s="635">
        <f>IF(M18="","",(COS(RADIANS((90-$Q$8)-W18))*AD18)+(-SIN(RADIANS((90-$Q$8)-W18))*AE18))</f>
        <v>2.267948964462807E-7</v>
      </c>
      <c r="AL18" s="629">
        <f>IF(M18="","",(SIN(RADIANS((90-$Q$8)-W18))*AD18)+(COS(RADIANS((90-$Q$8)-W18))*AE18))</f>
        <v>-0.79663534790341484</v>
      </c>
      <c r="AM18" s="634">
        <f>IF(M18="","",AF18)</f>
        <v>-0.60446019097270098</v>
      </c>
      <c r="AN18" s="581">
        <f>IF(M18="","",DEGREES(ATAN2(-AM18,AL18)))</f>
        <v>-52.809992375180443</v>
      </c>
      <c r="AO18" s="582">
        <f t="shared" si="94"/>
        <v>0</v>
      </c>
      <c r="AP18" s="585">
        <f>IF(M18="","",DEGREES(ATAN2(AK18,AL18)))</f>
        <v>-89.999983688408491</v>
      </c>
      <c r="AQ18" s="586">
        <f t="shared" si="9"/>
        <v>0.62702961038776417</v>
      </c>
      <c r="AS18" s="52">
        <f t="shared" si="116"/>
        <v>-17.199997516627604</v>
      </c>
      <c r="AT18" s="72">
        <f t="shared" si="10"/>
        <v>-1.101440570793732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>Taper</v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1.2230000000000001</v>
      </c>
      <c r="IH18" s="731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>1.123</v>
      </c>
      <c r="II18" s="734" cm="1">
        <f t="array" ref="II18">IFERROR(IF($IH18&lt;1,$IH18+LARGE((IF($M$9:$M$150="",0,$M$9:$M$150)-MOD(IF($M$9:$M$150="",0,$M$9:$M$150),1)),1),$IH18),"")</f>
        <v>1.123</v>
      </c>
      <c r="IJ18" s="533">
        <f t="shared" si="112"/>
        <v>1613</v>
      </c>
      <c r="IK18" s="533" t="str">
        <f t="shared" si="66"/>
        <v>CPS-32193r1</v>
      </c>
      <c r="IL18" s="727">
        <f t="shared" si="225"/>
        <v>15.489997763521046</v>
      </c>
      <c r="IM18" s="759">
        <v>1.56491038639263E-2</v>
      </c>
      <c r="IN18" s="5">
        <f t="shared" si="226"/>
        <v>1.36</v>
      </c>
      <c r="IO18" s="771">
        <v>680</v>
      </c>
      <c r="IP18" s="9">
        <f t="shared" si="227"/>
        <v>-3.6164109070952963</v>
      </c>
      <c r="IQ18" s="5">
        <f t="shared" si="228"/>
        <v>-1.0919032931803325</v>
      </c>
      <c r="IR18" s="5">
        <f t="shared" si="71"/>
        <v>0.314</v>
      </c>
      <c r="IS18" s="5">
        <f t="shared" si="229"/>
        <v>0.29177664001781345</v>
      </c>
      <c r="IT18" s="727">
        <f t="shared" si="230"/>
        <v>76.564103146592714</v>
      </c>
      <c r="IU18" s="9">
        <f t="shared" si="231"/>
        <v>-3.6356107953775849</v>
      </c>
      <c r="IV18" s="5">
        <f t="shared" si="232"/>
        <v>-1.1139058467717466</v>
      </c>
      <c r="IW18" s="5">
        <f t="shared" si="76"/>
        <v>0.25700000000000001</v>
      </c>
      <c r="IX18" s="5">
        <f t="shared" si="233"/>
        <v>0.25700000000000001</v>
      </c>
      <c r="IY18" s="762">
        <f t="shared" si="234"/>
        <v>52.809992375180443</v>
      </c>
    </row>
    <row r="19" spans="1:269" ht="15" customHeight="1" thickBot="1" x14ac:dyDescent="0.3">
      <c r="A19" s="79"/>
      <c r="B19" s="707">
        <v>1.1337877376116015</v>
      </c>
      <c r="C19" s="708">
        <v>3.5249935947162441</v>
      </c>
      <c r="D19" s="709">
        <v>-1.9130474364177352</v>
      </c>
      <c r="E19" s="710">
        <v>0.30619353814621392</v>
      </c>
      <c r="F19" s="708">
        <v>0.95196928374682954</v>
      </c>
      <c r="G19" s="711">
        <v>2.2679489676756236E-7</v>
      </c>
      <c r="H19" s="710">
        <v>0.25700000000000001</v>
      </c>
      <c r="I19" s="708">
        <v>0.41499999999999992</v>
      </c>
      <c r="J19" s="570">
        <v>1.2290000000000001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CPS-32193r1</v>
      </c>
      <c r="L19" s="775" t="s">
        <v>366</v>
      </c>
      <c r="M19" s="168">
        <f t="shared" si="1"/>
        <v>1.2290000000000001</v>
      </c>
      <c r="N19" s="632">
        <f t="shared" si="2"/>
        <v>1.1337877376116015</v>
      </c>
      <c r="O19" s="629">
        <f t="shared" si="3"/>
        <v>3.5249935947162441</v>
      </c>
      <c r="P19" s="633">
        <f t="shared" si="4"/>
        <v>-1.9130474364177352</v>
      </c>
      <c r="Q19" s="585">
        <f t="shared" si="113"/>
        <v>72.170002574333125</v>
      </c>
      <c r="R19" s="629">
        <f>IF(M19="","",SQRT(N19^2+O19^2))</f>
        <v>3.7028441064604625</v>
      </c>
      <c r="S19" s="634">
        <f>IF(M19="","",P19)</f>
        <v>-1.9130474364177352</v>
      </c>
      <c r="T19" s="635">
        <f>IF(M19="","",X19*COS(RADIANS(W19)))</f>
        <v>3.5395324208570371</v>
      </c>
      <c r="U19" s="629">
        <f>IF(M19="","",X19*SIN(RADIANS(W19)))</f>
        <v>-1.0875498694087111</v>
      </c>
      <c r="V19" s="636">
        <f>IF(M19="","",Y19)</f>
        <v>-1.9130474364177352</v>
      </c>
      <c r="W19" s="585">
        <f t="shared" si="224"/>
        <v>342.92000246604653</v>
      </c>
      <c r="X19" s="629">
        <f>IF(M19="","",R19)</f>
        <v>3.7028441064604625</v>
      </c>
      <c r="Y19" s="630">
        <f t="shared" si="223"/>
        <v>-1.9130474364177352</v>
      </c>
      <c r="Z19" s="632">
        <f t="shared" si="6"/>
        <v>-0.30619353814621392</v>
      </c>
      <c r="AA19" s="629">
        <f t="shared" si="7"/>
        <v>-0.95196928374682954</v>
      </c>
      <c r="AB19" s="629">
        <f t="shared" si="8"/>
        <v>-2.2679489676756236E-7</v>
      </c>
      <c r="AC19" s="636">
        <f>IF(M19="","",SQRT(Z19^2+AA19^2+AB19^2))</f>
        <v>1</v>
      </c>
      <c r="AD19" s="637">
        <f>IF(M19="","",Z19*(1/SQRT(Z19^2+AA19^2+AB19^2)))</f>
        <v>-0.30619353814621392</v>
      </c>
      <c r="AE19" s="629">
        <f>IF(M19="","",AA19*(1/SQRT(Z19^2+AA19^2+AB19^2)))</f>
        <v>-0.95196928374682954</v>
      </c>
      <c r="AF19" s="633">
        <f>IF(M19="","",AB19*(1/SQRT(Z19^2+AA19^2+AB19^2)))</f>
        <v>-2.2679489676756236E-7</v>
      </c>
      <c r="AG19" s="602">
        <f>IF(M19="","",DEGREES(ATAN2(-AF19,AE19)))</f>
        <v>-89.99998634998984</v>
      </c>
      <c r="AH19" s="603">
        <f>IF(M19="","",DEGREES(ACOS(AD19)))</f>
        <v>107.82998443127602</v>
      </c>
      <c r="AI19" s="585">
        <f>IF(M19="","",DEGREES(-ACOS(-AF19)))</f>
        <v>-89.999987005609597</v>
      </c>
      <c r="AJ19" s="586">
        <f>IF(M19="","",DEGREES(ATAN2(-AE19,AD19)))</f>
        <v>-17.829984431276483</v>
      </c>
      <c r="AK19" s="635">
        <f>IF(M19="","",(COS(RADIANS((90-$Q$8)-W19))*AD19)+(-SIN(RADIANS((90-$Q$8)-W19))*AE19))</f>
        <v>2.2679489708465894E-7</v>
      </c>
      <c r="AL19" s="629">
        <f>IF(M19="","",(SIN(RADIANS((90-$Q$8)-W19))*AD19)+(COS(RADIANS((90-$Q$8)-W19))*AE19))</f>
        <v>-0.9999999999999486</v>
      </c>
      <c r="AM19" s="634">
        <f>IF(M19="","",AF19)</f>
        <v>-2.2679489676756236E-7</v>
      </c>
      <c r="AN19" s="581">
        <f>IF(M19="","",DEGREES(ATAN2(-AM19,AL19)))</f>
        <v>-89.999987005609611</v>
      </c>
      <c r="AO19" s="582">
        <f t="shared" si="94"/>
        <v>0</v>
      </c>
      <c r="AP19" s="585">
        <f>IF(M19="","",DEGREES(ATAN2(AK19,AL19)))</f>
        <v>-89.999987005609583</v>
      </c>
      <c r="AQ19" s="586">
        <f t="shared" si="9"/>
        <v>0.61564538765322907</v>
      </c>
      <c r="AS19" s="52">
        <f t="shared" si="116"/>
        <v>-17.079997533953474</v>
      </c>
      <c r="AT19" s="72">
        <f t="shared" si="10"/>
        <v>-1.9006654937610221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Taper</v>
      </c>
      <c r="IF19" s="533" t="str">
        <f>IFERROR(IF((((($IW19*COS(RADIANS(180-$IY19)))*COS(RADIANS($IY19)))-(($IX19*SIN(RADIANS(180-$IY19)))*SIN(RADIANS($IY19))))+$IU19)&lt;(((Settings!$C$19+$IF$8)/2)*-1),"Gage",""),"")</f>
        <v>Gage</v>
      </c>
      <c r="IG19" s="847">
        <f t="shared" si="210"/>
        <v>1.2290000000000001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1.129</v>
      </c>
      <c r="II19" s="734" cm="1">
        <f t="array" ref="II19">IFERROR(IF($IH19&lt;1,$IH19+LARGE((IF($M$9:$M$150="",0,$M$9:$M$150)-MOD(IF($M$9:$M$150="",0,$M$9:$M$150),1)),1),$IH19),"")</f>
        <v>1.129</v>
      </c>
      <c r="IJ19" s="533">
        <f t="shared" si="112"/>
        <v>1613</v>
      </c>
      <c r="IK19" s="533" t="str">
        <f t="shared" si="66"/>
        <v>CPS-32193r1</v>
      </c>
      <c r="IL19" s="727">
        <f t="shared" si="225"/>
        <v>15.229997801060392</v>
      </c>
      <c r="IM19" s="759">
        <v>9.1131655656719198E-4</v>
      </c>
      <c r="IN19" s="5">
        <f t="shared" si="226"/>
        <v>0</v>
      </c>
      <c r="IO19" s="771">
        <v>0</v>
      </c>
      <c r="IP19" s="9">
        <f t="shared" si="227"/>
        <v>-3.6992111568208492</v>
      </c>
      <c r="IQ19" s="5">
        <f t="shared" si="228"/>
        <v>-1.869105637222602</v>
      </c>
      <c r="IR19" s="5">
        <f t="shared" si="71"/>
        <v>0.314</v>
      </c>
      <c r="IS19" s="5">
        <f t="shared" si="229"/>
        <v>0.27193198865724577</v>
      </c>
      <c r="IT19" s="727">
        <f t="shared" si="230"/>
        <v>89.999987005609611</v>
      </c>
      <c r="IU19" s="9">
        <f t="shared" si="231"/>
        <v>-3.7028441064604625</v>
      </c>
      <c r="IV19" s="5">
        <f t="shared" si="232"/>
        <v>-1.9130474364177352</v>
      </c>
      <c r="IW19" s="5">
        <f t="shared" si="76"/>
        <v>0.25700000000000001</v>
      </c>
      <c r="IX19" s="5">
        <f t="shared" si="233"/>
        <v>0.25700000000000001</v>
      </c>
      <c r="IY19" s="762">
        <f t="shared" si="234"/>
        <v>89.999987005609611</v>
      </c>
      <c r="JB19" s="1220" t="s">
        <v>365</v>
      </c>
      <c r="JC19" s="1221"/>
      <c r="JD19" s="1221"/>
      <c r="JE19" s="1221"/>
      <c r="JF19" s="1221"/>
      <c r="JG19" s="1221"/>
      <c r="JH19" s="1221"/>
      <c r="JI19" s="1222"/>
    </row>
    <row r="20" spans="1:269" ht="15" customHeight="1" x14ac:dyDescent="0.25">
      <c r="A20" s="79"/>
      <c r="B20" s="707">
        <v>1.9500945788607722</v>
      </c>
      <c r="C20" s="708">
        <v>1.3357554135779948</v>
      </c>
      <c r="D20" s="709">
        <v>-7.7300233137503144E-2</v>
      </c>
      <c r="E20" s="710">
        <v>-0.4961146321050971</v>
      </c>
      <c r="F20" s="708">
        <v>0.82892534101669657</v>
      </c>
      <c r="G20" s="711">
        <v>0.25836611780877439</v>
      </c>
      <c r="H20" s="710">
        <v>0.314</v>
      </c>
      <c r="I20" s="708">
        <v>0.52</v>
      </c>
      <c r="J20" s="570">
        <v>2.11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2.11</v>
      </c>
      <c r="N20" s="632">
        <f t="shared" si="2"/>
        <v>1.9500945788607722</v>
      </c>
      <c r="O20" s="629">
        <f t="shared" si="3"/>
        <v>1.3357554135779948</v>
      </c>
      <c r="P20" s="633">
        <f t="shared" si="4"/>
        <v>-7.7300233137503144E-2</v>
      </c>
      <c r="Q20" s="585">
        <f t="shared" si="113"/>
        <v>34.40995604864024</v>
      </c>
      <c r="R20" s="629">
        <f>IF(M20="","",SQRT(N20^2+O20^2))</f>
        <v>2.363707128940701</v>
      </c>
      <c r="S20" s="634">
        <f>IF(M20="","",P20)</f>
        <v>-7.7300233137503144E-2</v>
      </c>
      <c r="T20" s="635">
        <f>IF(M20="","",X20*COS(RADIANS(W20)))</f>
        <v>1.361166921882103</v>
      </c>
      <c r="U20" s="629">
        <f>IF(M20="","",X20*SIN(RADIANS(W20)))</f>
        <v>-1.9324430139538638</v>
      </c>
      <c r="V20" s="636">
        <f>IF(M20="","",Y20)</f>
        <v>-7.7300233137503144E-2</v>
      </c>
      <c r="W20" s="585">
        <f t="shared" si="224"/>
        <v>305.15995594035365</v>
      </c>
      <c r="X20" s="629">
        <f>IF(M20="","",R20)</f>
        <v>2.363707128940701</v>
      </c>
      <c r="Y20" s="630">
        <f t="shared" si="223"/>
        <v>-7.7300233137503144E-2</v>
      </c>
      <c r="Z20" s="632">
        <f t="shared" si="6"/>
        <v>0.4961146321050971</v>
      </c>
      <c r="AA20" s="629">
        <f t="shared" si="7"/>
        <v>-0.82892534101669657</v>
      </c>
      <c r="AB20" s="629">
        <f t="shared" si="8"/>
        <v>-0.25836611780877439</v>
      </c>
      <c r="AC20" s="636">
        <f>IF(M20="","",SQRT(Z20^2+AA20^2+AB20^2))</f>
        <v>1</v>
      </c>
      <c r="AD20" s="637">
        <f>IF(M20="","",Z20*(1/SQRT(Z20^2+AA20^2+AB20^2)))</f>
        <v>0.4961146321050971</v>
      </c>
      <c r="AE20" s="629">
        <f>IF(M20="","",AA20*(1/SQRT(Z20^2+AA20^2+AB20^2)))</f>
        <v>-0.82892534101669657</v>
      </c>
      <c r="AF20" s="633">
        <f>IF(M20="","",AB20*(1/SQRT(Z20^2+AA20^2+AB20^2)))</f>
        <v>-0.25836611780877439</v>
      </c>
      <c r="AG20" s="602">
        <f>IF(M20="","",DEGREES(ATAN2(-AF20,AE20)))</f>
        <v>-72.688367892828595</v>
      </c>
      <c r="AH20" s="603">
        <f>IF(M20="","",DEGREES(ACOS(AD20)))</f>
        <v>60.256722671386477</v>
      </c>
      <c r="AI20" s="585">
        <f>IF(M20="","",DEGREES(-ACOS(-AF20)))</f>
        <v>-75.026864581670637</v>
      </c>
      <c r="AJ20" s="586">
        <f>IF(M20="","",DEGREES(ATAN2(-AE20,AD20)))</f>
        <v>30.900664120438627</v>
      </c>
      <c r="AK20" s="635">
        <f>IF(M20="","",(COS(RADIANS((90-$Q$8)-W20))*AD20)+(-SIN(RADIANS((90-$Q$8)-W20))*AE20))</f>
        <v>0.96423562440581589</v>
      </c>
      <c r="AL20" s="629">
        <f>IF(M20="","",(SIN(RADIANS((90-$Q$8)-W20))*AD20)+(COS(RADIANS((90-$Q$8)-W20))*AE20))</f>
        <v>-5.9132138428681258E-2</v>
      </c>
      <c r="AM20" s="634">
        <f>IF(M20="","",AF20)</f>
        <v>-0.25836611780877439</v>
      </c>
      <c r="AN20" s="581">
        <f>IF(M20="","",DEGREES(ATAN2(-AM20,AL20)))</f>
        <v>-12.891233791982883</v>
      </c>
      <c r="AO20" s="582">
        <f t="shared" si="94"/>
        <v>15.369717362090004</v>
      </c>
      <c r="AP20" s="585">
        <f>IF(M20="","",DEGREES(ATAN2(AK20,AL20)))</f>
        <v>-3.5092919282016308</v>
      </c>
      <c r="AQ20" s="586">
        <f t="shared" si="9"/>
        <v>0.96437977261958785</v>
      </c>
      <c r="AS20" s="52">
        <f t="shared" si="116"/>
        <v>-54.840044059646345</v>
      </c>
      <c r="AT20" s="72">
        <f t="shared" si="10"/>
        <v>-3.8696035949058863E-2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1223" t="s">
        <v>369</v>
      </c>
      <c r="JC20" s="1224"/>
      <c r="JD20" s="1224"/>
      <c r="JE20" s="1224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707">
        <v>2.5869993711822175</v>
      </c>
      <c r="C21" s="708">
        <v>1.7051612010196526</v>
      </c>
      <c r="D21" s="709">
        <v>-0.34190103117351006</v>
      </c>
      <c r="E21" s="710">
        <v>-0.35457022487271445</v>
      </c>
      <c r="F21" s="708">
        <v>0.91591287755319717</v>
      </c>
      <c r="G21" s="711">
        <v>0.18810517368199864</v>
      </c>
      <c r="H21" s="710">
        <v>0.314</v>
      </c>
      <c r="I21" s="708">
        <v>0.52</v>
      </c>
      <c r="J21" s="570">
        <v>2.1160000000000001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2.1160000000000001</v>
      </c>
      <c r="N21" s="632">
        <f t="shared" si="2"/>
        <v>2.5869993711822175</v>
      </c>
      <c r="O21" s="629">
        <f t="shared" si="3"/>
        <v>1.7051612010196526</v>
      </c>
      <c r="P21" s="633">
        <f t="shared" si="4"/>
        <v>-0.34190103117351006</v>
      </c>
      <c r="Q21" s="585">
        <f t="shared" si="113"/>
        <v>33.389956195909996</v>
      </c>
      <c r="R21" s="629">
        <f>IF(M21="","",SQRT(N21^2+O21^2))</f>
        <v>3.0984093448025831</v>
      </c>
      <c r="S21" s="634">
        <f>IF(M21="","",P21)</f>
        <v>-0.34190103117351006</v>
      </c>
      <c r="T21" s="635">
        <f>IF(M21="","",X21*COS(RADIANS(W21)))</f>
        <v>1.7388778863882306</v>
      </c>
      <c r="U21" s="629">
        <f>IF(M21="","",X21*SIN(RADIANS(W21)))</f>
        <v>-2.5644578694511577</v>
      </c>
      <c r="V21" s="636">
        <f>IF(M21="","",Y21)</f>
        <v>-0.34190103117351006</v>
      </c>
      <c r="W21" s="585">
        <f t="shared" si="224"/>
        <v>304.13995608762337</v>
      </c>
      <c r="X21" s="629">
        <f>IF(M21="","",R21)</f>
        <v>3.0984093448025831</v>
      </c>
      <c r="Y21" s="630">
        <f t="shared" si="223"/>
        <v>-0.34190103117351006</v>
      </c>
      <c r="Z21" s="632">
        <f t="shared" si="6"/>
        <v>0.35457022487271445</v>
      </c>
      <c r="AA21" s="629">
        <f t="shared" si="7"/>
        <v>-0.91591287755319717</v>
      </c>
      <c r="AB21" s="629">
        <f t="shared" si="8"/>
        <v>-0.18810517368199864</v>
      </c>
      <c r="AC21" s="636">
        <f>IF(M21="","",SQRT(Z21^2+AA21^2+AB21^2))</f>
        <v>1</v>
      </c>
      <c r="AD21" s="637">
        <f>IF(M21="","",Z21*(1/SQRT(Z21^2+AA21^2+AB21^2)))</f>
        <v>0.35457022487271445</v>
      </c>
      <c r="AE21" s="629">
        <f>IF(M21="","",AA21*(1/SQRT(Z21^2+AA21^2+AB21^2)))</f>
        <v>-0.91591287755319717</v>
      </c>
      <c r="AF21" s="633">
        <f>IF(M21="","",AB21*(1/SQRT(Z21^2+AA21^2+AB21^2)))</f>
        <v>-0.18810517368199864</v>
      </c>
      <c r="AG21" s="602">
        <f>IF(M21="","",DEGREES(ATAN2(-AF21,AE21)))</f>
        <v>-78.394281932767285</v>
      </c>
      <c r="AH21" s="603">
        <f>IF(M21="","",DEGREES(ACOS(AD21)))</f>
        <v>69.232893238875931</v>
      </c>
      <c r="AI21" s="585">
        <f>IF(M21="","",DEGREES(-ACOS(-AF21)))</f>
        <v>-79.157775090342227</v>
      </c>
      <c r="AJ21" s="586">
        <f>IF(M21="","",DEGREES(ATAN2(-AE21,AD21)))</f>
        <v>21.162527661929253</v>
      </c>
      <c r="AK21" s="635">
        <f>IF(M21="","",(COS(RADIANS((90-$Q$8)-W21))*AD21)+(-SIN(RADIANS((90-$Q$8)-W21))*AE21))</f>
        <v>0.9598684672722213</v>
      </c>
      <c r="AL21" s="629">
        <f>IF(M21="","",(SIN(RADIANS((90-$Q$8)-W21))*AD21)+(COS(RADIANS((90-$Q$8)-W21))*AE21))</f>
        <v>-0.20801194477851997</v>
      </c>
      <c r="AM21" s="634">
        <f>IF(M21="","",AF21)</f>
        <v>-0.18810517368199864</v>
      </c>
      <c r="AN21" s="581">
        <f>IF(M21="","",DEGREES(ATAN2(-AM21,AL21)))</f>
        <v>-47.876965367209088</v>
      </c>
      <c r="AO21" s="582">
        <f>IF(ROUND(IF(M21="",0,DEGREES(ACOS(AK21))),4)=90,0,IF(M21="","",DEGREES(ACOS(AK21))))</f>
        <v>16.287098319827169</v>
      </c>
      <c r="AP21" s="585">
        <f>IF(M21="","",DEGREES(ATAN2(AK21,AL21)))</f>
        <v>-12.227428533980726</v>
      </c>
      <c r="AQ21" s="586">
        <f t="shared" si="9"/>
        <v>0.73573278264274766</v>
      </c>
      <c r="AS21" s="52">
        <f t="shared" si="116"/>
        <v>-55.860043912376625</v>
      </c>
      <c r="AT21" s="72">
        <f t="shared" si="10"/>
        <v>-0.30258850075400306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2.1160000000000001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5" t="s">
        <v>371</v>
      </c>
      <c r="JI21" s="1226"/>
    </row>
    <row r="22" spans="1:269" ht="15" customHeight="1" thickBot="1" x14ac:dyDescent="0.3">
      <c r="A22" s="79"/>
      <c r="B22" s="707">
        <v>3.0114416562725297</v>
      </c>
      <c r="C22" s="708">
        <v>1.9266346939535108</v>
      </c>
      <c r="D22" s="709">
        <v>-0.96590291316318611</v>
      </c>
      <c r="E22" s="710">
        <v>-0.23240418268465737</v>
      </c>
      <c r="F22" s="708">
        <v>0.96827098142192758</v>
      </c>
      <c r="G22" s="711">
        <v>9.1867308695170444E-2</v>
      </c>
      <c r="H22" s="710">
        <v>0.314</v>
      </c>
      <c r="I22" s="708">
        <v>0.52</v>
      </c>
      <c r="J22" s="570">
        <v>2.1219999999999999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2">
        <f>IF($L21=$JH$22,$JH$30,IF($L21=$JI$22,$JI$30,""))</f>
        <v>520</v>
      </c>
      <c r="M22" s="168">
        <f t="shared" si="1"/>
        <v>2.1219999999999999</v>
      </c>
      <c r="N22" s="632">
        <f t="shared" si="2"/>
        <v>3.0114416562725297</v>
      </c>
      <c r="O22" s="629">
        <f t="shared" si="3"/>
        <v>1.9266346939535108</v>
      </c>
      <c r="P22" s="633">
        <f t="shared" si="4"/>
        <v>-0.96590291316318611</v>
      </c>
      <c r="Q22" s="585">
        <f t="shared" si="113"/>
        <v>32.609956308528048</v>
      </c>
      <c r="R22" s="629">
        <f t="shared" si="79"/>
        <v>3.5750107822325203</v>
      </c>
      <c r="S22" s="634">
        <f t="shared" si="80"/>
        <v>-0.96590291316318611</v>
      </c>
      <c r="T22" s="635">
        <f t="shared" si="81"/>
        <v>1.9658881822092376</v>
      </c>
      <c r="U22" s="629">
        <f t="shared" si="82"/>
        <v>-2.9859647935179741</v>
      </c>
      <c r="V22" s="636">
        <f t="shared" si="114"/>
        <v>-0.96590291316318611</v>
      </c>
      <c r="W22" s="585">
        <f t="shared" si="224"/>
        <v>303.35995620024147</v>
      </c>
      <c r="X22" s="629">
        <f t="shared" si="83"/>
        <v>3.5750107822325203</v>
      </c>
      <c r="Y22" s="630">
        <f t="shared" si="223"/>
        <v>-0.96590291316318611</v>
      </c>
      <c r="Z22" s="632">
        <f t="shared" si="6"/>
        <v>0.23240418268465737</v>
      </c>
      <c r="AA22" s="629">
        <f t="shared" si="7"/>
        <v>-0.96827098142192758</v>
      </c>
      <c r="AB22" s="629">
        <f t="shared" si="8"/>
        <v>-9.1867308695170444E-2</v>
      </c>
      <c r="AC22" s="636">
        <f t="shared" si="84"/>
        <v>1</v>
      </c>
      <c r="AD22" s="637">
        <f t="shared" si="115"/>
        <v>0.23240418268465737</v>
      </c>
      <c r="AE22" s="629">
        <f t="shared" si="85"/>
        <v>-0.96827098142192758</v>
      </c>
      <c r="AF22" s="633">
        <f t="shared" si="86"/>
        <v>-9.1867308695170444E-2</v>
      </c>
      <c r="AG22" s="602">
        <f t="shared" si="87"/>
        <v>-84.580133059803515</v>
      </c>
      <c r="AH22" s="603">
        <f t="shared" si="88"/>
        <v>76.561342531470373</v>
      </c>
      <c r="AI22" s="585">
        <f t="shared" si="89"/>
        <v>-84.728958881563145</v>
      </c>
      <c r="AJ22" s="586">
        <f t="shared" si="90"/>
        <v>13.49680456897948</v>
      </c>
      <c r="AK22" s="635">
        <f t="shared" si="211"/>
        <v>0.94087814954603244</v>
      </c>
      <c r="AL22" s="629">
        <f t="shared" si="91"/>
        <v>-0.32605015764440326</v>
      </c>
      <c r="AM22" s="634">
        <f t="shared" si="92"/>
        <v>-9.1867308695170444E-2</v>
      </c>
      <c r="AN22" s="581">
        <f t="shared" si="93"/>
        <v>-74.264381936461007</v>
      </c>
      <c r="AO22" s="582">
        <f t="shared" si="94"/>
        <v>19.800443054684955</v>
      </c>
      <c r="AP22" s="585">
        <f t="shared" si="95"/>
        <v>-19.113151739548599</v>
      </c>
      <c r="AQ22" s="586">
        <f t="shared" si="9"/>
        <v>0.63765751994039466</v>
      </c>
      <c r="AS22" s="52">
        <f t="shared" si="116"/>
        <v>-56.64004379975853</v>
      </c>
      <c r="AT22" s="72">
        <f t="shared" si="10"/>
        <v>-0.92604871615521944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2.1219999999999999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3.1233487924806851</v>
      </c>
      <c r="C23" s="708">
        <v>1.9821340780222945</v>
      </c>
      <c r="D23" s="709">
        <v>-1.7392052454430202</v>
      </c>
      <c r="E23" s="710">
        <v>-4.1874967898765054E-2</v>
      </c>
      <c r="F23" s="708">
        <v>0.99912285884342811</v>
      </c>
      <c r="G23" s="711">
        <v>1.1339743337551405E-7</v>
      </c>
      <c r="H23" s="710">
        <v>0.314</v>
      </c>
      <c r="I23" s="708">
        <v>0.52</v>
      </c>
      <c r="J23" s="570">
        <v>2.1280000000000001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2.1280000000000001</v>
      </c>
      <c r="N23" s="632">
        <f t="shared" si="2"/>
        <v>3.1233487924806851</v>
      </c>
      <c r="O23" s="629">
        <f t="shared" si="3"/>
        <v>1.9821340780222945</v>
      </c>
      <c r="P23" s="633">
        <f t="shared" si="4"/>
        <v>-1.7392052454430202</v>
      </c>
      <c r="Q23" s="585">
        <f t="shared" si="113"/>
        <v>32.399956338848291</v>
      </c>
      <c r="R23" s="629">
        <f t="shared" si="79"/>
        <v>3.6992111568208492</v>
      </c>
      <c r="S23" s="634">
        <f t="shared" si="80"/>
        <v>-1.7392052454430202</v>
      </c>
      <c r="T23" s="635">
        <f t="shared" si="81"/>
        <v>2.0228476304555509</v>
      </c>
      <c r="U23" s="629">
        <f t="shared" si="82"/>
        <v>-3.0971358779860156</v>
      </c>
      <c r="V23" s="636">
        <f t="shared" si="114"/>
        <v>-1.7392052454430202</v>
      </c>
      <c r="W23" s="585">
        <f t="shared" si="224"/>
        <v>303.14995623056171</v>
      </c>
      <c r="X23" s="629">
        <f t="shared" si="83"/>
        <v>3.6992111568208492</v>
      </c>
      <c r="Y23" s="630">
        <f t="shared" si="223"/>
        <v>-1.7392052454430202</v>
      </c>
      <c r="Z23" s="632">
        <f t="shared" si="6"/>
        <v>4.1874967898765054E-2</v>
      </c>
      <c r="AA23" s="629">
        <f t="shared" si="7"/>
        <v>-0.99912285884342811</v>
      </c>
      <c r="AB23" s="629">
        <f t="shared" si="8"/>
        <v>-1.1339743337551405E-7</v>
      </c>
      <c r="AC23" s="636">
        <f t="shared" si="84"/>
        <v>1</v>
      </c>
      <c r="AD23" s="637">
        <f t="shared" si="115"/>
        <v>4.1874967898765054E-2</v>
      </c>
      <c r="AE23" s="629">
        <f t="shared" si="85"/>
        <v>-0.99912285884342811</v>
      </c>
      <c r="AF23" s="633">
        <f t="shared" si="86"/>
        <v>-1.1339743337551405E-7</v>
      </c>
      <c r="AG23" s="602">
        <f t="shared" si="87"/>
        <v>-89.999993497101698</v>
      </c>
      <c r="AH23" s="603">
        <f t="shared" si="88"/>
        <v>87.600039329687618</v>
      </c>
      <c r="AI23" s="585">
        <f t="shared" si="89"/>
        <v>-89.999993502805651</v>
      </c>
      <c r="AJ23" s="586">
        <f t="shared" si="90"/>
        <v>2.3999606703123995</v>
      </c>
      <c r="AK23" s="635">
        <f t="shared" si="211"/>
        <v>0.86602544158358574</v>
      </c>
      <c r="AL23" s="629">
        <f t="shared" si="91"/>
        <v>-0.49999993452993841</v>
      </c>
      <c r="AM23" s="634">
        <f t="shared" si="92"/>
        <v>-1.1339743337551405E-7</v>
      </c>
      <c r="AN23" s="581">
        <f t="shared" si="93"/>
        <v>-89.999987005609626</v>
      </c>
      <c r="AO23" s="582">
        <f t="shared" si="94"/>
        <v>29.99999566853651</v>
      </c>
      <c r="AP23" s="585">
        <f t="shared" si="95"/>
        <v>-29.999995668535892</v>
      </c>
      <c r="AQ23" s="586">
        <f t="shared" si="9"/>
        <v>0.61624995878789901</v>
      </c>
      <c r="AS23" s="52">
        <f t="shared" si="116"/>
        <v>-56.850043769438287</v>
      </c>
      <c r="AT23" s="72">
        <f t="shared" si="10"/>
        <v>-1.6992052151227761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2.1280000000000001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:JA24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cm="1">
        <f t="array" ref="JF23:JG24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3</v>
      </c>
      <c r="JG23" s="801">
        <v>3</v>
      </c>
      <c r="JH23" s="800" cm="1">
        <f t="array" ref="JH23:JI24">IF(_xlfn.ANCHORARRAY($JF$23)="","",_xlfn.MINIFS($IO$9:$IO$150,$IK$9:$IK$150,_xlfn.ANCHORARRAY($JA$23),$IE$9:$IE$150,_xlfn.ANCHORARRAY($JH$22),$II$9:$II$150,"&lt;&gt;"&amp;"",$IF$9:$IF$150,"&lt;&gt;"&amp;"Gage"))</f>
        <v>140</v>
      </c>
      <c r="JI23" s="801">
        <v>130</v>
      </c>
    </row>
    <row r="24" spans="1:269" ht="15" customHeight="1" x14ac:dyDescent="0.25">
      <c r="A24" s="79"/>
      <c r="B24" s="707">
        <v>2.9874624268122867</v>
      </c>
      <c r="C24" s="708">
        <v>0.8532540581883471</v>
      </c>
      <c r="D24" s="709">
        <v>-0.34684042728147335</v>
      </c>
      <c r="E24" s="710">
        <v>0.39691476401985548</v>
      </c>
      <c r="F24" s="708">
        <v>0.1133637145524201</v>
      </c>
      <c r="G24" s="711">
        <v>0.91082783133034528</v>
      </c>
      <c r="H24" s="710">
        <v>0.25700000000000001</v>
      </c>
      <c r="I24" s="708">
        <v>0.41499999999999992</v>
      </c>
      <c r="J24" s="570">
        <v>2.2160000000000002</v>
      </c>
      <c r="K24" s="865" t="str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CPS-32193r1</v>
      </c>
      <c r="M24" s="168">
        <f t="shared" si="1"/>
        <v>2.2160000000000002</v>
      </c>
      <c r="N24" s="632">
        <f t="shared" si="2"/>
        <v>2.9874624268122867</v>
      </c>
      <c r="O24" s="629">
        <f t="shared" si="3"/>
        <v>0.8532540581883471</v>
      </c>
      <c r="P24" s="633">
        <f t="shared" si="4"/>
        <v>-0.34684042728147335</v>
      </c>
      <c r="Q24" s="585">
        <f t="shared" si="113"/>
        <v>15.939958715377923</v>
      </c>
      <c r="R24" s="629">
        <f t="shared" si="79"/>
        <v>3.1069235972952476</v>
      </c>
      <c r="S24" s="634">
        <f t="shared" si="80"/>
        <v>-0.34684042728147335</v>
      </c>
      <c r="T24" s="635">
        <f t="shared" si="81"/>
        <v>0.89228562717017024</v>
      </c>
      <c r="U24" s="629">
        <f t="shared" si="82"/>
        <v>-2.9760377348037066</v>
      </c>
      <c r="V24" s="636">
        <f t="shared" si="114"/>
        <v>-0.34684042728147335</v>
      </c>
      <c r="W24" s="585">
        <f t="shared" si="224"/>
        <v>286.68995860709134</v>
      </c>
      <c r="X24" s="629">
        <f t="shared" si="83"/>
        <v>3.1069235972952476</v>
      </c>
      <c r="Y24" s="630">
        <f t="shared" si="223"/>
        <v>-0.34684042728147335</v>
      </c>
      <c r="Z24" s="632">
        <f t="shared" si="6"/>
        <v>-0.39691476401985548</v>
      </c>
      <c r="AA24" s="629">
        <f t="shared" si="7"/>
        <v>-0.1133637145524201</v>
      </c>
      <c r="AB24" s="629">
        <f t="shared" si="8"/>
        <v>-0.91082783133034528</v>
      </c>
      <c r="AC24" s="636">
        <f t="shared" si="84"/>
        <v>1</v>
      </c>
      <c r="AD24" s="637">
        <f t="shared" si="115"/>
        <v>-0.39691476401985548</v>
      </c>
      <c r="AE24" s="629">
        <f t="shared" si="85"/>
        <v>-0.1133637145524201</v>
      </c>
      <c r="AF24" s="633">
        <f t="shared" si="86"/>
        <v>-0.91082783133034528</v>
      </c>
      <c r="AG24" s="602">
        <f t="shared" si="87"/>
        <v>-7.0946796136715529</v>
      </c>
      <c r="AH24" s="603">
        <f t="shared" si="88"/>
        <v>113.38544661411264</v>
      </c>
      <c r="AI24" s="585">
        <f t="shared" si="89"/>
        <v>-24.379996479967261</v>
      </c>
      <c r="AJ24" s="586">
        <f t="shared" si="90"/>
        <v>-74.06000980493063</v>
      </c>
      <c r="AK24" s="635">
        <f>IF(M24="","",(COS(RADIANS((90-$Q$8)-W24))*AD24)+(-SIN(RADIANS((90-$Q$8)-W24))*AE24))</f>
        <v>2.2679489661281416E-7</v>
      </c>
      <c r="AL24" s="629">
        <f t="shared" si="91"/>
        <v>-0.41278646013890608</v>
      </c>
      <c r="AM24" s="634">
        <f t="shared" si="92"/>
        <v>-0.91082783133034528</v>
      </c>
      <c r="AN24" s="581">
        <f t="shared" si="93"/>
        <v>-24.379996479964014</v>
      </c>
      <c r="AO24" s="582">
        <f t="shared" si="94"/>
        <v>0</v>
      </c>
      <c r="AP24" s="585">
        <f t="shared" si="95"/>
        <v>-89.99996852030857</v>
      </c>
      <c r="AQ24" s="586">
        <f t="shared" si="9"/>
        <v>0.73371679199237749</v>
      </c>
      <c r="AS24" s="52">
        <f t="shared" si="116"/>
        <v>-73.310041392908659</v>
      </c>
      <c r="AT24" s="72">
        <f t="shared" si="10"/>
        <v>-0.29540984305604134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2.2160000000000002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2.1160000000000001</v>
      </c>
      <c r="II24" s="734" cm="1">
        <f t="array" ref="II24">IFERROR(IF($IH24&lt;1,$IH24+LARGE((IF($M$9:$M$150="",0,$M$9:$M$150)-MOD(IF($M$9:$M$150="",0,$M$9:$M$150),1)),1),$IH24),"")</f>
        <v>2.1160000000000001</v>
      </c>
      <c r="IJ24" s="533">
        <f t="shared" si="112"/>
        <v>1613</v>
      </c>
      <c r="IK24" s="533" t="str">
        <f t="shared" si="66"/>
        <v>CPS-32193r1</v>
      </c>
      <c r="IL24" s="727">
        <f t="shared" si="225"/>
        <v>17.449997480532033</v>
      </c>
      <c r="IM24" s="759">
        <v>3.9882343174990002E-2</v>
      </c>
      <c r="IN24" s="5">
        <f t="shared" si="226"/>
        <v>1.04</v>
      </c>
      <c r="IO24" s="771">
        <v>520</v>
      </c>
      <c r="IP24" s="9">
        <f t="shared" si="227"/>
        <v>-3.0984093448025831</v>
      </c>
      <c r="IQ24" s="5">
        <f t="shared" si="228"/>
        <v>-0.34190103117351006</v>
      </c>
      <c r="IR24" s="5">
        <f t="shared" si="71"/>
        <v>0.314</v>
      </c>
      <c r="IS24" s="5">
        <f t="shared" si="229"/>
        <v>0.30139869872347747</v>
      </c>
      <c r="IT24" s="727">
        <f t="shared" si="230"/>
        <v>47.876965367209088</v>
      </c>
      <c r="IU24" s="9">
        <f t="shared" si="231"/>
        <v>-3.1069235972952476</v>
      </c>
      <c r="IV24" s="5">
        <f t="shared" si="232"/>
        <v>-0.34684042728147335</v>
      </c>
      <c r="IW24" s="5">
        <f t="shared" si="76"/>
        <v>0.25700000000000001</v>
      </c>
      <c r="IX24" s="5">
        <f t="shared" si="233"/>
        <v>0.25700000000000001</v>
      </c>
      <c r="IY24" s="762">
        <f t="shared" si="234"/>
        <v>24.379996479964014</v>
      </c>
      <c r="JA24" s="798" t="str">
        <v>CPS-32193r1</v>
      </c>
      <c r="JB24" s="856" cm="1">
        <f t="array" ref="JB24">IF($JA24="","",COUNT(IF(IF($II$9:$II$150&lt;&gt;"",$IK$9:$IK$150,"")=$JA24,$IG$9:$IG$150,"")))</f>
        <v>15</v>
      </c>
      <c r="JC24" s="5"/>
      <c r="JD24" s="5"/>
      <c r="JE24" s="10"/>
      <c r="JF24" s="247" t="str">
        <v/>
      </c>
      <c r="JG24" s="803">
        <v>9</v>
      </c>
      <c r="JH24" s="787" t="str">
        <v/>
      </c>
      <c r="JI24" s="803">
        <v>520</v>
      </c>
    </row>
    <row r="25" spans="1:269" ht="15" customHeight="1" x14ac:dyDescent="0.25">
      <c r="A25" s="79"/>
      <c r="B25" s="707">
        <v>3.4383280193171513</v>
      </c>
      <c r="C25" s="708">
        <v>1.0505434910229992</v>
      </c>
      <c r="D25" s="709">
        <v>-0.98366052851039476</v>
      </c>
      <c r="E25" s="710">
        <v>0.7190263530587605</v>
      </c>
      <c r="F25" s="708">
        <v>0.21969086899733536</v>
      </c>
      <c r="G25" s="711">
        <v>0.65934590746148902</v>
      </c>
      <c r="H25" s="710">
        <v>0.25700000000000001</v>
      </c>
      <c r="I25" s="708">
        <v>0.41499999999999992</v>
      </c>
      <c r="J25" s="570">
        <v>2.222</v>
      </c>
      <c r="K25" s="865" t="str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CPS-32193r1</v>
      </c>
      <c r="L25" s="320"/>
      <c r="M25" s="168">
        <f t="shared" si="1"/>
        <v>2.222</v>
      </c>
      <c r="N25" s="632">
        <f t="shared" si="2"/>
        <v>3.4383280193171513</v>
      </c>
      <c r="O25" s="629">
        <f t="shared" si="3"/>
        <v>1.0505434910229992</v>
      </c>
      <c r="P25" s="633">
        <f t="shared" si="4"/>
        <v>-0.98366052851039476</v>
      </c>
      <c r="Q25" s="585">
        <f t="shared" si="113"/>
        <v>16.989958563776693</v>
      </c>
      <c r="R25" s="629">
        <f>IF(M25="","",SQRT(N25^2+O25^2))</f>
        <v>3.5952386840030792</v>
      </c>
      <c r="S25" s="634">
        <f>IF(M25="","",P25)</f>
        <v>-0.98366052851039476</v>
      </c>
      <c r="T25" s="635">
        <f>IF(M25="","",X25*COS(RADIANS(W25)))</f>
        <v>1.0954598051562459</v>
      </c>
      <c r="U25" s="629">
        <f>IF(M25="","",X25*SIN(RADIANS(W25)))</f>
        <v>-3.42428226205715</v>
      </c>
      <c r="V25" s="636">
        <f>IF(M25="","",Y25)</f>
        <v>-0.98366052851039476</v>
      </c>
      <c r="W25" s="585">
        <f t="shared" si="224"/>
        <v>287.73995845549007</v>
      </c>
      <c r="X25" s="629">
        <f>IF(M25="","",R25)</f>
        <v>3.5952386840030792</v>
      </c>
      <c r="Y25" s="630">
        <f t="shared" si="223"/>
        <v>-0.98366052851039476</v>
      </c>
      <c r="Z25" s="632">
        <f t="shared" si="6"/>
        <v>-0.7190263530587605</v>
      </c>
      <c r="AA25" s="629">
        <f t="shared" si="7"/>
        <v>-0.21969086899733536</v>
      </c>
      <c r="AB25" s="629">
        <f t="shared" si="8"/>
        <v>-0.65934590746148902</v>
      </c>
      <c r="AC25" s="636">
        <f>IF(M25="","",SQRT(Z25^2+AA25^2+AB25^2))</f>
        <v>1</v>
      </c>
      <c r="AD25" s="637">
        <f>IF(M25="","",Z25*(1/SQRT(Z25^2+AA25^2+AB25^2)))</f>
        <v>-0.7190263530587605</v>
      </c>
      <c r="AE25" s="629">
        <f>IF(M25="","",AA25*(1/SQRT(Z25^2+AA25^2+AB25^2)))</f>
        <v>-0.21969086899733536</v>
      </c>
      <c r="AF25" s="633">
        <f>IF(M25="","",AB25*(1/SQRT(Z25^2+AA25^2+AB25^2)))</f>
        <v>-0.65934590746148902</v>
      </c>
      <c r="AG25" s="602">
        <f>IF(M25="","",DEGREES(ATAN2(-AF25,AE25)))</f>
        <v>-18.427823755968337</v>
      </c>
      <c r="AH25" s="603">
        <f>IF(M25="","",DEGREES(ACOS(AD25)))</f>
        <v>135.97415274358642</v>
      </c>
      <c r="AI25" s="585">
        <f>IF(M25="","",DEGREES(-ACOS(-AF25)))</f>
        <v>-48.749992961373152</v>
      </c>
      <c r="AJ25" s="586">
        <f>IF(M25="","",DEGREES(ATAN2(-AE25,AD25)))</f>
        <v>-73.010024152765226</v>
      </c>
      <c r="AK25" s="635">
        <f>IF(M25="","",(COS(RADIANS((90-$Q$8)-W25))*AD25)+(-SIN(RADIANS((90-$Q$8)-W25))*AE25))</f>
        <v>2.2679489708465894E-7</v>
      </c>
      <c r="AL25" s="629">
        <f>IF(M25="","",(SIN(RADIANS((90-$Q$8)-W25))*AD25)+(COS(RADIANS((90-$Q$8)-W25))*AE25))</f>
        <v>-0.75183972648014163</v>
      </c>
      <c r="AM25" s="634">
        <f>IF(M25="","",AF25)</f>
        <v>-0.65934590746148902</v>
      </c>
      <c r="AN25" s="581">
        <f>IF(M25="","",DEGREES(ATAN2(-AM25,AL25)))</f>
        <v>-48.749992961371873</v>
      </c>
      <c r="AO25" s="582">
        <f>IF(ROUND(IF(M25="",0,DEGREES(ACOS(AK25))),4)=90,0,IF(M25="","",DEGREES(ACOS(AK25))))</f>
        <v>0</v>
      </c>
      <c r="AP25" s="585">
        <f>IF(M25="","",DEGREES(ATAN2(AK25,AL25)))</f>
        <v>-89.999982716541894</v>
      </c>
      <c r="AQ25" s="586">
        <f t="shared" si="9"/>
        <v>0.63407015933916544</v>
      </c>
      <c r="AS25" s="52">
        <f t="shared" si="116"/>
        <v>-72.260041544509932</v>
      </c>
      <c r="AT25" s="72">
        <f t="shared" si="10"/>
        <v>-0.93295911084635075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2.222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2.1219999999999999</v>
      </c>
      <c r="II25" s="734" cm="1">
        <f t="array" ref="II25">IFERROR(IF($IH25&lt;1,$IH25+LARGE((IF($M$9:$M$150="",0,$M$9:$M$150)-MOD(IF($M$9:$M$150="",0,$M$9:$M$150),1)),1),$IH25),"")</f>
        <v>2.1219999999999999</v>
      </c>
      <c r="IJ25" s="533">
        <f t="shared" si="112"/>
        <v>1613</v>
      </c>
      <c r="IK25" s="533" t="str">
        <f t="shared" si="66"/>
        <v>CPS-32193r1</v>
      </c>
      <c r="IL25" s="727">
        <f t="shared" si="225"/>
        <v>15.619997744751402</v>
      </c>
      <c r="IM25" s="759">
        <v>1.9019802051406701E-2</v>
      </c>
      <c r="IN25" s="5">
        <f t="shared" si="226"/>
        <v>1.3</v>
      </c>
      <c r="IO25" s="771">
        <v>650</v>
      </c>
      <c r="IP25" s="9">
        <f t="shared" si="227"/>
        <v>-3.5750107822325203</v>
      </c>
      <c r="IQ25" s="5">
        <f t="shared" si="228"/>
        <v>-0.96590291316318611</v>
      </c>
      <c r="IR25" s="5">
        <f t="shared" si="71"/>
        <v>0.314</v>
      </c>
      <c r="IS25" s="5">
        <f t="shared" si="229"/>
        <v>0.29543573895745417</v>
      </c>
      <c r="IT25" s="727">
        <f t="shared" si="230"/>
        <v>74.264381936461007</v>
      </c>
      <c r="IU25" s="9">
        <f t="shared" si="231"/>
        <v>-3.5952386840030792</v>
      </c>
      <c r="IV25" s="5">
        <f t="shared" si="232"/>
        <v>-0.98366052851039476</v>
      </c>
      <c r="IW25" s="5">
        <f t="shared" si="76"/>
        <v>0.25700000000000001</v>
      </c>
      <c r="IX25" s="5">
        <f t="shared" si="233"/>
        <v>0.25700000000000001</v>
      </c>
      <c r="IY25" s="762">
        <f t="shared" si="234"/>
        <v>48.749992961371873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3.537820479478603</v>
      </c>
      <c r="C26" s="708">
        <v>1.0931060020559609</v>
      </c>
      <c r="D26" s="709">
        <v>-1.7831470446381534</v>
      </c>
      <c r="E26" s="710">
        <v>0.95543321021671368</v>
      </c>
      <c r="F26" s="708">
        <v>0.29520735223725975</v>
      </c>
      <c r="G26" s="711">
        <v>2.2679489626786057E-7</v>
      </c>
      <c r="H26" s="710">
        <v>0.25700000000000001</v>
      </c>
      <c r="I26" s="708">
        <v>0.41499999999999992</v>
      </c>
      <c r="J26" s="570">
        <v>2.2280000000000002</v>
      </c>
      <c r="K26" s="865" t="str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CPS-32193r1</v>
      </c>
      <c r="L26" s="320"/>
      <c r="M26" s="168">
        <f t="shared" si="1"/>
        <v>2.2280000000000002</v>
      </c>
      <c r="N26" s="632">
        <f t="shared" si="2"/>
        <v>3.537820479478603</v>
      </c>
      <c r="O26" s="629">
        <f t="shared" si="3"/>
        <v>1.0931060020559609</v>
      </c>
      <c r="P26" s="633">
        <f t="shared" si="4"/>
        <v>-1.7831470446381534</v>
      </c>
      <c r="Q26" s="585">
        <f t="shared" si="113"/>
        <v>17.16995853778791</v>
      </c>
      <c r="R26" s="629">
        <f>IF(M26="","",SQRT(N26^2+O26^2))</f>
        <v>3.702844106460462</v>
      </c>
      <c r="S26" s="634">
        <f>IF(M26="","",P26)</f>
        <v>-1.7831470446381534</v>
      </c>
      <c r="T26" s="635">
        <f>IF(M26="","",X26*COS(RADIANS(W26)))</f>
        <v>1.1393209856345765</v>
      </c>
      <c r="U26" s="629">
        <f>IF(M26="","",X26*SIN(RADIANS(W26)))</f>
        <v>-3.5232090724851446</v>
      </c>
      <c r="V26" s="636">
        <f>IF(M26="","",Y26)</f>
        <v>-1.7831470446381534</v>
      </c>
      <c r="W26" s="585">
        <f t="shared" si="224"/>
        <v>287.91995842950132</v>
      </c>
      <c r="X26" s="629">
        <f>IF(M26="","",R26)</f>
        <v>3.702844106460462</v>
      </c>
      <c r="Y26" s="630">
        <f t="shared" si="223"/>
        <v>-1.7831470446381534</v>
      </c>
      <c r="Z26" s="632">
        <f t="shared" si="6"/>
        <v>-0.95543321021671368</v>
      </c>
      <c r="AA26" s="629">
        <f t="shared" si="7"/>
        <v>-0.29520735223725975</v>
      </c>
      <c r="AB26" s="629">
        <f t="shared" si="8"/>
        <v>-2.2679489626786057E-7</v>
      </c>
      <c r="AC26" s="636">
        <f>IF(M26="","",SQRT(Z26^2+AA26^2+AB26^2))</f>
        <v>1</v>
      </c>
      <c r="AD26" s="637">
        <f>IF(M26="","",Z26*(1/SQRT(Z26^2+AA26^2+AB26^2)))</f>
        <v>-0.95543321021671368</v>
      </c>
      <c r="AE26" s="629">
        <f>IF(M26="","",AA26*(1/SQRT(Z26^2+AA26^2+AB26^2)))</f>
        <v>-0.29520735223725975</v>
      </c>
      <c r="AF26" s="633">
        <f>IF(M26="","",AB26*(1/SQRT(Z26^2+AA26^2+AB26^2)))</f>
        <v>-2.2679489626786057E-7</v>
      </c>
      <c r="AG26" s="602">
        <f>IF(M26="","",DEGREES(ATAN2(-AF26,AE26)))</f>
        <v>-89.999955982158738</v>
      </c>
      <c r="AH26" s="603">
        <f>IF(M26="","",DEGREES(ACOS(AD26)))</f>
        <v>162.8300284678169</v>
      </c>
      <c r="AI26" s="585">
        <f>IF(M26="","",DEGREES(-ACOS(-AF26)))</f>
        <v>-89.999987005609626</v>
      </c>
      <c r="AJ26" s="586">
        <f>IF(M26="","",DEGREES(ATAN2(-AE26,AD26)))</f>
        <v>-72.830028467821691</v>
      </c>
      <c r="AK26" s="635">
        <f>IF(M26="","",(COS(RADIANS((90-$Q$8)-W26))*AD26)+(-SIN(RADIANS((90-$Q$8)-W26))*AE26))</f>
        <v>2.2679489680710319E-7</v>
      </c>
      <c r="AL26" s="629">
        <f>IF(M26="","",(SIN(RADIANS((90-$Q$8)-W26))*AD26)+(COS(RADIANS((90-$Q$8)-W26))*AE26))</f>
        <v>-0.99999999999994849</v>
      </c>
      <c r="AM26" s="634">
        <f>IF(M26="","",AF26)</f>
        <v>-2.2679489626786057E-7</v>
      </c>
      <c r="AN26" s="581">
        <f>IF(M26="","",DEGREES(ATAN2(-AM26,AL26)))</f>
        <v>-89.999987005609626</v>
      </c>
      <c r="AO26" s="582">
        <f t="shared" si="94"/>
        <v>0</v>
      </c>
      <c r="AP26" s="585">
        <f>IF(M26="","",DEGREES(ATAN2(AK26,AL26)))</f>
        <v>-89.999987005609611</v>
      </c>
      <c r="AQ26" s="586">
        <f t="shared" si="9"/>
        <v>0.61564538765322918</v>
      </c>
      <c r="AS26" s="52">
        <f t="shared" si="116"/>
        <v>-72.080041570498679</v>
      </c>
      <c r="AT26" s="72">
        <f t="shared" si="10"/>
        <v>-1.7325706269560617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>Taper</v>
      </c>
      <c r="IF26" s="533" t="str">
        <f>IFERROR(IF((((($IW26*COS(RADIANS(180-$IY26)))*COS(RADIANS($IY26)))-(($IX26*SIN(RADIANS(180-$IY26)))*SIN(RADIANS($IY26))))+$IU26)&lt;(((Settings!$C$19+$IF$8)/2)*-1),"Gage",""),"")</f>
        <v>Gage</v>
      </c>
      <c r="IG26" s="847">
        <f t="shared" si="210"/>
        <v>2.2280000000000002</v>
      </c>
      <c r="IH26" s="731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>2.1280000000000001</v>
      </c>
      <c r="II26" s="734" cm="1">
        <f t="array" ref="II26">IFERROR(IF($IH26&lt;1,$IH26+LARGE((IF($M$9:$M$150="",0,$M$9:$M$150)-MOD(IF($M$9:$M$150="",0,$M$9:$M$150),1)),1),$IH26),"")</f>
        <v>2.1280000000000001</v>
      </c>
      <c r="IJ26" s="533">
        <f t="shared" si="112"/>
        <v>1613</v>
      </c>
      <c r="IK26" s="533" t="str">
        <f t="shared" si="66"/>
        <v>CPS-32193r1</v>
      </c>
      <c r="IL26" s="727">
        <f t="shared" si="225"/>
        <v>15.229997801060392</v>
      </c>
      <c r="IM26" s="759">
        <v>9.1131655657291505E-4</v>
      </c>
      <c r="IN26" s="5">
        <f t="shared" si="226"/>
        <v>0</v>
      </c>
      <c r="IO26" s="771">
        <v>0</v>
      </c>
      <c r="IP26" s="9">
        <f t="shared" si="227"/>
        <v>-3.6992111568208492</v>
      </c>
      <c r="IQ26" s="5">
        <f t="shared" si="228"/>
        <v>-1.7392052454430202</v>
      </c>
      <c r="IR26" s="5">
        <f t="shared" si="71"/>
        <v>0.314</v>
      </c>
      <c r="IS26" s="5">
        <f t="shared" si="229"/>
        <v>0.27193198865724594</v>
      </c>
      <c r="IT26" s="727">
        <f t="shared" si="230"/>
        <v>89.999987005609626</v>
      </c>
      <c r="IU26" s="9">
        <f t="shared" si="231"/>
        <v>-3.702844106460462</v>
      </c>
      <c r="IV26" s="5">
        <f t="shared" si="232"/>
        <v>-1.7831470446381534</v>
      </c>
      <c r="IW26" s="5">
        <f t="shared" si="76"/>
        <v>0.25700000000000001</v>
      </c>
      <c r="IX26" s="5">
        <f t="shared" si="233"/>
        <v>0.25700000000000001</v>
      </c>
      <c r="IY26" s="762">
        <f t="shared" si="234"/>
        <v>89.999987005609626</v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0.69377480114919787</v>
      </c>
      <c r="C27" s="708">
        <v>-0.400551627648075</v>
      </c>
      <c r="D27" s="709">
        <v>-0.29250088218266057</v>
      </c>
      <c r="E27" s="710">
        <v>0.44789962007113937</v>
      </c>
      <c r="F27" s="708">
        <v>0.8567601450036243</v>
      </c>
      <c r="G27" s="711">
        <v>0.25563251802831716</v>
      </c>
      <c r="H27" s="710">
        <v>0.314</v>
      </c>
      <c r="I27" s="708">
        <v>0.52</v>
      </c>
      <c r="J27" s="570">
        <v>3.1030000000000002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3.1030000000000002</v>
      </c>
      <c r="N27" s="632">
        <f t="shared" si="2"/>
        <v>0.69377480114919787</v>
      </c>
      <c r="O27" s="629">
        <f t="shared" si="3"/>
        <v>-0.400551627648075</v>
      </c>
      <c r="P27" s="633">
        <f t="shared" si="4"/>
        <v>-0.29250088218266057</v>
      </c>
      <c r="Q27" s="585">
        <f t="shared" si="113"/>
        <v>329.99996534829228</v>
      </c>
      <c r="R27" s="629">
        <f t="shared" si="79"/>
        <v>0.80110241612488675</v>
      </c>
      <c r="S27" s="634">
        <f t="shared" si="80"/>
        <v>-0.29250088218266057</v>
      </c>
      <c r="T27" s="635">
        <f t="shared" si="81"/>
        <v>-0.39143608117476764</v>
      </c>
      <c r="U27" s="629">
        <f t="shared" si="82"/>
        <v>-0.69895842185045021</v>
      </c>
      <c r="V27" s="636">
        <f t="shared" si="114"/>
        <v>-0.29250088218266057</v>
      </c>
      <c r="W27" s="585">
        <f t="shared" si="224"/>
        <v>240.74996524000568</v>
      </c>
      <c r="X27" s="629">
        <f t="shared" si="83"/>
        <v>0.80110241612488675</v>
      </c>
      <c r="Y27" s="630">
        <f t="shared" si="223"/>
        <v>-0.29250088218266057</v>
      </c>
      <c r="Z27" s="632">
        <f t="shared" si="6"/>
        <v>-0.44789962007113937</v>
      </c>
      <c r="AA27" s="629">
        <f t="shared" si="7"/>
        <v>-0.8567601450036243</v>
      </c>
      <c r="AB27" s="629">
        <f t="shared" si="8"/>
        <v>-0.25563251802831716</v>
      </c>
      <c r="AC27" s="636">
        <f t="shared" si="84"/>
        <v>1</v>
      </c>
      <c r="AD27" s="637">
        <f t="shared" si="115"/>
        <v>-0.44789962007113937</v>
      </c>
      <c r="AE27" s="629">
        <f t="shared" si="85"/>
        <v>-0.8567601450036243</v>
      </c>
      <c r="AF27" s="633">
        <f t="shared" si="86"/>
        <v>-0.25563251802831716</v>
      </c>
      <c r="AG27" s="602">
        <f t="shared" si="87"/>
        <v>-73.386413989534844</v>
      </c>
      <c r="AH27" s="603">
        <f t="shared" si="88"/>
        <v>116.60900540464297</v>
      </c>
      <c r="AI27" s="585">
        <f t="shared" si="89"/>
        <v>-75.188931961768461</v>
      </c>
      <c r="AJ27" s="586">
        <f t="shared" si="90"/>
        <v>-27.599802542015606</v>
      </c>
      <c r="AK27" s="635">
        <f t="shared" si="211"/>
        <v>0.9659258360722075</v>
      </c>
      <c r="AL27" s="629">
        <f t="shared" si="91"/>
        <v>4.0488207353615024E-2</v>
      </c>
      <c r="AM27" s="634">
        <f t="shared" si="92"/>
        <v>-0.25563251802831716</v>
      </c>
      <c r="AN27" s="581">
        <f t="shared" si="93"/>
        <v>8.9999987005609476</v>
      </c>
      <c r="AO27" s="582">
        <f t="shared" si="94"/>
        <v>14.99999783426823</v>
      </c>
      <c r="AP27" s="585">
        <f t="shared" si="95"/>
        <v>2.4002321096921202</v>
      </c>
      <c r="AQ27" s="586">
        <f t="shared" si="9"/>
        <v>2.8434002548662765</v>
      </c>
      <c r="AS27" s="52">
        <f t="shared" si="116"/>
        <v>-119.25003475999432</v>
      </c>
      <c r="AT27" s="72">
        <f t="shared" si="10"/>
        <v>-0.20916752478564132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3.1030000000000002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1.2954908563713463</v>
      </c>
      <c r="C28" s="708">
        <v>-0.74795303931938029</v>
      </c>
      <c r="D28" s="709">
        <v>-0.1824005501200591</v>
      </c>
      <c r="E28" s="710">
        <v>0.4478996200711392</v>
      </c>
      <c r="F28" s="708">
        <v>0.8567601450036243</v>
      </c>
      <c r="G28" s="711">
        <v>0.2556325180283171</v>
      </c>
      <c r="H28" s="710">
        <v>0.314</v>
      </c>
      <c r="I28" s="708">
        <v>0.52</v>
      </c>
      <c r="J28" s="570">
        <v>3.1059999999999999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3.1059999999999999</v>
      </c>
      <c r="N28" s="632">
        <f t="shared" si="2"/>
        <v>1.2954908563713463</v>
      </c>
      <c r="O28" s="629">
        <f t="shared" si="3"/>
        <v>-0.74795303931938029</v>
      </c>
      <c r="P28" s="633">
        <f t="shared" si="4"/>
        <v>-0.1824005501200591</v>
      </c>
      <c r="Q28" s="585">
        <f t="shared" si="113"/>
        <v>329.99996534829228</v>
      </c>
      <c r="R28" s="629">
        <f t="shared" si="79"/>
        <v>1.4959045116480072</v>
      </c>
      <c r="S28" s="634">
        <f t="shared" si="80"/>
        <v>-0.1824005501200591</v>
      </c>
      <c r="T28" s="635">
        <f t="shared" si="81"/>
        <v>-0.73093151145841362</v>
      </c>
      <c r="U28" s="629">
        <f t="shared" si="82"/>
        <v>-1.3051702699364487</v>
      </c>
      <c r="V28" s="636">
        <f t="shared" si="114"/>
        <v>-0.1824005501200591</v>
      </c>
      <c r="W28" s="585">
        <f t="shared" si="224"/>
        <v>240.74996524000568</v>
      </c>
      <c r="X28" s="629">
        <f t="shared" si="83"/>
        <v>1.4959045116480072</v>
      </c>
      <c r="Y28" s="630">
        <f t="shared" si="223"/>
        <v>-0.1824005501200591</v>
      </c>
      <c r="Z28" s="632">
        <f t="shared" si="6"/>
        <v>-0.4478996200711392</v>
      </c>
      <c r="AA28" s="629">
        <f t="shared" si="7"/>
        <v>-0.8567601450036243</v>
      </c>
      <c r="AB28" s="629">
        <f t="shared" si="8"/>
        <v>-0.2556325180283171</v>
      </c>
      <c r="AC28" s="636">
        <f t="shared" si="84"/>
        <v>1</v>
      </c>
      <c r="AD28" s="637">
        <f t="shared" si="115"/>
        <v>-0.4478996200711392</v>
      </c>
      <c r="AE28" s="629">
        <f t="shared" si="85"/>
        <v>-0.8567601450036243</v>
      </c>
      <c r="AF28" s="633">
        <f t="shared" si="86"/>
        <v>-0.2556325180283171</v>
      </c>
      <c r="AG28" s="602">
        <f t="shared" si="87"/>
        <v>-73.386413989534844</v>
      </c>
      <c r="AH28" s="603">
        <f t="shared" si="88"/>
        <v>116.60900540464297</v>
      </c>
      <c r="AI28" s="585">
        <f t="shared" si="89"/>
        <v>-75.188931961768461</v>
      </c>
      <c r="AJ28" s="586">
        <f t="shared" si="90"/>
        <v>-27.599802542015595</v>
      </c>
      <c r="AK28" s="635">
        <f t="shared" si="211"/>
        <v>0.96592583607220739</v>
      </c>
      <c r="AL28" s="629">
        <f t="shared" si="91"/>
        <v>4.0488207353615191E-2</v>
      </c>
      <c r="AM28" s="634">
        <f t="shared" si="92"/>
        <v>-0.2556325180283171</v>
      </c>
      <c r="AN28" s="581">
        <f t="shared" si="93"/>
        <v>8.9999987005609867</v>
      </c>
      <c r="AO28" s="582">
        <f t="shared" si="94"/>
        <v>14.999997834268255</v>
      </c>
      <c r="AP28" s="585">
        <f t="shared" si="95"/>
        <v>2.4002321096921309</v>
      </c>
      <c r="AQ28" s="586">
        <f t="shared" si="9"/>
        <v>1.5236194716894182</v>
      </c>
      <c r="AS28" s="52">
        <f t="shared" si="116"/>
        <v>-119.25003475999432</v>
      </c>
      <c r="AT28" s="72">
        <f t="shared" si="10"/>
        <v>-9.9067192723039835E-2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3.1059999999999999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1.9184839399738938</v>
      </c>
      <c r="C29" s="708">
        <v>-1.1273705157294509</v>
      </c>
      <c r="D29" s="709">
        <v>-7.5900228915090406E-2</v>
      </c>
      <c r="E29" s="710">
        <v>0.51416318290570662</v>
      </c>
      <c r="F29" s="708">
        <v>0.81681947327619397</v>
      </c>
      <c r="G29" s="711">
        <v>0.26161454359624964</v>
      </c>
      <c r="H29" s="710">
        <v>0.314</v>
      </c>
      <c r="I29" s="708">
        <v>0.52</v>
      </c>
      <c r="J29" s="570">
        <v>3.109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3.109</v>
      </c>
      <c r="N29" s="632">
        <f t="shared" si="2"/>
        <v>1.9184839399738938</v>
      </c>
      <c r="O29" s="629">
        <f t="shared" si="3"/>
        <v>-1.1273705157294509</v>
      </c>
      <c r="P29" s="633">
        <f t="shared" si="4"/>
        <v>-7.5900228915090406E-2</v>
      </c>
      <c r="Q29" s="585">
        <f t="shared" si="113"/>
        <v>329.55996541182037</v>
      </c>
      <c r="R29" s="629">
        <f>IF(M29="","",SQRT(N29^2+O29^2))</f>
        <v>2.225206711223441</v>
      </c>
      <c r="S29" s="634">
        <f>IF(M29="","",P29)</f>
        <v>-7.5900228915090406E-2</v>
      </c>
      <c r="T29" s="635">
        <f>IF(M29="","",X29*COS(RADIANS(W29)))</f>
        <v>-1.1021617559314318</v>
      </c>
      <c r="U29" s="629">
        <f>IF(M29="","",X29*SIN(RADIANS(W29)))</f>
        <v>-1.9330764008274444</v>
      </c>
      <c r="V29" s="636">
        <f>IF(M29="","",Y29)</f>
        <v>-7.5900228915090406E-2</v>
      </c>
      <c r="W29" s="585">
        <f t="shared" si="224"/>
        <v>240.30996530353377</v>
      </c>
      <c r="X29" s="629">
        <f>IF(M29="","",R29)</f>
        <v>2.225206711223441</v>
      </c>
      <c r="Y29" s="630">
        <f t="shared" si="223"/>
        <v>-7.5900228915090406E-2</v>
      </c>
      <c r="Z29" s="632">
        <f t="shared" si="6"/>
        <v>-0.51416318290570662</v>
      </c>
      <c r="AA29" s="629">
        <f t="shared" si="7"/>
        <v>-0.81681947327619397</v>
      </c>
      <c r="AB29" s="629">
        <f t="shared" si="8"/>
        <v>-0.26161454359624964</v>
      </c>
      <c r="AC29" s="636">
        <f>IF(M29="","",SQRT(Z29^2+AA29^2+AB29^2))</f>
        <v>1</v>
      </c>
      <c r="AD29" s="637">
        <f>IF(M29="","",Z29*(1/SQRT(Z29^2+AA29^2+AB29^2)))</f>
        <v>-0.51416318290570662</v>
      </c>
      <c r="AE29" s="629">
        <f>IF(M29="","",AA29*(1/SQRT(Z29^2+AA29^2+AB29^2)))</f>
        <v>-0.81681947327619397</v>
      </c>
      <c r="AF29" s="633">
        <f>IF(M29="","",AB29*(1/SQRT(Z29^2+AA29^2+AB29^2)))</f>
        <v>-0.26161454359624964</v>
      </c>
      <c r="AG29" s="602">
        <f>IF(M29="","",DEGREES(ATAN2(-AF29,AE29)))</f>
        <v>-72.24054772938679</v>
      </c>
      <c r="AH29" s="603">
        <f>IF(M29="","",DEGREES(ACOS(AD29)))</f>
        <v>120.94153735661421</v>
      </c>
      <c r="AI29" s="585">
        <f>IF(M29="","",DEGREES(-ACOS(-AF29)))</f>
        <v>-74.834114962872178</v>
      </c>
      <c r="AJ29" s="586">
        <f>IF(M29="","",DEGREES(ATAN2(-AE29,AD29)))</f>
        <v>-32.189175258857631</v>
      </c>
      <c r="AK29" s="635">
        <f>IF(M29="","",(COS(RADIANS((90-$Q$8)-W29))*AD29)+(-SIN(RADIANS((90-$Q$8)-W29))*AE29))</f>
        <v>0.96472271236299401</v>
      </c>
      <c r="AL29" s="629">
        <f>IF(M29="","",(SIN(RADIANS((90-$Q$8)-W29))*AD29)+(COS(RADIANS((90-$Q$8)-W29))*AE29))</f>
        <v>-2.9460462146984612E-2</v>
      </c>
      <c r="AM29" s="634">
        <f>IF(M29="","",AF29)</f>
        <v>-0.26161454359624964</v>
      </c>
      <c r="AN29" s="581">
        <f>IF(M29="","",DEGREES(ATAN2(-AM29,AL29)))</f>
        <v>-6.4250208860363092</v>
      </c>
      <c r="AO29" s="582">
        <f t="shared" si="94"/>
        <v>15.264067904843309</v>
      </c>
      <c r="AP29" s="585">
        <f>IF(M29="","",DEGREES(ATAN2(AK29,AL29)))</f>
        <v>-1.7491406706779753</v>
      </c>
      <c r="AQ29" s="586">
        <f t="shared" si="9"/>
        <v>1.0243918929108469</v>
      </c>
      <c r="AS29" s="52">
        <f t="shared" si="116"/>
        <v>-119.69003469646623</v>
      </c>
      <c r="AT29" s="72">
        <f t="shared" si="10"/>
        <v>7.738683993367676E-3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3.109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6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140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130</v>
      </c>
    </row>
    <row r="30" spans="1:269" ht="15" customHeight="1" x14ac:dyDescent="0.25">
      <c r="A30" s="79"/>
      <c r="B30" s="707">
        <v>2.54907312070935</v>
      </c>
      <c r="C30" s="708">
        <v>-1.5584066732633255</v>
      </c>
      <c r="D30" s="709">
        <v>-0.26880081070324507</v>
      </c>
      <c r="E30" s="710">
        <v>0.66042378796476342</v>
      </c>
      <c r="F30" s="708">
        <v>0.72226139087127417</v>
      </c>
      <c r="G30" s="711">
        <v>0.20537503145943944</v>
      </c>
      <c r="H30" s="710">
        <v>0.314</v>
      </c>
      <c r="I30" s="708">
        <v>0.52</v>
      </c>
      <c r="J30" s="570">
        <v>3.1150000000000002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3.1150000000000002</v>
      </c>
      <c r="N30" s="632">
        <f t="shared" si="2"/>
        <v>2.54907312070935</v>
      </c>
      <c r="O30" s="629">
        <f t="shared" si="3"/>
        <v>-1.5584066732633255</v>
      </c>
      <c r="P30" s="633">
        <f t="shared" si="4"/>
        <v>-0.26880081070324507</v>
      </c>
      <c r="Q30" s="585">
        <f t="shared" si="113"/>
        <v>328.55996555620254</v>
      </c>
      <c r="R30" s="629">
        <f>IF(M30="","",SQRT(N30^2+O30^2))</f>
        <v>2.9877090109303768</v>
      </c>
      <c r="S30" s="634">
        <f>IF(M30="","",P30)</f>
        <v>-0.26880081070324507</v>
      </c>
      <c r="T30" s="635">
        <f>IF(M30="","",X30*COS(RADIANS(W30)))</f>
        <v>-1.5249068294068524</v>
      </c>
      <c r="U30" s="629">
        <f>IF(M30="","",X30*SIN(RADIANS(W30)))</f>
        <v>-2.5692536456377582</v>
      </c>
      <c r="V30" s="636">
        <f>IF(M30="","",Y30)</f>
        <v>-0.26880081070324507</v>
      </c>
      <c r="W30" s="585">
        <f t="shared" si="224"/>
        <v>239.30996544791594</v>
      </c>
      <c r="X30" s="629">
        <f>IF(M30="","",R30)</f>
        <v>2.9877090109303768</v>
      </c>
      <c r="Y30" s="630">
        <f t="shared" si="223"/>
        <v>-0.26880081070324507</v>
      </c>
      <c r="Z30" s="632">
        <f t="shared" si="6"/>
        <v>-0.66042378796476342</v>
      </c>
      <c r="AA30" s="629">
        <f t="shared" si="7"/>
        <v>-0.72226139087127417</v>
      </c>
      <c r="AB30" s="629">
        <f t="shared" si="8"/>
        <v>-0.20537503145943944</v>
      </c>
      <c r="AC30" s="636">
        <f>IF(M30="","",SQRT(Z30^2+AA30^2+AB30^2))</f>
        <v>1</v>
      </c>
      <c r="AD30" s="637">
        <f>IF(M30="","",Z30*(1/SQRT(Z30^2+AA30^2+AB30^2)))</f>
        <v>-0.66042378796476342</v>
      </c>
      <c r="AE30" s="629">
        <f>IF(M30="","",AA30*(1/SQRT(Z30^2+AA30^2+AB30^2)))</f>
        <v>-0.72226139087127417</v>
      </c>
      <c r="AF30" s="633">
        <f>IF(M30="","",AB30*(1/SQRT(Z30^2+AA30^2+AB30^2)))</f>
        <v>-0.20537503145943944</v>
      </c>
      <c r="AG30" s="602">
        <f>IF(M30="","",DEGREES(ATAN2(-AF30,AE30)))</f>
        <v>-74.126898105421247</v>
      </c>
      <c r="AH30" s="603">
        <f>IF(M30="","",DEGREES(ACOS(AD30)))</f>
        <v>131.33220128197547</v>
      </c>
      <c r="AI30" s="585">
        <f>IF(M30="","",DEGREES(-ACOS(-AF30)))</f>
        <v>-78.148546090756781</v>
      </c>
      <c r="AJ30" s="586">
        <f>IF(M30="","",DEGREES(ATAN2(-AE30,AD30)))</f>
        <v>-42.439276584240083</v>
      </c>
      <c r="AK30" s="635">
        <f>IF(M30="","",(COS(RADIANS((90-$Q$8)-W30))*AD30)+(-SIN(RADIANS((90-$Q$8)-W30))*AE30))</f>
        <v>0.96070464875976258</v>
      </c>
      <c r="AL30" s="629">
        <f>IF(M30="","",(SIN(RADIANS((90-$Q$8)-W30))*AD30)+(COS(RADIANS((90-$Q$8)-W30))*AE30))</f>
        <v>-0.18672887913875424</v>
      </c>
      <c r="AM30" s="634">
        <f>IF(M30="","",AF30)</f>
        <v>-0.20537503145943944</v>
      </c>
      <c r="AN30" s="581">
        <f>IF(M30="","",DEGREES(ATAN2(-AM30,AL30)))</f>
        <v>-42.277401276843619</v>
      </c>
      <c r="AO30" s="582">
        <f>IF(ROUND(IF(M30="",0,DEGREES(ACOS(AK30))),4)=90,0,IF(M30="","",DEGREES(ACOS(AK30))))</f>
        <v>16.115386348796818</v>
      </c>
      <c r="AP30" s="585">
        <f>IF(M30="","",DEGREES(ATAN2(AK30,AL30)))</f>
        <v>-10.999242140442606</v>
      </c>
      <c r="AQ30" s="586">
        <f t="shared" si="9"/>
        <v>0.76298992446591507</v>
      </c>
      <c r="AS30" s="52">
        <f t="shared" si="116"/>
        <v>-120.69003455208406</v>
      </c>
      <c r="AT30" s="72">
        <f t="shared" si="10"/>
        <v>-0.18446745345060794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3.1150000000000002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15</v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>520</v>
      </c>
    </row>
    <row r="31" spans="1:269" ht="15" customHeight="1" x14ac:dyDescent="0.25">
      <c r="A31" s="79"/>
      <c r="B31" s="707">
        <v>2.9768509751931971</v>
      </c>
      <c r="C31" s="708">
        <v>-1.8818895629604908</v>
      </c>
      <c r="D31" s="709">
        <v>-0.84440254671808102</v>
      </c>
      <c r="E31" s="710">
        <v>0.76325003057120266</v>
      </c>
      <c r="F31" s="708">
        <v>0.637381659681725</v>
      </c>
      <c r="G31" s="711">
        <v>0.10580175203855577</v>
      </c>
      <c r="H31" s="710">
        <v>0.314</v>
      </c>
      <c r="I31" s="708">
        <v>0.52</v>
      </c>
      <c r="J31" s="570">
        <v>3.121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3.121</v>
      </c>
      <c r="N31" s="632">
        <f t="shared" si="2"/>
        <v>2.9768509751931971</v>
      </c>
      <c r="O31" s="629">
        <f t="shared" si="3"/>
        <v>-1.8818895629604908</v>
      </c>
      <c r="P31" s="633">
        <f t="shared" si="4"/>
        <v>-0.84440254671808102</v>
      </c>
      <c r="Q31" s="585">
        <f t="shared" si="113"/>
        <v>327.69996568037112</v>
      </c>
      <c r="R31" s="629">
        <f>IF(M31="","",SQRT(N31^2+O31^2))</f>
        <v>3.5218106217808356</v>
      </c>
      <c r="S31" s="634">
        <f>IF(M31="","",P31)</f>
        <v>-0.84440254671808102</v>
      </c>
      <c r="T31" s="635">
        <f>IF(M31="","",X31*COS(RADIANS(W31)))</f>
        <v>-1.8427625672469383</v>
      </c>
      <c r="U31" s="629">
        <f>IF(M31="","",X31*SIN(RADIANS(W31)))</f>
        <v>-3.0012291109546751</v>
      </c>
      <c r="V31" s="636">
        <f>IF(M31="","",Y31)</f>
        <v>-0.84440254671808102</v>
      </c>
      <c r="W31" s="585">
        <f t="shared" si="224"/>
        <v>238.44996557208452</v>
      </c>
      <c r="X31" s="629">
        <f>IF(M31="","",R31)</f>
        <v>3.5218106217808356</v>
      </c>
      <c r="Y31" s="630">
        <f t="shared" si="223"/>
        <v>-0.84440254671808102</v>
      </c>
      <c r="Z31" s="632">
        <f t="shared" si="6"/>
        <v>-0.76325003057120266</v>
      </c>
      <c r="AA31" s="629">
        <f t="shared" si="7"/>
        <v>-0.637381659681725</v>
      </c>
      <c r="AB31" s="629">
        <f t="shared" si="8"/>
        <v>-0.10580175203855577</v>
      </c>
      <c r="AC31" s="636">
        <f>IF(M31="","",SQRT(Z31^2+AA31^2+AB31^2))</f>
        <v>1</v>
      </c>
      <c r="AD31" s="637">
        <f>IF(M31="","",Z31*(1/SQRT(Z31^2+AA31^2+AB31^2)))</f>
        <v>-0.76325003057120266</v>
      </c>
      <c r="AE31" s="629">
        <f>IF(M31="","",AA31*(1/SQRT(Z31^2+AA31^2+AB31^2)))</f>
        <v>-0.637381659681725</v>
      </c>
      <c r="AF31" s="633">
        <f>IF(M31="","",AB31*(1/SQRT(Z31^2+AA31^2+AB31^2)))</f>
        <v>-0.10580175203855577</v>
      </c>
      <c r="AG31" s="602">
        <f>IF(M31="","",DEGREES(ATAN2(-AF31,AE31)))</f>
        <v>-80.575161873075146</v>
      </c>
      <c r="AH31" s="603">
        <f>IF(M31="","",DEGREES(ACOS(AD31)))</f>
        <v>139.75155724792688</v>
      </c>
      <c r="AI31" s="585">
        <f>IF(M31="","",DEGREES(-ACOS(-AF31)))</f>
        <v>-83.926639119609959</v>
      </c>
      <c r="AJ31" s="586">
        <f>IF(M31="","",DEGREES(ATAN2(-AE31,AD31)))</f>
        <v>-50.135116196516705</v>
      </c>
      <c r="AK31" s="635">
        <f>IF(M31="","",(COS(RADIANS((90-$Q$8)-W31))*AD31)+(-SIN(RADIANS((90-$Q$8)-W31))*AE31))</f>
        <v>0.94659901956036641</v>
      </c>
      <c r="AL31" s="629">
        <f>IF(M31="","",(SIN(RADIANS((90-$Q$8)-W31))*AD31)+(COS(RADIANS((90-$Q$8)-W31))*AE31))</f>
        <v>-0.30455916573454994</v>
      </c>
      <c r="AM31" s="634">
        <f>IF(M31="","",AF31)</f>
        <v>-0.10580175203855577</v>
      </c>
      <c r="AN31" s="581">
        <f>IF(M31="","",DEGREES(ATAN2(-AM31,AL31)))</f>
        <v>-70.843125927643172</v>
      </c>
      <c r="AO31" s="582">
        <f t="shared" si="94"/>
        <v>18.808930249231654</v>
      </c>
      <c r="AP31" s="585">
        <f>IF(M31="","",DEGREES(ATAN2(AK31,AL31)))</f>
        <v>-17.835081876887841</v>
      </c>
      <c r="AQ31" s="586">
        <f t="shared" si="9"/>
        <v>0.64728910469531598</v>
      </c>
      <c r="AS31" s="52">
        <f t="shared" si="116"/>
        <v>-121.55003442791548</v>
      </c>
      <c r="AT31" s="72">
        <f t="shared" si="10"/>
        <v>-0.75947196732944988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3.121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3.116408113801223</v>
      </c>
      <c r="C32" s="708">
        <v>-1.9930287632098418</v>
      </c>
      <c r="D32" s="709">
        <v>-1.6093048536634387</v>
      </c>
      <c r="E32" s="710">
        <v>0.88781562565335437</v>
      </c>
      <c r="F32" s="708">
        <v>0.46019932077930126</v>
      </c>
      <c r="G32" s="711">
        <v>1.1339743360043036E-7</v>
      </c>
      <c r="H32" s="710">
        <v>0.314</v>
      </c>
      <c r="I32" s="708">
        <v>0.52</v>
      </c>
      <c r="J32" s="570">
        <v>3.1269999999999998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3.1269999999999998</v>
      </c>
      <c r="N32" s="632">
        <f t="shared" si="2"/>
        <v>3.116408113801223</v>
      </c>
      <c r="O32" s="629">
        <f t="shared" si="3"/>
        <v>-1.9930287632098418</v>
      </c>
      <c r="P32" s="633">
        <f t="shared" si="4"/>
        <v>-1.6093048536634387</v>
      </c>
      <c r="Q32" s="585">
        <f t="shared" si="113"/>
        <v>327.3999657236858</v>
      </c>
      <c r="R32" s="629">
        <f t="shared" si="79"/>
        <v>3.6992111568208497</v>
      </c>
      <c r="S32" s="634">
        <f t="shared" si="80"/>
        <v>-1.6093048536634387</v>
      </c>
      <c r="T32" s="635">
        <f t="shared" si="81"/>
        <v>-1.9520654996943889</v>
      </c>
      <c r="U32" s="629">
        <f t="shared" si="82"/>
        <v>-3.1422290603408825</v>
      </c>
      <c r="V32" s="636">
        <f t="shared" si="114"/>
        <v>-1.6093048536634387</v>
      </c>
      <c r="W32" s="585">
        <f t="shared" si="224"/>
        <v>238.1499656153992</v>
      </c>
      <c r="X32" s="629">
        <f t="shared" si="83"/>
        <v>3.6992111568208497</v>
      </c>
      <c r="Y32" s="630">
        <f t="shared" si="223"/>
        <v>-1.6093048536634387</v>
      </c>
      <c r="Z32" s="632">
        <f t="shared" si="6"/>
        <v>-0.88781562565335437</v>
      </c>
      <c r="AA32" s="629">
        <f t="shared" si="7"/>
        <v>-0.46019932077930126</v>
      </c>
      <c r="AB32" s="629">
        <f t="shared" si="8"/>
        <v>-1.1339743360043036E-7</v>
      </c>
      <c r="AC32" s="636">
        <f t="shared" si="84"/>
        <v>1</v>
      </c>
      <c r="AD32" s="637">
        <f t="shared" si="115"/>
        <v>-0.88781562565335437</v>
      </c>
      <c r="AE32" s="629">
        <f t="shared" si="85"/>
        <v>-0.46019932077930126</v>
      </c>
      <c r="AF32" s="633">
        <f t="shared" si="86"/>
        <v>-1.1339743360043036E-7</v>
      </c>
      <c r="AG32" s="602">
        <f t="shared" si="87"/>
        <v>-89.999985881781953</v>
      </c>
      <c r="AH32" s="603">
        <f t="shared" si="88"/>
        <v>152.60002994484944</v>
      </c>
      <c r="AI32" s="585">
        <f t="shared" si="89"/>
        <v>-89.999993502805637</v>
      </c>
      <c r="AJ32" s="586">
        <f t="shared" si="90"/>
        <v>-62.600029944850128</v>
      </c>
      <c r="AK32" s="635">
        <f t="shared" si="211"/>
        <v>0.86602544158358563</v>
      </c>
      <c r="AL32" s="629">
        <f t="shared" si="91"/>
        <v>-0.49999993452993852</v>
      </c>
      <c r="AM32" s="634">
        <f t="shared" si="92"/>
        <v>-1.1339743360043036E-7</v>
      </c>
      <c r="AN32" s="581">
        <f t="shared" si="93"/>
        <v>-89.999987005609597</v>
      </c>
      <c r="AO32" s="582">
        <f t="shared" si="94"/>
        <v>29.999995668536535</v>
      </c>
      <c r="AP32" s="585">
        <f t="shared" si="95"/>
        <v>-29.999995668535906</v>
      </c>
      <c r="AQ32" s="586">
        <f t="shared" si="9"/>
        <v>0.6162499587878989</v>
      </c>
      <c r="AS32" s="52">
        <f t="shared" si="116"/>
        <v>-121.8500343846008</v>
      </c>
      <c r="AT32" s="72">
        <f t="shared" si="10"/>
        <v>-1.5241659409715538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3.1269999999999998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1.3947204353024791</v>
      </c>
      <c r="C33" s="708">
        <v>-1.7284979344139755</v>
      </c>
      <c r="D33" s="709">
        <v>-3.9977980460498205E-2</v>
      </c>
      <c r="E33" s="710">
        <v>0.74480469854538722</v>
      </c>
      <c r="F33" s="708">
        <v>0.57150340106206987</v>
      </c>
      <c r="G33" s="711">
        <v>0.34445583693588605</v>
      </c>
      <c r="H33" s="710">
        <v>0.26600000000000001</v>
      </c>
      <c r="I33" s="708">
        <v>0.52</v>
      </c>
      <c r="J33" s="570">
        <v>3.2090000000000001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3.2090000000000001</v>
      </c>
      <c r="N33" s="632">
        <f t="shared" si="2"/>
        <v>1.3947204353024791</v>
      </c>
      <c r="O33" s="629">
        <f t="shared" si="3"/>
        <v>-1.7284979344139755</v>
      </c>
      <c r="P33" s="633">
        <f t="shared" si="4"/>
        <v>-3.9977980460498205E-2</v>
      </c>
      <c r="Q33" s="585">
        <f t="shared" si="113"/>
        <v>308.89996839475492</v>
      </c>
      <c r="R33" s="629">
        <f t="shared" si="79"/>
        <v>2.2210245838179543</v>
      </c>
      <c r="S33" s="634">
        <f t="shared" si="80"/>
        <v>-3.9977980460498205E-2</v>
      </c>
      <c r="T33" s="635">
        <f t="shared" si="81"/>
        <v>-1.7100935260479089</v>
      </c>
      <c r="U33" s="629">
        <f t="shared" si="82"/>
        <v>-1.417226281894584</v>
      </c>
      <c r="V33" s="636">
        <f t="shared" si="114"/>
        <v>-3.9977980460498205E-2</v>
      </c>
      <c r="W33" s="585">
        <f t="shared" si="224"/>
        <v>219.64996828646832</v>
      </c>
      <c r="X33" s="629">
        <f t="shared" si="83"/>
        <v>2.2210245838179543</v>
      </c>
      <c r="Y33" s="630">
        <f t="shared" si="223"/>
        <v>-3.9977980460498205E-2</v>
      </c>
      <c r="Z33" s="632">
        <f t="shared" si="6"/>
        <v>-0.74480469854538722</v>
      </c>
      <c r="AA33" s="629">
        <f t="shared" si="7"/>
        <v>-0.57150340106206987</v>
      </c>
      <c r="AB33" s="629">
        <f t="shared" si="8"/>
        <v>-0.34445583693588605</v>
      </c>
      <c r="AC33" s="636">
        <f t="shared" si="84"/>
        <v>1</v>
      </c>
      <c r="AD33" s="637">
        <f t="shared" si="115"/>
        <v>-0.74480469854538722</v>
      </c>
      <c r="AE33" s="629">
        <f t="shared" si="85"/>
        <v>-0.57150340106206987</v>
      </c>
      <c r="AF33" s="633">
        <f t="shared" si="86"/>
        <v>-0.34445583693588605</v>
      </c>
      <c r="AG33" s="602">
        <f t="shared" si="87"/>
        <v>-58.92184036568154</v>
      </c>
      <c r="AH33" s="603">
        <f t="shared" si="88"/>
        <v>138.14232675595426</v>
      </c>
      <c r="AI33" s="585">
        <f t="shared" si="89"/>
        <v>-69.851418422519956</v>
      </c>
      <c r="AJ33" s="586">
        <f t="shared" si="90"/>
        <v>-52.500258794508895</v>
      </c>
      <c r="AK33" s="635">
        <f t="shared" si="211"/>
        <v>0.9385221894754664</v>
      </c>
      <c r="AL33" s="629">
        <f t="shared" si="91"/>
        <v>-2.2940711910814648E-2</v>
      </c>
      <c r="AM33" s="634">
        <f t="shared" si="92"/>
        <v>-0.34445583693588605</v>
      </c>
      <c r="AN33" s="581">
        <f t="shared" si="93"/>
        <v>-3.8102642452242095</v>
      </c>
      <c r="AO33" s="582">
        <f t="shared" si="94"/>
        <v>20.19515977319897</v>
      </c>
      <c r="AP33" s="585">
        <f t="shared" si="95"/>
        <v>-1.4002271892638094</v>
      </c>
      <c r="AQ33" s="586">
        <f t="shared" si="9"/>
        <v>1.0263203821062836</v>
      </c>
      <c r="AS33" s="52">
        <f t="shared" si="116"/>
        <v>-140.35003171353168</v>
      </c>
      <c r="AT33" s="72">
        <f t="shared" si="10"/>
        <v>5.8008152598699764E-2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Nose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3.2090000000000001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3.109</v>
      </c>
      <c r="II33" s="734" cm="1">
        <f t="array" ref="II33">IFERROR(IF($IH33&lt;1,$IH33+LARGE((IF($M$9:$M$150="",0,$M$9:$M$150)-MOD(IF($M$9:$M$150="",0,$M$9:$M$150),1)),1),$IH33),"")</f>
        <v>3.109</v>
      </c>
      <c r="IJ33" s="533">
        <f t="shared" si="112"/>
        <v>1613</v>
      </c>
      <c r="IK33" s="533">
        <f t="shared" si="66"/>
        <v>1313</v>
      </c>
      <c r="IL33" s="727">
        <f t="shared" si="225"/>
        <v>20.65999701706545</v>
      </c>
      <c r="IM33" s="759">
        <v>1.71151634296813E-2</v>
      </c>
      <c r="IN33" s="5">
        <f t="shared" si="226"/>
        <v>0.28000000000000003</v>
      </c>
      <c r="IO33" s="771">
        <v>140</v>
      </c>
      <c r="IP33" s="9">
        <f t="shared" si="227"/>
        <v>-2.225206711223441</v>
      </c>
      <c r="IQ33" s="5">
        <f t="shared" si="228"/>
        <v>-7.5900228915090406E-2</v>
      </c>
      <c r="IR33" s="5">
        <f t="shared" si="71"/>
        <v>0.314</v>
      </c>
      <c r="IS33" s="5">
        <f t="shared" si="229"/>
        <v>0.30292293168198015</v>
      </c>
      <c r="IT33" s="727">
        <f t="shared" si="230"/>
        <v>6.4250208860363092</v>
      </c>
      <c r="IU33" s="9">
        <f t="shared" si="231"/>
        <v>-2.2210245838179543</v>
      </c>
      <c r="IV33" s="5">
        <f t="shared" si="232"/>
        <v>-3.9977980460498205E-2</v>
      </c>
      <c r="IW33" s="5">
        <f t="shared" si="76"/>
        <v>0.26600000000000001</v>
      </c>
      <c r="IX33" s="5">
        <f t="shared" si="233"/>
        <v>0.24964690240047407</v>
      </c>
      <c r="IY33" s="762">
        <f t="shared" si="234"/>
        <v>3.8102642452242095</v>
      </c>
    </row>
    <row r="34" spans="1:267" ht="15" customHeight="1" x14ac:dyDescent="0.25">
      <c r="A34" s="79"/>
      <c r="B34" s="707">
        <v>2.020886529973045</v>
      </c>
      <c r="C34" s="708">
        <v>-2.2256054177951996</v>
      </c>
      <c r="D34" s="709">
        <v>-0.23241152051953901</v>
      </c>
      <c r="E34" s="710">
        <v>0.83676241197156798</v>
      </c>
      <c r="F34" s="708">
        <v>0.46877508411434737</v>
      </c>
      <c r="G34" s="711">
        <v>0.28298160085968604</v>
      </c>
      <c r="H34" s="710">
        <v>0.26600000000000001</v>
      </c>
      <c r="I34" s="708">
        <v>0.52</v>
      </c>
      <c r="J34" s="570">
        <v>3.2149999999999999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3.2149999999999999</v>
      </c>
      <c r="N34" s="632">
        <f t="shared" si="2"/>
        <v>2.020886529973045</v>
      </c>
      <c r="O34" s="629">
        <f t="shared" si="3"/>
        <v>-2.2256054177951996</v>
      </c>
      <c r="P34" s="633">
        <f t="shared" si="4"/>
        <v>-0.23241152051953901</v>
      </c>
      <c r="Q34" s="585">
        <f t="shared" si="113"/>
        <v>312.23996791251864</v>
      </c>
      <c r="R34" s="629">
        <f>IF(M34="","",SQRT(N34^2+O34^2))</f>
        <v>3.0062105453121277</v>
      </c>
      <c r="S34" s="634">
        <f>IF(M34="","",P34)</f>
        <v>-0.23241152051953901</v>
      </c>
      <c r="T34" s="635">
        <f>IF(M34="","",X34*COS(RADIANS(W34)))</f>
        <v>-2.1989621612809507</v>
      </c>
      <c r="U34" s="629">
        <f>IF(M34="","",X34*SIN(RADIANS(W34)))</f>
        <v>-2.0498456663857527</v>
      </c>
      <c r="V34" s="636">
        <f>IF(M34="","",Y34)</f>
        <v>-0.23241152051953901</v>
      </c>
      <c r="W34" s="585">
        <f t="shared" si="224"/>
        <v>222.98996780423204</v>
      </c>
      <c r="X34" s="629">
        <f>IF(M34="","",R34)</f>
        <v>3.0062105453121277</v>
      </c>
      <c r="Y34" s="630">
        <f t="shared" si="223"/>
        <v>-0.23241152051953901</v>
      </c>
      <c r="Z34" s="632">
        <f t="shared" si="6"/>
        <v>-0.83676241197156798</v>
      </c>
      <c r="AA34" s="629">
        <f t="shared" si="7"/>
        <v>-0.46877508411434737</v>
      </c>
      <c r="AB34" s="629">
        <f t="shared" si="8"/>
        <v>-0.28298160085968604</v>
      </c>
      <c r="AC34" s="636">
        <f>IF(M34="","",SQRT(Z34^2+AA34^2+AB34^2))</f>
        <v>1</v>
      </c>
      <c r="AD34" s="637">
        <f>IF(M34="","",Z34*(1/SQRT(Z34^2+AA34^2+AB34^2)))</f>
        <v>-0.83676241197156798</v>
      </c>
      <c r="AE34" s="629">
        <f>IF(M34="","",AA34*(1/SQRT(Z34^2+AA34^2+AB34^2)))</f>
        <v>-0.46877508411434737</v>
      </c>
      <c r="AF34" s="633">
        <f>IF(M34="","",AB34*(1/SQRT(Z34^2+AA34^2+AB34^2)))</f>
        <v>-0.28298160085968604</v>
      </c>
      <c r="AG34" s="602">
        <f>IF(M34="","",DEGREES(ATAN2(-AF34,AE34)))</f>
        <v>-58.882224686787822</v>
      </c>
      <c r="AH34" s="603">
        <f>IF(M34="","",DEGREES(ACOS(AD34)))</f>
        <v>146.7998010331799</v>
      </c>
      <c r="AI34" s="585">
        <f>IF(M34="","",DEGREES(-ACOS(-AF34)))</f>
        <v>-73.561763138560693</v>
      </c>
      <c r="AJ34" s="586">
        <f>IF(M34="","",DEGREES(ATAN2(-AE34,AD34)))</f>
        <v>-60.741367895122778</v>
      </c>
      <c r="AK34" s="635">
        <f>IF(M34="","",(COS(RADIANS((90-$Q$8)-W34))*AD34)+(-SIN(RADIANS((90-$Q$8)-W34))*AE34))</f>
        <v>0.93461325087370017</v>
      </c>
      <c r="AL34" s="629">
        <f>IF(M34="","",(SIN(RADIANS((90-$Q$8)-W34))*AD34)+(COS(RADIANS((90-$Q$8)-W34))*AE34))</f>
        <v>-0.21545181564838012</v>
      </c>
      <c r="AM34" s="634">
        <f>IF(M34="","",AF34)</f>
        <v>-0.28298160085968604</v>
      </c>
      <c r="AN34" s="581">
        <f>IF(M34="","",DEGREES(ATAN2(-AM34,AL34)))</f>
        <v>-37.284315540949905</v>
      </c>
      <c r="AO34" s="582">
        <f t="shared" si="94"/>
        <v>20.834247479186939</v>
      </c>
      <c r="AP34" s="585">
        <f>IF(M34="","",DEGREES(ATAN2(AK34,AL34)))</f>
        <v>-12.981335807641399</v>
      </c>
      <c r="AQ34" s="586">
        <f t="shared" si="9"/>
        <v>0.75829470081158779</v>
      </c>
      <c r="AS34" s="52">
        <f t="shared" si="116"/>
        <v>-137.01003219576796</v>
      </c>
      <c r="AT34" s="72">
        <f t="shared" si="10"/>
        <v>-0.13674483156989917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Taper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3.2149999999999999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3.1150000000000002</v>
      </c>
      <c r="II34" s="734" cm="1">
        <f t="array" ref="II34">IFERROR(IF($IH34&lt;1,$IH34+LARGE((IF($M$9:$M$150="",0,$M$9:$M$150)-MOD(IF($M$9:$M$150="",0,$M$9:$M$150),1)),1),$IH34),"")</f>
        <v>3.1150000000000002</v>
      </c>
      <c r="IJ34" s="533">
        <f t="shared" si="112"/>
        <v>1613</v>
      </c>
      <c r="IK34" s="533">
        <f t="shared" si="66"/>
        <v>1313</v>
      </c>
      <c r="IL34" s="727">
        <f t="shared" si="225"/>
        <v>16.319997643683905</v>
      </c>
      <c r="IM34" s="759">
        <v>1.25342339013878E-2</v>
      </c>
      <c r="IN34" s="5">
        <f t="shared" si="226"/>
        <v>0.28000000000000003</v>
      </c>
      <c r="IO34" s="771">
        <v>140</v>
      </c>
      <c r="IP34" s="9">
        <f t="shared" si="227"/>
        <v>-2.9877090109303768</v>
      </c>
      <c r="IQ34" s="5">
        <f t="shared" si="228"/>
        <v>-0.26880081070324507</v>
      </c>
      <c r="IR34" s="5">
        <f t="shared" si="71"/>
        <v>0.314</v>
      </c>
      <c r="IS34" s="5">
        <f t="shared" si="229"/>
        <v>0.30166125971056545</v>
      </c>
      <c r="IT34" s="727">
        <f t="shared" si="230"/>
        <v>42.277401276843619</v>
      </c>
      <c r="IU34" s="9">
        <f t="shared" si="231"/>
        <v>-3.0062105453121277</v>
      </c>
      <c r="IV34" s="5">
        <f t="shared" si="232"/>
        <v>-0.23241152051953901</v>
      </c>
      <c r="IW34" s="5">
        <f t="shared" si="76"/>
        <v>0.26600000000000001</v>
      </c>
      <c r="IX34" s="5">
        <f t="shared" si="233"/>
        <v>0.24860712473240426</v>
      </c>
      <c r="IY34" s="762">
        <f t="shared" si="234"/>
        <v>37.284315540949905</v>
      </c>
      <c r="JG34" s="470"/>
    </row>
    <row r="35" spans="1:267" ht="15" customHeight="1" x14ac:dyDescent="0.25">
      <c r="A35" s="79"/>
      <c r="B35" s="707">
        <v>2.3649533547471626</v>
      </c>
      <c r="C35" s="708">
        <v>-2.6357865515686782</v>
      </c>
      <c r="D35" s="709">
        <v>-0.85907054902129276</v>
      </c>
      <c r="E35" s="710">
        <v>0.46966684745318887</v>
      </c>
      <c r="F35" s="708">
        <v>-0.52345250472483051</v>
      </c>
      <c r="G35" s="711">
        <v>0.71092230778101517</v>
      </c>
      <c r="H35" s="710">
        <v>0.25700000000000001</v>
      </c>
      <c r="I35" s="708">
        <v>0.41499999999999992</v>
      </c>
      <c r="J35" s="570">
        <v>3.2210000000000001</v>
      </c>
      <c r="K35" s="865" t="str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CPS-32193r1</v>
      </c>
      <c r="L35" s="320"/>
      <c r="M35" s="168">
        <f t="shared" si="1"/>
        <v>3.2210000000000001</v>
      </c>
      <c r="N35" s="632">
        <f t="shared" si="2"/>
        <v>2.3649533547471626</v>
      </c>
      <c r="O35" s="629">
        <f t="shared" si="3"/>
        <v>-2.6357865515686782</v>
      </c>
      <c r="P35" s="633">
        <f t="shared" si="4"/>
        <v>-0.85907054902129276</v>
      </c>
      <c r="Q35" s="585">
        <f t="shared" si="113"/>
        <v>311.89996796160858</v>
      </c>
      <c r="R35" s="629">
        <f>IF(M35="","",SQRT(N35^2+O35^2))</f>
        <v>3.5412392062045406</v>
      </c>
      <c r="S35" s="634">
        <f>IF(M35="","",P35)</f>
        <v>-0.85907054902129276</v>
      </c>
      <c r="T35" s="635">
        <f>IF(M35="","",X35*COS(RADIANS(W35)))</f>
        <v>-2.604604458916155</v>
      </c>
      <c r="U35" s="629">
        <f>IF(M35="","",X35*SIN(RADIANS(W35)))</f>
        <v>-2.3992521185057329</v>
      </c>
      <c r="V35" s="636">
        <f>IF(M35="","",Y35)</f>
        <v>-0.85907054902129276</v>
      </c>
      <c r="W35" s="585">
        <f t="shared" si="224"/>
        <v>222.64996785332198</v>
      </c>
      <c r="X35" s="629">
        <f>IF(M35="","",R35)</f>
        <v>3.5412392062045406</v>
      </c>
      <c r="Y35" s="630">
        <f t="shared" si="223"/>
        <v>-0.85907054902129276</v>
      </c>
      <c r="Z35" s="632">
        <f t="shared" si="6"/>
        <v>-0.46966684745318887</v>
      </c>
      <c r="AA35" s="629">
        <f t="shared" si="7"/>
        <v>0.52345250472483051</v>
      </c>
      <c r="AB35" s="629">
        <f t="shared" si="8"/>
        <v>-0.71092230778101517</v>
      </c>
      <c r="AC35" s="636">
        <f>IF(M35="","",SQRT(Z35^2+AA35^2+AB35^2))</f>
        <v>1</v>
      </c>
      <c r="AD35" s="637">
        <f>IF(M35="","",Z35*(1/SQRT(Z35^2+AA35^2+AB35^2)))</f>
        <v>-0.46966684745318887</v>
      </c>
      <c r="AE35" s="629">
        <f>IF(M35="","",AA35*(1/SQRT(Z35^2+AA35^2+AB35^2)))</f>
        <v>0.52345250472483051</v>
      </c>
      <c r="AF35" s="633">
        <f>IF(M35="","",AB35*(1/SQRT(Z35^2+AA35^2+AB35^2)))</f>
        <v>-0.71092230778101517</v>
      </c>
      <c r="AG35" s="602">
        <f>IF(M35="","",DEGREES(ATAN2(-AF35,AE35)))</f>
        <v>36.364237333354346</v>
      </c>
      <c r="AH35" s="603">
        <f>IF(M35="","",DEGREES(ACOS(AD35)))</f>
        <v>118.01267305716871</v>
      </c>
      <c r="AI35" s="585">
        <f>IF(M35="","",DEGREES(-ACOS(-AF35)))</f>
        <v>-44.689993547564761</v>
      </c>
      <c r="AJ35" s="586">
        <f>IF(M35="","",DEGREES(ATAN2(-AE35,AD35)))</f>
        <v>-138.10001356130559</v>
      </c>
      <c r="AK35" s="635">
        <f>IF(M35="","",(COS(RADIANS((90-$Q$8)-W35))*AD35)+(-SIN(RADIANS((90-$Q$8)-W35))*AE35))</f>
        <v>2.2679489658505858E-7</v>
      </c>
      <c r="AL35" s="629">
        <f>IF(M35="","",(SIN(RADIANS((90-$Q$8)-W35))*AD35)+(COS(RADIANS((90-$Q$8)-W35))*AE35))</f>
        <v>-0.70327055412498551</v>
      </c>
      <c r="AM35" s="634">
        <f>IF(M35="","",AF35)</f>
        <v>-0.71092230778101517</v>
      </c>
      <c r="AN35" s="581">
        <f>IF(M35="","",DEGREES(ATAN2(-AM35,AL35)))</f>
        <v>-44.689993547563283</v>
      </c>
      <c r="AO35" s="582">
        <f t="shared" si="94"/>
        <v>0</v>
      </c>
      <c r="AP35" s="585">
        <f>IF(M35="","",DEGREES(ATAN2(AK35,AL35)))</f>
        <v>-89.999981522914169</v>
      </c>
      <c r="AQ35" s="586">
        <f t="shared" si="9"/>
        <v>0.64373813028716531</v>
      </c>
      <c r="AS35" s="52">
        <f t="shared" si="116"/>
        <v>-137.35003214667802</v>
      </c>
      <c r="AT35" s="72">
        <f t="shared" si="10"/>
        <v>-0.76316774899463202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3.2210000000000001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3.121</v>
      </c>
      <c r="II35" s="734" cm="1">
        <f t="array" ref="II35">IFERROR(IF($IH35&lt;1,$IH35+LARGE((IF($M$9:$M$150="",0,$M$9:$M$150)-MOD(IF($M$9:$M$150="",0,$M$9:$M$150),1)),1),$IH35),"")</f>
        <v>3.121</v>
      </c>
      <c r="IJ35" s="533">
        <f t="shared" si="112"/>
        <v>1613</v>
      </c>
      <c r="IK35" s="533" t="str">
        <f t="shared" si="66"/>
        <v>CPS-32193r1</v>
      </c>
      <c r="IL35" s="727">
        <f t="shared" si="225"/>
        <v>15.79999771876254</v>
      </c>
      <c r="IM35" s="759">
        <v>2.2473440247422299E-2</v>
      </c>
      <c r="IN35" s="5">
        <f t="shared" si="226"/>
        <v>1.26</v>
      </c>
      <c r="IO35" s="771">
        <v>630</v>
      </c>
      <c r="IP35" s="9">
        <f t="shared" si="227"/>
        <v>-3.5218106217808356</v>
      </c>
      <c r="IQ35" s="5">
        <f t="shared" si="228"/>
        <v>-0.84440254671808102</v>
      </c>
      <c r="IR35" s="5">
        <f t="shared" si="71"/>
        <v>0.314</v>
      </c>
      <c r="IS35" s="5">
        <f t="shared" si="229"/>
        <v>0.29723209214195506</v>
      </c>
      <c r="IT35" s="727">
        <f t="shared" si="230"/>
        <v>70.843125927643172</v>
      </c>
      <c r="IU35" s="9">
        <f t="shared" si="231"/>
        <v>-3.5412392062045406</v>
      </c>
      <c r="IV35" s="5">
        <f t="shared" si="232"/>
        <v>-0.85907054902129276</v>
      </c>
      <c r="IW35" s="5">
        <f t="shared" si="76"/>
        <v>0.25700000000000001</v>
      </c>
      <c r="IX35" s="5">
        <f t="shared" si="233"/>
        <v>0.25700000000000001</v>
      </c>
      <c r="IY35" s="762">
        <f t="shared" si="234"/>
        <v>44.689993547563283</v>
      </c>
    </row>
    <row r="36" spans="1:267" ht="15" customHeight="1" x14ac:dyDescent="0.25">
      <c r="A36" s="79"/>
      <c r="B36" s="707">
        <v>2.4858384726282674</v>
      </c>
      <c r="C36" s="708">
        <v>-2.7443872840308354</v>
      </c>
      <c r="D36" s="709">
        <v>-1.6532466528585719</v>
      </c>
      <c r="E36" s="710">
        <v>0.6713323660329239</v>
      </c>
      <c r="F36" s="708">
        <v>-0.74115643039549017</v>
      </c>
      <c r="G36" s="711">
        <v>2.2679489724051441E-7</v>
      </c>
      <c r="H36" s="710">
        <v>0.25700000000000001</v>
      </c>
      <c r="I36" s="708">
        <v>0.41499999999999992</v>
      </c>
      <c r="J36" s="570">
        <v>3.2269999999999999</v>
      </c>
      <c r="K36" s="865" t="str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CPS-32193r1</v>
      </c>
      <c r="L36" s="320"/>
      <c r="M36" s="168">
        <f t="shared" si="1"/>
        <v>3.2269999999999999</v>
      </c>
      <c r="N36" s="632">
        <f t="shared" si="2"/>
        <v>2.4858384726282674</v>
      </c>
      <c r="O36" s="629">
        <f t="shared" si="3"/>
        <v>-2.7443872840308354</v>
      </c>
      <c r="P36" s="633">
        <f t="shared" si="4"/>
        <v>-1.6532466528585719</v>
      </c>
      <c r="Q36" s="585">
        <f t="shared" si="113"/>
        <v>312.1699679226254</v>
      </c>
      <c r="R36" s="629">
        <f>IF(M36="","",SQRT(N36^2+O36^2))</f>
        <v>3.7028441064604625</v>
      </c>
      <c r="S36" s="634">
        <f>IF(M36="","",P36)</f>
        <v>-1.6532466528585719</v>
      </c>
      <c r="T36" s="635">
        <f>IF(M36="","",X36*COS(RADIANS(W36)))</f>
        <v>-2.7116135502175749</v>
      </c>
      <c r="U36" s="629">
        <f>IF(M36="","",X36*SIN(RADIANS(W36)))</f>
        <v>-2.5215484193299602</v>
      </c>
      <c r="V36" s="636">
        <f>IF(M36="","",Y36)</f>
        <v>-1.6532466528585719</v>
      </c>
      <c r="W36" s="585">
        <f t="shared" si="224"/>
        <v>222.9199678143388</v>
      </c>
      <c r="X36" s="629">
        <f>IF(M36="","",R36)</f>
        <v>3.7028441064604625</v>
      </c>
      <c r="Y36" s="630">
        <f t="shared" si="223"/>
        <v>-1.6532466528585719</v>
      </c>
      <c r="Z36" s="632">
        <f t="shared" si="6"/>
        <v>-0.6713323660329239</v>
      </c>
      <c r="AA36" s="629">
        <f t="shared" si="7"/>
        <v>0.74115643039549017</v>
      </c>
      <c r="AB36" s="629">
        <f t="shared" si="8"/>
        <v>-2.2679489724051441E-7</v>
      </c>
      <c r="AC36" s="636">
        <f>IF(M36="","",SQRT(Z36^2+AA36^2+AB36^2))</f>
        <v>1</v>
      </c>
      <c r="AD36" s="637">
        <f>IF(M36="","",Z36*(1/SQRT(Z36^2+AA36^2+AB36^2)))</f>
        <v>-0.6713323660329239</v>
      </c>
      <c r="AE36" s="629">
        <f>IF(M36="","",AA36*(1/SQRT(Z36^2+AA36^2+AB36^2)))</f>
        <v>0.74115643039549017</v>
      </c>
      <c r="AF36" s="633">
        <f>IF(M36="","",AB36*(1/SQRT(Z36^2+AA36^2+AB36^2)))</f>
        <v>-2.2679489724051441E-7</v>
      </c>
      <c r="AG36" s="602">
        <f>IF(M36="","",DEGREES(ATAN2(-AF36,AE36)))</f>
        <v>89.999982467411883</v>
      </c>
      <c r="AH36" s="603">
        <f>IF(M36="","",DEGREES(ACOS(AD36)))</f>
        <v>132.16998091701447</v>
      </c>
      <c r="AI36" s="585">
        <f>IF(M36="","",DEGREES(-ACOS(-AF36)))</f>
        <v>-89.999987005609569</v>
      </c>
      <c r="AJ36" s="586">
        <f>IF(M36="","",DEGREES(ATAN2(-AE36,AD36)))</f>
        <v>-137.83001908298422</v>
      </c>
      <c r="AK36" s="635">
        <f>IF(M36="","",(COS(RADIANS((90-$Q$8)-W36))*AD36)+(-SIN(RADIANS((90-$Q$8)-W36))*AE36))</f>
        <v>2.2679489680710319E-7</v>
      </c>
      <c r="AL36" s="629">
        <f>IF(M36="","",(SIN(RADIANS((90-$Q$8)-W36))*AD36)+(COS(RADIANS((90-$Q$8)-W36))*AE36))</f>
        <v>-0.99999999999994871</v>
      </c>
      <c r="AM36" s="634">
        <f>IF(M36="","",AF36)</f>
        <v>-2.2679489724051441E-7</v>
      </c>
      <c r="AN36" s="581">
        <f>IF(M36="","",DEGREES(ATAN2(-AM36,AL36)))</f>
        <v>-89.999987005609583</v>
      </c>
      <c r="AO36" s="582">
        <f t="shared" si="94"/>
        <v>0</v>
      </c>
      <c r="AP36" s="585">
        <f>IF(M36="","",DEGREES(ATAN2(AK36,AL36)))</f>
        <v>-89.999987005609611</v>
      </c>
      <c r="AQ36" s="586">
        <f t="shared" si="9"/>
        <v>0.61564538765322907</v>
      </c>
      <c r="AS36" s="52">
        <f t="shared" si="116"/>
        <v>-137.0800321856612</v>
      </c>
      <c r="AT36" s="72">
        <f t="shared" si="10"/>
        <v>-1.5575313528048396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>Gage</v>
      </c>
      <c r="IG36" s="847">
        <f t="shared" si="210"/>
        <v>3.2269999999999999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3.1269999999999998</v>
      </c>
      <c r="II36" s="734" cm="1">
        <f t="array" ref="II36">IFERROR(IF($IH36&lt;1,$IH36+LARGE((IF($M$9:$M$150="",0,$M$9:$M$150)-MOD(IF($M$9:$M$150="",0,$M$9:$M$150),1)),1),$IH36),"")</f>
        <v>3.1269999999999998</v>
      </c>
      <c r="IJ36" s="533">
        <f t="shared" si="112"/>
        <v>1613</v>
      </c>
      <c r="IK36" s="533" t="str">
        <f t="shared" si="66"/>
        <v>CPS-32193r1</v>
      </c>
      <c r="IL36" s="727">
        <f t="shared" si="225"/>
        <v>15.229997801060392</v>
      </c>
      <c r="IM36" s="759">
        <v>9.1131655657291505E-4</v>
      </c>
      <c r="IN36" s="5">
        <f t="shared" si="226"/>
        <v>0</v>
      </c>
      <c r="IO36" s="771">
        <v>0</v>
      </c>
      <c r="IP36" s="9">
        <f t="shared" si="227"/>
        <v>-3.6992111568208497</v>
      </c>
      <c r="IQ36" s="5">
        <f t="shared" si="228"/>
        <v>-1.6093048536634387</v>
      </c>
      <c r="IR36" s="5">
        <f t="shared" si="71"/>
        <v>0.314</v>
      </c>
      <c r="IS36" s="5">
        <f t="shared" si="229"/>
        <v>0.27193198865724588</v>
      </c>
      <c r="IT36" s="727">
        <f t="shared" si="230"/>
        <v>89.999987005609597</v>
      </c>
      <c r="IU36" s="9">
        <f t="shared" si="231"/>
        <v>-3.7028441064604625</v>
      </c>
      <c r="IV36" s="5">
        <f t="shared" si="232"/>
        <v>-1.6532466528585719</v>
      </c>
      <c r="IW36" s="5">
        <f t="shared" si="76"/>
        <v>0.25700000000000001</v>
      </c>
      <c r="IX36" s="5">
        <f t="shared" si="233"/>
        <v>0.25700000000000001</v>
      </c>
      <c r="IY36" s="762">
        <f t="shared" si="234"/>
        <v>89.999987005609583</v>
      </c>
    </row>
    <row r="37" spans="1:267" ht="15" customHeight="1" x14ac:dyDescent="0.25">
      <c r="A37" s="79"/>
      <c r="B37" s="707">
        <v>-6.362286314452778E-2</v>
      </c>
      <c r="C37" s="708">
        <v>-2.8698034921932014</v>
      </c>
      <c r="D37" s="709">
        <v>-0.20660062310747931</v>
      </c>
      <c r="E37" s="710">
        <v>0.95764495211882494</v>
      </c>
      <c r="F37" s="708">
        <v>-0.18504815600233965</v>
      </c>
      <c r="G37" s="711">
        <v>0.22062032010099875</v>
      </c>
      <c r="H37" s="710">
        <v>0.314</v>
      </c>
      <c r="I37" s="708">
        <v>0.52</v>
      </c>
      <c r="J37" s="570">
        <v>4.1139999999999999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4.1139999999999999</v>
      </c>
      <c r="N37" s="632">
        <f t="shared" si="2"/>
        <v>-6.362286314452778E-2</v>
      </c>
      <c r="O37" s="629">
        <f t="shared" si="3"/>
        <v>-2.8698034921932014</v>
      </c>
      <c r="P37" s="633">
        <f t="shared" si="4"/>
        <v>-0.20660062310747931</v>
      </c>
      <c r="Q37" s="585">
        <f t="shared" si="113"/>
        <v>268.72997419458449</v>
      </c>
      <c r="R37" s="629">
        <f t="shared" si="79"/>
        <v>2.8705086574541108</v>
      </c>
      <c r="S37" s="634">
        <f t="shared" si="80"/>
        <v>-0.20660062310747931</v>
      </c>
      <c r="T37" s="635">
        <f t="shared" si="81"/>
        <v>-2.8703904266643163</v>
      </c>
      <c r="U37" s="629">
        <f t="shared" si="82"/>
        <v>2.6052850762369472E-2</v>
      </c>
      <c r="V37" s="636">
        <f t="shared" si="114"/>
        <v>-0.20660062310747931</v>
      </c>
      <c r="W37" s="585">
        <f t="shared" si="224"/>
        <v>179.47997408629789</v>
      </c>
      <c r="X37" s="629">
        <f t="shared" si="83"/>
        <v>2.8705086574541108</v>
      </c>
      <c r="Y37" s="630">
        <f t="shared" si="223"/>
        <v>-0.20660062310747931</v>
      </c>
      <c r="Z37" s="632">
        <f t="shared" si="6"/>
        <v>-0.95764495211882494</v>
      </c>
      <c r="AA37" s="629">
        <f t="shared" si="7"/>
        <v>0.18504815600233965</v>
      </c>
      <c r="AB37" s="629">
        <f t="shared" si="8"/>
        <v>-0.22062032010099875</v>
      </c>
      <c r="AC37" s="636">
        <f t="shared" si="84"/>
        <v>1</v>
      </c>
      <c r="AD37" s="637">
        <f t="shared" si="115"/>
        <v>-0.95764495211882494</v>
      </c>
      <c r="AE37" s="629">
        <f t="shared" si="85"/>
        <v>0.18504815600233965</v>
      </c>
      <c r="AF37" s="633">
        <f t="shared" si="86"/>
        <v>-0.22062032010099875</v>
      </c>
      <c r="AG37" s="602">
        <f t="shared" si="87"/>
        <v>39.988678881706107</v>
      </c>
      <c r="AH37" s="603">
        <f t="shared" si="88"/>
        <v>163.26463676821746</v>
      </c>
      <c r="AI37" s="585">
        <f t="shared" si="89"/>
        <v>-77.25453001973915</v>
      </c>
      <c r="AJ37" s="586">
        <f t="shared" si="90"/>
        <v>-100.93661774575997</v>
      </c>
      <c r="AK37" s="635">
        <f t="shared" si="211"/>
        <v>0.96151116430499817</v>
      </c>
      <c r="AL37" s="629">
        <f t="shared" si="91"/>
        <v>-0.16377715126164444</v>
      </c>
      <c r="AM37" s="634">
        <f t="shared" si="92"/>
        <v>-0.22062032010099875</v>
      </c>
      <c r="AN37" s="581">
        <f t="shared" si="93"/>
        <v>-36.588288418476331</v>
      </c>
      <c r="AO37" s="582">
        <f t="shared" si="94"/>
        <v>15.948061773634539</v>
      </c>
      <c r="AP37" s="585">
        <f t="shared" si="95"/>
        <v>-9.6665919403444569</v>
      </c>
      <c r="AQ37" s="586">
        <f t="shared" si="9"/>
        <v>0.79413822323433381</v>
      </c>
      <c r="AS37" s="52">
        <f t="shared" si="116"/>
        <v>-180.52002591370211</v>
      </c>
      <c r="AT37" s="72">
        <f t="shared" si="10"/>
        <v>-8.0718660742607418E-2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4.1139999999999999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-0.13211332747661197</v>
      </c>
      <c r="C38" s="708">
        <v>-3.4546852251531801</v>
      </c>
      <c r="D38" s="709">
        <v>-0.72850219716262676</v>
      </c>
      <c r="E38" s="710">
        <v>0.94063553501285213</v>
      </c>
      <c r="F38" s="708">
        <v>-0.31839937346958724</v>
      </c>
      <c r="G38" s="711">
        <v>0.11758668821452456</v>
      </c>
      <c r="H38" s="710">
        <v>0.314</v>
      </c>
      <c r="I38" s="708">
        <v>0.52</v>
      </c>
      <c r="J38" s="570">
        <v>4.12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4.12</v>
      </c>
      <c r="N38" s="632">
        <f t="shared" si="2"/>
        <v>-0.13211332747661197</v>
      </c>
      <c r="O38" s="629">
        <f t="shared" si="3"/>
        <v>-3.4546852251531801</v>
      </c>
      <c r="P38" s="633">
        <f t="shared" si="4"/>
        <v>-0.72850219716262676</v>
      </c>
      <c r="Q38" s="585">
        <f t="shared" si="113"/>
        <v>267.80997432741606</v>
      </c>
      <c r="R38" s="629">
        <f t="shared" si="79"/>
        <v>3.4572104269466477</v>
      </c>
      <c r="S38" s="634">
        <f t="shared" si="80"/>
        <v>-0.72850219716262676</v>
      </c>
      <c r="T38" s="635">
        <f t="shared" si="81"/>
        <v>-3.4561185637509504</v>
      </c>
      <c r="U38" s="629">
        <f t="shared" si="82"/>
        <v>8.6881583115703681E-2</v>
      </c>
      <c r="V38" s="636">
        <f t="shared" si="114"/>
        <v>-0.72850219716262676</v>
      </c>
      <c r="W38" s="585">
        <f t="shared" si="224"/>
        <v>178.55997421912946</v>
      </c>
      <c r="X38" s="629">
        <f t="shared" si="83"/>
        <v>3.4572104269466477</v>
      </c>
      <c r="Y38" s="630">
        <f t="shared" si="223"/>
        <v>-0.72850219716262676</v>
      </c>
      <c r="Z38" s="632">
        <f t="shared" si="6"/>
        <v>-0.94063553501285213</v>
      </c>
      <c r="AA38" s="629">
        <f t="shared" si="7"/>
        <v>0.31839937346958724</v>
      </c>
      <c r="AB38" s="629">
        <f t="shared" si="8"/>
        <v>-0.11758668821452456</v>
      </c>
      <c r="AC38" s="636">
        <f t="shared" si="84"/>
        <v>1</v>
      </c>
      <c r="AD38" s="637">
        <f t="shared" si="115"/>
        <v>-0.94063553501285213</v>
      </c>
      <c r="AE38" s="629">
        <f t="shared" si="85"/>
        <v>0.31839937346958724</v>
      </c>
      <c r="AF38" s="633">
        <f t="shared" si="86"/>
        <v>-0.11758668821452456</v>
      </c>
      <c r="AG38" s="602">
        <f t="shared" si="87"/>
        <v>69.730526903214297</v>
      </c>
      <c r="AH38" s="603">
        <f t="shared" si="88"/>
        <v>160.15856155687698</v>
      </c>
      <c r="AI38" s="585">
        <f t="shared" si="89"/>
        <v>-83.247156126947672</v>
      </c>
      <c r="AJ38" s="586">
        <f t="shared" si="90"/>
        <v>-108.70064544827774</v>
      </c>
      <c r="AK38" s="635">
        <f t="shared" si="211"/>
        <v>0.95211574629712015</v>
      </c>
      <c r="AL38" s="629">
        <f t="shared" si="91"/>
        <v>-0.28222150238388682</v>
      </c>
      <c r="AM38" s="634">
        <f t="shared" si="92"/>
        <v>-0.11758668821452456</v>
      </c>
      <c r="AN38" s="581">
        <f t="shared" si="93"/>
        <v>-67.381104543506979</v>
      </c>
      <c r="AO38" s="582">
        <f t="shared" si="94"/>
        <v>17.802557544534416</v>
      </c>
      <c r="AP38" s="585">
        <f t="shared" si="95"/>
        <v>-16.51061977569379</v>
      </c>
      <c r="AQ38" s="586">
        <f t="shared" si="9"/>
        <v>0.65938305877598746</v>
      </c>
      <c r="AS38" s="52">
        <f t="shared" si="116"/>
        <v>-181.44002578087054</v>
      </c>
      <c r="AT38" s="72">
        <f t="shared" si="10"/>
        <v>-0.60198134600111008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4.12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-0.15787261335119016</v>
      </c>
      <c r="C39" s="708">
        <v>-3.6303799150877754</v>
      </c>
      <c r="D39" s="709">
        <v>-1.4854044799799118</v>
      </c>
      <c r="E39" s="710">
        <v>0.86793208838050118</v>
      </c>
      <c r="F39" s="708">
        <v>-0.49445311784956036</v>
      </c>
      <c r="G39" s="711">
        <v>4.7010681853284421E-2</v>
      </c>
      <c r="H39" s="710">
        <v>0.314</v>
      </c>
      <c r="I39" s="708">
        <v>0.52</v>
      </c>
      <c r="J39" s="570">
        <v>4.1260000000000003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4.1260000000000003</v>
      </c>
      <c r="N39" s="632">
        <f t="shared" si="2"/>
        <v>-0.15787261335119016</v>
      </c>
      <c r="O39" s="629">
        <f t="shared" si="3"/>
        <v>-3.6303799150877754</v>
      </c>
      <c r="P39" s="633">
        <f t="shared" si="4"/>
        <v>-1.4854044799799118</v>
      </c>
      <c r="Q39" s="585">
        <f t="shared" si="113"/>
        <v>267.50997437073067</v>
      </c>
      <c r="R39" s="629">
        <f t="shared" si="79"/>
        <v>3.6338109595738546</v>
      </c>
      <c r="S39" s="634">
        <f t="shared" si="80"/>
        <v>-1.4854044799799118</v>
      </c>
      <c r="T39" s="635">
        <f t="shared" si="81"/>
        <v>-3.6321353800851965</v>
      </c>
      <c r="U39" s="629">
        <f t="shared" si="82"/>
        <v>0.11033889002715781</v>
      </c>
      <c r="V39" s="636">
        <f t="shared" si="114"/>
        <v>-1.4854044799799118</v>
      </c>
      <c r="W39" s="585">
        <f t="shared" si="224"/>
        <v>178.25997426244408</v>
      </c>
      <c r="X39" s="629">
        <f t="shared" si="83"/>
        <v>3.6338109595738546</v>
      </c>
      <c r="Y39" s="630">
        <f t="shared" si="223"/>
        <v>-1.4854044799799118</v>
      </c>
      <c r="Z39" s="632">
        <f t="shared" si="6"/>
        <v>-0.86793208838050118</v>
      </c>
      <c r="AA39" s="629">
        <f t="shared" si="7"/>
        <v>0.49445311784956036</v>
      </c>
      <c r="AB39" s="629">
        <f t="shared" si="8"/>
        <v>-4.7010681853284421E-2</v>
      </c>
      <c r="AC39" s="636">
        <f t="shared" si="84"/>
        <v>1</v>
      </c>
      <c r="AD39" s="637">
        <f t="shared" si="115"/>
        <v>-0.86793208838050118</v>
      </c>
      <c r="AE39" s="629">
        <f t="shared" si="85"/>
        <v>0.49445311784956036</v>
      </c>
      <c r="AF39" s="633">
        <f t="shared" si="86"/>
        <v>-4.7010681853284421E-2</v>
      </c>
      <c r="AG39" s="602">
        <f t="shared" si="87"/>
        <v>84.568865429585856</v>
      </c>
      <c r="AH39" s="603">
        <f t="shared" si="88"/>
        <v>150.219216861061</v>
      </c>
      <c r="AI39" s="585">
        <f t="shared" si="89"/>
        <v>-87.305493237061881</v>
      </c>
      <c r="AJ39" s="586">
        <f t="shared" si="90"/>
        <v>-119.66977650740347</v>
      </c>
      <c r="AK39" s="635">
        <f t="shared" si="211"/>
        <v>0.88859433336895</v>
      </c>
      <c r="AL39" s="629">
        <f t="shared" si="91"/>
        <v>-0.45627854047312011</v>
      </c>
      <c r="AM39" s="634">
        <f t="shared" si="92"/>
        <v>-4.7010681853284421E-2</v>
      </c>
      <c r="AN39" s="581">
        <f t="shared" si="93"/>
        <v>-84.117533838322601</v>
      </c>
      <c r="AO39" s="582">
        <f t="shared" si="94"/>
        <v>27.302860504228171</v>
      </c>
      <c r="AP39" s="585">
        <f t="shared" si="95"/>
        <v>-27.179750878134126</v>
      </c>
      <c r="AQ39" s="586">
        <f t="shared" si="9"/>
        <v>0.62734015493263118</v>
      </c>
      <c r="AS39" s="52">
        <f t="shared" si="116"/>
        <v>-181.74002573755592</v>
      </c>
      <c r="AT39" s="72">
        <f t="shared" si="10"/>
        <v>-1.3586752955151413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4.1260000000000003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-0.16780892377983267</v>
      </c>
      <c r="C40" s="708">
        <v>-3.6954030020889062</v>
      </c>
      <c r="D40" s="709">
        <v>-2.2587068122597458</v>
      </c>
      <c r="E40" s="710">
        <v>0.84245219688626249</v>
      </c>
      <c r="F40" s="708">
        <v>-0.53877109792702993</v>
      </c>
      <c r="G40" s="711">
        <v>1.1339743352177467E-7</v>
      </c>
      <c r="H40" s="710">
        <v>0.314</v>
      </c>
      <c r="I40" s="708">
        <v>0.52</v>
      </c>
      <c r="J40" s="570">
        <v>4.1319999999999997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4.1319999999999997</v>
      </c>
      <c r="N40" s="632">
        <f t="shared" si="2"/>
        <v>-0.16780892377983267</v>
      </c>
      <c r="O40" s="629">
        <f t="shared" si="3"/>
        <v>-3.6954030020889062</v>
      </c>
      <c r="P40" s="633">
        <f t="shared" si="4"/>
        <v>-2.2587068122597458</v>
      </c>
      <c r="Q40" s="585">
        <f t="shared" si="113"/>
        <v>267.39997438661271</v>
      </c>
      <c r="R40" s="629">
        <f t="shared" si="79"/>
        <v>3.6992111568208492</v>
      </c>
      <c r="S40" s="634">
        <f t="shared" si="80"/>
        <v>-2.2587068122597458</v>
      </c>
      <c r="T40" s="635">
        <f t="shared" si="81"/>
        <v>-3.6972829586685312</v>
      </c>
      <c r="U40" s="629">
        <f t="shared" si="82"/>
        <v>0.11942322339946085</v>
      </c>
      <c r="V40" s="636">
        <f t="shared" si="114"/>
        <v>-2.2587068122597458</v>
      </c>
      <c r="W40" s="585">
        <f t="shared" si="224"/>
        <v>178.14997427832611</v>
      </c>
      <c r="X40" s="629">
        <f t="shared" si="83"/>
        <v>3.6992111568208492</v>
      </c>
      <c r="Y40" s="630">
        <f t="shared" si="223"/>
        <v>-2.2587068122597458</v>
      </c>
      <c r="Z40" s="632">
        <f t="shared" si="6"/>
        <v>-0.84245219688626249</v>
      </c>
      <c r="AA40" s="629">
        <f t="shared" si="7"/>
        <v>0.53877109792702993</v>
      </c>
      <c r="AB40" s="629">
        <f t="shared" si="8"/>
        <v>-1.1339743352177467E-7</v>
      </c>
      <c r="AC40" s="636">
        <f t="shared" si="84"/>
        <v>1</v>
      </c>
      <c r="AD40" s="637">
        <f t="shared" si="115"/>
        <v>-0.84245219688626249</v>
      </c>
      <c r="AE40" s="629">
        <f t="shared" si="85"/>
        <v>0.53877109792702993</v>
      </c>
      <c r="AF40" s="633">
        <f t="shared" si="86"/>
        <v>-1.1339743352177467E-7</v>
      </c>
      <c r="AG40" s="602">
        <f t="shared" si="87"/>
        <v>89.999987940714774</v>
      </c>
      <c r="AH40" s="603">
        <f t="shared" si="88"/>
        <v>147.39997871807623</v>
      </c>
      <c r="AI40" s="585">
        <f t="shared" si="89"/>
        <v>-89.999993502805651</v>
      </c>
      <c r="AJ40" s="586">
        <f t="shared" si="90"/>
        <v>-122.6000212819232</v>
      </c>
      <c r="AK40" s="635">
        <f t="shared" si="211"/>
        <v>0.86602544158358563</v>
      </c>
      <c r="AL40" s="629">
        <f t="shared" si="91"/>
        <v>-0.49999993452993863</v>
      </c>
      <c r="AM40" s="634">
        <f t="shared" si="92"/>
        <v>-1.1339743352177467E-7</v>
      </c>
      <c r="AN40" s="581">
        <f t="shared" si="93"/>
        <v>-89.999987005609611</v>
      </c>
      <c r="AO40" s="582">
        <f t="shared" si="94"/>
        <v>29.999995668536535</v>
      </c>
      <c r="AP40" s="585">
        <f t="shared" si="95"/>
        <v>-29.999995668535906</v>
      </c>
      <c r="AQ40" s="586">
        <f t="shared" si="9"/>
        <v>0.61624995878789901</v>
      </c>
      <c r="AS40" s="52">
        <f t="shared" si="116"/>
        <v>-181.85002572167389</v>
      </c>
      <c r="AT40" s="72">
        <f t="shared" si="10"/>
        <v>-2.1319012389171159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4.1319999999999997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-1.0866636466921658</v>
      </c>
      <c r="C41" s="708">
        <v>-3.3012175352635968</v>
      </c>
      <c r="D41" s="709">
        <v>-0.74017732489794585</v>
      </c>
      <c r="E41" s="710">
        <v>-0.20359958449721696</v>
      </c>
      <c r="F41" s="708">
        <v>-0.61852378036100342</v>
      </c>
      <c r="G41" s="711">
        <v>0.75893052535821359</v>
      </c>
      <c r="H41" s="710">
        <v>0.25700000000000001</v>
      </c>
      <c r="I41" s="708">
        <v>0.41499999999999992</v>
      </c>
      <c r="J41" s="570">
        <v>4.22</v>
      </c>
      <c r="K41" s="865" t="str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CPS-32193r1</v>
      </c>
      <c r="L41" s="320"/>
      <c r="M41" s="168">
        <f t="shared" ref="M41:M72" si="239">IF(J41="","",VALUE(J41))</f>
        <v>4.22</v>
      </c>
      <c r="N41" s="632">
        <f t="shared" ref="N41:N72" si="240">IF(M41="","",B41)</f>
        <v>-1.0866636466921658</v>
      </c>
      <c r="O41" s="629">
        <f t="shared" ref="O41:O72" si="241">IF(M41="","",C41)</f>
        <v>-3.3012175352635968</v>
      </c>
      <c r="P41" s="633">
        <f t="shared" ref="P41:P72" si="242">IF(M41="","",D41)</f>
        <v>-0.74017732489794585</v>
      </c>
      <c r="Q41" s="585">
        <f t="shared" si="113"/>
        <v>251.77997664186137</v>
      </c>
      <c r="R41" s="629">
        <f t="shared" si="79"/>
        <v>3.4754676082757805</v>
      </c>
      <c r="S41" s="634">
        <f t="shared" si="80"/>
        <v>-0.74017732489794585</v>
      </c>
      <c r="T41" s="635">
        <f t="shared" si="81"/>
        <v>-3.3151586976339988</v>
      </c>
      <c r="U41" s="629">
        <f t="shared" si="82"/>
        <v>1.0433589534171939</v>
      </c>
      <c r="V41" s="636">
        <f t="shared" si="114"/>
        <v>-0.74017732489794585</v>
      </c>
      <c r="W41" s="585">
        <f t="shared" si="224"/>
        <v>162.52997653357477</v>
      </c>
      <c r="X41" s="629">
        <f t="shared" si="83"/>
        <v>3.4754676082757805</v>
      </c>
      <c r="Y41" s="630">
        <f t="shared" si="223"/>
        <v>-0.74017732489794585</v>
      </c>
      <c r="Z41" s="632">
        <f t="shared" ref="Z41:Z72" si="243">IF(M41="","",-E41)</f>
        <v>0.20359958449721696</v>
      </c>
      <c r="AA41" s="629">
        <f t="shared" ref="AA41:AA72" si="244">IF(M41="","",-F41)</f>
        <v>0.61852378036100342</v>
      </c>
      <c r="AB41" s="629">
        <f t="shared" ref="AB41:AB72" si="245">IF(M41="","",-G41)</f>
        <v>-0.75893052535821359</v>
      </c>
      <c r="AC41" s="636">
        <f t="shared" si="84"/>
        <v>1</v>
      </c>
      <c r="AD41" s="637">
        <f t="shared" si="115"/>
        <v>0.20359958449721696</v>
      </c>
      <c r="AE41" s="629">
        <f t="shared" si="85"/>
        <v>0.61852378036100342</v>
      </c>
      <c r="AF41" s="633">
        <f t="shared" si="86"/>
        <v>-0.75893052535821359</v>
      </c>
      <c r="AG41" s="602">
        <f t="shared" si="87"/>
        <v>39.179825512388341</v>
      </c>
      <c r="AH41" s="603">
        <f t="shared" si="88"/>
        <v>78.252467668688539</v>
      </c>
      <c r="AI41" s="585">
        <f t="shared" si="89"/>
        <v>-40.629994133756341</v>
      </c>
      <c r="AJ41" s="586">
        <f t="shared" si="90"/>
        <v>161.77999659726223</v>
      </c>
      <c r="AK41" s="635">
        <f t="shared" si="211"/>
        <v>2.2679489652954743E-7</v>
      </c>
      <c r="AL41" s="629">
        <f t="shared" si="91"/>
        <v>-0.65117160386449191</v>
      </c>
      <c r="AM41" s="634">
        <f t="shared" si="92"/>
        <v>-0.75893052535821359</v>
      </c>
      <c r="AN41" s="581">
        <f t="shared" si="93"/>
        <v>-40.629994133754636</v>
      </c>
      <c r="AO41" s="582">
        <f t="shared" si="94"/>
        <v>0</v>
      </c>
      <c r="AP41" s="585">
        <f t="shared" si="95"/>
        <v>-89.999980044599141</v>
      </c>
      <c r="AQ41" s="586">
        <f t="shared" ref="AQ41:AQ72" si="246">IF(M41="","",DEGREES(ATAN(($AS$5*SIN(RADIANS(90)))/(($X41*2*PI())-($AS$5*COS(RADIANS(90)))))))</f>
        <v>0.655919518651357</v>
      </c>
      <c r="AS41" s="52">
        <f t="shared" si="116"/>
        <v>-197.47002346642523</v>
      </c>
      <c r="AT41" s="72">
        <f t="shared" ref="AT41:AT72" si="247">IF(M41="","",Y41+(((AS41-$AS$9)*$AS$6)*-1))</f>
        <v>-0.60252453089923841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4.22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4.12</v>
      </c>
      <c r="II41" s="734" cm="1">
        <f t="array" ref="II41">IFERROR(IF($IH41&lt;1,$IH41+LARGE((IF($M$9:$M$150="",0,$M$9:$M$150)-MOD(IF($M$9:$M$150="",0,$M$9:$M$150),1)),1),$IH41),"")</f>
        <v>4.12</v>
      </c>
      <c r="IJ41" s="533">
        <f t="shared" si="112"/>
        <v>1613</v>
      </c>
      <c r="IK41" s="533" t="str">
        <f t="shared" ref="IK41:IK72" si="382">IF(ISNUMBER($II41),INDEX($K$9:$K$150,MATCH($IG41,$M$9:$M$150,0)),"")</f>
        <v>CPS-32193r1</v>
      </c>
      <c r="IL41" s="727">
        <f t="shared" si="225"/>
        <v>16.02999768555469</v>
      </c>
      <c r="IM41" s="759">
        <v>2.5979775647888299E-2</v>
      </c>
      <c r="IN41" s="5">
        <f t="shared" si="226"/>
        <v>1.2</v>
      </c>
      <c r="IO41" s="771">
        <v>600</v>
      </c>
      <c r="IP41" s="9">
        <f t="shared" si="227"/>
        <v>-3.4572104269466477</v>
      </c>
      <c r="IQ41" s="5">
        <f t="shared" si="228"/>
        <v>-0.72850219716262676</v>
      </c>
      <c r="IR41" s="5">
        <f t="shared" ref="IR41:IR72" si="383">IF(ISNUMBER($II41),INDEX($H$9:$H$150,MATCH($II41,$M$9:$M$150,0)),"")</f>
        <v>0.314</v>
      </c>
      <c r="IS41" s="5">
        <f t="shared" si="229"/>
        <v>0.29896434433729574</v>
      </c>
      <c r="IT41" s="727">
        <f t="shared" si="230"/>
        <v>67.381104543506979</v>
      </c>
      <c r="IU41" s="9">
        <f t="shared" si="231"/>
        <v>-3.4754676082757805</v>
      </c>
      <c r="IV41" s="5">
        <f t="shared" si="232"/>
        <v>-0.74017732489794585</v>
      </c>
      <c r="IW41" s="5">
        <f t="shared" ref="IW41:IW72" si="384">IF(ISNUMBER($II41),$H41,"")</f>
        <v>0.25700000000000001</v>
      </c>
      <c r="IX41" s="5">
        <f t="shared" si="233"/>
        <v>0.25700000000000001</v>
      </c>
      <c r="IY41" s="762">
        <f t="shared" si="234"/>
        <v>40.629994133754636</v>
      </c>
    </row>
    <row r="42" spans="1:267" ht="15" customHeight="1" x14ac:dyDescent="0.25">
      <c r="A42" s="79"/>
      <c r="B42" s="707">
        <v>-1.1216646387633915</v>
      </c>
      <c r="C42" s="708">
        <v>-3.4685955708914777</v>
      </c>
      <c r="D42" s="709">
        <v>-1.51942369121072</v>
      </c>
      <c r="E42" s="710">
        <v>-0.27886084169909892</v>
      </c>
      <c r="F42" s="708">
        <v>-0.86234002013989564</v>
      </c>
      <c r="G42" s="711">
        <v>0.4226184101905579</v>
      </c>
      <c r="H42" s="710">
        <v>0.25700000000000001</v>
      </c>
      <c r="I42" s="708">
        <v>0.41499999999999992</v>
      </c>
      <c r="J42" s="570">
        <v>4.226</v>
      </c>
      <c r="K42" s="865" t="str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CPS-32193r1</v>
      </c>
      <c r="L42" s="320"/>
      <c r="M42" s="168">
        <f t="shared" si="239"/>
        <v>4.226</v>
      </c>
      <c r="N42" s="632">
        <f t="shared" si="240"/>
        <v>-1.1216646387633915</v>
      </c>
      <c r="O42" s="629">
        <f t="shared" si="241"/>
        <v>-3.4685955708914777</v>
      </c>
      <c r="P42" s="633">
        <f t="shared" si="242"/>
        <v>-1.51942369121072</v>
      </c>
      <c r="Q42" s="585">
        <f t="shared" si="113"/>
        <v>252.07997659854672</v>
      </c>
      <c r="R42" s="629">
        <f t="shared" ref="R42:R47" si="385">IF(M42="","",SQRT(N42^2+O42^2))</f>
        <v>3.6454474068706828</v>
      </c>
      <c r="S42" s="634">
        <f t="shared" ref="S42:S47" si="386">IF(M42="","",P42)</f>
        <v>-1.51942369121072</v>
      </c>
      <c r="T42" s="635">
        <f t="shared" ref="T42:T47" si="387">IF(M42="","",X42*COS(RADIANS(W42)))</f>
        <v>-3.4829805423483138</v>
      </c>
      <c r="U42" s="629">
        <f t="shared" ref="U42:U47" si="388">IF(M42="","",X42*SIN(RADIANS(W42)))</f>
        <v>1.0761660363917966</v>
      </c>
      <c r="V42" s="636">
        <f t="shared" ref="V42:V47" si="389">IF(M42="","",Y42)</f>
        <v>-1.51942369121072</v>
      </c>
      <c r="W42" s="585">
        <f t="shared" si="224"/>
        <v>162.82997649026015</v>
      </c>
      <c r="X42" s="629">
        <f t="shared" ref="X42:X47" si="390">IF(M42="","",R42)</f>
        <v>3.6454474068706828</v>
      </c>
      <c r="Y42" s="630">
        <f t="shared" si="223"/>
        <v>-1.51942369121072</v>
      </c>
      <c r="Z42" s="632">
        <f t="shared" si="243"/>
        <v>0.27886084169909892</v>
      </c>
      <c r="AA42" s="629">
        <f t="shared" si="244"/>
        <v>0.86234002013989564</v>
      </c>
      <c r="AB42" s="629">
        <f t="shared" si="245"/>
        <v>-0.4226184101905579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0.27886084169909892</v>
      </c>
      <c r="AE42" s="629">
        <f t="shared" ref="AE42:AE47" si="393">IF(M42="","",AA42*(1/SQRT(Z42^2+AA42^2+AB42^2)))</f>
        <v>0.86234002013989564</v>
      </c>
      <c r="AF42" s="633">
        <f t="shared" ref="AF42:AF47" si="394">IF(M42="","",AB42*(1/SQRT(Z42^2+AA42^2+AB42^2)))</f>
        <v>-0.4226184101905579</v>
      </c>
      <c r="AG42" s="602">
        <f t="shared" ref="AG42:AG47" si="395">IF(M42="","",DEGREES(ATAN2(-AF42,AE42)))</f>
        <v>63.891299191968592</v>
      </c>
      <c r="AH42" s="603">
        <f t="shared" ref="AH42:AH47" si="396">IF(M42="","",DEGREES(ACOS(AD42)))</f>
        <v>73.807772049301064</v>
      </c>
      <c r="AI42" s="585">
        <f t="shared" ref="AI42:AI47" si="397">IF(M42="","",DEGREES(-ACOS(-AF42)))</f>
        <v>-64.999990615163185</v>
      </c>
      <c r="AJ42" s="586">
        <f t="shared" ref="AJ42:AJ47" si="398">IF(M42="","",DEGREES(ATAN2(-AE42,AD42)))</f>
        <v>162.07999093627123</v>
      </c>
      <c r="AK42" s="635">
        <f t="shared" ref="AK42:AK47" si="399">IF(M42="","",(COS(RADIANS((90-$Q$8)-W42))*AD42)+(-SIN(RADIANS((90-$Q$8)-W42))*AE42))</f>
        <v>2.2679489608545822E-7</v>
      </c>
      <c r="AL42" s="629">
        <f t="shared" ref="AL42:AL47" si="400">IF(M42="","",(SIN(RADIANS((90-$Q$8)-W42))*AD42)+(COS(RADIANS((90-$Q$8)-W42))*AE42))</f>
        <v>-0.90630771781330099</v>
      </c>
      <c r="AM42" s="634">
        <f t="shared" ref="AM42:AM47" si="401">IF(M42="","",AF42)</f>
        <v>-0.4226184101905579</v>
      </c>
      <c r="AN42" s="581">
        <f t="shared" ref="AN42:AN47" si="402">IF(M42="","",DEGREES(ATAN2(-AM42,AL42)))</f>
        <v>-64.999990615162503</v>
      </c>
      <c r="AO42" s="582">
        <f t="shared" si="94"/>
        <v>0</v>
      </c>
      <c r="AP42" s="585">
        <f t="shared" ref="AP42:AP47" si="403">IF(M42="","",DEGREES(ATAN2(AK42,AL42)))</f>
        <v>-89.99998566227552</v>
      </c>
      <c r="AQ42" s="586">
        <f t="shared" si="246"/>
        <v>0.62533781360009011</v>
      </c>
      <c r="AS42" s="52">
        <f t="shared" si="116"/>
        <v>-197.17002350973985</v>
      </c>
      <c r="AT42" s="72">
        <f t="shared" si="247"/>
        <v>-1.3819792305152663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4.226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4.1260000000000003</v>
      </c>
      <c r="II42" s="734" cm="1">
        <f t="array" ref="II42">IFERROR(IF($IH42&lt;1,$IH42+LARGE((IF($M$9:$M$150="",0,$M$9:$M$150)-MOD(IF($M$9:$M$150="",0,$M$9:$M$150),1)),1),$IH42),"")</f>
        <v>4.1260000000000003</v>
      </c>
      <c r="IJ42" s="533">
        <f t="shared" si="112"/>
        <v>1613</v>
      </c>
      <c r="IK42" s="533" t="str">
        <f t="shared" si="382"/>
        <v>CPS-32193r1</v>
      </c>
      <c r="IL42" s="727">
        <f t="shared" si="225"/>
        <v>15.429997772183924</v>
      </c>
      <c r="IM42" s="759">
        <v>6.4479500264768902E-3</v>
      </c>
      <c r="IN42" s="5">
        <f t="shared" si="226"/>
        <v>1.56</v>
      </c>
      <c r="IO42" s="771">
        <v>780</v>
      </c>
      <c r="IP42" s="9">
        <f t="shared" si="227"/>
        <v>-3.6338109595738546</v>
      </c>
      <c r="IQ42" s="5">
        <f t="shared" si="228"/>
        <v>-1.4854044799799118</v>
      </c>
      <c r="IR42" s="5">
        <f t="shared" si="383"/>
        <v>0.314</v>
      </c>
      <c r="IS42" s="5">
        <f t="shared" si="229"/>
        <v>0.27901862067785033</v>
      </c>
      <c r="IT42" s="727">
        <f t="shared" si="230"/>
        <v>84.117533838322601</v>
      </c>
      <c r="IU42" s="9">
        <f t="shared" si="231"/>
        <v>-3.6454474068706828</v>
      </c>
      <c r="IV42" s="5">
        <f t="shared" si="232"/>
        <v>-1.51942369121072</v>
      </c>
      <c r="IW42" s="5">
        <f t="shared" si="384"/>
        <v>0.25700000000000001</v>
      </c>
      <c r="IX42" s="5">
        <f t="shared" si="233"/>
        <v>0.25700000000000001</v>
      </c>
      <c r="IY42" s="762">
        <f t="shared" si="234"/>
        <v>64.999990615162503</v>
      </c>
    </row>
    <row r="43" spans="1:267" ht="15" customHeight="1" x14ac:dyDescent="0.25">
      <c r="A43" s="79"/>
      <c r="B43" s="707">
        <v>-1.1337893365126011</v>
      </c>
      <c r="C43" s="708">
        <v>-3.5249930804413356</v>
      </c>
      <c r="D43" s="709">
        <v>-2.3026486114548788</v>
      </c>
      <c r="E43" s="710">
        <v>-0.30619396994973325</v>
      </c>
      <c r="F43" s="708">
        <v>-0.95196914486046791</v>
      </c>
      <c r="G43" s="711">
        <v>2.2679489715421549E-7</v>
      </c>
      <c r="H43" s="710">
        <v>0.25700000000000001</v>
      </c>
      <c r="I43" s="708">
        <v>0.41499999999999992</v>
      </c>
      <c r="J43" s="570">
        <v>4.2320000000000002</v>
      </c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CPS-32193r1</v>
      </c>
      <c r="L43" s="320"/>
      <c r="M43" s="168">
        <f t="shared" si="239"/>
        <v>4.2320000000000002</v>
      </c>
      <c r="N43" s="632">
        <f t="shared" si="240"/>
        <v>-1.1337893365126011</v>
      </c>
      <c r="O43" s="629">
        <f t="shared" si="241"/>
        <v>-3.5249930804413356</v>
      </c>
      <c r="P43" s="633">
        <f t="shared" si="242"/>
        <v>-2.3026486114548788</v>
      </c>
      <c r="Q43" s="585">
        <f t="shared" si="113"/>
        <v>252.16997658555232</v>
      </c>
      <c r="R43" s="629">
        <f t="shared" si="385"/>
        <v>3.7028441064604625</v>
      </c>
      <c r="S43" s="634">
        <f t="shared" si="386"/>
        <v>-2.3026486114548788</v>
      </c>
      <c r="T43" s="635">
        <f t="shared" si="387"/>
        <v>-3.539531927555152</v>
      </c>
      <c r="U43" s="629">
        <f t="shared" si="388"/>
        <v>1.0875514749043793</v>
      </c>
      <c r="V43" s="636">
        <f t="shared" si="389"/>
        <v>-2.3026486114548788</v>
      </c>
      <c r="W43" s="585">
        <f t="shared" si="224"/>
        <v>162.91997647726572</v>
      </c>
      <c r="X43" s="629">
        <f t="shared" si="390"/>
        <v>3.7028441064604625</v>
      </c>
      <c r="Y43" s="630">
        <f t="shared" si="223"/>
        <v>-2.3026486114548788</v>
      </c>
      <c r="Z43" s="632">
        <f t="shared" si="243"/>
        <v>0.30619396994973325</v>
      </c>
      <c r="AA43" s="629">
        <f t="shared" si="244"/>
        <v>0.95196914486046791</v>
      </c>
      <c r="AB43" s="629">
        <f t="shared" si="245"/>
        <v>-2.2679489715421549E-7</v>
      </c>
      <c r="AC43" s="636">
        <f t="shared" si="391"/>
        <v>1</v>
      </c>
      <c r="AD43" s="637">
        <f t="shared" si="392"/>
        <v>0.30619396994973325</v>
      </c>
      <c r="AE43" s="629">
        <f t="shared" si="393"/>
        <v>0.95196914486046791</v>
      </c>
      <c r="AF43" s="633">
        <f t="shared" si="394"/>
        <v>-2.2679489715421549E-7</v>
      </c>
      <c r="AG43" s="602">
        <f t="shared" si="395"/>
        <v>89.999986349987822</v>
      </c>
      <c r="AH43" s="603">
        <f t="shared" si="396"/>
        <v>72.169989579943191</v>
      </c>
      <c r="AI43" s="585">
        <f t="shared" si="397"/>
        <v>-89.999987005609583</v>
      </c>
      <c r="AJ43" s="586">
        <f t="shared" si="398"/>
        <v>162.16998957994272</v>
      </c>
      <c r="AK43" s="635">
        <f t="shared" si="399"/>
        <v>2.2679489675159203E-7</v>
      </c>
      <c r="AL43" s="629">
        <f t="shared" si="400"/>
        <v>-0.99999999999994871</v>
      </c>
      <c r="AM43" s="634">
        <f t="shared" si="401"/>
        <v>-2.2679489715421549E-7</v>
      </c>
      <c r="AN43" s="581">
        <f t="shared" si="402"/>
        <v>-89.999987005609583</v>
      </c>
      <c r="AO43" s="582">
        <f t="shared" si="94"/>
        <v>0</v>
      </c>
      <c r="AP43" s="585">
        <f t="shared" si="403"/>
        <v>-89.999987005609611</v>
      </c>
      <c r="AQ43" s="586">
        <f t="shared" si="246"/>
        <v>0.61564538765322907</v>
      </c>
      <c r="AS43" s="52">
        <f t="shared" ref="AS43:AS74" si="406">IF(G43="","",IF(AND(W43&lt;(AS42+180),W43&gt;(AS42-180)),W43,IF(W43&gt;(AS42+180),W43-360,IF(W43&lt;(AS42-180),W43+360,"Error"))))</f>
        <v>-197.08002352273428</v>
      </c>
      <c r="AT43" s="72">
        <f t="shared" si="247"/>
        <v>-2.165266650750401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>Taper</v>
      </c>
      <c r="IF43" s="533" t="str">
        <f>IFERROR(IF((((($IW43*COS(RADIANS(180-$IY43)))*COS(RADIANS($IY43)))-(($IX43*SIN(RADIANS(180-$IY43)))*SIN(RADIANS($IY43))))+$IU43)&lt;(((Settings!$C$19+$IF$8)/2)*-1),"Gage",""),"")</f>
        <v>Gage</v>
      </c>
      <c r="IG43" s="847">
        <f t="shared" si="210"/>
        <v>4.2320000000000002</v>
      </c>
      <c r="IH43" s="731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>4.1319999999999997</v>
      </c>
      <c r="II43" s="734" cm="1">
        <f t="array" ref="II43">IFERROR(IF($IH43&lt;1,$IH43+LARGE((IF($M$9:$M$150="",0,$M$9:$M$150)-MOD(IF($M$9:$M$150="",0,$M$9:$M$150),1)),1),$IH43),"")</f>
        <v>4.1319999999999997</v>
      </c>
      <c r="IJ43" s="533">
        <f t="shared" si="112"/>
        <v>1613</v>
      </c>
      <c r="IK43" s="533" t="str">
        <f t="shared" si="382"/>
        <v>CPS-32193r1</v>
      </c>
      <c r="IL43" s="727">
        <f t="shared" si="225"/>
        <v>15.229997801060392</v>
      </c>
      <c r="IM43" s="759">
        <v>9.1131655657278798E-4</v>
      </c>
      <c r="IN43" s="5">
        <f t="shared" si="226"/>
        <v>0</v>
      </c>
      <c r="IO43" s="771">
        <v>0</v>
      </c>
      <c r="IP43" s="9">
        <f t="shared" si="227"/>
        <v>-3.6992111568208492</v>
      </c>
      <c r="IQ43" s="5">
        <f t="shared" si="228"/>
        <v>-2.2587068122597458</v>
      </c>
      <c r="IR43" s="5">
        <f t="shared" si="383"/>
        <v>0.314</v>
      </c>
      <c r="IS43" s="5">
        <f t="shared" si="229"/>
        <v>0.27193198865724588</v>
      </c>
      <c r="IT43" s="727">
        <f t="shared" si="230"/>
        <v>89.999987005609611</v>
      </c>
      <c r="IU43" s="9">
        <f t="shared" si="231"/>
        <v>-3.7028441064604625</v>
      </c>
      <c r="IV43" s="5">
        <f t="shared" si="232"/>
        <v>-2.3026486114548788</v>
      </c>
      <c r="IW43" s="5">
        <f t="shared" si="384"/>
        <v>0.25700000000000001</v>
      </c>
      <c r="IX43" s="5">
        <f t="shared" si="233"/>
        <v>0.25700000000000001</v>
      </c>
      <c r="IY43" s="762">
        <f t="shared" si="234"/>
        <v>89.999987005609583</v>
      </c>
    </row>
    <row r="44" spans="1:267" ht="15" customHeight="1" x14ac:dyDescent="0.25">
      <c r="A44" s="79"/>
      <c r="B44" s="707">
        <v>-0.51768463924820052</v>
      </c>
      <c r="C44" s="708">
        <v>-0.24140012914790698</v>
      </c>
      <c r="D44" s="709">
        <v>-0.3289009919653918</v>
      </c>
      <c r="E44" s="710">
        <v>0.44569134755993661</v>
      </c>
      <c r="F44" s="708">
        <v>-0.84448096552822827</v>
      </c>
      <c r="G44" s="711">
        <v>0.29700357164640173</v>
      </c>
      <c r="H44" s="710">
        <v>0.314</v>
      </c>
      <c r="I44" s="708">
        <v>0.52</v>
      </c>
      <c r="J44" s="570">
        <v>5.1020000000000003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5.1020000000000003</v>
      </c>
      <c r="N44" s="632">
        <f t="shared" si="240"/>
        <v>-0.51768463924820052</v>
      </c>
      <c r="O44" s="629">
        <f t="shared" si="241"/>
        <v>-0.24140012914790698</v>
      </c>
      <c r="P44" s="633">
        <f t="shared" si="242"/>
        <v>-0.3289009919653918</v>
      </c>
      <c r="Q44" s="585">
        <f t="shared" si="113"/>
        <v>204.99998339605673</v>
      </c>
      <c r="R44" s="629">
        <f t="shared" si="385"/>
        <v>0.57120172274439585</v>
      </c>
      <c r="S44" s="634">
        <f t="shared" si="386"/>
        <v>-0.3289009919653918</v>
      </c>
      <c r="T44" s="635">
        <f t="shared" si="387"/>
        <v>-0.24815572940211816</v>
      </c>
      <c r="U44" s="629">
        <f t="shared" si="388"/>
        <v>0.51448045835684408</v>
      </c>
      <c r="V44" s="636">
        <f t="shared" si="389"/>
        <v>-0.3289009919653918</v>
      </c>
      <c r="W44" s="585">
        <f t="shared" si="224"/>
        <v>115.74998328777015</v>
      </c>
      <c r="X44" s="629">
        <f t="shared" si="390"/>
        <v>0.57120172274439585</v>
      </c>
      <c r="Y44" s="630">
        <f t="shared" si="223"/>
        <v>-0.3289009919653918</v>
      </c>
      <c r="Z44" s="632">
        <f t="shared" si="243"/>
        <v>-0.44569134755993661</v>
      </c>
      <c r="AA44" s="629">
        <f t="shared" si="244"/>
        <v>0.84448096552822827</v>
      </c>
      <c r="AB44" s="629">
        <f t="shared" si="245"/>
        <v>-0.29700357164640173</v>
      </c>
      <c r="AC44" s="636">
        <f t="shared" si="391"/>
        <v>1</v>
      </c>
      <c r="AD44" s="637">
        <f t="shared" si="392"/>
        <v>-0.44569134755993661</v>
      </c>
      <c r="AE44" s="629">
        <f t="shared" si="393"/>
        <v>0.84448096552822827</v>
      </c>
      <c r="AF44" s="633">
        <f t="shared" si="394"/>
        <v>-0.29700357164640173</v>
      </c>
      <c r="AG44" s="602">
        <f t="shared" si="395"/>
        <v>70.623249881300509</v>
      </c>
      <c r="AH44" s="603">
        <f t="shared" si="396"/>
        <v>116.46757946892953</v>
      </c>
      <c r="AI44" s="585">
        <f t="shared" si="397"/>
        <v>-72.722280737234968</v>
      </c>
      <c r="AJ44" s="586">
        <f t="shared" si="398"/>
        <v>-152.17627188361251</v>
      </c>
      <c r="AK44" s="635">
        <f t="shared" si="399"/>
        <v>0.95371696400905348</v>
      </c>
      <c r="AL44" s="629">
        <f t="shared" si="400"/>
        <v>4.7040737564739865E-2</v>
      </c>
      <c r="AM44" s="634">
        <f t="shared" si="401"/>
        <v>-0.29700357164640173</v>
      </c>
      <c r="AN44" s="581">
        <f t="shared" si="402"/>
        <v>8.9999987005608961</v>
      </c>
      <c r="AO44" s="582">
        <f t="shared" si="94"/>
        <v>17.499997473312952</v>
      </c>
      <c r="AP44" s="585">
        <f t="shared" si="403"/>
        <v>2.8237447203307564</v>
      </c>
      <c r="AQ44" s="586">
        <f t="shared" si="246"/>
        <v>3.9846694913851088</v>
      </c>
      <c r="AS44" s="52">
        <f t="shared" si="406"/>
        <v>-244.25001671222986</v>
      </c>
      <c r="AT44" s="72">
        <f t="shared" si="247"/>
        <v>-0.15876209154598675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5.1020000000000003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-1.1450328662923259</v>
      </c>
      <c r="C45" s="708">
        <v>-0.53393719041573129</v>
      </c>
      <c r="D45" s="709">
        <v>-0.21930066141079482</v>
      </c>
      <c r="E45" s="710">
        <v>0.44491242668488051</v>
      </c>
      <c r="F45" s="708">
        <v>-0.8583151800521025</v>
      </c>
      <c r="G45" s="711">
        <v>0.25563251802831716</v>
      </c>
      <c r="H45" s="710">
        <v>0.314</v>
      </c>
      <c r="I45" s="708">
        <v>0.52</v>
      </c>
      <c r="J45" s="570">
        <v>5.1050000000000004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5.1050000000000004</v>
      </c>
      <c r="N45" s="632">
        <f t="shared" si="240"/>
        <v>-1.1450328662923259</v>
      </c>
      <c r="O45" s="629">
        <f t="shared" si="241"/>
        <v>-0.53393719041573129</v>
      </c>
      <c r="P45" s="633">
        <f t="shared" si="242"/>
        <v>-0.21930066141079482</v>
      </c>
      <c r="Q45" s="585">
        <f t="shared" si="113"/>
        <v>204.99998339605673</v>
      </c>
      <c r="R45" s="629">
        <f t="shared" si="385"/>
        <v>1.2634038104258924</v>
      </c>
      <c r="S45" s="634">
        <f t="shared" si="386"/>
        <v>-0.21930066141079482</v>
      </c>
      <c r="T45" s="635">
        <f t="shared" si="387"/>
        <v>-0.54887946170629576</v>
      </c>
      <c r="U45" s="629">
        <f t="shared" si="388"/>
        <v>1.1379457477031456</v>
      </c>
      <c r="V45" s="636">
        <f t="shared" si="389"/>
        <v>-0.21930066141079482</v>
      </c>
      <c r="W45" s="585">
        <f t="shared" si="224"/>
        <v>115.74998328777015</v>
      </c>
      <c r="X45" s="629">
        <f t="shared" si="390"/>
        <v>1.2634038104258924</v>
      </c>
      <c r="Y45" s="630">
        <f t="shared" si="223"/>
        <v>-0.21930066141079482</v>
      </c>
      <c r="Z45" s="632">
        <f t="shared" si="243"/>
        <v>-0.44491242668488051</v>
      </c>
      <c r="AA45" s="629">
        <f t="shared" si="244"/>
        <v>0.8583151800521025</v>
      </c>
      <c r="AB45" s="629">
        <f t="shared" si="245"/>
        <v>-0.25563251802831716</v>
      </c>
      <c r="AC45" s="636">
        <f t="shared" si="391"/>
        <v>1</v>
      </c>
      <c r="AD45" s="637">
        <f t="shared" si="392"/>
        <v>-0.44491242668488051</v>
      </c>
      <c r="AE45" s="629">
        <f t="shared" si="393"/>
        <v>0.8583151800521025</v>
      </c>
      <c r="AF45" s="633">
        <f t="shared" si="394"/>
        <v>-0.25563251802831716</v>
      </c>
      <c r="AG45" s="602">
        <f t="shared" si="395"/>
        <v>73.414858545885068</v>
      </c>
      <c r="AH45" s="603">
        <f t="shared" si="396"/>
        <v>116.41773598735064</v>
      </c>
      <c r="AI45" s="585">
        <f t="shared" si="397"/>
        <v>-75.188931961768461</v>
      </c>
      <c r="AJ45" s="586">
        <f t="shared" si="398"/>
        <v>-152.59978449425117</v>
      </c>
      <c r="AK45" s="635">
        <f t="shared" si="399"/>
        <v>0.96592583607220761</v>
      </c>
      <c r="AL45" s="629">
        <f t="shared" si="400"/>
        <v>4.0488207353614691E-2</v>
      </c>
      <c r="AM45" s="634">
        <f t="shared" si="401"/>
        <v>-0.25563251802831716</v>
      </c>
      <c r="AN45" s="581">
        <f t="shared" si="402"/>
        <v>8.9999987005608748</v>
      </c>
      <c r="AO45" s="582">
        <f t="shared" si="94"/>
        <v>14.999997834268203</v>
      </c>
      <c r="AP45" s="585">
        <f t="shared" si="403"/>
        <v>2.4002321096921007</v>
      </c>
      <c r="AQ45" s="586">
        <f t="shared" si="246"/>
        <v>1.8038360840992669</v>
      </c>
      <c r="AS45" s="52">
        <f t="shared" si="406"/>
        <v>-244.25001671222986</v>
      </c>
      <c r="AT45" s="72">
        <f t="shared" si="247"/>
        <v>-4.9161760991389775E-2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5.1050000000000004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-1.7897797138910398</v>
      </c>
      <c r="C46" s="708">
        <v>-0.82699370220102331</v>
      </c>
      <c r="D46" s="709">
        <v>-0.10710032301457421</v>
      </c>
      <c r="E46" s="710">
        <v>0.41337381657229227</v>
      </c>
      <c r="F46" s="708">
        <v>-0.87251932684851241</v>
      </c>
      <c r="G46" s="711">
        <v>0.26044598681545406</v>
      </c>
      <c r="H46" s="710">
        <v>0.314</v>
      </c>
      <c r="I46" s="708">
        <v>0.52</v>
      </c>
      <c r="J46" s="570">
        <v>5.1079999999999997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5.1079999999999997</v>
      </c>
      <c r="N46" s="632">
        <f t="shared" si="240"/>
        <v>-1.7897797138910398</v>
      </c>
      <c r="O46" s="629">
        <f t="shared" si="241"/>
        <v>-0.82699370220102331</v>
      </c>
      <c r="P46" s="633">
        <f t="shared" si="242"/>
        <v>-0.10710032301457421</v>
      </c>
      <c r="Q46" s="585">
        <f t="shared" si="113"/>
        <v>204.79998342493315</v>
      </c>
      <c r="R46" s="629">
        <f t="shared" si="385"/>
        <v>1.9716059463635343</v>
      </c>
      <c r="S46" s="634">
        <f t="shared" si="386"/>
        <v>-0.10710032301457421</v>
      </c>
      <c r="T46" s="635">
        <f t="shared" si="387"/>
        <v>-0.85035034089904615</v>
      </c>
      <c r="U46" s="629">
        <f t="shared" si="388"/>
        <v>1.7788013676262238</v>
      </c>
      <c r="V46" s="636">
        <f t="shared" si="389"/>
        <v>-0.10710032301457421</v>
      </c>
      <c r="W46" s="585">
        <f t="shared" si="224"/>
        <v>115.54998331664656</v>
      </c>
      <c r="X46" s="629">
        <f t="shared" si="390"/>
        <v>1.9716059463635343</v>
      </c>
      <c r="Y46" s="630">
        <f t="shared" si="223"/>
        <v>-0.10710032301457421</v>
      </c>
      <c r="Z46" s="632">
        <f t="shared" si="243"/>
        <v>-0.41337381657229227</v>
      </c>
      <c r="AA46" s="629">
        <f t="shared" si="244"/>
        <v>0.87251932684851241</v>
      </c>
      <c r="AB46" s="629">
        <f t="shared" si="245"/>
        <v>-0.26044598681545406</v>
      </c>
      <c r="AC46" s="636">
        <f t="shared" si="391"/>
        <v>1</v>
      </c>
      <c r="AD46" s="637">
        <f t="shared" si="392"/>
        <v>-0.41337381657229227</v>
      </c>
      <c r="AE46" s="629">
        <f t="shared" si="393"/>
        <v>0.87251932684851241</v>
      </c>
      <c r="AF46" s="633">
        <f t="shared" si="394"/>
        <v>-0.26044598681545406</v>
      </c>
      <c r="AG46" s="602">
        <f t="shared" si="395"/>
        <v>73.37969792341805</v>
      </c>
      <c r="AH46" s="603">
        <f t="shared" si="396"/>
        <v>114.41694963935163</v>
      </c>
      <c r="AI46" s="585">
        <f t="shared" si="397"/>
        <v>-74.903472937691987</v>
      </c>
      <c r="AJ46" s="586">
        <f t="shared" si="398"/>
        <v>-154.64979162710839</v>
      </c>
      <c r="AK46" s="635">
        <f t="shared" si="399"/>
        <v>0.96544390000558866</v>
      </c>
      <c r="AL46" s="629">
        <f t="shared" si="400"/>
        <v>9.27167157114972E-3</v>
      </c>
      <c r="AM46" s="634">
        <f t="shared" si="401"/>
        <v>-0.26044598681545406</v>
      </c>
      <c r="AN46" s="581">
        <f t="shared" si="402"/>
        <v>2.0388235506812733</v>
      </c>
      <c r="AO46" s="582">
        <f t="shared" si="94"/>
        <v>15.10631782350533</v>
      </c>
      <c r="AP46" s="585">
        <f t="shared" si="403"/>
        <v>0.55022494795848398</v>
      </c>
      <c r="AQ46" s="586">
        <f t="shared" si="246"/>
        <v>1.1561221071419925</v>
      </c>
      <c r="AS46" s="52">
        <f t="shared" si="406"/>
        <v>-244.45001668335345</v>
      </c>
      <c r="AT46" s="72">
        <f t="shared" si="247"/>
        <v>6.3177466273666674E-2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5.1079999999999997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-2.5120919959760308</v>
      </c>
      <c r="C47" s="708">
        <v>-1.1137296625825417</v>
      </c>
      <c r="D47" s="709">
        <v>-0.15600047049741902</v>
      </c>
      <c r="E47" s="710">
        <v>0.26283200595713169</v>
      </c>
      <c r="F47" s="708">
        <v>-0.93610116985313718</v>
      </c>
      <c r="G47" s="711">
        <v>0.2337390349174446</v>
      </c>
      <c r="H47" s="710">
        <v>0.314</v>
      </c>
      <c r="I47" s="708">
        <v>0.52</v>
      </c>
      <c r="J47" s="570">
        <v>5.1130000000000004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5.1130000000000004</v>
      </c>
      <c r="N47" s="632">
        <f t="shared" si="240"/>
        <v>-2.5120919959760308</v>
      </c>
      <c r="O47" s="629">
        <f t="shared" si="241"/>
        <v>-1.1137296625825417</v>
      </c>
      <c r="P47" s="633">
        <f t="shared" si="242"/>
        <v>-0.15600047049741902</v>
      </c>
      <c r="Q47" s="585">
        <f t="shared" si="113"/>
        <v>203.90998355343322</v>
      </c>
      <c r="R47" s="629">
        <f t="shared" si="385"/>
        <v>2.7479082876913963</v>
      </c>
      <c r="S47" s="634">
        <f t="shared" si="386"/>
        <v>-0.15600047049741902</v>
      </c>
      <c r="T47" s="635">
        <f t="shared" si="387"/>
        <v>-1.1465165102059975</v>
      </c>
      <c r="U47" s="629">
        <f t="shared" si="388"/>
        <v>2.4972985102682701</v>
      </c>
      <c r="V47" s="636">
        <f t="shared" si="389"/>
        <v>-0.15600047049741902</v>
      </c>
      <c r="W47" s="585">
        <f t="shared" si="224"/>
        <v>114.65998344514664</v>
      </c>
      <c r="X47" s="629">
        <f t="shared" si="390"/>
        <v>2.7479082876913963</v>
      </c>
      <c r="Y47" s="630">
        <f t="shared" si="223"/>
        <v>-0.15600047049741902</v>
      </c>
      <c r="Z47" s="632">
        <f t="shared" si="243"/>
        <v>-0.26283200595713169</v>
      </c>
      <c r="AA47" s="629">
        <f t="shared" si="244"/>
        <v>0.93610116985313718</v>
      </c>
      <c r="AB47" s="629">
        <f t="shared" si="245"/>
        <v>-0.2337390349174446</v>
      </c>
      <c r="AC47" s="636">
        <f t="shared" si="391"/>
        <v>1</v>
      </c>
      <c r="AD47" s="637">
        <f t="shared" si="392"/>
        <v>-0.26283200595713169</v>
      </c>
      <c r="AE47" s="629">
        <f t="shared" si="393"/>
        <v>0.93610116985313718</v>
      </c>
      <c r="AF47" s="633">
        <f t="shared" si="394"/>
        <v>-0.2337390349174446</v>
      </c>
      <c r="AG47" s="602">
        <f t="shared" si="395"/>
        <v>75.980247991362305</v>
      </c>
      <c r="AH47" s="603">
        <f t="shared" si="396"/>
        <v>105.2381699469906</v>
      </c>
      <c r="AI47" s="585">
        <f t="shared" si="397"/>
        <v>-76.482695142713993</v>
      </c>
      <c r="AJ47" s="586">
        <f t="shared" si="398"/>
        <v>-164.31668792742295</v>
      </c>
      <c r="AK47" s="635">
        <f t="shared" si="399"/>
        <v>0.96229414546580438</v>
      </c>
      <c r="AL47" s="629">
        <f t="shared" si="400"/>
        <v>-0.13912599023223179</v>
      </c>
      <c r="AM47" s="634">
        <f t="shared" si="401"/>
        <v>-0.2337390349174446</v>
      </c>
      <c r="AN47" s="581">
        <f t="shared" si="402"/>
        <v>-30.761925363625142</v>
      </c>
      <c r="AO47" s="582">
        <f t="shared" si="94"/>
        <v>15.78396746353868</v>
      </c>
      <c r="AP47" s="585">
        <f t="shared" si="403"/>
        <v>-8.2266714808561758</v>
      </c>
      <c r="AQ47" s="586">
        <f t="shared" si="246"/>
        <v>0.82956455993180267</v>
      </c>
      <c r="AS47" s="52">
        <f t="shared" si="406"/>
        <v>-245.34001655485338</v>
      </c>
      <c r="AT47" s="72">
        <f t="shared" si="247"/>
        <v>1.4895374257141242E-2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5.1130000000000004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-3.114585121833664</v>
      </c>
      <c r="C48" s="708">
        <v>-1.3175734304251101</v>
      </c>
      <c r="D48" s="709">
        <v>-0.61940186811603415</v>
      </c>
      <c r="E48" s="710">
        <v>0.13457983848249408</v>
      </c>
      <c r="F48" s="708">
        <v>-0.98267960107720198</v>
      </c>
      <c r="G48" s="711">
        <v>0.12739336207501953</v>
      </c>
      <c r="H48" s="710">
        <v>0.314</v>
      </c>
      <c r="I48" s="708">
        <v>0.52</v>
      </c>
      <c r="J48" s="570">
        <v>5.1189999999999998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5.1189999999999998</v>
      </c>
      <c r="N48" s="632">
        <f t="shared" si="240"/>
        <v>-3.114585121833664</v>
      </c>
      <c r="O48" s="629">
        <f t="shared" si="241"/>
        <v>-1.3175734304251101</v>
      </c>
      <c r="P48" s="633">
        <f t="shared" si="242"/>
        <v>-0.61940186811603415</v>
      </c>
      <c r="Q48" s="585">
        <f t="shared" si="113"/>
        <v>202.9299836949277</v>
      </c>
      <c r="R48" s="629">
        <f t="shared" si="79"/>
        <v>3.381810199539562</v>
      </c>
      <c r="S48" s="634">
        <f t="shared" si="80"/>
        <v>-0.61940186811603415</v>
      </c>
      <c r="T48" s="635">
        <f t="shared" si="81"/>
        <v>-1.3582292044768971</v>
      </c>
      <c r="U48" s="629">
        <f t="shared" si="82"/>
        <v>3.0970717869974962</v>
      </c>
      <c r="V48" s="636">
        <f t="shared" si="114"/>
        <v>-0.61940186811603415</v>
      </c>
      <c r="W48" s="585">
        <f t="shared" si="224"/>
        <v>113.67998358664111</v>
      </c>
      <c r="X48" s="629">
        <f t="shared" si="83"/>
        <v>3.381810199539562</v>
      </c>
      <c r="Y48" s="630">
        <f t="shared" si="223"/>
        <v>-0.61940186811603415</v>
      </c>
      <c r="Z48" s="632">
        <f t="shared" si="243"/>
        <v>-0.13457983848249408</v>
      </c>
      <c r="AA48" s="629">
        <f t="shared" si="244"/>
        <v>0.98267960107720198</v>
      </c>
      <c r="AB48" s="629">
        <f t="shared" si="245"/>
        <v>-0.12739336207501953</v>
      </c>
      <c r="AC48" s="636">
        <f t="shared" si="84"/>
        <v>1</v>
      </c>
      <c r="AD48" s="637">
        <f t="shared" si="115"/>
        <v>-0.13457983848249408</v>
      </c>
      <c r="AE48" s="629">
        <f t="shared" si="85"/>
        <v>0.98267960107720198</v>
      </c>
      <c r="AF48" s="633">
        <f t="shared" si="86"/>
        <v>-0.12739336207501953</v>
      </c>
      <c r="AG48" s="602">
        <f t="shared" si="87"/>
        <v>82.613442528475119</v>
      </c>
      <c r="AH48" s="603">
        <f t="shared" si="88"/>
        <v>97.734324693607888</v>
      </c>
      <c r="AI48" s="585">
        <f t="shared" si="89"/>
        <v>-82.681009484505481</v>
      </c>
      <c r="AJ48" s="586">
        <f t="shared" si="90"/>
        <v>-172.20174687070138</v>
      </c>
      <c r="AK48" s="635">
        <f t="shared" si="211"/>
        <v>0.95746298386017714</v>
      </c>
      <c r="AL48" s="629">
        <f t="shared" si="91"/>
        <v>-0.25891227440349174</v>
      </c>
      <c r="AM48" s="634">
        <f t="shared" si="92"/>
        <v>-0.12739336207501953</v>
      </c>
      <c r="AN48" s="581">
        <f t="shared" si="93"/>
        <v>-63.801295436154518</v>
      </c>
      <c r="AO48" s="582">
        <f t="shared" si="94"/>
        <v>16.771532781055239</v>
      </c>
      <c r="AP48" s="585">
        <f t="shared" si="95"/>
        <v>-15.131730565629077</v>
      </c>
      <c r="AQ48" s="586">
        <f t="shared" si="246"/>
        <v>0.67408320219955675</v>
      </c>
      <c r="AS48" s="52">
        <f t="shared" si="406"/>
        <v>-246.32001641335887</v>
      </c>
      <c r="AT48" s="72">
        <f t="shared" si="247"/>
        <v>-0.44782546790417843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5.1189999999999998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-3.350529233073853</v>
      </c>
      <c r="C49" s="708">
        <v>-1.3892039536332847</v>
      </c>
      <c r="D49" s="709">
        <v>-1.3529040803587062</v>
      </c>
      <c r="E49" s="710">
        <v>-4.5943155493340743E-2</v>
      </c>
      <c r="F49" s="708">
        <v>-0.99686121112989701</v>
      </c>
      <c r="G49" s="711">
        <v>6.447443065238849E-2</v>
      </c>
      <c r="H49" s="710">
        <v>0.314</v>
      </c>
      <c r="I49" s="708">
        <v>0.52</v>
      </c>
      <c r="J49" s="570">
        <v>5.125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5.125</v>
      </c>
      <c r="N49" s="632">
        <f t="shared" si="240"/>
        <v>-3.350529233073853</v>
      </c>
      <c r="O49" s="629">
        <f t="shared" si="241"/>
        <v>-1.3892039536332847</v>
      </c>
      <c r="P49" s="633">
        <f t="shared" si="242"/>
        <v>-1.3529040803587062</v>
      </c>
      <c r="Q49" s="585">
        <f t="shared" si="113"/>
        <v>202.51998375412435</v>
      </c>
      <c r="R49" s="629">
        <f t="shared" si="79"/>
        <v>3.6271109393665935</v>
      </c>
      <c r="S49" s="634">
        <f t="shared" si="80"/>
        <v>-1.3529040803587062</v>
      </c>
      <c r="T49" s="635">
        <f t="shared" si="81"/>
        <v>-1.4329420034738327</v>
      </c>
      <c r="U49" s="629">
        <f t="shared" si="82"/>
        <v>3.3320580698951225</v>
      </c>
      <c r="V49" s="636">
        <f t="shared" si="114"/>
        <v>-1.3529040803587062</v>
      </c>
      <c r="W49" s="585">
        <f t="shared" si="224"/>
        <v>113.26998364583777</v>
      </c>
      <c r="X49" s="629">
        <f t="shared" si="83"/>
        <v>3.6271109393665935</v>
      </c>
      <c r="Y49" s="630">
        <f t="shared" si="223"/>
        <v>-1.3529040803587062</v>
      </c>
      <c r="Z49" s="632">
        <f t="shared" si="243"/>
        <v>4.5943155493340743E-2</v>
      </c>
      <c r="AA49" s="629">
        <f t="shared" si="244"/>
        <v>0.99686121112989701</v>
      </c>
      <c r="AB49" s="629">
        <f t="shared" si="245"/>
        <v>-6.447443065238849E-2</v>
      </c>
      <c r="AC49" s="636">
        <f t="shared" si="84"/>
        <v>1</v>
      </c>
      <c r="AD49" s="637">
        <f t="shared" si="115"/>
        <v>4.5943155493340743E-2</v>
      </c>
      <c r="AE49" s="629">
        <f t="shared" si="85"/>
        <v>0.99686121112989701</v>
      </c>
      <c r="AF49" s="633">
        <f t="shared" si="86"/>
        <v>-6.447443065238849E-2</v>
      </c>
      <c r="AG49" s="602">
        <f t="shared" si="87"/>
        <v>86.299410011694249</v>
      </c>
      <c r="AH49" s="603">
        <f t="shared" si="88"/>
        <v>87.366724163270462</v>
      </c>
      <c r="AI49" s="585">
        <f t="shared" si="89"/>
        <v>-86.303323062554981</v>
      </c>
      <c r="AJ49" s="586">
        <f t="shared" si="90"/>
        <v>177.36122995810817</v>
      </c>
      <c r="AK49" s="635">
        <f t="shared" si="211"/>
        <v>0.90325007167454141</v>
      </c>
      <c r="AL49" s="629">
        <f t="shared" si="91"/>
        <v>-0.4242432743273441</v>
      </c>
      <c r="AM49" s="634">
        <f t="shared" si="92"/>
        <v>-6.447443065238849E-2</v>
      </c>
      <c r="AN49" s="581">
        <f t="shared" si="93"/>
        <v>-81.358589679854262</v>
      </c>
      <c r="AO49" s="582">
        <f t="shared" si="94"/>
        <v>25.411381192596338</v>
      </c>
      <c r="AP49" s="585">
        <f t="shared" si="95"/>
        <v>-25.158753796016196</v>
      </c>
      <c r="AQ49" s="586">
        <f t="shared" si="246"/>
        <v>0.62849888840725665</v>
      </c>
      <c r="AS49" s="52">
        <f t="shared" si="406"/>
        <v>-246.73001635416222</v>
      </c>
      <c r="AT49" s="72">
        <f t="shared" si="247"/>
        <v>-1.1810429579657371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5.125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-3.4200914018073263</v>
      </c>
      <c r="C50" s="708">
        <v>-1.4096588190166592</v>
      </c>
      <c r="D50" s="709">
        <v>-2.1288064204801644</v>
      </c>
      <c r="E50" s="710">
        <v>-0.13225659607640086</v>
      </c>
      <c r="F50" s="708">
        <v>-0.9912155127893586</v>
      </c>
      <c r="G50" s="711">
        <v>1.1339743351956823E-7</v>
      </c>
      <c r="H50" s="710">
        <v>0.314</v>
      </c>
      <c r="I50" s="708">
        <v>0.52</v>
      </c>
      <c r="J50" s="570">
        <v>5.1310000000000002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5.1310000000000002</v>
      </c>
      <c r="N50" s="632">
        <f t="shared" si="240"/>
        <v>-3.4200914018073263</v>
      </c>
      <c r="O50" s="629">
        <f t="shared" si="241"/>
        <v>-1.4096588190166592</v>
      </c>
      <c r="P50" s="633">
        <f t="shared" si="242"/>
        <v>-2.1288064204801644</v>
      </c>
      <c r="Q50" s="585">
        <f t="shared" si="113"/>
        <v>202.39998377145022</v>
      </c>
      <c r="R50" s="629">
        <f t="shared" si="79"/>
        <v>3.6992111568208488</v>
      </c>
      <c r="S50" s="634">
        <f t="shared" si="80"/>
        <v>-2.1288064204801644</v>
      </c>
      <c r="T50" s="635">
        <f t="shared" si="81"/>
        <v>-1.454305656964102</v>
      </c>
      <c r="U50" s="629">
        <f t="shared" si="82"/>
        <v>3.4013465331938839</v>
      </c>
      <c r="V50" s="636">
        <f t="shared" si="114"/>
        <v>-2.1288064204801644</v>
      </c>
      <c r="W50" s="585">
        <f t="shared" si="224"/>
        <v>113.14998366316364</v>
      </c>
      <c r="X50" s="629">
        <f t="shared" si="83"/>
        <v>3.6992111568208488</v>
      </c>
      <c r="Y50" s="630">
        <f t="shared" si="223"/>
        <v>-2.1288064204801644</v>
      </c>
      <c r="Z50" s="632">
        <f t="shared" si="243"/>
        <v>0.13225659607640086</v>
      </c>
      <c r="AA50" s="629">
        <f t="shared" si="244"/>
        <v>0.9912155127893586</v>
      </c>
      <c r="AB50" s="629">
        <f t="shared" si="245"/>
        <v>-1.1339743351956823E-7</v>
      </c>
      <c r="AC50" s="636">
        <f t="shared" si="84"/>
        <v>1</v>
      </c>
      <c r="AD50" s="637">
        <f t="shared" si="115"/>
        <v>0.13225659607640086</v>
      </c>
      <c r="AE50" s="629">
        <f t="shared" si="85"/>
        <v>0.9912155127893586</v>
      </c>
      <c r="AF50" s="633">
        <f t="shared" si="86"/>
        <v>-1.1339743351956823E-7</v>
      </c>
      <c r="AG50" s="602">
        <f t="shared" si="87"/>
        <v>89.999993445225329</v>
      </c>
      <c r="AH50" s="603">
        <f t="shared" si="88"/>
        <v>82.399988102914364</v>
      </c>
      <c r="AI50" s="585">
        <f t="shared" si="89"/>
        <v>-89.999993502805651</v>
      </c>
      <c r="AJ50" s="586">
        <f t="shared" si="90"/>
        <v>172.39998810291431</v>
      </c>
      <c r="AK50" s="635">
        <f t="shared" si="211"/>
        <v>0.86602544158358585</v>
      </c>
      <c r="AL50" s="629">
        <f t="shared" si="91"/>
        <v>-0.49999993452993835</v>
      </c>
      <c r="AM50" s="634">
        <f t="shared" si="92"/>
        <v>-1.1339743351956823E-7</v>
      </c>
      <c r="AN50" s="581">
        <f t="shared" si="93"/>
        <v>-89.999987005609611</v>
      </c>
      <c r="AO50" s="582">
        <f t="shared" si="94"/>
        <v>29.99999566853651</v>
      </c>
      <c r="AP50" s="585">
        <f t="shared" si="95"/>
        <v>-29.999995668535888</v>
      </c>
      <c r="AQ50" s="586">
        <f t="shared" si="246"/>
        <v>0.61624995878789901</v>
      </c>
      <c r="AS50" s="52">
        <f t="shared" si="406"/>
        <v>-246.85001633683635</v>
      </c>
      <c r="AT50" s="72">
        <f t="shared" si="247"/>
        <v>-1.9568619647658938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5.1310000000000002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-2.7415361368159989</v>
      </c>
      <c r="C51" s="708">
        <v>-0.31138855134400256</v>
      </c>
      <c r="D51" s="709">
        <v>-0.11842407281062806</v>
      </c>
      <c r="E51" s="710">
        <v>-4.9976189557595974E-2</v>
      </c>
      <c r="F51" s="708">
        <v>-0.94785522577946357</v>
      </c>
      <c r="G51" s="711">
        <v>0.31475840169861313</v>
      </c>
      <c r="H51" s="710">
        <v>0.26600000000000001</v>
      </c>
      <c r="I51" s="708">
        <v>0.52</v>
      </c>
      <c r="J51" s="570">
        <v>5.2130000000000001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5.2130000000000001</v>
      </c>
      <c r="N51" s="632">
        <f t="shared" si="240"/>
        <v>-2.7415361368159989</v>
      </c>
      <c r="O51" s="629">
        <f t="shared" si="241"/>
        <v>-0.31138855134400256</v>
      </c>
      <c r="P51" s="633">
        <f t="shared" si="242"/>
        <v>-0.11842407281062806</v>
      </c>
      <c r="Q51" s="585">
        <f t="shared" si="113"/>
        <v>186.4799860700135</v>
      </c>
      <c r="R51" s="629">
        <f t="shared" si="79"/>
        <v>2.7591634999354619</v>
      </c>
      <c r="S51" s="634">
        <f t="shared" si="80"/>
        <v>-0.11842407281062806</v>
      </c>
      <c r="T51" s="635">
        <f t="shared" si="81"/>
        <v>-0.34724746803329037</v>
      </c>
      <c r="U51" s="629">
        <f t="shared" si="82"/>
        <v>2.7372253132178535</v>
      </c>
      <c r="V51" s="636">
        <f t="shared" si="114"/>
        <v>-0.11842407281062806</v>
      </c>
      <c r="W51" s="585">
        <f t="shared" si="224"/>
        <v>97.229985961726911</v>
      </c>
      <c r="X51" s="629">
        <f t="shared" si="83"/>
        <v>2.7591634999354619</v>
      </c>
      <c r="Y51" s="630">
        <f t="shared" si="223"/>
        <v>-0.11842407281062806</v>
      </c>
      <c r="Z51" s="632">
        <f t="shared" si="243"/>
        <v>4.9976189557595974E-2</v>
      </c>
      <c r="AA51" s="629">
        <f t="shared" si="244"/>
        <v>0.94785522577946357</v>
      </c>
      <c r="AB51" s="629">
        <f t="shared" si="245"/>
        <v>-0.31475840169861313</v>
      </c>
      <c r="AC51" s="636">
        <f t="shared" si="84"/>
        <v>1</v>
      </c>
      <c r="AD51" s="637">
        <f t="shared" si="115"/>
        <v>4.9976189557595974E-2</v>
      </c>
      <c r="AE51" s="629">
        <f t="shared" si="85"/>
        <v>0.94785522577946357</v>
      </c>
      <c r="AF51" s="633">
        <f t="shared" si="86"/>
        <v>-0.31475840169861313</v>
      </c>
      <c r="AG51" s="602">
        <f t="shared" si="87"/>
        <v>71.629997009980997</v>
      </c>
      <c r="AH51" s="603">
        <f t="shared" si="88"/>
        <v>87.135381962945658</v>
      </c>
      <c r="AI51" s="585">
        <f t="shared" si="89"/>
        <v>-71.653770654418395</v>
      </c>
      <c r="AJ51" s="586">
        <f t="shared" si="90"/>
        <v>176.98184316304165</v>
      </c>
      <c r="AK51" s="635">
        <f t="shared" si="211"/>
        <v>0.93615957906686997</v>
      </c>
      <c r="AL51" s="629">
        <f t="shared" si="91"/>
        <v>-0.15662819376304943</v>
      </c>
      <c r="AM51" s="634">
        <f t="shared" si="92"/>
        <v>-0.31475840169861313</v>
      </c>
      <c r="AN51" s="581">
        <f t="shared" si="93"/>
        <v>-26.455581590108967</v>
      </c>
      <c r="AO51" s="582">
        <f t="shared" si="94"/>
        <v>20.583702241349751</v>
      </c>
      <c r="AP51" s="585">
        <f t="shared" si="95"/>
        <v>-9.498142906971843</v>
      </c>
      <c r="AQ51" s="586">
        <f t="shared" si="246"/>
        <v>0.82618106042284112</v>
      </c>
      <c r="AS51" s="52">
        <f t="shared" si="406"/>
        <v>-262.77001403827308</v>
      </c>
      <c r="AT51" s="72">
        <f t="shared" si="247"/>
        <v>6.4575936862973665E-2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Nose</v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5.2130000000000001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5.1130000000000004</v>
      </c>
      <c r="II51" s="734" cm="1">
        <f t="array" ref="II51">IFERROR(IF($IH51&lt;1,$IH51+LARGE((IF($M$9:$M$150="",0,$M$9:$M$150)-MOD(IF($M$9:$M$150="",0,$M$9:$M$150),1)),1),$IH51),"")</f>
        <v>5.1130000000000004</v>
      </c>
      <c r="IJ51" s="533">
        <f t="shared" si="112"/>
        <v>1613</v>
      </c>
      <c r="IK51" s="533">
        <f t="shared" si="382"/>
        <v>1313</v>
      </c>
      <c r="IL51" s="727">
        <f t="shared" si="225"/>
        <v>17.429997483419726</v>
      </c>
      <c r="IM51" s="759">
        <v>1.41295904193732E-2</v>
      </c>
      <c r="IN51" s="5">
        <f t="shared" si="226"/>
        <v>0.28000000000000003</v>
      </c>
      <c r="IO51" s="771">
        <v>140</v>
      </c>
      <c r="IP51" s="9">
        <f t="shared" si="227"/>
        <v>-2.7479082876913963</v>
      </c>
      <c r="IQ51" s="5">
        <f t="shared" si="228"/>
        <v>-0.15600047049741902</v>
      </c>
      <c r="IR51" s="5">
        <f t="shared" si="383"/>
        <v>0.314</v>
      </c>
      <c r="IS51" s="5">
        <f t="shared" si="229"/>
        <v>0.30216036167626259</v>
      </c>
      <c r="IT51" s="727">
        <f t="shared" si="230"/>
        <v>30.761925363625142</v>
      </c>
      <c r="IU51" s="9">
        <f t="shared" si="231"/>
        <v>-2.7591634999354619</v>
      </c>
      <c r="IV51" s="5">
        <f t="shared" si="232"/>
        <v>-0.11842407281062806</v>
      </c>
      <c r="IW51" s="5">
        <f t="shared" si="384"/>
        <v>0.26600000000000001</v>
      </c>
      <c r="IX51" s="5">
        <f t="shared" si="233"/>
        <v>0.24901844803178744</v>
      </c>
      <c r="IY51" s="762">
        <f t="shared" si="234"/>
        <v>26.455581590108967</v>
      </c>
    </row>
    <row r="52" spans="1:259" ht="15" customHeight="1" x14ac:dyDescent="0.25">
      <c r="A52" s="79"/>
      <c r="B52" s="707">
        <v>-3.3796740112714119</v>
      </c>
      <c r="C52" s="708">
        <v>-0.47979442388155957</v>
      </c>
      <c r="D52" s="709">
        <v>-0.58896192142247006</v>
      </c>
      <c r="E52" s="710">
        <v>-0.17405834319868155</v>
      </c>
      <c r="F52" s="708">
        <v>-0.96550925234005369</v>
      </c>
      <c r="G52" s="711">
        <v>0.19363774634270203</v>
      </c>
      <c r="H52" s="710">
        <v>0.26600000000000001</v>
      </c>
      <c r="I52" s="708">
        <v>0.52</v>
      </c>
      <c r="J52" s="570">
        <v>5.2190000000000003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1313</v>
      </c>
      <c r="L52" s="320"/>
      <c r="M52" s="168">
        <f t="shared" si="239"/>
        <v>5.2190000000000003</v>
      </c>
      <c r="N52" s="632">
        <f t="shared" si="240"/>
        <v>-3.3796740112714119</v>
      </c>
      <c r="O52" s="629">
        <f t="shared" si="241"/>
        <v>-0.47979442388155957</v>
      </c>
      <c r="P52" s="633">
        <f t="shared" si="242"/>
        <v>-0.58896192142247006</v>
      </c>
      <c r="Q52" s="585">
        <f t="shared" si="113"/>
        <v>188.07998583900209</v>
      </c>
      <c r="R52" s="629">
        <f t="shared" si="79"/>
        <v>3.413561060190843</v>
      </c>
      <c r="S52" s="634">
        <f t="shared" si="80"/>
        <v>-0.58896192142247006</v>
      </c>
      <c r="T52" s="635">
        <f t="shared" si="81"/>
        <v>-0.52399187832478922</v>
      </c>
      <c r="U52" s="629">
        <f t="shared" si="82"/>
        <v>3.3731041524241276</v>
      </c>
      <c r="V52" s="636">
        <f t="shared" si="114"/>
        <v>-0.58896192142247006</v>
      </c>
      <c r="W52" s="585">
        <f t="shared" si="224"/>
        <v>98.829985730715507</v>
      </c>
      <c r="X52" s="629">
        <f t="shared" si="83"/>
        <v>3.413561060190843</v>
      </c>
      <c r="Y52" s="630">
        <f t="shared" si="223"/>
        <v>-0.58896192142247006</v>
      </c>
      <c r="Z52" s="632">
        <f t="shared" si="243"/>
        <v>0.17405834319868155</v>
      </c>
      <c r="AA52" s="629">
        <f t="shared" si="244"/>
        <v>0.96550925234005369</v>
      </c>
      <c r="AB52" s="629">
        <f t="shared" si="245"/>
        <v>-0.19363774634270203</v>
      </c>
      <c r="AC52" s="636">
        <f t="shared" si="84"/>
        <v>1</v>
      </c>
      <c r="AD52" s="637">
        <f t="shared" si="115"/>
        <v>0.17405834319868155</v>
      </c>
      <c r="AE52" s="629">
        <f t="shared" si="85"/>
        <v>0.96550925234005369</v>
      </c>
      <c r="AF52" s="633">
        <f t="shared" si="86"/>
        <v>-0.19363774634270203</v>
      </c>
      <c r="AG52" s="602">
        <f t="shared" si="87"/>
        <v>78.659492497346548</v>
      </c>
      <c r="AH52" s="603">
        <f t="shared" si="88"/>
        <v>79.97613583211799</v>
      </c>
      <c r="AI52" s="585">
        <f t="shared" si="89"/>
        <v>-78.83484449359625</v>
      </c>
      <c r="AJ52" s="586">
        <f t="shared" si="90"/>
        <v>169.78069832740013</v>
      </c>
      <c r="AK52" s="635">
        <f t="shared" si="211"/>
        <v>0.93145962507001956</v>
      </c>
      <c r="AL52" s="629">
        <f t="shared" si="91"/>
        <v>-0.30803796852942988</v>
      </c>
      <c r="AM52" s="634">
        <f t="shared" si="92"/>
        <v>-0.19363774634270203</v>
      </c>
      <c r="AN52" s="581">
        <f t="shared" si="93"/>
        <v>-57.845854287162382</v>
      </c>
      <c r="AO52" s="582">
        <f t="shared" si="94"/>
        <v>21.33650095023436</v>
      </c>
      <c r="AP52" s="585">
        <f t="shared" si="95"/>
        <v>-18.299287511601975</v>
      </c>
      <c r="AQ52" s="586">
        <f t="shared" si="246"/>
        <v>0.66781386235239637</v>
      </c>
      <c r="AS52" s="52">
        <f t="shared" si="406"/>
        <v>-261.17001426928448</v>
      </c>
      <c r="AT52" s="72">
        <f t="shared" si="247"/>
        <v>-0.40707302269955487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>Taper</v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5.2190000000000003</v>
      </c>
      <c r="IH52" s="731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5.1189999999999998</v>
      </c>
      <c r="II52" s="734" cm="1">
        <f t="array" ref="II52">IFERROR(IF($IH52&lt;1,$IH52+LARGE((IF($M$9:$M$150="",0,$M$9:$M$150)-MOD(IF($M$9:$M$150="",0,$M$9:$M$150),1)),1),$IH52),"")</f>
        <v>5.1189999999999998</v>
      </c>
      <c r="IJ52" s="533">
        <f t="shared" si="112"/>
        <v>1613</v>
      </c>
      <c r="IK52" s="533">
        <f t="shared" si="382"/>
        <v>1313</v>
      </c>
      <c r="IL52" s="727">
        <f t="shared" si="225"/>
        <v>14.849997855925608</v>
      </c>
      <c r="IM52" s="759">
        <v>9.3677189190658899E-3</v>
      </c>
      <c r="IN52" s="5">
        <f t="shared" si="226"/>
        <v>0.26</v>
      </c>
      <c r="IO52" s="771">
        <v>130</v>
      </c>
      <c r="IP52" s="9">
        <f t="shared" si="227"/>
        <v>-3.381810199539562</v>
      </c>
      <c r="IQ52" s="5">
        <f t="shared" si="228"/>
        <v>-0.61940186811603415</v>
      </c>
      <c r="IR52" s="5">
        <f t="shared" si="383"/>
        <v>0.314</v>
      </c>
      <c r="IS52" s="5">
        <f t="shared" si="229"/>
        <v>0.30064337693209564</v>
      </c>
      <c r="IT52" s="727">
        <f t="shared" si="230"/>
        <v>63.801295436154518</v>
      </c>
      <c r="IU52" s="9">
        <f t="shared" si="231"/>
        <v>-3.413561060190843</v>
      </c>
      <c r="IV52" s="5">
        <f t="shared" si="232"/>
        <v>-0.58896192142247006</v>
      </c>
      <c r="IW52" s="5">
        <f t="shared" si="384"/>
        <v>0.26600000000000001</v>
      </c>
      <c r="IX52" s="5">
        <f t="shared" si="233"/>
        <v>0.24776826026862522</v>
      </c>
      <c r="IY52" s="762">
        <f t="shared" si="234"/>
        <v>57.845854287162382</v>
      </c>
    </row>
    <row r="53" spans="1:259" ht="15" customHeight="1" x14ac:dyDescent="0.25">
      <c r="A53" s="79"/>
      <c r="B53" s="707">
        <v>-3.6143164349019195</v>
      </c>
      <c r="C53" s="708">
        <v>-0.44826432559816337</v>
      </c>
      <c r="D53" s="709">
        <v>-1.3831942809163396</v>
      </c>
      <c r="E53" s="710">
        <v>-0.8674651705255132</v>
      </c>
      <c r="F53" s="708">
        <v>-0.10758729143895651</v>
      </c>
      <c r="G53" s="711">
        <v>0.48572538810110744</v>
      </c>
      <c r="H53" s="710">
        <v>0.25700000000000001</v>
      </c>
      <c r="I53" s="708">
        <v>0.41499999999999992</v>
      </c>
      <c r="J53" s="570">
        <v>5.2249999999999996</v>
      </c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CPS-32193r1</v>
      </c>
      <c r="L53" s="320"/>
      <c r="M53" s="168">
        <f t="shared" si="239"/>
        <v>5.2249999999999996</v>
      </c>
      <c r="N53" s="632">
        <f t="shared" si="240"/>
        <v>-3.6143164349019195</v>
      </c>
      <c r="O53" s="629">
        <f t="shared" si="241"/>
        <v>-0.44826432559816337</v>
      </c>
      <c r="P53" s="633">
        <f t="shared" si="242"/>
        <v>-1.3831942809163396</v>
      </c>
      <c r="Q53" s="585">
        <f t="shared" si="113"/>
        <v>187.06998598482807</v>
      </c>
      <c r="R53" s="629">
        <f t="shared" ref="R53:R58" si="410">IF(M53="","",SQRT(N53^2+O53^2))</f>
        <v>3.6420082642967873</v>
      </c>
      <c r="S53" s="634">
        <f t="shared" ref="S53:S58" si="411">IF(M53="","",P53)</f>
        <v>-1.3831942809163396</v>
      </c>
      <c r="T53" s="635">
        <f t="shared" ref="T53:T58" si="412">IF(M53="","",X53*COS(RADIANS(W53)))</f>
        <v>-0.49553585528640443</v>
      </c>
      <c r="U53" s="629">
        <f t="shared" ref="U53:U58" si="413">IF(M53="","",X53*SIN(RADIANS(W53)))</f>
        <v>3.6081391898500352</v>
      </c>
      <c r="V53" s="636">
        <f t="shared" ref="V53:V58" si="414">IF(M53="","",Y53)</f>
        <v>-1.3831942809163396</v>
      </c>
      <c r="W53" s="585">
        <f t="shared" si="224"/>
        <v>97.81998587654148</v>
      </c>
      <c r="X53" s="629">
        <f t="shared" ref="X53:X58" si="415">IF(M53="","",R53)</f>
        <v>3.6420082642967873</v>
      </c>
      <c r="Y53" s="630">
        <f t="shared" si="223"/>
        <v>-1.3831942809163396</v>
      </c>
      <c r="Z53" s="632">
        <f t="shared" si="243"/>
        <v>0.8674651705255132</v>
      </c>
      <c r="AA53" s="629">
        <f t="shared" si="244"/>
        <v>0.10758729143895651</v>
      </c>
      <c r="AB53" s="629">
        <f t="shared" si="245"/>
        <v>-0.48572538810110744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0.8674651705255132</v>
      </c>
      <c r="AE53" s="629">
        <f t="shared" ref="AE53:AE58" si="418">IF(M53="","",AA53*(1/SQRT(Z53^2+AA53^2+AB53^2)))</f>
        <v>0.10758729143895651</v>
      </c>
      <c r="AF53" s="633">
        <f t="shared" ref="AF53:AF58" si="419">IF(M53="","",AB53*(1/SQRT(Z53^2+AA53^2+AB53^2)))</f>
        <v>-0.48572538810110744</v>
      </c>
      <c r="AG53" s="602">
        <f t="shared" ref="AG53:AG58" si="420">IF(M53="","",DEGREES(ATAN2(-AF53,AE53)))</f>
        <v>12.489269528666217</v>
      </c>
      <c r="AH53" s="603">
        <f t="shared" ref="AH53:AH58" si="421">IF(M53="","",DEGREES(ACOS(AD53)))</f>
        <v>29.834601157531615</v>
      </c>
      <c r="AI53" s="585">
        <f t="shared" ref="AI53:AI58" si="422">IF(M53="","",DEGREES(-ACOS(-AF53)))</f>
        <v>-60.939991201354701</v>
      </c>
      <c r="AJ53" s="586">
        <f t="shared" ref="AJ53:AJ58" si="423">IF(M53="","",DEGREES(ATAN2(-AE53,AD53)))</f>
        <v>97.070000850655759</v>
      </c>
      <c r="AK53" s="635">
        <f t="shared" ref="AK53:AK58" si="424">IF(M53="","",(COS(RADIANS((90-$Q$8)-W53))*AD53)+(-SIN(RADIANS((90-$Q$8)-W53))*AE53))</f>
        <v>2.2679489646015849E-7</v>
      </c>
      <c r="AL53" s="629">
        <f t="shared" ref="AL53:AL58" si="425">IF(M53="","",(SIN(RADIANS((90-$Q$8)-W53))*AD53)+(COS(RADIANS((90-$Q$8)-W53))*AE53))</f>
        <v>-0.87411146163059628</v>
      </c>
      <c r="AM53" s="634">
        <f t="shared" ref="AM53:AM58" si="426">IF(M53="","",AF53)</f>
        <v>-0.48572538810110744</v>
      </c>
      <c r="AN53" s="581">
        <f t="shared" ref="AN53:AN58" si="427">IF(M53="","",DEGREES(ATAN2(-AM53,AL53)))</f>
        <v>-60.939991201353898</v>
      </c>
      <c r="AO53" s="582">
        <f t="shared" si="94"/>
        <v>0</v>
      </c>
      <c r="AP53" s="585">
        <f t="shared" ref="AP53:AP58" si="428">IF(M53="","",DEGREES(ATAN2(AK53,AL53)))</f>
        <v>-89.999985134172306</v>
      </c>
      <c r="AQ53" s="586">
        <f t="shared" si="246"/>
        <v>0.62592827213717284</v>
      </c>
      <c r="AS53" s="52">
        <f t="shared" si="406"/>
        <v>-262.18001412345853</v>
      </c>
      <c r="AT53" s="72">
        <f t="shared" si="247"/>
        <v>-1.2006039934058035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>Taper</v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5.2249999999999996</v>
      </c>
      <c r="IH53" s="731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5.125</v>
      </c>
      <c r="II53" s="734" cm="1">
        <f t="array" ref="II53">IFERROR(IF($IH53&lt;1,$IH53+LARGE((IF($M$9:$M$150="",0,$M$9:$M$150)-MOD(IF($M$9:$M$150="",0,$M$9:$M$150),1)),1),$IH53),"")</f>
        <v>5.125</v>
      </c>
      <c r="IJ53" s="533">
        <f t="shared" si="112"/>
        <v>1613</v>
      </c>
      <c r="IK53" s="533" t="str">
        <f t="shared" si="382"/>
        <v>CPS-32193r1</v>
      </c>
      <c r="IL53" s="727">
        <f t="shared" si="225"/>
        <v>15.449997769296289</v>
      </c>
      <c r="IM53" s="759">
        <v>9.4517070156355607E-3</v>
      </c>
      <c r="IN53" s="5">
        <f t="shared" si="226"/>
        <v>1.48</v>
      </c>
      <c r="IO53" s="771">
        <v>740</v>
      </c>
      <c r="IP53" s="9">
        <f t="shared" si="227"/>
        <v>-3.6271109393665935</v>
      </c>
      <c r="IQ53" s="5">
        <f t="shared" si="228"/>
        <v>-1.3529040803587062</v>
      </c>
      <c r="IR53" s="5">
        <f t="shared" si="383"/>
        <v>0.314</v>
      </c>
      <c r="IS53" s="5">
        <f t="shared" si="229"/>
        <v>0.28362052250580599</v>
      </c>
      <c r="IT53" s="727">
        <f t="shared" si="230"/>
        <v>81.358589679854262</v>
      </c>
      <c r="IU53" s="9">
        <f t="shared" si="231"/>
        <v>-3.6420082642967873</v>
      </c>
      <c r="IV53" s="5">
        <f t="shared" si="232"/>
        <v>-1.3831942809163396</v>
      </c>
      <c r="IW53" s="5">
        <f t="shared" si="384"/>
        <v>0.25700000000000001</v>
      </c>
      <c r="IX53" s="5">
        <f t="shared" si="233"/>
        <v>0.25700000000000001</v>
      </c>
      <c r="IY53" s="762">
        <f t="shared" si="234"/>
        <v>60.939991201353898</v>
      </c>
    </row>
    <row r="54" spans="1:259" ht="15" customHeight="1" x14ac:dyDescent="0.25">
      <c r="A54" s="79"/>
      <c r="B54" s="707">
        <v>-3.6738886809305216</v>
      </c>
      <c r="C54" s="708">
        <v>-0.46216494553305504</v>
      </c>
      <c r="D54" s="709">
        <v>-2.1727482196752974</v>
      </c>
      <c r="E54" s="710">
        <v>-0.99218019189728757</v>
      </c>
      <c r="F54" s="708">
        <v>-0.12481372843806218</v>
      </c>
      <c r="G54" s="711">
        <v>2.2679489690660965E-7</v>
      </c>
      <c r="H54" s="710">
        <v>0.25700000000000001</v>
      </c>
      <c r="I54" s="708">
        <v>0.41499999999999992</v>
      </c>
      <c r="J54" s="570">
        <v>5.2309999999999999</v>
      </c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CPS-32193r1</v>
      </c>
      <c r="L54" s="320"/>
      <c r="M54" s="168">
        <f t="shared" si="239"/>
        <v>5.2309999999999999</v>
      </c>
      <c r="N54" s="632">
        <f t="shared" si="240"/>
        <v>-3.6738886809305216</v>
      </c>
      <c r="O54" s="629">
        <f t="shared" si="241"/>
        <v>-0.46216494553305504</v>
      </c>
      <c r="P54" s="633">
        <f t="shared" si="242"/>
        <v>-2.1727482196752974</v>
      </c>
      <c r="Q54" s="585">
        <f t="shared" si="113"/>
        <v>187.16998597038983</v>
      </c>
      <c r="R54" s="629">
        <f t="shared" si="410"/>
        <v>3.702844106460462</v>
      </c>
      <c r="S54" s="634">
        <f t="shared" si="411"/>
        <v>-2.1727482196752974</v>
      </c>
      <c r="T54" s="635">
        <f t="shared" si="412"/>
        <v>-0.51021506081701695</v>
      </c>
      <c r="U54" s="629">
        <f t="shared" si="413"/>
        <v>3.6675243787144027</v>
      </c>
      <c r="V54" s="636">
        <f t="shared" si="414"/>
        <v>-2.1727482196752974</v>
      </c>
      <c r="W54" s="585">
        <f t="shared" si="224"/>
        <v>97.919985862103246</v>
      </c>
      <c r="X54" s="629">
        <f t="shared" si="415"/>
        <v>3.702844106460462</v>
      </c>
      <c r="Y54" s="630">
        <f t="shared" si="223"/>
        <v>-2.1727482196752974</v>
      </c>
      <c r="Z54" s="632">
        <f t="shared" si="243"/>
        <v>0.99218019189728757</v>
      </c>
      <c r="AA54" s="629">
        <f t="shared" si="244"/>
        <v>0.12481372843806218</v>
      </c>
      <c r="AB54" s="629">
        <f t="shared" si="245"/>
        <v>-2.2679489690660965E-7</v>
      </c>
      <c r="AC54" s="636">
        <f t="shared" si="416"/>
        <v>1</v>
      </c>
      <c r="AD54" s="637">
        <f t="shared" si="417"/>
        <v>0.99218019189728757</v>
      </c>
      <c r="AE54" s="629">
        <f t="shared" si="418"/>
        <v>0.12481372843806218</v>
      </c>
      <c r="AF54" s="633">
        <f t="shared" si="419"/>
        <v>-2.2679489690660965E-7</v>
      </c>
      <c r="AG54" s="602">
        <f t="shared" si="420"/>
        <v>89.999895889734489</v>
      </c>
      <c r="AH54" s="603">
        <f t="shared" si="421"/>
        <v>7.1699989647919162</v>
      </c>
      <c r="AI54" s="585">
        <f t="shared" si="422"/>
        <v>-89.999987005609597</v>
      </c>
      <c r="AJ54" s="586">
        <f t="shared" si="423"/>
        <v>97.169998964780234</v>
      </c>
      <c r="AK54" s="635">
        <f t="shared" si="424"/>
        <v>2.2679489694588106E-7</v>
      </c>
      <c r="AL54" s="629">
        <f t="shared" si="425"/>
        <v>-0.99999999999994871</v>
      </c>
      <c r="AM54" s="634">
        <f t="shared" si="426"/>
        <v>-2.2679489690660965E-7</v>
      </c>
      <c r="AN54" s="581">
        <f t="shared" si="427"/>
        <v>-89.999987005609597</v>
      </c>
      <c r="AO54" s="582">
        <f t="shared" si="94"/>
        <v>0</v>
      </c>
      <c r="AP54" s="585">
        <f t="shared" si="428"/>
        <v>-89.999987005609597</v>
      </c>
      <c r="AQ54" s="586">
        <f t="shared" si="246"/>
        <v>0.61564538765322918</v>
      </c>
      <c r="AS54" s="52">
        <f t="shared" si="406"/>
        <v>-262.08001413789674</v>
      </c>
      <c r="AT54" s="72">
        <f t="shared" si="247"/>
        <v>-1.9902273765991794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Taper</v>
      </c>
      <c r="IF54" s="533" t="str">
        <f>IFERROR(IF((((($IW54*COS(RADIANS(180-$IY54)))*COS(RADIANS($IY54)))-(($IX54*SIN(RADIANS(180-$IY54)))*SIN(RADIANS($IY54))))+$IU54)&lt;(((Settings!$C$19+$IF$8)/2)*-1),"Gage",""),"")</f>
        <v>Gage</v>
      </c>
      <c r="IG54" s="847">
        <f t="shared" si="210"/>
        <v>5.2309999999999999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5.1310000000000002</v>
      </c>
      <c r="II54" s="734" cm="1">
        <f t="array" ref="II54">IFERROR(IF($IH54&lt;1,$IH54+LARGE((IF($M$9:$M$150="",0,$M$9:$M$150)-MOD(IF($M$9:$M$150="",0,$M$9:$M$150),1)),1),$IH54),"")</f>
        <v>5.1310000000000002</v>
      </c>
      <c r="IJ54" s="533">
        <f t="shared" si="112"/>
        <v>1613</v>
      </c>
      <c r="IK54" s="533" t="str">
        <f t="shared" si="382"/>
        <v>CPS-32193r1</v>
      </c>
      <c r="IL54" s="727">
        <f t="shared" si="225"/>
        <v>15.229997801060392</v>
      </c>
      <c r="IM54" s="759">
        <v>9.1131655656719198E-4</v>
      </c>
      <c r="IN54" s="5">
        <f t="shared" si="226"/>
        <v>0</v>
      </c>
      <c r="IO54" s="771">
        <v>0</v>
      </c>
      <c r="IP54" s="9">
        <f t="shared" si="227"/>
        <v>-3.6992111568208488</v>
      </c>
      <c r="IQ54" s="5">
        <f t="shared" si="228"/>
        <v>-2.1288064204801644</v>
      </c>
      <c r="IR54" s="5">
        <f t="shared" si="383"/>
        <v>0.314</v>
      </c>
      <c r="IS54" s="5">
        <f t="shared" si="229"/>
        <v>0.27193198865724594</v>
      </c>
      <c r="IT54" s="727">
        <f t="shared" si="230"/>
        <v>89.999987005609611</v>
      </c>
      <c r="IU54" s="9">
        <f t="shared" si="231"/>
        <v>-3.702844106460462</v>
      </c>
      <c r="IV54" s="5">
        <f t="shared" si="232"/>
        <v>-2.1727482196752974</v>
      </c>
      <c r="IW54" s="5">
        <f t="shared" si="384"/>
        <v>0.25700000000000001</v>
      </c>
      <c r="IX54" s="5">
        <f t="shared" si="233"/>
        <v>0.25700000000000001</v>
      </c>
      <c r="IY54" s="762">
        <f t="shared" si="234"/>
        <v>89.999987005609597</v>
      </c>
    </row>
    <row r="55" spans="1:259" ht="15" customHeight="1" x14ac:dyDescent="0.25">
      <c r="A55" s="79"/>
      <c r="B55" s="707">
        <v>-2.2486105110402441</v>
      </c>
      <c r="C55" s="708">
        <v>1.3468323654647447</v>
      </c>
      <c r="D55" s="709">
        <v>-0.11730035377786699</v>
      </c>
      <c r="E55" s="710">
        <v>-0.5920352470922704</v>
      </c>
      <c r="F55" s="708">
        <v>-0.76793704901076865</v>
      </c>
      <c r="G55" s="711">
        <v>0.2444728102612363</v>
      </c>
      <c r="H55" s="710">
        <v>0.314</v>
      </c>
      <c r="I55" s="708">
        <v>0.52</v>
      </c>
      <c r="J55" s="570">
        <v>6.1120000000000001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6.1120000000000001</v>
      </c>
      <c r="N55" s="632">
        <f t="shared" si="240"/>
        <v>-2.2486105110402441</v>
      </c>
      <c r="O55" s="629">
        <f t="shared" si="241"/>
        <v>1.3468323654647447</v>
      </c>
      <c r="P55" s="633">
        <f t="shared" si="242"/>
        <v>-0.11730035377786699</v>
      </c>
      <c r="Q55" s="585">
        <f t="shared" si="113"/>
        <v>149.07999146990463</v>
      </c>
      <c r="R55" s="629">
        <f t="shared" si="410"/>
        <v>2.6211079052614425</v>
      </c>
      <c r="S55" s="634">
        <f t="shared" si="411"/>
        <v>-0.11730035377786699</v>
      </c>
      <c r="T55" s="635">
        <f t="shared" si="412"/>
        <v>1.3172835811643315</v>
      </c>
      <c r="U55" s="629">
        <f t="shared" si="413"/>
        <v>2.2660473555993712</v>
      </c>
      <c r="V55" s="636">
        <f t="shared" si="414"/>
        <v>-0.11730035377786699</v>
      </c>
      <c r="W55" s="585">
        <f t="shared" si="224"/>
        <v>59.829991361618042</v>
      </c>
      <c r="X55" s="629">
        <f t="shared" si="415"/>
        <v>2.6211079052614425</v>
      </c>
      <c r="Y55" s="630">
        <f t="shared" si="223"/>
        <v>-0.11730035377786699</v>
      </c>
      <c r="Z55" s="632">
        <f t="shared" si="243"/>
        <v>0.5920352470922704</v>
      </c>
      <c r="AA55" s="629">
        <f t="shared" si="244"/>
        <v>0.76793704901076865</v>
      </c>
      <c r="AB55" s="629">
        <f t="shared" si="245"/>
        <v>-0.2444728102612363</v>
      </c>
      <c r="AC55" s="636">
        <f t="shared" si="416"/>
        <v>0.99999999999999978</v>
      </c>
      <c r="AD55" s="637">
        <f t="shared" si="417"/>
        <v>0.59203524709227051</v>
      </c>
      <c r="AE55" s="629">
        <f t="shared" si="418"/>
        <v>0.76793704901076887</v>
      </c>
      <c r="AF55" s="633">
        <f t="shared" si="419"/>
        <v>-0.24447281026123635</v>
      </c>
      <c r="AG55" s="602">
        <f t="shared" si="420"/>
        <v>72.341122532845944</v>
      </c>
      <c r="AH55" s="603">
        <f t="shared" si="421"/>
        <v>53.698431085249545</v>
      </c>
      <c r="AI55" s="585">
        <f t="shared" si="422"/>
        <v>-75.849319396302235</v>
      </c>
      <c r="AJ55" s="586">
        <f t="shared" si="423"/>
        <v>142.36984593257529</v>
      </c>
      <c r="AK55" s="635">
        <f t="shared" si="424"/>
        <v>0.96301397872090144</v>
      </c>
      <c r="AL55" s="629">
        <f t="shared" si="425"/>
        <v>-0.11330102308061102</v>
      </c>
      <c r="AM55" s="634">
        <f t="shared" si="426"/>
        <v>-0.24447281026123635</v>
      </c>
      <c r="AN55" s="581">
        <f t="shared" si="427"/>
        <v>-24.865383768041582</v>
      </c>
      <c r="AO55" s="582">
        <f>IF(ROUND(IF(M55="",0,DEGREES(ACOS(AK55))),4)=90,0,IF(M55="","",DEGREES(ACOS(AK55))))</f>
        <v>15.631626760718948</v>
      </c>
      <c r="AP55" s="585">
        <f t="shared" si="428"/>
        <v>-6.710145537329355</v>
      </c>
      <c r="AQ55" s="586">
        <f t="shared" si="246"/>
        <v>0.86969008073282761</v>
      </c>
      <c r="AS55" s="52">
        <f t="shared" si="406"/>
        <v>-300.17000863838194</v>
      </c>
      <c r="AT55" s="72">
        <f t="shared" si="247"/>
        <v>9.1671874368032563E-2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6.1120000000000001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-2.7975611205567286</v>
      </c>
      <c r="C56" s="708">
        <v>1.7433619843013188</v>
      </c>
      <c r="D56" s="709">
        <v>-0.51800156229271188</v>
      </c>
      <c r="E56" s="710">
        <v>-0.7140768820586223</v>
      </c>
      <c r="F56" s="708">
        <v>-0.68406382755850559</v>
      </c>
      <c r="G56" s="711">
        <v>0.14883173833374319</v>
      </c>
      <c r="H56" s="710">
        <v>0.314</v>
      </c>
      <c r="I56" s="708">
        <v>0.52</v>
      </c>
      <c r="J56" s="570">
        <v>6.1180000000000003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6.1180000000000003</v>
      </c>
      <c r="N56" s="632">
        <f t="shared" si="240"/>
        <v>-2.7975611205567286</v>
      </c>
      <c r="O56" s="629">
        <f t="shared" si="241"/>
        <v>1.7433619843013188</v>
      </c>
      <c r="P56" s="633">
        <f t="shared" si="242"/>
        <v>-0.51800156229271188</v>
      </c>
      <c r="Q56" s="585">
        <f t="shared" si="113"/>
        <v>148.06999161573054</v>
      </c>
      <c r="R56" s="629">
        <f t="shared" si="410"/>
        <v>3.2963099416707844</v>
      </c>
      <c r="S56" s="634">
        <f t="shared" si="411"/>
        <v>-0.51800156229271188</v>
      </c>
      <c r="T56" s="635">
        <f t="shared" si="412"/>
        <v>1.7065936879264827</v>
      </c>
      <c r="U56" s="629">
        <f t="shared" si="413"/>
        <v>2.8201413467922376</v>
      </c>
      <c r="V56" s="636">
        <f t="shared" si="414"/>
        <v>-0.51800156229271188</v>
      </c>
      <c r="W56" s="585">
        <f t="shared" si="224"/>
        <v>58.819991507443959</v>
      </c>
      <c r="X56" s="629">
        <f t="shared" si="415"/>
        <v>3.2963099416707844</v>
      </c>
      <c r="Y56" s="630">
        <f t="shared" si="223"/>
        <v>-0.51800156229271188</v>
      </c>
      <c r="Z56" s="632">
        <f t="shared" si="243"/>
        <v>0.7140768820586223</v>
      </c>
      <c r="AA56" s="629">
        <f t="shared" si="244"/>
        <v>0.68406382755850559</v>
      </c>
      <c r="AB56" s="629">
        <f t="shared" si="245"/>
        <v>-0.14883173833374319</v>
      </c>
      <c r="AC56" s="636">
        <f t="shared" si="416"/>
        <v>1</v>
      </c>
      <c r="AD56" s="637">
        <f t="shared" si="417"/>
        <v>0.7140768820586223</v>
      </c>
      <c r="AE56" s="629">
        <f t="shared" si="418"/>
        <v>0.68406382755850559</v>
      </c>
      <c r="AF56" s="633">
        <f t="shared" si="419"/>
        <v>-0.14883173833374319</v>
      </c>
      <c r="AG56" s="602">
        <f t="shared" si="420"/>
        <v>77.725452444084965</v>
      </c>
      <c r="AH56" s="603">
        <f t="shared" si="421"/>
        <v>44.432402705906149</v>
      </c>
      <c r="AI56" s="585">
        <f t="shared" si="422"/>
        <v>-81.440769838123273</v>
      </c>
      <c r="AJ56" s="586">
        <f t="shared" si="423"/>
        <v>133.77025446956438</v>
      </c>
      <c r="AK56" s="635">
        <f t="shared" si="424"/>
        <v>0.95822447339564487</v>
      </c>
      <c r="AL56" s="629">
        <f t="shared" si="425"/>
        <v>-0.24424367392052454</v>
      </c>
      <c r="AM56" s="634">
        <f t="shared" si="426"/>
        <v>-0.14883173833374319</v>
      </c>
      <c r="AN56" s="581">
        <f t="shared" si="427"/>
        <v>-58.643641876225878</v>
      </c>
      <c r="AO56" s="582">
        <f t="shared" ref="AO56:AO119" si="461">IF(ROUND(IF(M56="",0,DEGREES(ACOS(AK56))),4)=90,0,IF(M56="","",DEGREES(ACOS(AK56))))</f>
        <v>16.619663187384734</v>
      </c>
      <c r="AP56" s="585">
        <f t="shared" si="428"/>
        <v>-14.299737146166164</v>
      </c>
      <c r="AQ56" s="586">
        <f t="shared" si="246"/>
        <v>0.69156601231706794</v>
      </c>
      <c r="AS56" s="52">
        <f t="shared" si="406"/>
        <v>-301.18000849255606</v>
      </c>
      <c r="AT56" s="72">
        <f t="shared" si="247"/>
        <v>-0.30832794535919139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6.1180000000000003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-3.0566349825901127</v>
      </c>
      <c r="C57" s="708">
        <v>1.9450426114547388</v>
      </c>
      <c r="D57" s="709">
        <v>-1.2213036834519093</v>
      </c>
      <c r="E57" s="710">
        <v>-0.82276287869484599</v>
      </c>
      <c r="F57" s="708">
        <v>-0.56310503549259483</v>
      </c>
      <c r="G57" s="711">
        <v>7.7291425427752775E-2</v>
      </c>
      <c r="H57" s="710">
        <v>0.314</v>
      </c>
      <c r="I57" s="708">
        <v>0.52</v>
      </c>
      <c r="J57" s="570">
        <v>6.1239999999999997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1613</v>
      </c>
      <c r="L57" s="320"/>
      <c r="M57" s="168">
        <f t="shared" si="239"/>
        <v>6.1239999999999997</v>
      </c>
      <c r="N57" s="632">
        <f t="shared" si="240"/>
        <v>-3.0566349825901127</v>
      </c>
      <c r="O57" s="629">
        <f t="shared" si="241"/>
        <v>1.9450426114547388</v>
      </c>
      <c r="P57" s="633">
        <f t="shared" si="242"/>
        <v>-1.2213036834519093</v>
      </c>
      <c r="Q57" s="585">
        <f t="shared" si="113"/>
        <v>147.5299916936969</v>
      </c>
      <c r="R57" s="629">
        <f t="shared" si="410"/>
        <v>3.6230109270009563</v>
      </c>
      <c r="S57" s="634">
        <f t="shared" si="411"/>
        <v>-1.2213036834519093</v>
      </c>
      <c r="T57" s="635">
        <f t="shared" si="412"/>
        <v>1.9048658650287602</v>
      </c>
      <c r="U57" s="629">
        <f t="shared" si="413"/>
        <v>3.0818329308086385</v>
      </c>
      <c r="V57" s="636">
        <f t="shared" si="414"/>
        <v>-1.2213036834519093</v>
      </c>
      <c r="W57" s="585">
        <f t="shared" si="224"/>
        <v>58.279991585410315</v>
      </c>
      <c r="X57" s="629">
        <f t="shared" si="415"/>
        <v>3.6230109270009563</v>
      </c>
      <c r="Y57" s="630">
        <f t="shared" si="223"/>
        <v>-1.2213036834519093</v>
      </c>
      <c r="Z57" s="632">
        <f t="shared" si="243"/>
        <v>0.82276287869484599</v>
      </c>
      <c r="AA57" s="629">
        <f t="shared" si="244"/>
        <v>0.56310503549259483</v>
      </c>
      <c r="AB57" s="629">
        <f t="shared" si="245"/>
        <v>-7.7291425427752775E-2</v>
      </c>
      <c r="AC57" s="636">
        <f t="shared" si="416"/>
        <v>1</v>
      </c>
      <c r="AD57" s="637">
        <f t="shared" si="417"/>
        <v>0.82276287869484599</v>
      </c>
      <c r="AE57" s="629">
        <f t="shared" si="418"/>
        <v>0.56310503549259483</v>
      </c>
      <c r="AF57" s="633">
        <f t="shared" si="419"/>
        <v>-7.7291425427752775E-2</v>
      </c>
      <c r="AG57" s="602">
        <f t="shared" si="420"/>
        <v>82.184456883715313</v>
      </c>
      <c r="AH57" s="603">
        <f t="shared" si="421"/>
        <v>34.637667406630953</v>
      </c>
      <c r="AI57" s="585">
        <f t="shared" si="422"/>
        <v>-85.567106378605487</v>
      </c>
      <c r="AJ57" s="586">
        <f t="shared" si="423"/>
        <v>124.38802876875329</v>
      </c>
      <c r="AK57" s="635">
        <f t="shared" si="424"/>
        <v>0.91678316059991194</v>
      </c>
      <c r="AL57" s="629">
        <f t="shared" si="425"/>
        <v>-0.39183500608774391</v>
      </c>
      <c r="AM57" s="634">
        <f t="shared" si="426"/>
        <v>-7.7291425427752775E-2</v>
      </c>
      <c r="AN57" s="581">
        <f t="shared" si="427"/>
        <v>-78.841373259177089</v>
      </c>
      <c r="AO57" s="582">
        <f t="shared" si="461"/>
        <v>23.539757691687637</v>
      </c>
      <c r="AP57" s="585">
        <f t="shared" si="428"/>
        <v>-23.141962924943602</v>
      </c>
      <c r="AQ57" s="586">
        <f t="shared" si="246"/>
        <v>0.62921007758383907</v>
      </c>
      <c r="AS57" s="52">
        <f t="shared" si="406"/>
        <v>-301.7200084145897</v>
      </c>
      <c r="AT57" s="72">
        <f t="shared" si="247"/>
        <v>-1.0112550665725322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6.1239999999999997</v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>
        <f t="shared" si="112"/>
        <v>1613</v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>
        <v>-3.1164090178184072</v>
      </c>
      <c r="C58" s="708">
        <v>1.9930273496387243</v>
      </c>
      <c r="D58" s="709">
        <v>-1.9989060287005826</v>
      </c>
      <c r="E58" s="710">
        <v>-0.88781541691154808</v>
      </c>
      <c r="F58" s="708">
        <v>-0.46019972348336019</v>
      </c>
      <c r="G58" s="711">
        <v>1.1339743363321423E-7</v>
      </c>
      <c r="H58" s="710">
        <v>0.314</v>
      </c>
      <c r="I58" s="708">
        <v>0.52</v>
      </c>
      <c r="J58" s="570">
        <v>6.13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6.13</v>
      </c>
      <c r="N58" s="632">
        <f t="shared" si="240"/>
        <v>-3.1164090178184072</v>
      </c>
      <c r="O58" s="629">
        <f t="shared" si="241"/>
        <v>1.9930273496387243</v>
      </c>
      <c r="P58" s="633">
        <f t="shared" si="242"/>
        <v>-1.9989060287005826</v>
      </c>
      <c r="Q58" s="585">
        <f t="shared" si="113"/>
        <v>147.39999171246657</v>
      </c>
      <c r="R58" s="629">
        <f t="shared" si="410"/>
        <v>3.6992111568208492</v>
      </c>
      <c r="S58" s="634">
        <f t="shared" si="411"/>
        <v>-1.9989060287005826</v>
      </c>
      <c r="T58" s="635">
        <f t="shared" si="412"/>
        <v>1.9520640744111575</v>
      </c>
      <c r="U58" s="629">
        <f t="shared" si="413"/>
        <v>3.1422299457775456</v>
      </c>
      <c r="V58" s="636">
        <f t="shared" si="414"/>
        <v>-1.9989060287005826</v>
      </c>
      <c r="W58" s="585">
        <f t="shared" si="224"/>
        <v>58.149991604179988</v>
      </c>
      <c r="X58" s="629">
        <f t="shared" si="415"/>
        <v>3.6992111568208492</v>
      </c>
      <c r="Y58" s="630">
        <f t="shared" si="223"/>
        <v>-1.9989060287005826</v>
      </c>
      <c r="Z58" s="632">
        <f t="shared" si="243"/>
        <v>0.88781541691154808</v>
      </c>
      <c r="AA58" s="629">
        <f t="shared" si="244"/>
        <v>0.46019972348336019</v>
      </c>
      <c r="AB58" s="629">
        <f t="shared" si="245"/>
        <v>-1.1339743363321423E-7</v>
      </c>
      <c r="AC58" s="636">
        <f t="shared" si="416"/>
        <v>1</v>
      </c>
      <c r="AD58" s="637">
        <f t="shared" si="417"/>
        <v>0.88781541691154808</v>
      </c>
      <c r="AE58" s="629">
        <f t="shared" si="418"/>
        <v>0.46019972348336019</v>
      </c>
      <c r="AF58" s="633">
        <f t="shared" si="419"/>
        <v>-1.1339743363321423E-7</v>
      </c>
      <c r="AG58" s="602">
        <f t="shared" si="420"/>
        <v>89.999985881794316</v>
      </c>
      <c r="AH58" s="603">
        <f t="shared" si="421"/>
        <v>27.399996043931385</v>
      </c>
      <c r="AI58" s="585">
        <f t="shared" si="422"/>
        <v>-89.999993502805637</v>
      </c>
      <c r="AJ58" s="586">
        <f t="shared" si="423"/>
        <v>117.39999604393067</v>
      </c>
      <c r="AK58" s="635">
        <f t="shared" si="424"/>
        <v>0.86602544158358563</v>
      </c>
      <c r="AL58" s="629">
        <f t="shared" si="425"/>
        <v>-0.49999993452993829</v>
      </c>
      <c r="AM58" s="634">
        <f t="shared" si="426"/>
        <v>-1.1339743363321423E-7</v>
      </c>
      <c r="AN58" s="581">
        <f t="shared" si="427"/>
        <v>-89.999987005609597</v>
      </c>
      <c r="AO58" s="582">
        <f t="shared" si="461"/>
        <v>29.999995668536535</v>
      </c>
      <c r="AP58" s="585">
        <f t="shared" si="428"/>
        <v>-29.999995668535892</v>
      </c>
      <c r="AQ58" s="586">
        <f t="shared" si="246"/>
        <v>0.61624995878789901</v>
      </c>
      <c r="AS58" s="52">
        <f t="shared" si="406"/>
        <v>-301.85000839582</v>
      </c>
      <c r="AT58" s="72">
        <f t="shared" si="247"/>
        <v>-1.7887671340564621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6.13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-2.1913785368641086</v>
      </c>
      <c r="C59" s="708">
        <v>2.481263158483646</v>
      </c>
      <c r="D59" s="709">
        <v>-0.52527394230576363</v>
      </c>
      <c r="E59" s="710">
        <v>-0.355674266943724</v>
      </c>
      <c r="F59" s="708">
        <v>0.40272398828328659</v>
      </c>
      <c r="G59" s="711">
        <v>0.84339148981670897</v>
      </c>
      <c r="H59" s="710">
        <v>0.25700000000000001</v>
      </c>
      <c r="I59" s="708">
        <v>0.41499999999999992</v>
      </c>
      <c r="J59" s="570">
        <v>6.218</v>
      </c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CPS-32193r1</v>
      </c>
      <c r="L59" s="320"/>
      <c r="M59" s="168">
        <f t="shared" si="239"/>
        <v>6.218</v>
      </c>
      <c r="N59" s="632">
        <f t="shared" si="240"/>
        <v>-2.1913785368641086</v>
      </c>
      <c r="O59" s="629">
        <f t="shared" si="241"/>
        <v>2.481263158483646</v>
      </c>
      <c r="P59" s="633">
        <f t="shared" si="242"/>
        <v>-0.52527394230576363</v>
      </c>
      <c r="Q59" s="585">
        <f t="shared" si="113"/>
        <v>131.44999401536131</v>
      </c>
      <c r="R59" s="629">
        <f t="shared" si="79"/>
        <v>3.3104088498970818</v>
      </c>
      <c r="S59" s="634">
        <f t="shared" si="80"/>
        <v>-0.52527394230576363</v>
      </c>
      <c r="T59" s="635">
        <f t="shared" si="81"/>
        <v>2.4523663280606969</v>
      </c>
      <c r="U59" s="629">
        <f t="shared" si="82"/>
        <v>2.2236695227643462</v>
      </c>
      <c r="V59" s="636">
        <f t="shared" si="114"/>
        <v>-0.52527394230576363</v>
      </c>
      <c r="W59" s="585">
        <f t="shared" si="224"/>
        <v>42.199993907074727</v>
      </c>
      <c r="X59" s="629">
        <f t="shared" si="83"/>
        <v>3.3104088498970818</v>
      </c>
      <c r="Y59" s="630">
        <f t="shared" si="223"/>
        <v>-0.52527394230576363</v>
      </c>
      <c r="Z59" s="632">
        <f t="shared" si="243"/>
        <v>0.355674266943724</v>
      </c>
      <c r="AA59" s="629">
        <f t="shared" si="244"/>
        <v>-0.40272398828328659</v>
      </c>
      <c r="AB59" s="629">
        <f t="shared" si="245"/>
        <v>-0.84339148981670897</v>
      </c>
      <c r="AC59" s="636">
        <f t="shared" si="84"/>
        <v>1</v>
      </c>
      <c r="AD59" s="637">
        <f t="shared" si="115"/>
        <v>0.355674266943724</v>
      </c>
      <c r="AE59" s="629">
        <f t="shared" si="85"/>
        <v>-0.40272398828328659</v>
      </c>
      <c r="AF59" s="633">
        <f t="shared" si="86"/>
        <v>-0.84339148981670897</v>
      </c>
      <c r="AG59" s="602">
        <f t="shared" si="87"/>
        <v>-25.524727172828321</v>
      </c>
      <c r="AH59" s="603">
        <f t="shared" si="88"/>
        <v>69.165225703844484</v>
      </c>
      <c r="AI59" s="585">
        <f t="shared" si="89"/>
        <v>-32.499995307583561</v>
      </c>
      <c r="AJ59" s="586">
        <f t="shared" si="90"/>
        <v>41.450018199991014</v>
      </c>
      <c r="AK59" s="635">
        <f t="shared" si="211"/>
        <v>2.2679489669608088E-7</v>
      </c>
      <c r="AL59" s="629">
        <f t="shared" si="91"/>
        <v>-0.53729953927460317</v>
      </c>
      <c r="AM59" s="634">
        <f t="shared" si="92"/>
        <v>-0.84339148981670897</v>
      </c>
      <c r="AN59" s="581">
        <f t="shared" si="93"/>
        <v>-32.499995307581251</v>
      </c>
      <c r="AO59" s="582">
        <f t="shared" si="461"/>
        <v>0</v>
      </c>
      <c r="AP59" s="585">
        <f t="shared" si="95"/>
        <v>-89.999975815370306</v>
      </c>
      <c r="AQ59" s="586">
        <f t="shared" si="246"/>
        <v>0.68862094261409756</v>
      </c>
      <c r="AS59" s="52">
        <f t="shared" si="406"/>
        <v>-317.80000609292529</v>
      </c>
      <c r="AT59" s="72">
        <f t="shared" si="247"/>
        <v>-0.30405866037198676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6.218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0.11799999999999999</v>
      </c>
      <c r="II59" s="734" cm="1">
        <f t="array" ref="II59">IFERROR(IF($IH59&lt;1,$IH59+LARGE((IF($M$9:$M$150="",0,$M$9:$M$150)-MOD(IF($M$9:$M$150="",0,$M$9:$M$150),1)),1),$IH59),"")</f>
        <v>6.1180000000000003</v>
      </c>
      <c r="IJ59" s="533">
        <f t="shared" si="112"/>
        <v>1613</v>
      </c>
      <c r="IK59" s="533" t="str">
        <f>IF(ISNUMBER($II59),INDEX($K$9:$K$150,MATCH($IG59,$M$9:$M$150,0)),"")</f>
        <v>CPS-32193r1</v>
      </c>
      <c r="IL59" s="727">
        <f t="shared" si="225"/>
        <v>16.619997600369231</v>
      </c>
      <c r="IM59" s="759">
        <v>3.3040995167718801E-2</v>
      </c>
      <c r="IN59" s="5">
        <f t="shared" si="226"/>
        <v>1.1200000000000001</v>
      </c>
      <c r="IO59" s="771">
        <v>560</v>
      </c>
      <c r="IP59" s="9">
        <f t="shared" si="227"/>
        <v>-3.2963099416707844</v>
      </c>
      <c r="IQ59" s="5">
        <f t="shared" si="228"/>
        <v>-0.51800156229271188</v>
      </c>
      <c r="IR59" s="5">
        <f t="shared" si="383"/>
        <v>0.314</v>
      </c>
      <c r="IS59" s="5">
        <f t="shared" si="229"/>
        <v>0.30088248464623252</v>
      </c>
      <c r="IT59" s="727">
        <f t="shared" si="230"/>
        <v>58.643641876225878</v>
      </c>
      <c r="IU59" s="9">
        <f t="shared" si="231"/>
        <v>-3.3104088498970818</v>
      </c>
      <c r="IV59" s="5">
        <f t="shared" si="232"/>
        <v>-0.52527394230576363</v>
      </c>
      <c r="IW59" s="5">
        <f t="shared" si="384"/>
        <v>0.25700000000000001</v>
      </c>
      <c r="IX59" s="5">
        <f t="shared" si="233"/>
        <v>0.25700000000000001</v>
      </c>
      <c r="IY59" s="762">
        <f t="shared" si="234"/>
        <v>32.499995307581251</v>
      </c>
    </row>
    <row r="60" spans="1:259" ht="15" customHeight="1" x14ac:dyDescent="0.25">
      <c r="A60" s="79"/>
      <c r="B60" s="707">
        <v>-2.438758447645212</v>
      </c>
      <c r="C60" s="708">
        <v>2.70281890390297</v>
      </c>
      <c r="D60" s="709">
        <v>-1.2475537712374909</v>
      </c>
      <c r="E60" s="710">
        <v>-0.56106716848955107</v>
      </c>
      <c r="F60" s="708">
        <v>0.62181727148289678</v>
      </c>
      <c r="G60" s="711">
        <v>0.54639446678080783</v>
      </c>
      <c r="H60" s="710">
        <v>0.25700000000000001</v>
      </c>
      <c r="I60" s="708">
        <v>0.41499999999999992</v>
      </c>
      <c r="J60" s="570">
        <v>6.2240000000000002</v>
      </c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CPS-32193r1</v>
      </c>
      <c r="L60" s="320"/>
      <c r="M60" s="168">
        <f t="shared" si="239"/>
        <v>6.2240000000000002</v>
      </c>
      <c r="N60" s="632">
        <f t="shared" si="240"/>
        <v>-2.438758447645212</v>
      </c>
      <c r="O60" s="629">
        <f t="shared" si="241"/>
        <v>2.70281890390297</v>
      </c>
      <c r="P60" s="633">
        <f t="shared" si="242"/>
        <v>-1.2475537712374909</v>
      </c>
      <c r="Q60" s="585">
        <f t="shared" si="113"/>
        <v>132.05999392728819</v>
      </c>
      <c r="R60" s="629">
        <f t="shared" si="79"/>
        <v>3.6404357971616719</v>
      </c>
      <c r="S60" s="634">
        <f t="shared" si="80"/>
        <v>-1.2475537712374909</v>
      </c>
      <c r="T60" s="635">
        <f t="shared" si="81"/>
        <v>2.6706649897501982</v>
      </c>
      <c r="U60" s="629">
        <f t="shared" si="82"/>
        <v>2.4739283145998212</v>
      </c>
      <c r="V60" s="636">
        <f t="shared" si="114"/>
        <v>-1.2475537712374909</v>
      </c>
      <c r="W60" s="585">
        <f t="shared" si="224"/>
        <v>42.809993819001605</v>
      </c>
      <c r="X60" s="629">
        <f t="shared" si="83"/>
        <v>3.6404357971616719</v>
      </c>
      <c r="Y60" s="630">
        <f t="shared" si="223"/>
        <v>-1.2475537712374909</v>
      </c>
      <c r="Z60" s="632">
        <f t="shared" si="243"/>
        <v>0.56106716848955107</v>
      </c>
      <c r="AA60" s="629">
        <f t="shared" si="244"/>
        <v>-0.62181727148289678</v>
      </c>
      <c r="AB60" s="629">
        <f t="shared" si="245"/>
        <v>-0.54639446678080783</v>
      </c>
      <c r="AC60" s="636">
        <f t="shared" si="84"/>
        <v>1</v>
      </c>
      <c r="AD60" s="637">
        <f t="shared" si="115"/>
        <v>0.56106716848955107</v>
      </c>
      <c r="AE60" s="629">
        <f t="shared" si="85"/>
        <v>-0.62181727148289678</v>
      </c>
      <c r="AF60" s="633">
        <f t="shared" si="86"/>
        <v>-0.54639446678080783</v>
      </c>
      <c r="AG60" s="602">
        <f t="shared" si="87"/>
        <v>-48.694038388376875</v>
      </c>
      <c r="AH60" s="603">
        <f t="shared" si="88"/>
        <v>55.870368275417192</v>
      </c>
      <c r="AI60" s="585">
        <f t="shared" si="89"/>
        <v>-56.879991787546196</v>
      </c>
      <c r="AJ60" s="586">
        <f t="shared" si="90"/>
        <v>42.060009442460235</v>
      </c>
      <c r="AK60" s="635">
        <f t="shared" si="211"/>
        <v>2.2679489714017009E-7</v>
      </c>
      <c r="AL60" s="629">
        <f t="shared" si="91"/>
        <v>-0.83752796172501931</v>
      </c>
      <c r="AM60" s="634">
        <f t="shared" si="92"/>
        <v>-0.54639446678080783</v>
      </c>
      <c r="AN60" s="581">
        <f t="shared" si="93"/>
        <v>-56.879991787545244</v>
      </c>
      <c r="AO60" s="582">
        <f t="shared" si="461"/>
        <v>0</v>
      </c>
      <c r="AP60" s="585">
        <f t="shared" si="95"/>
        <v>-89.999984484827948</v>
      </c>
      <c r="AQ60" s="586">
        <f t="shared" si="246"/>
        <v>0.62619861704436652</v>
      </c>
      <c r="AS60" s="52">
        <f t="shared" si="406"/>
        <v>-317.19000618099841</v>
      </c>
      <c r="AT60" s="72">
        <f t="shared" si="247"/>
        <v>-1.0267621003536633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>Taper</v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6.2240000000000002</v>
      </c>
      <c r="IH60" s="731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>0.124</v>
      </c>
      <c r="II60" s="734" cm="1">
        <f t="array" ref="II60">IFERROR(IF($IH60&lt;1,$IH60+LARGE((IF($M$9:$M$150="",0,$M$9:$M$150)-MOD(IF($M$9:$M$150="",0,$M$9:$M$150),1)),1),$IH60),"")</f>
        <v>6.1239999999999997</v>
      </c>
      <c r="IJ60" s="533">
        <f t="shared" si="112"/>
        <v>1613</v>
      </c>
      <c r="IK60" s="533" t="str">
        <f t="shared" si="382"/>
        <v>CPS-32193r1</v>
      </c>
      <c r="IL60" s="727">
        <f t="shared" si="225"/>
        <v>15.46999776640871</v>
      </c>
      <c r="IM60" s="759">
        <v>1.25049072196183E-2</v>
      </c>
      <c r="IN60" s="5">
        <f t="shared" si="226"/>
        <v>1.4</v>
      </c>
      <c r="IO60" s="771">
        <v>700</v>
      </c>
      <c r="IP60" s="9">
        <f t="shared" si="227"/>
        <v>-3.6230109270009563</v>
      </c>
      <c r="IQ60" s="5">
        <f t="shared" si="228"/>
        <v>-1.2213036834519093</v>
      </c>
      <c r="IR60" s="5">
        <f t="shared" si="383"/>
        <v>0.314</v>
      </c>
      <c r="IS60" s="5">
        <f t="shared" si="229"/>
        <v>0.28786991242837234</v>
      </c>
      <c r="IT60" s="727">
        <f t="shared" si="230"/>
        <v>78.841373259177089</v>
      </c>
      <c r="IU60" s="9">
        <f t="shared" si="231"/>
        <v>-3.6404357971616719</v>
      </c>
      <c r="IV60" s="5">
        <f t="shared" si="232"/>
        <v>-1.2475537712374909</v>
      </c>
      <c r="IW60" s="5">
        <f t="shared" si="384"/>
        <v>0.25700000000000001</v>
      </c>
      <c r="IX60" s="5">
        <f t="shared" si="233"/>
        <v>0.25700000000000001</v>
      </c>
      <c r="IY60" s="762">
        <f t="shared" si="234"/>
        <v>56.879991787545244</v>
      </c>
    </row>
    <row r="61" spans="1:259" ht="15" customHeight="1" x14ac:dyDescent="0.25">
      <c r="A61" s="79"/>
      <c r="B61" s="707">
        <v>-2.485839717454073</v>
      </c>
      <c r="C61" s="708">
        <v>2.7443861564795933</v>
      </c>
      <c r="D61" s="709">
        <v>-2.0428478278957156</v>
      </c>
      <c r="E61" s="710">
        <v>-0.67133270221384711</v>
      </c>
      <c r="F61" s="708">
        <v>0.74115612588590463</v>
      </c>
      <c r="G61" s="711">
        <v>2.2679489669488252E-7</v>
      </c>
      <c r="H61" s="710">
        <v>0.25700000000000001</v>
      </c>
      <c r="I61" s="708">
        <v>0.41499999999999992</v>
      </c>
      <c r="J61" s="570">
        <v>6.23</v>
      </c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CPS-32193r1</v>
      </c>
      <c r="L61" s="320"/>
      <c r="M61" s="168">
        <f t="shared" si="239"/>
        <v>6.23</v>
      </c>
      <c r="N61" s="632">
        <f t="shared" si="240"/>
        <v>-2.485839717454073</v>
      </c>
      <c r="O61" s="629">
        <f t="shared" si="241"/>
        <v>2.7443861564795933</v>
      </c>
      <c r="P61" s="633">
        <f t="shared" si="242"/>
        <v>-2.0428478278957156</v>
      </c>
      <c r="Q61" s="585">
        <f t="shared" si="113"/>
        <v>132.16999391140618</v>
      </c>
      <c r="R61" s="629">
        <f t="shared" si="79"/>
        <v>3.7028441064604625</v>
      </c>
      <c r="S61" s="634">
        <f t="shared" si="80"/>
        <v>-2.0428478278957156</v>
      </c>
      <c r="T61" s="635">
        <f t="shared" si="81"/>
        <v>2.7116124064686695</v>
      </c>
      <c r="U61" s="629">
        <f t="shared" si="82"/>
        <v>2.5215496492899305</v>
      </c>
      <c r="V61" s="636">
        <f t="shared" si="114"/>
        <v>-2.0428478278957156</v>
      </c>
      <c r="W61" s="585">
        <f t="shared" si="224"/>
        <v>42.919993803119596</v>
      </c>
      <c r="X61" s="629">
        <f t="shared" si="83"/>
        <v>3.7028441064604625</v>
      </c>
      <c r="Y61" s="630">
        <f t="shared" si="223"/>
        <v>-2.0428478278957156</v>
      </c>
      <c r="Z61" s="632">
        <f t="shared" si="243"/>
        <v>0.67133270221384711</v>
      </c>
      <c r="AA61" s="629">
        <f t="shared" si="244"/>
        <v>-0.74115612588590463</v>
      </c>
      <c r="AB61" s="629">
        <f t="shared" si="245"/>
        <v>-2.2679489669488252E-7</v>
      </c>
      <c r="AC61" s="636">
        <f t="shared" si="84"/>
        <v>1.0000000000000002</v>
      </c>
      <c r="AD61" s="637">
        <f t="shared" si="115"/>
        <v>0.671332702213847</v>
      </c>
      <c r="AE61" s="629">
        <f t="shared" si="85"/>
        <v>-0.74115612588590452</v>
      </c>
      <c r="AF61" s="633">
        <f t="shared" si="86"/>
        <v>-2.2679489669488246E-7</v>
      </c>
      <c r="AG61" s="602">
        <f t="shared" si="87"/>
        <v>-89.99998246740472</v>
      </c>
      <c r="AH61" s="603">
        <f t="shared" si="88"/>
        <v>47.829993094204738</v>
      </c>
      <c r="AI61" s="585">
        <f t="shared" si="89"/>
        <v>-89.999987005609611</v>
      </c>
      <c r="AJ61" s="586">
        <f t="shared" si="90"/>
        <v>42.170006905796598</v>
      </c>
      <c r="AK61" s="635">
        <f t="shared" si="211"/>
        <v>2.2679489702914779E-7</v>
      </c>
      <c r="AL61" s="629">
        <f t="shared" si="91"/>
        <v>-0.99999999999994849</v>
      </c>
      <c r="AM61" s="634">
        <f t="shared" si="92"/>
        <v>-2.2679489669488246E-7</v>
      </c>
      <c r="AN61" s="581">
        <f t="shared" si="93"/>
        <v>-89.999987005609611</v>
      </c>
      <c r="AO61" s="582">
        <f t="shared" si="461"/>
        <v>0</v>
      </c>
      <c r="AP61" s="585">
        <f t="shared" si="95"/>
        <v>-89.999987005609597</v>
      </c>
      <c r="AQ61" s="586">
        <f t="shared" si="246"/>
        <v>0.61564538765322907</v>
      </c>
      <c r="AS61" s="52">
        <f t="shared" si="406"/>
        <v>-317.08000619688039</v>
      </c>
      <c r="AT61" s="72">
        <f t="shared" si="247"/>
        <v>-1.8221325458897477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>Taper</v>
      </c>
      <c r="IF61" s="533" t="str">
        <f>IFERROR(IF((((($IW61*COS(RADIANS(180-$IY61)))*COS(RADIANS($IY61)))-(($IX61*SIN(RADIANS(180-$IY61)))*SIN(RADIANS($IY61))))+$IU61)&lt;(((Settings!$C$19+$IF$8)/2)*-1),"Gage",""),"")</f>
        <v>Gage</v>
      </c>
      <c r="IG61" s="847">
        <f t="shared" si="210"/>
        <v>6.23</v>
      </c>
      <c r="IH61" s="731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>0.13</v>
      </c>
      <c r="II61" s="734" cm="1">
        <f t="array" ref="II61">IFERROR(IF($IH61&lt;1,$IH61+LARGE((IF($M$9:$M$150="",0,$M$9:$M$150)-MOD(IF($M$9:$M$150="",0,$M$9:$M$150),1)),1),$IH61),"")</f>
        <v>6.13</v>
      </c>
      <c r="IJ61" s="533">
        <f t="shared" si="112"/>
        <v>1613</v>
      </c>
      <c r="IK61" s="533" t="str">
        <f t="shared" si="382"/>
        <v>CPS-32193r1</v>
      </c>
      <c r="IL61" s="727">
        <f t="shared" si="225"/>
        <v>15.229997801060392</v>
      </c>
      <c r="IM61" s="759">
        <v>9.1131655656719198E-4</v>
      </c>
      <c r="IN61" s="5">
        <f t="shared" si="226"/>
        <v>0</v>
      </c>
      <c r="IO61" s="771">
        <v>0</v>
      </c>
      <c r="IP61" s="9">
        <f t="shared" si="227"/>
        <v>-3.6992111568208492</v>
      </c>
      <c r="IQ61" s="5">
        <f t="shared" si="228"/>
        <v>-1.9989060287005826</v>
      </c>
      <c r="IR61" s="5">
        <f t="shared" si="383"/>
        <v>0.314</v>
      </c>
      <c r="IS61" s="5">
        <f t="shared" si="229"/>
        <v>0.27193198865724588</v>
      </c>
      <c r="IT61" s="727">
        <f t="shared" si="230"/>
        <v>89.999987005609597</v>
      </c>
      <c r="IU61" s="9">
        <f t="shared" si="231"/>
        <v>-3.7028441064604625</v>
      </c>
      <c r="IV61" s="5">
        <f t="shared" si="232"/>
        <v>-2.0428478278957156</v>
      </c>
      <c r="IW61" s="5">
        <f t="shared" si="384"/>
        <v>0.25700000000000001</v>
      </c>
      <c r="IX61" s="5">
        <f t="shared" si="233"/>
        <v>0.25700000000000001</v>
      </c>
      <c r="IY61" s="762">
        <f t="shared" si="234"/>
        <v>89.999987005609611</v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 t="shared" si="464"/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542"/>
        <v/>
      </c>
      <c r="IK83" s="533" t="str">
        <f t="shared" si="517"/>
        <v/>
      </c>
      <c r="IL83" s="727" t="str">
        <f t="shared" si="647"/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5.3503723084143327E-2</v>
      </c>
      <c r="G154" s="170">
        <f t="shared" si="929"/>
        <v>-0.33780926224850871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4.0488207353615073E-2</v>
      </c>
      <c r="G155" s="170">
        <f t="shared" si="929"/>
        <v>-0.2556325180283171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0.96585737235346603</v>
      </c>
      <c r="F156" s="170">
        <f t="shared" si="929"/>
        <v>2.6537085139240298E-2</v>
      </c>
      <c r="G156" s="170">
        <f t="shared" si="929"/>
        <v>-0.25771169818766632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0.9624653443631872</v>
      </c>
      <c r="F157" s="170">
        <f t="shared" si="929"/>
        <v>-9.8907048659418836E-2</v>
      </c>
      <c r="G157" s="170">
        <f t="shared" si="929"/>
        <v>-0.2527406904820334</v>
      </c>
      <c r="H157" s="139"/>
      <c r="I157" s="86"/>
      <c r="J157" s="79">
        <f t="shared" si="930"/>
        <v>1.111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0.95150910621390672</v>
      </c>
      <c r="F158" s="170">
        <f t="shared" si="929"/>
        <v>-0.25693569580679931</v>
      </c>
      <c r="G158" s="170">
        <f t="shared" si="929"/>
        <v>-0.16915811837534805</v>
      </c>
      <c r="H158" s="139"/>
      <c r="I158" s="86"/>
      <c r="J158" s="79">
        <f t="shared" si="930"/>
        <v>1.117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0.9129424451845467</v>
      </c>
      <c r="F159" s="170">
        <f t="shared" si="929"/>
        <v>-0.39895395197808481</v>
      </c>
      <c r="G159" s="170">
        <f t="shared" si="929"/>
        <v>-8.5859396582605732E-2</v>
      </c>
      <c r="H159" s="139"/>
      <c r="I159" s="86"/>
      <c r="J159" s="79">
        <f t="shared" si="930"/>
        <v>1.123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0.84245244126724683</v>
      </c>
      <c r="F160" s="170">
        <f t="shared" si="929"/>
        <v>-0.53877071579925662</v>
      </c>
      <c r="G160" s="170">
        <f t="shared" si="929"/>
        <v>-1.1339743350155978E-7</v>
      </c>
      <c r="H160" s="139"/>
      <c r="I160" s="86"/>
      <c r="J160" s="79">
        <f t="shared" si="930"/>
        <v>1.129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0.85219289155250488</v>
      </c>
      <c r="F161" s="170">
        <f t="shared" si="929"/>
        <v>-0.40147268039528633</v>
      </c>
      <c r="G161" s="170">
        <f t="shared" si="929"/>
        <v>-0.33553980759904639</v>
      </c>
      <c r="H161" s="139"/>
      <c r="I161" s="86"/>
      <c r="J161" s="79">
        <f t="shared" si="930"/>
        <v>1.2110000000000001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0.81196221375326583</v>
      </c>
      <c r="F162" s="170">
        <f t="shared" si="929"/>
        <v>-0.53127401167072941</v>
      </c>
      <c r="G162" s="170">
        <f t="shared" si="929"/>
        <v>-0.24179596349026516</v>
      </c>
      <c r="H162" s="139"/>
      <c r="I162" s="86"/>
      <c r="J162" s="79">
        <f t="shared" si="930"/>
        <v>1.2170000000000001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-0.24551234693481855</v>
      </c>
      <c r="F163" s="170">
        <f t="shared" si="929"/>
        <v>-0.75785985843809101</v>
      </c>
      <c r="G163" s="170">
        <f t="shared" si="929"/>
        <v>-0.60446019097270098</v>
      </c>
      <c r="H163" s="139"/>
      <c r="I163" s="86"/>
      <c r="J163" s="79">
        <f t="shared" si="930"/>
        <v>1.2230000000000001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-0.30619353814621392</v>
      </c>
      <c r="F164" s="170">
        <f t="shared" si="929"/>
        <v>-0.95196928374682954</v>
      </c>
      <c r="G164" s="170">
        <f t="shared" si="929"/>
        <v>-2.2679489676756236E-7</v>
      </c>
      <c r="H164" s="139"/>
      <c r="I164" s="86"/>
      <c r="J164" s="79">
        <f t="shared" si="930"/>
        <v>1.2290000000000001</v>
      </c>
    </row>
    <row r="165" spans="5:16" x14ac:dyDescent="0.25">
      <c r="E165" s="170">
        <f t="shared" si="929"/>
        <v>0.4961146321050971</v>
      </c>
      <c r="F165" s="170">
        <f t="shared" si="929"/>
        <v>-0.82892534101669657</v>
      </c>
      <c r="G165" s="170">
        <f t="shared" si="929"/>
        <v>-0.25836611780877439</v>
      </c>
      <c r="H165" s="139"/>
      <c r="I165" s="86"/>
      <c r="J165" s="79">
        <f t="shared" si="930"/>
        <v>2.11</v>
      </c>
    </row>
    <row r="166" spans="5:16" x14ac:dyDescent="0.25">
      <c r="E166" s="170">
        <f t="shared" si="929"/>
        <v>0.35457022487271445</v>
      </c>
      <c r="F166" s="170">
        <f t="shared" si="929"/>
        <v>-0.91591287755319717</v>
      </c>
      <c r="G166" s="170">
        <f t="shared" si="929"/>
        <v>-0.18810517368199864</v>
      </c>
      <c r="H166" s="139"/>
      <c r="I166" s="86"/>
      <c r="J166" s="79">
        <f t="shared" si="930"/>
        <v>2.1160000000000001</v>
      </c>
    </row>
    <row r="167" spans="5:16" x14ac:dyDescent="0.25">
      <c r="E167" s="170">
        <f t="shared" si="929"/>
        <v>0.23240418268465737</v>
      </c>
      <c r="F167" s="170">
        <f t="shared" si="929"/>
        <v>-0.96827098142192758</v>
      </c>
      <c r="G167" s="170">
        <f t="shared" si="929"/>
        <v>-9.1867308695170444E-2</v>
      </c>
      <c r="H167" s="139"/>
      <c r="I167" s="86"/>
      <c r="J167" s="79">
        <f t="shared" si="930"/>
        <v>2.1219999999999999</v>
      </c>
    </row>
    <row r="168" spans="5:16" x14ac:dyDescent="0.25">
      <c r="E168" s="170">
        <f t="shared" si="929"/>
        <v>4.1874967898765054E-2</v>
      </c>
      <c r="F168" s="170">
        <f t="shared" si="929"/>
        <v>-0.99912285884342811</v>
      </c>
      <c r="G168" s="170">
        <f t="shared" si="929"/>
        <v>-1.1339743337551405E-7</v>
      </c>
      <c r="H168" s="139"/>
      <c r="I168" s="86"/>
      <c r="J168" s="79">
        <f t="shared" si="930"/>
        <v>2.1280000000000001</v>
      </c>
    </row>
    <row r="169" spans="5:16" x14ac:dyDescent="0.25">
      <c r="E169" s="170">
        <f t="shared" si="929"/>
        <v>-0.39691476401985548</v>
      </c>
      <c r="F169" s="170">
        <f t="shared" si="929"/>
        <v>-0.1133637145524201</v>
      </c>
      <c r="G169" s="170">
        <f t="shared" si="929"/>
        <v>-0.91082783133034528</v>
      </c>
      <c r="H169" s="139"/>
      <c r="I169" s="86"/>
      <c r="J169" s="79">
        <f t="shared" si="930"/>
        <v>2.2160000000000002</v>
      </c>
    </row>
    <row r="170" spans="5:16" x14ac:dyDescent="0.25">
      <c r="E170" s="170">
        <f t="shared" si="929"/>
        <v>-0.7190263530587605</v>
      </c>
      <c r="F170" s="170">
        <f t="shared" si="929"/>
        <v>-0.21969086899733536</v>
      </c>
      <c r="G170" s="170">
        <f t="shared" si="929"/>
        <v>-0.65934590746148902</v>
      </c>
      <c r="H170" s="139"/>
      <c r="I170" s="86"/>
      <c r="J170" s="79">
        <f t="shared" si="930"/>
        <v>2.222</v>
      </c>
    </row>
    <row r="171" spans="5:16" x14ac:dyDescent="0.25">
      <c r="E171" s="170">
        <f t="shared" si="929"/>
        <v>-0.95543321021671368</v>
      </c>
      <c r="F171" s="170">
        <f t="shared" si="929"/>
        <v>-0.29520735223725975</v>
      </c>
      <c r="G171" s="170">
        <f t="shared" si="929"/>
        <v>-2.2679489626786057E-7</v>
      </c>
      <c r="H171" s="139"/>
      <c r="I171" s="86"/>
      <c r="J171" s="79">
        <f t="shared" si="930"/>
        <v>2.2280000000000002</v>
      </c>
      <c r="O171" t="str">
        <f>IF($J24="","",IFERROR(INDEX(_xlfn.ANCHORARRAY(Settings!$BC$14),MATCH(IFERROR(INDEX(Settings!$AK$14:$AK$32,MATCH((((ROUND($H24,6)*2)*1000000)+ROUND($I24,6)),Settings!$AI$14:$AI$32,0)),"Undefined"),_xlfn.ANCHORARRAY(Settings!$BC$14),0)),"Inactive"))</f>
        <v>CPS-32193r1</v>
      </c>
    </row>
    <row r="172" spans="5:16" x14ac:dyDescent="0.25">
      <c r="E172" s="170">
        <f t="shared" si="929"/>
        <v>-0.44789962007113937</v>
      </c>
      <c r="F172" s="170">
        <f t="shared" si="929"/>
        <v>-0.8567601450036243</v>
      </c>
      <c r="G172" s="170">
        <f t="shared" si="929"/>
        <v>-0.25563251802831716</v>
      </c>
      <c r="H172" s="139"/>
      <c r="I172" s="86"/>
      <c r="J172" s="79">
        <f t="shared" si="930"/>
        <v>3.1030000000000002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-0.4478996200711392</v>
      </c>
      <c r="F173" s="170">
        <f t="shared" si="929"/>
        <v>-0.8567601450036243</v>
      </c>
      <c r="G173" s="170">
        <f t="shared" si="929"/>
        <v>-0.2556325180283171</v>
      </c>
      <c r="H173" s="139"/>
      <c r="I173" s="86"/>
      <c r="J173" s="79">
        <f t="shared" si="930"/>
        <v>3.1059999999999999</v>
      </c>
      <c r="O173" t="str">
        <f>IF($J24="","",IFERROR(INDEX(Settings!$AK$14:$AK$32,MATCH((((ROUND($H24,6)*2)*1000000)+ROUND($I24,6)),Settings!$AI$14:$AI$32,0)),"Undefined"))</f>
        <v>CPS-32193r1</v>
      </c>
    </row>
    <row r="174" spans="5:16" x14ac:dyDescent="0.25">
      <c r="E174" s="170">
        <f t="shared" ref="E174:G193" si="933">E29*-1</f>
        <v>-0.51416318290570662</v>
      </c>
      <c r="F174" s="170">
        <f t="shared" si="933"/>
        <v>-0.81681947327619397</v>
      </c>
      <c r="G174" s="170">
        <f t="shared" si="933"/>
        <v>-0.26161454359624964</v>
      </c>
      <c r="H174" s="139"/>
      <c r="I174" s="86"/>
      <c r="J174" s="79">
        <f t="shared" si="930"/>
        <v>3.109</v>
      </c>
    </row>
    <row r="175" spans="5:16" x14ac:dyDescent="0.25">
      <c r="E175" s="170">
        <f t="shared" si="933"/>
        <v>-0.66042378796476342</v>
      </c>
      <c r="F175" s="170">
        <f t="shared" si="933"/>
        <v>-0.72226139087127417</v>
      </c>
      <c r="G175" s="170">
        <f t="shared" si="933"/>
        <v>-0.20537503145943944</v>
      </c>
      <c r="H175" s="139"/>
      <c r="I175" s="86"/>
      <c r="J175" s="79">
        <f t="shared" si="930"/>
        <v>3.1150000000000002</v>
      </c>
    </row>
    <row r="176" spans="5:16" x14ac:dyDescent="0.25">
      <c r="E176" s="170">
        <f t="shared" si="933"/>
        <v>-0.76325003057120266</v>
      </c>
      <c r="F176" s="170">
        <f t="shared" si="933"/>
        <v>-0.637381659681725</v>
      </c>
      <c r="G176" s="170">
        <f t="shared" si="933"/>
        <v>-0.10580175203855577</v>
      </c>
      <c r="H176" s="139"/>
      <c r="I176" s="86"/>
      <c r="J176" s="79">
        <f t="shared" si="930"/>
        <v>3.121</v>
      </c>
    </row>
    <row r="177" spans="5:10" x14ac:dyDescent="0.25">
      <c r="E177" s="170">
        <f t="shared" si="933"/>
        <v>-0.88781562565335437</v>
      </c>
      <c r="F177" s="170">
        <f t="shared" si="933"/>
        <v>-0.46019932077930126</v>
      </c>
      <c r="G177" s="170">
        <f t="shared" si="933"/>
        <v>-1.1339743360043036E-7</v>
      </c>
      <c r="H177" s="139"/>
      <c r="I177" s="86"/>
      <c r="J177" s="79">
        <f t="shared" si="930"/>
        <v>3.1269999999999998</v>
      </c>
    </row>
    <row r="178" spans="5:10" x14ac:dyDescent="0.25">
      <c r="E178" s="170">
        <f t="shared" si="933"/>
        <v>-0.74480469854538722</v>
      </c>
      <c r="F178" s="170">
        <f t="shared" si="933"/>
        <v>-0.57150340106206987</v>
      </c>
      <c r="G178" s="170">
        <f t="shared" si="933"/>
        <v>-0.34445583693588605</v>
      </c>
      <c r="H178" s="139"/>
      <c r="I178" s="86"/>
      <c r="J178" s="79">
        <f t="shared" si="930"/>
        <v>3.2090000000000001</v>
      </c>
    </row>
    <row r="179" spans="5:10" x14ac:dyDescent="0.25">
      <c r="E179" s="170">
        <f t="shared" si="933"/>
        <v>-0.83676241197156798</v>
      </c>
      <c r="F179" s="170">
        <f t="shared" si="933"/>
        <v>-0.46877508411434737</v>
      </c>
      <c r="G179" s="170">
        <f t="shared" si="933"/>
        <v>-0.28298160085968604</v>
      </c>
      <c r="H179" s="139"/>
      <c r="I179" s="86"/>
      <c r="J179" s="79">
        <f t="shared" si="930"/>
        <v>3.2149999999999999</v>
      </c>
    </row>
    <row r="180" spans="5:10" x14ac:dyDescent="0.25">
      <c r="E180" s="170">
        <f t="shared" si="933"/>
        <v>-0.46966684745318887</v>
      </c>
      <c r="F180" s="170">
        <f t="shared" si="933"/>
        <v>0.52345250472483051</v>
      </c>
      <c r="G180" s="170">
        <f t="shared" si="933"/>
        <v>-0.71092230778101517</v>
      </c>
      <c r="H180" s="139"/>
      <c r="I180" s="86"/>
      <c r="J180" s="79">
        <f t="shared" si="930"/>
        <v>3.2210000000000001</v>
      </c>
    </row>
    <row r="181" spans="5:10" x14ac:dyDescent="0.25">
      <c r="E181" s="170">
        <f t="shared" si="933"/>
        <v>-0.6713323660329239</v>
      </c>
      <c r="F181" s="170">
        <f t="shared" si="933"/>
        <v>0.74115643039549017</v>
      </c>
      <c r="G181" s="170">
        <f t="shared" si="933"/>
        <v>-2.2679489724051441E-7</v>
      </c>
      <c r="H181" s="139"/>
      <c r="I181" s="86"/>
      <c r="J181" s="79">
        <f t="shared" si="930"/>
        <v>3.2269999999999999</v>
      </c>
    </row>
    <row r="182" spans="5:10" x14ac:dyDescent="0.25">
      <c r="E182" s="170">
        <f t="shared" si="933"/>
        <v>-0.95764495211882494</v>
      </c>
      <c r="F182" s="170">
        <f t="shared" si="933"/>
        <v>0.18504815600233965</v>
      </c>
      <c r="G182" s="170">
        <f t="shared" si="933"/>
        <v>-0.22062032010099875</v>
      </c>
      <c r="H182" s="139"/>
      <c r="I182" s="86"/>
      <c r="J182" s="79">
        <f t="shared" si="930"/>
        <v>4.1139999999999999</v>
      </c>
    </row>
    <row r="183" spans="5:10" x14ac:dyDescent="0.25">
      <c r="E183" s="170">
        <f t="shared" si="933"/>
        <v>-0.94063553501285213</v>
      </c>
      <c r="F183" s="170">
        <f t="shared" si="933"/>
        <v>0.31839937346958724</v>
      </c>
      <c r="G183" s="170">
        <f t="shared" si="933"/>
        <v>-0.11758668821452456</v>
      </c>
      <c r="H183" s="139"/>
      <c r="I183" s="86"/>
      <c r="J183" s="79">
        <f t="shared" si="930"/>
        <v>4.12</v>
      </c>
    </row>
    <row r="184" spans="5:10" x14ac:dyDescent="0.25">
      <c r="E184" s="170">
        <f t="shared" si="933"/>
        <v>-0.86793208838050118</v>
      </c>
      <c r="F184" s="170">
        <f t="shared" si="933"/>
        <v>0.49445311784956036</v>
      </c>
      <c r="G184" s="170">
        <f t="shared" si="933"/>
        <v>-4.7010681853284421E-2</v>
      </c>
      <c r="H184" s="139"/>
      <c r="I184" s="86"/>
      <c r="J184" s="79">
        <f t="shared" si="930"/>
        <v>4.1260000000000003</v>
      </c>
    </row>
    <row r="185" spans="5:10" x14ac:dyDescent="0.25">
      <c r="E185" s="170">
        <f t="shared" si="933"/>
        <v>-0.84245219688626249</v>
      </c>
      <c r="F185" s="170">
        <f t="shared" si="933"/>
        <v>0.53877109792702993</v>
      </c>
      <c r="G185" s="170">
        <f t="shared" si="933"/>
        <v>-1.1339743352177467E-7</v>
      </c>
      <c r="H185" s="139"/>
      <c r="I185" s="86"/>
      <c r="J185" s="79">
        <f t="shared" si="930"/>
        <v>4.1319999999999997</v>
      </c>
    </row>
    <row r="186" spans="5:10" x14ac:dyDescent="0.25">
      <c r="E186" s="170">
        <f t="shared" si="933"/>
        <v>0.20359958449721696</v>
      </c>
      <c r="F186" s="170">
        <f t="shared" si="933"/>
        <v>0.61852378036100342</v>
      </c>
      <c r="G186" s="170">
        <f t="shared" si="933"/>
        <v>-0.75893052535821359</v>
      </c>
      <c r="H186" s="139"/>
      <c r="I186" s="86"/>
      <c r="J186" s="79">
        <f t="shared" si="930"/>
        <v>4.22</v>
      </c>
    </row>
    <row r="187" spans="5:10" x14ac:dyDescent="0.25">
      <c r="E187" s="170">
        <f t="shared" si="933"/>
        <v>0.27886084169909892</v>
      </c>
      <c r="F187" s="170">
        <f t="shared" si="933"/>
        <v>0.86234002013989564</v>
      </c>
      <c r="G187" s="170">
        <f t="shared" si="933"/>
        <v>-0.4226184101905579</v>
      </c>
      <c r="H187" s="139"/>
      <c r="I187" s="86"/>
      <c r="J187" s="79">
        <f t="shared" si="930"/>
        <v>4.226</v>
      </c>
    </row>
    <row r="188" spans="5:10" x14ac:dyDescent="0.25">
      <c r="E188" s="170">
        <f t="shared" si="933"/>
        <v>0.30619396994973325</v>
      </c>
      <c r="F188" s="170">
        <f t="shared" si="933"/>
        <v>0.95196914486046791</v>
      </c>
      <c r="G188" s="170">
        <f t="shared" si="933"/>
        <v>-2.2679489715421549E-7</v>
      </c>
      <c r="H188" s="139"/>
      <c r="I188" s="86"/>
      <c r="J188" s="79">
        <f t="shared" si="930"/>
        <v>4.2320000000000002</v>
      </c>
    </row>
    <row r="189" spans="5:10" x14ac:dyDescent="0.25">
      <c r="E189" s="170">
        <f t="shared" si="933"/>
        <v>-0.44569134755993661</v>
      </c>
      <c r="F189" s="170">
        <f t="shared" si="933"/>
        <v>0.84448096552822827</v>
      </c>
      <c r="G189" s="170">
        <f t="shared" si="933"/>
        <v>-0.29700357164640173</v>
      </c>
      <c r="H189" s="139"/>
      <c r="I189" s="86"/>
      <c r="J189" s="79">
        <f t="shared" si="930"/>
        <v>5.1020000000000003</v>
      </c>
    </row>
    <row r="190" spans="5:10" x14ac:dyDescent="0.25">
      <c r="E190" s="170">
        <f t="shared" si="933"/>
        <v>-0.44491242668488051</v>
      </c>
      <c r="F190" s="170">
        <f t="shared" si="933"/>
        <v>0.8583151800521025</v>
      </c>
      <c r="G190" s="170">
        <f t="shared" si="933"/>
        <v>-0.25563251802831716</v>
      </c>
      <c r="H190" s="139"/>
      <c r="I190" s="86"/>
      <c r="J190" s="79">
        <f t="shared" si="930"/>
        <v>5.1050000000000004</v>
      </c>
    </row>
    <row r="191" spans="5:10" x14ac:dyDescent="0.25">
      <c r="E191" s="170">
        <f t="shared" si="933"/>
        <v>-0.41337381657229227</v>
      </c>
      <c r="F191" s="170">
        <f t="shared" si="933"/>
        <v>0.87251932684851241</v>
      </c>
      <c r="G191" s="170">
        <f t="shared" si="933"/>
        <v>-0.26044598681545406</v>
      </c>
      <c r="H191" s="139"/>
      <c r="I191" s="86"/>
      <c r="J191" s="79">
        <f t="shared" si="930"/>
        <v>5.1079999999999997</v>
      </c>
    </row>
    <row r="192" spans="5:10" x14ac:dyDescent="0.25">
      <c r="E192" s="170">
        <f t="shared" si="933"/>
        <v>-0.26283200595713169</v>
      </c>
      <c r="F192" s="170">
        <f t="shared" si="933"/>
        <v>0.93610116985313718</v>
      </c>
      <c r="G192" s="170">
        <f t="shared" si="933"/>
        <v>-0.2337390349174446</v>
      </c>
      <c r="H192" s="139"/>
      <c r="I192" s="86"/>
      <c r="J192" s="79">
        <f t="shared" si="930"/>
        <v>5.1130000000000004</v>
      </c>
    </row>
    <row r="193" spans="5:10" x14ac:dyDescent="0.25">
      <c r="E193" s="170">
        <f t="shared" si="933"/>
        <v>-0.13457983848249408</v>
      </c>
      <c r="F193" s="170">
        <f t="shared" si="933"/>
        <v>0.98267960107720198</v>
      </c>
      <c r="G193" s="170">
        <f t="shared" si="933"/>
        <v>-0.12739336207501953</v>
      </c>
      <c r="H193" s="139"/>
      <c r="I193" s="86"/>
      <c r="J193" s="79">
        <f t="shared" si="930"/>
        <v>5.1189999999999998</v>
      </c>
    </row>
    <row r="194" spans="5:10" x14ac:dyDescent="0.25">
      <c r="E194" s="170">
        <f t="shared" ref="E194:G213" si="934">E49*-1</f>
        <v>4.5943155493340743E-2</v>
      </c>
      <c r="F194" s="170">
        <f t="shared" si="934"/>
        <v>0.99686121112989701</v>
      </c>
      <c r="G194" s="170">
        <f t="shared" si="934"/>
        <v>-6.447443065238849E-2</v>
      </c>
      <c r="H194" s="139"/>
      <c r="I194" s="86"/>
      <c r="J194" s="79">
        <f t="shared" si="930"/>
        <v>5.125</v>
      </c>
    </row>
    <row r="195" spans="5:10" x14ac:dyDescent="0.25">
      <c r="E195" s="170">
        <f t="shared" si="934"/>
        <v>0.13225659607640086</v>
      </c>
      <c r="F195" s="170">
        <f t="shared" si="934"/>
        <v>0.9912155127893586</v>
      </c>
      <c r="G195" s="170">
        <f t="shared" si="934"/>
        <v>-1.1339743351956823E-7</v>
      </c>
      <c r="H195" s="139"/>
      <c r="I195" s="86"/>
      <c r="J195" s="79">
        <f t="shared" si="930"/>
        <v>5.1310000000000002</v>
      </c>
    </row>
    <row r="196" spans="5:10" x14ac:dyDescent="0.25">
      <c r="E196" s="170">
        <f t="shared" si="934"/>
        <v>4.9976189557595974E-2</v>
      </c>
      <c r="F196" s="170">
        <f t="shared" si="934"/>
        <v>0.94785522577946357</v>
      </c>
      <c r="G196" s="170">
        <f t="shared" si="934"/>
        <v>-0.31475840169861313</v>
      </c>
      <c r="H196" s="139"/>
      <c r="I196" s="86"/>
      <c r="J196" s="79">
        <f t="shared" si="930"/>
        <v>5.2130000000000001</v>
      </c>
    </row>
    <row r="197" spans="5:10" x14ac:dyDescent="0.25">
      <c r="E197" s="170">
        <f t="shared" si="934"/>
        <v>0.17405834319868155</v>
      </c>
      <c r="F197" s="170">
        <f t="shared" si="934"/>
        <v>0.96550925234005369</v>
      </c>
      <c r="G197" s="170">
        <f t="shared" si="934"/>
        <v>-0.19363774634270203</v>
      </c>
      <c r="H197" s="139"/>
      <c r="I197" s="86"/>
      <c r="J197" s="79">
        <f t="shared" si="930"/>
        <v>5.2190000000000003</v>
      </c>
    </row>
    <row r="198" spans="5:10" x14ac:dyDescent="0.25">
      <c r="E198" s="170">
        <f t="shared" si="934"/>
        <v>0.8674651705255132</v>
      </c>
      <c r="F198" s="170">
        <f t="shared" si="934"/>
        <v>0.10758729143895651</v>
      </c>
      <c r="G198" s="170">
        <f t="shared" si="934"/>
        <v>-0.48572538810110744</v>
      </c>
      <c r="H198" s="139"/>
      <c r="I198" s="86"/>
      <c r="J198" s="79">
        <f t="shared" si="930"/>
        <v>5.2249999999999996</v>
      </c>
    </row>
    <row r="199" spans="5:10" x14ac:dyDescent="0.25">
      <c r="E199" s="170">
        <f t="shared" si="934"/>
        <v>0.99218019189728757</v>
      </c>
      <c r="F199" s="170">
        <f t="shared" si="934"/>
        <v>0.12481372843806218</v>
      </c>
      <c r="G199" s="170">
        <f t="shared" si="934"/>
        <v>-2.2679489690660965E-7</v>
      </c>
      <c r="H199" s="139"/>
      <c r="I199" s="86"/>
      <c r="J199" s="79">
        <f t="shared" si="930"/>
        <v>5.2309999999999999</v>
      </c>
    </row>
    <row r="200" spans="5:10" x14ac:dyDescent="0.25">
      <c r="E200" s="170">
        <f t="shared" si="934"/>
        <v>0.5920352470922704</v>
      </c>
      <c r="F200" s="170">
        <f t="shared" si="934"/>
        <v>0.76793704901076865</v>
      </c>
      <c r="G200" s="170">
        <f t="shared" si="934"/>
        <v>-0.2444728102612363</v>
      </c>
      <c r="H200" s="139"/>
      <c r="I200" s="86"/>
      <c r="J200" s="79">
        <f t="shared" si="930"/>
        <v>6.1120000000000001</v>
      </c>
    </row>
    <row r="201" spans="5:10" x14ac:dyDescent="0.25">
      <c r="E201" s="170">
        <f t="shared" si="934"/>
        <v>0.7140768820586223</v>
      </c>
      <c r="F201" s="170">
        <f t="shared" si="934"/>
        <v>0.68406382755850559</v>
      </c>
      <c r="G201" s="170">
        <f t="shared" si="934"/>
        <v>-0.14883173833374319</v>
      </c>
      <c r="H201" s="139"/>
      <c r="I201" s="86"/>
      <c r="J201" s="79">
        <f t="shared" si="930"/>
        <v>6.1180000000000003</v>
      </c>
    </row>
    <row r="202" spans="5:10" x14ac:dyDescent="0.25">
      <c r="E202" s="170">
        <f t="shared" si="934"/>
        <v>0.82276287869484599</v>
      </c>
      <c r="F202" s="170">
        <f t="shared" si="934"/>
        <v>0.56310503549259483</v>
      </c>
      <c r="G202" s="170">
        <f t="shared" si="934"/>
        <v>-7.7291425427752775E-2</v>
      </c>
      <c r="H202" s="139"/>
      <c r="I202" s="86"/>
      <c r="J202" s="79">
        <f t="shared" si="930"/>
        <v>6.1239999999999997</v>
      </c>
    </row>
    <row r="203" spans="5:10" x14ac:dyDescent="0.25">
      <c r="E203" s="170">
        <f t="shared" si="934"/>
        <v>0.88781541691154808</v>
      </c>
      <c r="F203" s="170">
        <f t="shared" si="934"/>
        <v>0.46019972348336019</v>
      </c>
      <c r="G203" s="170">
        <f t="shared" si="934"/>
        <v>-1.1339743363321423E-7</v>
      </c>
      <c r="H203" s="139"/>
      <c r="I203" s="86"/>
      <c r="J203" s="79">
        <f t="shared" si="930"/>
        <v>6.13</v>
      </c>
    </row>
    <row r="204" spans="5:10" x14ac:dyDescent="0.25">
      <c r="E204" s="170">
        <f t="shared" si="934"/>
        <v>0.355674266943724</v>
      </c>
      <c r="F204" s="170">
        <f t="shared" si="934"/>
        <v>-0.40272398828328659</v>
      </c>
      <c r="G204" s="170">
        <f t="shared" si="934"/>
        <v>-0.84339148981670897</v>
      </c>
      <c r="H204" s="139"/>
      <c r="I204" s="86"/>
      <c r="J204" s="79">
        <f t="shared" si="930"/>
        <v>6.218</v>
      </c>
    </row>
    <row r="205" spans="5:10" x14ac:dyDescent="0.25">
      <c r="E205" s="170">
        <f t="shared" si="934"/>
        <v>0.56106716848955107</v>
      </c>
      <c r="F205" s="170">
        <f t="shared" si="934"/>
        <v>-0.62181727148289678</v>
      </c>
      <c r="G205" s="170">
        <f t="shared" si="934"/>
        <v>-0.54639446678080783</v>
      </c>
      <c r="H205" s="139"/>
      <c r="I205" s="86"/>
      <c r="J205" s="79">
        <f t="shared" si="930"/>
        <v>6.2240000000000002</v>
      </c>
    </row>
    <row r="206" spans="5:10" x14ac:dyDescent="0.25">
      <c r="E206" s="170">
        <f t="shared" si="934"/>
        <v>0.67133270221384711</v>
      </c>
      <c r="F206" s="170">
        <f t="shared" si="934"/>
        <v>-0.74115612588590463</v>
      </c>
      <c r="G206" s="170">
        <f t="shared" si="934"/>
        <v>-2.2679489669488252E-7</v>
      </c>
      <c r="H206" s="139"/>
      <c r="I206" s="86"/>
      <c r="J206" s="79">
        <f t="shared" si="930"/>
        <v>6.23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FD5:FF5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DB2D26-1323-434C-8517-A3C1445F83D5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17A0B1B9-AEAF-47D8-89A1-E4246FF5ADC6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227" t="str">
        <f>CONCATENATE(Settings!$C$19," ",Settings!$B$28)</f>
        <v>7.875  Job# --- Assy# --- Post Braze --- yy.mm.dd</v>
      </c>
      <c r="D1" s="1227"/>
      <c r="E1" s="1227"/>
      <c r="F1" s="1227"/>
      <c r="G1" s="1227"/>
      <c r="H1" s="1227"/>
      <c r="I1" s="1227"/>
      <c r="J1" s="1227"/>
      <c r="K1" s="1227"/>
      <c r="M1" s="107" t="s">
        <v>319</v>
      </c>
      <c r="N1" s="1259" t="s">
        <v>321</v>
      </c>
      <c r="O1" s="125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268" t="str">
        <f>Settings!B28</f>
        <v xml:space="preserve"> Job# --- Assy# --- Post Braze --- yy.mm.dd</v>
      </c>
      <c r="C2" s="1269"/>
      <c r="D2" s="1269"/>
      <c r="E2" s="1269"/>
      <c r="F2" s="1269"/>
      <c r="G2" s="1269"/>
      <c r="H2" s="1269"/>
      <c r="I2" s="1269"/>
      <c r="J2" s="1269"/>
      <c r="K2" s="1270"/>
      <c r="L2" s="985" t="str" cm="1">
        <f t="array" ref="L2">IF(OR($K$9:$K$150="Undefined"),"Undefined Element","")</f>
        <v/>
      </c>
      <c r="M2" s="1265" t="s">
        <v>0</v>
      </c>
      <c r="N2" s="1140" t="s">
        <v>1</v>
      </c>
      <c r="O2" s="1141"/>
      <c r="P2" s="1141"/>
      <c r="Q2" s="1141"/>
      <c r="R2" s="1141"/>
      <c r="S2" s="1141"/>
      <c r="T2" s="1141"/>
      <c r="U2" s="1141"/>
      <c r="V2" s="1141"/>
      <c r="W2" s="1141"/>
      <c r="X2" s="1141"/>
      <c r="Y2" s="1153"/>
      <c r="Z2" s="1140" t="s">
        <v>2</v>
      </c>
      <c r="AA2" s="1141"/>
      <c r="AB2" s="1141"/>
      <c r="AC2" s="1141"/>
      <c r="AD2" s="1141"/>
      <c r="AE2" s="1141"/>
      <c r="AF2" s="1141"/>
      <c r="AG2" s="1141"/>
      <c r="AH2" s="1141"/>
      <c r="AI2" s="1141"/>
      <c r="AJ2" s="1141"/>
      <c r="AK2" s="1141"/>
      <c r="AL2" s="1141"/>
      <c r="AM2" s="1141"/>
      <c r="AN2" s="1141"/>
      <c r="AO2" s="1141"/>
      <c r="AP2" s="1141"/>
      <c r="AQ2" s="1142"/>
      <c r="AS2" s="1203" t="s">
        <v>44</v>
      </c>
      <c r="AT2" s="1204"/>
      <c r="AV2" s="1281" t="str">
        <f>M2</f>
        <v>CS-Name</v>
      </c>
      <c r="AW2" s="1295"/>
      <c r="AX2" s="1295"/>
      <c r="AY2" s="1295"/>
      <c r="AZ2" s="1295"/>
      <c r="BA2" s="1295"/>
      <c r="BB2" s="1295"/>
      <c r="BC2" s="1296"/>
      <c r="BF2" s="1288" t="s">
        <v>322</v>
      </c>
      <c r="BG2" s="1289"/>
      <c r="BH2" s="1289"/>
      <c r="BI2" s="1289"/>
      <c r="BJ2" s="1289"/>
      <c r="BK2" s="1290"/>
      <c r="BM2" s="1305" t="s">
        <v>279</v>
      </c>
      <c r="BN2" s="1221"/>
      <c r="BO2" s="1221"/>
      <c r="BP2" s="1222"/>
      <c r="BR2" s="1305" t="s">
        <v>279</v>
      </c>
      <c r="BS2" s="1221"/>
      <c r="BT2" s="1221"/>
      <c r="BU2" s="1222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1232"/>
      <c r="C3" s="1233"/>
      <c r="D3" s="1233"/>
      <c r="E3" s="1233"/>
      <c r="F3" s="1233"/>
      <c r="G3" s="1233"/>
      <c r="H3" s="1233"/>
      <c r="I3" s="1233"/>
      <c r="J3" s="1233"/>
      <c r="K3" s="1234"/>
      <c r="L3" s="985"/>
      <c r="M3" s="1266"/>
      <c r="N3" s="1143"/>
      <c r="O3" s="1144"/>
      <c r="P3" s="1144"/>
      <c r="Q3" s="1144"/>
      <c r="R3" s="1144"/>
      <c r="S3" s="1144"/>
      <c r="T3" s="1144"/>
      <c r="U3" s="1144"/>
      <c r="V3" s="1144"/>
      <c r="W3" s="1144"/>
      <c r="X3" s="1144"/>
      <c r="Y3" s="1200"/>
      <c r="Z3" s="1077"/>
      <c r="AA3" s="1078"/>
      <c r="AB3" s="1078"/>
      <c r="AC3" s="1078"/>
      <c r="AD3" s="1078"/>
      <c r="AE3" s="1078"/>
      <c r="AF3" s="1078"/>
      <c r="AG3" s="1078"/>
      <c r="AH3" s="1078"/>
      <c r="AI3" s="1078"/>
      <c r="AJ3" s="1078"/>
      <c r="AK3" s="1078"/>
      <c r="AL3" s="1078"/>
      <c r="AM3" s="1078"/>
      <c r="AN3" s="1078"/>
      <c r="AO3" s="1078"/>
      <c r="AP3" s="1078"/>
      <c r="AQ3" s="1161"/>
      <c r="AS3" s="466">
        <v>100</v>
      </c>
      <c r="AT3" s="463" t="s">
        <v>45</v>
      </c>
      <c r="AV3" s="1282"/>
      <c r="AW3" s="1297"/>
      <c r="AX3" s="1297"/>
      <c r="AY3" s="1297"/>
      <c r="AZ3" s="1297"/>
      <c r="BA3" s="1297"/>
      <c r="BB3" s="1297"/>
      <c r="BC3" s="1298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09" t="s">
        <v>316</v>
      </c>
      <c r="C4" s="911"/>
      <c r="D4" s="911"/>
      <c r="E4" s="911"/>
      <c r="F4" s="911"/>
      <c r="G4" s="911"/>
      <c r="H4" s="911"/>
      <c r="I4" s="911"/>
      <c r="J4" s="911"/>
      <c r="K4" s="1271"/>
      <c r="L4" s="985"/>
      <c r="M4" s="1266"/>
      <c r="N4" s="1184" t="s">
        <v>3</v>
      </c>
      <c r="O4" s="1182"/>
      <c r="P4" s="1182"/>
      <c r="Q4" s="1181" t="s">
        <v>4</v>
      </c>
      <c r="R4" s="1182"/>
      <c r="S4" s="1183"/>
      <c r="T4" s="1256" t="str">
        <f>N4</f>
        <v>Cartesian Coordinates</v>
      </c>
      <c r="U4" s="1165"/>
      <c r="V4" s="1257"/>
      <c r="W4" s="1165" t="str">
        <f>Q4</f>
        <v>Polar XY; Cartesian Z</v>
      </c>
      <c r="X4" s="1165"/>
      <c r="Y4" s="1231"/>
      <c r="Z4" s="1261" t="s">
        <v>3</v>
      </c>
      <c r="AA4" s="1262"/>
      <c r="AB4" s="1262"/>
      <c r="AC4" s="1262"/>
      <c r="AD4" s="1262"/>
      <c r="AE4" s="1262"/>
      <c r="AF4" s="1262"/>
      <c r="AG4" s="1301" t="s">
        <v>31</v>
      </c>
      <c r="AH4" s="1262"/>
      <c r="AI4" s="1262"/>
      <c r="AJ4" s="1302"/>
      <c r="AK4" s="1308" t="s">
        <v>32</v>
      </c>
      <c r="AL4" s="1309"/>
      <c r="AM4" s="1309"/>
      <c r="AN4" s="1309"/>
      <c r="AO4" s="1309"/>
      <c r="AP4" s="1309"/>
      <c r="AQ4" s="1310"/>
      <c r="AS4" s="467">
        <v>125</v>
      </c>
      <c r="AT4" s="464" t="s">
        <v>46</v>
      </c>
      <c r="AV4" s="1282"/>
      <c r="AW4" s="1299"/>
      <c r="AX4" s="1299"/>
      <c r="AY4" s="1299"/>
      <c r="AZ4" s="1300"/>
      <c r="BA4" s="1299" t="str">
        <f>Z2</f>
        <v>PDC Orientation</v>
      </c>
      <c r="BB4" s="1299"/>
      <c r="BC4" s="1300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1232" t="str">
        <f>CONCATENATE(B7," ; ",E7," ; ",H8)</f>
        <v>Absolute-Point ; Incremental-Vector Point ; Radius</v>
      </c>
      <c r="C5" s="1233"/>
      <c r="D5" s="1233"/>
      <c r="E5" s="1233"/>
      <c r="F5" s="1233"/>
      <c r="G5" s="1233"/>
      <c r="H5" s="1233"/>
      <c r="I5" s="1233"/>
      <c r="J5" s="1233"/>
      <c r="K5" s="1234"/>
      <c r="L5" s="843"/>
      <c r="M5" s="1266"/>
      <c r="N5" s="1189" t="s">
        <v>5</v>
      </c>
      <c r="O5" s="1150"/>
      <c r="P5" s="1150"/>
      <c r="Q5" s="1217" t="s">
        <v>6</v>
      </c>
      <c r="R5" s="1150"/>
      <c r="S5" s="1151"/>
      <c r="T5" s="1134" t="str">
        <f>CONCATENATE("Relative to ",M8,"'s θ &amp; Z; Z Axis")</f>
        <v>Relative to 's θ &amp; Z; Z Axis</v>
      </c>
      <c r="U5" s="1135"/>
      <c r="V5" s="1136"/>
      <c r="W5" s="1135" t="str">
        <f>CONCATENATE("Relative to ",M8,"'s θ &amp; Z; Z Axis")</f>
        <v>Relative to 's θ &amp; Z; Z Axis</v>
      </c>
      <c r="X5" s="1135"/>
      <c r="Y5" s="1258"/>
      <c r="Z5" s="1248" t="str">
        <f>N5</f>
        <v>Relative to World_CS</v>
      </c>
      <c r="AA5" s="1135"/>
      <c r="AB5" s="1135"/>
      <c r="AC5" s="1135"/>
      <c r="AD5" s="1135"/>
      <c r="AE5" s="1135"/>
      <c r="AF5" s="1135"/>
      <c r="AG5" s="1134" t="str">
        <f>N5</f>
        <v>Relative to World_CS</v>
      </c>
      <c r="AH5" s="1135"/>
      <c r="AI5" s="1135"/>
      <c r="AJ5" s="1172"/>
      <c r="AK5" s="1149" t="s">
        <v>7</v>
      </c>
      <c r="AL5" s="1150"/>
      <c r="AM5" s="1150"/>
      <c r="AN5" s="1150"/>
      <c r="AO5" s="1150"/>
      <c r="AP5" s="1150"/>
      <c r="AQ5" s="1151"/>
      <c r="AS5" s="171">
        <f>(((AS4*12)/60)/AS3)</f>
        <v>0.25</v>
      </c>
      <c r="AT5" s="464" t="s">
        <v>47</v>
      </c>
      <c r="AV5" s="1282"/>
      <c r="AW5" s="1256" t="str">
        <f>W4</f>
        <v>Polar XY; Cartesian Z</v>
      </c>
      <c r="AX5" s="1165"/>
      <c r="AY5" s="1165"/>
      <c r="AZ5" s="986" t="s">
        <v>104</v>
      </c>
      <c r="BA5" s="1165" t="str">
        <f>AK4</f>
        <v>Polar Z Projection → XZ Plane</v>
      </c>
      <c r="BB5" s="1165"/>
      <c r="BC5" s="1166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235"/>
      <c r="C6" s="1236"/>
      <c r="D6" s="1236"/>
      <c r="E6" s="1236"/>
      <c r="F6" s="1236"/>
      <c r="G6" s="1236"/>
      <c r="H6" s="1236"/>
      <c r="I6" s="1236"/>
      <c r="J6" s="1236"/>
      <c r="K6" s="1237"/>
      <c r="L6" s="985" t="str" cm="1">
        <f t="array" ref="L6">IF(OR($K$9:$K$150="Inactive"),"Inactive Element","")</f>
        <v/>
      </c>
      <c r="M6" s="1266"/>
      <c r="N6" s="1185" t="s">
        <v>8</v>
      </c>
      <c r="O6" s="1187" t="s">
        <v>9</v>
      </c>
      <c r="P6" s="1215" t="s">
        <v>10</v>
      </c>
      <c r="Q6" s="1190" t="s">
        <v>11</v>
      </c>
      <c r="R6" s="1191"/>
      <c r="S6" s="1178" t="s">
        <v>10</v>
      </c>
      <c r="T6" s="1211" t="str">
        <f>N6</f>
        <v>X</v>
      </c>
      <c r="U6" s="1213" t="str">
        <f>O6</f>
        <v>Y</v>
      </c>
      <c r="V6" s="1254" t="str">
        <f>P6</f>
        <v>Z</v>
      </c>
      <c r="W6" s="1167" t="str">
        <f>Q6</f>
        <v>Projected XY</v>
      </c>
      <c r="X6" s="1168"/>
      <c r="Y6" s="1209" t="str">
        <f>S6</f>
        <v>Z</v>
      </c>
      <c r="Z6" s="1195" t="s">
        <v>12</v>
      </c>
      <c r="AA6" s="1196"/>
      <c r="AB6" s="1196"/>
      <c r="AC6" s="1197"/>
      <c r="AD6" s="1181" t="s">
        <v>13</v>
      </c>
      <c r="AE6" s="1182"/>
      <c r="AF6" s="1182"/>
      <c r="AG6" s="1194" t="s">
        <v>7</v>
      </c>
      <c r="AH6" s="1182"/>
      <c r="AI6" s="1181" t="s">
        <v>14</v>
      </c>
      <c r="AJ6" s="1183"/>
      <c r="AK6" s="1256" t="str">
        <f>AD6</f>
        <v>Unit Vector</v>
      </c>
      <c r="AL6" s="1165"/>
      <c r="AM6" s="1166"/>
      <c r="AN6" s="34" t="s">
        <v>15</v>
      </c>
      <c r="AO6" s="35" t="s">
        <v>16</v>
      </c>
      <c r="AP6" s="737" t="s">
        <v>17</v>
      </c>
      <c r="AQ6" s="1263" t="s">
        <v>108</v>
      </c>
      <c r="AS6" s="172">
        <f>(AS5/360)</f>
        <v>6.9444444444444447E-4</v>
      </c>
      <c r="AT6" s="465" t="s">
        <v>48</v>
      </c>
      <c r="AV6" s="1282"/>
      <c r="AW6" s="1134" t="str">
        <f>W5</f>
        <v>Relative to 's θ &amp; Z; Z Axis</v>
      </c>
      <c r="AX6" s="1135"/>
      <c r="AY6" s="1135"/>
      <c r="AZ6" s="1278"/>
      <c r="BA6" s="1135" t="str">
        <f>AK5</f>
        <v>Vector Along X Axis</v>
      </c>
      <c r="BB6" s="1135"/>
      <c r="BC6" s="1172"/>
      <c r="BD6" s="468"/>
      <c r="BF6" s="461">
        <f>SUM(AZ9:AZ150)</f>
        <v>0</v>
      </c>
      <c r="BG6" s="1260" t="s">
        <v>318</v>
      </c>
      <c r="BH6" s="1260"/>
      <c r="BI6" s="1260"/>
      <c r="BJ6" s="1260"/>
      <c r="BK6" s="1260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249" t="s">
        <v>40</v>
      </c>
      <c r="C7" s="1250"/>
      <c r="D7" s="1251"/>
      <c r="E7" s="1252" t="s">
        <v>41</v>
      </c>
      <c r="F7" s="1250"/>
      <c r="G7" s="1253"/>
      <c r="H7" s="878" t="s">
        <v>314</v>
      </c>
      <c r="I7" s="876"/>
      <c r="J7" s="877"/>
      <c r="K7" s="539"/>
      <c r="L7" s="985"/>
      <c r="M7" s="1267"/>
      <c r="N7" s="1186"/>
      <c r="O7" s="1188"/>
      <c r="P7" s="1216"/>
      <c r="Q7" s="36" t="s">
        <v>18</v>
      </c>
      <c r="R7" s="2" t="s">
        <v>19</v>
      </c>
      <c r="S7" s="1179"/>
      <c r="T7" s="1212"/>
      <c r="U7" s="1214"/>
      <c r="V7" s="1255"/>
      <c r="W7" s="37" t="str">
        <f>Q7</f>
        <v>&lt; θ°</v>
      </c>
      <c r="X7" s="27" t="str">
        <f>R7</f>
        <v>r</v>
      </c>
      <c r="Y7" s="1210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264"/>
      <c r="AS7" s="1303" t="s">
        <v>54</v>
      </c>
      <c r="AT7" s="1306" t="s">
        <v>53</v>
      </c>
      <c r="AV7" s="1282"/>
      <c r="AW7" s="1277" t="str">
        <f>$W$6</f>
        <v>Projected XY</v>
      </c>
      <c r="AX7" s="1168"/>
      <c r="AY7" s="1279" t="str">
        <f>$Y$6</f>
        <v>Z</v>
      </c>
      <c r="AZ7" s="1278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60"/>
      <c r="BH7" s="1260"/>
      <c r="BI7" s="1260"/>
      <c r="BJ7" s="1260"/>
      <c r="BK7" s="1260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884" t="s">
        <v>33</v>
      </c>
      <c r="IH7" s="977" t="s">
        <v>385</v>
      </c>
      <c r="II7" s="880" t="s">
        <v>333</v>
      </c>
      <c r="IJ7" s="881"/>
      <c r="IK7" s="881"/>
      <c r="IL7" s="876"/>
      <c r="IM7" s="876"/>
      <c r="IN7" s="876"/>
      <c r="IO7" s="877"/>
      <c r="IP7" s="878" t="s">
        <v>329</v>
      </c>
      <c r="IQ7" s="876"/>
      <c r="IR7" s="876"/>
      <c r="IS7" s="876"/>
      <c r="IT7" s="876"/>
      <c r="IU7" s="878" t="s">
        <v>328</v>
      </c>
      <c r="IV7" s="876"/>
      <c r="IW7" s="876"/>
      <c r="IX7" s="876"/>
      <c r="IY7" s="877"/>
      <c r="JA7" s="784"/>
      <c r="JB7" s="1311" t="s">
        <v>364</v>
      </c>
      <c r="JC7" s="1218"/>
      <c r="JD7" s="1218"/>
      <c r="JE7" s="1219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85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304"/>
      <c r="AT8" s="1307"/>
      <c r="AV8" s="1283"/>
      <c r="AW8" s="46" t="str">
        <f>$W$7</f>
        <v>&lt; θ°</v>
      </c>
      <c r="AX8" s="27" t="str">
        <f>$X$7</f>
        <v>r</v>
      </c>
      <c r="AY8" s="1280"/>
      <c r="AZ8" s="987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979"/>
      <c r="IH8" s="978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1220" t="s">
        <v>365</v>
      </c>
      <c r="JC19" s="1221"/>
      <c r="JD19" s="1221"/>
      <c r="JE19" s="1221"/>
      <c r="JF19" s="1221"/>
      <c r="JG19" s="1221"/>
      <c r="JH19" s="1221"/>
      <c r="JI19" s="1222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1223" t="s">
        <v>369</v>
      </c>
      <c r="JC20" s="1224"/>
      <c r="JD20" s="1224"/>
      <c r="JE20" s="1224"/>
      <c r="JF20" s="980" t="s">
        <v>370</v>
      </c>
      <c r="JG20" s="981"/>
      <c r="JH20" s="981"/>
      <c r="JI20" s="982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1098"/>
      <c r="JC21" s="1099"/>
      <c r="JD21" s="1099"/>
      <c r="JE21" s="1099"/>
      <c r="JF21" s="983" t="s">
        <v>358</v>
      </c>
      <c r="JG21" s="984"/>
      <c r="JH21" s="1225" t="s">
        <v>371</v>
      </c>
      <c r="JI21" s="1226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75" t="str">
        <f>$W$6</f>
        <v>Projected XY</v>
      </c>
      <c r="AX152" s="1276"/>
      <c r="AY152" s="1293" t="str">
        <f>$Y$6</f>
        <v>Z</v>
      </c>
      <c r="AZ152" s="1291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94"/>
      <c r="AZ153" s="1292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238" t="s">
        <v>42</v>
      </c>
      <c r="C157" s="1239"/>
      <c r="D157" s="1239"/>
      <c r="E157" s="1239"/>
      <c r="F157" s="1239"/>
      <c r="G157" s="1239"/>
      <c r="H157" s="1239"/>
      <c r="I157" s="1239"/>
      <c r="J157" s="1239"/>
      <c r="K157" s="1240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241"/>
      <c r="C158" s="1196"/>
      <c r="D158" s="1196"/>
      <c r="E158" s="1196"/>
      <c r="F158" s="1196"/>
      <c r="G158" s="1196"/>
      <c r="H158" s="1196"/>
      <c r="I158" s="1196"/>
      <c r="J158" s="1196"/>
      <c r="K158" s="1242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243"/>
      <c r="C159" s="1244"/>
      <c r="D159" s="1244"/>
      <c r="E159" s="1244"/>
      <c r="F159" s="1244"/>
      <c r="G159" s="1244"/>
      <c r="H159" s="1244"/>
      <c r="I159" s="1244"/>
      <c r="J159" s="1244"/>
      <c r="K159" s="1245"/>
      <c r="AQ159" s="166"/>
      <c r="BD159" s="468"/>
    </row>
    <row r="160" spans="1:259" ht="15" customHeight="1" x14ac:dyDescent="0.25">
      <c r="B160" s="1232" t="str">
        <f>CONCATENATE(B162," ; ",E162," ; ",H163)</f>
        <v>Absolute-Point ; Incremental-Vector Point ; Radius</v>
      </c>
      <c r="C160" s="1233"/>
      <c r="D160" s="1233"/>
      <c r="E160" s="1233"/>
      <c r="F160" s="1233"/>
      <c r="G160" s="1233"/>
      <c r="H160" s="1233"/>
      <c r="I160" s="1233"/>
      <c r="J160" s="1233"/>
      <c r="K160" s="1234"/>
      <c r="AQ160" s="166"/>
      <c r="BD160" s="468"/>
    </row>
    <row r="161" spans="2:56" ht="15" customHeight="1" x14ac:dyDescent="0.25">
      <c r="B161" s="1235"/>
      <c r="C161" s="1236"/>
      <c r="D161" s="1236"/>
      <c r="E161" s="1236"/>
      <c r="F161" s="1236"/>
      <c r="G161" s="1236"/>
      <c r="H161" s="1236"/>
      <c r="I161" s="1236"/>
      <c r="J161" s="1236"/>
      <c r="K161" s="1237"/>
      <c r="AQ161" s="166"/>
      <c r="BD161" s="468"/>
    </row>
    <row r="162" spans="2:56" ht="15" customHeight="1" x14ac:dyDescent="0.25">
      <c r="B162" s="1249" t="s">
        <v>40</v>
      </c>
      <c r="C162" s="1250"/>
      <c r="D162" s="1251"/>
      <c r="E162" s="1252" t="s">
        <v>41</v>
      </c>
      <c r="F162" s="1250"/>
      <c r="G162" s="1253"/>
      <c r="H162" s="878" t="s">
        <v>314</v>
      </c>
      <c r="I162" s="876"/>
      <c r="J162" s="877"/>
      <c r="K162" s="539"/>
      <c r="M162" s="1031" t="s">
        <v>313</v>
      </c>
      <c r="N162" s="1272"/>
      <c r="O162" s="1284" t="s">
        <v>292</v>
      </c>
      <c r="P162" s="1285"/>
      <c r="Q162" s="1286"/>
      <c r="R162" s="1287" t="s">
        <v>41</v>
      </c>
      <c r="S162" s="1285"/>
      <c r="T162" s="1286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73"/>
      <c r="N163" s="1274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1.117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1.123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1.2110000000000001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1.2170000000000001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1.2230000000000001</v>
      </c>
      <c r="N173" s="869" t="str">
        <f>Assy.Model!K18</f>
        <v>CPS-32193r1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1.2290000000000001</v>
      </c>
      <c r="N174" s="869" t="str">
        <f>Assy.Model!K19</f>
        <v>CPS-32193r1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2.1160000000000001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2.1219999999999999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2.1280000000000001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2.2160000000000002</v>
      </c>
      <c r="N179" s="869" t="str">
        <f>Assy.Model!K24</f>
        <v>CPS-32193r1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2.222</v>
      </c>
      <c r="N180" s="869" t="str">
        <f>Assy.Model!K25</f>
        <v>CPS-32193r1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2.2280000000000002</v>
      </c>
      <c r="N181" s="869" t="str">
        <f>Assy.Model!K26</f>
        <v>CPS-32193r1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3.1030000000000002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3.1059999999999999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3.109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3.1150000000000002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3.121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3.1269999999999998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3.2090000000000001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3.2149999999999999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3.2210000000000001</v>
      </c>
      <c r="N190" s="869" t="str">
        <f>Assy.Model!K35</f>
        <v>CPS-32193r1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3.2269999999999999</v>
      </c>
      <c r="N191" s="869" t="str">
        <f>Assy.Model!K36</f>
        <v>CPS-32193r1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4.1139999999999999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4.12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4.1260000000000003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4.1319999999999997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4.22</v>
      </c>
      <c r="N196" s="869" t="str">
        <f>Assy.Model!K41</f>
        <v>CPS-32193r1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4.226</v>
      </c>
      <c r="N197" s="869" t="str">
        <f>Assy.Model!K42</f>
        <v>CPS-32193r1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4.2320000000000002</v>
      </c>
      <c r="N198" s="869" t="str">
        <f>Assy.Model!K43</f>
        <v>CPS-32193r1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5.1020000000000003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5.1050000000000004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5.1079999999999997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5.1130000000000004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5.1189999999999998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5.125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5.1310000000000002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5.2130000000000001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5.2190000000000003</v>
      </c>
      <c r="N207" s="869">
        <f>Assy.Model!K52</f>
        <v>1313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5.2249999999999996</v>
      </c>
      <c r="N208" s="869" t="str">
        <f>Assy.Model!K53</f>
        <v>CPS-32193r1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5.2309999999999999</v>
      </c>
      <c r="N209" s="869" t="str">
        <f>Assy.Model!K54</f>
        <v>CPS-32193r1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6.1120000000000001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6.1180000000000003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6.1239999999999997</v>
      </c>
      <c r="N212" s="869">
        <f>Assy.Model!K57</f>
        <v>1613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6.13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6.218</v>
      </c>
      <c r="N214" s="869" t="str">
        <f>Assy.Model!K59</f>
        <v>CPS-32193r1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6.2240000000000002</v>
      </c>
      <c r="N215" s="869" t="str">
        <f>Assy.Model!K60</f>
        <v>CPS-32193r1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6.23</v>
      </c>
      <c r="N216" s="869" t="str">
        <f>Assy.Model!K61</f>
        <v>CPS-32193r1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2023-03-29T12:27:42Z</dcterms:modified>
</cp:coreProperties>
</file>