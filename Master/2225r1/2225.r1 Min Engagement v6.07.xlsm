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25\"/>
    </mc:Choice>
  </mc:AlternateContent>
  <xr:revisionPtr revIDLastSave="0" documentId="13_ncr:1_{0D66A0DF-6905-4B50-9FE7-E269D886381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2" i="1" l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15" i="1" l="1"/>
  <c r="IG4" i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W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R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W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K83" i="1"/>
  <c r="IW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N20" i="1"/>
  <c r="IW20" i="1"/>
  <c r="IR54" i="1"/>
  <c r="IK54" i="1"/>
  <c r="IW54" i="1"/>
  <c r="IN54" i="1"/>
  <c r="IK122" i="1"/>
  <c r="IW122" i="1"/>
  <c r="IR122" i="1"/>
  <c r="IN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R121" i="1"/>
  <c r="IW121" i="1"/>
  <c r="IK121" i="1"/>
  <c r="IN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W14" i="1"/>
  <c r="IN14" i="1"/>
  <c r="IR14" i="1"/>
  <c r="IK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R120" i="1"/>
  <c r="IW120" i="1"/>
  <c r="IN120" i="1"/>
  <c r="IK120" i="1"/>
  <c r="IN75" i="1"/>
  <c r="IW75" i="1"/>
  <c r="IK75" i="1"/>
  <c r="IR75" i="1"/>
  <c r="IK107" i="1"/>
  <c r="IW107" i="1"/>
  <c r="IN107" i="1"/>
  <c r="IR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Q49" i="1"/>
  <c r="IW49" i="1"/>
  <c r="IP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K119" i="1"/>
  <c r="IW119" i="1"/>
  <c r="IR119" i="1"/>
  <c r="IN119" i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28" i="1"/>
  <c r="IF9" i="1"/>
  <c r="IF147" i="1"/>
  <c r="IF142" i="1"/>
  <c r="IF143" i="1"/>
  <c r="IF137" i="1"/>
  <c r="IF135" i="1"/>
  <c r="IF109" i="1"/>
  <c r="IF145" i="1"/>
  <c r="IF13" i="1"/>
  <c r="IF108" i="1"/>
  <c r="IF131" i="1"/>
  <c r="IF123" i="1"/>
  <c r="IF141" i="1"/>
  <c r="IF124" i="1"/>
  <c r="IF146" i="1"/>
  <c r="IF11" i="1"/>
  <c r="IF134" i="1"/>
  <c r="IF82" i="1"/>
  <c r="IF12" i="1"/>
  <c r="IF133" i="1"/>
  <c r="IF149" i="1"/>
  <c r="IF130" i="1"/>
  <c r="IF132" i="1"/>
  <c r="IF110" i="1"/>
  <c r="IF125" i="1"/>
  <c r="IF144" i="1"/>
  <c r="IF139" i="1"/>
  <c r="IF126" i="1"/>
  <c r="IF140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V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Q89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V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IV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113" i="1" l="1"/>
  <c r="IV106" i="1"/>
  <c r="IV113" i="1"/>
  <c r="IQ120" i="1"/>
  <c r="IQ75" i="1"/>
  <c r="IV69" i="1"/>
  <c r="IV81" i="1"/>
  <c r="IQ88" i="1"/>
  <c r="IQ77" i="1"/>
  <c r="IV71" i="1"/>
  <c r="IV62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R91" i="1" s="1"/>
  <c r="X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IP104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2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AF86" i="1" s="1"/>
  <c r="AM86" i="1" s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8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V14" i="1" s="1"/>
  <c r="N14" i="1"/>
  <c r="O14" i="1"/>
  <c r="P12" i="1"/>
  <c r="S12" i="1" s="1"/>
  <c r="Y12" i="1" s="1"/>
  <c r="IQ14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IQ19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1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IQ107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AF102" i="1"/>
  <c r="AI102" i="1" s="1"/>
  <c r="R121" i="1"/>
  <c r="X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6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IQ69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5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V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5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90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IQ87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P90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IQ73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IV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IQ37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12" i="1" l="1"/>
  <c r="IV105" i="1"/>
  <c r="IQ111" i="1"/>
  <c r="IV104" i="1"/>
  <c r="IQ98" i="1"/>
  <c r="IV89" i="1"/>
  <c r="IV99" i="1"/>
  <c r="IQ106" i="1"/>
  <c r="AQ121" i="1"/>
  <c r="IU121" i="1"/>
  <c r="IE121" i="1" s="1"/>
  <c r="IQ92" i="1"/>
  <c r="IV96" i="1"/>
  <c r="IQ103" i="1"/>
  <c r="IQ114" i="1"/>
  <c r="IV107" i="1"/>
  <c r="IQ57" i="1"/>
  <c r="IQ78" i="1"/>
  <c r="IV72" i="1"/>
  <c r="IQ91" i="1"/>
  <c r="IQ20" i="1"/>
  <c r="IV115" i="1"/>
  <c r="IQ122" i="1"/>
  <c r="IQ56" i="1"/>
  <c r="IV98" i="1"/>
  <c r="IQ105" i="1"/>
  <c r="IV114" i="1"/>
  <c r="IQ121" i="1"/>
  <c r="IV112" i="1"/>
  <c r="IQ119" i="1"/>
  <c r="IV97" i="1"/>
  <c r="IQ104" i="1"/>
  <c r="IQ47" i="1"/>
  <c r="IQ99" i="1"/>
  <c r="IV92" i="1"/>
  <c r="AQ91" i="1"/>
  <c r="IU91" i="1"/>
  <c r="IE91" i="1" s="1"/>
  <c r="R90" i="1"/>
  <c r="X90" i="1" s="1"/>
  <c r="IU90" i="1" s="1"/>
  <c r="IE90" i="1" s="1"/>
  <c r="IV25" i="1"/>
  <c r="IQ32" i="1"/>
  <c r="IQ93" i="1"/>
  <c r="IV84" i="1"/>
  <c r="IV78" i="1"/>
  <c r="IQ85" i="1"/>
  <c r="IQ76" i="1"/>
  <c r="IV70" i="1"/>
  <c r="IQ59" i="1"/>
  <c r="IV56" i="1"/>
  <c r="IV77" i="1"/>
  <c r="IQ84" i="1"/>
  <c r="IQ96" i="1"/>
  <c r="IV87" i="1"/>
  <c r="Q98" i="1"/>
  <c r="IV76" i="1"/>
  <c r="IQ83" i="1"/>
  <c r="IV64" i="1"/>
  <c r="IQ71" i="1"/>
  <c r="AE69" i="1"/>
  <c r="Q114" i="1"/>
  <c r="Q91" i="1"/>
  <c r="IV61" i="1"/>
  <c r="IQ68" i="1"/>
  <c r="AD86" i="1"/>
  <c r="AH86" i="1" s="1"/>
  <c r="IQ95" i="1"/>
  <c r="IV86" i="1"/>
  <c r="IV63" i="1"/>
  <c r="IQ70" i="1"/>
  <c r="IQ97" i="1"/>
  <c r="IV88" i="1"/>
  <c r="IQ102" i="1"/>
  <c r="V97" i="1"/>
  <c r="IQ94" i="1"/>
  <c r="IV85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Q18" i="1"/>
  <c r="IQ23" i="1"/>
  <c r="IV54" i="1"/>
  <c r="IQ63" i="1"/>
  <c r="IQ42" i="1"/>
  <c r="IV39" i="1"/>
  <c r="IQ36" i="1"/>
  <c r="IQ39" i="1"/>
  <c r="IQ100" i="1"/>
  <c r="IV79" i="1"/>
  <c r="AQ90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P120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AI47" i="1" s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J62" i="1" s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8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4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7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AM108" i="1" s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U14" i="1" s="1"/>
  <c r="IE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6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IP107" i="1" s="1"/>
  <c r="R108" i="1"/>
  <c r="X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IP73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R84" i="1"/>
  <c r="X84" i="1" s="1"/>
  <c r="IU84" i="1" s="1"/>
  <c r="IE84" i="1" s="1"/>
  <c r="Q84" i="1"/>
  <c r="R83" i="1"/>
  <c r="X83" i="1" s="1"/>
  <c r="Q83" i="1"/>
  <c r="R81" i="1"/>
  <c r="X81" i="1" s="1"/>
  <c r="IP89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IP71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C121" i="1"/>
  <c r="AD121" i="1"/>
  <c r="AH121" i="1" s="1"/>
  <c r="AF121" i="1"/>
  <c r="AE121" i="1"/>
  <c r="AM120" i="1"/>
  <c r="V120" i="1"/>
  <c r="R120" i="1"/>
  <c r="X120" i="1" s="1"/>
  <c r="AE120" i="1"/>
  <c r="AJ119" i="1"/>
  <c r="R119" i="1"/>
  <c r="X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IP122" i="1" s="1"/>
  <c r="V114" i="1"/>
  <c r="R114" i="1"/>
  <c r="X114" i="1" s="1"/>
  <c r="IP121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P119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P106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7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4" i="1" s="1"/>
  <c r="V76" i="1"/>
  <c r="R76" i="1"/>
  <c r="X76" i="1" s="1"/>
  <c r="IP83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IP72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1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20" i="1" l="1"/>
  <c r="IP15" i="1"/>
  <c r="IP19" i="1"/>
  <c r="IU15" i="1"/>
  <c r="IE15" i="1" s="1"/>
  <c r="AQ73" i="1"/>
  <c r="IU73" i="1"/>
  <c r="IE73" i="1" s="1"/>
  <c r="AQ103" i="1"/>
  <c r="IU103" i="1"/>
  <c r="IE103" i="1" s="1"/>
  <c r="IP117" i="1"/>
  <c r="IP55" i="1"/>
  <c r="IP69" i="1"/>
  <c r="AQ119" i="1"/>
  <c r="IU119" i="1"/>
  <c r="IE119" i="1" s="1"/>
  <c r="AQ122" i="1"/>
  <c r="IU122" i="1"/>
  <c r="IE122" i="1" s="1"/>
  <c r="IP85" i="1"/>
  <c r="IP57" i="1"/>
  <c r="AQ120" i="1"/>
  <c r="IU120" i="1"/>
  <c r="IE120" i="1" s="1"/>
  <c r="IP56" i="1"/>
  <c r="IU86" i="1"/>
  <c r="IE86" i="1" s="1"/>
  <c r="IP91" i="1"/>
  <c r="IP47" i="1"/>
  <c r="AQ92" i="1"/>
  <c r="IU92" i="1"/>
  <c r="IE92" i="1" s="1"/>
  <c r="IU87" i="1"/>
  <c r="IE87" i="1" s="1"/>
  <c r="IP92" i="1"/>
  <c r="IU25" i="1"/>
  <c r="IE25" i="1" s="1"/>
  <c r="IP32" i="1"/>
  <c r="IP59" i="1"/>
  <c r="IU56" i="1"/>
  <c r="IE56" i="1" s="1"/>
  <c r="AJ111" i="1"/>
  <c r="IP99" i="1"/>
  <c r="AQ68" i="1"/>
  <c r="IU68" i="1"/>
  <c r="IE68" i="1" s="1"/>
  <c r="AI108" i="1"/>
  <c r="AQ83" i="1"/>
  <c r="IU83" i="1"/>
  <c r="IE83" i="1" s="1"/>
  <c r="AG97" i="1"/>
  <c r="IP102" i="1"/>
  <c r="IP88" i="1"/>
  <c r="IU61" i="1"/>
  <c r="IE61" i="1" s="1"/>
  <c r="IP68" i="1"/>
  <c r="AQ20" i="1"/>
  <c r="IU20" i="1"/>
  <c r="IE20" i="1" s="1"/>
  <c r="AG108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W15" i="1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IL121" i="1" s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IL119" i="1" s="1"/>
  <c r="W103" i="1"/>
  <c r="W101" i="1"/>
  <c r="W123" i="1"/>
  <c r="W120" i="1"/>
  <c r="W129" i="1"/>
  <c r="W133" i="1"/>
  <c r="W106" i="1"/>
  <c r="W93" i="1"/>
  <c r="W118" i="1"/>
  <c r="W135" i="1"/>
  <c r="W115" i="1"/>
  <c r="IL122" i="1" s="1"/>
  <c r="W113" i="1"/>
  <c r="IL120" i="1" s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IL90" i="1" s="1"/>
  <c r="W79" i="1"/>
  <c r="W80" i="1"/>
  <c r="IL87" i="1" s="1"/>
  <c r="W77" i="1"/>
  <c r="W78" i="1"/>
  <c r="IL85" i="1" s="1"/>
  <c r="W75" i="1"/>
  <c r="W76" i="1"/>
  <c r="W73" i="1"/>
  <c r="W74" i="1"/>
  <c r="W71" i="1"/>
  <c r="W72" i="1"/>
  <c r="W69" i="1"/>
  <c r="W70" i="1"/>
  <c r="W67" i="1"/>
  <c r="W68" i="1"/>
  <c r="W65" i="1"/>
  <c r="W66" i="1"/>
  <c r="IL72" i="1" s="1"/>
  <c r="W63" i="1"/>
  <c r="W64" i="1"/>
  <c r="W61" i="1"/>
  <c r="W62" i="1"/>
  <c r="IL69" i="1" s="1"/>
  <c r="W59" i="1"/>
  <c r="W60" i="1"/>
  <c r="W57" i="1"/>
  <c r="W58" i="1"/>
  <c r="W55" i="1"/>
  <c r="W56" i="1"/>
  <c r="W53" i="1"/>
  <c r="W54" i="1"/>
  <c r="W51" i="1"/>
  <c r="W52" i="1"/>
  <c r="W49" i="1"/>
  <c r="IL56" i="1" s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3" i="1"/>
  <c r="IL15" i="1" s="1"/>
  <c r="W14" i="1"/>
  <c r="IL14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73" i="1" l="1"/>
  <c r="IL106" i="1"/>
  <c r="IL105" i="1"/>
  <c r="IL71" i="1"/>
  <c r="IL103" i="1"/>
  <c r="IL107" i="1"/>
  <c r="IL88" i="1"/>
  <c r="IL89" i="1"/>
  <c r="IL38" i="1"/>
  <c r="IL70" i="1"/>
  <c r="IL86" i="1"/>
  <c r="IL92" i="1"/>
  <c r="IL91" i="1"/>
  <c r="IL21" i="1"/>
  <c r="IL68" i="1"/>
  <c r="IL84" i="1"/>
  <c r="IL20" i="1"/>
  <c r="IL57" i="1"/>
  <c r="IL83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T107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IY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IY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Y120" i="1" s="1"/>
  <c r="U120" i="1"/>
  <c r="T114" i="1"/>
  <c r="U114" i="1"/>
  <c r="AL114" i="1"/>
  <c r="AN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IY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IT92" i="1" s="1"/>
  <c r="U85" i="1"/>
  <c r="AL86" i="1"/>
  <c r="AN86" i="1" s="1"/>
  <c r="IT91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IT89" i="1" s="1"/>
  <c r="AK81" i="1"/>
  <c r="T81" i="1"/>
  <c r="AL79" i="1"/>
  <c r="AN79" i="1" s="1"/>
  <c r="U80" i="1"/>
  <c r="AL80" i="1"/>
  <c r="AN80" i="1" s="1"/>
  <c r="IT87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T73" i="1" s="1"/>
  <c r="T67" i="1"/>
  <c r="T66" i="1"/>
  <c r="AK66" i="1"/>
  <c r="U66" i="1"/>
  <c r="AL66" i="1"/>
  <c r="AN66" i="1" s="1"/>
  <c r="IT72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IT38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Y14" i="1" s="1"/>
  <c r="T14" i="1"/>
  <c r="AK13" i="1"/>
  <c r="U13" i="1"/>
  <c r="AL13" i="1"/>
  <c r="AN13" i="1" s="1"/>
  <c r="IT15" i="1" s="1"/>
  <c r="AK12" i="1"/>
  <c r="U12" i="1"/>
  <c r="AL12" i="1"/>
  <c r="AN12" i="1" s="1"/>
  <c r="IT14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19" i="1" l="1"/>
  <c r="IY15" i="1"/>
  <c r="IY98" i="1"/>
  <c r="IT105" i="1"/>
  <c r="IY113" i="1"/>
  <c r="IT120" i="1"/>
  <c r="IT98" i="1"/>
  <c r="IY89" i="1"/>
  <c r="IF89" i="1" s="1"/>
  <c r="IT111" i="1"/>
  <c r="IY104" i="1"/>
  <c r="IT86" i="1"/>
  <c r="IY97" i="1"/>
  <c r="IT104" i="1"/>
  <c r="IT112" i="1"/>
  <c r="IY105" i="1"/>
  <c r="IY114" i="1"/>
  <c r="IT121" i="1"/>
  <c r="IY99" i="1"/>
  <c r="IT106" i="1"/>
  <c r="IY112" i="1"/>
  <c r="IT119" i="1"/>
  <c r="IT114" i="1"/>
  <c r="IY107" i="1"/>
  <c r="IY96" i="1"/>
  <c r="IT103" i="1"/>
  <c r="IT113" i="1"/>
  <c r="IY106" i="1"/>
  <c r="IY115" i="1"/>
  <c r="IT122" i="1"/>
  <c r="IT78" i="1"/>
  <c r="IY72" i="1"/>
  <c r="IT20" i="1"/>
  <c r="IT32" i="1"/>
  <c r="IT99" i="1"/>
  <c r="IS94" i="1"/>
  <c r="IX85" i="1"/>
  <c r="IY49" i="1"/>
  <c r="IT56" i="1"/>
  <c r="IT76" i="1"/>
  <c r="IY70" i="1"/>
  <c r="IT77" i="1"/>
  <c r="IY71" i="1"/>
  <c r="IY62" i="1"/>
  <c r="IT69" i="1"/>
  <c r="IY64" i="1"/>
  <c r="IT71" i="1"/>
  <c r="IX71" i="1"/>
  <c r="IY63" i="1"/>
  <c r="IT70" i="1"/>
  <c r="IT75" i="1"/>
  <c r="IY69" i="1"/>
  <c r="IX49" i="1"/>
  <c r="IY77" i="1"/>
  <c r="IT84" i="1"/>
  <c r="IY81" i="1"/>
  <c r="IT88" i="1"/>
  <c r="IT97" i="1"/>
  <c r="IY88" i="1"/>
  <c r="IY61" i="1"/>
  <c r="IT68" i="1"/>
  <c r="IY76" i="1"/>
  <c r="IT83" i="1"/>
  <c r="IT95" i="1"/>
  <c r="IY86" i="1"/>
  <c r="IT49" i="1"/>
  <c r="IY38" i="1"/>
  <c r="IY78" i="1"/>
  <c r="IT85" i="1"/>
  <c r="IT93" i="1"/>
  <c r="IY84" i="1"/>
  <c r="IT94" i="1"/>
  <c r="IY85" i="1"/>
  <c r="IY50" i="1"/>
  <c r="IT57" i="1"/>
  <c r="IT96" i="1"/>
  <c r="IY87" i="1"/>
  <c r="IY36" i="1"/>
  <c r="IT37" i="1"/>
  <c r="IT31" i="1"/>
  <c r="IT47" i="1"/>
  <c r="IT48" i="1"/>
  <c r="IT50" i="1"/>
  <c r="IY41" i="1"/>
  <c r="IT64" i="1"/>
  <c r="IY55" i="1"/>
  <c r="IX41" i="1"/>
  <c r="IX55" i="1"/>
  <c r="IT52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Y22" i="1"/>
  <c r="IY33" i="1"/>
  <c r="IT40" i="1"/>
  <c r="IT53" i="1"/>
  <c r="IT58" i="1"/>
  <c r="IY54" i="1"/>
  <c r="IT63" i="1"/>
  <c r="IT22" i="1"/>
  <c r="IT26" i="1"/>
  <c r="IY23" i="1"/>
  <c r="IY66" i="1"/>
  <c r="IT80" i="1"/>
  <c r="IT116" i="1"/>
  <c r="IY100" i="1"/>
  <c r="AT27" i="7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IX120" i="1" s="1"/>
  <c r="IF120" i="1" s="1"/>
  <c r="AP120" i="1"/>
  <c r="AO102" i="1"/>
  <c r="AP102" i="1"/>
  <c r="AO101" i="1"/>
  <c r="AP101" i="1"/>
  <c r="AO128" i="1"/>
  <c r="AP128" i="1"/>
  <c r="AO122" i="1"/>
  <c r="IX122" i="1" s="1"/>
  <c r="IF122" i="1" s="1"/>
  <c r="AP122" i="1"/>
  <c r="BA77" i="7"/>
  <c r="BA81" i="7"/>
  <c r="AO98" i="1"/>
  <c r="AP98" i="1"/>
  <c r="AO106" i="1"/>
  <c r="AP106" i="1"/>
  <c r="AO119" i="1"/>
  <c r="IX119" i="1" s="1"/>
  <c r="IF119" i="1" s="1"/>
  <c r="AP119" i="1"/>
  <c r="AP94" i="1"/>
  <c r="AO94" i="1"/>
  <c r="IX94" i="1" s="1"/>
  <c r="IF94" i="1" s="1"/>
  <c r="AO114" i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IX121" i="1" s="1"/>
  <c r="IF121" i="1" s="1"/>
  <c r="AP107" i="1"/>
  <c r="AO107" i="1"/>
  <c r="AP100" i="1"/>
  <c r="AO100" i="1"/>
  <c r="IS107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X90" i="1" s="1"/>
  <c r="IF90" i="1" s="1"/>
  <c r="AP90" i="1"/>
  <c r="AO87" i="1"/>
  <c r="AP87" i="1"/>
  <c r="AO88" i="1"/>
  <c r="AP88" i="1"/>
  <c r="AP86" i="1"/>
  <c r="AO86" i="1"/>
  <c r="IS91" i="1" s="1"/>
  <c r="AP85" i="1"/>
  <c r="AP84" i="1"/>
  <c r="AO84" i="1"/>
  <c r="AP83" i="1"/>
  <c r="AO83" i="1"/>
  <c r="IX83" i="1" s="1"/>
  <c r="IF83" i="1" s="1"/>
  <c r="AO81" i="1"/>
  <c r="IS89" i="1" s="1"/>
  <c r="AP81" i="1"/>
  <c r="AO82" i="1"/>
  <c r="IS90" i="1" s="1"/>
  <c r="AP82" i="1"/>
  <c r="AO79" i="1"/>
  <c r="AP79" i="1"/>
  <c r="AP80" i="1"/>
  <c r="AO80" i="1"/>
  <c r="IS87" i="1" s="1"/>
  <c r="AO77" i="1"/>
  <c r="AP77" i="1"/>
  <c r="AP78" i="1"/>
  <c r="AO78" i="1"/>
  <c r="AO75" i="1"/>
  <c r="IX75" i="1" s="1"/>
  <c r="IF75" i="1" s="1"/>
  <c r="AP75" i="1"/>
  <c r="AO76" i="1"/>
  <c r="AP76" i="1"/>
  <c r="AP73" i="1"/>
  <c r="AO73" i="1"/>
  <c r="IX73" i="1" s="1"/>
  <c r="IF73" i="1" s="1"/>
  <c r="AP74" i="1"/>
  <c r="AO74" i="1"/>
  <c r="AP71" i="1"/>
  <c r="AO72" i="1"/>
  <c r="AP72" i="1"/>
  <c r="AO69" i="1"/>
  <c r="IS77" i="1" s="1"/>
  <c r="AP69" i="1"/>
  <c r="AP70" i="1"/>
  <c r="AO70" i="1"/>
  <c r="AO67" i="1"/>
  <c r="IS73" i="1" s="1"/>
  <c r="AP67" i="1"/>
  <c r="AO68" i="1"/>
  <c r="IX68" i="1" s="1"/>
  <c r="IF68" i="1" s="1"/>
  <c r="AP68" i="1"/>
  <c r="AO65" i="1"/>
  <c r="AP65" i="1"/>
  <c r="AP66" i="1"/>
  <c r="AO66" i="1"/>
  <c r="IS72" i="1" s="1"/>
  <c r="AO63" i="1"/>
  <c r="AP63" i="1"/>
  <c r="AO64" i="1"/>
  <c r="AP64" i="1"/>
  <c r="AP62" i="1"/>
  <c r="AO62" i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8" i="1" s="1"/>
  <c r="AN47" i="1"/>
  <c r="IT54" i="1" s="1"/>
  <c r="AP47" i="1"/>
  <c r="AO48" i="1"/>
  <c r="IS55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IS38" i="1" s="1"/>
  <c r="AP31" i="1"/>
  <c r="AO32" i="1"/>
  <c r="IX32" i="1" s="1"/>
  <c r="IF32" i="1" s="1"/>
  <c r="AP32" i="1"/>
  <c r="AO29" i="1"/>
  <c r="IS32" i="1" s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IX15" i="1" s="1"/>
  <c r="AO16" i="1"/>
  <c r="AP16" i="1"/>
  <c r="AO13" i="1"/>
  <c r="IS15" i="1" s="1"/>
  <c r="AP13" i="1"/>
  <c r="AO14" i="1"/>
  <c r="IX14" i="1" s="1"/>
  <c r="IF14" i="1" s="1"/>
  <c r="AP14" i="1"/>
  <c r="AP11" i="1"/>
  <c r="AO12" i="1"/>
  <c r="IS14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F15" i="1" l="1"/>
  <c r="IS111" i="1"/>
  <c r="IX104" i="1"/>
  <c r="IS113" i="1"/>
  <c r="IX106" i="1"/>
  <c r="IF71" i="1"/>
  <c r="IF105" i="1"/>
  <c r="IS20" i="1"/>
  <c r="IX112" i="1"/>
  <c r="IF112" i="1" s="1"/>
  <c r="IS119" i="1"/>
  <c r="IX96" i="1"/>
  <c r="IF96" i="1" s="1"/>
  <c r="IS103" i="1"/>
  <c r="IX97" i="1"/>
  <c r="IF97" i="1" s="1"/>
  <c r="IS104" i="1"/>
  <c r="IX114" i="1"/>
  <c r="IF114" i="1" s="1"/>
  <c r="IS121" i="1"/>
  <c r="IX98" i="1"/>
  <c r="IF98" i="1" s="1"/>
  <c r="IS105" i="1"/>
  <c r="IS112" i="1"/>
  <c r="IX105" i="1"/>
  <c r="IF106" i="1"/>
  <c r="IS78" i="1"/>
  <c r="IX72" i="1"/>
  <c r="IF72" i="1" s="1"/>
  <c r="IS92" i="1"/>
  <c r="IX99" i="1"/>
  <c r="IF99" i="1" s="1"/>
  <c r="IS106" i="1"/>
  <c r="IX115" i="1"/>
  <c r="IF115" i="1" s="1"/>
  <c r="IS122" i="1"/>
  <c r="IS86" i="1"/>
  <c r="IS114" i="1"/>
  <c r="IX107" i="1"/>
  <c r="IF107" i="1" s="1"/>
  <c r="IT55" i="1"/>
  <c r="IS56" i="1"/>
  <c r="IF104" i="1"/>
  <c r="IX113" i="1"/>
  <c r="IF113" i="1" s="1"/>
  <c r="IS120" i="1"/>
  <c r="IF49" i="1"/>
  <c r="IS34" i="1"/>
  <c r="IS64" i="1"/>
  <c r="IS98" i="1"/>
  <c r="IX91" i="1"/>
  <c r="IF91" i="1" s="1"/>
  <c r="IX63" i="1"/>
  <c r="IF63" i="1" s="1"/>
  <c r="IS70" i="1"/>
  <c r="IX78" i="1"/>
  <c r="IF78" i="1" s="1"/>
  <c r="IS85" i="1"/>
  <c r="IS99" i="1"/>
  <c r="IS76" i="1"/>
  <c r="IX70" i="1"/>
  <c r="IF70" i="1" s="1"/>
  <c r="IS95" i="1"/>
  <c r="IX86" i="1"/>
  <c r="IF86" i="1" s="1"/>
  <c r="IX64" i="1"/>
  <c r="IF64" i="1" s="1"/>
  <c r="IS71" i="1"/>
  <c r="IS96" i="1"/>
  <c r="IX87" i="1"/>
  <c r="IF87" i="1" s="1"/>
  <c r="IX61" i="1"/>
  <c r="IF61" i="1" s="1"/>
  <c r="IS68" i="1"/>
  <c r="IF85" i="1"/>
  <c r="IX50" i="1"/>
  <c r="IF50" i="1" s="1"/>
  <c r="IS57" i="1"/>
  <c r="IX62" i="1"/>
  <c r="IF62" i="1" s="1"/>
  <c r="IS69" i="1"/>
  <c r="IX77" i="1"/>
  <c r="IF77" i="1" s="1"/>
  <c r="IS84" i="1"/>
  <c r="IX81" i="1"/>
  <c r="IF81" i="1" s="1"/>
  <c r="IS88" i="1"/>
  <c r="IS93" i="1"/>
  <c r="IX84" i="1"/>
  <c r="IF84" i="1" s="1"/>
  <c r="IT60" i="1"/>
  <c r="IY57" i="1"/>
  <c r="IF57" i="1" s="1"/>
  <c r="IS75" i="1"/>
  <c r="IX69" i="1"/>
  <c r="IF69" i="1" s="1"/>
  <c r="IS97" i="1"/>
  <c r="IX88" i="1"/>
  <c r="IF88" i="1" s="1"/>
  <c r="IS49" i="1"/>
  <c r="IX38" i="1"/>
  <c r="IF38" i="1" s="1"/>
  <c r="IX76" i="1"/>
  <c r="IF76" i="1" s="1"/>
  <c r="IS83" i="1"/>
  <c r="IX36" i="1"/>
  <c r="IF36" i="1" s="1"/>
  <c r="IS37" i="1"/>
  <c r="IS31" i="1"/>
  <c r="IS47" i="1"/>
  <c r="IF41" i="1"/>
  <c r="IS19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<sst xmlns="http://schemas.openxmlformats.org/spreadsheetml/2006/main" count="736" uniqueCount="393">
  <si>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</si>
  <si>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</si>
  <si>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</si>
  <si>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</si>
  <si>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</si>
  <si>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</si>
  <si>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</si>
  <si>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</si>
  <si>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</si>
  <si>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</si>
  <si>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</si>
  <si>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</si>
  <si>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</si>
  <si>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</si>
  <si>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</si>
  <si>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</si>
  <si>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</si>
  <si>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</si>
  <si>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</si>
  <si>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</si>
  <si>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</si>
  <si>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</si>
  <si>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</si>
  <si>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</si>
  <si>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</si>
  <si>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</si>
  <si>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</si>
  <si>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</si>
  <si>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</si>
  <si>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</si>
  <si>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</si>
  <si>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</si>
  <si>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</si>
  <si>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</si>
  <si>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</si>
  <si>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</si>
  <si>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</si>
  <si>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</si>
  <si>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</si>
  <si>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</si>
  <si>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</si>
  <si>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</si>
  <si>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</si>
  <si>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</si>
  <si>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</si>
  <si>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</si>
  <si>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</si>
  <si>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</si>
  <si>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</si>
  <si>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</si>
  <si>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</si>
  <si>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</si>
  <si>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</si>
  <si>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</si>
  <si>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</si>
  <si>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</si>
  <si>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</si>
  <si>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</si>
  <si>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</si>
  <si>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</si>
  <si>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</si>
  <si>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</si>
  <si>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</si>
  <si>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</si>
  <si>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</si>
  <si>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</si>
  <si>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</si>
  <si>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</si>
  <si>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</si>
  <si>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</si>
  <si>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</si>
  <si>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</si>
  <si>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</si>
  <si>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</si>
  <si>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</si>
  <si>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</si>
  <si>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</si>
  <si>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</si>
  <si>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</si>
  <si>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</si>
  <si>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</si>
  <si>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</si>
  <si>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</si>
  <si>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</si>
  <si>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</si>
  <si>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</si>
  <si>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</si>
  <si>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</si>
  <si>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</si>
  <si>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</si>
  <si>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</si>
  <si>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</si>
  <si>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</si>
  <si>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</si>
  <si>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</si>
  <si>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</si>
  <si>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</si>
  <si>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</si>
  <si>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</si>
  <si>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</si>
  <si>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</si>
  <si>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</si>
  <si>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</si>
  <si>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</si>
  <si>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</si>
  <si>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</si>
  <si>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</si>
  <si>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</si>
  <si>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</si>
  <si>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</si>
  <si>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</si>
  <si>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</si>
  <si>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</si>
  <si>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</si>
  <si>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</si>
  <si>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</si>
  <si>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</si>
  <si>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</si>
  <si>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</si>
  <si>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</si>
  <si>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</si>
  <si>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</si>
  <si>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</si>
  <si>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</si>
  <si>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</si>
  <si>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</si>
  <si>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</si>
  <si>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</si>
  <si>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</si>
  <si>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</si>
  <si>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</si>
  <si>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</si>
  <si>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</si>
  <si>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</si>
  <si>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</si>
  <si>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</si>
  <si>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</si>
  <si>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</si>
  <si>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</si>
  <si>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</si>
  <si>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</si>
  <si>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</si>
  <si>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</si>
  <si>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</si>
  <si>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</si>
  <si>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</si>
  <si>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</si>
  <si>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</si>
  <si>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</si>
  <si>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</si>
  <si>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</si>
  <si>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</si>
  <si>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</si>
  <si>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</si>
  <si>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</si>
  <si>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</si>
  <si>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</si>
  <si>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</si>
  <si>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</si>
  <si>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</si>
  <si>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</si>
  <si>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</si>
  <si>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</si>
  <si>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</si>
  <si>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</si>
  <si>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</si>
  <si>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</si>
  <si>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</si>
  <si>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</si>
  <si>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</si>
  <si>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</si>
  <si>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</si>
  <si>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</si>
  <si>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</si>
  <si>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</si>
  <si>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</si>
  <si>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</si>
  <si>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</si>
  <si>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</si>
  <si>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</si>
  <si>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</si>
  <si>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</si>
  <si>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</si>
  <si>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</si>
  <si>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</si>
  <si>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</si>
  <si>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</si>
  <si>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</si>
  <si>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</si>
  <si>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</si>
  <si>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</si>
  <si>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</si>
  <si>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</si>
  <si>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</si>
  <si>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</si>
  <si>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</si>
  <si>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</si>
  <si>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</si>
  <si>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</si>
  <si>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</si>
  <si>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</si>
  <si>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</si>
  <si>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</si>
  <si>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</si>
  <si>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</si>
  <si>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</si>
  <si>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</si>
  <si>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</si>
  <si>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</si>
  <si>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</si>
  <si>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</si>
  <si>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</si>
  <si>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</si>
  <si>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</si>
  <si>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</si>
  <si>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</si>
  <si>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</si>
  <si>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</si>
  <si>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</si>
  <si>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</si>
  <si>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</si>
  <si>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</si>
  <si>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</si>
  <si>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</si>
  <si>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</si>
  <si>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</si>
  <si>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</si>
  <si>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</si>
  <si>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</si>
  <si>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</si>
  <si>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</si>
  <si>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</si>
  <si>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</si>
  <si>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</si>
  <si>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</si>
  <si>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</si>
  <si>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</si>
  <si>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</si>
  <si>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</si>
  <si>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</si>
  <si>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</si>
  <si>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</si>
  <si>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</si>
  <si>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</si>
  <si>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</si>
  <si>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</si>
  <si>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</si>
  <si>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</si>
  <si>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</si>
  <si>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</si>
  <si>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</si>
  <si>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</si>
  <si>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</si>
  <si>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</si>
  <si>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</si>
  <si>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</si>
  <si>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</si>
  <si>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</si>
  <si>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</si>
  <si>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</si>
  <si>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</si>
  <si>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</si>
  <si>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</si>
  <si>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</si>
  <si>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</si>
  <si>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</si>
  <si>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</si>
  <si>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</si>
  <si>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</si>
  <si>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</si>
  <si>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</si>
  <si>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</si>
  <si>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</si>
  <si>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</si>
  <si>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</si>
  <si>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</si>
  <si>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</si>
  <si>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</si>
  <si>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</si>
  <si>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</si>
  <si>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</si>
  <si>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</si>
  <si>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</si>
  <si>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</si>
  <si>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</si>
  <si>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</si>
  <si>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</si>
  <si>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</si>
  <si>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</si>
  <si>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</si>
  <si>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</si>
  <si>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</si>
  <si>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</si>
  <si>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</si>
  <si>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</si>
  <si>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</si>
  <si>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</si>
  <si>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</si>
  <si>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</si>
  <si>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</si>
  <si>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</si>
  <si>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</si>
  <si>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</si>
  <si>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</si>
  <si>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</si>
  <si>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</si>
  <si>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</si>
  <si>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</si>
  <si>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</si>
  <si>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</si>
  <si>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</si>
  <si>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</si>
  <si>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</si>
  <si>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</si>
  <si>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</si>
  <si>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</si>
  <si>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</si>
  <si>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</si>
  <si>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</si>
  <si>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</si>
  <si>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</si>
  <si>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</si>
  <si>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</si>
  <si>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</si>
  <si>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</si>
  <si>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</si>
  <si>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</si>
  <si>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</si>
  <si>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</si>
  <si>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</si>
  <si>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</si>
  <si>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</si>
  <si>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</si>
  <si>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</si>
  <si>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</si>
  <si>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</si>
  <si>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</si>
  <si>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</si>
  <si>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</si>
  <si>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</si>
  <si>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</si>
  <si>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</si>
  <si>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</si>
  <si>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</si>
  <si>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</si>
  <si>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</si>
  <si>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</si>
  <si>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</si>
  <si>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</si>
  <si>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</si>
  <si>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</si>
  <si>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</si>
  <si>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</si>
  <si>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</si>
  <si>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</si>
  <si>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</si>
  <si>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</si>
  <si>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</si>
  <si>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</si>
  <si>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</si>
  <si>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</si>
  <si>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</si>
  <si>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</si>
  <si>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</si>
  <si>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</si>
  <si>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</si>
  <si>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</si>
  <si>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</si>
  <si>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</si>
  <si>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</si>
  <si>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</si>
  <si>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</si>
  <si>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</si>
  <si>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</si>
  <si>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</si>
  <si>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</si>
  <si>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</si>
  <si>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</si>
  <si>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</si>
  <si>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</si>
  <si>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</si>
  <si>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</si>
  <si>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</si>
  <si>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</si>
  <si>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</si>
  <si>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</si>
  <si>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</si>
  <si>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</si>
  <si>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</si>
  <si>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</si>
  <si>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</si>
  <si>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old 2268</t>
  </si>
  <si>
    <t>new 2268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</si>
</sst>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3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2" t="s">
        <v>77</v>
      </c>
      <c r="D1" s="912"/>
      <c r="E1" s="912"/>
      <c r="F1" s="912"/>
      <c r="G1" s="912"/>
      <c r="H1" s="912"/>
      <c r="I1" s="912"/>
      <c r="J1" s="912"/>
      <c r="K1" s="912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9" t="s">
        <v>80</v>
      </c>
      <c r="B6" s="899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8" t="s">
        <v>379</v>
      </c>
      <c r="AQ7" s="898"/>
      <c r="AR7" s="898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4">
        <v>9</v>
      </c>
      <c r="D9" s="874"/>
      <c r="E9" s="874"/>
      <c r="F9" s="874"/>
      <c r="G9" s="874"/>
      <c r="H9" s="874"/>
      <c r="I9" s="874"/>
      <c r="J9" s="874"/>
      <c r="K9" s="905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3"/>
      <c r="C10" s="894"/>
      <c r="D10" s="894"/>
      <c r="E10" s="894"/>
      <c r="F10" s="894"/>
      <c r="G10" s="894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0"/>
      <c r="B11" s="900" t="s">
        <v>33</v>
      </c>
      <c r="C11" s="909" t="s">
        <v>34</v>
      </c>
      <c r="D11" s="909"/>
      <c r="E11" s="906" t="s">
        <v>39</v>
      </c>
      <c r="F11" s="900" t="s">
        <v>35</v>
      </c>
      <c r="G11" s="900" t="s">
        <v>36</v>
      </c>
      <c r="H11" s="900" t="s">
        <v>43</v>
      </c>
      <c r="I11" s="907" t="s">
        <v>67</v>
      </c>
      <c r="J11" s="909" t="s">
        <v>56</v>
      </c>
      <c r="K11" s="909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3" t="s">
        <v>347</v>
      </c>
      <c r="AN11" s="874"/>
      <c r="AO11" s="874"/>
      <c r="AP11" s="874"/>
      <c r="AQ11" s="874"/>
      <c r="AR11" s="875"/>
      <c r="AS11" s="884" t="s">
        <v>354</v>
      </c>
      <c r="AT11" s="885"/>
      <c r="AU11" s="885"/>
      <c r="AV11" s="886"/>
      <c r="BC11" s="470"/>
    </row>
    <row r="12" spans="1:55" ht="15.75" thickBot="1" x14ac:dyDescent="0.3">
      <c r="A12" s="911"/>
      <c r="B12" s="901"/>
      <c r="C12" s="48" t="s">
        <v>8</v>
      </c>
      <c r="D12" s="49" t="s">
        <v>10</v>
      </c>
      <c r="E12" s="901"/>
      <c r="F12" s="901"/>
      <c r="G12" s="901"/>
      <c r="H12" s="901"/>
      <c r="I12" s="908"/>
      <c r="J12" s="53" t="s">
        <v>8</v>
      </c>
      <c r="K12" s="54" t="s">
        <v>10</v>
      </c>
      <c r="M12" s="31"/>
      <c r="N12" s="31"/>
      <c r="O12" s="921" t="s">
        <v>46</v>
      </c>
      <c r="P12" s="922"/>
      <c r="Q12" s="902" t="s">
        <v>45</v>
      </c>
      <c r="R12" s="903"/>
      <c r="S12" s="903"/>
      <c r="T12" s="903"/>
      <c r="U12" s="903"/>
      <c r="V12" s="903"/>
      <c r="W12" s="903"/>
      <c r="X12" s="903"/>
      <c r="Y12" s="903"/>
      <c r="Z12" s="903"/>
      <c r="AA12" s="903"/>
      <c r="AB12" s="903"/>
      <c r="AC12" s="903"/>
      <c r="AD12" s="903"/>
      <c r="AE12" s="904"/>
      <c r="AF12" s="915" t="s">
        <v>56</v>
      </c>
      <c r="AG12" s="916"/>
      <c r="AH12" s="31"/>
      <c r="AK12" s="879" t="s">
        <v>355</v>
      </c>
      <c r="AL12" s="895"/>
      <c r="AM12" s="876" t="s">
        <v>352</v>
      </c>
      <c r="AN12" s="877"/>
      <c r="AO12" s="878"/>
      <c r="AP12" s="879" t="s">
        <v>380</v>
      </c>
      <c r="AQ12" s="878"/>
      <c r="AR12" s="802" t="s">
        <v>378</v>
      </c>
      <c r="AS12" s="881" t="s">
        <v>352</v>
      </c>
      <c r="AT12" s="878"/>
      <c r="AU12" s="882" t="s">
        <v>353</v>
      </c>
      <c r="AV12" s="883"/>
      <c r="AW12" s="887" t="s">
        <v>351</v>
      </c>
      <c r="AX12" s="888"/>
      <c r="AZ12" s="879" t="s">
        <v>60</v>
      </c>
      <c r="BA12" s="878"/>
      <c r="BC12" s="880" t="s">
        <v>383</v>
      </c>
    </row>
    <row r="13" spans="1:55" ht="15.75" thickBot="1" x14ac:dyDescent="0.3">
      <c r="A13" s="64" t="s">
        <v>57</v>
      </c>
      <c r="B13" s="889" t="s">
        <v>97</v>
      </c>
      <c r="C13" s="891" t="str">
        <f>SUBSTITUTE(ADDRESS(1,COLUMN(Assy.Model!X9),4),"1","")</f>
        <v>X</v>
      </c>
      <c r="D13" s="101" t="str">
        <f>SUBSTITUTE(ADDRESS(1,COLUMN(Assy.Model!Y9),4),"1","")</f>
        <v>Y</v>
      </c>
      <c r="E13" s="896" t="str">
        <f>SUBSTITUTE(ADDRESS(1,COLUMN(Assy.Model!H9),4),"1","")</f>
        <v>H</v>
      </c>
      <c r="F13" s="896" t="str">
        <f>SUBSTITUTE(ADDRESS(1,COLUMN(Assy.Model!AN9),4),"1","")</f>
        <v>AN</v>
      </c>
      <c r="G13" s="896" t="str">
        <f>SUBSTITUTE(ADDRESS(1,COLUMN(Assy.Model!AO9),4),"1","")</f>
        <v>AO</v>
      </c>
      <c r="H13" s="896" t="str">
        <f>SUBSTITUTE(ADDRESS(1,COLUMN(Assy.Model!AO9),4),"1","")</f>
        <v>AO</v>
      </c>
      <c r="I13" s="896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3"/>
      <c r="P13" s="924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0"/>
    </row>
    <row r="14" spans="1:55" x14ac:dyDescent="0.25">
      <c r="A14" s="62" t="s">
        <v>58</v>
      </c>
      <c r="B14" s="890"/>
      <c r="C14" s="892"/>
      <c r="D14" s="102" t="str">
        <f>SUBSTITUTE(ADDRESS(1,COLUMN(Assy.Model!AT9),4),"1","")</f>
        <v>AT</v>
      </c>
      <c r="E14" s="897"/>
      <c r="F14" s="897"/>
      <c r="G14" s="897"/>
      <c r="H14" s="897"/>
      <c r="I14" s="897"/>
      <c r="J14" s="91">
        <v>0</v>
      </c>
      <c r="K14" s="92">
        <v>0</v>
      </c>
      <c r="L14" s="31"/>
      <c r="M14" s="190">
        <v>6.25E-2</v>
      </c>
      <c r="N14" s="31">
        <v>32</v>
      </c>
      <c r="O14" s="919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9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9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9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9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6.125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9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0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4" t="s">
        <v>64</v>
      </c>
      <c r="C21" s="874"/>
      <c r="D21" s="874"/>
      <c r="E21" s="874"/>
      <c r="F21" s="905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0"/>
      <c r="C22" s="904" t="s">
        <v>63</v>
      </c>
      <c r="D22" s="905"/>
      <c r="E22" s="907" t="s">
        <v>60</v>
      </c>
      <c r="F22" s="907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5"/>
      <c r="C23" s="57" t="s">
        <v>8</v>
      </c>
      <c r="D23" s="57" t="s">
        <v>9</v>
      </c>
      <c r="E23" s="908"/>
      <c r="F23" s="908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7">
        <v>0</v>
      </c>
      <c r="E24" s="917">
        <v>2</v>
      </c>
      <c r="F24" s="917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3.0625</v>
      </c>
      <c r="D25" s="918"/>
      <c r="E25" s="918"/>
      <c r="F25" s="918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3" t="s">
        <v>311</v>
      </c>
      <c r="C27" s="913"/>
      <c r="D27" s="913"/>
      <c r="E27" s="913"/>
      <c r="F27" s="913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4" t="s">
        <v>390</v>
      </c>
      <c r="C28" s="914"/>
      <c r="D28" s="914"/>
      <c r="E28" s="914"/>
      <c r="F28" s="914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4" t="s">
        <v>95</v>
      </c>
      <c r="D3" s="874"/>
      <c r="E3" s="874"/>
      <c r="F3" s="874"/>
      <c r="G3" s="874"/>
      <c r="H3" s="874"/>
      <c r="I3" s="874"/>
      <c r="J3" s="874"/>
      <c r="K3" s="875"/>
      <c r="L3" s="931"/>
      <c r="M3" s="874"/>
      <c r="N3" s="874"/>
      <c r="O3" s="874"/>
      <c r="P3" s="874"/>
      <c r="Q3" s="874"/>
      <c r="R3" s="905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3" t="s">
        <v>86</v>
      </c>
      <c r="C4" s="970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0" t="s">
        <v>91</v>
      </c>
      <c r="M4" s="904" t="s">
        <v>94</v>
      </c>
      <c r="N4" s="874"/>
      <c r="O4" s="874"/>
      <c r="P4" s="875"/>
      <c r="Q4" s="874" t="s">
        <v>52</v>
      </c>
      <c r="R4" s="905"/>
      <c r="S4" s="107"/>
      <c r="T4" s="904">
        <v>350</v>
      </c>
      <c r="U4" s="874"/>
      <c r="V4" s="874" t="s">
        <v>76</v>
      </c>
      <c r="W4" s="874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4"/>
      <c r="C5" s="971"/>
      <c r="D5" s="959" t="s">
        <v>85</v>
      </c>
      <c r="E5" s="973" t="s">
        <v>89</v>
      </c>
      <c r="F5" s="909" t="s">
        <v>34</v>
      </c>
      <c r="G5" s="909"/>
      <c r="H5" s="906" t="s">
        <v>39</v>
      </c>
      <c r="I5" s="900" t="s">
        <v>35</v>
      </c>
      <c r="J5" s="900" t="s">
        <v>36</v>
      </c>
      <c r="K5" s="943" t="s">
        <v>67</v>
      </c>
      <c r="L5" s="151" t="s">
        <v>92</v>
      </c>
      <c r="M5" s="907" t="s">
        <v>90</v>
      </c>
      <c r="N5" s="907" t="s">
        <v>47</v>
      </c>
      <c r="O5" s="926" t="s">
        <v>84</v>
      </c>
      <c r="P5" s="927"/>
      <c r="Q5" s="928" t="s">
        <v>84</v>
      </c>
      <c r="R5" s="929"/>
      <c r="S5" s="107"/>
      <c r="T5" s="921" t="s">
        <v>46</v>
      </c>
      <c r="U5" s="932"/>
      <c r="V5" s="888" t="s">
        <v>45</v>
      </c>
      <c r="W5" s="916"/>
      <c r="X5" s="916"/>
      <c r="Y5" s="916"/>
      <c r="Z5" s="916"/>
      <c r="AA5" s="916"/>
      <c r="AB5" s="916"/>
      <c r="AC5" s="916"/>
      <c r="AD5" s="916"/>
      <c r="AE5" s="916"/>
      <c r="AF5" s="916"/>
      <c r="AG5" s="916"/>
      <c r="AH5" s="916"/>
      <c r="AI5" s="916"/>
      <c r="AJ5" s="916"/>
      <c r="AK5" s="31"/>
      <c r="AL5" s="31"/>
    </row>
    <row r="6" spans="2:38" ht="15" customHeight="1" thickBot="1" x14ac:dyDescent="0.3">
      <c r="B6" s="955"/>
      <c r="C6" s="972"/>
      <c r="D6" s="960"/>
      <c r="E6" s="974"/>
      <c r="F6" s="108" t="s">
        <v>8</v>
      </c>
      <c r="G6" s="109" t="s">
        <v>10</v>
      </c>
      <c r="H6" s="944"/>
      <c r="I6" s="944"/>
      <c r="J6" s="944"/>
      <c r="K6" s="933"/>
      <c r="L6" s="152" t="s">
        <v>93</v>
      </c>
      <c r="M6" s="930"/>
      <c r="N6" s="930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3"/>
      <c r="U6" s="93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1">
        <f>ROW(Assy.Model!B9)</f>
        <v>9</v>
      </c>
      <c r="D7" s="950" t="str">
        <f>SUBSTITUTE(ADDRESS(1,COLUMN(Assy.Model!B9),4),"1","")</f>
        <v>B</v>
      </c>
      <c r="E7" s="964" t="str">
        <f>SUBSTITUTE(ADDRESS(1,COLUMN(Assy.Model!M9),4),"1","")</f>
        <v>M</v>
      </c>
      <c r="F7" s="967" t="str">
        <f>SUBSTITUTE(ADDRESS(1,COLUMN(Assy.Model!X9),4),"1","")</f>
        <v>X</v>
      </c>
      <c r="G7" s="956" t="str">
        <f>SUBSTITUTE(ADDRESS(1,COLUMN(Assy.Model!AT9),4),"1","")</f>
        <v>AT</v>
      </c>
      <c r="H7" s="935" t="str">
        <f>SUBSTITUTE(ADDRESS(1,COLUMN(Assy.Model!H9),4),"1","")</f>
        <v>H</v>
      </c>
      <c r="I7" s="935" t="str">
        <f>SUBSTITUTE(ADDRESS(1,COLUMN(Assy.Model!AN9),4),"1","")</f>
        <v>AN</v>
      </c>
      <c r="J7" s="935" t="str">
        <f>SUBSTITUTE(ADDRESS(1,COLUMN(Assy.Model!AO9),4),"1","")</f>
        <v>AO</v>
      </c>
      <c r="K7" s="938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7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5" t="s">
        <v>81</v>
      </c>
      <c r="C8" s="962"/>
      <c r="D8" s="951"/>
      <c r="E8" s="965"/>
      <c r="F8" s="968"/>
      <c r="G8" s="957"/>
      <c r="H8" s="936"/>
      <c r="I8" s="936"/>
      <c r="J8" s="936"/>
      <c r="K8" s="939"/>
      <c r="L8" s="153" t="s">
        <v>93</v>
      </c>
      <c r="M8" s="941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8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5"/>
      <c r="C9" s="962"/>
      <c r="D9" s="951"/>
      <c r="E9" s="965"/>
      <c r="F9" s="968"/>
      <c r="G9" s="957"/>
      <c r="H9" s="936"/>
      <c r="I9" s="936"/>
      <c r="J9" s="936"/>
      <c r="K9" s="939"/>
      <c r="L9" s="153" t="s">
        <v>92</v>
      </c>
      <c r="M9" s="941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8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5"/>
      <c r="C10" s="962"/>
      <c r="D10" s="951"/>
      <c r="E10" s="965"/>
      <c r="F10" s="968"/>
      <c r="G10" s="957"/>
      <c r="H10" s="936"/>
      <c r="I10" s="936"/>
      <c r="J10" s="936"/>
      <c r="K10" s="939"/>
      <c r="L10" s="153" t="s">
        <v>92</v>
      </c>
      <c r="M10" s="941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8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5"/>
      <c r="C11" s="962"/>
      <c r="D11" s="951"/>
      <c r="E11" s="965"/>
      <c r="F11" s="968"/>
      <c r="G11" s="957"/>
      <c r="H11" s="936"/>
      <c r="I11" s="936"/>
      <c r="J11" s="936"/>
      <c r="K11" s="939"/>
      <c r="L11" s="153" t="s">
        <v>92</v>
      </c>
      <c r="M11" s="941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8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5"/>
      <c r="C12" s="962"/>
      <c r="D12" s="951"/>
      <c r="E12" s="965"/>
      <c r="F12" s="968"/>
      <c r="G12" s="957"/>
      <c r="H12" s="936"/>
      <c r="I12" s="936"/>
      <c r="J12" s="936"/>
      <c r="K12" s="939"/>
      <c r="L12" s="153" t="s">
        <v>92</v>
      </c>
      <c r="M12" s="941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8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5"/>
      <c r="C13" s="962"/>
      <c r="D13" s="951"/>
      <c r="E13" s="965"/>
      <c r="F13" s="968"/>
      <c r="G13" s="957"/>
      <c r="H13" s="936"/>
      <c r="I13" s="936"/>
      <c r="J13" s="936"/>
      <c r="K13" s="939"/>
      <c r="L13" s="153" t="s">
        <v>92</v>
      </c>
      <c r="M13" s="941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8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6"/>
      <c r="C14" s="963"/>
      <c r="D14" s="952"/>
      <c r="E14" s="966"/>
      <c r="F14" s="969"/>
      <c r="G14" s="958"/>
      <c r="H14" s="937"/>
      <c r="I14" s="937"/>
      <c r="J14" s="937"/>
      <c r="K14" s="940"/>
      <c r="L14" s="154" t="s">
        <v>93</v>
      </c>
      <c r="M14" s="942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9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8" t="str">
        <f>CONCATENATE(Settings!$C$19," ",Settings!$B$28)</f>
        <v>6.125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9" t="s">
        <v>315</v>
      </c>
      <c r="C2" s="1240"/>
      <c r="D2" s="1240"/>
      <c r="E2" s="1240"/>
      <c r="F2" s="1240"/>
      <c r="G2" s="1240"/>
      <c r="H2" s="1240"/>
      <c r="I2" s="1240"/>
      <c r="J2" s="1240"/>
      <c r="K2" s="1241"/>
      <c r="L2" s="983" t="str" cm="1">
        <f t="array" ref="L2">IF(OR($K$9:$K$150="Undefined"),"Undefined Element","")</f>
        <v/>
      </c>
      <c r="M2" s="1247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199" t="s">
        <v>0</v>
      </c>
      <c r="AW2" s="1141" t="s">
        <v>109</v>
      </c>
      <c r="AX2" s="1142"/>
      <c r="AY2" s="1142"/>
      <c r="AZ2" s="1142"/>
      <c r="BA2" s="1142"/>
      <c r="BB2" s="1142"/>
      <c r="BC2" s="1142"/>
      <c r="BD2" s="1142"/>
      <c r="BE2" s="1143"/>
      <c r="BF2" s="1153" t="s">
        <v>115</v>
      </c>
      <c r="BG2" s="1142"/>
      <c r="BH2" s="1142"/>
      <c r="BI2" s="1142"/>
      <c r="BJ2" s="1142"/>
      <c r="BK2" s="1142"/>
      <c r="BL2" s="1142"/>
      <c r="BM2" s="1142"/>
      <c r="BN2" s="1142"/>
      <c r="BO2" s="1142"/>
      <c r="BP2" s="1142"/>
      <c r="BQ2" s="1142"/>
      <c r="BR2" s="1142"/>
      <c r="BS2" s="1142"/>
      <c r="BT2" s="1142"/>
      <c r="BU2" s="1142"/>
      <c r="BV2" s="1142"/>
      <c r="BW2" s="1142"/>
      <c r="BX2" s="1142"/>
      <c r="BY2" s="1142"/>
      <c r="BZ2" s="1142"/>
      <c r="CA2" s="1142"/>
      <c r="CB2" s="1142"/>
      <c r="CC2" s="1142"/>
      <c r="CD2" s="1142"/>
      <c r="CE2" s="1142"/>
      <c r="CF2" s="1142"/>
      <c r="CG2" s="1142"/>
      <c r="CH2" s="1142"/>
      <c r="CI2" s="1142"/>
      <c r="CJ2" s="1142"/>
      <c r="CK2" s="1142"/>
      <c r="CL2" s="1142"/>
      <c r="CM2" s="1142"/>
      <c r="CN2" s="1142"/>
      <c r="CO2" s="1142"/>
      <c r="CP2" s="1142"/>
      <c r="CQ2" s="1142"/>
      <c r="CR2" s="1142"/>
      <c r="CS2" s="1142"/>
      <c r="CT2" s="1142"/>
      <c r="CU2" s="1142"/>
      <c r="CV2" s="1142"/>
      <c r="CW2" s="1142"/>
      <c r="CX2" s="1142"/>
      <c r="CY2" s="1142"/>
      <c r="CZ2" s="1142"/>
      <c r="DA2" s="1142"/>
      <c r="DB2" s="1142"/>
      <c r="DC2" s="1142"/>
      <c r="DD2" s="1142"/>
      <c r="DE2" s="1142"/>
      <c r="DF2" s="1142"/>
      <c r="DG2" s="1142"/>
      <c r="DH2" s="1142"/>
      <c r="DI2" s="1142"/>
      <c r="DJ2" s="1142"/>
      <c r="DK2" s="1142"/>
      <c r="DL2" s="1142"/>
      <c r="DM2" s="1142"/>
      <c r="DN2" s="1142"/>
      <c r="DO2" s="1142"/>
      <c r="DP2" s="1142"/>
      <c r="DQ2" s="1142"/>
      <c r="DR2" s="1142"/>
      <c r="DS2" s="1142"/>
      <c r="DT2" s="1142"/>
      <c r="DU2" s="1142"/>
      <c r="DV2" s="1142"/>
      <c r="DW2" s="1142"/>
      <c r="DX2" s="1142"/>
      <c r="DY2" s="1142"/>
      <c r="DZ2" s="1142"/>
      <c r="EA2" s="1142"/>
      <c r="EB2" s="1142"/>
      <c r="EC2" s="1142"/>
      <c r="ED2" s="1142"/>
      <c r="EE2" s="1142"/>
      <c r="EF2" s="1142"/>
      <c r="EG2" s="1142"/>
      <c r="EH2" s="1142"/>
      <c r="EI2" s="1142"/>
      <c r="EJ2" s="1142"/>
      <c r="EK2" s="1142"/>
      <c r="EL2" s="1142"/>
      <c r="EM2" s="1142"/>
      <c r="EN2" s="1142"/>
      <c r="EO2" s="1142"/>
      <c r="EP2" s="1142"/>
      <c r="EQ2" s="1142"/>
      <c r="ER2" s="1154"/>
      <c r="ES2" s="1044" t="s">
        <v>197</v>
      </c>
      <c r="ET2" s="1045"/>
      <c r="EU2" s="1045"/>
      <c r="EV2" s="1045"/>
      <c r="EW2" s="1045"/>
      <c r="EX2" s="1045"/>
      <c r="EY2" s="1045"/>
      <c r="EZ2" s="1045"/>
      <c r="FA2" s="1045"/>
      <c r="FB2" s="1045"/>
      <c r="FC2" s="1045"/>
      <c r="FD2" s="1045"/>
      <c r="FE2" s="1045"/>
      <c r="FF2" s="104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1" t="s">
        <v>266</v>
      </c>
      <c r="HQ2" s="1066" t="str">
        <f>IFERROR(CONCATENATE("Sum of Lateral Forces = ",ROUND(HE3,0)," lbs @ ",ROUND(HF3,1),"° Relative to Blade 1"),"")</f>
        <v/>
      </c>
      <c r="HR2" s="1067"/>
      <c r="HS2" s="1067"/>
      <c r="HT2" s="1067"/>
      <c r="HU2" s="1067"/>
      <c r="HV2" s="1068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2"/>
      <c r="C3" s="1197"/>
      <c r="D3" s="1197"/>
      <c r="E3" s="1197"/>
      <c r="F3" s="1197"/>
      <c r="G3" s="1197"/>
      <c r="H3" s="1197"/>
      <c r="I3" s="1197"/>
      <c r="J3" s="1197"/>
      <c r="K3" s="1243"/>
      <c r="L3" s="983"/>
      <c r="M3" s="1242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144"/>
      <c r="AA3" s="1145"/>
      <c r="AB3" s="1145"/>
      <c r="AC3" s="1145"/>
      <c r="AD3" s="1145"/>
      <c r="AE3" s="1145"/>
      <c r="AF3" s="1145"/>
      <c r="AG3" s="1145"/>
      <c r="AH3" s="1145"/>
      <c r="AI3" s="1145"/>
      <c r="AJ3" s="1145"/>
      <c r="AK3" s="1145"/>
      <c r="AL3" s="1145"/>
      <c r="AM3" s="1145"/>
      <c r="AN3" s="1145"/>
      <c r="AO3" s="1145"/>
      <c r="AP3" s="1145"/>
      <c r="AQ3" s="1146"/>
      <c r="AS3" s="466">
        <v>100</v>
      </c>
      <c r="AT3" s="463" t="s">
        <v>45</v>
      </c>
      <c r="AV3" s="1200"/>
      <c r="AW3" s="1047"/>
      <c r="AX3" s="1048"/>
      <c r="AY3" s="1048"/>
      <c r="AZ3" s="1048"/>
      <c r="BA3" s="1048"/>
      <c r="BB3" s="1048"/>
      <c r="BC3" s="1048"/>
      <c r="BD3" s="1048"/>
      <c r="BE3" s="1162"/>
      <c r="BF3" s="1155"/>
      <c r="BG3" s="1048"/>
      <c r="BH3" s="1048"/>
      <c r="BI3" s="1048"/>
      <c r="BJ3" s="1048"/>
      <c r="BK3" s="1048"/>
      <c r="BL3" s="1048"/>
      <c r="BM3" s="1048"/>
      <c r="BN3" s="1048"/>
      <c r="BO3" s="1048"/>
      <c r="BP3" s="1048"/>
      <c r="BQ3" s="1048"/>
      <c r="BR3" s="1048"/>
      <c r="BS3" s="1048"/>
      <c r="BT3" s="1048"/>
      <c r="BU3" s="1048"/>
      <c r="BV3" s="1048"/>
      <c r="BW3" s="1048"/>
      <c r="BX3" s="1048"/>
      <c r="BY3" s="1048"/>
      <c r="BZ3" s="1048"/>
      <c r="CA3" s="1048"/>
      <c r="CB3" s="1048"/>
      <c r="CC3" s="1048"/>
      <c r="CD3" s="1048"/>
      <c r="CE3" s="1048"/>
      <c r="CF3" s="1048"/>
      <c r="CG3" s="1048"/>
      <c r="CH3" s="1048"/>
      <c r="CI3" s="1048"/>
      <c r="CJ3" s="1048"/>
      <c r="CK3" s="1048"/>
      <c r="CL3" s="1048"/>
      <c r="CM3" s="1048"/>
      <c r="CN3" s="1048"/>
      <c r="CO3" s="1048"/>
      <c r="CP3" s="1048"/>
      <c r="CQ3" s="1048"/>
      <c r="CR3" s="1048"/>
      <c r="CS3" s="1048"/>
      <c r="CT3" s="1048"/>
      <c r="CU3" s="1048"/>
      <c r="CV3" s="1048"/>
      <c r="CW3" s="1048"/>
      <c r="CX3" s="1048"/>
      <c r="CY3" s="1048"/>
      <c r="CZ3" s="1048"/>
      <c r="DA3" s="1048"/>
      <c r="DB3" s="1048"/>
      <c r="DC3" s="1048"/>
      <c r="DD3" s="1048"/>
      <c r="DE3" s="1048"/>
      <c r="DF3" s="1048"/>
      <c r="DG3" s="1048"/>
      <c r="DH3" s="1048"/>
      <c r="DI3" s="1048"/>
      <c r="DJ3" s="1048"/>
      <c r="DK3" s="1048"/>
      <c r="DL3" s="1048"/>
      <c r="DM3" s="1048"/>
      <c r="DN3" s="1048"/>
      <c r="DO3" s="1048"/>
      <c r="DP3" s="1048"/>
      <c r="DQ3" s="1048"/>
      <c r="DR3" s="1048"/>
      <c r="DS3" s="1048"/>
      <c r="DT3" s="1048"/>
      <c r="DU3" s="1048"/>
      <c r="DV3" s="1048"/>
      <c r="DW3" s="1048"/>
      <c r="DX3" s="1048"/>
      <c r="DY3" s="1048"/>
      <c r="DZ3" s="1048"/>
      <c r="EA3" s="1048"/>
      <c r="EB3" s="1048"/>
      <c r="EC3" s="1048"/>
      <c r="ED3" s="1048"/>
      <c r="EE3" s="1048"/>
      <c r="EF3" s="1048"/>
      <c r="EG3" s="1048"/>
      <c r="EH3" s="1048"/>
      <c r="EI3" s="1048"/>
      <c r="EJ3" s="1048"/>
      <c r="EK3" s="1048"/>
      <c r="EL3" s="1048"/>
      <c r="EM3" s="1048"/>
      <c r="EN3" s="1048"/>
      <c r="EO3" s="1048"/>
      <c r="EP3" s="1048"/>
      <c r="EQ3" s="1048"/>
      <c r="ER3" s="1049"/>
      <c r="ES3" s="1047"/>
      <c r="ET3" s="1048"/>
      <c r="EU3" s="1048"/>
      <c r="EV3" s="1048"/>
      <c r="EW3" s="1048"/>
      <c r="EX3" s="1048"/>
      <c r="EY3" s="1048"/>
      <c r="EZ3" s="1048"/>
      <c r="FA3" s="1048"/>
      <c r="FB3" s="1048"/>
      <c r="FC3" s="1048"/>
      <c r="FD3" s="1048"/>
      <c r="FE3" s="1048"/>
      <c r="FF3" s="104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2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4"/>
      <c r="C4" s="1245"/>
      <c r="D4" s="1245"/>
      <c r="E4" s="1245"/>
      <c r="F4" s="1245"/>
      <c r="G4" s="1245"/>
      <c r="H4" s="1245"/>
      <c r="I4" s="1245"/>
      <c r="J4" s="1245"/>
      <c r="K4" s="1246"/>
      <c r="L4" s="983"/>
      <c r="M4" s="1242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$Q$4</f>
        <v>Polar XY; Cartesian Z</v>
      </c>
      <c r="X4" s="1166"/>
      <c r="Y4" s="1232"/>
      <c r="Z4" s="1185" t="s">
        <v>3</v>
      </c>
      <c r="AA4" s="1183"/>
      <c r="AB4" s="1183"/>
      <c r="AC4" s="1183"/>
      <c r="AD4" s="1183"/>
      <c r="AE4" s="1183"/>
      <c r="AF4" s="1183"/>
      <c r="AG4" s="1195" t="s">
        <v>31</v>
      </c>
      <c r="AH4" s="1183"/>
      <c r="AI4" s="1183"/>
      <c r="AJ4" s="1184"/>
      <c r="AK4" s="1147" t="s">
        <v>32</v>
      </c>
      <c r="AL4" s="1148"/>
      <c r="AM4" s="1148"/>
      <c r="AN4" s="1148"/>
      <c r="AO4" s="1148"/>
      <c r="AP4" s="1148"/>
      <c r="AQ4" s="1149"/>
      <c r="AS4" s="467">
        <v>125</v>
      </c>
      <c r="AT4" s="464" t="s">
        <v>46</v>
      </c>
      <c r="AV4" s="1200"/>
      <c r="AW4" s="1095" t="s">
        <v>112</v>
      </c>
      <c r="AX4" s="999"/>
      <c r="AY4" s="922"/>
      <c r="AZ4" s="1160"/>
      <c r="BA4" s="1161"/>
      <c r="BB4" s="1163" t="s">
        <v>113</v>
      </c>
      <c r="BC4" s="1166" t="str">
        <f>$Q$4</f>
        <v>Polar XY; Cartesian Z</v>
      </c>
      <c r="BD4" s="1166"/>
      <c r="BE4" s="1167"/>
      <c r="BF4" s="1118" t="s">
        <v>129</v>
      </c>
      <c r="BG4" s="1119"/>
      <c r="BH4" s="1119"/>
      <c r="BI4" s="1119"/>
      <c r="BJ4" s="1119"/>
      <c r="BK4" s="1119"/>
      <c r="BL4" s="1119"/>
      <c r="BM4" s="1119"/>
      <c r="BN4" s="1119"/>
      <c r="BO4" s="1119"/>
      <c r="BP4" s="1119"/>
      <c r="BQ4" s="1119"/>
      <c r="BR4" s="1119"/>
      <c r="BS4" s="1119"/>
      <c r="BT4" s="1119"/>
      <c r="BU4" s="1119"/>
      <c r="BV4" s="1119"/>
      <c r="BW4" s="1119"/>
      <c r="BX4" s="1119"/>
      <c r="BY4" s="1119"/>
      <c r="BZ4" s="1119"/>
      <c r="CA4" s="1119"/>
      <c r="CB4" s="1119"/>
      <c r="CC4" s="1119"/>
      <c r="CD4" s="1119"/>
      <c r="CE4" s="1119"/>
      <c r="CF4" s="1119"/>
      <c r="CG4" s="1119"/>
      <c r="CH4" s="1119"/>
      <c r="CI4" s="1119"/>
      <c r="CJ4" s="1119"/>
      <c r="CK4" s="1119"/>
      <c r="CL4" s="1119"/>
      <c r="CM4" s="1119"/>
      <c r="CN4" s="1120"/>
      <c r="CO4" s="1156" t="s">
        <v>193</v>
      </c>
      <c r="CP4" s="1157"/>
      <c r="CQ4" s="1157"/>
      <c r="CR4" s="1157"/>
      <c r="CS4" s="1157"/>
      <c r="CT4" s="1157"/>
      <c r="CU4" s="1157"/>
      <c r="CV4" s="1157"/>
      <c r="CW4" s="1157"/>
      <c r="CX4" s="1157"/>
      <c r="CY4" s="1157"/>
      <c r="CZ4" s="1157"/>
      <c r="DA4" s="1158"/>
      <c r="DB4" s="1041" t="s">
        <v>162</v>
      </c>
      <c r="DC4" s="1042"/>
      <c r="DD4" s="1042"/>
      <c r="DE4" s="1042"/>
      <c r="DF4" s="1042"/>
      <c r="DG4" s="1042"/>
      <c r="DH4" s="1042"/>
      <c r="DI4" s="1042"/>
      <c r="DJ4" s="1042"/>
      <c r="DK4" s="1042"/>
      <c r="DL4" s="1042"/>
      <c r="DM4" s="1042"/>
      <c r="DN4" s="1042"/>
      <c r="DO4" s="1042"/>
      <c r="DP4" s="1042"/>
      <c r="DQ4" s="1042"/>
      <c r="DR4" s="1042"/>
      <c r="DS4" s="1042"/>
      <c r="DT4" s="1042"/>
      <c r="DU4" s="1042"/>
      <c r="DV4" s="1042"/>
      <c r="DW4" s="1042"/>
      <c r="DX4" s="1042"/>
      <c r="DY4" s="1042"/>
      <c r="DZ4" s="1042"/>
      <c r="EA4" s="1042"/>
      <c r="EB4" s="1042"/>
      <c r="EC4" s="1042"/>
      <c r="ED4" s="1042"/>
      <c r="EE4" s="1042"/>
      <c r="EF4" s="1042"/>
      <c r="EG4" s="1042"/>
      <c r="EH4" s="1042"/>
      <c r="EI4" s="1042"/>
      <c r="EJ4" s="1042"/>
      <c r="EK4" s="1042"/>
      <c r="EL4" s="1042"/>
      <c r="EM4" s="1042"/>
      <c r="EN4" s="1042"/>
      <c r="EO4" s="1042"/>
      <c r="EP4" s="1042"/>
      <c r="EQ4" s="1042"/>
      <c r="ER4" s="1043"/>
      <c r="ES4" s="1089" t="s">
        <v>196</v>
      </c>
      <c r="ET4" s="1090"/>
      <c r="EU4" s="1090"/>
      <c r="EV4" s="1090"/>
      <c r="EW4" s="1090"/>
      <c r="EX4" s="1090"/>
      <c r="EY4" s="1091"/>
      <c r="EZ4" s="1099" t="s">
        <v>201</v>
      </c>
      <c r="FA4" s="1100"/>
      <c r="FB4" s="1100"/>
      <c r="FC4" s="1100"/>
      <c r="FD4" s="1100"/>
      <c r="FE4" s="1100"/>
      <c r="FF4" s="1101"/>
      <c r="FG4" s="343"/>
      <c r="FP4" s="1031" t="s">
        <v>229</v>
      </c>
      <c r="FZ4" s="103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2" t="s">
        <v>236</v>
      </c>
      <c r="GK4" s="903"/>
      <c r="GL4" s="903"/>
      <c r="GM4" s="903"/>
      <c r="GN4" s="989"/>
      <c r="GO4" s="991" t="s">
        <v>229</v>
      </c>
      <c r="GP4" s="995" t="s">
        <v>228</v>
      </c>
      <c r="GR4" s="1001" t="s">
        <v>261</v>
      </c>
      <c r="GS4" s="931" t="s">
        <v>259</v>
      </c>
      <c r="GT4" s="874"/>
      <c r="GU4" s="874"/>
      <c r="GV4" s="874"/>
      <c r="GW4" s="874"/>
      <c r="GX4" s="874"/>
      <c r="GY4" s="874"/>
      <c r="GZ4" s="874"/>
      <c r="HA4" s="1072" t="str">
        <f>IFERROR(CONCATENATE("Lateral Forces = ",ROUND(HE3,0)," lbs @ ",ROUND(HF3,1),"° Relative to Blade 1"),"")</f>
        <v/>
      </c>
      <c r="HB4" s="1073"/>
      <c r="HC4" s="1073"/>
      <c r="HD4" s="1073"/>
      <c r="HE4" s="1073"/>
      <c r="HF4" s="1073"/>
      <c r="HG4" s="1073"/>
      <c r="HH4" s="1074"/>
      <c r="HI4" s="1080" t="s">
        <v>0</v>
      </c>
      <c r="HO4" s="1033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9" t="s">
        <v>381</v>
      </c>
      <c r="IF4" s="899"/>
      <c r="IG4" s="767" cm="1">
        <f t="array" ref="IG4">MAX(MOD(IF($IG$9:$IG$150="",0,($IG$9:$IG$150*1000)),100))</f>
        <v>18</v>
      </c>
      <c r="IL4" s="31"/>
      <c r="IM4" s="767"/>
    </row>
    <row r="5" spans="1:283" ht="15" customHeight="1" x14ac:dyDescent="0.25">
      <c r="B5" s="1233" t="str">
        <f>CONCATENATE(B7," ; ",E7," ; ",H7)</f>
        <v>Absolute-Point ; Incremental-Vector Point ; Pocket Info.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42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about Z Axis")</f>
        <v>Relative to 1.111's θ about Z Axis</v>
      </c>
      <c r="U5" s="1136"/>
      <c r="V5" s="1137"/>
      <c r="W5" s="1136" t="str">
        <f>CONCATENATE("Relative to ",M8,"'s θ about Z Axis")</f>
        <v>Relative to 1.111's θ about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00"/>
      <c r="AW5" s="1176"/>
      <c r="AX5" s="1177"/>
      <c r="AY5" s="1178"/>
      <c r="AZ5" s="1007"/>
      <c r="BA5" s="912"/>
      <c r="BB5" s="1164"/>
      <c r="BC5" s="1172" t="str">
        <f>$W$5</f>
        <v>Relative to 1.111's θ about Z Axis</v>
      </c>
      <c r="BD5" s="1136"/>
      <c r="BE5" s="1173"/>
      <c r="BF5" s="931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875"/>
      <c r="BS5" s="931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875"/>
      <c r="CF5" s="931" t="s">
        <v>138</v>
      </c>
      <c r="CG5" s="874"/>
      <c r="CH5" s="875"/>
      <c r="CI5" s="931" t="s">
        <v>139</v>
      </c>
      <c r="CJ5" s="874"/>
      <c r="CK5" s="874"/>
      <c r="CL5" s="874"/>
      <c r="CM5" s="874"/>
      <c r="CN5" s="875"/>
      <c r="CO5" s="1013" t="s">
        <v>275</v>
      </c>
      <c r="CP5" s="1013" t="s">
        <v>149</v>
      </c>
      <c r="CQ5" s="999"/>
      <c r="CR5" s="999"/>
      <c r="CS5" s="932"/>
      <c r="CT5" s="999" t="s">
        <v>150</v>
      </c>
      <c r="CU5" s="922"/>
      <c r="CV5" s="931" t="s">
        <v>161</v>
      </c>
      <c r="CW5" s="874"/>
      <c r="CX5" s="874"/>
      <c r="CY5" s="874"/>
      <c r="CZ5" s="874"/>
      <c r="DA5" s="875"/>
      <c r="DB5" s="931" t="s">
        <v>163</v>
      </c>
      <c r="DC5" s="874"/>
      <c r="DD5" s="874"/>
      <c r="DE5" s="874"/>
      <c r="DF5" s="874"/>
      <c r="DG5" s="874"/>
      <c r="DH5" s="875"/>
      <c r="DI5" s="1020" t="s">
        <v>173</v>
      </c>
      <c r="DJ5" s="1020"/>
      <c r="DK5" s="1128"/>
      <c r="DL5" s="1019" t="s">
        <v>174</v>
      </c>
      <c r="DM5" s="1020"/>
      <c r="DN5" s="1021"/>
      <c r="DO5" s="1130" t="s">
        <v>175</v>
      </c>
      <c r="DP5" s="1131"/>
      <c r="DQ5" s="1131"/>
      <c r="DR5" s="1012" t="s">
        <v>187</v>
      </c>
      <c r="DS5" s="1012"/>
      <c r="DT5" s="1012"/>
      <c r="DU5" s="1012"/>
      <c r="DV5" s="1012"/>
      <c r="DW5" s="1012"/>
      <c r="DX5" s="1013" t="s">
        <v>190</v>
      </c>
      <c r="DY5" s="953" t="s">
        <v>149</v>
      </c>
      <c r="DZ5" s="1012"/>
      <c r="EA5" s="1012"/>
      <c r="EB5" s="1012"/>
      <c r="EC5" s="1012" t="s">
        <v>150</v>
      </c>
      <c r="ED5" s="1012"/>
      <c r="EE5" s="1001" t="s">
        <v>194</v>
      </c>
      <c r="EF5" s="1001"/>
      <c r="EG5" s="1009"/>
      <c r="EH5" s="1025" t="s">
        <v>195</v>
      </c>
      <c r="EI5" s="1026"/>
      <c r="EJ5" s="1027"/>
      <c r="EK5" s="1012" t="s">
        <v>188</v>
      </c>
      <c r="EL5" s="1013"/>
      <c r="EM5" s="931" t="s">
        <v>189</v>
      </c>
      <c r="EN5" s="874"/>
      <c r="EO5" s="874"/>
      <c r="EP5" s="874"/>
      <c r="EQ5" s="874"/>
      <c r="ER5" s="1121"/>
      <c r="ES5" s="1095" t="s">
        <v>202</v>
      </c>
      <c r="ET5" s="999"/>
      <c r="EU5" s="932"/>
      <c r="EV5" s="1092" t="s">
        <v>222</v>
      </c>
      <c r="EW5" s="1093"/>
      <c r="EX5" s="1093"/>
      <c r="EY5" s="1094"/>
      <c r="EZ5" s="1056" t="s">
        <v>200</v>
      </c>
      <c r="FA5" s="926" t="s">
        <v>202</v>
      </c>
      <c r="FB5" s="1109"/>
      <c r="FC5" s="927"/>
      <c r="FD5" s="1113" t="s">
        <v>222</v>
      </c>
      <c r="FE5" s="1114"/>
      <c r="FF5" s="1115"/>
      <c r="FP5" s="1033"/>
      <c r="FQ5" s="31"/>
      <c r="FR5" s="31"/>
      <c r="FS5" s="31"/>
      <c r="FT5" s="31"/>
      <c r="FZ5" s="1033"/>
      <c r="GJ5" s="987" t="s">
        <v>269</v>
      </c>
      <c r="GK5" s="1035" t="s">
        <v>267</v>
      </c>
      <c r="GL5" s="1037" t="s">
        <v>110</v>
      </c>
      <c r="GM5" s="1037" t="s">
        <v>111</v>
      </c>
      <c r="GN5" s="1038"/>
      <c r="GO5" s="992"/>
      <c r="GP5" s="996"/>
      <c r="GQ5" s="31"/>
      <c r="GR5" s="983"/>
      <c r="GS5" s="1007" t="s">
        <v>248</v>
      </c>
      <c r="GT5" s="1008"/>
      <c r="GU5" s="1003" t="s">
        <v>249</v>
      </c>
      <c r="GV5" s="1004"/>
      <c r="GW5" s="1005"/>
      <c r="GX5" s="1006"/>
      <c r="GY5" s="990" t="s">
        <v>107</v>
      </c>
      <c r="GZ5" s="914"/>
      <c r="HA5" s="1069" t="s">
        <v>248</v>
      </c>
      <c r="HB5" s="1070"/>
      <c r="HC5" s="1070"/>
      <c r="HD5" s="1071"/>
      <c r="HE5" s="1086" t="s">
        <v>249</v>
      </c>
      <c r="HF5" s="1070"/>
      <c r="HG5" s="1070"/>
      <c r="HH5" s="1087"/>
      <c r="HI5" s="1081"/>
      <c r="HN5" s="386" t="s">
        <v>263</v>
      </c>
      <c r="HO5" s="58" t="s">
        <v>264</v>
      </c>
      <c r="HS5" s="1075" t="s">
        <v>274</v>
      </c>
      <c r="HZ5" s="383"/>
    </row>
    <row r="6" spans="1:283" ht="15" customHeight="1" thickBot="1" x14ac:dyDescent="0.4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42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$Q$6</f>
        <v>Projected XY</v>
      </c>
      <c r="X6" s="1169"/>
      <c r="Y6" s="1210" t="str">
        <f>$S$6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138" t="str">
        <f>AD6</f>
        <v>Unit Vector</v>
      </c>
      <c r="AL6" s="1139"/>
      <c r="AM6" s="1140"/>
      <c r="AN6" s="34" t="s">
        <v>15</v>
      </c>
      <c r="AO6" s="35" t="s">
        <v>16</v>
      </c>
      <c r="AP6" s="737" t="s">
        <v>17</v>
      </c>
      <c r="AQ6" s="1202" t="s">
        <v>108</v>
      </c>
      <c r="AS6" s="172">
        <f>(AS5/360)</f>
        <v>6.9444444444444447E-4</v>
      </c>
      <c r="AT6" s="465" t="s">
        <v>48</v>
      </c>
      <c r="AV6" s="1200"/>
      <c r="AW6" s="1193" t="s">
        <v>105</v>
      </c>
      <c r="AX6" s="1194"/>
      <c r="AY6" s="195" t="s">
        <v>110</v>
      </c>
      <c r="AZ6" s="1174" t="s">
        <v>111</v>
      </c>
      <c r="BA6" s="1175"/>
      <c r="BB6" s="1165"/>
      <c r="BC6" s="1168" t="str">
        <f>$Q$6</f>
        <v>Projected XY</v>
      </c>
      <c r="BD6" s="1169"/>
      <c r="BE6" s="1170" t="str">
        <f>$S$6</f>
        <v>Z</v>
      </c>
      <c r="BF6" s="881" t="s">
        <v>125</v>
      </c>
      <c r="BG6" s="877"/>
      <c r="BH6" s="986"/>
      <c r="BI6" s="879" t="s">
        <v>126</v>
      </c>
      <c r="BJ6" s="877"/>
      <c r="BK6" s="878"/>
      <c r="BL6" s="882" t="s">
        <v>127</v>
      </c>
      <c r="BM6" s="877"/>
      <c r="BN6" s="883"/>
      <c r="BO6" s="881" t="s">
        <v>135</v>
      </c>
      <c r="BP6" s="877"/>
      <c r="BQ6" s="877"/>
      <c r="BR6" s="883"/>
      <c r="BS6" s="881" t="s">
        <v>125</v>
      </c>
      <c r="BT6" s="877"/>
      <c r="BU6" s="986"/>
      <c r="BV6" s="879" t="s">
        <v>126</v>
      </c>
      <c r="BW6" s="877"/>
      <c r="BX6" s="878"/>
      <c r="BY6" s="882" t="s">
        <v>127</v>
      </c>
      <c r="BZ6" s="877"/>
      <c r="CA6" s="883"/>
      <c r="CB6" s="881" t="s">
        <v>135</v>
      </c>
      <c r="CC6" s="877"/>
      <c r="CD6" s="877"/>
      <c r="CE6" s="883"/>
      <c r="CF6" s="887" t="s">
        <v>136</v>
      </c>
      <c r="CG6" s="1123"/>
      <c r="CH6" s="1123"/>
      <c r="CI6" s="1125" t="s">
        <v>137</v>
      </c>
      <c r="CJ6" s="1123"/>
      <c r="CK6" s="888"/>
      <c r="CL6" s="1122" t="s">
        <v>140</v>
      </c>
      <c r="CM6" s="1123"/>
      <c r="CN6" s="1124"/>
      <c r="CO6" s="1015"/>
      <c r="CP6" s="1015"/>
      <c r="CQ6" s="1097"/>
      <c r="CR6" s="1097"/>
      <c r="CS6" s="1098"/>
      <c r="CT6" s="1097"/>
      <c r="CU6" s="1159"/>
      <c r="CV6" s="1181" t="s">
        <v>147</v>
      </c>
      <c r="CW6" s="877"/>
      <c r="CX6" s="878"/>
      <c r="CY6" s="1116" t="s">
        <v>148</v>
      </c>
      <c r="CZ6" s="1065"/>
      <c r="DA6" s="1117"/>
      <c r="DB6" s="1126" t="s">
        <v>176</v>
      </c>
      <c r="DC6" s="1062"/>
      <c r="DD6" s="1063"/>
      <c r="DE6" s="1127" t="s">
        <v>177</v>
      </c>
      <c r="DF6" s="1062"/>
      <c r="DG6" s="1063"/>
      <c r="DH6" s="253" t="s">
        <v>29</v>
      </c>
      <c r="DI6" s="1023"/>
      <c r="DJ6" s="1023"/>
      <c r="DK6" s="1129"/>
      <c r="DL6" s="1022"/>
      <c r="DM6" s="1023"/>
      <c r="DN6" s="1024"/>
      <c r="DO6" s="1132"/>
      <c r="DP6" s="1133"/>
      <c r="DQ6" s="1133"/>
      <c r="DR6" s="1014"/>
      <c r="DS6" s="1014"/>
      <c r="DT6" s="1014"/>
      <c r="DU6" s="1014"/>
      <c r="DV6" s="1014"/>
      <c r="DW6" s="1014"/>
      <c r="DX6" s="1015"/>
      <c r="DY6" s="1134"/>
      <c r="DZ6" s="1014"/>
      <c r="EA6" s="1014"/>
      <c r="EB6" s="1014"/>
      <c r="EC6" s="1014"/>
      <c r="ED6" s="1014"/>
      <c r="EE6" s="1010"/>
      <c r="EF6" s="1010"/>
      <c r="EG6" s="1011"/>
      <c r="EH6" s="1028"/>
      <c r="EI6" s="1029"/>
      <c r="EJ6" s="1030"/>
      <c r="EK6" s="1014"/>
      <c r="EL6" s="1015"/>
      <c r="EM6" s="1016" t="s">
        <v>199</v>
      </c>
      <c r="EN6" s="1017"/>
      <c r="EO6" s="1018"/>
      <c r="EP6" s="1102" t="s">
        <v>198</v>
      </c>
      <c r="EQ6" s="1017"/>
      <c r="ER6" s="1104"/>
      <c r="ES6" s="1096"/>
      <c r="ET6" s="1097"/>
      <c r="EU6" s="1098"/>
      <c r="EV6" s="274" t="s">
        <v>221</v>
      </c>
      <c r="EW6" s="1102" t="s">
        <v>202</v>
      </c>
      <c r="EX6" s="1017"/>
      <c r="EY6" s="1103"/>
      <c r="EZ6" s="1057"/>
      <c r="FA6" s="1110"/>
      <c r="FB6" s="1111"/>
      <c r="FC6" s="1112"/>
      <c r="FD6" s="1016" t="s">
        <v>202</v>
      </c>
      <c r="FE6" s="1017"/>
      <c r="FF6" s="1104"/>
      <c r="FG6" s="1106" t="s">
        <v>224</v>
      </c>
      <c r="FH6" s="1107"/>
      <c r="FI6" s="1108"/>
      <c r="FJ6" s="1012" t="s">
        <v>203</v>
      </c>
      <c r="FK6" s="1013" t="s">
        <v>214</v>
      </c>
      <c r="FL6" s="999"/>
      <c r="FM6" s="932"/>
      <c r="FN6" s="1052" t="s">
        <v>204</v>
      </c>
      <c r="FO6" s="1059" t="s">
        <v>227</v>
      </c>
      <c r="FP6" s="105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3" t="s">
        <v>218</v>
      </c>
      <c r="FV6" s="999"/>
      <c r="FW6" s="932"/>
      <c r="FX6" s="1052" t="s">
        <v>219</v>
      </c>
      <c r="FY6" s="1059" t="s">
        <v>227</v>
      </c>
      <c r="FZ6" s="1050" t="s">
        <v>225</v>
      </c>
      <c r="GA6" s="1054" t="s">
        <v>239</v>
      </c>
      <c r="GB6" s="336" t="s">
        <v>207</v>
      </c>
      <c r="GC6" s="337" t="s">
        <v>240</v>
      </c>
      <c r="GD6" s="338" t="s">
        <v>226</v>
      </c>
      <c r="GE6" s="984"/>
      <c r="GF6" s="1009" t="s">
        <v>260</v>
      </c>
      <c r="GG6" s="336" t="s">
        <v>207</v>
      </c>
      <c r="GH6" s="337" t="s">
        <v>240</v>
      </c>
      <c r="GI6" s="338" t="s">
        <v>226</v>
      </c>
      <c r="GJ6" s="988"/>
      <c r="GK6" s="1036"/>
      <c r="GL6" s="1039"/>
      <c r="GM6" s="1039"/>
      <c r="GN6" s="1040"/>
      <c r="GO6" s="993" t="s">
        <v>238</v>
      </c>
      <c r="GP6" s="997" t="s">
        <v>225</v>
      </c>
      <c r="GQ6" s="999" t="s">
        <v>203</v>
      </c>
      <c r="GR6" s="983"/>
      <c r="GS6" s="1078" t="s">
        <v>252</v>
      </c>
      <c r="GT6" s="1079"/>
      <c r="GU6" s="1064" t="s">
        <v>251</v>
      </c>
      <c r="GV6" s="1065"/>
      <c r="GW6" s="1065"/>
      <c r="GX6" s="361" t="s">
        <v>106</v>
      </c>
      <c r="GY6" s="879" t="s">
        <v>250</v>
      </c>
      <c r="GZ6" s="986"/>
      <c r="HA6" s="1061" t="s">
        <v>252</v>
      </c>
      <c r="HB6" s="1062"/>
      <c r="HC6" s="1062"/>
      <c r="HD6" s="1063"/>
      <c r="HE6" s="879" t="s">
        <v>251</v>
      </c>
      <c r="HF6" s="877"/>
      <c r="HG6" s="877"/>
      <c r="HH6" s="883"/>
      <c r="HI6" s="1081"/>
      <c r="HN6" s="970" t="s">
        <v>238</v>
      </c>
      <c r="HO6" s="973" t="s">
        <v>265</v>
      </c>
      <c r="HP6" s="953" t="s">
        <v>203</v>
      </c>
      <c r="HQ6" s="391"/>
      <c r="HS6" s="1076"/>
      <c r="HT6" s="905" t="s">
        <v>270</v>
      </c>
      <c r="HU6" s="903"/>
      <c r="HV6" s="989"/>
      <c r="HW6" s="931" t="s">
        <v>258</v>
      </c>
      <c r="HX6" s="874"/>
      <c r="HY6" s="875"/>
      <c r="HZ6" s="931" t="s">
        <v>249</v>
      </c>
      <c r="IA6" s="905"/>
      <c r="IE6" s="853"/>
      <c r="IF6" s="853"/>
    </row>
    <row r="7" spans="1:283" ht="15" customHeight="1" thickBot="1" x14ac:dyDescent="0.4">
      <c r="A7" s="143"/>
      <c r="B7" s="1250" t="s">
        <v>40</v>
      </c>
      <c r="C7" s="1251"/>
      <c r="D7" s="1252"/>
      <c r="E7" s="1253" t="s">
        <v>41</v>
      </c>
      <c r="F7" s="1251"/>
      <c r="G7" s="1254"/>
      <c r="H7" s="1229" t="s">
        <v>98</v>
      </c>
      <c r="I7" s="1230"/>
      <c r="J7" s="1231"/>
      <c r="K7" s="173"/>
      <c r="L7" s="983"/>
      <c r="M7" s="124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$Q$7</f>
        <v>&lt; θ°</v>
      </c>
      <c r="X7" s="27" t="str">
        <f>$R$7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3"/>
      <c r="AS7" s="1208" t="s">
        <v>54</v>
      </c>
      <c r="AT7" s="1206" t="s">
        <v>53</v>
      </c>
      <c r="AV7" s="1200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5"/>
      <c r="FK7" s="350" t="s">
        <v>211</v>
      </c>
      <c r="FL7" s="351" t="s">
        <v>212</v>
      </c>
      <c r="FM7" s="352" t="s">
        <v>213</v>
      </c>
      <c r="FN7" s="1053"/>
      <c r="FO7" s="1060"/>
      <c r="FP7" s="105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3"/>
      <c r="FY7" s="1060"/>
      <c r="FZ7" s="1051"/>
      <c r="GA7" s="1055"/>
      <c r="GB7" s="223" t="s">
        <v>232</v>
      </c>
      <c r="GC7" s="131" t="s">
        <v>233</v>
      </c>
      <c r="GD7" s="224" t="s">
        <v>234</v>
      </c>
      <c r="GE7" s="985"/>
      <c r="GF7" s="1034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4"/>
      <c r="GP7" s="998"/>
      <c r="GQ7" s="1000"/>
      <c r="GR7" s="100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2"/>
      <c r="HJ7" s="31"/>
      <c r="HK7" s="1031" t="s">
        <v>246</v>
      </c>
      <c r="HL7" s="1031" t="s">
        <v>237</v>
      </c>
      <c r="HM7" s="921" t="s">
        <v>245</v>
      </c>
      <c r="HN7" s="971"/>
      <c r="HO7" s="1088"/>
      <c r="HP7" s="1083"/>
      <c r="HQ7" s="392"/>
      <c r="HR7" s="412"/>
      <c r="HS7" s="1076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219" t="s">
        <v>364</v>
      </c>
      <c r="JC7" s="1219"/>
      <c r="JD7" s="1219"/>
      <c r="JE7" s="1220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3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88.930900154358923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-0.5027015161477727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9"/>
      <c r="AT8" s="1207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85"/>
      <c r="HL8" s="1085"/>
      <c r="HM8" s="933"/>
      <c r="HN8" s="972"/>
      <c r="HO8" s="974"/>
      <c r="HP8" s="1084"/>
      <c r="HQ8" s="393" t="s">
        <v>49</v>
      </c>
      <c r="HR8" s="413" t="s">
        <v>51</v>
      </c>
      <c r="HS8" s="1077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0.34330103539592277</v>
      </c>
      <c r="D9" s="704">
        <v>-0.29630089364349527</v>
      </c>
      <c r="E9" s="705">
        <v>-0.95371696400905348</v>
      </c>
      <c r="F9" s="703">
        <v>-6.5084628803148775E-2</v>
      </c>
      <c r="G9" s="706">
        <v>0.29357783236291934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0.34330103539592277</v>
      </c>
      <c r="P9" s="625">
        <f t="shared" ref="P9:P40" si="4">IF(M9="","",D9)</f>
        <v>-0.29630089364349527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0.34330103539592277</v>
      </c>
      <c r="S9" s="626">
        <f>IF(M9="","",P9)</f>
        <v>-0.29630089364349527</v>
      </c>
      <c r="T9" s="627">
        <f>IF(M9="","",X9*COS(RADIANS(W9)))</f>
        <v>0.34324127357996514</v>
      </c>
      <c r="U9" s="624">
        <f>IF(M9="","",X9*SIN(RADIANS(W9)))</f>
        <v>6.4053895366440279E-3</v>
      </c>
      <c r="V9" s="628">
        <f>IF(M9="","",Y9)</f>
        <v>-0.29630089364349527</v>
      </c>
      <c r="W9" s="583">
        <f t="shared" ref="W9:W14" si="5">IF(M9="","",IF(Q9-$Q$8&lt;0,360+Q9-$Q$8,Q9-$Q$8))</f>
        <v>1.0690998456410767</v>
      </c>
      <c r="X9" s="629">
        <f>IF(M9="","",R9)</f>
        <v>0.34330103539592277</v>
      </c>
      <c r="Y9" s="630">
        <f>IF(M9="","",S9)</f>
        <v>-0.29630089364349527</v>
      </c>
      <c r="Z9" s="623">
        <f t="shared" ref="Z9:Z40" si="6">IF(M9="","",-E9)</f>
        <v>0.95371696400905348</v>
      </c>
      <c r="AA9" s="624">
        <f t="shared" ref="AA9:AA40" si="7">IF(M9="","",-F9)</f>
        <v>6.5084628803148775E-2</v>
      </c>
      <c r="AB9" s="624">
        <f t="shared" ref="AB9:AB40" si="8">IF(M9="","",-G9)</f>
        <v>-0.29357783236291934</v>
      </c>
      <c r="AC9" s="628">
        <f>IF(M9="","",SQRT(Z9^2+AA9^2+AB9^2))</f>
        <v>1</v>
      </c>
      <c r="AD9" s="631">
        <f>IF(M9="","",Z9*(1/SQRT(Z9^2+AA9^2+AB9^2)))</f>
        <v>0.95371696400905348</v>
      </c>
      <c r="AE9" s="624">
        <f>IF(M9="","",AA9*(1/SQRT(Z9^2+AA9^2+AB9^2)))</f>
        <v>6.5084628803148775E-2</v>
      </c>
      <c r="AF9" s="625">
        <f>IF(M9="","",AB9*(1/SQRT(Z9^2+AA9^2+AB9^2)))</f>
        <v>-0.29357783236291934</v>
      </c>
      <c r="AG9" s="599">
        <f>IF(M9="","",DEGREES(ATAN2(-AF9,AE9)))</f>
        <v>12.499998195223561</v>
      </c>
      <c r="AH9" s="600">
        <f>IF(M9="","",DEGREES(ACOS(AD9)))</f>
        <v>17.499997473312952</v>
      </c>
      <c r="AI9" s="583">
        <f>IF(M9="","",DEGREES(-ACOS(-AF9)))</f>
        <v>-72.927722444134986</v>
      </c>
      <c r="AJ9" s="601">
        <f>IF(M9="","",DEGREES(ATAN2(-AE9,AD9)))</f>
        <v>93.903990264240576</v>
      </c>
      <c r="AK9" s="627">
        <f>IF(M9="","",(COS(RADIANS((90-$Q$8)-W9))*AD9)+(-SIN(RADIANS((90-$Q$8)-W9))*AE9))</f>
        <v>0.95371696400905348</v>
      </c>
      <c r="AL9" s="624">
        <f>IF(M9="","",(SIN(RADIANS((90-$Q$8)-W9))*AD9)+(COS(RADIANS((90-$Q$8)-W9))*AE9))</f>
        <v>6.5084628803148775E-2</v>
      </c>
      <c r="AM9" s="626">
        <f>IF(M9="","",AF9)</f>
        <v>-0.29357783236291934</v>
      </c>
      <c r="AN9" s="581">
        <f>IF(M9="","",DEGREES(ATAN2(-AM9,AL9)))</f>
        <v>12.499998195223561</v>
      </c>
      <c r="AO9" s="582">
        <f>IF(ROUND(IF(M9="",0,DEGREES(ACOS(AK9))),4)=90,0,IF(M9="","",DEGREES(ACOS(AK9))))</f>
        <v>17.499997473312952</v>
      </c>
      <c r="AP9" s="781">
        <f>IF(M9="","",DEGREES(ATAN2(AK9,AL9)))</f>
        <v>3.903990264240579</v>
      </c>
      <c r="AQ9" s="584">
        <f t="shared" ref="AQ9:AQ40" si="9">IF(M9="","",DEGREES(ATAN(($AS$5*SIN(RADIANS(90)))/(($X9*2*PI())-($AS$5*COS(RADIANS(90)))))))</f>
        <v>6.6111083349681117</v>
      </c>
      <c r="AS9" s="51">
        <f>IF(M9="","",W9)</f>
        <v>1.0690998456410767</v>
      </c>
      <c r="AT9" s="71">
        <f t="shared" ref="AT9:AT40" si="10">IF(M9="","",Y9+(((AS9-$AS$9)*$AS$6)*-1))</f>
        <v>-0.29630089364349527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17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1.0479031604759321</v>
      </c>
      <c r="D10" s="709">
        <v>-0.14010042254287439</v>
      </c>
      <c r="E10" s="710">
        <v>-0.95371696400905348</v>
      </c>
      <c r="F10" s="708">
        <v>-6.5084628803148789E-2</v>
      </c>
      <c r="G10" s="711">
        <v>0.29357783236291934</v>
      </c>
      <c r="H10" s="710">
        <v>0.314</v>
      </c>
      <c r="I10" s="708">
        <v>0.52</v>
      </c>
      <c r="J10" s="570">
        <v>1.103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1.103</v>
      </c>
      <c r="N10" s="632">
        <f t="shared" si="2"/>
        <v>0</v>
      </c>
      <c r="O10" s="629">
        <f t="shared" si="3"/>
        <v>1.0479031604759321</v>
      </c>
      <c r="P10" s="633">
        <f t="shared" si="4"/>
        <v>-0.14010042254287439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1.0479031604759321</v>
      </c>
      <c r="S10" s="634">
        <f t="shared" ref="S10:S105" si="80">IF(M10="","",P10)</f>
        <v>-0.14010042254287439</v>
      </c>
      <c r="T10" s="635">
        <f t="shared" ref="T10:T105" si="81">IF(M10="","",X10*COS(RADIANS(W10)))</f>
        <v>1.0477207415800918</v>
      </c>
      <c r="U10" s="629">
        <f t="shared" ref="U10:U105" si="82">IF(M10="","",X10*SIN(RADIANS(W10)))</f>
        <v>1.9552017755459589E-2</v>
      </c>
      <c r="V10" s="636">
        <f>IF(M10="","",Y10)</f>
        <v>-0.14010042254287439</v>
      </c>
      <c r="W10" s="585">
        <f t="shared" si="5"/>
        <v>1.0690998456410767</v>
      </c>
      <c r="X10" s="629">
        <f t="shared" ref="X10:X105" si="83">IF(M10="","",R10)</f>
        <v>1.0479031604759321</v>
      </c>
      <c r="Y10" s="630">
        <f>IF(M10="","",S10)</f>
        <v>-0.14010042254287439</v>
      </c>
      <c r="Z10" s="632">
        <f t="shared" si="6"/>
        <v>0.95371696400905348</v>
      </c>
      <c r="AA10" s="629">
        <f t="shared" si="7"/>
        <v>6.5084628803148789E-2</v>
      </c>
      <c r="AB10" s="629">
        <f t="shared" si="8"/>
        <v>-0.29357783236291934</v>
      </c>
      <c r="AC10" s="636">
        <f t="shared" ref="AC10:AC105" si="84">IF(M10="","",SQRT(Z10^2+AA10^2+AB10^2))</f>
        <v>1</v>
      </c>
      <c r="AD10" s="637">
        <f>IF(M10="","",Z10*(1/SQRT(Z10^2+AA10^2+AB10^2)))</f>
        <v>0.95371696400905348</v>
      </c>
      <c r="AE10" s="629">
        <f t="shared" ref="AE10:AE105" si="85">IF(M10="","",AA10*(1/SQRT(Z10^2+AA10^2+AB10^2)))</f>
        <v>6.5084628803148789E-2</v>
      </c>
      <c r="AF10" s="633">
        <f t="shared" ref="AF10:AF105" si="86">IF(M10="","",AB10*(1/SQRT(Z10^2+AA10^2+AB10^2)))</f>
        <v>-0.29357783236291934</v>
      </c>
      <c r="AG10" s="602">
        <f t="shared" ref="AG10:AG105" si="87">IF(M10="","",DEGREES(ATAN2(-AF10,AE10)))</f>
        <v>12.499998195223565</v>
      </c>
      <c r="AH10" s="603">
        <f t="shared" ref="AH10:AH105" si="88">IF(M10="","",DEGREES(ACOS(AD10)))</f>
        <v>17.499997473312952</v>
      </c>
      <c r="AI10" s="585">
        <f t="shared" ref="AI10:AI105" si="89">IF(M10="","",DEGREES(-ACOS(-AF10)))</f>
        <v>-72.927722444134986</v>
      </c>
      <c r="AJ10" s="586">
        <f t="shared" ref="AJ10:AJ105" si="90">IF(M10="","",DEGREES(ATAN2(-AE10,AD10)))</f>
        <v>93.903990264240576</v>
      </c>
      <c r="AK10" s="635">
        <f>IF(M10="","",(COS(RADIANS((90-$Q$8)-W10))*AD10)+(-SIN(RADIANS((90-$Q$8)-W10))*AE10))</f>
        <v>0.95371696400905348</v>
      </c>
      <c r="AL10" s="629">
        <f t="shared" ref="AL10:AL105" si="91">IF(M10="","",(SIN(RADIANS((90-$Q$8)-W10))*AD10)+(COS(RADIANS((90-$Q$8)-W10))*AE10))</f>
        <v>6.5084628803148789E-2</v>
      </c>
      <c r="AM10" s="634">
        <f t="shared" ref="AM10:AM105" si="92">IF(M10="","",AF10)</f>
        <v>-0.29357783236291934</v>
      </c>
      <c r="AN10" s="581">
        <f t="shared" ref="AN10:AN105" si="93">IF(M10="","",DEGREES(ATAN2(-AM10,AL10)))</f>
        <v>12.499998195223565</v>
      </c>
      <c r="AO10" s="582">
        <f t="shared" ref="AO10:AO54" si="94">IF(ROUND(IF(M10="",0,DEGREES(ACOS(AK10))),4)=90,0,IF(M10="","",DEGREES(ACOS(AK10))))</f>
        <v>17.499997473312952</v>
      </c>
      <c r="AP10" s="585">
        <f t="shared" ref="AP10:AP105" si="95">IF(M10="","",DEGREES(ATAN2(AK10,AL10)))</f>
        <v>3.9039902642405799</v>
      </c>
      <c r="AQ10" s="586">
        <f t="shared" si="9"/>
        <v>2.174468115198283</v>
      </c>
      <c r="AS10" s="52">
        <f>IF($M10="","",IF(AND($W10&lt;($AS$9+180),$W10&gt;($AS$9-180)),$W10,IF($W10&gt;($AS$9+180),$W10-360,IF($W10&lt;($AS$9-180),$W10+360,"Error"))))</f>
        <v>1.0690998456410767</v>
      </c>
      <c r="AT10" s="72">
        <f t="shared" si="10"/>
        <v>-0.14010042254287439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1.103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5.3880006762592166E-3</v>
      </c>
      <c r="C11" s="708">
        <v>1.8686978684440718</v>
      </c>
      <c r="D11" s="709">
        <v>-4.5900138434817522E-2</v>
      </c>
      <c r="E11" s="710">
        <v>-0.93910664762692653</v>
      </c>
      <c r="F11" s="708">
        <v>8.5140600393088989E-2</v>
      </c>
      <c r="G11" s="711">
        <v>0.33291107303245437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5.3880006762592166E-3</v>
      </c>
      <c r="O11" s="629">
        <f t="shared" si="3"/>
        <v>1.8686978684440718</v>
      </c>
      <c r="P11" s="633">
        <f t="shared" si="4"/>
        <v>-4.5900138434817522E-2</v>
      </c>
      <c r="Q11" s="585">
        <f t="shared" ref="Q11:Q73" si="113">IF(M11="","",IF(DEGREES(ATAN2(N11,O11))&lt;0,DEGREES(ATAN2(N11,O11))+360,IF(DEGREES(ATAN2(N11,O11))&gt;360,DEGREES(ATAN2(N11,O11))-360,DEGREES(ATAN2(N11,O11)))))</f>
        <v>89.834800023851926</v>
      </c>
      <c r="R11" s="629">
        <f t="shared" si="79"/>
        <v>1.8687056360161984</v>
      </c>
      <c r="S11" s="634">
        <f t="shared" si="80"/>
        <v>-4.5900138434817522E-2</v>
      </c>
      <c r="T11" s="635">
        <f t="shared" si="81"/>
        <v>1.8684730962267371</v>
      </c>
      <c r="U11" s="629">
        <f t="shared" si="82"/>
        <v>2.9479531128824354E-2</v>
      </c>
      <c r="V11" s="636">
        <f t="shared" ref="V11:V105" si="114">IF(M11="","",Y11)</f>
        <v>-4.5900138434817522E-2</v>
      </c>
      <c r="W11" s="585">
        <f t="shared" si="5"/>
        <v>0.90389986949300294</v>
      </c>
      <c r="X11" s="629">
        <f>IF(M11="","",R11)</f>
        <v>1.8687056360161984</v>
      </c>
      <c r="Y11" s="630">
        <f>IF(M11="","",S11)</f>
        <v>-4.5900138434817522E-2</v>
      </c>
      <c r="Z11" s="632">
        <f t="shared" si="6"/>
        <v>0.93910664762692653</v>
      </c>
      <c r="AA11" s="629">
        <f t="shared" si="7"/>
        <v>-8.5140600393088989E-2</v>
      </c>
      <c r="AB11" s="629">
        <f t="shared" si="8"/>
        <v>-0.33291107303245437</v>
      </c>
      <c r="AC11" s="636">
        <f t="shared" si="84"/>
        <v>1</v>
      </c>
      <c r="AD11" s="637">
        <f t="shared" ref="AD11:AD105" si="115">IF(M11="","",Z11*(1/SQRT(Z11^2+AA11^2+AB11^2)))</f>
        <v>0.93910664762692653</v>
      </c>
      <c r="AE11" s="629">
        <f t="shared" si="85"/>
        <v>-8.5140600393088989E-2</v>
      </c>
      <c r="AF11" s="633">
        <f t="shared" si="86"/>
        <v>-0.33291107303245437</v>
      </c>
      <c r="AG11" s="602">
        <f>IF(M11="","",DEGREES(ATAN2(-AF11,AE11)))</f>
        <v>-14.345665578145379</v>
      </c>
      <c r="AH11" s="603">
        <f t="shared" si="88"/>
        <v>20.097933284885517</v>
      </c>
      <c r="AI11" s="585">
        <f t="shared" si="89"/>
        <v>-70.554438664085367</v>
      </c>
      <c r="AJ11" s="586">
        <f t="shared" si="90"/>
        <v>84.81965417008297</v>
      </c>
      <c r="AK11" s="635">
        <f>IF(M11="","",(COS(RADIANS((90-$Q$8)-W11))*AD11)+(-SIN(RADIANS((90-$Q$8)-W11))*AE11))</f>
        <v>0.93934822822965724</v>
      </c>
      <c r="AL11" s="629">
        <f t="shared" si="91"/>
        <v>-8.2432539534966778E-2</v>
      </c>
      <c r="AM11" s="634">
        <f t="shared" si="92"/>
        <v>-0.33291107303245437</v>
      </c>
      <c r="AN11" s="581">
        <f>IF(M11="","",DEGREES(ATAN2(-AM11,AL11)))</f>
        <v>-13.907358893305087</v>
      </c>
      <c r="AO11" s="582">
        <f>IF(ROUND(IF(M11="",0,DEGREES(ACOS(AK11))),4)=90,0,IF(M11="","",DEGREES(ACOS(AK11))))</f>
        <v>20.057613634609702</v>
      </c>
      <c r="AP11" s="585">
        <f t="shared" si="95"/>
        <v>-5.0151458537689564</v>
      </c>
      <c r="AQ11" s="586">
        <f t="shared" si="9"/>
        <v>1.2197652605896427</v>
      </c>
      <c r="AS11" s="52">
        <f t="shared" ref="AS11:AS42" si="116">IF(G11="","",IF(AND(W11&lt;(AS10+180),W11&gt;(AS10-180)),W11,IF(W11&gt;(AS10+180),W11-360,IF(W11&lt;(AS10-180),W11+360,"Error"))))</f>
        <v>0.90389986949300294</v>
      </c>
      <c r="AT11" s="72">
        <f t="shared" si="10"/>
        <v>-4.5785416229159139E-2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4.833615535575321E-2</v>
      </c>
      <c r="C12" s="708">
        <v>2.5901568404784672</v>
      </c>
      <c r="D12" s="709">
        <v>-0.5027015161477727</v>
      </c>
      <c r="E12" s="710">
        <v>-0.90465601564450393</v>
      </c>
      <c r="F12" s="708">
        <v>0.36156257461581215</v>
      </c>
      <c r="G12" s="711">
        <v>0.22554378287905963</v>
      </c>
      <c r="H12" s="710">
        <v>0.314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1.111</v>
      </c>
      <c r="N12" s="632">
        <f t="shared" si="2"/>
        <v>4.833615535575321E-2</v>
      </c>
      <c r="O12" s="629">
        <f t="shared" si="3"/>
        <v>2.5901568404784672</v>
      </c>
      <c r="P12" s="633">
        <f t="shared" si="4"/>
        <v>-0.5027015161477727</v>
      </c>
      <c r="Q12" s="585">
        <f>IF(M12="","",IF(DEGREES(ATAN2(N12,O12))&lt;0,DEGREES(ATAN2(N12,O12))+360,IF(DEGREES(ATAN2(N12,O12))&gt;360,DEGREES(ATAN2(N12,O12))-360,DEGREES(ATAN2(N12,O12)))))</f>
        <v>88.930900154358923</v>
      </c>
      <c r="R12" s="629">
        <f t="shared" si="79"/>
        <v>2.5906078132731651</v>
      </c>
      <c r="S12" s="634">
        <f t="shared" si="80"/>
        <v>-0.5027015161477727</v>
      </c>
      <c r="T12" s="635">
        <f>IF(M12="","",X12*COS(RADIANS(W12)))</f>
        <v>2.5906078132731651</v>
      </c>
      <c r="U12" s="629">
        <f t="shared" si="82"/>
        <v>0</v>
      </c>
      <c r="V12" s="636">
        <f t="shared" si="114"/>
        <v>-0.5027015161477727</v>
      </c>
      <c r="W12" s="585">
        <f>IF(M12="","",IF(Q12-$Q$8&lt;0,360+Q12-$Q$8,Q12-$Q$8))</f>
        <v>0</v>
      </c>
      <c r="X12" s="629">
        <f t="shared" si="83"/>
        <v>2.5906078132731651</v>
      </c>
      <c r="Y12" s="630">
        <f>IF(M12="","",S12)</f>
        <v>-0.5027015161477727</v>
      </c>
      <c r="Z12" s="632">
        <f t="shared" si="6"/>
        <v>0.90465601564450393</v>
      </c>
      <c r="AA12" s="629">
        <f t="shared" si="7"/>
        <v>-0.36156257461581215</v>
      </c>
      <c r="AB12" s="629">
        <f t="shared" si="8"/>
        <v>-0.22554378287905963</v>
      </c>
      <c r="AC12" s="636">
        <f t="shared" si="84"/>
        <v>1</v>
      </c>
      <c r="AD12" s="637">
        <f t="shared" si="115"/>
        <v>0.90465601564450393</v>
      </c>
      <c r="AE12" s="629">
        <f t="shared" si="85"/>
        <v>-0.36156257461581215</v>
      </c>
      <c r="AF12" s="633">
        <f t="shared" si="86"/>
        <v>-0.22554378287905963</v>
      </c>
      <c r="AG12" s="602">
        <f t="shared" si="87"/>
        <v>-58.043965563084811</v>
      </c>
      <c r="AH12" s="603">
        <f t="shared" si="88"/>
        <v>25.223006071985825</v>
      </c>
      <c r="AI12" s="585">
        <f t="shared" si="89"/>
        <v>-76.965143396867191</v>
      </c>
      <c r="AJ12" s="586">
        <f t="shared" si="90"/>
        <v>68.214962759441363</v>
      </c>
      <c r="AK12" s="635">
        <f t="shared" ref="AK12:AK105" si="211">IF(M12="","",(COS(RADIANS((90-$Q$8)-W12))*AD12)+(-SIN(RADIANS((90-$Q$8)-W12))*AE12))</f>
        <v>0.91124465072789562</v>
      </c>
      <c r="AL12" s="629">
        <f>IF(M12="","",(SIN(RADIANS((90-$Q$8)-W12))*AD12)+(COS(RADIANS((90-$Q$8)-W12))*AE12))</f>
        <v>-0.34462035419342124</v>
      </c>
      <c r="AM12" s="634">
        <f t="shared" si="92"/>
        <v>-0.22554378287905963</v>
      </c>
      <c r="AN12" s="581">
        <f>IF(M12="","",DEGREES(ATAN2(-AM12,AL12)))</f>
        <v>-56.79644474701626</v>
      </c>
      <c r="AO12" s="582">
        <f t="shared" si="94"/>
        <v>24.322076311108276</v>
      </c>
      <c r="AP12" s="585">
        <f t="shared" si="95"/>
        <v>-20.715937394917557</v>
      </c>
      <c r="AQ12" s="586">
        <f t="shared" si="9"/>
        <v>0.87992763230219728</v>
      </c>
      <c r="AS12" s="52">
        <f t="shared" si="116"/>
        <v>0</v>
      </c>
      <c r="AT12" s="72">
        <f>IF(M12="","",Y12+(((AS12-$AS$9)*$AS$6)*-1))</f>
        <v>-0.50195908569941083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7.4467329782357539E-2</v>
      </c>
      <c r="C13" s="708">
        <v>2.8313294218891736</v>
      </c>
      <c r="D13" s="709">
        <v>-1.2979039144782061</v>
      </c>
      <c r="E13" s="710">
        <v>-0.80378839134687818</v>
      </c>
      <c r="F13" s="708">
        <v>0.5949153065235262</v>
      </c>
      <c r="G13" s="711">
        <v>1.30084192174032E-7</v>
      </c>
      <c r="H13" s="710">
        <v>0.314</v>
      </c>
      <c r="I13" s="708">
        <v>0.52</v>
      </c>
      <c r="J13" s="570">
        <v>1.115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1.115</v>
      </c>
      <c r="N13" s="632">
        <f t="shared" si="2"/>
        <v>7.4467329782357539E-2</v>
      </c>
      <c r="O13" s="629">
        <f t="shared" si="3"/>
        <v>2.8313294218891736</v>
      </c>
      <c r="P13" s="633">
        <f t="shared" si="4"/>
        <v>-1.2979039144782061</v>
      </c>
      <c r="Q13" s="585">
        <f t="shared" si="113"/>
        <v>88.493400217526101</v>
      </c>
      <c r="R13" s="629">
        <f t="shared" si="79"/>
        <v>2.832308542242564</v>
      </c>
      <c r="S13" s="634">
        <f t="shared" si="80"/>
        <v>-1.2979039144782061</v>
      </c>
      <c r="T13" s="635">
        <f>IF(M13="","",X13*COS(RADIANS(W13)))</f>
        <v>2.8322259728326582</v>
      </c>
      <c r="U13" s="629">
        <f t="shared" si="82"/>
        <v>-2.1626772119323283E-2</v>
      </c>
      <c r="V13" s="636">
        <f t="shared" si="114"/>
        <v>-1.2979039144782061</v>
      </c>
      <c r="W13" s="585">
        <f t="shared" si="5"/>
        <v>359.56250006316714</v>
      </c>
      <c r="X13" s="629">
        <f t="shared" si="83"/>
        <v>2.832308542242564</v>
      </c>
      <c r="Y13" s="630">
        <f>IF(M13="","",S13)</f>
        <v>-1.2979039144782061</v>
      </c>
      <c r="Z13" s="632">
        <f t="shared" si="6"/>
        <v>0.80378839134687818</v>
      </c>
      <c r="AA13" s="629">
        <f t="shared" si="7"/>
        <v>-0.5949153065235262</v>
      </c>
      <c r="AB13" s="629">
        <f t="shared" si="8"/>
        <v>-1.30084192174032E-7</v>
      </c>
      <c r="AC13" s="636">
        <f t="shared" si="84"/>
        <v>1</v>
      </c>
      <c r="AD13" s="637">
        <f>IF(M13="","",Z13*(1/SQRT(Z13^2+AA13^2+AB13^2)))</f>
        <v>0.80378839134687818</v>
      </c>
      <c r="AE13" s="629">
        <f t="shared" si="85"/>
        <v>-0.5949153065235262</v>
      </c>
      <c r="AF13" s="633">
        <f t="shared" si="86"/>
        <v>-1.30084192174032E-7</v>
      </c>
      <c r="AG13" s="602">
        <f>IF(M13="","",DEGREES(ATAN2(-AF13,AE13)))</f>
        <v>-89.999987471703776</v>
      </c>
      <c r="AH13" s="603">
        <f t="shared" si="88"/>
        <v>36.506594729099817</v>
      </c>
      <c r="AI13" s="585">
        <f t="shared" si="89"/>
        <v>-89.999992546724812</v>
      </c>
      <c r="AJ13" s="586">
        <f t="shared" si="90"/>
        <v>53.49340527090083</v>
      </c>
      <c r="AK13" s="635">
        <f t="shared" si="211"/>
        <v>0.81915209487729235</v>
      </c>
      <c r="AL13" s="629">
        <f t="shared" si="91"/>
        <v>-0.57357636410344415</v>
      </c>
      <c r="AM13" s="634">
        <f t="shared" si="92"/>
        <v>-1.30084192174032E-7</v>
      </c>
      <c r="AN13" s="581">
        <f t="shared" si="93"/>
        <v>-89.999987005609626</v>
      </c>
      <c r="AO13" s="582">
        <f t="shared" si="94"/>
        <v>34.999994946625911</v>
      </c>
      <c r="AP13" s="585">
        <f t="shared" si="95"/>
        <v>-34.999994946625236</v>
      </c>
      <c r="AQ13" s="586">
        <f t="shared" si="9"/>
        <v>0.80484758174922266</v>
      </c>
      <c r="AS13" s="52">
        <f t="shared" si="116"/>
        <v>-0.43749993683286448</v>
      </c>
      <c r="AT13" s="72">
        <f t="shared" si="10"/>
        <v>-1.2968576646292658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1.115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1.0955672251105999</v>
      </c>
      <c r="C14" s="708">
        <v>2.3721340702835731</v>
      </c>
      <c r="D14" s="709">
        <v>-0.49650149744851596</v>
      </c>
      <c r="E14" s="710">
        <v>0.30604978040307584</v>
      </c>
      <c r="F14" s="708">
        <v>0.66266285377223133</v>
      </c>
      <c r="G14" s="711">
        <v>0.68352869299369701</v>
      </c>
      <c r="H14" s="710">
        <v>0.25700000000000001</v>
      </c>
      <c r="I14" s="708">
        <v>0.41499999999999992</v>
      </c>
      <c r="J14" s="570">
        <v>1.2110000000000001</v>
      </c>
      <c r="K14" s="865" t="str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CPS-32193r1</v>
      </c>
      <c r="L14" s="776" t="s">
        <v>367</v>
      </c>
      <c r="M14" s="168">
        <f t="shared" si="1"/>
        <v>1.2110000000000001</v>
      </c>
      <c r="N14" s="632">
        <f t="shared" si="2"/>
        <v>1.0955672251105999</v>
      </c>
      <c r="O14" s="629">
        <f t="shared" si="3"/>
        <v>2.3721340702835731</v>
      </c>
      <c r="P14" s="633">
        <f t="shared" si="4"/>
        <v>-0.49650149744851596</v>
      </c>
      <c r="Q14" s="585">
        <f t="shared" si="113"/>
        <v>65.210203579203764</v>
      </c>
      <c r="R14" s="629">
        <f t="shared" si="79"/>
        <v>2.6129078805301673</v>
      </c>
      <c r="S14" s="634">
        <f t="shared" si="80"/>
        <v>-0.49650149744851596</v>
      </c>
      <c r="T14" s="635">
        <f t="shared" si="81"/>
        <v>2.3921624741966254</v>
      </c>
      <c r="U14" s="629">
        <f t="shared" si="82"/>
        <v>-1.0511166867584834</v>
      </c>
      <c r="V14" s="636">
        <f t="shared" si="114"/>
        <v>-0.49650149744851596</v>
      </c>
      <c r="W14" s="585">
        <f t="shared" si="5"/>
        <v>336.27930342484484</v>
      </c>
      <c r="X14" s="629">
        <f t="shared" si="83"/>
        <v>2.6129078805301673</v>
      </c>
      <c r="Y14" s="630">
        <f t="shared" ref="Y14:Y75" si="223">IF(M14="","",S14)</f>
        <v>-0.49650149744851596</v>
      </c>
      <c r="Z14" s="632">
        <f t="shared" si="6"/>
        <v>-0.30604978040307584</v>
      </c>
      <c r="AA14" s="629">
        <f t="shared" si="7"/>
        <v>-0.66266285377223133</v>
      </c>
      <c r="AB14" s="629">
        <f t="shared" si="8"/>
        <v>-0.68352869299369701</v>
      </c>
      <c r="AC14" s="636">
        <f t="shared" si="84"/>
        <v>1</v>
      </c>
      <c r="AD14" s="637">
        <f>IF(M14="","",Z14*(1/SQRT(Z14^2+AA14^2+AB14^2)))</f>
        <v>-0.30604978040307584</v>
      </c>
      <c r="AE14" s="629">
        <f t="shared" si="85"/>
        <v>-0.66266285377223133</v>
      </c>
      <c r="AF14" s="633">
        <f t="shared" si="86"/>
        <v>-0.68352869299369701</v>
      </c>
      <c r="AG14" s="602">
        <f t="shared" si="87"/>
        <v>-44.111992049229073</v>
      </c>
      <c r="AH14" s="603">
        <f t="shared" si="88"/>
        <v>107.82133235383917</v>
      </c>
      <c r="AI14" s="585">
        <f t="shared" si="89"/>
        <v>-46.879993231367806</v>
      </c>
      <c r="AJ14" s="586">
        <f t="shared" si="90"/>
        <v>-24.789778618399367</v>
      </c>
      <c r="AK14" s="635">
        <f>IF(M14="","",(COS(RADIANS((90-$Q$8)-W14))*AD14)+(-SIN(RADIANS((90-$Q$8)-W14))*AE14))</f>
        <v>2.2679489680710319E-7</v>
      </c>
      <c r="AL14" s="629">
        <f t="shared" si="91"/>
        <v>-0.72992364385206554</v>
      </c>
      <c r="AM14" s="634">
        <f t="shared" si="92"/>
        <v>-0.68352869299369701</v>
      </c>
      <c r="AN14" s="581">
        <f t="shared" si="93"/>
        <v>-46.879993231366427</v>
      </c>
      <c r="AO14" s="582">
        <f t="shared" si="94"/>
        <v>0</v>
      </c>
      <c r="AP14" s="585">
        <f>IF(M14="","",DEGREES(ATAN2(AK14,AL14)))</f>
        <v>-89.999982197603117</v>
      </c>
      <c r="AQ14" s="586">
        <f t="shared" si="9"/>
        <v>0.87241898660618367</v>
      </c>
      <c r="AS14" s="52">
        <f t="shared" si="116"/>
        <v>-23.720696575155159</v>
      </c>
      <c r="AT14" s="72">
        <f t="shared" si="10"/>
        <v>-0.47928636104518524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>Taper</v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1.2110000000000001</v>
      </c>
      <c r="IH14" s="731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>1.111</v>
      </c>
      <c r="II14" s="734" cm="1">
        <f t="array" ref="II14">IFERROR(IF($IH14&lt;1,$IH14+LARGE((IF($M$9:$M$150="",0,$M$9:$M$150)-MOD(IF($M$9:$M$150="",0,$M$9:$M$150),1)),1),$IH14),"")</f>
        <v>1.111</v>
      </c>
      <c r="IJ14" s="533">
        <f t="shared" si="112"/>
        <v>1613</v>
      </c>
      <c r="IK14" s="533" t="str">
        <f t="shared" si="66"/>
        <v>CPS-32193r1</v>
      </c>
      <c r="IL14" s="727">
        <f t="shared" si="67"/>
        <v>23.720696575155159</v>
      </c>
      <c r="IM14" s="759">
        <v>6.7748738974510603E-3</v>
      </c>
      <c r="IN14" s="5">
        <f t="shared" si="68"/>
        <v>0.16</v>
      </c>
      <c r="IO14" s="771">
        <v>80</v>
      </c>
      <c r="IP14" s="9">
        <f t="shared" si="69"/>
        <v>-2.5906078132731651</v>
      </c>
      <c r="IQ14" s="5">
        <f t="shared" si="70"/>
        <v>-0.5027015161477727</v>
      </c>
      <c r="IR14" s="5">
        <f t="shared" si="71"/>
        <v>0.314</v>
      </c>
      <c r="IS14" s="5">
        <f t="shared" si="72"/>
        <v>0.28613082032855924</v>
      </c>
      <c r="IT14" s="727">
        <f t="shared" si="73"/>
        <v>56.79644474701626</v>
      </c>
      <c r="IU14" s="9">
        <f t="shared" si="74"/>
        <v>-2.6129078805301673</v>
      </c>
      <c r="IV14" s="5">
        <f t="shared" si="75"/>
        <v>-0.49650149744851596</v>
      </c>
      <c r="IW14" s="5">
        <f t="shared" si="76"/>
        <v>0.25700000000000001</v>
      </c>
      <c r="IX14" s="5">
        <f t="shared" si="77"/>
        <v>0.25700000000000001</v>
      </c>
      <c r="IY14" s="762">
        <f t="shared" si="78"/>
        <v>46.879993231366427</v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1.1853926285043441</v>
      </c>
      <c r="C15" s="708">
        <v>2.5734182771020353</v>
      </c>
      <c r="D15" s="709">
        <v>-1.3122039576071365</v>
      </c>
      <c r="E15" s="710">
        <v>0.41837732316512333</v>
      </c>
      <c r="F15" s="708">
        <v>0.90827331539638145</v>
      </c>
      <c r="G15" s="711">
        <v>2.2679489765690056E-7</v>
      </c>
      <c r="H15" s="710">
        <v>0.25700000000000001</v>
      </c>
      <c r="I15" s="708">
        <v>0.41499999999999992</v>
      </c>
      <c r="J15" s="570">
        <v>1.2150000000000001</v>
      </c>
      <c r="K15" s="865" t="str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CPS-32193r1</v>
      </c>
      <c r="L15" s="872" t="str">
        <f>IF($L14=$JH$22,$JH$29,IF($L14=$JI$22,$JI$29,""))</f>
        <v/>
      </c>
      <c r="M15" s="168">
        <f t="shared" si="1"/>
        <v>1.2150000000000001</v>
      </c>
      <c r="N15" s="632">
        <f t="shared" si="2"/>
        <v>1.1853926285043441</v>
      </c>
      <c r="O15" s="629">
        <f t="shared" si="3"/>
        <v>2.5734182771020353</v>
      </c>
      <c r="P15" s="633">
        <f t="shared" si="4"/>
        <v>-1.3122039576071365</v>
      </c>
      <c r="Q15" s="585">
        <f t="shared" si="113"/>
        <v>65.267803570887367</v>
      </c>
      <c r="R15" s="629">
        <f t="shared" si="79"/>
        <v>2.8333085452585722</v>
      </c>
      <c r="S15" s="634">
        <f t="shared" si="80"/>
        <v>-1.3122039576071365</v>
      </c>
      <c r="T15" s="635">
        <f t="shared" si="81"/>
        <v>2.5950876244764158</v>
      </c>
      <c r="U15" s="629">
        <f t="shared" si="82"/>
        <v>-1.137170846409896</v>
      </c>
      <c r="V15" s="636">
        <f t="shared" si="114"/>
        <v>-1.3122039576071365</v>
      </c>
      <c r="W15" s="585">
        <f>IF(M15="","",IF(Q15-$Q$8&lt;0,360+Q15-$Q$8,Q15-$Q$8))</f>
        <v>336.33690341652846</v>
      </c>
      <c r="X15" s="629">
        <f>IF(M15="","",R15)</f>
        <v>2.8333085452585722</v>
      </c>
      <c r="Y15" s="630">
        <f>IF(M15="","",S15)</f>
        <v>-1.3122039576071365</v>
      </c>
      <c r="Z15" s="632">
        <f t="shared" si="6"/>
        <v>-0.41837732316512333</v>
      </c>
      <c r="AA15" s="629">
        <f t="shared" si="7"/>
        <v>-0.90827331539638145</v>
      </c>
      <c r="AB15" s="629">
        <f t="shared" si="8"/>
        <v>-2.2679489765690056E-7</v>
      </c>
      <c r="AC15" s="636">
        <f t="shared" si="84"/>
        <v>1</v>
      </c>
      <c r="AD15" s="637">
        <f t="shared" si="115"/>
        <v>-0.41837732316512333</v>
      </c>
      <c r="AE15" s="629">
        <f t="shared" si="85"/>
        <v>-0.90827331539638145</v>
      </c>
      <c r="AF15" s="633">
        <f t="shared" si="86"/>
        <v>-2.2679489765690056E-7</v>
      </c>
      <c r="AG15" s="602">
        <f t="shared" si="87"/>
        <v>-89.999985693303742</v>
      </c>
      <c r="AH15" s="603">
        <f t="shared" si="88"/>
        <v>114.73218343472156</v>
      </c>
      <c r="AI15" s="585">
        <f t="shared" si="89"/>
        <v>-89.99998700560954</v>
      </c>
      <c r="AJ15" s="586">
        <f t="shared" si="90"/>
        <v>-24.732183434722252</v>
      </c>
      <c r="AK15" s="635">
        <f t="shared" si="211"/>
        <v>2.2679489652954743E-7</v>
      </c>
      <c r="AL15" s="629">
        <f t="shared" si="91"/>
        <v>-0.9999999999999486</v>
      </c>
      <c r="AM15" s="634">
        <f t="shared" si="92"/>
        <v>-2.2679489765690056E-7</v>
      </c>
      <c r="AN15" s="581">
        <f>IF(M15="","",DEGREES(ATAN2(-AM15,AL15)))</f>
        <v>-89.999987005609555</v>
      </c>
      <c r="AO15" s="582">
        <f t="shared" si="94"/>
        <v>0</v>
      </c>
      <c r="AP15" s="585">
        <f t="shared" si="95"/>
        <v>-89.999987005609626</v>
      </c>
      <c r="AQ15" s="586">
        <f t="shared" si="9"/>
        <v>0.80456355190265327</v>
      </c>
      <c r="AS15" s="52">
        <f t="shared" si="116"/>
        <v>-23.663096583471543</v>
      </c>
      <c r="AT15" s="72">
        <f t="shared" si="10"/>
        <v>-1.2950288211980305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>Taper</v>
      </c>
      <c r="IF15" s="533" t="str">
        <f>IFERROR(IF((((($IW15*COS(RADIANS(180-$IY15)))*COS(RADIANS($IY15)))-(($IX15*SIN(RADIANS(180-$IY15)))*SIN(RADIANS($IY15))))+$IU15)&lt;(((Settings!$C$19+$IF$8)/2)*-1),"Gage",""),"")</f>
        <v>Gage</v>
      </c>
      <c r="IG15" s="847">
        <f t="shared" si="210"/>
        <v>1.2150000000000001</v>
      </c>
      <c r="IH15" s="731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>1.115</v>
      </c>
      <c r="II15" s="734" cm="1">
        <f t="array" ref="II15">IFERROR(IF($IH15&lt;1,$IH15+LARGE((IF($M$9:$M$150="",0,$M$9:$M$150)-MOD(IF($M$9:$M$150="",0,$M$9:$M$150),1)),1),$IH15),"")</f>
        <v>1.115</v>
      </c>
      <c r="IJ15" s="533">
        <f t="shared" si="112"/>
        <v>1613</v>
      </c>
      <c r="IK15" s="533" t="str">
        <f t="shared" si="66"/>
        <v>CPS-32193r1</v>
      </c>
      <c r="IL15" s="727">
        <f t="shared" si="67"/>
        <v>23.225596646638678</v>
      </c>
      <c r="IM15" s="759">
        <v>1.5895956683857599E-4</v>
      </c>
      <c r="IN15" s="5">
        <f t="shared" si="68"/>
        <v>0</v>
      </c>
      <c r="IO15" s="771">
        <v>0</v>
      </c>
      <c r="IP15" s="9">
        <f t="shared" si="69"/>
        <v>-2.832308542242564</v>
      </c>
      <c r="IQ15" s="5">
        <f t="shared" si="70"/>
        <v>-1.2979039144782061</v>
      </c>
      <c r="IR15" s="5">
        <f t="shared" si="71"/>
        <v>0.314</v>
      </c>
      <c r="IS15" s="5">
        <f t="shared" si="72"/>
        <v>0.25721375779146982</v>
      </c>
      <c r="IT15" s="727">
        <f t="shared" si="73"/>
        <v>89.999987005609626</v>
      </c>
      <c r="IU15" s="9">
        <f t="shared" si="74"/>
        <v>-2.8333085452585722</v>
      </c>
      <c r="IV15" s="5">
        <f t="shared" si="75"/>
        <v>-1.3122039576071365</v>
      </c>
      <c r="IW15" s="5">
        <f t="shared" si="76"/>
        <v>0.25700000000000001</v>
      </c>
      <c r="IX15" s="5">
        <f t="shared" si="77"/>
        <v>0.25700000000000001</v>
      </c>
      <c r="IY15" s="762">
        <f t="shared" si="78"/>
        <v>89.999987005609555</v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17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1.6443403160206047</v>
      </c>
      <c r="C16" s="708">
        <v>-0.1448166124465407</v>
      </c>
      <c r="D16" s="709">
        <v>-2.9000087464263795E-2</v>
      </c>
      <c r="E16" s="710">
        <v>9.4432927876854839E-2</v>
      </c>
      <c r="F16" s="708">
        <v>0.93494473108738052</v>
      </c>
      <c r="G16" s="711">
        <v>0.34199528058812534</v>
      </c>
      <c r="H16" s="710">
        <v>0.314</v>
      </c>
      <c r="I16" s="708">
        <v>0.52</v>
      </c>
      <c r="J16" s="570">
        <v>2.1059999999999999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2.1059999999999999</v>
      </c>
      <c r="N16" s="632">
        <f t="shared" si="2"/>
        <v>1.6443403160206047</v>
      </c>
      <c r="O16" s="629">
        <f t="shared" si="3"/>
        <v>-0.1448166124465407</v>
      </c>
      <c r="P16" s="633">
        <f t="shared" si="4"/>
        <v>-2.9000087464263795E-2</v>
      </c>
      <c r="Q16" s="585">
        <f>IF(M16="","",IF(DEGREES(ATAN2(N16,O16))&lt;0,DEGREES(ATAN2(N16,O16))+360,IF(DEGREES(ATAN2(N16,O16))&gt;360,DEGREES(ATAN2(N16,O16))-360,DEGREES(ATAN2(N16,O16)))))</f>
        <v>354.96696174350404</v>
      </c>
      <c r="R16" s="629">
        <f t="shared" si="79"/>
        <v>1.6507049785262156</v>
      </c>
      <c r="S16" s="634">
        <f t="shared" si="80"/>
        <v>-2.9000087464263795E-2</v>
      </c>
      <c r="T16" s="635">
        <f t="shared" si="81"/>
        <v>-0.11411092364340689</v>
      </c>
      <c r="U16" s="629">
        <f t="shared" si="82"/>
        <v>-1.6467560909972316</v>
      </c>
      <c r="V16" s="636">
        <f t="shared" si="114"/>
        <v>-2.9000087464263795E-2</v>
      </c>
      <c r="W16" s="585">
        <f>IF(M16="","",IF(Q16-$Q$8&lt;0,360+Q16-$Q$8,Q16-$Q$8))</f>
        <v>266.03606158914511</v>
      </c>
      <c r="X16" s="629">
        <f t="shared" si="83"/>
        <v>1.6507049785262156</v>
      </c>
      <c r="Y16" s="630">
        <f t="shared" si="223"/>
        <v>-2.9000087464263795E-2</v>
      </c>
      <c r="Z16" s="632">
        <f t="shared" si="6"/>
        <v>-9.4432927876854839E-2</v>
      </c>
      <c r="AA16" s="629">
        <f t="shared" si="7"/>
        <v>-0.93494473108738052</v>
      </c>
      <c r="AB16" s="629">
        <f t="shared" si="8"/>
        <v>-0.34199528058812534</v>
      </c>
      <c r="AC16" s="636">
        <f t="shared" si="84"/>
        <v>1</v>
      </c>
      <c r="AD16" s="637">
        <f t="shared" si="115"/>
        <v>-9.4432927876854839E-2</v>
      </c>
      <c r="AE16" s="629">
        <f t="shared" si="85"/>
        <v>-0.93494473108738052</v>
      </c>
      <c r="AF16" s="633">
        <f t="shared" si="86"/>
        <v>-0.34199528058812534</v>
      </c>
      <c r="AG16" s="602">
        <f t="shared" si="87"/>
        <v>-69.907885821519642</v>
      </c>
      <c r="AH16" s="603">
        <f t="shared" si="88"/>
        <v>95.418682243587099</v>
      </c>
      <c r="AI16" s="585">
        <f t="shared" si="89"/>
        <v>-70.001515945786892</v>
      </c>
      <c r="AJ16" s="586">
        <f t="shared" si="90"/>
        <v>-5.7675289291647429</v>
      </c>
      <c r="AK16" s="635">
        <f t="shared" si="211"/>
        <v>0.93962445832165664</v>
      </c>
      <c r="AL16" s="629">
        <f t="shared" si="91"/>
        <v>-1.2045969416482588E-2</v>
      </c>
      <c r="AM16" s="634">
        <f t="shared" si="92"/>
        <v>-0.34199528058812534</v>
      </c>
      <c r="AN16" s="581">
        <f t="shared" si="93"/>
        <v>-2.0172734473671095</v>
      </c>
      <c r="AO16" s="582">
        <f t="shared" si="94"/>
        <v>20.011415564239151</v>
      </c>
      <c r="AP16" s="585">
        <f t="shared" si="95"/>
        <v>-0.73449067266877888</v>
      </c>
      <c r="AQ16" s="586">
        <f t="shared" si="9"/>
        <v>1.3807950561015885</v>
      </c>
      <c r="AS16" s="52">
        <f t="shared" si="116"/>
        <v>-93.963938410854894</v>
      </c>
      <c r="AT16" s="72">
        <f t="shared" si="10"/>
        <v>3.6995077991636184E-2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2.1059999999999999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2.4345706908212432</v>
      </c>
      <c r="C17" s="708">
        <v>-0.24935711114429263</v>
      </c>
      <c r="D17" s="709">
        <v>-0.33750101790307008</v>
      </c>
      <c r="E17" s="710">
        <v>0.37020111430798675</v>
      </c>
      <c r="F17" s="708">
        <v>0.89228197687097022</v>
      </c>
      <c r="G17" s="711">
        <v>0.25842602174773027</v>
      </c>
      <c r="H17" s="710">
        <v>0.314</v>
      </c>
      <c r="I17" s="708">
        <v>0.52</v>
      </c>
      <c r="J17" s="570">
        <v>2.11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2.11</v>
      </c>
      <c r="N17" s="632">
        <f t="shared" si="2"/>
        <v>2.4345706908212432</v>
      </c>
      <c r="O17" s="629">
        <f t="shared" si="3"/>
        <v>-0.24935711114429263</v>
      </c>
      <c r="P17" s="633">
        <f t="shared" si="4"/>
        <v>-0.33750101790307008</v>
      </c>
      <c r="Q17" s="585">
        <f>IF(M17="","",IF(DEGREES(ATAN2(N17,O17))&lt;0,DEGREES(ATAN2(N17,O17))+360,IF(DEGREES(ATAN2(N17,O17))&gt;360,DEGREES(ATAN2(N17,O17))-360,DEGREES(ATAN2(N17,O17)))))</f>
        <v>354.15196186117544</v>
      </c>
      <c r="R17" s="629">
        <f>IF(M17="","",SQRT(N17^2+O17^2))</f>
        <v>2.4473073810790611</v>
      </c>
      <c r="S17" s="634">
        <f>IF(M17="","",P17)</f>
        <v>-0.33750101790307008</v>
      </c>
      <c r="T17" s="635">
        <f>IF(M17="","",X17*COS(RADIANS(W17)))</f>
        <v>-0.20388892417833157</v>
      </c>
      <c r="U17" s="629">
        <f>IF(M17="","",X17*SIN(RADIANS(W17)))</f>
        <v>-2.4387994431854079</v>
      </c>
      <c r="V17" s="636">
        <f>IF(M17="","",Y17)</f>
        <v>-0.33750101790307008</v>
      </c>
      <c r="W17" s="585">
        <f t="shared" ref="W15:W78" si="224">IF(M17="","",IF(Q17-$Q$8&lt;0,360+Q17-$Q$8,Q17-$Q$8))</f>
        <v>265.2210617068165</v>
      </c>
      <c r="X17" s="629">
        <f>IF(M17="","",R17)</f>
        <v>2.4473073810790611</v>
      </c>
      <c r="Y17" s="630">
        <f t="shared" si="223"/>
        <v>-0.33750101790307008</v>
      </c>
      <c r="Z17" s="632">
        <f t="shared" si="6"/>
        <v>-0.37020111430798675</v>
      </c>
      <c r="AA17" s="629">
        <f t="shared" si="7"/>
        <v>-0.89228197687097022</v>
      </c>
      <c r="AB17" s="629">
        <f t="shared" si="8"/>
        <v>-0.25842602174773027</v>
      </c>
      <c r="AC17" s="636">
        <f>IF(M17="","",SQRT(Z17^2+AA17^2+AB17^2))</f>
        <v>1</v>
      </c>
      <c r="AD17" s="637">
        <f>IF(M17="","",Z17*(1/SQRT(Z17^2+AA17^2+AB17^2)))</f>
        <v>-0.37020111430798675</v>
      </c>
      <c r="AE17" s="629">
        <f>IF(M17="","",AA17*(1/SQRT(Z17^2+AA17^2+AB17^2)))</f>
        <v>-0.89228197687097022</v>
      </c>
      <c r="AF17" s="633">
        <f>IF(M17="","",AB17*(1/SQRT(Z17^2+AA17^2+AB17^2)))</f>
        <v>-0.25842602174773027</v>
      </c>
      <c r="AG17" s="602">
        <f>IF(M17="","",DEGREES(ATAN2(-AF17,AE17)))</f>
        <v>-73.847729981407142</v>
      </c>
      <c r="AH17" s="603">
        <f>IF(M17="","",DEGREES(ACOS(AD17)))</f>
        <v>111.72802105510409</v>
      </c>
      <c r="AI17" s="585">
        <f>IF(M17="","",DEGREES(-ACOS(-AF17)))</f>
        <v>-75.023311678883644</v>
      </c>
      <c r="AJ17" s="586">
        <f>IF(M17="","",DEGREES(ATAN2(-AE17,AD17)))</f>
        <v>-22.533196256283695</v>
      </c>
      <c r="AK17" s="635">
        <f>IF(M17="","",(COS(RADIANS((90-$Q$8)-W17))*AD17)+(-SIN(RADIANS((90-$Q$8)-W17))*AE17))</f>
        <v>0.92535814943107908</v>
      </c>
      <c r="AL17" s="629">
        <f>IF(M17="","",(SIN(RADIANS((90-$Q$8)-W17))*AD17)+(COS(RADIANS((90-$Q$8)-W17))*AE17))</f>
        <v>-0.27735948976937946</v>
      </c>
      <c r="AM17" s="634">
        <f>IF(M17="","",AF17)</f>
        <v>-0.25842602174773027</v>
      </c>
      <c r="AN17" s="581">
        <f>IF(M17="","",DEGREES(ATAN2(-AM17,AL17)))</f>
        <v>-47.023863224424964</v>
      </c>
      <c r="AO17" s="582">
        <f t="shared" si="94"/>
        <v>22.277577035033211</v>
      </c>
      <c r="AP17" s="585">
        <f>IF(M17="","",DEGREES(ATAN2(AK17,AL17)))</f>
        <v>-16.685158117459117</v>
      </c>
      <c r="AQ17" s="586">
        <f t="shared" si="9"/>
        <v>0.93144237466881241</v>
      </c>
      <c r="AS17" s="52">
        <f t="shared" si="116"/>
        <v>-94.778938293183501</v>
      </c>
      <c r="AT17" s="72">
        <f t="shared" si="10"/>
        <v>-0.2709398803066641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2.11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2.7728325462504779</v>
      </c>
      <c r="C18" s="708">
        <v>-0.3126960150404306</v>
      </c>
      <c r="D18" s="709">
        <v>-1.1168033682789589</v>
      </c>
      <c r="E18" s="710">
        <v>0.5963435567664136</v>
      </c>
      <c r="F18" s="708">
        <v>0.80125059118256758</v>
      </c>
      <c r="G18" s="711">
        <v>4.8701667659017657E-2</v>
      </c>
      <c r="H18" s="710">
        <v>0.314</v>
      </c>
      <c r="I18" s="708">
        <v>0.52</v>
      </c>
      <c r="J18" s="570">
        <v>2.1139999999999999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2.1139999999999999</v>
      </c>
      <c r="N18" s="632">
        <f t="shared" si="2"/>
        <v>2.7728325462504779</v>
      </c>
      <c r="O18" s="629">
        <f t="shared" si="3"/>
        <v>-0.3126960150404306</v>
      </c>
      <c r="P18" s="633">
        <f t="shared" si="4"/>
        <v>-1.1168033682789589</v>
      </c>
      <c r="Q18" s="585">
        <f t="shared" si="113"/>
        <v>353.56586194579779</v>
      </c>
      <c r="R18" s="629">
        <f>IF(M18="","",SQRT(N18^2+O18^2))</f>
        <v>2.790408415871783</v>
      </c>
      <c r="S18" s="634">
        <f>IF(M18="","",P18)</f>
        <v>-1.1168033682789589</v>
      </c>
      <c r="T18" s="635">
        <f>IF(M18="","",X18*COS(RADIANS(W18)))</f>
        <v>-0.26090543468341221</v>
      </c>
      <c r="U18" s="629">
        <f>IF(M18="","",X18*SIN(RADIANS(W18)))</f>
        <v>-2.7781842058295436</v>
      </c>
      <c r="V18" s="636">
        <f>IF(M18="","",Y18)</f>
        <v>-1.1168033682789589</v>
      </c>
      <c r="W18" s="585">
        <f t="shared" si="224"/>
        <v>264.63496179143885</v>
      </c>
      <c r="X18" s="629">
        <f>IF(M18="","",R18)</f>
        <v>2.790408415871783</v>
      </c>
      <c r="Y18" s="630">
        <f t="shared" si="223"/>
        <v>-1.1168033682789589</v>
      </c>
      <c r="Z18" s="632">
        <f t="shared" si="6"/>
        <v>-0.5963435567664136</v>
      </c>
      <c r="AA18" s="629">
        <f t="shared" si="7"/>
        <v>-0.80125059118256758</v>
      </c>
      <c r="AB18" s="629">
        <f t="shared" si="8"/>
        <v>-4.8701667659017657E-2</v>
      </c>
      <c r="AC18" s="636">
        <f>IF(M18="","",SQRT(Z18^2+AA18^2+AB18^2))</f>
        <v>1</v>
      </c>
      <c r="AD18" s="637">
        <f>IF(M18="","",Z18*(1/SQRT(Z18^2+AA18^2+AB18^2)))</f>
        <v>-0.5963435567664136</v>
      </c>
      <c r="AE18" s="629">
        <f>IF(M18="","",AA18*(1/SQRT(Z18^2+AA18^2+AB18^2)))</f>
        <v>-0.80125059118256758</v>
      </c>
      <c r="AF18" s="633">
        <f>IF(M18="","",AB18*(1/SQRT(Z18^2+AA18^2+AB18^2)))</f>
        <v>-4.8701667659017657E-2</v>
      </c>
      <c r="AG18" s="602">
        <f>IF(M18="","",DEGREES(ATAN2(-AF18,AE18)))</f>
        <v>-86.521723291301541</v>
      </c>
      <c r="AH18" s="603">
        <f>IF(M18="","",DEGREES(ACOS(AD18)))</f>
        <v>126.60847059244337</v>
      </c>
      <c r="AI18" s="585">
        <f>IF(M18="","",DEGREES(-ACOS(-AF18)))</f>
        <v>-87.208495739371969</v>
      </c>
      <c r="AJ18" s="586">
        <f>IF(M18="","",DEGREES(ATAN2(-AE18,AD18)))</f>
        <v>-36.659055809005388</v>
      </c>
      <c r="AK18" s="635">
        <f>IF(M18="","",(COS(RADIANS((90-$Q$8)-W18))*AD18)+(-SIN(RADIANS((90-$Q$8)-W18))*AE18))</f>
        <v>0.86303064348269543</v>
      </c>
      <c r="AL18" s="629">
        <f>IF(M18="","",(SIN(RADIANS((90-$Q$8)-W18))*AD18)+(COS(RADIANS((90-$Q$8)-W18))*AE18))</f>
        <v>-0.502798424795738</v>
      </c>
      <c r="AM18" s="634">
        <f>IF(M18="","",AF18)</f>
        <v>-4.8701667659017657E-2</v>
      </c>
      <c r="AN18" s="581">
        <f>IF(M18="","",DEGREES(ATAN2(-AM18,AL18)))</f>
        <v>-84.467520038653873</v>
      </c>
      <c r="AO18" s="582">
        <f t="shared" si="94"/>
        <v>30.341414416275999</v>
      </c>
      <c r="AP18" s="585">
        <f>IF(M18="","",DEGREES(ATAN2(AK18,AL18)))</f>
        <v>-30.224917754803187</v>
      </c>
      <c r="AQ18" s="586">
        <f t="shared" si="9"/>
        <v>0.81693136083990758</v>
      </c>
      <c r="AS18" s="52">
        <f t="shared" si="116"/>
        <v>-95.365038208561145</v>
      </c>
      <c r="AT18" s="72">
        <f t="shared" si="10"/>
        <v>-1.0498352168524296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2.1139999999999999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2.8140648888729447</v>
      </c>
      <c r="C19" s="708">
        <v>-0.32095245702860009</v>
      </c>
      <c r="D19" s="709">
        <v>-1.8827056782403253</v>
      </c>
      <c r="E19" s="710">
        <v>0.6627067485224396</v>
      </c>
      <c r="F19" s="708">
        <v>0.74887900589000311</v>
      </c>
      <c r="G19" s="711">
        <v>1.3008419232944737E-7</v>
      </c>
      <c r="H19" s="710">
        <v>0.314</v>
      </c>
      <c r="I19" s="708">
        <v>0.52</v>
      </c>
      <c r="J19" s="570">
        <v>2.1179999999999999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2.1179999999999999</v>
      </c>
      <c r="N19" s="632">
        <f t="shared" si="2"/>
        <v>2.8140648888729447</v>
      </c>
      <c r="O19" s="629">
        <f t="shared" si="3"/>
        <v>-0.32095245702860009</v>
      </c>
      <c r="P19" s="633">
        <f t="shared" si="4"/>
        <v>-1.8827056782403253</v>
      </c>
      <c r="Q19" s="585">
        <f t="shared" si="113"/>
        <v>353.49336195626552</v>
      </c>
      <c r="R19" s="629">
        <f>IF(M19="","",SQRT(N19^2+O19^2))</f>
        <v>2.8323085422425631</v>
      </c>
      <c r="S19" s="634">
        <f>IF(M19="","",P19)</f>
        <v>-1.8827056782403253</v>
      </c>
      <c r="T19" s="635">
        <f>IF(M19="","",X19*COS(RADIANS(W19)))</f>
        <v>-0.26839111687568756</v>
      </c>
      <c r="U19" s="629">
        <f>IF(M19="","",X19*SIN(RADIANS(W19)))</f>
        <v>-2.8195634213194096</v>
      </c>
      <c r="V19" s="636">
        <f>IF(M19="","",Y19)</f>
        <v>-1.8827056782403253</v>
      </c>
      <c r="W19" s="585">
        <f t="shared" si="224"/>
        <v>264.56246180190658</v>
      </c>
      <c r="X19" s="629">
        <f>IF(M19="","",R19)</f>
        <v>2.8323085422425631</v>
      </c>
      <c r="Y19" s="630">
        <f t="shared" si="223"/>
        <v>-1.8827056782403253</v>
      </c>
      <c r="Z19" s="632">
        <f t="shared" si="6"/>
        <v>-0.6627067485224396</v>
      </c>
      <c r="AA19" s="629">
        <f t="shared" si="7"/>
        <v>-0.74887900589000311</v>
      </c>
      <c r="AB19" s="629">
        <f t="shared" si="8"/>
        <v>-1.3008419232944737E-7</v>
      </c>
      <c r="AC19" s="636">
        <f>IF(M19="","",SQRT(Z19^2+AA19^2+AB19^2))</f>
        <v>1</v>
      </c>
      <c r="AD19" s="637">
        <f>IF(M19="","",Z19*(1/SQRT(Z19^2+AA19^2+AB19^2)))</f>
        <v>-0.6627067485224396</v>
      </c>
      <c r="AE19" s="629">
        <f>IF(M19="","",AA19*(1/SQRT(Z19^2+AA19^2+AB19^2)))</f>
        <v>-0.74887900589000311</v>
      </c>
      <c r="AF19" s="633">
        <f>IF(M19="","",AB19*(1/SQRT(Z19^2+AA19^2+AB19^2)))</f>
        <v>-1.3008419232944737E-7</v>
      </c>
      <c r="AG19" s="602">
        <f>IF(M19="","",DEGREES(ATAN2(-AF19,AE19)))</f>
        <v>-89.999990047424035</v>
      </c>
      <c r="AH19" s="603">
        <f>IF(M19="","",DEGREES(ACOS(AD19)))</f>
        <v>131.50663299035935</v>
      </c>
      <c r="AI19" s="585">
        <f>IF(M19="","",DEGREES(-ACOS(-AF19)))</f>
        <v>-89.999992546724798</v>
      </c>
      <c r="AJ19" s="586">
        <f>IF(M19="","",DEGREES(ATAN2(-AE19,AD19)))</f>
        <v>-41.506632990359762</v>
      </c>
      <c r="AK19" s="635">
        <f>IF(M19="","",(COS(RADIANS((90-$Q$8)-W19))*AD19)+(-SIN(RADIANS((90-$Q$8)-W19))*AE19))</f>
        <v>0.81915209487729213</v>
      </c>
      <c r="AL19" s="629">
        <f>IF(M19="","",(SIN(RADIANS((90-$Q$8)-W19))*AD19)+(COS(RADIANS((90-$Q$8)-W19))*AE19))</f>
        <v>-0.57357636410344448</v>
      </c>
      <c r="AM19" s="634">
        <f>IF(M19="","",AF19)</f>
        <v>-1.3008419232944737E-7</v>
      </c>
      <c r="AN19" s="581">
        <f>IF(M19="","",DEGREES(ATAN2(-AM19,AL19)))</f>
        <v>-89.999987005609597</v>
      </c>
      <c r="AO19" s="582">
        <f t="shared" si="94"/>
        <v>34.999994946625939</v>
      </c>
      <c r="AP19" s="585">
        <f>IF(M19="","",DEGREES(ATAN2(AK19,AL19)))</f>
        <v>-34.999994946625257</v>
      </c>
      <c r="AQ19" s="586">
        <f t="shared" si="9"/>
        <v>0.804847581749223</v>
      </c>
      <c r="AS19" s="52">
        <f t="shared" si="116"/>
        <v>-95.437538198093421</v>
      </c>
      <c r="AT19" s="72">
        <f t="shared" si="10"/>
        <v>-1.815687179598843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2.1179999999999999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707">
        <v>2.1336023862391014</v>
      </c>
      <c r="C20" s="708">
        <v>-1.2414789017725398</v>
      </c>
      <c r="D20" s="709">
        <v>-0.32490097990135541</v>
      </c>
      <c r="E20" s="710">
        <v>0.52617016076208589</v>
      </c>
      <c r="F20" s="708">
        <v>-0.30616229045138516</v>
      </c>
      <c r="G20" s="711">
        <v>0.79335339781787173</v>
      </c>
      <c r="H20" s="710">
        <v>0.25700000000000001</v>
      </c>
      <c r="I20" s="708">
        <v>0.41499999999999992</v>
      </c>
      <c r="J20" s="570">
        <v>2.21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CPS-32193r1</v>
      </c>
      <c r="L20" s="774">
        <f>IF($L19=$JH$22,$JH$30,IF($L19=$JI$22,$JI$30,""))</f>
        <v>100</v>
      </c>
      <c r="M20" s="168">
        <f t="shared" si="1"/>
        <v>2.21</v>
      </c>
      <c r="N20" s="632">
        <f t="shared" si="2"/>
        <v>2.1336023862391014</v>
      </c>
      <c r="O20" s="629">
        <f t="shared" si="3"/>
        <v>-1.2414789017725398</v>
      </c>
      <c r="P20" s="633">
        <f t="shared" si="4"/>
        <v>-0.32490097990135541</v>
      </c>
      <c r="Q20" s="585">
        <f t="shared" si="113"/>
        <v>329.80616537627355</v>
      </c>
      <c r="R20" s="629">
        <f>IF(M20="","",SQRT(N20^2+O20^2))</f>
        <v>2.4685074450184548</v>
      </c>
      <c r="S20" s="634">
        <f>IF(M20="","",P20)</f>
        <v>-0.32490097990135541</v>
      </c>
      <c r="T20" s="635">
        <f>IF(M20="","",X20*COS(RADIANS(W20)))</f>
        <v>-1.2014535420529844</v>
      </c>
      <c r="U20" s="629">
        <f>IF(M20="","",X20*SIN(RADIANS(W20)))</f>
        <v>-2.15639476729097</v>
      </c>
      <c r="V20" s="636">
        <f>IF(M20="","",Y20)</f>
        <v>-0.32490097990135541</v>
      </c>
      <c r="W20" s="585">
        <f t="shared" si="224"/>
        <v>240.87526522191462</v>
      </c>
      <c r="X20" s="629">
        <f>IF(M20="","",R20)</f>
        <v>2.4685074450184548</v>
      </c>
      <c r="Y20" s="630">
        <f t="shared" si="223"/>
        <v>-0.32490097990135541</v>
      </c>
      <c r="Z20" s="632">
        <f t="shared" si="6"/>
        <v>-0.52617016076208589</v>
      </c>
      <c r="AA20" s="629">
        <f t="shared" si="7"/>
        <v>0.30616229045138516</v>
      </c>
      <c r="AB20" s="629">
        <f t="shared" si="8"/>
        <v>-0.79335339781787173</v>
      </c>
      <c r="AC20" s="636">
        <f>IF(M20="","",SQRT(Z20^2+AA20^2+AB20^2))</f>
        <v>1</v>
      </c>
      <c r="AD20" s="637">
        <f>IF(M20="","",Z20*(1/SQRT(Z20^2+AA20^2+AB20^2)))</f>
        <v>-0.52617016076208589</v>
      </c>
      <c r="AE20" s="629">
        <f>IF(M20="","",AA20*(1/SQRT(Z20^2+AA20^2+AB20^2)))</f>
        <v>0.30616229045138516</v>
      </c>
      <c r="AF20" s="633">
        <f>IF(M20="","",AB20*(1/SQRT(Z20^2+AA20^2+AB20^2)))</f>
        <v>-0.79335339781787173</v>
      </c>
      <c r="AG20" s="602">
        <f>IF(M20="","",DEGREES(ATAN2(-AF20,AE20)))</f>
        <v>21.102055002574783</v>
      </c>
      <c r="AH20" s="603">
        <f>IF(M20="","",DEGREES(ACOS(AD20)))</f>
        <v>121.7470513525039</v>
      </c>
      <c r="AI20" s="585">
        <f>IF(M20="","",DEGREES(-ACOS(-AF20)))</f>
        <v>-37.499994585672589</v>
      </c>
      <c r="AJ20" s="586">
        <f>IF(M20="","",DEGREES(ATAN2(-AE20,AD20)))</f>
        <v>-120.19381327810336</v>
      </c>
      <c r="AK20" s="635">
        <f>IF(M20="","",(COS(RADIANS((90-$Q$8)-W20))*AD20)+(-SIN(RADIANS((90-$Q$8)-W20))*AE20))</f>
        <v>2.2679489647403628E-7</v>
      </c>
      <c r="AL20" s="629">
        <f>IF(M20="","",(SIN(RADIANS((90-$Q$8)-W20))*AD20)+(COS(RADIANS((90-$Q$8)-W20))*AE20))</f>
        <v>-0.60876135403849863</v>
      </c>
      <c r="AM20" s="634">
        <f>IF(M20="","",AF20)</f>
        <v>-0.79335339781787173</v>
      </c>
      <c r="AN20" s="581">
        <f>IF(M20="","",DEGREES(ATAN2(-AM20,AL20)))</f>
        <v>-37.49999458567067</v>
      </c>
      <c r="AO20" s="582">
        <f t="shared" si="94"/>
        <v>0</v>
      </c>
      <c r="AP20" s="585">
        <f>IF(M20="","",DEGREES(ATAN2(AK20,AL20)))</f>
        <v>-89.99997865437696</v>
      </c>
      <c r="AQ20" s="586">
        <f t="shared" si="9"/>
        <v>0.92344434181380197</v>
      </c>
      <c r="AS20" s="52">
        <f t="shared" si="116"/>
        <v>-119.12473477808538</v>
      </c>
      <c r="AT20" s="72">
        <f t="shared" si="10"/>
        <v>-0.24143303919043424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Taper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2.21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2.11</v>
      </c>
      <c r="II20" s="734" cm="1">
        <f t="array" ref="II20">IFERROR(IF($IH20&lt;1,$IH20+LARGE((IF($M$9:$M$150="",0,$M$9:$M$150)-MOD(IF($M$9:$M$150="",0,$M$9:$M$150),1)),1),$IH20),"")</f>
        <v>2.11</v>
      </c>
      <c r="IJ20" s="533">
        <f t="shared" si="112"/>
        <v>1613</v>
      </c>
      <c r="IK20" s="533" t="str">
        <f t="shared" si="66"/>
        <v>CPS-32193r1</v>
      </c>
      <c r="IL20" s="727">
        <f t="shared" si="225"/>
        <v>24.345796484901882</v>
      </c>
      <c r="IM20" s="759">
        <v>9.2859216033652995E-3</v>
      </c>
      <c r="IN20" s="5">
        <f t="shared" si="226"/>
        <v>0.18</v>
      </c>
      <c r="IO20" s="771">
        <v>90</v>
      </c>
      <c r="IP20" s="9">
        <f t="shared" si="227"/>
        <v>-2.4473073810790611</v>
      </c>
      <c r="IQ20" s="5">
        <f t="shared" si="228"/>
        <v>-0.33750101790307008</v>
      </c>
      <c r="IR20" s="5">
        <f t="shared" si="71"/>
        <v>0.314</v>
      </c>
      <c r="IS20" s="5">
        <f t="shared" si="229"/>
        <v>0.29056245892135885</v>
      </c>
      <c r="IT20" s="727">
        <f t="shared" si="230"/>
        <v>47.023863224424964</v>
      </c>
      <c r="IU20" s="9">
        <f t="shared" si="231"/>
        <v>-2.4685074450184548</v>
      </c>
      <c r="IV20" s="5">
        <f t="shared" si="232"/>
        <v>-0.32490097990135541</v>
      </c>
      <c r="IW20" s="5">
        <f t="shared" si="76"/>
        <v>0.25700000000000001</v>
      </c>
      <c r="IX20" s="5">
        <f t="shared" si="233"/>
        <v>0.25700000000000001</v>
      </c>
      <c r="IY20" s="762">
        <f t="shared" si="234"/>
        <v>37.49999458567067</v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707">
        <v>2.4571344533097954</v>
      </c>
      <c r="C21" s="708">
        <v>-1.3540192042289607</v>
      </c>
      <c r="D21" s="709">
        <v>-1.1266033978358478</v>
      </c>
      <c r="E21" s="710">
        <v>0.84598205517900404</v>
      </c>
      <c r="F21" s="708">
        <v>-0.46618340780150747</v>
      </c>
      <c r="G21" s="711">
        <v>0.25881922765838322</v>
      </c>
      <c r="H21" s="710">
        <v>0.25700000000000001</v>
      </c>
      <c r="I21" s="708">
        <v>0.41499999999999992</v>
      </c>
      <c r="J21" s="570">
        <v>2.214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CPS-32193r1</v>
      </c>
      <c r="L21" s="776" t="s">
        <v>367</v>
      </c>
      <c r="M21" s="168">
        <f t="shared" si="1"/>
        <v>2.214</v>
      </c>
      <c r="N21" s="632">
        <f t="shared" si="2"/>
        <v>2.4571344533097954</v>
      </c>
      <c r="O21" s="629">
        <f t="shared" si="3"/>
        <v>-1.3540192042289607</v>
      </c>
      <c r="P21" s="633">
        <f t="shared" si="4"/>
        <v>-1.1266033978358478</v>
      </c>
      <c r="Q21" s="585">
        <f t="shared" si="113"/>
        <v>331.1427651832924</v>
      </c>
      <c r="R21" s="629">
        <f>IF(M21="","",SQRT(N21^2+O21^2))</f>
        <v>2.8055084614135199</v>
      </c>
      <c r="S21" s="634">
        <f>IF(M21="","",P21)</f>
        <v>-1.1266033978358478</v>
      </c>
      <c r="T21" s="635">
        <f>IF(M21="","",X21*COS(RADIANS(W21)))</f>
        <v>-1.3079377179159388</v>
      </c>
      <c r="U21" s="629">
        <f>IF(M21="","",X21*SIN(RADIANS(W21)))</f>
        <v>-2.4819703167273581</v>
      </c>
      <c r="V21" s="636">
        <f>IF(M21="","",Y21)</f>
        <v>-1.1266033978358478</v>
      </c>
      <c r="W21" s="585">
        <f t="shared" si="224"/>
        <v>242.21186502893346</v>
      </c>
      <c r="X21" s="629">
        <f>IF(M21="","",R21)</f>
        <v>2.8055084614135199</v>
      </c>
      <c r="Y21" s="630">
        <f t="shared" si="223"/>
        <v>-1.1266033978358478</v>
      </c>
      <c r="Z21" s="632">
        <f t="shared" si="6"/>
        <v>-0.84598205517900404</v>
      </c>
      <c r="AA21" s="629">
        <f t="shared" si="7"/>
        <v>0.46618340780150747</v>
      </c>
      <c r="AB21" s="629">
        <f t="shared" si="8"/>
        <v>-0.25881922765838322</v>
      </c>
      <c r="AC21" s="636">
        <f>IF(M21="","",SQRT(Z21^2+AA21^2+AB21^2))</f>
        <v>1</v>
      </c>
      <c r="AD21" s="637">
        <f>IF(M21="","",Z21*(1/SQRT(Z21^2+AA21^2+AB21^2)))</f>
        <v>-0.84598205517900404</v>
      </c>
      <c r="AE21" s="629">
        <f>IF(M21="","",AA21*(1/SQRT(Z21^2+AA21^2+AB21^2)))</f>
        <v>0.46618340780150747</v>
      </c>
      <c r="AF21" s="633">
        <f>IF(M21="","",AB21*(1/SQRT(Z21^2+AA21^2+AB21^2)))</f>
        <v>-0.25881922765838322</v>
      </c>
      <c r="AG21" s="602">
        <f>IF(M21="","",DEGREES(ATAN2(-AF21,AE21)))</f>
        <v>60.961510325880326</v>
      </c>
      <c r="AH21" s="603">
        <f>IF(M21="","",DEGREES(ACOS(AD21)))</f>
        <v>147.77730812043913</v>
      </c>
      <c r="AI21" s="585">
        <f>IF(M21="","",DEGREES(-ACOS(-AF21)))</f>
        <v>-74.99998917134171</v>
      </c>
      <c r="AJ21" s="586">
        <f>IF(M21="","",DEGREES(ATAN2(-AE21,AD21)))</f>
        <v>-118.85722136392404</v>
      </c>
      <c r="AK21" s="635">
        <f>IF(M21="","",(COS(RADIANS((90-$Q$8)-W21))*AD21)+(-SIN(RADIANS((90-$Q$8)-W21))*AE21))</f>
        <v>2.2679489719568124E-7</v>
      </c>
      <c r="AL21" s="629">
        <f>IF(M21="","",(SIN(RADIANS((90-$Q$8)-W21))*AD21)+(COS(RADIANS((90-$Q$8)-W21))*AE21))</f>
        <v>-0.9659257773733273</v>
      </c>
      <c r="AM21" s="634">
        <f>IF(M21="","",AF21)</f>
        <v>-0.25881922765838322</v>
      </c>
      <c r="AN21" s="581">
        <f>IF(M21="","",DEGREES(ATAN2(-AM21,AL21)))</f>
        <v>-74.999989171341312</v>
      </c>
      <c r="AO21" s="582">
        <f>IF(ROUND(IF(M21="",0,DEGREES(ACOS(AK21))),4)=90,0,IF(M21="","",DEGREES(ACOS(AK21))))</f>
        <v>0</v>
      </c>
      <c r="AP21" s="585">
        <f>IF(M21="","",DEGREES(ATAN2(AK21,AL21)))</f>
        <v>-89.999986547216437</v>
      </c>
      <c r="AQ21" s="586">
        <f t="shared" si="9"/>
        <v>0.81253499468842938</v>
      </c>
      <c r="AS21" s="52">
        <f t="shared" si="116"/>
        <v>-117.78813497106654</v>
      </c>
      <c r="AT21" s="72">
        <f t="shared" si="10"/>
        <v>-1.0440636514353565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Taper</v>
      </c>
      <c r="IF21" s="533" t="str">
        <f>IFERROR(IF((((($IW21*COS(RADIANS(180-$IY21)))*COS(RADIANS($IY21)))-(($IX21*SIN(RADIANS(180-$IY21)))*SIN(RADIANS($IY21))))+$IU21)&lt;(((Settings!$C$19+$IF$8)/2)*-1),"Gage",""),"")</f>
        <v>Gage</v>
      </c>
      <c r="IG21" s="847">
        <f t="shared" si="210"/>
        <v>2.214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2.1139999999999999</v>
      </c>
      <c r="II21" s="734" cm="1">
        <f t="array" ref="II21">IFERROR(IF($IH21&lt;1,$IH21+LARGE((IF($M$9:$M$150="",0,$M$9:$M$150)-MOD(IF($M$9:$M$150="",0,$M$9:$M$150),1)),1),$IH21),"")</f>
        <v>2.1139999999999999</v>
      </c>
      <c r="IJ21" s="533">
        <f t="shared" si="112"/>
        <v>1613</v>
      </c>
      <c r="IK21" s="533" t="str">
        <f t="shared" si="66"/>
        <v>CPS-32193r1</v>
      </c>
      <c r="IL21" s="727">
        <f t="shared" si="225"/>
        <v>22.423096762505395</v>
      </c>
      <c r="IM21" s="759">
        <v>2.0543452275386499E-4</v>
      </c>
      <c r="IN21" s="5">
        <f t="shared" si="226"/>
        <v>0</v>
      </c>
      <c r="IO21" s="771">
        <v>0</v>
      </c>
      <c r="IP21" s="9">
        <f t="shared" si="227"/>
        <v>-2.790408415871783</v>
      </c>
      <c r="IQ21" s="5">
        <f t="shared" si="228"/>
        <v>-1.1168033682789589</v>
      </c>
      <c r="IR21" s="5">
        <f t="shared" si="71"/>
        <v>0.314</v>
      </c>
      <c r="IS21" s="5">
        <f t="shared" si="229"/>
        <v>0.27099162205356636</v>
      </c>
      <c r="IT21" s="727">
        <f t="shared" si="230"/>
        <v>84.467520038653873</v>
      </c>
      <c r="IU21" s="9">
        <f t="shared" si="231"/>
        <v>-2.8055084614135199</v>
      </c>
      <c r="IV21" s="5">
        <f t="shared" si="232"/>
        <v>-1.1266033978358478</v>
      </c>
      <c r="IW21" s="5">
        <f t="shared" si="76"/>
        <v>0.25700000000000001</v>
      </c>
      <c r="IX21" s="5">
        <f t="shared" si="233"/>
        <v>0.25700000000000001</v>
      </c>
      <c r="IY21" s="762">
        <f t="shared" si="234"/>
        <v>74.999989171341312</v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707">
        <v>-3.155180118938601E-7</v>
      </c>
      <c r="C22" s="708">
        <v>-0.69560209793585581</v>
      </c>
      <c r="D22" s="709">
        <v>-0.21820065809318481</v>
      </c>
      <c r="E22" s="710">
        <v>0.95371699353067863</v>
      </c>
      <c r="F22" s="708">
        <v>6.5084196206861386E-2</v>
      </c>
      <c r="G22" s="711">
        <v>0.2935778323629194</v>
      </c>
      <c r="H22" s="710">
        <v>0.314</v>
      </c>
      <c r="I22" s="708">
        <v>0.52</v>
      </c>
      <c r="J22" s="570">
        <v>3.1019999999999999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872">
        <f>IF($L21=$JH$22,$JH$30,IF($L21=$JI$22,$JI$30,""))</f>
        <v>60</v>
      </c>
      <c r="M22" s="168">
        <f t="shared" si="1"/>
        <v>3.1019999999999999</v>
      </c>
      <c r="N22" s="632">
        <f t="shared" si="2"/>
        <v>-3.155180118938601E-7</v>
      </c>
      <c r="O22" s="629">
        <f t="shared" si="3"/>
        <v>-0.69560209793585581</v>
      </c>
      <c r="P22" s="633">
        <f t="shared" si="4"/>
        <v>-0.21820065809318481</v>
      </c>
      <c r="Q22" s="585">
        <f t="shared" si="113"/>
        <v>269.99997401121919</v>
      </c>
      <c r="R22" s="629">
        <f t="shared" si="79"/>
        <v>0.69560209793592731</v>
      </c>
      <c r="S22" s="634">
        <f t="shared" si="80"/>
        <v>-0.21820065809318481</v>
      </c>
      <c r="T22" s="635">
        <f t="shared" si="81"/>
        <v>-0.69548101346696423</v>
      </c>
      <c r="U22" s="629">
        <f t="shared" si="82"/>
        <v>-1.2978388182963646E-2</v>
      </c>
      <c r="V22" s="636">
        <f t="shared" si="114"/>
        <v>-0.21820065809318481</v>
      </c>
      <c r="W22" s="585">
        <f t="shared" si="224"/>
        <v>181.06907385686026</v>
      </c>
      <c r="X22" s="629">
        <f t="shared" si="83"/>
        <v>0.69560209793592731</v>
      </c>
      <c r="Y22" s="630">
        <f t="shared" si="223"/>
        <v>-0.21820065809318481</v>
      </c>
      <c r="Z22" s="632">
        <f t="shared" si="6"/>
        <v>-0.95371699353067863</v>
      </c>
      <c r="AA22" s="629">
        <f t="shared" si="7"/>
        <v>-6.5084196206861386E-2</v>
      </c>
      <c r="AB22" s="629">
        <f t="shared" si="8"/>
        <v>-0.2935778323629194</v>
      </c>
      <c r="AC22" s="636">
        <f t="shared" si="84"/>
        <v>1</v>
      </c>
      <c r="AD22" s="637">
        <f t="shared" si="115"/>
        <v>-0.95371699353067863</v>
      </c>
      <c r="AE22" s="629">
        <f t="shared" si="85"/>
        <v>-6.5084196206861386E-2</v>
      </c>
      <c r="AF22" s="633">
        <f t="shared" si="86"/>
        <v>-0.2935778323629194</v>
      </c>
      <c r="AG22" s="602">
        <f t="shared" si="87"/>
        <v>-12.49991772312476</v>
      </c>
      <c r="AH22" s="603">
        <f t="shared" si="88"/>
        <v>162.5000081516701</v>
      </c>
      <c r="AI22" s="585">
        <f t="shared" si="89"/>
        <v>-72.927722444134972</v>
      </c>
      <c r="AJ22" s="586">
        <f t="shared" si="90"/>
        <v>-86.096035724540215</v>
      </c>
      <c r="AK22" s="635">
        <f t="shared" si="211"/>
        <v>0.95371696400905337</v>
      </c>
      <c r="AL22" s="629">
        <f t="shared" si="91"/>
        <v>6.5084628803149164E-2</v>
      </c>
      <c r="AM22" s="634">
        <f t="shared" si="92"/>
        <v>-0.2935778323629194</v>
      </c>
      <c r="AN22" s="581">
        <f t="shared" si="93"/>
        <v>12.499998195223631</v>
      </c>
      <c r="AO22" s="582">
        <f t="shared" si="94"/>
        <v>17.49999747331298</v>
      </c>
      <c r="AP22" s="585">
        <f t="shared" si="95"/>
        <v>3.903990264240603</v>
      </c>
      <c r="AQ22" s="586">
        <f t="shared" si="9"/>
        <v>3.2737755839396758</v>
      </c>
      <c r="AS22" s="52">
        <f t="shared" si="116"/>
        <v>-178.93092614313974</v>
      </c>
      <c r="AT22" s="72">
        <f t="shared" si="10"/>
        <v>-9.3200640045420363E-2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3.1019999999999999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-6.552124326921808E-7</v>
      </c>
      <c r="C23" s="708">
        <v>-1.4445043566249909</v>
      </c>
      <c r="D23" s="709">
        <v>-5.230015773727574E-2</v>
      </c>
      <c r="E23" s="710">
        <v>0.9455186072639159</v>
      </c>
      <c r="F23" s="708">
        <v>3.5443148623932379E-2</v>
      </c>
      <c r="G23" s="711">
        <v>0.3236330430183646</v>
      </c>
      <c r="H23" s="710">
        <v>0.314</v>
      </c>
      <c r="I23" s="708">
        <v>0.52</v>
      </c>
      <c r="J23" s="570">
        <v>3.105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3.105</v>
      </c>
      <c r="N23" s="632">
        <f t="shared" si="2"/>
        <v>-6.552124326921808E-7</v>
      </c>
      <c r="O23" s="629">
        <f t="shared" si="3"/>
        <v>-1.4445043566249909</v>
      </c>
      <c r="P23" s="633">
        <f t="shared" si="4"/>
        <v>-5.230015773727574E-2</v>
      </c>
      <c r="Q23" s="585">
        <f t="shared" si="113"/>
        <v>269.99997401121919</v>
      </c>
      <c r="R23" s="629">
        <f t="shared" si="79"/>
        <v>1.4445043566251394</v>
      </c>
      <c r="S23" s="634">
        <f t="shared" si="80"/>
        <v>-5.230015773727574E-2</v>
      </c>
      <c r="T23" s="635">
        <f t="shared" si="81"/>
        <v>-1.4442529096507042</v>
      </c>
      <c r="U23" s="629">
        <f t="shared" si="82"/>
        <v>-2.6951238830205559E-2</v>
      </c>
      <c r="V23" s="636">
        <f t="shared" si="114"/>
        <v>-5.230015773727574E-2</v>
      </c>
      <c r="W23" s="585">
        <f t="shared" si="224"/>
        <v>181.06907385686026</v>
      </c>
      <c r="X23" s="629">
        <f t="shared" si="83"/>
        <v>1.4445043566251394</v>
      </c>
      <c r="Y23" s="630">
        <f t="shared" si="223"/>
        <v>-5.230015773727574E-2</v>
      </c>
      <c r="Z23" s="632">
        <f t="shared" si="6"/>
        <v>-0.9455186072639159</v>
      </c>
      <c r="AA23" s="629">
        <f t="shared" si="7"/>
        <v>-3.5443148623932379E-2</v>
      </c>
      <c r="AB23" s="629">
        <f t="shared" si="8"/>
        <v>-0.3236330430183646</v>
      </c>
      <c r="AC23" s="636">
        <f t="shared" si="84"/>
        <v>1</v>
      </c>
      <c r="AD23" s="637">
        <f t="shared" si="115"/>
        <v>-0.9455186072639159</v>
      </c>
      <c r="AE23" s="629">
        <f t="shared" si="85"/>
        <v>-3.5443148623932379E-2</v>
      </c>
      <c r="AF23" s="633">
        <f t="shared" si="86"/>
        <v>-0.3236330430183646</v>
      </c>
      <c r="AG23" s="602">
        <f t="shared" si="87"/>
        <v>-6.2499240692978733</v>
      </c>
      <c r="AH23" s="603">
        <f t="shared" si="88"/>
        <v>161.00000557256021</v>
      </c>
      <c r="AI23" s="585">
        <f t="shared" si="89"/>
        <v>-71.117221130612123</v>
      </c>
      <c r="AJ23" s="586">
        <f t="shared" si="90"/>
        <v>-87.853249587667293</v>
      </c>
      <c r="AK23" s="635">
        <f t="shared" si="211"/>
        <v>0.94551859118716819</v>
      </c>
      <c r="AL23" s="629">
        <f t="shared" si="91"/>
        <v>3.5443577501518879E-2</v>
      </c>
      <c r="AM23" s="634">
        <f t="shared" si="92"/>
        <v>-0.3236330430183646</v>
      </c>
      <c r="AN23" s="581">
        <f t="shared" si="93"/>
        <v>6.2499990976118518</v>
      </c>
      <c r="AO23" s="582">
        <f t="shared" si="94"/>
        <v>18.999997256739807</v>
      </c>
      <c r="AP23" s="585">
        <f t="shared" si="95"/>
        <v>2.1467764011135273</v>
      </c>
      <c r="AQ23" s="586">
        <f t="shared" si="9"/>
        <v>1.5778078649517462</v>
      </c>
      <c r="AS23" s="52">
        <f t="shared" si="116"/>
        <v>-178.93092614313974</v>
      </c>
      <c r="AT23" s="72">
        <f t="shared" si="10"/>
        <v>7.2699860310488709E-2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3.105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CPS-32193r1</v>
      </c>
      <c r="JB23" s="859" cm="1">
        <f t="array" ref="JB23">IF($JA23="","",COUNT(IF(IF($II$9:$II$150&lt;&gt;"",$IK$9:$IK$150,"")=$JA23,$IG$9:$IG$150,"")))</f>
        <v>8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1</v>
      </c>
      <c r="JG23" s="801">
        <v>3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100</v>
      </c>
      <c r="JI23" s="801">
        <v>60</v>
      </c>
    </row>
    <row r="24" spans="1:269" ht="15" customHeight="1" x14ac:dyDescent="0.25">
      <c r="A24" s="79"/>
      <c r="B24" s="707">
        <v>-2.4075340535522214E-2</v>
      </c>
      <c r="C24" s="708">
        <v>-2.2745794510757724</v>
      </c>
      <c r="D24" s="709">
        <v>-0.20310061255144748</v>
      </c>
      <c r="E24" s="710">
        <v>0.92995740349418554</v>
      </c>
      <c r="F24" s="708">
        <v>-0.22499432751097997</v>
      </c>
      <c r="G24" s="711">
        <v>0.29078648571457805</v>
      </c>
      <c r="H24" s="710">
        <v>0.314</v>
      </c>
      <c r="I24" s="708">
        <v>0.52</v>
      </c>
      <c r="J24" s="570">
        <v>3.109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3.109</v>
      </c>
      <c r="N24" s="632">
        <f t="shared" si="2"/>
        <v>-2.4075340535522214E-2</v>
      </c>
      <c r="O24" s="629">
        <f t="shared" si="3"/>
        <v>-2.2745794510757724</v>
      </c>
      <c r="P24" s="633">
        <f t="shared" si="4"/>
        <v>-0.20310061255144748</v>
      </c>
      <c r="Q24" s="585">
        <f t="shared" si="113"/>
        <v>269.39357409877255</v>
      </c>
      <c r="R24" s="629">
        <f t="shared" si="79"/>
        <v>2.2747068605158915</v>
      </c>
      <c r="S24" s="634">
        <f t="shared" si="80"/>
        <v>-0.20310061255144748</v>
      </c>
      <c r="T24" s="635">
        <f t="shared" si="81"/>
        <v>-2.2746326957034797</v>
      </c>
      <c r="U24" s="629">
        <f t="shared" si="82"/>
        <v>-1.8368476114934536E-2</v>
      </c>
      <c r="V24" s="636">
        <f t="shared" si="114"/>
        <v>-0.20310061255144748</v>
      </c>
      <c r="W24" s="585">
        <f t="shared" si="224"/>
        <v>180.46267394441361</v>
      </c>
      <c r="X24" s="629">
        <f t="shared" si="83"/>
        <v>2.2747068605158915</v>
      </c>
      <c r="Y24" s="630">
        <f t="shared" si="223"/>
        <v>-0.20310061255144748</v>
      </c>
      <c r="Z24" s="632">
        <f t="shared" si="6"/>
        <v>-0.92995740349418554</v>
      </c>
      <c r="AA24" s="629">
        <f t="shared" si="7"/>
        <v>0.22499432751097997</v>
      </c>
      <c r="AB24" s="629">
        <f t="shared" si="8"/>
        <v>-0.29078648571457805</v>
      </c>
      <c r="AC24" s="636">
        <f t="shared" si="84"/>
        <v>1</v>
      </c>
      <c r="AD24" s="637">
        <f t="shared" si="115"/>
        <v>-0.92995740349418554</v>
      </c>
      <c r="AE24" s="629">
        <f t="shared" si="85"/>
        <v>0.22499432751097997</v>
      </c>
      <c r="AF24" s="633">
        <f t="shared" si="86"/>
        <v>-0.29078648571457805</v>
      </c>
      <c r="AG24" s="602">
        <f t="shared" si="87"/>
        <v>37.730700895306491</v>
      </c>
      <c r="AH24" s="603">
        <f t="shared" si="88"/>
        <v>158.42817594491075</v>
      </c>
      <c r="AI24" s="585">
        <f t="shared" si="89"/>
        <v>-73.09495236351782</v>
      </c>
      <c r="AJ24" s="586">
        <f t="shared" si="90"/>
        <v>-103.60081218381755</v>
      </c>
      <c r="AK24" s="635">
        <f>IF(M24="","",(COS(RADIANS((90-$Q$8)-W24))*AD24)+(-SIN(RADIANS((90-$Q$8)-W24))*AE24))</f>
        <v>0.93228663975457648</v>
      </c>
      <c r="AL24" s="629">
        <f t="shared" si="91"/>
        <v>-0.21513912024754142</v>
      </c>
      <c r="AM24" s="634">
        <f t="shared" si="92"/>
        <v>-0.29078648571457805</v>
      </c>
      <c r="AN24" s="581">
        <f t="shared" si="93"/>
        <v>-36.495981445417272</v>
      </c>
      <c r="AO24" s="582">
        <f t="shared" si="94"/>
        <v>21.205887080344588</v>
      </c>
      <c r="AP24" s="585">
        <f t="shared" si="95"/>
        <v>-12.994386282590099</v>
      </c>
      <c r="AQ24" s="586">
        <f t="shared" si="9"/>
        <v>1.0021045832006901</v>
      </c>
      <c r="AS24" s="52">
        <f t="shared" si="116"/>
        <v>-179.53732605558639</v>
      </c>
      <c r="AT24" s="72">
        <f t="shared" si="10"/>
        <v>-7.7679483453372861E-2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3.109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-6.657189176195849E-2</v>
      </c>
      <c r="C25" s="708">
        <v>-2.7684080406687408</v>
      </c>
      <c r="D25" s="709">
        <v>-0.89970271350338393</v>
      </c>
      <c r="E25" s="710">
        <v>0.86871805815572767</v>
      </c>
      <c r="F25" s="708">
        <v>-0.48079286080277622</v>
      </c>
      <c r="G25" s="711">
        <v>0.11902588136713864</v>
      </c>
      <c r="H25" s="710">
        <v>0.314</v>
      </c>
      <c r="I25" s="708">
        <v>0.52</v>
      </c>
      <c r="J25" s="570">
        <v>3.113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3.113</v>
      </c>
      <c r="N25" s="632">
        <f t="shared" si="2"/>
        <v>-6.657189176195849E-2</v>
      </c>
      <c r="O25" s="629">
        <f t="shared" si="3"/>
        <v>-2.7684080406687408</v>
      </c>
      <c r="P25" s="633">
        <f t="shared" si="4"/>
        <v>-0.89970271350338393</v>
      </c>
      <c r="Q25" s="585">
        <f t="shared" si="113"/>
        <v>268.62247421010557</v>
      </c>
      <c r="R25" s="629">
        <f>IF(M25="","",SQRT(N25^2+O25^2))</f>
        <v>2.7692083519323898</v>
      </c>
      <c r="S25" s="634">
        <f>IF(M25="","",P25)</f>
        <v>-0.89970271350338393</v>
      </c>
      <c r="T25" s="635">
        <f>IF(M25="","",X25*COS(RADIANS(W25)))</f>
        <v>-2.7691682300657918</v>
      </c>
      <c r="U25" s="629">
        <f>IF(M25="","",X25*SIN(RADIANS(W25)))</f>
        <v>1.4906710113005997E-2</v>
      </c>
      <c r="V25" s="636">
        <f>IF(M25="","",Y25)</f>
        <v>-0.89970271350338393</v>
      </c>
      <c r="W25" s="585">
        <f t="shared" si="224"/>
        <v>179.69157405574663</v>
      </c>
      <c r="X25" s="629">
        <f>IF(M25="","",R25)</f>
        <v>2.7692083519323898</v>
      </c>
      <c r="Y25" s="630">
        <f t="shared" si="223"/>
        <v>-0.89970271350338393</v>
      </c>
      <c r="Z25" s="632">
        <f t="shared" si="6"/>
        <v>-0.86871805815572767</v>
      </c>
      <c r="AA25" s="629">
        <f t="shared" si="7"/>
        <v>0.48079286080277622</v>
      </c>
      <c r="AB25" s="629">
        <f t="shared" si="8"/>
        <v>-0.11902588136713864</v>
      </c>
      <c r="AC25" s="636">
        <f>IF(M25="","",SQRT(Z25^2+AA25^2+AB25^2))</f>
        <v>1</v>
      </c>
      <c r="AD25" s="637">
        <f>IF(M25="","",Z25*(1/SQRT(Z25^2+AA25^2+AB25^2)))</f>
        <v>-0.86871805815572767</v>
      </c>
      <c r="AE25" s="629">
        <f>IF(M25="","",AA25*(1/SQRT(Z25^2+AA25^2+AB25^2)))</f>
        <v>0.48079286080277622</v>
      </c>
      <c r="AF25" s="633">
        <f>IF(M25="","",AB25*(1/SQRT(Z25^2+AA25^2+AB25^2)))</f>
        <v>-0.11902588136713864</v>
      </c>
      <c r="AG25" s="602">
        <f>IF(M25="","",DEGREES(ATAN2(-AF25,AE25)))</f>
        <v>76.095320043554665</v>
      </c>
      <c r="AH25" s="603">
        <f>IF(M25="","",DEGREES(ACOS(AD25)))</f>
        <v>150.31000961246903</v>
      </c>
      <c r="AI25" s="585">
        <f>IF(M25="","",DEGREES(-ACOS(-AF25)))</f>
        <v>-83.164113228158996</v>
      </c>
      <c r="AJ25" s="586">
        <f>IF(M25="","",DEGREES(ATAN2(-AE25,AD25)))</f>
        <v>-118.96237794758498</v>
      </c>
      <c r="AK25" s="635">
        <f>IF(M25="","",(COS(RADIANS((90-$Q$8)-W25))*AD25)+(-SIN(RADIANS((90-$Q$8)-W25))*AE25))</f>
        <v>0.88002527721006762</v>
      </c>
      <c r="AL25" s="629">
        <f>IF(M25="","",(SIN(RADIANS((90-$Q$8)-W25))*AD25)+(COS(RADIANS((90-$Q$8)-W25))*AE25))</f>
        <v>-0.45976988922298889</v>
      </c>
      <c r="AM25" s="634">
        <f>IF(M25="","",AF25)</f>
        <v>-0.11902588136713864</v>
      </c>
      <c r="AN25" s="581">
        <f>IF(M25="","",DEGREES(ATAN2(-AM25,AL25)))</f>
        <v>-75.485831953707901</v>
      </c>
      <c r="AO25" s="582">
        <f>IF(ROUND(IF(M25="",0,DEGREES(ACOS(AK25))),4)=90,0,IF(M25="","",DEGREES(ACOS(AK25))))</f>
        <v>28.354587251887018</v>
      </c>
      <c r="AP25" s="585">
        <f>IF(M25="","",DEGREES(ATAN2(AK25,AL25)))</f>
        <v>-27.584852157690566</v>
      </c>
      <c r="AQ25" s="586">
        <f t="shared" si="9"/>
        <v>0.82318463640524175</v>
      </c>
      <c r="AS25" s="52">
        <f t="shared" si="116"/>
        <v>-180.30842594425337</v>
      </c>
      <c r="AT25" s="72">
        <f t="shared" si="10"/>
        <v>-0.77374609837151276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3.113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-7.446861404447791E-2</v>
      </c>
      <c r="C26" s="708">
        <v>-2.831329388111262</v>
      </c>
      <c r="D26" s="709">
        <v>-1.6878050904201531</v>
      </c>
      <c r="E26" s="710">
        <v>0.80378812149928436</v>
      </c>
      <c r="F26" s="708">
        <v>-0.59491567111367549</v>
      </c>
      <c r="G26" s="711">
        <v>1.3008419229703913E-7</v>
      </c>
      <c r="H26" s="710">
        <v>0.314</v>
      </c>
      <c r="I26" s="708">
        <v>0.52</v>
      </c>
      <c r="J26" s="570">
        <v>3.117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3.117</v>
      </c>
      <c r="N26" s="632">
        <f t="shared" si="2"/>
        <v>-7.446861404447791E-2</v>
      </c>
      <c r="O26" s="629">
        <f t="shared" si="3"/>
        <v>-2.831329388111262</v>
      </c>
      <c r="P26" s="633">
        <f t="shared" si="4"/>
        <v>-1.6878050904201531</v>
      </c>
      <c r="Q26" s="585">
        <f t="shared" si="113"/>
        <v>268.49337422874532</v>
      </c>
      <c r="R26" s="629">
        <f>IF(M26="","",SQRT(N26^2+O26^2))</f>
        <v>2.832308542242564</v>
      </c>
      <c r="S26" s="634">
        <f>IF(M26="","",P26)</f>
        <v>-1.6878050904201531</v>
      </c>
      <c r="T26" s="635">
        <f>IF(M26="","",X26*COS(RADIANS(W26)))</f>
        <v>-2.8322259630226836</v>
      </c>
      <c r="U26" s="629">
        <f>IF(M26="","",X26*SIN(RADIANS(W26)))</f>
        <v>2.1628056788111735E-2</v>
      </c>
      <c r="V26" s="636">
        <f>IF(M26="","",Y26)</f>
        <v>-1.6878050904201531</v>
      </c>
      <c r="W26" s="585">
        <f t="shared" si="224"/>
        <v>179.56247407438639</v>
      </c>
      <c r="X26" s="629">
        <f>IF(M26="","",R26)</f>
        <v>2.832308542242564</v>
      </c>
      <c r="Y26" s="630">
        <f t="shared" si="223"/>
        <v>-1.6878050904201531</v>
      </c>
      <c r="Z26" s="632">
        <f t="shared" si="6"/>
        <v>-0.80378812149928436</v>
      </c>
      <c r="AA26" s="629">
        <f t="shared" si="7"/>
        <v>0.59491567111367549</v>
      </c>
      <c r="AB26" s="629">
        <f t="shared" si="8"/>
        <v>-1.3008419229703913E-7</v>
      </c>
      <c r="AC26" s="636">
        <f>IF(M26="","",SQRT(Z26^2+AA26^2+AB26^2))</f>
        <v>1</v>
      </c>
      <c r="AD26" s="637">
        <f>IF(M26="","",Z26*(1/SQRT(Z26^2+AA26^2+AB26^2)))</f>
        <v>-0.80378812149928436</v>
      </c>
      <c r="AE26" s="629">
        <f>IF(M26="","",AA26*(1/SQRT(Z26^2+AA26^2+AB26^2)))</f>
        <v>0.59491567111367549</v>
      </c>
      <c r="AF26" s="633">
        <f>IF(M26="","",AB26*(1/SQRT(Z26^2+AA26^2+AB26^2)))</f>
        <v>-1.3008419229703913E-7</v>
      </c>
      <c r="AG26" s="602">
        <f>IF(M26="","",DEGREES(ATAN2(-AF26,AE26)))</f>
        <v>89.999987471711435</v>
      </c>
      <c r="AH26" s="603">
        <f>IF(M26="","",DEGREES(ACOS(AD26)))</f>
        <v>143.49337928211938</v>
      </c>
      <c r="AI26" s="585">
        <f>IF(M26="","",DEGREES(-ACOS(-AF26)))</f>
        <v>-89.999992546724798</v>
      </c>
      <c r="AJ26" s="586">
        <f>IF(M26="","",DEGREES(ATAN2(-AE26,AD26)))</f>
        <v>-126.50662071787998</v>
      </c>
      <c r="AK26" s="635">
        <f>IF(M26="","",(COS(RADIANS((90-$Q$8)-W26))*AD26)+(-SIN(RADIANS((90-$Q$8)-W26))*AE26))</f>
        <v>0.81915209487729146</v>
      </c>
      <c r="AL26" s="629">
        <f>IF(M26="","",(SIN(RADIANS((90-$Q$8)-W26))*AD26)+(COS(RADIANS((90-$Q$8)-W26))*AE26))</f>
        <v>-0.57357636410344515</v>
      </c>
      <c r="AM26" s="634">
        <f>IF(M26="","",AF26)</f>
        <v>-1.3008419229703913E-7</v>
      </c>
      <c r="AN26" s="581">
        <f>IF(M26="","",DEGREES(ATAN2(-AM26,AL26)))</f>
        <v>-89.999987005609611</v>
      </c>
      <c r="AO26" s="582">
        <f t="shared" si="94"/>
        <v>34.999994946626011</v>
      </c>
      <c r="AP26" s="585">
        <f>IF(M26="","",DEGREES(ATAN2(AK26,AL26)))</f>
        <v>-34.999994946625314</v>
      </c>
      <c r="AQ26" s="586">
        <f t="shared" si="9"/>
        <v>0.80484758174922266</v>
      </c>
      <c r="AS26" s="52">
        <f t="shared" si="116"/>
        <v>-180.43752592561361</v>
      </c>
      <c r="AT26" s="72">
        <f t="shared" si="10"/>
        <v>-1.5617588225234484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3.117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-1.0400653772111408</v>
      </c>
      <c r="C27" s="708">
        <v>-2.0424396438961057</v>
      </c>
      <c r="D27" s="709">
        <v>-0.18700056399370102</v>
      </c>
      <c r="E27" s="710">
        <v>-0.21394479124587176</v>
      </c>
      <c r="F27" s="708">
        <v>-0.42013689969453522</v>
      </c>
      <c r="G27" s="711">
        <v>0.8818801572854581</v>
      </c>
      <c r="H27" s="710">
        <v>0.25700000000000001</v>
      </c>
      <c r="I27" s="708">
        <v>0.41499999999999992</v>
      </c>
      <c r="J27" s="570">
        <v>3.2090000000000001</v>
      </c>
      <c r="K27" s="865" t="str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CPS-32193r1</v>
      </c>
      <c r="L27" s="320"/>
      <c r="M27" s="168">
        <f t="shared" si="1"/>
        <v>3.2090000000000001</v>
      </c>
      <c r="N27" s="632">
        <f t="shared" si="2"/>
        <v>-1.0400653772111408</v>
      </c>
      <c r="O27" s="629">
        <f t="shared" si="3"/>
        <v>-2.0424396438961057</v>
      </c>
      <c r="P27" s="633">
        <f t="shared" si="4"/>
        <v>-0.18700056399370102</v>
      </c>
      <c r="Q27" s="585">
        <f t="shared" si="113"/>
        <v>243.01357790757271</v>
      </c>
      <c r="R27" s="629">
        <f t="shared" si="79"/>
        <v>2.2920069126928486</v>
      </c>
      <c r="S27" s="634">
        <f t="shared" si="80"/>
        <v>-0.18700056399370102</v>
      </c>
      <c r="T27" s="635">
        <f t="shared" si="81"/>
        <v>-2.0614898747670036</v>
      </c>
      <c r="U27" s="629">
        <f t="shared" si="82"/>
        <v>1.0017760149179689</v>
      </c>
      <c r="V27" s="636">
        <f t="shared" si="114"/>
        <v>-0.18700056399370102</v>
      </c>
      <c r="W27" s="585">
        <f t="shared" si="224"/>
        <v>154.08267775321377</v>
      </c>
      <c r="X27" s="629">
        <f t="shared" si="83"/>
        <v>2.2920069126928486</v>
      </c>
      <c r="Y27" s="630">
        <f t="shared" si="223"/>
        <v>-0.18700056399370102</v>
      </c>
      <c r="Z27" s="632">
        <f t="shared" si="6"/>
        <v>0.21394479124587176</v>
      </c>
      <c r="AA27" s="629">
        <f t="shared" si="7"/>
        <v>0.42013689969453522</v>
      </c>
      <c r="AB27" s="629">
        <f t="shared" si="8"/>
        <v>-0.8818801572854581</v>
      </c>
      <c r="AC27" s="636">
        <f t="shared" si="84"/>
        <v>1</v>
      </c>
      <c r="AD27" s="637">
        <f t="shared" si="115"/>
        <v>0.21394479124587176</v>
      </c>
      <c r="AE27" s="629">
        <f t="shared" si="85"/>
        <v>0.42013689969453522</v>
      </c>
      <c r="AF27" s="633">
        <f t="shared" si="86"/>
        <v>-0.8818801572854581</v>
      </c>
      <c r="AG27" s="602">
        <f t="shared" si="87"/>
        <v>25.473616863337888</v>
      </c>
      <c r="AH27" s="603">
        <f t="shared" si="88"/>
        <v>77.646372102663179</v>
      </c>
      <c r="AI27" s="585">
        <f t="shared" si="89"/>
        <v>-28.129995938533838</v>
      </c>
      <c r="AJ27" s="586">
        <f t="shared" si="90"/>
        <v>153.01360546879658</v>
      </c>
      <c r="AK27" s="635">
        <f t="shared" si="211"/>
        <v>2.2679489675159203E-7</v>
      </c>
      <c r="AL27" s="629">
        <f t="shared" si="91"/>
        <v>-0.47147363466701309</v>
      </c>
      <c r="AM27" s="634">
        <f t="shared" si="92"/>
        <v>-0.8818801572854581</v>
      </c>
      <c r="AN27" s="581">
        <f t="shared" si="93"/>
        <v>-28.129995938531078</v>
      </c>
      <c r="AO27" s="582">
        <f t="shared" si="94"/>
        <v>0</v>
      </c>
      <c r="AP27" s="585">
        <f t="shared" si="95"/>
        <v>-89.999972438776126</v>
      </c>
      <c r="AQ27" s="586">
        <f t="shared" si="9"/>
        <v>0.99454222982425067</v>
      </c>
      <c r="AS27" s="52">
        <f t="shared" si="116"/>
        <v>-205.91732224678623</v>
      </c>
      <c r="AT27" s="72">
        <f t="shared" si="10"/>
        <v>-4.3259993096182059E-2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Nose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3.2090000000000001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3.109</v>
      </c>
      <c r="II27" s="734" cm="1">
        <f t="array" ref="II27">IFERROR(IF($IH27&lt;1,$IH27+LARGE((IF($M$9:$M$150="",0,$M$9:$M$150)-MOD(IF($M$9:$M$150="",0,$M$9:$M$150),1)),1),$IH27),"")</f>
        <v>3.109</v>
      </c>
      <c r="IJ27" s="533">
        <f t="shared" si="112"/>
        <v>1613</v>
      </c>
      <c r="IK27" s="533" t="str">
        <f t="shared" si="66"/>
        <v>CPS-32193r1</v>
      </c>
      <c r="IL27" s="727">
        <f t="shared" si="225"/>
        <v>26.379996191199837</v>
      </c>
      <c r="IM27" s="759">
        <v>1.2369122622683699E-2</v>
      </c>
      <c r="IN27" s="5">
        <f t="shared" si="226"/>
        <v>0.2</v>
      </c>
      <c r="IO27" s="771">
        <v>100</v>
      </c>
      <c r="IP27" s="9">
        <f t="shared" si="227"/>
        <v>-2.2747068605158915</v>
      </c>
      <c r="IQ27" s="5">
        <f t="shared" si="228"/>
        <v>-0.20310061255144748</v>
      </c>
      <c r="IR27" s="5">
        <f t="shared" si="71"/>
        <v>0.314</v>
      </c>
      <c r="IS27" s="5">
        <f t="shared" si="229"/>
        <v>0.292738004882937</v>
      </c>
      <c r="IT27" s="727">
        <f t="shared" si="230"/>
        <v>36.495981445417272</v>
      </c>
      <c r="IU27" s="9">
        <f t="shared" si="231"/>
        <v>-2.2920069126928486</v>
      </c>
      <c r="IV27" s="5">
        <f t="shared" si="232"/>
        <v>-0.18700056399370102</v>
      </c>
      <c r="IW27" s="5">
        <f t="shared" si="76"/>
        <v>0.25700000000000001</v>
      </c>
      <c r="IX27" s="5">
        <f t="shared" si="233"/>
        <v>0.25700000000000001</v>
      </c>
      <c r="IY27" s="762">
        <f t="shared" si="234"/>
        <v>28.129995938531078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-1.1248713352238735</v>
      </c>
      <c r="C28" s="708">
        <v>-2.5513385243618503</v>
      </c>
      <c r="D28" s="709">
        <v>-0.90490272918663128</v>
      </c>
      <c r="E28" s="710">
        <v>-0.36747888322886169</v>
      </c>
      <c r="F28" s="708">
        <v>-0.83348524821177605</v>
      </c>
      <c r="G28" s="711">
        <v>0.41262769101724467</v>
      </c>
      <c r="H28" s="710">
        <v>0.25700000000000001</v>
      </c>
      <c r="I28" s="708">
        <v>0.41499999999999992</v>
      </c>
      <c r="J28" s="570">
        <v>3.2130000000000001</v>
      </c>
      <c r="K28" s="865" t="str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CPS-32193r1</v>
      </c>
      <c r="L28" s="320"/>
      <c r="M28" s="168">
        <f t="shared" si="1"/>
        <v>3.2130000000000001</v>
      </c>
      <c r="N28" s="632">
        <f t="shared" si="2"/>
        <v>-1.1248713352238735</v>
      </c>
      <c r="O28" s="629">
        <f t="shared" si="3"/>
        <v>-2.5513385243618503</v>
      </c>
      <c r="P28" s="633">
        <f t="shared" si="4"/>
        <v>-0.90490272918663128</v>
      </c>
      <c r="Q28" s="585">
        <f t="shared" si="113"/>
        <v>246.20757744641628</v>
      </c>
      <c r="R28" s="629">
        <f t="shared" si="79"/>
        <v>2.7883084095381636</v>
      </c>
      <c r="S28" s="634">
        <f t="shared" si="80"/>
        <v>-0.90490272918663128</v>
      </c>
      <c r="T28" s="635">
        <f t="shared" si="81"/>
        <v>-2.5718824951927024</v>
      </c>
      <c r="U28" s="629">
        <f t="shared" si="82"/>
        <v>1.0770720577670747</v>
      </c>
      <c r="V28" s="636">
        <f t="shared" si="114"/>
        <v>-0.90490272918663128</v>
      </c>
      <c r="W28" s="585">
        <f t="shared" si="224"/>
        <v>157.27667729205734</v>
      </c>
      <c r="X28" s="629">
        <f t="shared" si="83"/>
        <v>2.7883084095381636</v>
      </c>
      <c r="Y28" s="630">
        <f t="shared" si="223"/>
        <v>-0.90490272918663128</v>
      </c>
      <c r="Z28" s="632">
        <f t="shared" si="6"/>
        <v>0.36747888322886169</v>
      </c>
      <c r="AA28" s="629">
        <f t="shared" si="7"/>
        <v>0.83348524821177605</v>
      </c>
      <c r="AB28" s="629">
        <f t="shared" si="8"/>
        <v>-0.41262769101724467</v>
      </c>
      <c r="AC28" s="636">
        <f t="shared" si="84"/>
        <v>1</v>
      </c>
      <c r="AD28" s="637">
        <f t="shared" si="115"/>
        <v>0.36747888322886169</v>
      </c>
      <c r="AE28" s="629">
        <f t="shared" si="85"/>
        <v>0.83348524821177605</v>
      </c>
      <c r="AF28" s="633">
        <f t="shared" si="86"/>
        <v>-0.41262769101724467</v>
      </c>
      <c r="AG28" s="602">
        <f t="shared" si="87"/>
        <v>63.661691728915976</v>
      </c>
      <c r="AH28" s="603">
        <f t="shared" si="88"/>
        <v>68.439782737043714</v>
      </c>
      <c r="AI28" s="585">
        <f t="shared" si="89"/>
        <v>-65.629990524202427</v>
      </c>
      <c r="AJ28" s="586">
        <f t="shared" si="90"/>
        <v>156.20759171186108</v>
      </c>
      <c r="AK28" s="635">
        <f t="shared" si="211"/>
        <v>2.2679489619648052E-7</v>
      </c>
      <c r="AL28" s="629">
        <f t="shared" si="91"/>
        <v>-0.91089976869341993</v>
      </c>
      <c r="AM28" s="634">
        <f t="shared" si="92"/>
        <v>-0.41262769101724467</v>
      </c>
      <c r="AN28" s="581">
        <f t="shared" si="93"/>
        <v>-65.629990524201759</v>
      </c>
      <c r="AO28" s="582">
        <f t="shared" si="94"/>
        <v>0</v>
      </c>
      <c r="AP28" s="585">
        <f t="shared" si="95"/>
        <v>-89.999985734555196</v>
      </c>
      <c r="AQ28" s="586">
        <f t="shared" si="9"/>
        <v>0.81754654682982686</v>
      </c>
      <c r="AS28" s="52">
        <f t="shared" si="116"/>
        <v>-202.72332270794266</v>
      </c>
      <c r="AT28" s="72">
        <f t="shared" si="10"/>
        <v>-0.76338021352442031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>Gage</v>
      </c>
      <c r="IG28" s="847">
        <f t="shared" si="210"/>
        <v>3.2130000000000001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3.113</v>
      </c>
      <c r="II28" s="734" cm="1">
        <f t="array" ref="II28">IFERROR(IF($IH28&lt;1,$IH28+LARGE((IF($M$9:$M$150="",0,$M$9:$M$150)-MOD(IF($M$9:$M$150="",0,$M$9:$M$150),1)),1),$IH28),"")</f>
        <v>3.113</v>
      </c>
      <c r="IJ28" s="533">
        <f t="shared" si="112"/>
        <v>1613</v>
      </c>
      <c r="IK28" s="533" t="str">
        <f t="shared" si="66"/>
        <v>CPS-32193r1</v>
      </c>
      <c r="IL28" s="727">
        <f t="shared" si="225"/>
        <v>22.414896763689285</v>
      </c>
      <c r="IM28" s="759">
        <v>1.6625784290635801E-3</v>
      </c>
      <c r="IN28" s="5">
        <f t="shared" si="226"/>
        <v>0.02</v>
      </c>
      <c r="IO28" s="771">
        <v>10</v>
      </c>
      <c r="IP28" s="9">
        <f t="shared" si="227"/>
        <v>-2.7692083519323898</v>
      </c>
      <c r="IQ28" s="5">
        <f t="shared" si="228"/>
        <v>-0.89970271350338393</v>
      </c>
      <c r="IR28" s="5">
        <f t="shared" si="71"/>
        <v>0.314</v>
      </c>
      <c r="IS28" s="5">
        <f t="shared" si="229"/>
        <v>0.27632793704396125</v>
      </c>
      <c r="IT28" s="727">
        <f t="shared" si="230"/>
        <v>75.485831953707901</v>
      </c>
      <c r="IU28" s="9">
        <f t="shared" si="231"/>
        <v>-2.7883084095381636</v>
      </c>
      <c r="IV28" s="5">
        <f t="shared" si="232"/>
        <v>-0.90490272918663128</v>
      </c>
      <c r="IW28" s="5">
        <f t="shared" si="76"/>
        <v>0.25700000000000001</v>
      </c>
      <c r="IX28" s="5">
        <f t="shared" si="233"/>
        <v>0.25700000000000001</v>
      </c>
      <c r="IY28" s="762">
        <f t="shared" si="234"/>
        <v>65.629990524201759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-2.0702836660914192</v>
      </c>
      <c r="C29" s="708">
        <v>0.19456614254327262</v>
      </c>
      <c r="D29" s="709">
        <v>-0.10470031577615238</v>
      </c>
      <c r="E29" s="710">
        <v>-0.23561549312528846</v>
      </c>
      <c r="F29" s="708">
        <v>-0.92090696998356492</v>
      </c>
      <c r="G29" s="711">
        <v>0.31050876321774978</v>
      </c>
      <c r="H29" s="710">
        <v>0.314</v>
      </c>
      <c r="I29" s="708">
        <v>0.52</v>
      </c>
      <c r="J29" s="570">
        <v>4.1079999999999997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4.1079999999999997</v>
      </c>
      <c r="N29" s="632">
        <f t="shared" si="2"/>
        <v>-2.0702836660914192</v>
      </c>
      <c r="O29" s="629">
        <f t="shared" si="3"/>
        <v>0.19456614254327262</v>
      </c>
      <c r="P29" s="633">
        <f t="shared" si="4"/>
        <v>-0.10470031577615238</v>
      </c>
      <c r="Q29" s="585">
        <f t="shared" si="113"/>
        <v>174.63108778078274</v>
      </c>
      <c r="R29" s="629">
        <f>IF(M29="","",SQRT(N29^2+O29^2))</f>
        <v>2.0794062714893151</v>
      </c>
      <c r="S29" s="634">
        <f>IF(M29="","",P29)</f>
        <v>-0.10470031577615238</v>
      </c>
      <c r="T29" s="635">
        <f>IF(M29="","",X29*COS(RADIANS(W29)))</f>
        <v>0.15590444452840346</v>
      </c>
      <c r="U29" s="629">
        <f>IF(M29="","",X29*SIN(RADIANS(W29)))</f>
        <v>2.0735535310392605</v>
      </c>
      <c r="V29" s="636">
        <f>IF(M29="","",Y29)</f>
        <v>-0.10470031577615238</v>
      </c>
      <c r="W29" s="585">
        <f t="shared" si="224"/>
        <v>85.700187626423812</v>
      </c>
      <c r="X29" s="629">
        <f>IF(M29="","",R29)</f>
        <v>2.0794062714893151</v>
      </c>
      <c r="Y29" s="630">
        <f t="shared" si="223"/>
        <v>-0.10470031577615238</v>
      </c>
      <c r="Z29" s="632">
        <f t="shared" si="6"/>
        <v>0.23561549312528846</v>
      </c>
      <c r="AA29" s="629">
        <f t="shared" si="7"/>
        <v>0.92090696998356492</v>
      </c>
      <c r="AB29" s="629">
        <f t="shared" si="8"/>
        <v>-0.31050876321774978</v>
      </c>
      <c r="AC29" s="636">
        <f>IF(M29="","",SQRT(Z29^2+AA29^2+AB29^2))</f>
        <v>1</v>
      </c>
      <c r="AD29" s="637">
        <f>IF(M29="","",Z29*(1/SQRT(Z29^2+AA29^2+AB29^2)))</f>
        <v>0.23561549312528846</v>
      </c>
      <c r="AE29" s="629">
        <f>IF(M29="","",AA29*(1/SQRT(Z29^2+AA29^2+AB29^2)))</f>
        <v>0.92090696998356492</v>
      </c>
      <c r="AF29" s="633">
        <f>IF(M29="","",AB29*(1/SQRT(Z29^2+AA29^2+AB29^2)))</f>
        <v>-0.31050876321774978</v>
      </c>
      <c r="AG29" s="602">
        <f>IF(M29="","",DEGREES(ATAN2(-AF29,AE29)))</f>
        <v>71.367070602404993</v>
      </c>
      <c r="AH29" s="603">
        <f>IF(M29="","",DEGREES(ACOS(AD29)))</f>
        <v>76.372093245989234</v>
      </c>
      <c r="AI29" s="585">
        <f>IF(M29="","",DEGREES(-ACOS(-AF29)))</f>
        <v>-71.910106409229499</v>
      </c>
      <c r="AJ29" s="586">
        <f>IF(M29="","",DEGREES(ATAN2(-AE29,AD29)))</f>
        <v>165.64864514391411</v>
      </c>
      <c r="AK29" s="635">
        <f>IF(M29="","",(COS(RADIANS((90-$Q$8)-W29))*AD29)+(-SIN(RADIANS((90-$Q$8)-W29))*AE29))</f>
        <v>0.93891293987932245</v>
      </c>
      <c r="AL29" s="629">
        <f>IF(M29="","",(SIN(RADIANS((90-$Q$8)-W29))*AD29)+(COS(RADIANS((90-$Q$8)-W29))*AE29))</f>
        <v>-0.14841428264203912</v>
      </c>
      <c r="AM29" s="634">
        <f>IF(M29="","",AF29)</f>
        <v>-0.31050876321774978</v>
      </c>
      <c r="AN29" s="581">
        <f>IF(M29="","",DEGREES(ATAN2(-AM29,AL29)))</f>
        <v>-25.546461850684313</v>
      </c>
      <c r="AO29" s="582">
        <f t="shared" si="94"/>
        <v>20.130207055320188</v>
      </c>
      <c r="AP29" s="585">
        <f>IF(M29="","",DEGREES(ATAN2(AK29,AL29)))</f>
        <v>-8.9824426368686314</v>
      </c>
      <c r="AQ29" s="586">
        <f t="shared" si="9"/>
        <v>1.0962015912235532</v>
      </c>
      <c r="AS29" s="52">
        <f t="shared" si="116"/>
        <v>-274.29981237357617</v>
      </c>
      <c r="AT29" s="72">
        <f t="shared" si="10"/>
        <v>8.6528095487192924E-2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4.1079999999999997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-2.6832627657555816</v>
      </c>
      <c r="C30" s="708">
        <v>0.29387985740865902</v>
      </c>
      <c r="D30" s="709">
        <v>-0.69250208858629936</v>
      </c>
      <c r="E30" s="710">
        <v>-0.50141104293830319</v>
      </c>
      <c r="F30" s="708">
        <v>-0.84655817091468799</v>
      </c>
      <c r="G30" s="711">
        <v>0.17867912378647111</v>
      </c>
      <c r="H30" s="710">
        <v>0.314</v>
      </c>
      <c r="I30" s="708">
        <v>0.52</v>
      </c>
      <c r="J30" s="570">
        <v>4.1120000000000001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4.1120000000000001</v>
      </c>
      <c r="N30" s="632">
        <f t="shared" si="2"/>
        <v>-2.6832627657555816</v>
      </c>
      <c r="O30" s="629">
        <f t="shared" si="3"/>
        <v>0.29387985740865902</v>
      </c>
      <c r="P30" s="633">
        <f t="shared" si="4"/>
        <v>-0.69250208858629936</v>
      </c>
      <c r="Q30" s="585">
        <f t="shared" si="113"/>
        <v>173.74968790804115</v>
      </c>
      <c r="R30" s="629">
        <f>IF(M30="","",SQRT(N30^2+O30^2))</f>
        <v>2.6993081411133537</v>
      </c>
      <c r="S30" s="634">
        <f>IF(M30="","",P30)</f>
        <v>-0.69250208858629936</v>
      </c>
      <c r="T30" s="635">
        <f>IF(M30="","",X30*COS(RADIANS(W30)))</f>
        <v>0.24376376609554276</v>
      </c>
      <c r="U30" s="629">
        <f>IF(M30="","",X30*SIN(RADIANS(W30)))</f>
        <v>2.6882789414455761</v>
      </c>
      <c r="V30" s="636">
        <f>IF(M30="","",Y30)</f>
        <v>-0.69250208858629936</v>
      </c>
      <c r="W30" s="585">
        <f t="shared" si="224"/>
        <v>84.81878775368223</v>
      </c>
      <c r="X30" s="629">
        <f>IF(M30="","",R30)</f>
        <v>2.6993081411133537</v>
      </c>
      <c r="Y30" s="630">
        <f t="shared" si="223"/>
        <v>-0.69250208858629936</v>
      </c>
      <c r="Z30" s="632">
        <f t="shared" si="6"/>
        <v>0.50141104293830319</v>
      </c>
      <c r="AA30" s="629">
        <f t="shared" si="7"/>
        <v>0.84655817091468799</v>
      </c>
      <c r="AB30" s="629">
        <f t="shared" si="8"/>
        <v>-0.17867912378647111</v>
      </c>
      <c r="AC30" s="636">
        <f>IF(M30="","",SQRT(Z30^2+AA30^2+AB30^2))</f>
        <v>1</v>
      </c>
      <c r="AD30" s="637">
        <f>IF(M30="","",Z30*(1/SQRT(Z30^2+AA30^2+AB30^2)))</f>
        <v>0.50141104293830319</v>
      </c>
      <c r="AE30" s="629">
        <f>IF(M30="","",AA30*(1/SQRT(Z30^2+AA30^2+AB30^2)))</f>
        <v>0.84655817091468799</v>
      </c>
      <c r="AF30" s="633">
        <f>IF(M30="","",AB30*(1/SQRT(Z30^2+AA30^2+AB30^2)))</f>
        <v>-0.17867912378647111</v>
      </c>
      <c r="AG30" s="602">
        <f>IF(M30="","",DEGREES(ATAN2(-AF30,AE30)))</f>
        <v>78.081769775152722</v>
      </c>
      <c r="AH30" s="603">
        <f>IF(M30="","",DEGREES(ACOS(AD30)))</f>
        <v>59.906602159142807</v>
      </c>
      <c r="AI30" s="585">
        <f>IF(M30="","",DEGREES(-ACOS(-AF30)))</f>
        <v>-79.707168046338069</v>
      </c>
      <c r="AJ30" s="586">
        <f>IF(M30="","",DEGREES(ATAN2(-AE30,AD30)))</f>
        <v>149.36200957510056</v>
      </c>
      <c r="AK30" s="635">
        <f>IF(M30="","",(COS(RADIANS((90-$Q$8)-W30))*AD30)+(-SIN(RADIANS((90-$Q$8)-W30))*AE30))</f>
        <v>0.89611578167792072</v>
      </c>
      <c r="AL30" s="629">
        <f>IF(M30="","",(SIN(RADIANS((90-$Q$8)-W30))*AD30)+(COS(RADIANS((90-$Q$8)-W30))*AE30))</f>
        <v>-0.40626380167407017</v>
      </c>
      <c r="AM30" s="634">
        <f>IF(M30="","",AF30)</f>
        <v>-0.17867912378647111</v>
      </c>
      <c r="AN30" s="581">
        <f>IF(M30="","",DEGREES(ATAN2(-AM30,AL30)))</f>
        <v>-66.259598120264869</v>
      </c>
      <c r="AO30" s="582">
        <f>IF(ROUND(IF(M30="",0,DEGREES(ACOS(AK30))),4)=90,0,IF(M30="","",DEGREES(ACOS(AK30))))</f>
        <v>26.347889971253732</v>
      </c>
      <c r="AP30" s="585">
        <f>IF(M30="","",DEGREES(ATAN2(AK30,AL30)))</f>
        <v>-24.387678332940595</v>
      </c>
      <c r="AQ30" s="586">
        <f t="shared" si="9"/>
        <v>0.84449845033490367</v>
      </c>
      <c r="AS30" s="52">
        <f t="shared" si="116"/>
        <v>-275.18121224631778</v>
      </c>
      <c r="AT30" s="72">
        <f t="shared" si="10"/>
        <v>-0.5006615940779946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4.1120000000000001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8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100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60</v>
      </c>
    </row>
    <row r="31" spans="1:269" ht="15" customHeight="1" x14ac:dyDescent="0.25">
      <c r="A31" s="79"/>
      <c r="B31" s="707">
        <v>-2.8140650344534142</v>
      </c>
      <c r="C31" s="708">
        <v>0.32095118059745725</v>
      </c>
      <c r="D31" s="709">
        <v>-1.4928045022983789</v>
      </c>
      <c r="E31" s="710">
        <v>-0.66270640883849818</v>
      </c>
      <c r="F31" s="708">
        <v>-0.74887930648694301</v>
      </c>
      <c r="G31" s="711">
        <v>1.3008419217578901E-7</v>
      </c>
      <c r="H31" s="710">
        <v>0.314</v>
      </c>
      <c r="I31" s="708">
        <v>0.52</v>
      </c>
      <c r="J31" s="570">
        <v>4.1159999999999997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4.1159999999999997</v>
      </c>
      <c r="N31" s="632">
        <f t="shared" si="2"/>
        <v>-2.8140650344534142</v>
      </c>
      <c r="O31" s="629">
        <f t="shared" si="3"/>
        <v>0.32095118059745725</v>
      </c>
      <c r="P31" s="633">
        <f t="shared" si="4"/>
        <v>-1.4928045022983789</v>
      </c>
      <c r="Q31" s="585">
        <f t="shared" si="113"/>
        <v>173.49338794504629</v>
      </c>
      <c r="R31" s="629">
        <f>IF(M31="","",SQRT(N31^2+O31^2))</f>
        <v>2.832308542242564</v>
      </c>
      <c r="S31" s="634">
        <f>IF(M31="","",P31)</f>
        <v>-1.4928045022983789</v>
      </c>
      <c r="T31" s="635">
        <f>IF(M31="","",X31*COS(RADIANS(W31)))</f>
        <v>0.26838983795047089</v>
      </c>
      <c r="U31" s="629">
        <f>IF(M31="","",X31*SIN(RADIANS(W31)))</f>
        <v>2.8195635430585915</v>
      </c>
      <c r="V31" s="636">
        <f>IF(M31="","",Y31)</f>
        <v>-1.4928045022983789</v>
      </c>
      <c r="W31" s="585">
        <f t="shared" si="224"/>
        <v>84.562487790687371</v>
      </c>
      <c r="X31" s="629">
        <f>IF(M31="","",R31)</f>
        <v>2.832308542242564</v>
      </c>
      <c r="Y31" s="630">
        <f t="shared" si="223"/>
        <v>-1.4928045022983789</v>
      </c>
      <c r="Z31" s="632">
        <f t="shared" si="6"/>
        <v>0.66270640883849818</v>
      </c>
      <c r="AA31" s="629">
        <f t="shared" si="7"/>
        <v>0.74887930648694301</v>
      </c>
      <c r="AB31" s="629">
        <f t="shared" si="8"/>
        <v>-1.3008419217578901E-7</v>
      </c>
      <c r="AC31" s="636">
        <f>IF(M31="","",SQRT(Z31^2+AA31^2+AB31^2))</f>
        <v>1</v>
      </c>
      <c r="AD31" s="637">
        <f>IF(M31="","",Z31*(1/SQRT(Z31^2+AA31^2+AB31^2)))</f>
        <v>0.66270640883849818</v>
      </c>
      <c r="AE31" s="629">
        <f>IF(M31="","",AA31*(1/SQRT(Z31^2+AA31^2+AB31^2)))</f>
        <v>0.74887930648694301</v>
      </c>
      <c r="AF31" s="633">
        <f>IF(M31="","",AB31*(1/SQRT(Z31^2+AA31^2+AB31^2)))</f>
        <v>-1.3008419217578901E-7</v>
      </c>
      <c r="AG31" s="602">
        <f>IF(M31="","",DEGREES(ATAN2(-AF31,AE31)))</f>
        <v>89.999990047428042</v>
      </c>
      <c r="AH31" s="603">
        <f>IF(M31="","",DEGREES(ACOS(AD31)))</f>
        <v>48.493392998421427</v>
      </c>
      <c r="AI31" s="585">
        <f>IF(M31="","",DEGREES(-ACOS(-AF31)))</f>
        <v>-89.999992546724812</v>
      </c>
      <c r="AJ31" s="586">
        <f>IF(M31="","",DEGREES(ATAN2(-AE31,AD31)))</f>
        <v>138.493392998421</v>
      </c>
      <c r="AK31" s="635">
        <f>IF(M31="","",(COS(RADIANS((90-$Q$8)-W31))*AD31)+(-SIN(RADIANS((90-$Q$8)-W31))*AE31))</f>
        <v>0.81915209487729179</v>
      </c>
      <c r="AL31" s="629">
        <f>IF(M31="","",(SIN(RADIANS((90-$Q$8)-W31))*AD31)+(COS(RADIANS((90-$Q$8)-W31))*AE31))</f>
        <v>-0.57357636410344492</v>
      </c>
      <c r="AM31" s="634">
        <f>IF(M31="","",AF31)</f>
        <v>-1.3008419217578901E-7</v>
      </c>
      <c r="AN31" s="581">
        <f>IF(M31="","",DEGREES(ATAN2(-AM31,AL31)))</f>
        <v>-89.999987005609626</v>
      </c>
      <c r="AO31" s="582">
        <f t="shared" si="94"/>
        <v>34.999994946625968</v>
      </c>
      <c r="AP31" s="585">
        <f>IF(M31="","",DEGREES(ATAN2(AK31,AL31)))</f>
        <v>-34.999994946625293</v>
      </c>
      <c r="AQ31" s="586">
        <f t="shared" si="9"/>
        <v>0.80484758174922266</v>
      </c>
      <c r="AS31" s="52">
        <f t="shared" si="116"/>
        <v>-275.43751220931262</v>
      </c>
      <c r="AT31" s="72">
        <f t="shared" si="10"/>
        <v>-1.3007860217046612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4.1159999999999997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-2.3774056913479775</v>
      </c>
      <c r="C32" s="708">
        <v>1.3231551202909595</v>
      </c>
      <c r="D32" s="709">
        <v>-0.69220208768149616</v>
      </c>
      <c r="E32" s="710">
        <v>-0.72652702862552887</v>
      </c>
      <c r="F32" s="708">
        <v>0.40435140892809607</v>
      </c>
      <c r="G32" s="711">
        <v>0.55557035087774764</v>
      </c>
      <c r="H32" s="710">
        <v>0.25700000000000001</v>
      </c>
      <c r="I32" s="708">
        <v>0.41499999999999992</v>
      </c>
      <c r="J32" s="570">
        <v>4.2119999999999997</v>
      </c>
      <c r="K32" s="865" t="str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CPS-32193r1</v>
      </c>
      <c r="L32" s="320"/>
      <c r="M32" s="168">
        <f t="shared" si="1"/>
        <v>4.2119999999999997</v>
      </c>
      <c r="N32" s="632">
        <f t="shared" si="2"/>
        <v>-2.3774056913479775</v>
      </c>
      <c r="O32" s="629">
        <f t="shared" si="3"/>
        <v>1.3231551202909595</v>
      </c>
      <c r="P32" s="633">
        <f t="shared" si="4"/>
        <v>-0.69220208768149616</v>
      </c>
      <c r="Q32" s="585">
        <f t="shared" si="113"/>
        <v>150.9016912068837</v>
      </c>
      <c r="R32" s="629">
        <f t="shared" si="79"/>
        <v>2.7208082059575496</v>
      </c>
      <c r="S32" s="634">
        <f t="shared" si="80"/>
        <v>-0.69220208768149616</v>
      </c>
      <c r="T32" s="635">
        <f t="shared" si="81"/>
        <v>1.2785666043406752</v>
      </c>
      <c r="U32" s="629">
        <f t="shared" si="82"/>
        <v>2.4016795647776776</v>
      </c>
      <c r="V32" s="636">
        <f t="shared" si="114"/>
        <v>-0.69220208768149616</v>
      </c>
      <c r="W32" s="585">
        <f t="shared" si="224"/>
        <v>61.970791052524774</v>
      </c>
      <c r="X32" s="629">
        <f t="shared" si="83"/>
        <v>2.7208082059575496</v>
      </c>
      <c r="Y32" s="630">
        <f t="shared" si="223"/>
        <v>-0.69220208768149616</v>
      </c>
      <c r="Z32" s="632">
        <f t="shared" si="6"/>
        <v>0.72652702862552887</v>
      </c>
      <c r="AA32" s="629">
        <f t="shared" si="7"/>
        <v>-0.40435140892809607</v>
      </c>
      <c r="AB32" s="629">
        <f t="shared" si="8"/>
        <v>-0.55557035087774764</v>
      </c>
      <c r="AC32" s="636">
        <f t="shared" si="84"/>
        <v>1</v>
      </c>
      <c r="AD32" s="637">
        <f t="shared" si="115"/>
        <v>0.72652702862552887</v>
      </c>
      <c r="AE32" s="629">
        <f t="shared" si="85"/>
        <v>-0.40435140892809607</v>
      </c>
      <c r="AF32" s="633">
        <f t="shared" si="86"/>
        <v>-0.55557035087774764</v>
      </c>
      <c r="AG32" s="602">
        <f t="shared" si="87"/>
        <v>-36.047620392863948</v>
      </c>
      <c r="AH32" s="603">
        <f t="shared" si="88"/>
        <v>43.403972718481477</v>
      </c>
      <c r="AI32" s="585">
        <f t="shared" si="89"/>
        <v>-56.249991878507004</v>
      </c>
      <c r="AJ32" s="586">
        <f t="shared" si="90"/>
        <v>60.901706835105642</v>
      </c>
      <c r="AK32" s="635">
        <f t="shared" si="211"/>
        <v>2.2679489697363664E-7</v>
      </c>
      <c r="AL32" s="629">
        <f t="shared" si="91"/>
        <v>-0.8314695335522071</v>
      </c>
      <c r="AM32" s="634">
        <f t="shared" si="92"/>
        <v>-0.55557035087774764</v>
      </c>
      <c r="AN32" s="581">
        <f t="shared" si="93"/>
        <v>-56.249991878506016</v>
      </c>
      <c r="AO32" s="582">
        <f t="shared" si="94"/>
        <v>0</v>
      </c>
      <c r="AP32" s="585">
        <f t="shared" si="95"/>
        <v>-89.999984371778055</v>
      </c>
      <c r="AQ32" s="586">
        <f t="shared" si="9"/>
        <v>0.83782610461896789</v>
      </c>
      <c r="AS32" s="52">
        <f t="shared" si="116"/>
        <v>-298.02920894747524</v>
      </c>
      <c r="AT32" s="72">
        <f t="shared" si="10"/>
        <v>-0.48449492879738765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>Taper</v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4.2119999999999997</v>
      </c>
      <c r="IH32" s="731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0.112</v>
      </c>
      <c r="II32" s="734" cm="1">
        <f t="array" ref="II32">IFERROR(IF($IH32&lt;1,$IH32+LARGE((IF($M$9:$M$150="",0,$M$9:$M$150)-MOD(IF($M$9:$M$150="",0,$M$9:$M$150),1)),1),$IH32),"")</f>
        <v>4.1120000000000001</v>
      </c>
      <c r="IJ32" s="533">
        <f t="shared" si="112"/>
        <v>1613</v>
      </c>
      <c r="IK32" s="533" t="str">
        <f t="shared" si="66"/>
        <v>CPS-32193r1</v>
      </c>
      <c r="IL32" s="727">
        <f t="shared" si="225"/>
        <v>22.847996701157456</v>
      </c>
      <c r="IM32" s="759">
        <v>4.1876162947405799E-3</v>
      </c>
      <c r="IN32" s="5">
        <f t="shared" si="226"/>
        <v>0.12</v>
      </c>
      <c r="IO32" s="771">
        <v>60</v>
      </c>
      <c r="IP32" s="9">
        <f t="shared" si="227"/>
        <v>-2.6993081411133537</v>
      </c>
      <c r="IQ32" s="5">
        <f t="shared" si="228"/>
        <v>-0.69250208858629936</v>
      </c>
      <c r="IR32" s="5">
        <f t="shared" si="71"/>
        <v>0.314</v>
      </c>
      <c r="IS32" s="5">
        <f t="shared" si="229"/>
        <v>0.28138035544686713</v>
      </c>
      <c r="IT32" s="727">
        <f t="shared" si="230"/>
        <v>66.259598120264869</v>
      </c>
      <c r="IU32" s="9">
        <f t="shared" si="231"/>
        <v>-2.7208082059575496</v>
      </c>
      <c r="IV32" s="5">
        <f t="shared" si="232"/>
        <v>-0.69220208768149616</v>
      </c>
      <c r="IW32" s="5">
        <f t="shared" si="76"/>
        <v>0.25700000000000001</v>
      </c>
      <c r="IX32" s="5">
        <f t="shared" si="233"/>
        <v>0.25700000000000001</v>
      </c>
      <c r="IY32" s="762">
        <f t="shared" si="234"/>
        <v>56.249991878506016</v>
      </c>
    </row>
    <row r="33" spans="1:267" ht="15" customHeight="1" x14ac:dyDescent="0.25">
      <c r="A33" s="79"/>
      <c r="B33" s="707">
        <v>-2.4603115676558422</v>
      </c>
      <c r="C33" s="708">
        <v>1.4051705600012048</v>
      </c>
      <c r="D33" s="709">
        <v>-1.5071045454273093</v>
      </c>
      <c r="E33" s="710">
        <v>-0.86835296863748246</v>
      </c>
      <c r="F33" s="708">
        <v>0.49594669255719426</v>
      </c>
      <c r="G33" s="711">
        <v>2.2679489675708478E-7</v>
      </c>
      <c r="H33" s="710">
        <v>0.25700000000000001</v>
      </c>
      <c r="I33" s="708">
        <v>0.41499999999999992</v>
      </c>
      <c r="J33" s="570">
        <v>4.2160000000000002</v>
      </c>
      <c r="K33" s="865" t="str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CPS-32193r1</v>
      </c>
      <c r="L33" s="320"/>
      <c r="M33" s="168">
        <f t="shared" si="1"/>
        <v>4.2160000000000002</v>
      </c>
      <c r="N33" s="632">
        <f t="shared" si="2"/>
        <v>-2.4603115676558422</v>
      </c>
      <c r="O33" s="629">
        <f t="shared" si="3"/>
        <v>1.4051705600012048</v>
      </c>
      <c r="P33" s="633">
        <f t="shared" si="4"/>
        <v>-1.5071045454273093</v>
      </c>
      <c r="Q33" s="585">
        <f t="shared" si="113"/>
        <v>150.26779129840753</v>
      </c>
      <c r="R33" s="629">
        <f t="shared" si="79"/>
        <v>2.8333085452585722</v>
      </c>
      <c r="S33" s="634">
        <f t="shared" si="80"/>
        <v>-1.5071045454273093</v>
      </c>
      <c r="T33" s="635">
        <f t="shared" si="81"/>
        <v>1.3590208899354821</v>
      </c>
      <c r="U33" s="629">
        <f t="shared" si="82"/>
        <v>2.4861012717414019</v>
      </c>
      <c r="V33" s="636">
        <f t="shared" si="114"/>
        <v>-1.5071045454273093</v>
      </c>
      <c r="W33" s="585">
        <f t="shared" si="224"/>
        <v>61.336891144048607</v>
      </c>
      <c r="X33" s="629">
        <f t="shared" si="83"/>
        <v>2.8333085452585722</v>
      </c>
      <c r="Y33" s="630">
        <f t="shared" si="223"/>
        <v>-1.5071045454273093</v>
      </c>
      <c r="Z33" s="632">
        <f t="shared" si="6"/>
        <v>0.86835296863748246</v>
      </c>
      <c r="AA33" s="629">
        <f t="shared" si="7"/>
        <v>-0.49594669255719426</v>
      </c>
      <c r="AB33" s="629">
        <f t="shared" si="8"/>
        <v>-2.2679489675708478E-7</v>
      </c>
      <c r="AC33" s="636">
        <f t="shared" si="84"/>
        <v>1</v>
      </c>
      <c r="AD33" s="637">
        <f t="shared" si="115"/>
        <v>0.86835296863748246</v>
      </c>
      <c r="AE33" s="629">
        <f t="shared" si="85"/>
        <v>-0.49594669255719426</v>
      </c>
      <c r="AF33" s="633">
        <f t="shared" si="86"/>
        <v>-2.2679489675708478E-7</v>
      </c>
      <c r="AG33" s="602">
        <f t="shared" si="87"/>
        <v>-89.999973798816299</v>
      </c>
      <c r="AH33" s="603">
        <f t="shared" si="88"/>
        <v>29.732195707204625</v>
      </c>
      <c r="AI33" s="585">
        <f t="shared" si="89"/>
        <v>-89.999987005609597</v>
      </c>
      <c r="AJ33" s="586">
        <f t="shared" si="90"/>
        <v>60.267804292797933</v>
      </c>
      <c r="AK33" s="635">
        <f t="shared" si="211"/>
        <v>2.2679489675159203E-7</v>
      </c>
      <c r="AL33" s="629">
        <f t="shared" si="91"/>
        <v>-0.99999999999994871</v>
      </c>
      <c r="AM33" s="634">
        <f t="shared" si="92"/>
        <v>-2.2679489675708478E-7</v>
      </c>
      <c r="AN33" s="581">
        <f t="shared" si="93"/>
        <v>-89.999987005609611</v>
      </c>
      <c r="AO33" s="582">
        <f t="shared" si="94"/>
        <v>0</v>
      </c>
      <c r="AP33" s="585">
        <f t="shared" si="95"/>
        <v>-89.999987005609611</v>
      </c>
      <c r="AQ33" s="586">
        <f t="shared" si="9"/>
        <v>0.80456355190265327</v>
      </c>
      <c r="AS33" s="52">
        <f t="shared" si="116"/>
        <v>-298.66310885595141</v>
      </c>
      <c r="AT33" s="72">
        <f t="shared" si="10"/>
        <v>-1.2989571782734257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Taper</v>
      </c>
      <c r="IF33" s="533" t="str">
        <f>IFERROR(IF((((($IW33*COS(RADIANS(180-$IY33)))*COS(RADIANS($IY33)))-(($IX33*SIN(RADIANS(180-$IY33)))*SIN(RADIANS($IY33))))+$IU33)&lt;(((Settings!$C$19+$IF$8)/2)*-1),"Gage",""),"")</f>
        <v>Gage</v>
      </c>
      <c r="IG33" s="847">
        <f t="shared" si="210"/>
        <v>4.2160000000000002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0.11600000000000001</v>
      </c>
      <c r="II33" s="734" cm="1">
        <f t="array" ref="II33">IFERROR(IF($IH33&lt;1,$IH33+LARGE((IF($M$9:$M$150="",0,$M$9:$M$150)-MOD(IF($M$9:$M$150="",0,$M$9:$M$150),1)),1),$IH33),"")</f>
        <v>4.1159999999999997</v>
      </c>
      <c r="IJ33" s="533">
        <f t="shared" si="112"/>
        <v>1613</v>
      </c>
      <c r="IK33" s="533" t="str">
        <f t="shared" si="66"/>
        <v>CPS-32193r1</v>
      </c>
      <c r="IL33" s="727">
        <f t="shared" si="225"/>
        <v>23.225596646638763</v>
      </c>
      <c r="IM33" s="759">
        <v>1.5895956683857599E-4</v>
      </c>
      <c r="IN33" s="5">
        <f t="shared" si="226"/>
        <v>0</v>
      </c>
      <c r="IO33" s="771">
        <v>0</v>
      </c>
      <c r="IP33" s="9">
        <f t="shared" si="227"/>
        <v>-2.832308542242564</v>
      </c>
      <c r="IQ33" s="5">
        <f t="shared" si="228"/>
        <v>-1.4928045022983789</v>
      </c>
      <c r="IR33" s="5">
        <f t="shared" si="71"/>
        <v>0.314</v>
      </c>
      <c r="IS33" s="5">
        <f t="shared" si="229"/>
        <v>0.2572137577914696</v>
      </c>
      <c r="IT33" s="727">
        <f t="shared" si="230"/>
        <v>89.999987005609626</v>
      </c>
      <c r="IU33" s="9">
        <f t="shared" si="231"/>
        <v>-2.8333085452585722</v>
      </c>
      <c r="IV33" s="5">
        <f t="shared" si="232"/>
        <v>-1.5071045454273093</v>
      </c>
      <c r="IW33" s="5">
        <f t="shared" si="76"/>
        <v>0.25700000000000001</v>
      </c>
      <c r="IX33" s="5">
        <f t="shared" si="233"/>
        <v>0.25700000000000001</v>
      </c>
      <c r="IY33" s="762">
        <f t="shared" si="234"/>
        <v>89.999987005609611</v>
      </c>
    </row>
    <row r="34" spans="1:267" ht="15" customHeight="1" x14ac:dyDescent="0.25">
      <c r="A34" s="79"/>
      <c r="B34" s="707"/>
      <c r="C34" s="708"/>
      <c r="D34" s="709"/>
      <c r="E34" s="710"/>
      <c r="F34" s="708"/>
      <c r="G34" s="711"/>
      <c r="H34" s="710"/>
      <c r="I34" s="708"/>
      <c r="J34" s="570"/>
      <c r="K34" s="865" t="str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/>
      </c>
      <c r="L34" s="320"/>
      <c r="M34" s="168" t="str">
        <f t="shared" si="1"/>
        <v/>
      </c>
      <c r="N34" s="632" t="str">
        <f t="shared" si="2"/>
        <v/>
      </c>
      <c r="O34" s="629" t="str">
        <f t="shared" si="3"/>
        <v/>
      </c>
      <c r="P34" s="633" t="str">
        <f t="shared" si="4"/>
        <v/>
      </c>
      <c r="Q34" s="585" t="str">
        <f t="shared" si="113"/>
        <v/>
      </c>
      <c r="R34" s="629" t="str">
        <f>IF(M34="","",SQRT(N34^2+O34^2))</f>
        <v/>
      </c>
      <c r="S34" s="634" t="str">
        <f>IF(M34="","",P34)</f>
        <v/>
      </c>
      <c r="T34" s="635" t="str">
        <f>IF(M34="","",X34*COS(RADIANS(W34)))</f>
        <v/>
      </c>
      <c r="U34" s="629" t="str">
        <f>IF(M34="","",X34*SIN(RADIANS(W34)))</f>
        <v/>
      </c>
      <c r="V34" s="636" t="str">
        <f>IF(M34="","",Y34)</f>
        <v/>
      </c>
      <c r="W34" s="585" t="str">
        <f t="shared" si="224"/>
        <v/>
      </c>
      <c r="X34" s="629" t="str">
        <f>IF(M34="","",R34)</f>
        <v/>
      </c>
      <c r="Y34" s="630" t="str">
        <f t="shared" si="223"/>
        <v/>
      </c>
      <c r="Z34" s="632" t="str">
        <f t="shared" si="6"/>
        <v/>
      </c>
      <c r="AA34" s="629" t="str">
        <f t="shared" si="7"/>
        <v/>
      </c>
      <c r="AB34" s="629" t="str">
        <f t="shared" si="8"/>
        <v/>
      </c>
      <c r="AC34" s="636" t="str">
        <f>IF(M34="","",SQRT(Z34^2+AA34^2+AB34^2))</f>
        <v/>
      </c>
      <c r="AD34" s="637" t="str">
        <f>IF(M34="","",Z34*(1/SQRT(Z34^2+AA34^2+AB34^2)))</f>
        <v/>
      </c>
      <c r="AE34" s="629" t="str">
        <f>IF(M34="","",AA34*(1/SQRT(Z34^2+AA34^2+AB34^2)))</f>
        <v/>
      </c>
      <c r="AF34" s="633" t="str">
        <f>IF(M34="","",AB34*(1/SQRT(Z34^2+AA34^2+AB34^2)))</f>
        <v/>
      </c>
      <c r="AG34" s="602" t="str">
        <f>IF(M34="","",DEGREES(ATAN2(-AF34,AE34)))</f>
        <v/>
      </c>
      <c r="AH34" s="603" t="str">
        <f>IF(M34="","",DEGREES(ACOS(AD34)))</f>
        <v/>
      </c>
      <c r="AI34" s="585" t="str">
        <f>IF(M34="","",DEGREES(-ACOS(-AF34)))</f>
        <v/>
      </c>
      <c r="AJ34" s="586" t="str">
        <f>IF(M34="","",DEGREES(ATAN2(-AE34,AD34)))</f>
        <v/>
      </c>
      <c r="AK34" s="635" t="str">
        <f>IF(M34="","",(COS(RADIANS((90-$Q$8)-W34))*AD34)+(-SIN(RADIANS((90-$Q$8)-W34))*AE34))</f>
        <v/>
      </c>
      <c r="AL34" s="629" t="str">
        <f>IF(M34="","",(SIN(RADIANS((90-$Q$8)-W34))*AD34)+(COS(RADIANS((90-$Q$8)-W34))*AE34))</f>
        <v/>
      </c>
      <c r="AM34" s="634" t="str">
        <f>IF(M34="","",AF34)</f>
        <v/>
      </c>
      <c r="AN34" s="581" t="str">
        <f>IF(M34="","",DEGREES(ATAN2(-AM34,AL34)))</f>
        <v/>
      </c>
      <c r="AO34" s="582" t="str">
        <f t="shared" si="94"/>
        <v/>
      </c>
      <c r="AP34" s="585" t="str">
        <f>IF(M34="","",DEGREES(ATAN2(AK34,AL34)))</f>
        <v/>
      </c>
      <c r="AQ34" s="586" t="str">
        <f t="shared" si="9"/>
        <v/>
      </c>
      <c r="AS34" s="52" t="str">
        <f t="shared" si="116"/>
        <v/>
      </c>
      <c r="AT34" s="72" t="str">
        <f t="shared" si="10"/>
        <v/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210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112"/>
        <v/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/>
      <c r="C35" s="708"/>
      <c r="D35" s="709"/>
      <c r="E35" s="710"/>
      <c r="F35" s="708"/>
      <c r="G35" s="711"/>
      <c r="H35" s="710"/>
      <c r="I35" s="708"/>
      <c r="J35" s="570"/>
      <c r="K35" s="865" t="str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/>
      </c>
      <c r="L35" s="320"/>
      <c r="M35" s="168" t="str">
        <f t="shared" si="1"/>
        <v/>
      </c>
      <c r="N35" s="632" t="str">
        <f t="shared" si="2"/>
        <v/>
      </c>
      <c r="O35" s="629" t="str">
        <f t="shared" si="3"/>
        <v/>
      </c>
      <c r="P35" s="633" t="str">
        <f t="shared" si="4"/>
        <v/>
      </c>
      <c r="Q35" s="585" t="str">
        <f t="shared" si="113"/>
        <v/>
      </c>
      <c r="R35" s="629" t="str">
        <f>IF(M35="","",SQRT(N35^2+O35^2))</f>
        <v/>
      </c>
      <c r="S35" s="634" t="str">
        <f>IF(M35="","",P35)</f>
        <v/>
      </c>
      <c r="T35" s="635" t="str">
        <f>IF(M35="","",X35*COS(RADIANS(W35)))</f>
        <v/>
      </c>
      <c r="U35" s="629" t="str">
        <f>IF(M35="","",X35*SIN(RADIANS(W35)))</f>
        <v/>
      </c>
      <c r="V35" s="636" t="str">
        <f>IF(M35="","",Y35)</f>
        <v/>
      </c>
      <c r="W35" s="585" t="str">
        <f t="shared" si="224"/>
        <v/>
      </c>
      <c r="X35" s="629" t="str">
        <f>IF(M35="","",R35)</f>
        <v/>
      </c>
      <c r="Y35" s="630" t="str">
        <f t="shared" si="223"/>
        <v/>
      </c>
      <c r="Z35" s="632" t="str">
        <f t="shared" si="6"/>
        <v/>
      </c>
      <c r="AA35" s="629" t="str">
        <f t="shared" si="7"/>
        <v/>
      </c>
      <c r="AB35" s="629" t="str">
        <f t="shared" si="8"/>
        <v/>
      </c>
      <c r="AC35" s="636" t="str">
        <f>IF(M35="","",SQRT(Z35^2+AA35^2+AB35^2))</f>
        <v/>
      </c>
      <c r="AD35" s="637" t="str">
        <f>IF(M35="","",Z35*(1/SQRT(Z35^2+AA35^2+AB35^2)))</f>
        <v/>
      </c>
      <c r="AE35" s="629" t="str">
        <f>IF(M35="","",AA35*(1/SQRT(Z35^2+AA35^2+AB35^2)))</f>
        <v/>
      </c>
      <c r="AF35" s="633" t="str">
        <f>IF(M35="","",AB35*(1/SQRT(Z35^2+AA35^2+AB35^2)))</f>
        <v/>
      </c>
      <c r="AG35" s="602" t="str">
        <f>IF(M35="","",DEGREES(ATAN2(-AF35,AE35)))</f>
        <v/>
      </c>
      <c r="AH35" s="603" t="str">
        <f>IF(M35="","",DEGREES(ACOS(AD35)))</f>
        <v/>
      </c>
      <c r="AI35" s="585" t="str">
        <f>IF(M35="","",DEGREES(-ACOS(-AF35)))</f>
        <v/>
      </c>
      <c r="AJ35" s="586" t="str">
        <f>IF(M35="","",DEGREES(ATAN2(-AE35,AD35)))</f>
        <v/>
      </c>
      <c r="AK35" s="635" t="str">
        <f>IF(M35="","",(COS(RADIANS((90-$Q$8)-W35))*AD35)+(-SIN(RADIANS((90-$Q$8)-W35))*AE35))</f>
        <v/>
      </c>
      <c r="AL35" s="629" t="str">
        <f>IF(M35="","",(SIN(RADIANS((90-$Q$8)-W35))*AD35)+(COS(RADIANS((90-$Q$8)-W35))*AE35))</f>
        <v/>
      </c>
      <c r="AM35" s="634" t="str">
        <f>IF(M35="","",AF35)</f>
        <v/>
      </c>
      <c r="AN35" s="581" t="str">
        <f>IF(M35="","",DEGREES(ATAN2(-AM35,AL35)))</f>
        <v/>
      </c>
      <c r="AO35" s="582" t="str">
        <f t="shared" si="94"/>
        <v/>
      </c>
      <c r="AP35" s="585" t="str">
        <f>IF(M35="","",DEGREES(ATAN2(AK35,AL35)))</f>
        <v/>
      </c>
      <c r="AQ35" s="586" t="str">
        <f t="shared" si="9"/>
        <v/>
      </c>
      <c r="AS35" s="52" t="str">
        <f t="shared" si="116"/>
        <v/>
      </c>
      <c r="AT35" s="72" t="str">
        <f t="shared" si="10"/>
        <v/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210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112"/>
        <v/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/>
      <c r="C36" s="708"/>
      <c r="D36" s="709"/>
      <c r="E36" s="710"/>
      <c r="F36" s="708"/>
      <c r="G36" s="711"/>
      <c r="H36" s="710"/>
      <c r="I36" s="708"/>
      <c r="J36" s="570"/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/>
      </c>
      <c r="L36" s="320"/>
      <c r="M36" s="168" t="str">
        <f t="shared" si="1"/>
        <v/>
      </c>
      <c r="N36" s="632" t="str">
        <f t="shared" si="2"/>
        <v/>
      </c>
      <c r="O36" s="629" t="str">
        <f t="shared" si="3"/>
        <v/>
      </c>
      <c r="P36" s="633" t="str">
        <f t="shared" si="4"/>
        <v/>
      </c>
      <c r="Q36" s="585" t="str">
        <f t="shared" si="113"/>
        <v/>
      </c>
      <c r="R36" s="629" t="str">
        <f>IF(M36="","",SQRT(N36^2+O36^2))</f>
        <v/>
      </c>
      <c r="S36" s="634" t="str">
        <f>IF(M36="","",P36)</f>
        <v/>
      </c>
      <c r="T36" s="635" t="str">
        <f>IF(M36="","",X36*COS(RADIANS(W36)))</f>
        <v/>
      </c>
      <c r="U36" s="629" t="str">
        <f>IF(M36="","",X36*SIN(RADIANS(W36)))</f>
        <v/>
      </c>
      <c r="V36" s="636" t="str">
        <f>IF(M36="","",Y36)</f>
        <v/>
      </c>
      <c r="W36" s="585" t="str">
        <f t="shared" si="224"/>
        <v/>
      </c>
      <c r="X36" s="629" t="str">
        <f>IF(M36="","",R36)</f>
        <v/>
      </c>
      <c r="Y36" s="630" t="str">
        <f t="shared" si="223"/>
        <v/>
      </c>
      <c r="Z36" s="632" t="str">
        <f t="shared" si="6"/>
        <v/>
      </c>
      <c r="AA36" s="629" t="str">
        <f t="shared" si="7"/>
        <v/>
      </c>
      <c r="AB36" s="629" t="str">
        <f t="shared" si="8"/>
        <v/>
      </c>
      <c r="AC36" s="636" t="str">
        <f>IF(M36="","",SQRT(Z36^2+AA36^2+AB36^2))</f>
        <v/>
      </c>
      <c r="AD36" s="637" t="str">
        <f>IF(M36="","",Z36*(1/SQRT(Z36^2+AA36^2+AB36^2)))</f>
        <v/>
      </c>
      <c r="AE36" s="629" t="str">
        <f>IF(M36="","",AA36*(1/SQRT(Z36^2+AA36^2+AB36^2)))</f>
        <v/>
      </c>
      <c r="AF36" s="633" t="str">
        <f>IF(M36="","",AB36*(1/SQRT(Z36^2+AA36^2+AB36^2)))</f>
        <v/>
      </c>
      <c r="AG36" s="602" t="str">
        <f>IF(M36="","",DEGREES(ATAN2(-AF36,AE36)))</f>
        <v/>
      </c>
      <c r="AH36" s="603" t="str">
        <f>IF(M36="","",DEGREES(ACOS(AD36)))</f>
        <v/>
      </c>
      <c r="AI36" s="585" t="str">
        <f>IF(M36="","",DEGREES(-ACOS(-AF36)))</f>
        <v/>
      </c>
      <c r="AJ36" s="586" t="str">
        <f>IF(M36="","",DEGREES(ATAN2(-AE36,AD36)))</f>
        <v/>
      </c>
      <c r="AK36" s="635" t="str">
        <f>IF(M36="","",(COS(RADIANS((90-$Q$8)-W36))*AD36)+(-SIN(RADIANS((90-$Q$8)-W36))*AE36))</f>
        <v/>
      </c>
      <c r="AL36" s="629" t="str">
        <f>IF(M36="","",(SIN(RADIANS((90-$Q$8)-W36))*AD36)+(COS(RADIANS((90-$Q$8)-W36))*AE36))</f>
        <v/>
      </c>
      <c r="AM36" s="634" t="str">
        <f>IF(M36="","",AF36)</f>
        <v/>
      </c>
      <c r="AN36" s="581" t="str">
        <f>IF(M36="","",DEGREES(ATAN2(-AM36,AL36)))</f>
        <v/>
      </c>
      <c r="AO36" s="582" t="str">
        <f t="shared" si="94"/>
        <v/>
      </c>
      <c r="AP36" s="585" t="str">
        <f>IF(M36="","",DEGREES(ATAN2(AK36,AL36)))</f>
        <v/>
      </c>
      <c r="AQ36" s="586" t="str">
        <f t="shared" si="9"/>
        <v/>
      </c>
      <c r="AS36" s="52" t="str">
        <f t="shared" si="116"/>
        <v/>
      </c>
      <c r="AT36" s="72" t="str">
        <f t="shared" si="10"/>
        <v/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210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112"/>
        <v/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/>
      <c r="C37" s="708"/>
      <c r="D37" s="709"/>
      <c r="E37" s="710"/>
      <c r="F37" s="708"/>
      <c r="G37" s="711"/>
      <c r="H37" s="710"/>
      <c r="I37" s="708"/>
      <c r="J37" s="570"/>
      <c r="K37" s="865" t="str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/>
      </c>
      <c r="L37" s="320"/>
      <c r="M37" s="168" t="str">
        <f t="shared" si="1"/>
        <v/>
      </c>
      <c r="N37" s="632" t="str">
        <f t="shared" si="2"/>
        <v/>
      </c>
      <c r="O37" s="629" t="str">
        <f t="shared" si="3"/>
        <v/>
      </c>
      <c r="P37" s="633" t="str">
        <f t="shared" si="4"/>
        <v/>
      </c>
      <c r="Q37" s="585" t="str">
        <f t="shared" si="113"/>
        <v/>
      </c>
      <c r="R37" s="629" t="str">
        <f t="shared" si="79"/>
        <v/>
      </c>
      <c r="S37" s="634" t="str">
        <f t="shared" si="80"/>
        <v/>
      </c>
      <c r="T37" s="635" t="str">
        <f t="shared" si="81"/>
        <v/>
      </c>
      <c r="U37" s="629" t="str">
        <f t="shared" si="82"/>
        <v/>
      </c>
      <c r="V37" s="636" t="str">
        <f t="shared" si="114"/>
        <v/>
      </c>
      <c r="W37" s="585" t="str">
        <f t="shared" si="224"/>
        <v/>
      </c>
      <c r="X37" s="629" t="str">
        <f t="shared" si="83"/>
        <v/>
      </c>
      <c r="Y37" s="630" t="str">
        <f t="shared" si="223"/>
        <v/>
      </c>
      <c r="Z37" s="632" t="str">
        <f t="shared" si="6"/>
        <v/>
      </c>
      <c r="AA37" s="629" t="str">
        <f t="shared" si="7"/>
        <v/>
      </c>
      <c r="AB37" s="629" t="str">
        <f t="shared" si="8"/>
        <v/>
      </c>
      <c r="AC37" s="636" t="str">
        <f t="shared" si="84"/>
        <v/>
      </c>
      <c r="AD37" s="637" t="str">
        <f t="shared" si="115"/>
        <v/>
      </c>
      <c r="AE37" s="629" t="str">
        <f t="shared" si="85"/>
        <v/>
      </c>
      <c r="AF37" s="633" t="str">
        <f t="shared" si="86"/>
        <v/>
      </c>
      <c r="AG37" s="602" t="str">
        <f t="shared" si="87"/>
        <v/>
      </c>
      <c r="AH37" s="603" t="str">
        <f t="shared" si="88"/>
        <v/>
      </c>
      <c r="AI37" s="585" t="str">
        <f t="shared" si="89"/>
        <v/>
      </c>
      <c r="AJ37" s="586" t="str">
        <f t="shared" si="90"/>
        <v/>
      </c>
      <c r="AK37" s="635" t="str">
        <f t="shared" si="211"/>
        <v/>
      </c>
      <c r="AL37" s="629" t="str">
        <f t="shared" si="91"/>
        <v/>
      </c>
      <c r="AM37" s="634" t="str">
        <f t="shared" si="92"/>
        <v/>
      </c>
      <c r="AN37" s="581" t="str">
        <f t="shared" si="93"/>
        <v/>
      </c>
      <c r="AO37" s="582" t="str">
        <f t="shared" si="94"/>
        <v/>
      </c>
      <c r="AP37" s="585" t="str">
        <f t="shared" si="95"/>
        <v/>
      </c>
      <c r="AQ37" s="586" t="str">
        <f t="shared" si="9"/>
        <v/>
      </c>
      <c r="AS37" s="52" t="str">
        <f t="shared" si="116"/>
        <v/>
      </c>
      <c r="AT37" s="72" t="str">
        <f t="shared" si="10"/>
        <v/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210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112"/>
        <v/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/>
      <c r="C38" s="708"/>
      <c r="D38" s="709"/>
      <c r="E38" s="710"/>
      <c r="F38" s="708"/>
      <c r="G38" s="711"/>
      <c r="H38" s="710"/>
      <c r="I38" s="708"/>
      <c r="J38" s="570"/>
      <c r="K38" s="865" t="str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/>
      </c>
      <c r="L38" s="320"/>
      <c r="M38" s="168" t="str">
        <f t="shared" si="1"/>
        <v/>
      </c>
      <c r="N38" s="632" t="str">
        <f t="shared" si="2"/>
        <v/>
      </c>
      <c r="O38" s="629" t="str">
        <f t="shared" si="3"/>
        <v/>
      </c>
      <c r="P38" s="633" t="str">
        <f t="shared" si="4"/>
        <v/>
      </c>
      <c r="Q38" s="585" t="str">
        <f t="shared" si="113"/>
        <v/>
      </c>
      <c r="R38" s="629" t="str">
        <f t="shared" si="79"/>
        <v/>
      </c>
      <c r="S38" s="634" t="str">
        <f t="shared" si="80"/>
        <v/>
      </c>
      <c r="T38" s="635" t="str">
        <f t="shared" si="81"/>
        <v/>
      </c>
      <c r="U38" s="629" t="str">
        <f t="shared" si="82"/>
        <v/>
      </c>
      <c r="V38" s="636" t="str">
        <f t="shared" si="114"/>
        <v/>
      </c>
      <c r="W38" s="585" t="str">
        <f t="shared" si="224"/>
        <v/>
      </c>
      <c r="X38" s="629" t="str">
        <f t="shared" si="83"/>
        <v/>
      </c>
      <c r="Y38" s="630" t="str">
        <f t="shared" si="223"/>
        <v/>
      </c>
      <c r="Z38" s="632" t="str">
        <f t="shared" si="6"/>
        <v/>
      </c>
      <c r="AA38" s="629" t="str">
        <f t="shared" si="7"/>
        <v/>
      </c>
      <c r="AB38" s="629" t="str">
        <f t="shared" si="8"/>
        <v/>
      </c>
      <c r="AC38" s="636" t="str">
        <f t="shared" si="84"/>
        <v/>
      </c>
      <c r="AD38" s="637" t="str">
        <f t="shared" si="115"/>
        <v/>
      </c>
      <c r="AE38" s="629" t="str">
        <f t="shared" si="85"/>
        <v/>
      </c>
      <c r="AF38" s="633" t="str">
        <f t="shared" si="86"/>
        <v/>
      </c>
      <c r="AG38" s="602" t="str">
        <f t="shared" si="87"/>
        <v/>
      </c>
      <c r="AH38" s="603" t="str">
        <f t="shared" si="88"/>
        <v/>
      </c>
      <c r="AI38" s="585" t="str">
        <f t="shared" si="89"/>
        <v/>
      </c>
      <c r="AJ38" s="586" t="str">
        <f t="shared" si="90"/>
        <v/>
      </c>
      <c r="AK38" s="635" t="str">
        <f t="shared" si="211"/>
        <v/>
      </c>
      <c r="AL38" s="629" t="str">
        <f t="shared" si="91"/>
        <v/>
      </c>
      <c r="AM38" s="634" t="str">
        <f t="shared" si="92"/>
        <v/>
      </c>
      <c r="AN38" s="581" t="str">
        <f t="shared" si="93"/>
        <v/>
      </c>
      <c r="AO38" s="582" t="str">
        <f t="shared" si="94"/>
        <v/>
      </c>
      <c r="AP38" s="585" t="str">
        <f t="shared" si="95"/>
        <v/>
      </c>
      <c r="AQ38" s="586" t="str">
        <f t="shared" si="9"/>
        <v/>
      </c>
      <c r="AS38" s="52" t="str">
        <f t="shared" si="116"/>
        <v/>
      </c>
      <c r="AT38" s="72" t="str">
        <f t="shared" si="10"/>
        <v/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210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112"/>
        <v/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/>
      <c r="C39" s="708"/>
      <c r="D39" s="709"/>
      <c r="E39" s="710"/>
      <c r="F39" s="708"/>
      <c r="G39" s="711"/>
      <c r="H39" s="710"/>
      <c r="I39" s="708"/>
      <c r="J39" s="570"/>
      <c r="K39" s="865" t="str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/>
      </c>
      <c r="L39" s="320"/>
      <c r="M39" s="168" t="str">
        <f t="shared" si="1"/>
        <v/>
      </c>
      <c r="N39" s="632" t="str">
        <f t="shared" si="2"/>
        <v/>
      </c>
      <c r="O39" s="629" t="str">
        <f t="shared" si="3"/>
        <v/>
      </c>
      <c r="P39" s="633" t="str">
        <f t="shared" si="4"/>
        <v/>
      </c>
      <c r="Q39" s="585" t="str">
        <f t="shared" si="113"/>
        <v/>
      </c>
      <c r="R39" s="629" t="str">
        <f t="shared" si="79"/>
        <v/>
      </c>
      <c r="S39" s="634" t="str">
        <f t="shared" si="80"/>
        <v/>
      </c>
      <c r="T39" s="635" t="str">
        <f t="shared" si="81"/>
        <v/>
      </c>
      <c r="U39" s="629" t="str">
        <f t="shared" si="82"/>
        <v/>
      </c>
      <c r="V39" s="636" t="str">
        <f t="shared" si="114"/>
        <v/>
      </c>
      <c r="W39" s="585" t="str">
        <f t="shared" si="224"/>
        <v/>
      </c>
      <c r="X39" s="629" t="str">
        <f t="shared" si="83"/>
        <v/>
      </c>
      <c r="Y39" s="630" t="str">
        <f t="shared" si="223"/>
        <v/>
      </c>
      <c r="Z39" s="632" t="str">
        <f t="shared" si="6"/>
        <v/>
      </c>
      <c r="AA39" s="629" t="str">
        <f t="shared" si="7"/>
        <v/>
      </c>
      <c r="AB39" s="629" t="str">
        <f t="shared" si="8"/>
        <v/>
      </c>
      <c r="AC39" s="636" t="str">
        <f t="shared" si="84"/>
        <v/>
      </c>
      <c r="AD39" s="637" t="str">
        <f t="shared" si="115"/>
        <v/>
      </c>
      <c r="AE39" s="629" t="str">
        <f t="shared" si="85"/>
        <v/>
      </c>
      <c r="AF39" s="633" t="str">
        <f t="shared" si="86"/>
        <v/>
      </c>
      <c r="AG39" s="602" t="str">
        <f t="shared" si="87"/>
        <v/>
      </c>
      <c r="AH39" s="603" t="str">
        <f t="shared" si="88"/>
        <v/>
      </c>
      <c r="AI39" s="585" t="str">
        <f t="shared" si="89"/>
        <v/>
      </c>
      <c r="AJ39" s="586" t="str">
        <f t="shared" si="90"/>
        <v/>
      </c>
      <c r="AK39" s="635" t="str">
        <f t="shared" si="211"/>
        <v/>
      </c>
      <c r="AL39" s="629" t="str">
        <f t="shared" si="91"/>
        <v/>
      </c>
      <c r="AM39" s="634" t="str">
        <f t="shared" si="92"/>
        <v/>
      </c>
      <c r="AN39" s="581" t="str">
        <f t="shared" si="93"/>
        <v/>
      </c>
      <c r="AO39" s="582" t="str">
        <f t="shared" si="94"/>
        <v/>
      </c>
      <c r="AP39" s="585" t="str">
        <f t="shared" si="95"/>
        <v/>
      </c>
      <c r="AQ39" s="586" t="str">
        <f t="shared" si="9"/>
        <v/>
      </c>
      <c r="AS39" s="52" t="str">
        <f t="shared" si="116"/>
        <v/>
      </c>
      <c r="AT39" s="72" t="str">
        <f t="shared" si="10"/>
        <v/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210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112"/>
        <v/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/>
      <c r="C40" s="708"/>
      <c r="D40" s="709"/>
      <c r="E40" s="710"/>
      <c r="F40" s="708"/>
      <c r="G40" s="711"/>
      <c r="H40" s="710"/>
      <c r="I40" s="708"/>
      <c r="J40" s="570"/>
      <c r="K40" s="865" t="str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/>
      </c>
      <c r="L40" s="320"/>
      <c r="M40" s="168" t="str">
        <f t="shared" si="1"/>
        <v/>
      </c>
      <c r="N40" s="632" t="str">
        <f t="shared" si="2"/>
        <v/>
      </c>
      <c r="O40" s="629" t="str">
        <f t="shared" si="3"/>
        <v/>
      </c>
      <c r="P40" s="633" t="str">
        <f t="shared" si="4"/>
        <v/>
      </c>
      <c r="Q40" s="585" t="str">
        <f t="shared" si="113"/>
        <v/>
      </c>
      <c r="R40" s="629" t="str">
        <f t="shared" si="79"/>
        <v/>
      </c>
      <c r="S40" s="634" t="str">
        <f t="shared" si="80"/>
        <v/>
      </c>
      <c r="T40" s="635" t="str">
        <f t="shared" si="81"/>
        <v/>
      </c>
      <c r="U40" s="629" t="str">
        <f t="shared" si="82"/>
        <v/>
      </c>
      <c r="V40" s="636" t="str">
        <f t="shared" si="114"/>
        <v/>
      </c>
      <c r="W40" s="585" t="str">
        <f t="shared" si="224"/>
        <v/>
      </c>
      <c r="X40" s="629" t="str">
        <f t="shared" si="83"/>
        <v/>
      </c>
      <c r="Y40" s="630" t="str">
        <f t="shared" si="223"/>
        <v/>
      </c>
      <c r="Z40" s="632" t="str">
        <f t="shared" si="6"/>
        <v/>
      </c>
      <c r="AA40" s="629" t="str">
        <f t="shared" si="7"/>
        <v/>
      </c>
      <c r="AB40" s="629" t="str">
        <f t="shared" si="8"/>
        <v/>
      </c>
      <c r="AC40" s="636" t="str">
        <f t="shared" si="84"/>
        <v/>
      </c>
      <c r="AD40" s="637" t="str">
        <f t="shared" si="115"/>
        <v/>
      </c>
      <c r="AE40" s="629" t="str">
        <f t="shared" si="85"/>
        <v/>
      </c>
      <c r="AF40" s="633" t="str">
        <f t="shared" si="86"/>
        <v/>
      </c>
      <c r="AG40" s="602" t="str">
        <f t="shared" si="87"/>
        <v/>
      </c>
      <c r="AH40" s="603" t="str">
        <f t="shared" si="88"/>
        <v/>
      </c>
      <c r="AI40" s="585" t="str">
        <f t="shared" si="89"/>
        <v/>
      </c>
      <c r="AJ40" s="586" t="str">
        <f t="shared" si="90"/>
        <v/>
      </c>
      <c r="AK40" s="635" t="str">
        <f t="shared" si="211"/>
        <v/>
      </c>
      <c r="AL40" s="629" t="str">
        <f t="shared" si="91"/>
        <v/>
      </c>
      <c r="AM40" s="634" t="str">
        <f t="shared" si="92"/>
        <v/>
      </c>
      <c r="AN40" s="581" t="str">
        <f t="shared" si="93"/>
        <v/>
      </c>
      <c r="AO40" s="582" t="str">
        <f t="shared" si="94"/>
        <v/>
      </c>
      <c r="AP40" s="585" t="str">
        <f t="shared" si="95"/>
        <v/>
      </c>
      <c r="AQ40" s="586" t="str">
        <f t="shared" si="9"/>
        <v/>
      </c>
      <c r="AS40" s="52" t="str">
        <f t="shared" si="116"/>
        <v/>
      </c>
      <c r="AT40" s="72" t="str">
        <f t="shared" si="10"/>
        <v/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210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112"/>
        <v/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/>
      <c r="C41" s="708"/>
      <c r="D41" s="709"/>
      <c r="E41" s="710"/>
      <c r="F41" s="708"/>
      <c r="G41" s="711"/>
      <c r="H41" s="710"/>
      <c r="I41" s="708"/>
      <c r="J41" s="570"/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/>
      </c>
      <c r="L41" s="320"/>
      <c r="M41" s="168" t="str">
        <f t="shared" ref="M41:M72" si="239">IF(J41="","",VALUE(J41))</f>
        <v/>
      </c>
      <c r="N41" s="632" t="str">
        <f t="shared" ref="N41:N72" si="240">IF(M41="","",B41)</f>
        <v/>
      </c>
      <c r="O41" s="629" t="str">
        <f t="shared" ref="O41:O72" si="241">IF(M41="","",C41)</f>
        <v/>
      </c>
      <c r="P41" s="633" t="str">
        <f t="shared" ref="P41:P72" si="242">IF(M41="","",D41)</f>
        <v/>
      </c>
      <c r="Q41" s="585" t="str">
        <f t="shared" si="113"/>
        <v/>
      </c>
      <c r="R41" s="629" t="str">
        <f t="shared" si="79"/>
        <v/>
      </c>
      <c r="S41" s="634" t="str">
        <f t="shared" si="80"/>
        <v/>
      </c>
      <c r="T41" s="635" t="str">
        <f t="shared" si="81"/>
        <v/>
      </c>
      <c r="U41" s="629" t="str">
        <f t="shared" si="82"/>
        <v/>
      </c>
      <c r="V41" s="636" t="str">
        <f t="shared" si="114"/>
        <v/>
      </c>
      <c r="W41" s="585" t="str">
        <f t="shared" si="224"/>
        <v/>
      </c>
      <c r="X41" s="629" t="str">
        <f t="shared" si="83"/>
        <v/>
      </c>
      <c r="Y41" s="630" t="str">
        <f t="shared" si="223"/>
        <v/>
      </c>
      <c r="Z41" s="632" t="str">
        <f t="shared" ref="Z41:Z72" si="243">IF(M41="","",-E41)</f>
        <v/>
      </c>
      <c r="AA41" s="629" t="str">
        <f t="shared" ref="AA41:AA72" si="244">IF(M41="","",-F41)</f>
        <v/>
      </c>
      <c r="AB41" s="629" t="str">
        <f t="shared" ref="AB41:AB72" si="245">IF(M41="","",-G41)</f>
        <v/>
      </c>
      <c r="AC41" s="636" t="str">
        <f t="shared" si="84"/>
        <v/>
      </c>
      <c r="AD41" s="637" t="str">
        <f t="shared" si="115"/>
        <v/>
      </c>
      <c r="AE41" s="629" t="str">
        <f t="shared" si="85"/>
        <v/>
      </c>
      <c r="AF41" s="633" t="str">
        <f t="shared" si="86"/>
        <v/>
      </c>
      <c r="AG41" s="602" t="str">
        <f t="shared" si="87"/>
        <v/>
      </c>
      <c r="AH41" s="603" t="str">
        <f t="shared" si="88"/>
        <v/>
      </c>
      <c r="AI41" s="585" t="str">
        <f t="shared" si="89"/>
        <v/>
      </c>
      <c r="AJ41" s="586" t="str">
        <f t="shared" si="90"/>
        <v/>
      </c>
      <c r="AK41" s="635" t="str">
        <f t="shared" si="211"/>
        <v/>
      </c>
      <c r="AL41" s="629" t="str">
        <f t="shared" si="91"/>
        <v/>
      </c>
      <c r="AM41" s="634" t="str">
        <f t="shared" si="92"/>
        <v/>
      </c>
      <c r="AN41" s="581" t="str">
        <f t="shared" si="93"/>
        <v/>
      </c>
      <c r="AO41" s="582" t="str">
        <f t="shared" si="94"/>
        <v/>
      </c>
      <c r="AP41" s="585" t="str">
        <f t="shared" si="95"/>
        <v/>
      </c>
      <c r="AQ41" s="586" t="str">
        <f t="shared" ref="AQ41:AQ72" si="246">IF(M41="","",DEGREES(ATAN(($AS$5*SIN(RADIANS(90)))/(($X41*2*PI())-($AS$5*COS(RADIANS(90)))))))</f>
        <v/>
      </c>
      <c r="AS41" s="52" t="str">
        <f t="shared" si="116"/>
        <v/>
      </c>
      <c r="AT41" s="72" t="str">
        <f t="shared" ref="AT41:AT72" si="247">IF(M41="","",Y41+(((AS41-$AS$9)*$AS$6)*-1))</f>
        <v/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210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112"/>
        <v/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/>
      <c r="C42" s="708"/>
      <c r="D42" s="709"/>
      <c r="E42" s="710"/>
      <c r="F42" s="708"/>
      <c r="G42" s="711"/>
      <c r="H42" s="710"/>
      <c r="I42" s="708"/>
      <c r="J42" s="570"/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/>
      </c>
      <c r="L42" s="320"/>
      <c r="M42" s="168" t="str">
        <f t="shared" si="239"/>
        <v/>
      </c>
      <c r="N42" s="632" t="str">
        <f t="shared" si="240"/>
        <v/>
      </c>
      <c r="O42" s="629" t="str">
        <f t="shared" si="241"/>
        <v/>
      </c>
      <c r="P42" s="633" t="str">
        <f t="shared" si="242"/>
        <v/>
      </c>
      <c r="Q42" s="585" t="str">
        <f t="shared" si="113"/>
        <v/>
      </c>
      <c r="R42" s="629" t="str">
        <f t="shared" ref="R42:R47" si="385">IF(M42="","",SQRT(N42^2+O42^2))</f>
        <v/>
      </c>
      <c r="S42" s="634" t="str">
        <f t="shared" ref="S42:S47" si="386">IF(M42="","",P42)</f>
        <v/>
      </c>
      <c r="T42" s="635" t="str">
        <f t="shared" ref="T42:T47" si="387">IF(M42="","",X42*COS(RADIANS(W42)))</f>
        <v/>
      </c>
      <c r="U42" s="629" t="str">
        <f t="shared" ref="U42:U47" si="388">IF(M42="","",X42*SIN(RADIANS(W42)))</f>
        <v/>
      </c>
      <c r="V42" s="636" t="str">
        <f t="shared" ref="V42:V47" si="389">IF(M42="","",Y42)</f>
        <v/>
      </c>
      <c r="W42" s="585" t="str">
        <f t="shared" si="224"/>
        <v/>
      </c>
      <c r="X42" s="629" t="str">
        <f t="shared" ref="X42:X47" si="390">IF(M42="","",R42)</f>
        <v/>
      </c>
      <c r="Y42" s="630" t="str">
        <f t="shared" si="223"/>
        <v/>
      </c>
      <c r="Z42" s="632" t="str">
        <f t="shared" si="243"/>
        <v/>
      </c>
      <c r="AA42" s="629" t="str">
        <f t="shared" si="244"/>
        <v/>
      </c>
      <c r="AB42" s="629" t="str">
        <f t="shared" si="245"/>
        <v/>
      </c>
      <c r="AC42" s="636" t="str">
        <f t="shared" ref="AC42:AC47" si="391">IF(M42="","",SQRT(Z42^2+AA42^2+AB42^2))</f>
        <v/>
      </c>
      <c r="AD42" s="637" t="str">
        <f t="shared" ref="AD42:AD47" si="392">IF(M42="","",Z42*(1/SQRT(Z42^2+AA42^2+AB42^2)))</f>
        <v/>
      </c>
      <c r="AE42" s="629" t="str">
        <f t="shared" ref="AE42:AE47" si="393">IF(M42="","",AA42*(1/SQRT(Z42^2+AA42^2+AB42^2)))</f>
        <v/>
      </c>
      <c r="AF42" s="633" t="str">
        <f t="shared" ref="AF42:AF47" si="394">IF(M42="","",AB42*(1/SQRT(Z42^2+AA42^2+AB42^2)))</f>
        <v/>
      </c>
      <c r="AG42" s="602" t="str">
        <f t="shared" ref="AG42:AG47" si="395">IF(M42="","",DEGREES(ATAN2(-AF42,AE42)))</f>
        <v/>
      </c>
      <c r="AH42" s="603" t="str">
        <f t="shared" ref="AH42:AH47" si="396">IF(M42="","",DEGREES(ACOS(AD42)))</f>
        <v/>
      </c>
      <c r="AI42" s="585" t="str">
        <f t="shared" ref="AI42:AI47" si="397">IF(M42="","",DEGREES(-ACOS(-AF42)))</f>
        <v/>
      </c>
      <c r="AJ42" s="586" t="str">
        <f t="shared" ref="AJ42:AJ47" si="398">IF(M42="","",DEGREES(ATAN2(-AE42,AD42)))</f>
        <v/>
      </c>
      <c r="AK42" s="635" t="str">
        <f t="shared" ref="AK42:AK47" si="399">IF(M42="","",(COS(RADIANS((90-$Q$8)-W42))*AD42)+(-SIN(RADIANS((90-$Q$8)-W42))*AE42))</f>
        <v/>
      </c>
      <c r="AL42" s="629" t="str">
        <f t="shared" ref="AL42:AL47" si="400">IF(M42="","",(SIN(RADIANS((90-$Q$8)-W42))*AD42)+(COS(RADIANS((90-$Q$8)-W42))*AE42))</f>
        <v/>
      </c>
      <c r="AM42" s="634" t="str">
        <f t="shared" ref="AM42:AM47" si="401">IF(M42="","",AF42)</f>
        <v/>
      </c>
      <c r="AN42" s="581" t="str">
        <f t="shared" ref="AN42:AN47" si="402">IF(M42="","",DEGREES(ATAN2(-AM42,AL42)))</f>
        <v/>
      </c>
      <c r="AO42" s="582" t="str">
        <f t="shared" si="94"/>
        <v/>
      </c>
      <c r="AP42" s="585" t="str">
        <f t="shared" ref="AP42:AP47" si="403">IF(M42="","",DEGREES(ATAN2(AK42,AL42)))</f>
        <v/>
      </c>
      <c r="AQ42" s="586" t="str">
        <f t="shared" si="246"/>
        <v/>
      </c>
      <c r="AS42" s="52" t="str">
        <f t="shared" si="116"/>
        <v/>
      </c>
      <c r="AT42" s="72" t="str">
        <f t="shared" si="247"/>
        <v/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210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112"/>
        <v/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/>
      <c r="C43" s="708"/>
      <c r="D43" s="709"/>
      <c r="E43" s="710"/>
      <c r="F43" s="708"/>
      <c r="G43" s="711"/>
      <c r="H43" s="710"/>
      <c r="I43" s="708"/>
      <c r="J43" s="570"/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/>
      </c>
      <c r="L43" s="320"/>
      <c r="M43" s="168" t="str">
        <f t="shared" si="239"/>
        <v/>
      </c>
      <c r="N43" s="632" t="str">
        <f t="shared" si="240"/>
        <v/>
      </c>
      <c r="O43" s="629" t="str">
        <f t="shared" si="241"/>
        <v/>
      </c>
      <c r="P43" s="633" t="str">
        <f t="shared" si="242"/>
        <v/>
      </c>
      <c r="Q43" s="585" t="str">
        <f t="shared" si="113"/>
        <v/>
      </c>
      <c r="R43" s="629" t="str">
        <f t="shared" si="385"/>
        <v/>
      </c>
      <c r="S43" s="634" t="str">
        <f t="shared" si="386"/>
        <v/>
      </c>
      <c r="T43" s="635" t="str">
        <f t="shared" si="387"/>
        <v/>
      </c>
      <c r="U43" s="629" t="str">
        <f t="shared" si="388"/>
        <v/>
      </c>
      <c r="V43" s="636" t="str">
        <f t="shared" si="389"/>
        <v/>
      </c>
      <c r="W43" s="585" t="str">
        <f t="shared" si="224"/>
        <v/>
      </c>
      <c r="X43" s="629" t="str">
        <f t="shared" si="390"/>
        <v/>
      </c>
      <c r="Y43" s="630" t="str">
        <f t="shared" si="223"/>
        <v/>
      </c>
      <c r="Z43" s="632" t="str">
        <f t="shared" si="243"/>
        <v/>
      </c>
      <c r="AA43" s="629" t="str">
        <f t="shared" si="244"/>
        <v/>
      </c>
      <c r="AB43" s="629" t="str">
        <f t="shared" si="245"/>
        <v/>
      </c>
      <c r="AC43" s="636" t="str">
        <f t="shared" si="391"/>
        <v/>
      </c>
      <c r="AD43" s="637" t="str">
        <f t="shared" si="392"/>
        <v/>
      </c>
      <c r="AE43" s="629" t="str">
        <f t="shared" si="393"/>
        <v/>
      </c>
      <c r="AF43" s="633" t="str">
        <f t="shared" si="394"/>
        <v/>
      </c>
      <c r="AG43" s="602" t="str">
        <f t="shared" si="395"/>
        <v/>
      </c>
      <c r="AH43" s="603" t="str">
        <f t="shared" si="396"/>
        <v/>
      </c>
      <c r="AI43" s="585" t="str">
        <f t="shared" si="397"/>
        <v/>
      </c>
      <c r="AJ43" s="586" t="str">
        <f t="shared" si="398"/>
        <v/>
      </c>
      <c r="AK43" s="635" t="str">
        <f t="shared" si="399"/>
        <v/>
      </c>
      <c r="AL43" s="629" t="str">
        <f t="shared" si="400"/>
        <v/>
      </c>
      <c r="AM43" s="634" t="str">
        <f t="shared" si="401"/>
        <v/>
      </c>
      <c r="AN43" s="581" t="str">
        <f t="shared" si="402"/>
        <v/>
      </c>
      <c r="AO43" s="582" t="str">
        <f t="shared" si="94"/>
        <v/>
      </c>
      <c r="AP43" s="585" t="str">
        <f t="shared" si="403"/>
        <v/>
      </c>
      <c r="AQ43" s="586" t="str">
        <f t="shared" si="246"/>
        <v/>
      </c>
      <c r="AS43" s="52" t="str">
        <f t="shared" ref="AS43:AS74" si="406">IF(G43="","",IF(AND(W43&lt;(AS42+180),W43&gt;(AS42-180)),W43,IF(W43&gt;(AS42+180),W43-360,IF(W43&lt;(AS42-180),W43+360,"Error"))))</f>
        <v/>
      </c>
      <c r="AT43" s="72" t="str">
        <f t="shared" si="247"/>
        <v/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210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112"/>
        <v/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/>
      <c r="C44" s="708"/>
      <c r="D44" s="709"/>
      <c r="E44" s="710"/>
      <c r="F44" s="708"/>
      <c r="G44" s="711"/>
      <c r="H44" s="710"/>
      <c r="I44" s="708"/>
      <c r="J44" s="570"/>
      <c r="K44" s="865" t="str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/>
      </c>
      <c r="L44" s="320"/>
      <c r="M44" s="168" t="str">
        <f t="shared" si="239"/>
        <v/>
      </c>
      <c r="N44" s="632" t="str">
        <f t="shared" si="240"/>
        <v/>
      </c>
      <c r="O44" s="629" t="str">
        <f t="shared" si="241"/>
        <v/>
      </c>
      <c r="P44" s="633" t="str">
        <f t="shared" si="242"/>
        <v/>
      </c>
      <c r="Q44" s="585" t="str">
        <f t="shared" si="113"/>
        <v/>
      </c>
      <c r="R44" s="629" t="str">
        <f t="shared" si="385"/>
        <v/>
      </c>
      <c r="S44" s="634" t="str">
        <f t="shared" si="386"/>
        <v/>
      </c>
      <c r="T44" s="635" t="str">
        <f t="shared" si="387"/>
        <v/>
      </c>
      <c r="U44" s="629" t="str">
        <f t="shared" si="388"/>
        <v/>
      </c>
      <c r="V44" s="636" t="str">
        <f t="shared" si="389"/>
        <v/>
      </c>
      <c r="W44" s="585" t="str">
        <f t="shared" si="224"/>
        <v/>
      </c>
      <c r="X44" s="629" t="str">
        <f t="shared" si="390"/>
        <v/>
      </c>
      <c r="Y44" s="630" t="str">
        <f t="shared" si="223"/>
        <v/>
      </c>
      <c r="Z44" s="632" t="str">
        <f t="shared" si="243"/>
        <v/>
      </c>
      <c r="AA44" s="629" t="str">
        <f t="shared" si="244"/>
        <v/>
      </c>
      <c r="AB44" s="629" t="str">
        <f t="shared" si="245"/>
        <v/>
      </c>
      <c r="AC44" s="636" t="str">
        <f t="shared" si="391"/>
        <v/>
      </c>
      <c r="AD44" s="637" t="str">
        <f t="shared" si="392"/>
        <v/>
      </c>
      <c r="AE44" s="629" t="str">
        <f t="shared" si="393"/>
        <v/>
      </c>
      <c r="AF44" s="633" t="str">
        <f t="shared" si="394"/>
        <v/>
      </c>
      <c r="AG44" s="602" t="str">
        <f t="shared" si="395"/>
        <v/>
      </c>
      <c r="AH44" s="603" t="str">
        <f t="shared" si="396"/>
        <v/>
      </c>
      <c r="AI44" s="585" t="str">
        <f t="shared" si="397"/>
        <v/>
      </c>
      <c r="AJ44" s="586" t="str">
        <f t="shared" si="398"/>
        <v/>
      </c>
      <c r="AK44" s="635" t="str">
        <f t="shared" si="399"/>
        <v/>
      </c>
      <c r="AL44" s="629" t="str">
        <f t="shared" si="400"/>
        <v/>
      </c>
      <c r="AM44" s="634" t="str">
        <f t="shared" si="401"/>
        <v/>
      </c>
      <c r="AN44" s="581" t="str">
        <f t="shared" si="402"/>
        <v/>
      </c>
      <c r="AO44" s="582" t="str">
        <f t="shared" si="94"/>
        <v/>
      </c>
      <c r="AP44" s="585" t="str">
        <f t="shared" si="403"/>
        <v/>
      </c>
      <c r="AQ44" s="586" t="str">
        <f t="shared" si="246"/>
        <v/>
      </c>
      <c r="AS44" s="52" t="str">
        <f t="shared" si="406"/>
        <v/>
      </c>
      <c r="AT44" s="72" t="str">
        <f t="shared" si="247"/>
        <v/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210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112"/>
        <v/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/>
      <c r="C45" s="708"/>
      <c r="D45" s="709"/>
      <c r="E45" s="710"/>
      <c r="F45" s="708"/>
      <c r="G45" s="711"/>
      <c r="H45" s="710"/>
      <c r="I45" s="708"/>
      <c r="J45" s="570"/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/>
      </c>
      <c r="L45" s="320"/>
      <c r="M45" s="168" t="str">
        <f t="shared" si="239"/>
        <v/>
      </c>
      <c r="N45" s="632" t="str">
        <f t="shared" si="240"/>
        <v/>
      </c>
      <c r="O45" s="629" t="str">
        <f t="shared" si="241"/>
        <v/>
      </c>
      <c r="P45" s="633" t="str">
        <f t="shared" si="242"/>
        <v/>
      </c>
      <c r="Q45" s="585" t="str">
        <f t="shared" si="113"/>
        <v/>
      </c>
      <c r="R45" s="629" t="str">
        <f t="shared" si="385"/>
        <v/>
      </c>
      <c r="S45" s="634" t="str">
        <f t="shared" si="386"/>
        <v/>
      </c>
      <c r="T45" s="635" t="str">
        <f t="shared" si="387"/>
        <v/>
      </c>
      <c r="U45" s="629" t="str">
        <f t="shared" si="388"/>
        <v/>
      </c>
      <c r="V45" s="636" t="str">
        <f t="shared" si="389"/>
        <v/>
      </c>
      <c r="W45" s="585" t="str">
        <f t="shared" si="224"/>
        <v/>
      </c>
      <c r="X45" s="629" t="str">
        <f t="shared" si="390"/>
        <v/>
      </c>
      <c r="Y45" s="630" t="str">
        <f t="shared" si="223"/>
        <v/>
      </c>
      <c r="Z45" s="632" t="str">
        <f t="shared" si="243"/>
        <v/>
      </c>
      <c r="AA45" s="629" t="str">
        <f t="shared" si="244"/>
        <v/>
      </c>
      <c r="AB45" s="629" t="str">
        <f t="shared" si="245"/>
        <v/>
      </c>
      <c r="AC45" s="636" t="str">
        <f t="shared" si="391"/>
        <v/>
      </c>
      <c r="AD45" s="637" t="str">
        <f t="shared" si="392"/>
        <v/>
      </c>
      <c r="AE45" s="629" t="str">
        <f t="shared" si="393"/>
        <v/>
      </c>
      <c r="AF45" s="633" t="str">
        <f t="shared" si="394"/>
        <v/>
      </c>
      <c r="AG45" s="602" t="str">
        <f t="shared" si="395"/>
        <v/>
      </c>
      <c r="AH45" s="603" t="str">
        <f t="shared" si="396"/>
        <v/>
      </c>
      <c r="AI45" s="585" t="str">
        <f t="shared" si="397"/>
        <v/>
      </c>
      <c r="AJ45" s="586" t="str">
        <f t="shared" si="398"/>
        <v/>
      </c>
      <c r="AK45" s="635" t="str">
        <f t="shared" si="399"/>
        <v/>
      </c>
      <c r="AL45" s="629" t="str">
        <f t="shared" si="400"/>
        <v/>
      </c>
      <c r="AM45" s="634" t="str">
        <f t="shared" si="401"/>
        <v/>
      </c>
      <c r="AN45" s="581" t="str">
        <f t="shared" si="402"/>
        <v/>
      </c>
      <c r="AO45" s="582" t="str">
        <f t="shared" si="94"/>
        <v/>
      </c>
      <c r="AP45" s="585" t="str">
        <f t="shared" si="403"/>
        <v/>
      </c>
      <c r="AQ45" s="586" t="str">
        <f t="shared" si="246"/>
        <v/>
      </c>
      <c r="AS45" s="52" t="str">
        <f t="shared" si="406"/>
        <v/>
      </c>
      <c r="AT45" s="72" t="str">
        <f t="shared" si="247"/>
        <v/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210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112"/>
        <v/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0.95371696400905348</v>
      </c>
      <c r="F154" s="170">
        <f t="shared" si="929"/>
        <v>6.5084628803148775E-2</v>
      </c>
      <c r="G154" s="170">
        <f t="shared" si="929"/>
        <v>-0.29357783236291934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0.95371696400905348</v>
      </c>
      <c r="F155" s="170">
        <f t="shared" si="929"/>
        <v>6.5084628803148789E-2</v>
      </c>
      <c r="G155" s="170">
        <f t="shared" si="929"/>
        <v>-0.29357783236291934</v>
      </c>
      <c r="H155" s="139"/>
      <c r="I155" s="86"/>
      <c r="J155" s="79">
        <f t="shared" ref="J155:J218" si="930">J10</f>
        <v>1.103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0.93910664762692653</v>
      </c>
      <c r="F156" s="170">
        <f t="shared" si="929"/>
        <v>-8.5140600393088989E-2</v>
      </c>
      <c r="G156" s="170">
        <f t="shared" si="929"/>
        <v>-0.33291107303245437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0.90465601564450393</v>
      </c>
      <c r="F157" s="170">
        <f t="shared" si="929"/>
        <v>-0.36156257461581215</v>
      </c>
      <c r="G157" s="170">
        <f t="shared" si="929"/>
        <v>-0.22554378287905963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0.80378839134687818</v>
      </c>
      <c r="F158" s="170">
        <f t="shared" si="929"/>
        <v>-0.5949153065235262</v>
      </c>
      <c r="G158" s="170">
        <f t="shared" si="929"/>
        <v>-1.30084192174032E-7</v>
      </c>
      <c r="H158" s="139"/>
      <c r="I158" s="86"/>
      <c r="J158" s="79">
        <f t="shared" si="930"/>
        <v>1.115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-0.30604978040307584</v>
      </c>
      <c r="F159" s="170">
        <f t="shared" si="929"/>
        <v>-0.66266285377223133</v>
      </c>
      <c r="G159" s="170">
        <f t="shared" si="929"/>
        <v>-0.68352869299369701</v>
      </c>
      <c r="H159" s="139"/>
      <c r="I159" s="86"/>
      <c r="J159" s="79">
        <f t="shared" si="930"/>
        <v>1.2110000000000001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-0.41837732316512333</v>
      </c>
      <c r="F160" s="170">
        <f t="shared" si="929"/>
        <v>-0.90827331539638145</v>
      </c>
      <c r="G160" s="170">
        <f t="shared" si="929"/>
        <v>-2.2679489765690056E-7</v>
      </c>
      <c r="H160" s="139"/>
      <c r="I160" s="86"/>
      <c r="J160" s="79">
        <f t="shared" si="930"/>
        <v>1.2150000000000001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-9.4432927876854839E-2</v>
      </c>
      <c r="F161" s="170">
        <f t="shared" si="929"/>
        <v>-0.93494473108738052</v>
      </c>
      <c r="G161" s="170">
        <f t="shared" si="929"/>
        <v>-0.34199528058812534</v>
      </c>
      <c r="H161" s="139"/>
      <c r="I161" s="86"/>
      <c r="J161" s="79">
        <f t="shared" si="930"/>
        <v>2.1059999999999999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-0.37020111430798675</v>
      </c>
      <c r="F162" s="170">
        <f t="shared" si="929"/>
        <v>-0.89228197687097022</v>
      </c>
      <c r="G162" s="170">
        <f t="shared" si="929"/>
        <v>-0.25842602174773027</v>
      </c>
      <c r="H162" s="139"/>
      <c r="I162" s="86"/>
      <c r="J162" s="79">
        <f t="shared" si="930"/>
        <v>2.11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-0.5963435567664136</v>
      </c>
      <c r="F163" s="170">
        <f t="shared" si="929"/>
        <v>-0.80125059118256758</v>
      </c>
      <c r="G163" s="170">
        <f t="shared" si="929"/>
        <v>-4.8701667659017657E-2</v>
      </c>
      <c r="H163" s="139"/>
      <c r="I163" s="86"/>
      <c r="J163" s="79">
        <f t="shared" si="930"/>
        <v>2.1139999999999999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-0.6627067485224396</v>
      </c>
      <c r="F164" s="170">
        <f t="shared" si="929"/>
        <v>-0.74887900589000311</v>
      </c>
      <c r="G164" s="170">
        <f t="shared" si="929"/>
        <v>-1.3008419232944737E-7</v>
      </c>
      <c r="H164" s="139"/>
      <c r="I164" s="86"/>
      <c r="J164" s="79">
        <f t="shared" si="930"/>
        <v>2.1179999999999999</v>
      </c>
    </row>
    <row r="165" spans="5:16" x14ac:dyDescent="0.25">
      <c r="E165" s="170">
        <f t="shared" si="929"/>
        <v>-0.52617016076208589</v>
      </c>
      <c r="F165" s="170">
        <f t="shared" si="929"/>
        <v>0.30616229045138516</v>
      </c>
      <c r="G165" s="170">
        <f t="shared" si="929"/>
        <v>-0.79335339781787173</v>
      </c>
      <c r="H165" s="139"/>
      <c r="I165" s="86"/>
      <c r="J165" s="79">
        <f t="shared" si="930"/>
        <v>2.21</v>
      </c>
    </row>
    <row r="166" spans="5:16" x14ac:dyDescent="0.25">
      <c r="E166" s="170">
        <f t="shared" si="929"/>
        <v>-0.84598205517900404</v>
      </c>
      <c r="F166" s="170">
        <f t="shared" si="929"/>
        <v>0.46618340780150747</v>
      </c>
      <c r="G166" s="170">
        <f t="shared" si="929"/>
        <v>-0.25881922765838322</v>
      </c>
      <c r="H166" s="139"/>
      <c r="I166" s="86"/>
      <c r="J166" s="79">
        <f t="shared" si="930"/>
        <v>2.214</v>
      </c>
    </row>
    <row r="167" spans="5:16" x14ac:dyDescent="0.25">
      <c r="E167" s="170">
        <f t="shared" si="929"/>
        <v>-0.95371699353067863</v>
      </c>
      <c r="F167" s="170">
        <f t="shared" si="929"/>
        <v>-6.5084196206861386E-2</v>
      </c>
      <c r="G167" s="170">
        <f t="shared" si="929"/>
        <v>-0.2935778323629194</v>
      </c>
      <c r="H167" s="139"/>
      <c r="I167" s="86"/>
      <c r="J167" s="79">
        <f t="shared" si="930"/>
        <v>3.1019999999999999</v>
      </c>
    </row>
    <row r="168" spans="5:16" x14ac:dyDescent="0.25">
      <c r="E168" s="170">
        <f t="shared" si="929"/>
        <v>-0.9455186072639159</v>
      </c>
      <c r="F168" s="170">
        <f t="shared" si="929"/>
        <v>-3.5443148623932379E-2</v>
      </c>
      <c r="G168" s="170">
        <f t="shared" si="929"/>
        <v>-0.3236330430183646</v>
      </c>
      <c r="H168" s="139"/>
      <c r="I168" s="86"/>
      <c r="J168" s="79">
        <f t="shared" si="930"/>
        <v>3.105</v>
      </c>
    </row>
    <row r="169" spans="5:16" x14ac:dyDescent="0.25">
      <c r="E169" s="170">
        <f t="shared" si="929"/>
        <v>-0.92995740349418554</v>
      </c>
      <c r="F169" s="170">
        <f t="shared" si="929"/>
        <v>0.22499432751097997</v>
      </c>
      <c r="G169" s="170">
        <f t="shared" si="929"/>
        <v>-0.29078648571457805</v>
      </c>
      <c r="H169" s="139"/>
      <c r="I169" s="86"/>
      <c r="J169" s="79">
        <f t="shared" si="930"/>
        <v>3.109</v>
      </c>
    </row>
    <row r="170" spans="5:16" x14ac:dyDescent="0.25">
      <c r="E170" s="170">
        <f t="shared" si="929"/>
        <v>-0.86871805815572767</v>
      </c>
      <c r="F170" s="170">
        <f t="shared" si="929"/>
        <v>0.48079286080277622</v>
      </c>
      <c r="G170" s="170">
        <f t="shared" si="929"/>
        <v>-0.11902588136713864</v>
      </c>
      <c r="H170" s="139"/>
      <c r="I170" s="86"/>
      <c r="J170" s="79">
        <f t="shared" si="930"/>
        <v>3.113</v>
      </c>
    </row>
    <row r="171" spans="5:16" x14ac:dyDescent="0.25">
      <c r="E171" s="170">
        <f t="shared" si="929"/>
        <v>-0.80378812149928436</v>
      </c>
      <c r="F171" s="170">
        <f t="shared" si="929"/>
        <v>0.59491567111367549</v>
      </c>
      <c r="G171" s="170">
        <f t="shared" si="929"/>
        <v>-1.3008419229703913E-7</v>
      </c>
      <c r="H171" s="139"/>
      <c r="I171" s="86"/>
      <c r="J171" s="79">
        <f t="shared" si="930"/>
        <v>3.117</v>
      </c>
    </row>
    <row r="172" spans="5:16" x14ac:dyDescent="0.25">
      <c r="E172" s="170">
        <f t="shared" si="929"/>
        <v>0.21394479124587176</v>
      </c>
      <c r="F172" s="170">
        <f t="shared" si="929"/>
        <v>0.42013689969453522</v>
      </c>
      <c r="G172" s="170">
        <f t="shared" si="929"/>
        <v>-0.8818801572854581</v>
      </c>
      <c r="H172" s="139"/>
      <c r="I172" s="86"/>
      <c r="J172" s="79">
        <f t="shared" si="930"/>
        <v>3.2090000000000001</v>
      </c>
    </row>
    <row r="173" spans="5:16" x14ac:dyDescent="0.25">
      <c r="E173" s="170">
        <f t="shared" si="929"/>
        <v>0.36747888322886169</v>
      </c>
      <c r="F173" s="170">
        <f t="shared" si="929"/>
        <v>0.83348524821177605</v>
      </c>
      <c r="G173" s="170">
        <f t="shared" si="929"/>
        <v>-0.41262769101724467</v>
      </c>
      <c r="H173" s="139"/>
      <c r="I173" s="86"/>
      <c r="J173" s="79">
        <f t="shared" si="930"/>
        <v>3.2130000000000001</v>
      </c>
    </row>
    <row r="174" spans="5:16" x14ac:dyDescent="0.25">
      <c r="E174" s="170">
        <f t="shared" ref="E174:G193" si="933">E29*-1</f>
        <v>0.23561549312528846</v>
      </c>
      <c r="F174" s="170">
        <f t="shared" si="933"/>
        <v>0.92090696998356492</v>
      </c>
      <c r="G174" s="170">
        <f t="shared" si="933"/>
        <v>-0.31050876321774978</v>
      </c>
      <c r="H174" s="139"/>
      <c r="I174" s="86"/>
      <c r="J174" s="79">
        <f t="shared" si="930"/>
        <v>4.1079999999999997</v>
      </c>
    </row>
    <row r="175" spans="5:16" x14ac:dyDescent="0.25">
      <c r="E175" s="170">
        <f t="shared" si="933"/>
        <v>0.50141104293830319</v>
      </c>
      <c r="F175" s="170">
        <f t="shared" si="933"/>
        <v>0.84655817091468799</v>
      </c>
      <c r="G175" s="170">
        <f t="shared" si="933"/>
        <v>-0.17867912378647111</v>
      </c>
      <c r="H175" s="139"/>
      <c r="I175" s="86"/>
      <c r="J175" s="79">
        <f t="shared" si="930"/>
        <v>4.1120000000000001</v>
      </c>
    </row>
    <row r="176" spans="5:16" x14ac:dyDescent="0.25">
      <c r="E176" s="170">
        <f t="shared" si="933"/>
        <v>0.66270640883849818</v>
      </c>
      <c r="F176" s="170">
        <f t="shared" si="933"/>
        <v>0.74887930648694301</v>
      </c>
      <c r="G176" s="170">
        <f t="shared" si="933"/>
        <v>-1.3008419217578901E-7</v>
      </c>
      <c r="H176" s="139"/>
      <c r="I176" s="86"/>
      <c r="J176" s="79">
        <f t="shared" si="930"/>
        <v>4.1159999999999997</v>
      </c>
    </row>
    <row r="177" spans="5:21" x14ac:dyDescent="0.25">
      <c r="E177" s="170">
        <f t="shared" si="933"/>
        <v>0.72652702862552887</v>
      </c>
      <c r="F177" s="170">
        <f t="shared" si="933"/>
        <v>-0.40435140892809607</v>
      </c>
      <c r="G177" s="170">
        <f t="shared" si="933"/>
        <v>-0.55557035087774764</v>
      </c>
      <c r="H177" s="139"/>
      <c r="I177" s="86"/>
      <c r="J177" s="79">
        <f t="shared" si="930"/>
        <v>4.2119999999999997</v>
      </c>
    </row>
    <row r="178" spans="5:21" x14ac:dyDescent="0.25">
      <c r="E178" s="170">
        <f t="shared" si="933"/>
        <v>0.86835296863748246</v>
      </c>
      <c r="F178" s="170">
        <f t="shared" si="933"/>
        <v>-0.49594669255719426</v>
      </c>
      <c r="G178" s="170">
        <f t="shared" si="933"/>
        <v>-2.2679489675708478E-7</v>
      </c>
      <c r="H178" s="139"/>
      <c r="I178" s="86"/>
      <c r="J178" s="79">
        <f t="shared" si="930"/>
        <v>4.2160000000000002</v>
      </c>
    </row>
    <row r="179" spans="5:21" x14ac:dyDescent="0.25">
      <c r="E179" s="170">
        <f t="shared" si="933"/>
        <v>0</v>
      </c>
      <c r="F179" s="170">
        <f t="shared" si="933"/>
        <v>0</v>
      </c>
      <c r="G179" s="170">
        <f t="shared" si="933"/>
        <v>0</v>
      </c>
      <c r="H179" s="139"/>
      <c r="I179" s="86"/>
      <c r="J179" s="79">
        <f t="shared" si="930"/>
        <v>0</v>
      </c>
      <c r="M179" t="s">
        <v>392</v>
      </c>
    </row>
    <row r="180" spans="5:21" x14ac:dyDescent="0.25">
      <c r="E180" s="170">
        <f t="shared" si="933"/>
        <v>0</v>
      </c>
      <c r="F180" s="170">
        <f t="shared" si="933"/>
        <v>0</v>
      </c>
      <c r="G180" s="170">
        <f t="shared" si="933"/>
        <v>0</v>
      </c>
      <c r="H180" s="139"/>
      <c r="I180" s="86"/>
      <c r="J180" s="79">
        <f t="shared" si="930"/>
        <v>0</v>
      </c>
      <c r="M180">
        <v>1.4939793715351438E-17</v>
      </c>
      <c r="N180">
        <v>0.34330103539592266</v>
      </c>
      <c r="O180">
        <v>-0.46490149352770443</v>
      </c>
      <c r="P180">
        <v>-0.93969263802333458</v>
      </c>
      <c r="Q180">
        <v>-8.852130215629557E-2</v>
      </c>
      <c r="R180">
        <v>0.33036604714967344</v>
      </c>
      <c r="S180">
        <v>0.314</v>
      </c>
      <c r="T180">
        <v>0.52</v>
      </c>
      <c r="U180">
        <v>1.101</v>
      </c>
    </row>
    <row r="181" spans="5:21" x14ac:dyDescent="0.25">
      <c r="E181" s="170">
        <f t="shared" si="933"/>
        <v>0</v>
      </c>
      <c r="F181" s="170">
        <f t="shared" si="933"/>
        <v>0</v>
      </c>
      <c r="G181" s="170">
        <f t="shared" si="933"/>
        <v>0</v>
      </c>
      <c r="H181" s="139"/>
      <c r="I181" s="86"/>
      <c r="J181" s="79">
        <f t="shared" si="930"/>
        <v>0</v>
      </c>
      <c r="M181">
        <v>-2.1342562450502056E-18</v>
      </c>
      <c r="N181">
        <v>1.0693032250185268</v>
      </c>
      <c r="O181">
        <v>-0.27040090691393531</v>
      </c>
      <c r="P181">
        <v>-0.96592583607220739</v>
      </c>
      <c r="Q181">
        <v>-6.6987279208207212E-2</v>
      </c>
      <c r="R181">
        <v>0.24999996726497564</v>
      </c>
      <c r="S181">
        <v>0.314</v>
      </c>
      <c r="T181">
        <v>0.52</v>
      </c>
      <c r="U181">
        <v>1.1040000000000001</v>
      </c>
    </row>
    <row r="182" spans="5:21" x14ac:dyDescent="0.25">
      <c r="E182" s="170">
        <f t="shared" si="933"/>
        <v>0</v>
      </c>
      <c r="F182" s="170">
        <f t="shared" si="933"/>
        <v>0</v>
      </c>
      <c r="G182" s="170">
        <f t="shared" si="933"/>
        <v>0</v>
      </c>
      <c r="H182" s="139"/>
      <c r="I182" s="86"/>
      <c r="J182" s="79">
        <f t="shared" si="930"/>
        <v>0</v>
      </c>
      <c r="M182">
        <v>-8.5370249802008226E-18</v>
      </c>
      <c r="N182">
        <v>1.794305411625122</v>
      </c>
      <c r="O182">
        <v>-7.6200321204968724E-2</v>
      </c>
      <c r="P182">
        <v>-0.96592582628906831</v>
      </c>
      <c r="Q182">
        <v>-4.4943455527547763E-2</v>
      </c>
      <c r="R182">
        <v>0.25488700224417882</v>
      </c>
      <c r="S182">
        <v>0.314</v>
      </c>
      <c r="T182">
        <v>0.52</v>
      </c>
      <c r="U182">
        <v>1.107</v>
      </c>
    </row>
    <row r="183" spans="5:21" x14ac:dyDescent="0.25">
      <c r="E183" s="170">
        <f t="shared" si="933"/>
        <v>0</v>
      </c>
      <c r="F183" s="170">
        <f t="shared" si="933"/>
        <v>0</v>
      </c>
      <c r="G183" s="170">
        <f t="shared" si="933"/>
        <v>0</v>
      </c>
      <c r="H183" s="139"/>
      <c r="I183" s="86"/>
      <c r="J183" s="79">
        <f t="shared" si="930"/>
        <v>0</v>
      </c>
      <c r="M183">
        <v>4.1525127014845939E-2</v>
      </c>
      <c r="N183">
        <v>2.6171784885812936</v>
      </c>
      <c r="O183">
        <v>-7.0500304013716944E-2</v>
      </c>
      <c r="P183">
        <v>-0.96101099711342941</v>
      </c>
      <c r="Q183">
        <v>0.1360338541838359</v>
      </c>
      <c r="R183">
        <v>0.24073357460674871</v>
      </c>
      <c r="S183">
        <v>0.314</v>
      </c>
      <c r="T183">
        <v>0.52</v>
      </c>
      <c r="U183">
        <v>1.113</v>
      </c>
    </row>
    <row r="184" spans="5:21" x14ac:dyDescent="0.25">
      <c r="E184" s="170">
        <f t="shared" si="933"/>
        <v>0</v>
      </c>
      <c r="F184" s="170">
        <f t="shared" si="933"/>
        <v>0</v>
      </c>
      <c r="G184" s="170">
        <f t="shared" si="933"/>
        <v>0</v>
      </c>
      <c r="H184" s="139"/>
      <c r="I184" s="86"/>
      <c r="J184" s="79">
        <f t="shared" si="930"/>
        <v>0</v>
      </c>
      <c r="M184">
        <v>0.1091638821707743</v>
      </c>
      <c r="N184">
        <v>3.283095543207676</v>
      </c>
      <c r="O184">
        <v>-0.49440158249997229</v>
      </c>
      <c r="P184">
        <v>-0.93948851336091654</v>
      </c>
      <c r="Q184">
        <v>0.29625628196016235</v>
      </c>
      <c r="R184">
        <v>0.17202775549903504</v>
      </c>
      <c r="S184">
        <v>0.314</v>
      </c>
      <c r="T184">
        <v>0.52</v>
      </c>
      <c r="U184">
        <v>1.119</v>
      </c>
    </row>
    <row r="185" spans="5:21" x14ac:dyDescent="0.25">
      <c r="E185" s="170">
        <f t="shared" si="933"/>
        <v>0</v>
      </c>
      <c r="F185" s="170">
        <f t="shared" si="933"/>
        <v>0</v>
      </c>
      <c r="G185" s="170">
        <f t="shared" si="933"/>
        <v>0</v>
      </c>
      <c r="H185" s="139"/>
      <c r="I185" s="86"/>
      <c r="J185" s="79">
        <f t="shared" si="930"/>
        <v>0</v>
      </c>
      <c r="M185">
        <v>0.15588234920333313</v>
      </c>
      <c r="N185">
        <v>3.6207569275582907</v>
      </c>
      <c r="O185">
        <v>-1.1885036759118863</v>
      </c>
      <c r="P185">
        <v>-0.87691222519662104</v>
      </c>
      <c r="Q185">
        <v>0.46662143319308103</v>
      </c>
      <c r="R185">
        <v>0.11527960524544598</v>
      </c>
      <c r="S185">
        <v>0.314</v>
      </c>
      <c r="T185">
        <v>0.52</v>
      </c>
      <c r="U185">
        <v>1.125</v>
      </c>
    </row>
    <row r="186" spans="5:21" x14ac:dyDescent="0.25">
      <c r="E186" s="170">
        <f t="shared" si="933"/>
        <v>0</v>
      </c>
      <c r="F186" s="170">
        <f t="shared" si="933"/>
        <v>0</v>
      </c>
      <c r="G186" s="170">
        <f t="shared" si="933"/>
        <v>0</v>
      </c>
      <c r="H186" s="139"/>
      <c r="I186" s="86"/>
      <c r="J186" s="79">
        <f t="shared" si="930"/>
        <v>0</v>
      </c>
      <c r="M186">
        <v>0.16481988122623625</v>
      </c>
      <c r="N186">
        <v>3.6792100788210416</v>
      </c>
      <c r="O186">
        <v>-1.9736999999999998</v>
      </c>
      <c r="P186">
        <v>-0.84278135614737548</v>
      </c>
      <c r="Q186">
        <v>0.5382560596318241</v>
      </c>
      <c r="R186">
        <v>1.1339744831728188E-7</v>
      </c>
      <c r="S186">
        <v>0.314</v>
      </c>
      <c r="T186">
        <v>0.52</v>
      </c>
      <c r="U186">
        <v>1.131</v>
      </c>
    </row>
    <row r="187" spans="5:21" x14ac:dyDescent="0.25">
      <c r="E187" s="170">
        <f t="shared" si="933"/>
        <v>0</v>
      </c>
      <c r="F187" s="170">
        <f t="shared" si="933"/>
        <v>0</v>
      </c>
      <c r="G187" s="170">
        <f t="shared" si="933"/>
        <v>0</v>
      </c>
      <c r="H187" s="139"/>
      <c r="I187" s="86"/>
      <c r="J187" s="79">
        <f t="shared" si="930"/>
        <v>0</v>
      </c>
      <c r="M187">
        <v>2.0514231182241853</v>
      </c>
      <c r="N187">
        <v>1.39768152604278</v>
      </c>
      <c r="O187">
        <v>-3.7800205390219409E-2</v>
      </c>
      <c r="P187">
        <v>-0.45738172233859925</v>
      </c>
      <c r="Q187">
        <v>0.85452443201725636</v>
      </c>
      <c r="R187">
        <v>0.24615026946189156</v>
      </c>
      <c r="S187">
        <v>0.314</v>
      </c>
      <c r="T187">
        <v>0.52</v>
      </c>
      <c r="U187">
        <v>2.1120000000000001</v>
      </c>
    </row>
    <row r="188" spans="5:21" x14ac:dyDescent="0.25">
      <c r="E188" s="170">
        <f t="shared" si="933"/>
        <v>0</v>
      </c>
      <c r="F188" s="170">
        <f t="shared" si="933"/>
        <v>0</v>
      </c>
      <c r="G188" s="170">
        <f t="shared" si="933"/>
        <v>0</v>
      </c>
      <c r="H188" s="139"/>
      <c r="I188" s="86"/>
      <c r="J188" s="79">
        <f t="shared" si="930"/>
        <v>0</v>
      </c>
      <c r="M188">
        <v>2.6694433370615047</v>
      </c>
      <c r="N188">
        <v>1.7497774035637161</v>
      </c>
      <c r="O188">
        <v>-0.39960129658231047</v>
      </c>
      <c r="P188">
        <v>-0.32316837426443368</v>
      </c>
      <c r="Q188">
        <v>0.92946837998477394</v>
      </c>
      <c r="R188">
        <v>0.17790652737817955</v>
      </c>
      <c r="S188">
        <v>0.314</v>
      </c>
      <c r="T188">
        <v>0.52</v>
      </c>
      <c r="U188">
        <v>2.1179999999999999</v>
      </c>
    </row>
    <row r="189" spans="5:21" x14ac:dyDescent="0.25">
      <c r="E189" s="170">
        <f t="shared" si="933"/>
        <v>0</v>
      </c>
      <c r="F189" s="170">
        <f t="shared" si="933"/>
        <v>0</v>
      </c>
      <c r="G189" s="170">
        <f t="shared" si="933"/>
        <v>0</v>
      </c>
      <c r="H189" s="139"/>
      <c r="I189" s="86"/>
      <c r="J189" s="79">
        <f t="shared" si="930"/>
        <v>0</v>
      </c>
      <c r="M189">
        <v>3.0324059417669931</v>
      </c>
      <c r="N189">
        <v>1.9376569042580503</v>
      </c>
      <c r="O189">
        <v>-1.0615032928787316</v>
      </c>
      <c r="P189">
        <v>-0.1435454277288527</v>
      </c>
      <c r="Q189">
        <v>0.98056810289493512</v>
      </c>
      <c r="R189">
        <v>0.13371950404921806</v>
      </c>
      <c r="S189">
        <v>0.314</v>
      </c>
      <c r="T189">
        <v>0.52</v>
      </c>
      <c r="U189">
        <v>2.1240000000000001</v>
      </c>
    </row>
    <row r="190" spans="5:21" x14ac:dyDescent="0.25">
      <c r="E190" s="170">
        <f t="shared" si="933"/>
        <v>0</v>
      </c>
      <c r="F190" s="170">
        <f t="shared" si="933"/>
        <v>0</v>
      </c>
      <c r="G190" s="170">
        <f t="shared" si="933"/>
        <v>0</v>
      </c>
      <c r="H190" s="139"/>
      <c r="I190" s="86"/>
      <c r="J190" s="79">
        <f t="shared" si="930"/>
        <v>0</v>
      </c>
      <c r="M190">
        <v>3.108369257402487</v>
      </c>
      <c r="N190">
        <v>1.9752956663839238</v>
      </c>
      <c r="O190">
        <v>-1.8556999999999999</v>
      </c>
      <c r="P190">
        <v>-4.2485975283767075E-2</v>
      </c>
      <c r="Q190">
        <v>0.99909706330474934</v>
      </c>
      <c r="R190">
        <v>1.1339744821699087E-7</v>
      </c>
      <c r="S190">
        <v>0.314</v>
      </c>
      <c r="T190">
        <v>0.52</v>
      </c>
      <c r="U190">
        <v>2.13</v>
      </c>
    </row>
    <row r="191" spans="5:21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  <c r="M191">
        <v>0.55066153657573658</v>
      </c>
      <c r="N191">
        <v>-0.20042440846885767</v>
      </c>
      <c r="O191">
        <v>-0.39990129748711323</v>
      </c>
      <c r="P191">
        <v>0.25305567148571528</v>
      </c>
      <c r="Q191">
        <v>0.92281966229859713</v>
      </c>
      <c r="R191">
        <v>0.29045946017304536</v>
      </c>
      <c r="S191">
        <v>0.314</v>
      </c>
      <c r="T191">
        <v>0.52</v>
      </c>
      <c r="U191">
        <v>3.1019999999999999</v>
      </c>
    </row>
    <row r="192" spans="5:21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  <c r="M192">
        <v>1.2319407413836023</v>
      </c>
      <c r="N192">
        <v>-0.44838976024346844</v>
      </c>
      <c r="O192">
        <v>-0.20570071177814689</v>
      </c>
      <c r="P192">
        <v>0.26741864093690504</v>
      </c>
      <c r="Q192">
        <v>0.93058437921929993</v>
      </c>
      <c r="R192">
        <v>0.24999996726497567</v>
      </c>
      <c r="S192">
        <v>0.314</v>
      </c>
      <c r="T192">
        <v>0.52</v>
      </c>
      <c r="U192">
        <v>3.105</v>
      </c>
    </row>
    <row r="193" spans="5:21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  <c r="M193">
        <v>1.939502820253167</v>
      </c>
      <c r="N193">
        <v>-0.7164665777021757</v>
      </c>
      <c r="O193">
        <v>-2.0600153514862999E-2</v>
      </c>
      <c r="P193">
        <v>0.35581503309976076</v>
      </c>
      <c r="Q193">
        <v>0.89755212734208956</v>
      </c>
      <c r="R193">
        <v>0.26037634478559218</v>
      </c>
      <c r="S193">
        <v>0.314</v>
      </c>
      <c r="T193">
        <v>0.52</v>
      </c>
      <c r="U193">
        <v>3.109</v>
      </c>
    </row>
    <row r="194" spans="5:21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  <c r="M194">
        <v>2.6706229524600156</v>
      </c>
      <c r="N194">
        <v>-1.0389831272793715</v>
      </c>
      <c r="O194">
        <v>-0.16970060320181946</v>
      </c>
      <c r="P194">
        <v>0.51079086005111707</v>
      </c>
      <c r="Q194">
        <v>0.83305155999310898</v>
      </c>
      <c r="R194">
        <v>0.21240949997890368</v>
      </c>
      <c r="S194">
        <v>0.314</v>
      </c>
      <c r="T194">
        <v>0.52</v>
      </c>
      <c r="U194">
        <v>3.1150000000000002</v>
      </c>
    </row>
    <row r="195" spans="5:21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  <c r="M195">
        <v>3.188194676699466</v>
      </c>
      <c r="N195">
        <v>-1.2985732316091709</v>
      </c>
      <c r="O195">
        <v>-0.70410221495708036</v>
      </c>
      <c r="P195">
        <v>0.65195028832248558</v>
      </c>
      <c r="Q195">
        <v>0.73965448314742199</v>
      </c>
      <c r="R195">
        <v>0.16694929504537609</v>
      </c>
      <c r="S195">
        <v>0.314</v>
      </c>
      <c r="T195">
        <v>0.52</v>
      </c>
      <c r="U195">
        <v>3.121</v>
      </c>
    </row>
    <row r="196" spans="5:21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  <c r="M196">
        <v>3.3769372201904901</v>
      </c>
      <c r="N196">
        <v>-1.3994015758652338</v>
      </c>
      <c r="O196">
        <v>-1.4426044422797981</v>
      </c>
      <c r="P196">
        <v>0.78811709781666373</v>
      </c>
      <c r="Q196">
        <v>0.60929405441301832</v>
      </c>
      <c r="R196">
        <v>8.736243692792256E-2</v>
      </c>
      <c r="S196">
        <v>0.314</v>
      </c>
      <c r="T196">
        <v>0.52</v>
      </c>
      <c r="U196">
        <v>3.1269999999999998</v>
      </c>
    </row>
    <row r="197" spans="5:21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  <c r="M197">
        <v>3.4009548447176456</v>
      </c>
      <c r="N197">
        <v>-1.4132439825421466</v>
      </c>
      <c r="O197">
        <v>-2.2137000000000007</v>
      </c>
      <c r="P197">
        <v>0.79404344755105172</v>
      </c>
      <c r="Q197">
        <v>0.60786100664644338</v>
      </c>
      <c r="R197">
        <v>1.133974479308639E-7</v>
      </c>
      <c r="S197">
        <v>0.314</v>
      </c>
      <c r="T197">
        <v>0.52</v>
      </c>
      <c r="U197">
        <v>3.133</v>
      </c>
    </row>
    <row r="198" spans="5:21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  <c r="M198">
        <v>0.3301737809021707</v>
      </c>
      <c r="N198">
        <v>-1.9035780189960076</v>
      </c>
      <c r="O198">
        <v>-4.1700000000000272E-2</v>
      </c>
      <c r="P198">
        <v>0.95096431162806838</v>
      </c>
      <c r="Q198">
        <v>0.16720390295040674</v>
      </c>
      <c r="R198">
        <v>0.26021093913958582</v>
      </c>
      <c r="S198">
        <v>0.314</v>
      </c>
      <c r="T198">
        <v>0.52</v>
      </c>
      <c r="U198">
        <v>4.1079999999999997</v>
      </c>
    </row>
    <row r="199" spans="5:21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  <c r="M199">
        <v>0.42531673613359866</v>
      </c>
      <c r="N199">
        <v>-2.7108461948866256</v>
      </c>
      <c r="O199">
        <v>-0.1143004361149155</v>
      </c>
      <c r="P199">
        <v>0.97425626610641647</v>
      </c>
      <c r="Q199">
        <v>-9.7868323153740139E-4</v>
      </c>
      <c r="R199">
        <v>0.22544127867698929</v>
      </c>
      <c r="S199">
        <v>0.314</v>
      </c>
      <c r="T199">
        <v>0.52</v>
      </c>
      <c r="U199">
        <v>4.1139999999999999</v>
      </c>
    </row>
    <row r="200" spans="5:21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  <c r="M200">
        <v>0.46646028380177207</v>
      </c>
      <c r="N200">
        <v>-3.3355520124079443</v>
      </c>
      <c r="O200">
        <v>-0.59620188952969833</v>
      </c>
      <c r="P200">
        <v>0.9739206972350658</v>
      </c>
      <c r="Q200">
        <v>-0.15636367987350261</v>
      </c>
      <c r="R200">
        <v>0.16440460794509451</v>
      </c>
      <c r="S200">
        <v>0.314</v>
      </c>
      <c r="T200">
        <v>0.52</v>
      </c>
      <c r="U200">
        <v>4.12</v>
      </c>
    </row>
    <row r="201" spans="5:21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  <c r="M201">
        <v>0.47558662080468767</v>
      </c>
      <c r="N201">
        <v>-3.6153644109205287</v>
      </c>
      <c r="O201">
        <v>-1.3117040474842083</v>
      </c>
      <c r="P201">
        <v>0.93354514782553366</v>
      </c>
      <c r="Q201">
        <v>-0.34320816526940162</v>
      </c>
      <c r="R201">
        <v>0.10344859720563496</v>
      </c>
      <c r="S201">
        <v>0.314</v>
      </c>
      <c r="T201">
        <v>0.52</v>
      </c>
      <c r="U201">
        <v>4.1260000000000003</v>
      </c>
    </row>
    <row r="202" spans="5:21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  <c r="M202">
        <v>0.47657223173183128</v>
      </c>
      <c r="N202">
        <v>-3.6519352839203152</v>
      </c>
      <c r="O202">
        <v>-2.0916999999999999</v>
      </c>
      <c r="P202">
        <v>0.92344479750132735</v>
      </c>
      <c r="Q202">
        <v>-0.38373129396456562</v>
      </c>
      <c r="R202">
        <v>1.1339744835503556E-7</v>
      </c>
      <c r="S202">
        <v>0.314</v>
      </c>
      <c r="T202">
        <v>0.52</v>
      </c>
      <c r="U202">
        <v>4.1319999999999997</v>
      </c>
    </row>
    <row r="203" spans="5:21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  <c r="M203">
        <v>-0.67801419194880164</v>
      </c>
      <c r="N203">
        <v>-0.47475064821571616</v>
      </c>
      <c r="O203">
        <v>-0.33520110235132466</v>
      </c>
      <c r="P203">
        <v>0.60890506553846202</v>
      </c>
      <c r="Q203">
        <v>-0.75281779836100604</v>
      </c>
      <c r="R203">
        <v>0.24999996726497561</v>
      </c>
      <c r="S203">
        <v>0.314</v>
      </c>
      <c r="T203">
        <v>0.52</v>
      </c>
      <c r="U203">
        <v>5.1029999999999998</v>
      </c>
    </row>
    <row r="204" spans="5:21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  <c r="M204">
        <v>-1.2718192997700972</v>
      </c>
      <c r="N204">
        <v>-0.89053746093961661</v>
      </c>
      <c r="O204">
        <v>-0.14090051634075718</v>
      </c>
      <c r="P204">
        <v>0.60890506553846202</v>
      </c>
      <c r="Q204">
        <v>-0.75281779836100615</v>
      </c>
      <c r="R204">
        <v>0.24999996726497561</v>
      </c>
      <c r="S204">
        <v>0.314</v>
      </c>
      <c r="T204">
        <v>0.52</v>
      </c>
      <c r="U204">
        <v>5.1059999999999999</v>
      </c>
    </row>
    <row r="205" spans="5:21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  <c r="M205">
        <v>-1.9338398892513715</v>
      </c>
      <c r="N205">
        <v>-1.3258636937945723</v>
      </c>
      <c r="O205">
        <v>-1.8500147181243591E-2</v>
      </c>
      <c r="P205">
        <v>0.4819646982889132</v>
      </c>
      <c r="Q205">
        <v>-0.83876466970416763</v>
      </c>
      <c r="R205">
        <v>0.25334533439425211</v>
      </c>
      <c r="S205">
        <v>0.314</v>
      </c>
      <c r="T205">
        <v>0.52</v>
      </c>
      <c r="U205">
        <v>5.1109999999999998</v>
      </c>
    </row>
    <row r="206" spans="5:21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  <c r="M206">
        <v>-2.5799355018057306</v>
      </c>
      <c r="N206">
        <v>-1.7013414048433402</v>
      </c>
      <c r="O206">
        <v>-0.31360103720552862</v>
      </c>
      <c r="P206">
        <v>0.34999648428787478</v>
      </c>
      <c r="Q206">
        <v>-0.91909064943251251</v>
      </c>
      <c r="R206">
        <v>0.18103822555430102</v>
      </c>
      <c r="S206">
        <v>0.314</v>
      </c>
      <c r="T206">
        <v>0.52</v>
      </c>
      <c r="U206">
        <v>5.117</v>
      </c>
    </row>
    <row r="207" spans="5:21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  <c r="M207">
        <v>-2.9957261608019148</v>
      </c>
      <c r="N207">
        <v>-1.9192816266852528</v>
      </c>
      <c r="O207">
        <v>-0.93760291919520555</v>
      </c>
      <c r="P207">
        <v>0.16784912132102703</v>
      </c>
      <c r="Q207">
        <v>-0.97422254466786606</v>
      </c>
      <c r="R207">
        <v>0.15072194907387271</v>
      </c>
      <c r="S207">
        <v>0.314</v>
      </c>
      <c r="T207">
        <v>0.52</v>
      </c>
      <c r="U207">
        <v>5.1230000000000002</v>
      </c>
    </row>
    <row r="208" spans="5:21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  <c r="M208">
        <v>-3.108369257402487</v>
      </c>
      <c r="N208">
        <v>-1.975295666383925</v>
      </c>
      <c r="O208">
        <v>-1.7388000000000001</v>
      </c>
      <c r="P208">
        <v>4.2485975283767526E-2</v>
      </c>
      <c r="Q208">
        <v>-0.99909706330474946</v>
      </c>
      <c r="R208">
        <v>1.1339744821699083E-7</v>
      </c>
      <c r="S208">
        <v>0.314</v>
      </c>
      <c r="T208">
        <v>0.52</v>
      </c>
      <c r="U208">
        <v>5.1289999999999996</v>
      </c>
    </row>
    <row r="209" spans="5:21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  <c r="M209">
        <v>-1.9925852709492313</v>
      </c>
      <c r="N209">
        <v>0.94660936635495574</v>
      </c>
      <c r="O209">
        <v>-1.2800129989992207E-2</v>
      </c>
      <c r="P209">
        <v>-0.45906968940048559</v>
      </c>
      <c r="Q209">
        <v>-0.85008205648170854</v>
      </c>
      <c r="R209">
        <v>0.25809982084761507</v>
      </c>
      <c r="S209">
        <v>0.314</v>
      </c>
      <c r="T209">
        <v>0.52</v>
      </c>
      <c r="U209">
        <v>6.11</v>
      </c>
    </row>
    <row r="210" spans="5:21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  <c r="M210">
        <v>-2.6699538303051322</v>
      </c>
      <c r="N210">
        <v>1.327154372479308</v>
      </c>
      <c r="O210">
        <v>-0.23650080467122706</v>
      </c>
      <c r="P210">
        <v>-0.60187876238484184</v>
      </c>
      <c r="Q210">
        <v>-0.77373823398964037</v>
      </c>
      <c r="R210">
        <v>0.19766411068447345</v>
      </c>
      <c r="S210">
        <v>0.314</v>
      </c>
      <c r="T210">
        <v>0.52</v>
      </c>
      <c r="U210">
        <v>6.1159999999999997</v>
      </c>
    </row>
    <row r="211" spans="5:21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  <c r="M211">
        <v>-3.1158440855294698</v>
      </c>
      <c r="N211">
        <v>1.6058386721470395</v>
      </c>
      <c r="O211">
        <v>-0.81880256089332393</v>
      </c>
      <c r="P211">
        <v>-0.73367246390729779</v>
      </c>
      <c r="Q211">
        <v>-0.66171234148908686</v>
      </c>
      <c r="R211">
        <v>0.15447165702880594</v>
      </c>
      <c r="S211">
        <v>0.314</v>
      </c>
      <c r="T211">
        <v>0.52</v>
      </c>
      <c r="U211">
        <v>6.1219999999999999</v>
      </c>
    </row>
    <row r="212" spans="5:21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  <c r="M212">
        <v>-3.2648408557750335</v>
      </c>
      <c r="N212">
        <v>1.7042789080611622</v>
      </c>
      <c r="O212">
        <v>-1.6198999999999999</v>
      </c>
      <c r="P212">
        <v>-0.84400045002645863</v>
      </c>
      <c r="Q212">
        <v>-0.53634246555267506</v>
      </c>
      <c r="R212">
        <v>1.1339744853067616E-7</v>
      </c>
      <c r="S212">
        <v>0.314</v>
      </c>
      <c r="T212">
        <v>0.52</v>
      </c>
      <c r="U212">
        <v>6.1280000000000001</v>
      </c>
    </row>
    <row r="213" spans="5:21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21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21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21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  <c r="M216" t="s">
        <v>391</v>
      </c>
    </row>
    <row r="217" spans="5:21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  <c r="M217">
        <v>0</v>
      </c>
      <c r="N217">
        <v>0.34330103539592277</v>
      </c>
      <c r="O217">
        <v>-0.49520149352770448</v>
      </c>
      <c r="P217">
        <v>-0.93969263802333458</v>
      </c>
      <c r="Q217">
        <v>-8.8521302156295584E-2</v>
      </c>
      <c r="R217">
        <v>0.33036604714967344</v>
      </c>
      <c r="S217">
        <v>0.314</v>
      </c>
      <c r="T217">
        <v>0.52</v>
      </c>
      <c r="U217">
        <v>1.101</v>
      </c>
    </row>
    <row r="218" spans="5:21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  <c r="M218">
        <v>3.9056889284418761E-16</v>
      </c>
      <c r="N218">
        <v>1.0693032250185266</v>
      </c>
      <c r="O218">
        <v>-0.30070090691393542</v>
      </c>
      <c r="P218">
        <v>-0.96592583607220739</v>
      </c>
      <c r="Q218">
        <v>-6.6987279208207184E-2</v>
      </c>
      <c r="R218">
        <v>0.24999996726497564</v>
      </c>
      <c r="S218">
        <v>0.314</v>
      </c>
      <c r="T218">
        <v>0.52</v>
      </c>
      <c r="U218">
        <v>1.1040000000000001</v>
      </c>
    </row>
    <row r="219" spans="5:21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  <c r="M219">
        <v>-8.5370249802008226E-18</v>
      </c>
      <c r="N219">
        <v>1.7943054116251218</v>
      </c>
      <c r="O219">
        <v>-0.1065003212049688</v>
      </c>
      <c r="P219">
        <v>-0.98480775301220813</v>
      </c>
      <c r="Q219">
        <v>-4.4943449187448817E-2</v>
      </c>
      <c r="R219">
        <v>0.16773126119534493</v>
      </c>
      <c r="S219">
        <v>0.314</v>
      </c>
      <c r="T219">
        <v>0.52</v>
      </c>
      <c r="U219">
        <v>1.107</v>
      </c>
    </row>
    <row r="220" spans="5:21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  <c r="M220">
        <v>4.1525127014845876E-2</v>
      </c>
      <c r="N220">
        <v>2.6171784885812936</v>
      </c>
      <c r="O220">
        <v>-0.10080030401371684</v>
      </c>
      <c r="P220">
        <v>-0.96101099711342941</v>
      </c>
      <c r="Q220">
        <v>0.13603385418383587</v>
      </c>
      <c r="R220">
        <v>0.24073357460674868</v>
      </c>
      <c r="S220">
        <v>0.314</v>
      </c>
      <c r="T220">
        <v>0.52</v>
      </c>
      <c r="U220">
        <v>1.113</v>
      </c>
    </row>
    <row r="221" spans="5:21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  <c r="M221">
        <v>0.1091638821707743</v>
      </c>
      <c r="N221">
        <v>3.283095543207676</v>
      </c>
      <c r="O221">
        <v>-0.5247015824999729</v>
      </c>
      <c r="P221">
        <v>-0.93948851336091654</v>
      </c>
      <c r="Q221">
        <v>0.29625628196016229</v>
      </c>
      <c r="R221">
        <v>0.17202775549903498</v>
      </c>
      <c r="S221">
        <v>0.314</v>
      </c>
      <c r="T221">
        <v>0.52</v>
      </c>
      <c r="U221">
        <v>1.119</v>
      </c>
    </row>
    <row r="222" spans="5:21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  <c r="M222">
        <v>0.15588234920333341</v>
      </c>
      <c r="N222">
        <v>3.6207569275582911</v>
      </c>
      <c r="O222">
        <v>-1.2188036759118865</v>
      </c>
      <c r="P222">
        <v>-0.87691222519662104</v>
      </c>
      <c r="Q222">
        <v>0.4666214331930808</v>
      </c>
      <c r="R222">
        <v>0.11527960524544605</v>
      </c>
      <c r="S222">
        <v>0.314</v>
      </c>
      <c r="T222">
        <v>0.52</v>
      </c>
      <c r="U222">
        <v>1.125</v>
      </c>
    </row>
    <row r="223" spans="5:21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  <c r="M223">
        <v>0.16481987833048795</v>
      </c>
      <c r="N223">
        <v>3.6792100806704591</v>
      </c>
      <c r="O223">
        <v>-2.0039999999999996</v>
      </c>
      <c r="P223">
        <v>-0.84278135614737548</v>
      </c>
      <c r="Q223">
        <v>0.5382560596318241</v>
      </c>
      <c r="R223">
        <v>1.1339744831728188E-7</v>
      </c>
      <c r="S223">
        <v>0.314</v>
      </c>
      <c r="T223">
        <v>0.52</v>
      </c>
      <c r="U223">
        <v>1.131</v>
      </c>
    </row>
    <row r="224" spans="5:21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  <c r="M224">
        <v>2.0514241924574272</v>
      </c>
      <c r="N224">
        <v>1.3976799493540377</v>
      </c>
      <c r="O224">
        <v>-6.8100205390219479E-2</v>
      </c>
      <c r="P224">
        <v>-0.45738106556576502</v>
      </c>
      <c r="Q224">
        <v>0.85452478355268535</v>
      </c>
      <c r="R224">
        <v>0.24615026946189161</v>
      </c>
      <c r="S224">
        <v>0.314</v>
      </c>
      <c r="T224">
        <v>0.52</v>
      </c>
      <c r="U224">
        <v>2.1120000000000001</v>
      </c>
    </row>
    <row r="225" spans="5:21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  <c r="M225">
        <v>2.6694446819093658</v>
      </c>
      <c r="N225">
        <v>1.7497753518752186</v>
      </c>
      <c r="O225">
        <v>-0.42990129658231024</v>
      </c>
      <c r="P225">
        <v>-0.3231676598910162</v>
      </c>
      <c r="Q225">
        <v>0.92946862836612276</v>
      </c>
      <c r="R225">
        <v>0.17790652737817927</v>
      </c>
      <c r="S225">
        <v>0.314</v>
      </c>
      <c r="T225">
        <v>0.52</v>
      </c>
      <c r="U225">
        <v>2.1179999999999999</v>
      </c>
    </row>
    <row r="226" spans="5:21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  <c r="M226">
        <v>3.0324074310156819</v>
      </c>
      <c r="N226">
        <v>1.9376545736027169</v>
      </c>
      <c r="O226">
        <v>-1.0918032928787311</v>
      </c>
      <c r="P226">
        <v>-0.14354467408112528</v>
      </c>
      <c r="Q226">
        <v>0.9805682132211786</v>
      </c>
      <c r="R226">
        <v>0.13371950404921776</v>
      </c>
      <c r="S226">
        <v>0.314</v>
      </c>
      <c r="T226">
        <v>0.52</v>
      </c>
      <c r="U226">
        <v>2.1240000000000001</v>
      </c>
    </row>
    <row r="227" spans="5:21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  <c r="M227">
        <v>3.108370775579655</v>
      </c>
      <c r="N227">
        <v>1.9752932773444885</v>
      </c>
      <c r="O227">
        <v>-1.8859999999999997</v>
      </c>
      <c r="P227">
        <v>-4.2485207395031144E-2</v>
      </c>
      <c r="Q227">
        <v>0.99909709595844021</v>
      </c>
      <c r="R227">
        <v>1.1339744825155341E-7</v>
      </c>
      <c r="S227">
        <v>0.314</v>
      </c>
      <c r="T227">
        <v>0.52</v>
      </c>
      <c r="U227">
        <v>2.13</v>
      </c>
    </row>
    <row r="228" spans="5:21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  <c r="M228">
        <v>0.50749224001177151</v>
      </c>
      <c r="N228">
        <v>-0.29300119061511898</v>
      </c>
      <c r="O228">
        <v>-0.43020129748711322</v>
      </c>
      <c r="P228">
        <v>0.40945766295005809</v>
      </c>
      <c r="Q228">
        <v>0.86485705422772596</v>
      </c>
      <c r="R228">
        <v>0.29045946017304536</v>
      </c>
      <c r="S228">
        <v>0.314</v>
      </c>
      <c r="T228">
        <v>0.52</v>
      </c>
      <c r="U228">
        <v>3.1019999999999999</v>
      </c>
    </row>
    <row r="229" spans="5:21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  <c r="M229">
        <v>1.1353623321765061</v>
      </c>
      <c r="N229">
        <v>-0.65550266364577026</v>
      </c>
      <c r="O229">
        <v>-0.23600071177814663</v>
      </c>
      <c r="P229">
        <v>0.42495075868149645</v>
      </c>
      <c r="Q229">
        <v>0.87000969481008195</v>
      </c>
      <c r="R229">
        <v>0.24999996726497564</v>
      </c>
      <c r="S229">
        <v>0.314</v>
      </c>
      <c r="T229">
        <v>0.52</v>
      </c>
      <c r="U229">
        <v>3.105</v>
      </c>
    </row>
    <row r="230" spans="5:21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  <c r="M230">
        <v>1.7856236683838014</v>
      </c>
      <c r="N230">
        <v>-1.0423740507331463</v>
      </c>
      <c r="O230">
        <v>-5.0900153514863183E-2</v>
      </c>
      <c r="P230">
        <v>0.50626819172170889</v>
      </c>
      <c r="Q230">
        <v>0.8221293554708563</v>
      </c>
      <c r="R230">
        <v>0.26037634478559213</v>
      </c>
      <c r="S230">
        <v>0.314</v>
      </c>
      <c r="T230">
        <v>0.52</v>
      </c>
      <c r="U230">
        <v>3.109</v>
      </c>
    </row>
    <row r="231" spans="5:21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  <c r="M231">
        <v>2.4496317629901974</v>
      </c>
      <c r="N231">
        <v>-1.4869489294279801</v>
      </c>
      <c r="O231">
        <v>-0.20000060320181942</v>
      </c>
      <c r="P231">
        <v>0.64768912696222369</v>
      </c>
      <c r="Q231">
        <v>0.73169734120989172</v>
      </c>
      <c r="R231">
        <v>0.21240949997890371</v>
      </c>
      <c r="S231">
        <v>0.314</v>
      </c>
      <c r="T231">
        <v>0.52</v>
      </c>
      <c r="U231">
        <v>3.1150000000000002</v>
      </c>
    </row>
    <row r="232" spans="5:21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  <c r="M232">
        <v>2.9142628522369391</v>
      </c>
      <c r="N232">
        <v>-1.8324709445059475</v>
      </c>
      <c r="O232">
        <v>-0.73440221495708058</v>
      </c>
      <c r="P232">
        <v>0.77048572368923052</v>
      </c>
      <c r="Q232">
        <v>0.61520702407802108</v>
      </c>
      <c r="R232">
        <v>0.16694929504537581</v>
      </c>
      <c r="S232">
        <v>0.314</v>
      </c>
      <c r="T232">
        <v>0.52</v>
      </c>
      <c r="U232">
        <v>3.121</v>
      </c>
    </row>
    <row r="233" spans="5:21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  <c r="M233">
        <v>3.0826292342779262</v>
      </c>
      <c r="N233">
        <v>-1.9645423802038622</v>
      </c>
      <c r="O233">
        <v>-1.4729044422797986</v>
      </c>
      <c r="P233">
        <v>0.88194691054970442</v>
      </c>
      <c r="Q233">
        <v>0.4631818774367647</v>
      </c>
      <c r="R233">
        <v>8.7362436927923726E-2</v>
      </c>
      <c r="S233">
        <v>0.314</v>
      </c>
      <c r="T233">
        <v>0.52</v>
      </c>
      <c r="U233">
        <v>3.1269999999999998</v>
      </c>
    </row>
    <row r="234" spans="5:21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  <c r="M234">
        <v>3.1013094869057443</v>
      </c>
      <c r="N234">
        <v>-1.9865468952422967</v>
      </c>
      <c r="O234">
        <v>-2.2449999999999966</v>
      </c>
      <c r="P234">
        <v>0.88814955723140332</v>
      </c>
      <c r="Q234">
        <v>0.45955452776536726</v>
      </c>
      <c r="R234">
        <v>1.1339744855140686E-7</v>
      </c>
      <c r="S234">
        <v>0.314</v>
      </c>
      <c r="T234">
        <v>0.52</v>
      </c>
      <c r="U234">
        <v>3.133</v>
      </c>
    </row>
    <row r="235" spans="5:21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  <c r="M235">
        <v>-5.4606636246277949E-3</v>
      </c>
      <c r="N235">
        <v>-1.9321922836904144</v>
      </c>
      <c r="O235">
        <v>-7.2099999999999942E-2</v>
      </c>
      <c r="P235">
        <v>0.96533866476084951</v>
      </c>
      <c r="Q235">
        <v>-7.5218781620930764E-2</v>
      </c>
      <c r="R235">
        <v>0.24992678369715235</v>
      </c>
      <c r="S235">
        <v>0.314</v>
      </c>
      <c r="T235">
        <v>0.52</v>
      </c>
      <c r="U235">
        <v>4.1079999999999997</v>
      </c>
    </row>
    <row r="236" spans="5:21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  <c r="M236">
        <v>-5.1879526878857718E-2</v>
      </c>
      <c r="N236">
        <v>-2.7435178025770948</v>
      </c>
      <c r="O236">
        <v>-0.1446004361149153</v>
      </c>
      <c r="P236">
        <v>0.95928510054804406</v>
      </c>
      <c r="Q236">
        <v>-0.1701420751460764</v>
      </c>
      <c r="R236">
        <v>0.22544127867698932</v>
      </c>
      <c r="S236">
        <v>0.314</v>
      </c>
      <c r="T236">
        <v>0.52</v>
      </c>
      <c r="U236">
        <v>4.1139999999999999</v>
      </c>
    </row>
    <row r="237" spans="5:21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  <c r="M237">
        <v>-0.11984035123529128</v>
      </c>
      <c r="N237">
        <v>-3.3658774062729799</v>
      </c>
      <c r="O237">
        <v>-0.6265018895296991</v>
      </c>
      <c r="P237">
        <v>0.93197223883435998</v>
      </c>
      <c r="Q237">
        <v>-0.3231081412290483</v>
      </c>
      <c r="R237">
        <v>0.16440460794509457</v>
      </c>
      <c r="S237">
        <v>0.314</v>
      </c>
      <c r="T237">
        <v>0.52</v>
      </c>
      <c r="U237">
        <v>4.12</v>
      </c>
    </row>
    <row r="238" spans="5:21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  <c r="M238">
        <v>-0.1594417025992213</v>
      </c>
      <c r="N238">
        <v>-3.6430235795437031</v>
      </c>
      <c r="O238">
        <v>-1.342004047484207</v>
      </c>
      <c r="P238">
        <v>0.85976480006460398</v>
      </c>
      <c r="Q238">
        <v>-0.50010286572470042</v>
      </c>
      <c r="R238">
        <v>0.10344859720563496</v>
      </c>
      <c r="S238">
        <v>0.314</v>
      </c>
      <c r="T238">
        <v>0.52</v>
      </c>
      <c r="U238">
        <v>4.1260000000000003</v>
      </c>
    </row>
    <row r="239" spans="5:21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  <c r="M239">
        <v>-0.16707353002586495</v>
      </c>
      <c r="N239">
        <v>-3.6792085338513631</v>
      </c>
      <c r="O239">
        <v>-2.1219999999999999</v>
      </c>
      <c r="P239">
        <v>0.8424521561560816</v>
      </c>
      <c r="Q239">
        <v>-0.53877116161498118</v>
      </c>
      <c r="R239">
        <v>1.1339744832902593E-7</v>
      </c>
      <c r="S239">
        <v>0.314</v>
      </c>
      <c r="T239">
        <v>0.52</v>
      </c>
      <c r="U239">
        <v>4.1319999999999997</v>
      </c>
    </row>
    <row r="240" spans="5:21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  <c r="M240">
        <v>-0.75015331916270234</v>
      </c>
      <c r="N240">
        <v>-0.34980197285665726</v>
      </c>
      <c r="O240">
        <v>-0.36550110235132471</v>
      </c>
      <c r="P240">
        <v>0.46892874510133475</v>
      </c>
      <c r="Q240">
        <v>-0.84711619532694482</v>
      </c>
      <c r="R240">
        <v>0.24999996726497561</v>
      </c>
      <c r="S240">
        <v>0.314</v>
      </c>
      <c r="T240">
        <v>0.52</v>
      </c>
      <c r="U240">
        <v>5.1029999999999998</v>
      </c>
    </row>
    <row r="241" spans="5:21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  <c r="M241">
        <v>-1.4071379042310157</v>
      </c>
      <c r="N241">
        <v>-0.6561586843750703</v>
      </c>
      <c r="O241">
        <v>-0.17120051634075742</v>
      </c>
      <c r="P241">
        <v>0.46892874510133464</v>
      </c>
      <c r="Q241">
        <v>-0.84711619532694504</v>
      </c>
      <c r="R241">
        <v>0.24999996726497573</v>
      </c>
      <c r="S241">
        <v>0.314</v>
      </c>
      <c r="T241">
        <v>0.52</v>
      </c>
      <c r="U241">
        <v>5.1059999999999999</v>
      </c>
    </row>
    <row r="242" spans="5:21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  <c r="M242">
        <v>-2.1346946113555871</v>
      </c>
      <c r="N242">
        <v>-0.96991245379764135</v>
      </c>
      <c r="O242">
        <v>-4.8800147181243897E-2</v>
      </c>
      <c r="P242">
        <v>0.32899235153830914</v>
      </c>
      <c r="Q242">
        <v>-0.9097143365749264</v>
      </c>
      <c r="R242">
        <v>0.25334533439425211</v>
      </c>
      <c r="S242">
        <v>0.314</v>
      </c>
      <c r="T242">
        <v>0.52</v>
      </c>
      <c r="U242">
        <v>5.1109999999999998</v>
      </c>
    </row>
    <row r="243" spans="5:21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  <c r="M243">
        <v>-2.8361756747094442</v>
      </c>
      <c r="N243">
        <v>-1.2274922857184549</v>
      </c>
      <c r="O243">
        <v>-0.34390103720552789</v>
      </c>
      <c r="P243">
        <v>0.18508055495639816</v>
      </c>
      <c r="Q243">
        <v>-0.96590390260376424</v>
      </c>
      <c r="R243">
        <v>0.1810382255543008</v>
      </c>
      <c r="S243">
        <v>0.314</v>
      </c>
      <c r="T243">
        <v>0.52</v>
      </c>
      <c r="U243">
        <v>5.117</v>
      </c>
    </row>
    <row r="244" spans="5:21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  <c r="M244">
        <v>-3.283494502956783</v>
      </c>
      <c r="N244">
        <v>-1.3699200860258784</v>
      </c>
      <c r="O244">
        <v>-0.96790291919520377</v>
      </c>
      <c r="P244">
        <v>-3.8731399911171851E-3</v>
      </c>
      <c r="Q244">
        <v>-0.98856860806621927</v>
      </c>
      <c r="R244">
        <v>0.15072194907387235</v>
      </c>
      <c r="S244">
        <v>0.314</v>
      </c>
      <c r="T244">
        <v>0.52</v>
      </c>
      <c r="U244">
        <v>5.1230000000000002</v>
      </c>
    </row>
    <row r="245" spans="5:21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  <c r="M245">
        <v>-3.4061215488960932</v>
      </c>
      <c r="N245">
        <v>-1.4010085631949847</v>
      </c>
      <c r="O245">
        <v>-1.7620000000000002</v>
      </c>
      <c r="P245">
        <v>-0.13297631490676357</v>
      </c>
      <c r="Q245">
        <v>-0.99111921567175987</v>
      </c>
      <c r="R245">
        <v>1.1339744837938798E-7</v>
      </c>
      <c r="S245">
        <v>0.314</v>
      </c>
      <c r="T245">
        <v>0.52</v>
      </c>
      <c r="U245">
        <v>5.1289999999999996</v>
      </c>
    </row>
    <row r="246" spans="5:21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  <c r="M246">
        <v>-1.9025002711616701</v>
      </c>
      <c r="N246">
        <v>1.1166727688559985</v>
      </c>
      <c r="O246">
        <v>-4.3100129989992145E-2</v>
      </c>
      <c r="P246">
        <v>-0.53141244565546242</v>
      </c>
      <c r="Q246">
        <v>-0.80683659750962544</v>
      </c>
      <c r="R246">
        <v>0.25809982084761501</v>
      </c>
      <c r="S246">
        <v>0.314</v>
      </c>
      <c r="T246">
        <v>0.52</v>
      </c>
      <c r="U246">
        <v>6.11</v>
      </c>
    </row>
    <row r="247" spans="5:21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  <c r="M247">
        <v>-2.5441244897440836</v>
      </c>
      <c r="N247">
        <v>1.5548063432583483</v>
      </c>
      <c r="O247">
        <v>-0.26680080467122691</v>
      </c>
      <c r="P247">
        <v>-0.66702427106749229</v>
      </c>
      <c r="Q247">
        <v>-0.71833663497986566</v>
      </c>
      <c r="R247">
        <v>0.19766411068447354</v>
      </c>
      <c r="S247">
        <v>0.314</v>
      </c>
      <c r="T247">
        <v>0.52</v>
      </c>
      <c r="U247">
        <v>6.1159999999999997</v>
      </c>
    </row>
    <row r="248" spans="5:21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  <c r="M248">
        <v>-2.9640290129481226</v>
      </c>
      <c r="N248">
        <v>1.8712921248949115</v>
      </c>
      <c r="O248">
        <v>-0.84910256089332381</v>
      </c>
      <c r="P248">
        <v>-0.7885527392879812</v>
      </c>
      <c r="Q248">
        <v>-0.5952504385014733</v>
      </c>
      <c r="R248">
        <v>0.15447165702880566</v>
      </c>
      <c r="S248">
        <v>0.314</v>
      </c>
      <c r="T248">
        <v>0.52</v>
      </c>
      <c r="U248">
        <v>6.1219999999999999</v>
      </c>
    </row>
    <row r="249" spans="5:21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  <c r="M249">
        <v>-3.1013103637309221</v>
      </c>
      <c r="N249">
        <v>1.9865455010684185</v>
      </c>
      <c r="O249">
        <v>-1.6359999999999997</v>
      </c>
      <c r="P249">
        <v>-0.88814934878206853</v>
      </c>
      <c r="Q249">
        <v>-0.45955493062089403</v>
      </c>
      <c r="R249">
        <v>1.133974479894842E-7</v>
      </c>
      <c r="S249">
        <v>0.314</v>
      </c>
      <c r="T249">
        <v>0.52</v>
      </c>
      <c r="U249">
        <v>6.1280000000000001</v>
      </c>
    </row>
    <row r="250" spans="5:21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21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21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21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21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21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21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4" stopIfTrue="1" operator="between">
      <formula>9</formula>
      <formula>9.99</formula>
    </cfRule>
    <cfRule type="cellIs" dxfId="38" priority="135" stopIfTrue="1" operator="between">
      <formula>8</formula>
      <formula>8.99</formula>
    </cfRule>
    <cfRule type="cellIs" dxfId="37" priority="136" stopIfTrue="1" operator="between">
      <formula>7</formula>
      <formula>7.99</formula>
    </cfRule>
    <cfRule type="cellIs" dxfId="36" priority="137" stopIfTrue="1" operator="between">
      <formula>6</formula>
      <formula>6.99</formula>
    </cfRule>
    <cfRule type="cellIs" dxfId="35" priority="138" stopIfTrue="1" operator="between">
      <formula>5</formula>
      <formula>5.99</formula>
    </cfRule>
    <cfRule type="cellIs" dxfId="34" priority="139" stopIfTrue="1" operator="between">
      <formula>4</formula>
      <formula>4.99</formula>
    </cfRule>
    <cfRule type="cellIs" dxfId="33" priority="140" stopIfTrue="1" operator="between">
      <formula>3</formula>
      <formula>3.99</formula>
    </cfRule>
    <cfRule type="cellIs" dxfId="32" priority="141" stopIfTrue="1" operator="between">
      <formula>2</formula>
      <formula>2.99</formula>
    </cfRule>
    <cfRule type="cellIs" dxfId="31" priority="142" stopIfTrue="1" operator="between">
      <formula>1</formula>
      <formula>1.99</formula>
    </cfRule>
  </conditionalFormatting>
  <conditionalFormatting sqref="HN9:HN40 HN54:HN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0" stopIfTrue="1" operator="between">
      <formula>9</formula>
      <formula>9.99</formula>
    </cfRule>
    <cfRule type="cellIs" dxfId="29" priority="21" stopIfTrue="1" operator="between">
      <formula>8</formula>
      <formula>8.99</formula>
    </cfRule>
    <cfRule type="cellIs" dxfId="28" priority="22" stopIfTrue="1" operator="between">
      <formula>7</formula>
      <formula>7.99</formula>
    </cfRule>
    <cfRule type="cellIs" dxfId="27" priority="23" stopIfTrue="1" operator="between">
      <formula>6</formula>
      <formula>6.99</formula>
    </cfRule>
    <cfRule type="cellIs" dxfId="26" priority="24" stopIfTrue="1" operator="between">
      <formula>5</formula>
      <formula>5.99</formula>
    </cfRule>
    <cfRule type="cellIs" dxfId="25" priority="25" stopIfTrue="1" operator="between">
      <formula>4</formula>
      <formula>4.99</formula>
    </cfRule>
    <cfRule type="cellIs" dxfId="24" priority="26" stopIfTrue="1" operator="between">
      <formula>3</formula>
      <formula>3.99</formula>
    </cfRule>
    <cfRule type="cellIs" dxfId="23" priority="27" stopIfTrue="1" operator="between">
      <formula>2</formula>
      <formula>2.99</formula>
    </cfRule>
    <cfRule type="cellIs" dxfId="22" priority="28" stopIfTrue="1" operator="between">
      <formula>1</formula>
      <formula>1.99</formula>
    </cfRule>
  </conditionalFormatting>
  <conditionalFormatting sqref="HN41:HN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8" t="str">
        <f>CONCATENATE(Settings!$C$19," ",Settings!$B$28)</f>
        <v>6.125  Job# --- Assy# --- Post Braze --- yy.mm.dd</v>
      </c>
      <c r="D1" s="1228"/>
      <c r="E1" s="1228"/>
      <c r="F1" s="1228"/>
      <c r="G1" s="1228"/>
      <c r="H1" s="1228"/>
      <c r="I1" s="1228"/>
      <c r="J1" s="1228"/>
      <c r="K1" s="1228"/>
      <c r="M1" s="107" t="s">
        <v>319</v>
      </c>
      <c r="N1" s="1260" t="s">
        <v>321</v>
      </c>
      <c r="O1" s="1260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9" t="str">
        <f>Settings!B28</f>
        <v xml:space="preserve"> Job# --- Assy# --- Post Braze --- yy.mm.dd</v>
      </c>
      <c r="C2" s="1270"/>
      <c r="D2" s="1270"/>
      <c r="E2" s="1270"/>
      <c r="F2" s="1270"/>
      <c r="G2" s="1270"/>
      <c r="H2" s="1270"/>
      <c r="I2" s="1270"/>
      <c r="J2" s="1270"/>
      <c r="K2" s="1271"/>
      <c r="L2" s="983" t="str" cm="1">
        <f t="array" ref="L2">IF(OR($K$9:$K$150="Undefined"),"Undefined Element","")</f>
        <v/>
      </c>
      <c r="M2" s="1266" t="s">
        <v>0</v>
      </c>
      <c r="N2" s="1141" t="s">
        <v>1</v>
      </c>
      <c r="O2" s="1142"/>
      <c r="P2" s="1142"/>
      <c r="Q2" s="1142"/>
      <c r="R2" s="1142"/>
      <c r="S2" s="1142"/>
      <c r="T2" s="1142"/>
      <c r="U2" s="1142"/>
      <c r="V2" s="1142"/>
      <c r="W2" s="1142"/>
      <c r="X2" s="1142"/>
      <c r="Y2" s="1154"/>
      <c r="Z2" s="1141" t="s">
        <v>2</v>
      </c>
      <c r="AA2" s="1142"/>
      <c r="AB2" s="1142"/>
      <c r="AC2" s="1142"/>
      <c r="AD2" s="1142"/>
      <c r="AE2" s="1142"/>
      <c r="AF2" s="1142"/>
      <c r="AG2" s="1142"/>
      <c r="AH2" s="1142"/>
      <c r="AI2" s="1142"/>
      <c r="AJ2" s="1142"/>
      <c r="AK2" s="1142"/>
      <c r="AL2" s="1142"/>
      <c r="AM2" s="1142"/>
      <c r="AN2" s="1142"/>
      <c r="AO2" s="1142"/>
      <c r="AP2" s="1142"/>
      <c r="AQ2" s="1143"/>
      <c r="AS2" s="1204" t="s">
        <v>44</v>
      </c>
      <c r="AT2" s="1205"/>
      <c r="AV2" s="1282" t="str">
        <f>M2</f>
        <v>CS-Name</v>
      </c>
      <c r="AW2" s="1296"/>
      <c r="AX2" s="1296"/>
      <c r="AY2" s="1296"/>
      <c r="AZ2" s="1296"/>
      <c r="BA2" s="1296"/>
      <c r="BB2" s="1296"/>
      <c r="BC2" s="1297"/>
      <c r="BF2" s="1289" t="s">
        <v>322</v>
      </c>
      <c r="BG2" s="1290"/>
      <c r="BH2" s="1290"/>
      <c r="BI2" s="1290"/>
      <c r="BJ2" s="1290"/>
      <c r="BK2" s="1291"/>
      <c r="BM2" s="1306" t="s">
        <v>279</v>
      </c>
      <c r="BN2" s="1222"/>
      <c r="BO2" s="1222"/>
      <c r="BP2" s="1223"/>
      <c r="BR2" s="1306" t="s">
        <v>279</v>
      </c>
      <c r="BS2" s="1222"/>
      <c r="BT2" s="1222"/>
      <c r="BU2" s="1223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3"/>
      <c r="C3" s="1234"/>
      <c r="D3" s="1234"/>
      <c r="E3" s="1234"/>
      <c r="F3" s="1234"/>
      <c r="G3" s="1234"/>
      <c r="H3" s="1234"/>
      <c r="I3" s="1234"/>
      <c r="J3" s="1234"/>
      <c r="K3" s="1235"/>
      <c r="L3" s="983"/>
      <c r="M3" s="1267"/>
      <c r="N3" s="1144"/>
      <c r="O3" s="1145"/>
      <c r="P3" s="1145"/>
      <c r="Q3" s="1145"/>
      <c r="R3" s="1145"/>
      <c r="S3" s="1145"/>
      <c r="T3" s="1145"/>
      <c r="U3" s="1145"/>
      <c r="V3" s="1145"/>
      <c r="W3" s="1145"/>
      <c r="X3" s="1145"/>
      <c r="Y3" s="1201"/>
      <c r="Z3" s="1047"/>
      <c r="AA3" s="1048"/>
      <c r="AB3" s="1048"/>
      <c r="AC3" s="1048"/>
      <c r="AD3" s="1048"/>
      <c r="AE3" s="1048"/>
      <c r="AF3" s="1048"/>
      <c r="AG3" s="1048"/>
      <c r="AH3" s="1048"/>
      <c r="AI3" s="1048"/>
      <c r="AJ3" s="1048"/>
      <c r="AK3" s="1048"/>
      <c r="AL3" s="1048"/>
      <c r="AM3" s="1048"/>
      <c r="AN3" s="1048"/>
      <c r="AO3" s="1048"/>
      <c r="AP3" s="1048"/>
      <c r="AQ3" s="1162"/>
      <c r="AS3" s="466">
        <v>100</v>
      </c>
      <c r="AT3" s="463" t="s">
        <v>45</v>
      </c>
      <c r="AV3" s="1283"/>
      <c r="AW3" s="1298"/>
      <c r="AX3" s="1298"/>
      <c r="AY3" s="1298"/>
      <c r="AZ3" s="1298"/>
      <c r="BA3" s="1298"/>
      <c r="BB3" s="1298"/>
      <c r="BC3" s="1299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7" t="s">
        <v>316</v>
      </c>
      <c r="C4" s="912"/>
      <c r="D4" s="912"/>
      <c r="E4" s="912"/>
      <c r="F4" s="912"/>
      <c r="G4" s="912"/>
      <c r="H4" s="912"/>
      <c r="I4" s="912"/>
      <c r="J4" s="912"/>
      <c r="K4" s="1272"/>
      <c r="L4" s="983"/>
      <c r="M4" s="1267"/>
      <c r="N4" s="1185" t="s">
        <v>3</v>
      </c>
      <c r="O4" s="1183"/>
      <c r="P4" s="1183"/>
      <c r="Q4" s="1182" t="s">
        <v>4</v>
      </c>
      <c r="R4" s="1183"/>
      <c r="S4" s="1184"/>
      <c r="T4" s="1257" t="str">
        <f>N4</f>
        <v>Cartesian Coordinates</v>
      </c>
      <c r="U4" s="1166"/>
      <c r="V4" s="1258"/>
      <c r="W4" s="1166" t="str">
        <f>Q4</f>
        <v>Polar XY; Cartesian Z</v>
      </c>
      <c r="X4" s="1166"/>
      <c r="Y4" s="1232"/>
      <c r="Z4" s="1262" t="s">
        <v>3</v>
      </c>
      <c r="AA4" s="1263"/>
      <c r="AB4" s="1263"/>
      <c r="AC4" s="1263"/>
      <c r="AD4" s="1263"/>
      <c r="AE4" s="1263"/>
      <c r="AF4" s="1263"/>
      <c r="AG4" s="1302" t="s">
        <v>31</v>
      </c>
      <c r="AH4" s="1263"/>
      <c r="AI4" s="1263"/>
      <c r="AJ4" s="1303"/>
      <c r="AK4" s="1309" t="s">
        <v>32</v>
      </c>
      <c r="AL4" s="1310"/>
      <c r="AM4" s="1310"/>
      <c r="AN4" s="1310"/>
      <c r="AO4" s="1310"/>
      <c r="AP4" s="1310"/>
      <c r="AQ4" s="1311"/>
      <c r="AS4" s="467">
        <v>125</v>
      </c>
      <c r="AT4" s="464" t="s">
        <v>46</v>
      </c>
      <c r="AV4" s="1283"/>
      <c r="AW4" s="1300"/>
      <c r="AX4" s="1300"/>
      <c r="AY4" s="1300"/>
      <c r="AZ4" s="1301"/>
      <c r="BA4" s="1300" t="str">
        <f>Z2</f>
        <v>PDC Orientation</v>
      </c>
      <c r="BB4" s="1300"/>
      <c r="BC4" s="1301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9" t="s">
        <v>381</v>
      </c>
      <c r="IF4" s="899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3" t="str">
        <f>CONCATENATE(B7," ; ",E7," ; ",H8)</f>
        <v>Absolute-Point ; Incremental-Vector Point ; Radius</v>
      </c>
      <c r="C5" s="1234"/>
      <c r="D5" s="1234"/>
      <c r="E5" s="1234"/>
      <c r="F5" s="1234"/>
      <c r="G5" s="1234"/>
      <c r="H5" s="1234"/>
      <c r="I5" s="1234"/>
      <c r="J5" s="1234"/>
      <c r="K5" s="1235"/>
      <c r="L5" s="843"/>
      <c r="M5" s="1267"/>
      <c r="N5" s="1190" t="s">
        <v>5</v>
      </c>
      <c r="O5" s="1151"/>
      <c r="P5" s="1151"/>
      <c r="Q5" s="1218" t="s">
        <v>6</v>
      </c>
      <c r="R5" s="1151"/>
      <c r="S5" s="1152"/>
      <c r="T5" s="1135" t="str">
        <f>CONCATENATE("Relative to ",M8,"'s θ &amp; Z; Z Axis")</f>
        <v>Relative to 's θ &amp; Z; Z Axis</v>
      </c>
      <c r="U5" s="1136"/>
      <c r="V5" s="1137"/>
      <c r="W5" s="1136" t="str">
        <f>CONCATENATE("Relative to ",M8,"'s θ &amp; Z; Z Axis")</f>
        <v>Relative to 's θ &amp; Z; Z Axis</v>
      </c>
      <c r="X5" s="1136"/>
      <c r="Y5" s="1259"/>
      <c r="Z5" s="1249" t="str">
        <f>N5</f>
        <v>Relative to World_CS</v>
      </c>
      <c r="AA5" s="1136"/>
      <c r="AB5" s="1136"/>
      <c r="AC5" s="1136"/>
      <c r="AD5" s="1136"/>
      <c r="AE5" s="1136"/>
      <c r="AF5" s="1136"/>
      <c r="AG5" s="1135" t="str">
        <f>N5</f>
        <v>Relative to World_CS</v>
      </c>
      <c r="AH5" s="1136"/>
      <c r="AI5" s="1136"/>
      <c r="AJ5" s="1173"/>
      <c r="AK5" s="1150" t="s">
        <v>7</v>
      </c>
      <c r="AL5" s="1151"/>
      <c r="AM5" s="1151"/>
      <c r="AN5" s="1151"/>
      <c r="AO5" s="1151"/>
      <c r="AP5" s="1151"/>
      <c r="AQ5" s="1152"/>
      <c r="AS5" s="171">
        <f>(((AS4*12)/60)/AS3)</f>
        <v>0.25</v>
      </c>
      <c r="AT5" s="464" t="s">
        <v>47</v>
      </c>
      <c r="AV5" s="1283"/>
      <c r="AW5" s="1257" t="str">
        <f>W4</f>
        <v>Polar XY; Cartesian Z</v>
      </c>
      <c r="AX5" s="1166"/>
      <c r="AY5" s="1166"/>
      <c r="AZ5" s="984" t="s">
        <v>104</v>
      </c>
      <c r="BA5" s="1166" t="str">
        <f>AK4</f>
        <v>Polar Z Projection → XZ Plane</v>
      </c>
      <c r="BB5" s="1166"/>
      <c r="BC5" s="1167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6"/>
      <c r="C6" s="1237"/>
      <c r="D6" s="1237"/>
      <c r="E6" s="1237"/>
      <c r="F6" s="1237"/>
      <c r="G6" s="1237"/>
      <c r="H6" s="1237"/>
      <c r="I6" s="1237"/>
      <c r="J6" s="1237"/>
      <c r="K6" s="1238"/>
      <c r="L6" s="983" t="str" cm="1">
        <f t="array" ref="L6">IF(OR($K$9:$K$150="Inactive"),"Inactive Element","")</f>
        <v/>
      </c>
      <c r="M6" s="1267"/>
      <c r="N6" s="1186" t="s">
        <v>8</v>
      </c>
      <c r="O6" s="1188" t="s">
        <v>9</v>
      </c>
      <c r="P6" s="1216" t="s">
        <v>10</v>
      </c>
      <c r="Q6" s="1191" t="s">
        <v>11</v>
      </c>
      <c r="R6" s="1192"/>
      <c r="S6" s="1179" t="s">
        <v>10</v>
      </c>
      <c r="T6" s="1212" t="str">
        <f>N6</f>
        <v>X</v>
      </c>
      <c r="U6" s="1214" t="str">
        <f>O6</f>
        <v>Y</v>
      </c>
      <c r="V6" s="1255" t="str">
        <f>P6</f>
        <v>Z</v>
      </c>
      <c r="W6" s="1168" t="str">
        <f>Q6</f>
        <v>Projected XY</v>
      </c>
      <c r="X6" s="1169"/>
      <c r="Y6" s="1210" t="str">
        <f>S6</f>
        <v>Z</v>
      </c>
      <c r="Z6" s="1196" t="s">
        <v>12</v>
      </c>
      <c r="AA6" s="1197"/>
      <c r="AB6" s="1197"/>
      <c r="AC6" s="1198"/>
      <c r="AD6" s="1182" t="s">
        <v>13</v>
      </c>
      <c r="AE6" s="1183"/>
      <c r="AF6" s="1183"/>
      <c r="AG6" s="1195" t="s">
        <v>7</v>
      </c>
      <c r="AH6" s="1183"/>
      <c r="AI6" s="1182" t="s">
        <v>14</v>
      </c>
      <c r="AJ6" s="1184"/>
      <c r="AK6" s="1257" t="str">
        <f>AD6</f>
        <v>Unit Vector</v>
      </c>
      <c r="AL6" s="1166"/>
      <c r="AM6" s="1167"/>
      <c r="AN6" s="34" t="s">
        <v>15</v>
      </c>
      <c r="AO6" s="35" t="s">
        <v>16</v>
      </c>
      <c r="AP6" s="737" t="s">
        <v>17</v>
      </c>
      <c r="AQ6" s="1264" t="s">
        <v>108</v>
      </c>
      <c r="AS6" s="172">
        <f>(AS5/360)</f>
        <v>6.9444444444444447E-4</v>
      </c>
      <c r="AT6" s="465" t="s">
        <v>48</v>
      </c>
      <c r="AV6" s="1283"/>
      <c r="AW6" s="1135" t="str">
        <f>W5</f>
        <v>Relative to 's θ &amp; Z; Z Axis</v>
      </c>
      <c r="AX6" s="1136"/>
      <c r="AY6" s="1136"/>
      <c r="AZ6" s="1279"/>
      <c r="BA6" s="1136" t="str">
        <f>AK5</f>
        <v>Vector Along X Axis</v>
      </c>
      <c r="BB6" s="1136"/>
      <c r="BC6" s="1173"/>
      <c r="BD6" s="468"/>
      <c r="BF6" s="461">
        <f>SUM(AZ9:AZ150)</f>
        <v>0</v>
      </c>
      <c r="BG6" s="1261" t="s">
        <v>318</v>
      </c>
      <c r="BH6" s="1261"/>
      <c r="BI6" s="1261"/>
      <c r="BJ6" s="1261"/>
      <c r="BK6" s="1261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0" t="s">
        <v>40</v>
      </c>
      <c r="C7" s="1251"/>
      <c r="D7" s="1252"/>
      <c r="E7" s="1253" t="s">
        <v>41</v>
      </c>
      <c r="F7" s="1251"/>
      <c r="G7" s="1254"/>
      <c r="H7" s="879" t="s">
        <v>314</v>
      </c>
      <c r="I7" s="877"/>
      <c r="J7" s="878"/>
      <c r="K7" s="539"/>
      <c r="L7" s="983"/>
      <c r="M7" s="1268"/>
      <c r="N7" s="1187"/>
      <c r="O7" s="1189"/>
      <c r="P7" s="1217"/>
      <c r="Q7" s="36" t="s">
        <v>18</v>
      </c>
      <c r="R7" s="2" t="s">
        <v>19</v>
      </c>
      <c r="S7" s="1180"/>
      <c r="T7" s="1213"/>
      <c r="U7" s="1215"/>
      <c r="V7" s="1256"/>
      <c r="W7" s="37" t="str">
        <f>Q7</f>
        <v>&lt; θ°</v>
      </c>
      <c r="X7" s="27" t="str">
        <f>R7</f>
        <v>r</v>
      </c>
      <c r="Y7" s="1211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5"/>
      <c r="AS7" s="1304" t="s">
        <v>54</v>
      </c>
      <c r="AT7" s="1307" t="s">
        <v>53</v>
      </c>
      <c r="AV7" s="1283"/>
      <c r="AW7" s="1278" t="str">
        <f>$W$6</f>
        <v>Projected XY</v>
      </c>
      <c r="AX7" s="1169"/>
      <c r="AY7" s="1280" t="str">
        <f>$Y$6</f>
        <v>Z</v>
      </c>
      <c r="AZ7" s="1279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1"/>
      <c r="BH7" s="1261"/>
      <c r="BI7" s="1261"/>
      <c r="BJ7" s="1261"/>
      <c r="BK7" s="1261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5" t="s">
        <v>33</v>
      </c>
      <c r="IH7" s="975" t="s">
        <v>385</v>
      </c>
      <c r="II7" s="881" t="s">
        <v>333</v>
      </c>
      <c r="IJ7" s="882"/>
      <c r="IK7" s="882"/>
      <c r="IL7" s="877"/>
      <c r="IM7" s="877"/>
      <c r="IN7" s="877"/>
      <c r="IO7" s="878"/>
      <c r="IP7" s="879" t="s">
        <v>329</v>
      </c>
      <c r="IQ7" s="877"/>
      <c r="IR7" s="877"/>
      <c r="IS7" s="877"/>
      <c r="IT7" s="877"/>
      <c r="IU7" s="879" t="s">
        <v>328</v>
      </c>
      <c r="IV7" s="877"/>
      <c r="IW7" s="877"/>
      <c r="IX7" s="877"/>
      <c r="IY7" s="878"/>
      <c r="JA7" s="784"/>
      <c r="JB7" s="1312" t="s">
        <v>364</v>
      </c>
      <c r="JC7" s="1219"/>
      <c r="JD7" s="1219"/>
      <c r="JE7" s="122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3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5"/>
      <c r="AT8" s="1308"/>
      <c r="AV8" s="1284"/>
      <c r="AW8" s="46" t="str">
        <f>$W$7</f>
        <v>&lt; θ°</v>
      </c>
      <c r="AX8" s="27" t="str">
        <f>$X$7</f>
        <v>r</v>
      </c>
      <c r="AY8" s="1281"/>
      <c r="AZ8" s="985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7"/>
      <c r="IH8" s="976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1" t="s">
        <v>365</v>
      </c>
      <c r="JC19" s="1222"/>
      <c r="JD19" s="1222"/>
      <c r="JE19" s="1222"/>
      <c r="JF19" s="1222"/>
      <c r="JG19" s="1222"/>
      <c r="JH19" s="1222"/>
      <c r="JI19" s="1223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4" t="s">
        <v>369</v>
      </c>
      <c r="JC20" s="1225"/>
      <c r="JD20" s="1225"/>
      <c r="JE20" s="1225"/>
      <c r="JF20" s="978" t="s">
        <v>370</v>
      </c>
      <c r="JG20" s="979"/>
      <c r="JH20" s="979"/>
      <c r="JI20" s="980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6"/>
      <c r="JC21" s="1097"/>
      <c r="JD21" s="1097"/>
      <c r="JE21" s="1097"/>
      <c r="JF21" s="981" t="s">
        <v>358</v>
      </c>
      <c r="JG21" s="982"/>
      <c r="JH21" s="1226" t="s">
        <v>371</v>
      </c>
      <c r="JI21" s="1227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6" t="str">
        <f>$W$6</f>
        <v>Projected XY</v>
      </c>
      <c r="AX152" s="1277"/>
      <c r="AY152" s="1294" t="str">
        <f>$Y$6</f>
        <v>Z</v>
      </c>
      <c r="AZ152" s="1292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5"/>
      <c r="AZ153" s="1293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9" t="s">
        <v>42</v>
      </c>
      <c r="C157" s="1240"/>
      <c r="D157" s="1240"/>
      <c r="E157" s="1240"/>
      <c r="F157" s="1240"/>
      <c r="G157" s="1240"/>
      <c r="H157" s="1240"/>
      <c r="I157" s="1240"/>
      <c r="J157" s="1240"/>
      <c r="K157" s="1241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2"/>
      <c r="C158" s="1197"/>
      <c r="D158" s="1197"/>
      <c r="E158" s="1197"/>
      <c r="F158" s="1197"/>
      <c r="G158" s="1197"/>
      <c r="H158" s="1197"/>
      <c r="I158" s="1197"/>
      <c r="J158" s="1197"/>
      <c r="K158" s="1243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4"/>
      <c r="C159" s="1245"/>
      <c r="D159" s="1245"/>
      <c r="E159" s="1245"/>
      <c r="F159" s="1245"/>
      <c r="G159" s="1245"/>
      <c r="H159" s="1245"/>
      <c r="I159" s="1245"/>
      <c r="J159" s="1245"/>
      <c r="K159" s="1246"/>
      <c r="AQ159" s="166"/>
      <c r="BD159" s="468"/>
    </row>
    <row r="160" spans="1:259" ht="15" customHeight="1" x14ac:dyDescent="0.25">
      <c r="B160" s="1233" t="str">
        <f>CONCATENATE(B162," ; ",E162," ; ",H163)</f>
        <v>Absolute-Point ; Incremental-Vector Point ; Radius</v>
      </c>
      <c r="C160" s="1234"/>
      <c r="D160" s="1234"/>
      <c r="E160" s="1234"/>
      <c r="F160" s="1234"/>
      <c r="G160" s="1234"/>
      <c r="H160" s="1234"/>
      <c r="I160" s="1234"/>
      <c r="J160" s="1234"/>
      <c r="K160" s="1235"/>
      <c r="AQ160" s="166"/>
      <c r="BD160" s="468"/>
    </row>
    <row r="161" spans="2:56" ht="15" customHeight="1" x14ac:dyDescent="0.25">
      <c r="B161" s="1236"/>
      <c r="C161" s="1237"/>
      <c r="D161" s="1237"/>
      <c r="E161" s="1237"/>
      <c r="F161" s="1237"/>
      <c r="G161" s="1237"/>
      <c r="H161" s="1237"/>
      <c r="I161" s="1237"/>
      <c r="J161" s="1237"/>
      <c r="K161" s="1238"/>
      <c r="AQ161" s="166"/>
      <c r="BD161" s="468"/>
    </row>
    <row r="162" spans="2:56" ht="15" customHeight="1" x14ac:dyDescent="0.25">
      <c r="B162" s="1250" t="s">
        <v>40</v>
      </c>
      <c r="C162" s="1251"/>
      <c r="D162" s="1252"/>
      <c r="E162" s="1253" t="s">
        <v>41</v>
      </c>
      <c r="F162" s="1251"/>
      <c r="G162" s="1254"/>
      <c r="H162" s="879" t="s">
        <v>314</v>
      </c>
      <c r="I162" s="877"/>
      <c r="J162" s="878"/>
      <c r="K162" s="539"/>
      <c r="M162" s="1025" t="s">
        <v>313</v>
      </c>
      <c r="N162" s="1273"/>
      <c r="O162" s="1285" t="s">
        <v>292</v>
      </c>
      <c r="P162" s="1286"/>
      <c r="Q162" s="1287"/>
      <c r="R162" s="1288" t="s">
        <v>41</v>
      </c>
      <c r="S162" s="1286"/>
      <c r="T162" s="1287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4"/>
      <c r="N163" s="1275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1.103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1.115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1.2110000000000001</v>
      </c>
      <c r="N169" s="869" t="str">
        <f>Assy.Model!K14</f>
        <v>CPS-32193r1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1.2150000000000001</v>
      </c>
      <c r="N170" s="869" t="str">
        <f>Assy.Model!K15</f>
        <v>CPS-32193r1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2.1059999999999999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2.11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2.1139999999999999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2.1179999999999999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2.21</v>
      </c>
      <c r="N175" s="869" t="str">
        <f>Assy.Model!K20</f>
        <v>CPS-32193r1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2.214</v>
      </c>
      <c r="N176" s="869" t="str">
        <f>Assy.Model!K21</f>
        <v>CPS-32193r1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3.1019999999999999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3.105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3.109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3.113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3.117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3.2090000000000001</v>
      </c>
      <c r="N182" s="869" t="str">
        <f>Assy.Model!K27</f>
        <v>CPS-32193r1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3.2130000000000001</v>
      </c>
      <c r="N183" s="869" t="str">
        <f>Assy.Model!K28</f>
        <v>CPS-32193r1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4.1079999999999997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4.1120000000000001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4.1159999999999997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4.2119999999999997</v>
      </c>
      <c r="N187" s="869" t="str">
        <f>Assy.Model!K32</f>
        <v>CPS-32193r1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4.2160000000000002</v>
      </c>
      <c r="N188" s="869" t="str">
        <f>Assy.Model!K33</f>
        <v>CPS-32193r1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 t="str">
        <f>Assy.Model!$M34</f>
        <v/>
      </c>
      <c r="N189" s="869" t="str">
        <f>Assy.Model!K34</f>
        <v/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 t="str">
        <f>Assy.Model!$M35</f>
        <v/>
      </c>
      <c r="N190" s="869" t="str">
        <f>Assy.Model!K35</f>
        <v/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 t="str">
        <f>Assy.Model!$M36</f>
        <v/>
      </c>
      <c r="N191" s="869" t="str">
        <f>Assy.Model!K36</f>
        <v/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 t="str">
        <f>Assy.Model!$M37</f>
        <v/>
      </c>
      <c r="N192" s="869" t="str">
        <f>Assy.Model!K37</f>
        <v/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 t="str">
        <f>Assy.Model!$M38</f>
        <v/>
      </c>
      <c r="N193" s="869" t="str">
        <f>Assy.Model!K38</f>
        <v/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 t="str">
        <f>Assy.Model!$M39</f>
        <v/>
      </c>
      <c r="N194" s="869" t="str">
        <f>Assy.Model!K39</f>
        <v/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 t="str">
        <f>Assy.Model!$M40</f>
        <v/>
      </c>
      <c r="N195" s="869" t="str">
        <f>Assy.Model!K40</f>
        <v/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 t="str">
        <f>Assy.Model!$M41</f>
        <v/>
      </c>
      <c r="N196" s="869" t="str">
        <f>Assy.Model!K41</f>
        <v/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 t="str">
        <f>Assy.Model!$M42</f>
        <v/>
      </c>
      <c r="N197" s="869" t="str">
        <f>Assy.Model!K42</f>
        <v/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 t="str">
        <f>Assy.Model!$M43</f>
        <v/>
      </c>
      <c r="N198" s="869" t="str">
        <f>Assy.Model!K43</f>
        <v/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 t="str">
        <f>Assy.Model!$M44</f>
        <v/>
      </c>
      <c r="N199" s="869" t="str">
        <f>Assy.Model!K44</f>
        <v/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 t="str">
        <f>Assy.Model!$M45</f>
        <v/>
      </c>
      <c r="N200" s="869" t="str">
        <f>Assy.Model!K45</f>
        <v/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2023-03-28T20:02:41Z</dcterms:modified>
</cp:coreProperties>
</file>