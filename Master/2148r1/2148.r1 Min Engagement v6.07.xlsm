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48\"/>
    </mc:Choice>
  </mc:AlternateContent>
  <xr:revisionPtr revIDLastSave="0" documentId="13_ncr:1_{CB4325DD-FCEC-4FBE-9A63-923BF00C754A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JA9" i="1" s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R109" i="1"/>
  <c r="IN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T20" i="1"/>
  <c r="IQ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W110" i="1"/>
  <c r="IK110" i="1"/>
  <c r="IR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S31" i="1"/>
  <c r="IX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85" i="1"/>
  <c r="IF129" i="1"/>
  <c r="IF49" i="1"/>
  <c r="IF138" i="1"/>
  <c r="IF10" i="1"/>
  <c r="IF150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135" i="1"/>
  <c r="IF31" i="1"/>
  <c r="IF145" i="1"/>
  <c r="IF106" i="1"/>
  <c r="IF69" i="1"/>
  <c r="IF88" i="1"/>
  <c r="IF103" i="1"/>
  <c r="IF13" i="1"/>
  <c r="IF131" i="1"/>
  <c r="IF123" i="1"/>
  <c r="IF141" i="1"/>
  <c r="IF89" i="1"/>
  <c r="IF124" i="1"/>
  <c r="IF146" i="1"/>
  <c r="IF11" i="1"/>
  <c r="IF134" i="1"/>
  <c r="IF82" i="1"/>
  <c r="IF84" i="1"/>
  <c r="IF12" i="1"/>
  <c r="IF50" i="1"/>
  <c r="IF71" i="1"/>
  <c r="IF83" i="1"/>
  <c r="IF133" i="1"/>
  <c r="IF149" i="1"/>
  <c r="IF87" i="1"/>
  <c r="IF104" i="1"/>
  <c r="IF130" i="1"/>
  <c r="IF132" i="1"/>
  <c r="IF119" i="1"/>
  <c r="IF32" i="1"/>
  <c r="IF20" i="1"/>
  <c r="IF125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IV81" i="1"/>
  <c r="IQ91" i="1"/>
  <c r="IQ77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IP110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IQ74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Q56" i="1" s="1"/>
  <c r="O47" i="1"/>
  <c r="P102" i="1"/>
  <c r="S102" i="1" s="1"/>
  <c r="Y102" i="1" s="1"/>
  <c r="IQ110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9" i="1" s="1"/>
  <c r="P101" i="1"/>
  <c r="S101" i="1" s="1"/>
  <c r="Y101" i="1" s="1"/>
  <c r="IQ109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7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8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IQ73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9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P9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Q75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14" i="1" l="1"/>
  <c r="IV107" i="1"/>
  <c r="IQ76" i="1"/>
  <c r="IQ93" i="1"/>
  <c r="IQ78" i="1"/>
  <c r="IV72" i="1"/>
  <c r="IQ96" i="1"/>
  <c r="Q98" i="1"/>
  <c r="Q106" i="1"/>
  <c r="IV45" i="1"/>
  <c r="IQ55" i="1"/>
  <c r="IQ59" i="1"/>
  <c r="IV56" i="1"/>
  <c r="IQ64" i="1"/>
  <c r="IV55" i="1"/>
  <c r="IQ115" i="1"/>
  <c r="IV108" i="1"/>
  <c r="IQ111" i="1"/>
  <c r="AQ91" i="1"/>
  <c r="IU91" i="1"/>
  <c r="IE91" i="1" s="1"/>
  <c r="AD86" i="1"/>
  <c r="AH86" i="1" s="1"/>
  <c r="IV47" i="1"/>
  <c r="IQ57" i="1"/>
  <c r="IQ95" i="1"/>
  <c r="IV64" i="1"/>
  <c r="IQ72" i="1"/>
  <c r="IQ94" i="1"/>
  <c r="IQ61" i="1"/>
  <c r="IQ102" i="1"/>
  <c r="IQ92" i="1"/>
  <c r="IV99" i="1"/>
  <c r="IQ107" i="1"/>
  <c r="AE69" i="1"/>
  <c r="IQ52" i="1"/>
  <c r="IV48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IP5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3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8" i="1" s="1"/>
  <c r="R108" i="1"/>
  <c r="X108" i="1" s="1"/>
  <c r="IU108" i="1" s="1"/>
  <c r="IE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AQ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2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IP107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9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4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7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IP5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74" i="1" l="1"/>
  <c r="IU74" i="1"/>
  <c r="IE74" i="1" s="1"/>
  <c r="AG97" i="1"/>
  <c r="IU47" i="1"/>
  <c r="IE47" i="1" s="1"/>
  <c r="IP57" i="1"/>
  <c r="IP102" i="1"/>
  <c r="IP91" i="1"/>
  <c r="AQ110" i="1"/>
  <c r="IU110" i="1"/>
  <c r="IE110" i="1" s="1"/>
  <c r="IP59" i="1"/>
  <c r="IU56" i="1"/>
  <c r="IE56" i="1" s="1"/>
  <c r="AQ109" i="1"/>
  <c r="IU109" i="1"/>
  <c r="IE109" i="1" s="1"/>
  <c r="AQ92" i="1"/>
  <c r="IU92" i="1"/>
  <c r="IE92" i="1" s="1"/>
  <c r="AQ73" i="1"/>
  <c r="IU73" i="1"/>
  <c r="IE73" i="1" s="1"/>
  <c r="AQ68" i="1"/>
  <c r="IU68" i="1"/>
  <c r="IE68" i="1" s="1"/>
  <c r="IP52" i="1"/>
  <c r="IU48" i="1"/>
  <c r="IE48" i="1" s="1"/>
  <c r="AQ37" i="1"/>
  <c r="IU37" i="1"/>
  <c r="IE37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IL108" i="1" s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10" i="1" s="1"/>
  <c r="W122" i="1"/>
  <c r="W131" i="1"/>
  <c r="W110" i="1"/>
  <c r="W127" i="1"/>
  <c r="W97" i="1"/>
  <c r="W112" i="1"/>
  <c r="W103" i="1"/>
  <c r="W101" i="1"/>
  <c r="IL109" i="1" s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IL91" i="1" s="1"/>
  <c r="W82" i="1"/>
  <c r="IL92" i="1" s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IL73" i="1" s="1"/>
  <c r="W66" i="1"/>
  <c r="IL74" i="1" s="1"/>
  <c r="W63" i="1"/>
  <c r="W64" i="1"/>
  <c r="IL72" i="1" s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IL55" i="1" s="1"/>
  <c r="W46" i="1"/>
  <c r="IL56" i="1" s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IL45" i="1" s="1"/>
  <c r="W30" i="1"/>
  <c r="W27" i="1"/>
  <c r="W28" i="1"/>
  <c r="W25" i="1"/>
  <c r="W26" i="1"/>
  <c r="W23" i="1"/>
  <c r="W24" i="1"/>
  <c r="W21" i="1"/>
  <c r="IL21" i="1" s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07" i="1" l="1"/>
  <c r="IL90" i="1"/>
  <c r="IL68" i="1"/>
  <c r="IL57" i="1"/>
  <c r="IL47" i="1"/>
  <c r="IL48" i="1"/>
  <c r="IL46" i="1"/>
  <c r="IL38" i="1"/>
  <c r="IL16" i="1"/>
  <c r="IL37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8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9" i="1" s="1"/>
  <c r="AL102" i="1"/>
  <c r="AN102" i="1" s="1"/>
  <c r="IT110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90" i="1" s="1"/>
  <c r="AK80" i="1"/>
  <c r="T80" i="1"/>
  <c r="U79" i="1"/>
  <c r="AK79" i="1"/>
  <c r="U78" i="1"/>
  <c r="T78" i="1"/>
  <c r="AK78" i="1"/>
  <c r="AL78" i="1"/>
  <c r="AN78" i="1" s="1"/>
  <c r="IY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IT77" i="1" s="1"/>
  <c r="AK72" i="1"/>
  <c r="T72" i="1"/>
  <c r="U72" i="1"/>
  <c r="AL72" i="1"/>
  <c r="AN72" i="1" s="1"/>
  <c r="AK70" i="1"/>
  <c r="T70" i="1"/>
  <c r="U70" i="1"/>
  <c r="AL70" i="1"/>
  <c r="AN70" i="1" s="1"/>
  <c r="IT76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IT74" i="1" s="1"/>
  <c r="U65" i="1"/>
  <c r="T65" i="1"/>
  <c r="AL65" i="1"/>
  <c r="AN65" i="1" s="1"/>
  <c r="IT73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IT48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12" i="1" l="1"/>
  <c r="IT64" i="1"/>
  <c r="IY55" i="1"/>
  <c r="IY64" i="1"/>
  <c r="IT72" i="1"/>
  <c r="IT99" i="1"/>
  <c r="IY90" i="1"/>
  <c r="IT75" i="1"/>
  <c r="IY99" i="1"/>
  <c r="IT107" i="1"/>
  <c r="IT114" i="1"/>
  <c r="IY107" i="1"/>
  <c r="IT56" i="1"/>
  <c r="IY81" i="1"/>
  <c r="IT91" i="1"/>
  <c r="IS64" i="1"/>
  <c r="IX55" i="1"/>
  <c r="IT78" i="1"/>
  <c r="IY72" i="1"/>
  <c r="IT95" i="1"/>
  <c r="IT115" i="1"/>
  <c r="IY108" i="1"/>
  <c r="IY45" i="1"/>
  <c r="IT55" i="1"/>
  <c r="IY59" i="1"/>
  <c r="IT68" i="1"/>
  <c r="IT52" i="1"/>
  <c r="IY48" i="1"/>
  <c r="IY38" i="1"/>
  <c r="IT47" i="1"/>
  <c r="IY27" i="1"/>
  <c r="IT38" i="1"/>
  <c r="IY26" i="1"/>
  <c r="IT37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21" i="1"/>
  <c r="IY18" i="1"/>
  <c r="IT27" i="1"/>
  <c r="IT25" i="1"/>
  <c r="IY22" i="1"/>
  <c r="IY33" i="1"/>
  <c r="IT40" i="1"/>
  <c r="IT53" i="1"/>
  <c r="IY54" i="1"/>
  <c r="IT63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3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10" i="1" s="1"/>
  <c r="AP102" i="1"/>
  <c r="AO101" i="1"/>
  <c r="IS109" i="1" s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8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AO81" i="1"/>
  <c r="AP81" i="1"/>
  <c r="AO82" i="1"/>
  <c r="IS92" i="1" s="1"/>
  <c r="AP82" i="1"/>
  <c r="AO79" i="1"/>
  <c r="AP79" i="1"/>
  <c r="AP80" i="1"/>
  <c r="AO80" i="1"/>
  <c r="IS90" i="1" s="1"/>
  <c r="AO77" i="1"/>
  <c r="IX77" i="1" s="1"/>
  <c r="IF77" i="1" s="1"/>
  <c r="AP77" i="1"/>
  <c r="AP78" i="1"/>
  <c r="AO78" i="1"/>
  <c r="IX78" i="1" s="1"/>
  <c r="IF78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IS73" i="1" s="1"/>
  <c r="AP65" i="1"/>
  <c r="AP66" i="1"/>
  <c r="AO66" i="1"/>
  <c r="IS74" i="1" s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17" i="1" s="1"/>
  <c r="AP47" i="1"/>
  <c r="AO48" i="1"/>
  <c r="IS58" i="1" s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48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5" i="1" s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4" i="1" l="1"/>
  <c r="IF64" i="1" s="1"/>
  <c r="IS72" i="1"/>
  <c r="IS114" i="1"/>
  <c r="IX107" i="1"/>
  <c r="IF107" i="1" s="1"/>
  <c r="IS99" i="1"/>
  <c r="IX90" i="1"/>
  <c r="IS115" i="1"/>
  <c r="IX108" i="1"/>
  <c r="IF108" i="1" s="1"/>
  <c r="IS76" i="1"/>
  <c r="IF55" i="1"/>
  <c r="IS111" i="1"/>
  <c r="IS57" i="1"/>
  <c r="IS56" i="1"/>
  <c r="IX81" i="1"/>
  <c r="IF81" i="1" s="1"/>
  <c r="IS91" i="1"/>
  <c r="IS112" i="1"/>
  <c r="IF90" i="1"/>
  <c r="IX45" i="1"/>
  <c r="IF45" i="1" s="1"/>
  <c r="IS55" i="1"/>
  <c r="IS94" i="1"/>
  <c r="IS78" i="1"/>
  <c r="IX72" i="1"/>
  <c r="IF72" i="1" s="1"/>
  <c r="IX99" i="1"/>
  <c r="IF99" i="1" s="1"/>
  <c r="IS107" i="1"/>
  <c r="IT57" i="1"/>
  <c r="IS77" i="1"/>
  <c r="IX59" i="1"/>
  <c r="IF59" i="1" s="1"/>
  <c r="IS68" i="1"/>
  <c r="IT58" i="1"/>
  <c r="IT60" i="1"/>
  <c r="IY57" i="1"/>
  <c r="IF57" i="1" s="1"/>
  <c r="IT16" i="1"/>
  <c r="IS52" i="1"/>
  <c r="IX48" i="1"/>
  <c r="IF48" i="1" s="1"/>
  <c r="IX38" i="1"/>
  <c r="IF38" i="1" s="1"/>
  <c r="IS47" i="1"/>
  <c r="IT29" i="1"/>
  <c r="IY47" i="1"/>
  <c r="IF47" i="1" s="1"/>
  <c r="IS46" i="1"/>
  <c r="IX27" i="1"/>
  <c r="IF27" i="1" s="1"/>
  <c r="IS38" i="1"/>
  <c r="IX26" i="1"/>
  <c r="IF26" i="1" s="1"/>
  <c r="JI29" i="1" s="1" a="1"/>
  <c r="JI29" i="1" s="1"/>
  <c r="L15" i="1" s="1"/>
  <c r="IS37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JI30" i="1" s="1" a="1"/>
  <c r="JI30" i="1" s="1"/>
  <c r="L22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F23" i="1" l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<sst xmlns="http://schemas.openxmlformats.org/spreadsheetml/2006/main" count="734" uniqueCount="391">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</sst>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63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-0.19810059747140196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-0.69200208707829458</v>
      </c>
      <c r="E9" s="705">
        <v>-0.93969263802333458</v>
      </c>
      <c r="F9" s="703">
        <v>-8.8521302156295598E-2</v>
      </c>
      <c r="G9" s="706">
        <v>0.33036604714967338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-0.69200208707829458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-0.69200208707829458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-0.69200208707829458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-0.69200208707829458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-0.69200208707829458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56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0.95530288119348972</v>
      </c>
      <c r="D10" s="709">
        <v>-0.57010171942678589</v>
      </c>
      <c r="E10" s="710">
        <v>-0.96592583607220739</v>
      </c>
      <c r="F10" s="708">
        <v>-6.6987279208207198E-2</v>
      </c>
      <c r="G10" s="711">
        <v>0.24999996726497561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0.95530288119348972</v>
      </c>
      <c r="P10" s="633">
        <f t="shared" si="4"/>
        <v>-0.57010171942678589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0.95530288119348972</v>
      </c>
      <c r="S10" s="634">
        <f t="shared" ref="S10:S105" si="80">IF(M10="","",P10)</f>
        <v>-0.57010171942678589</v>
      </c>
      <c r="T10" s="635">
        <f t="shared" ref="T10:T105" si="81">IF(M10="","",X10*COS(RADIANS(W10)))</f>
        <v>0.95530288119348972</v>
      </c>
      <c r="U10" s="629">
        <f t="shared" ref="U10:U105" si="82">IF(M10="","",X10*SIN(RADIANS(W10)))</f>
        <v>0</v>
      </c>
      <c r="V10" s="636">
        <f>IF(M10="","",Y10)</f>
        <v>-0.57010171942678589</v>
      </c>
      <c r="W10" s="585">
        <f t="shared" si="5"/>
        <v>0</v>
      </c>
      <c r="X10" s="629">
        <f t="shared" ref="X10:X105" si="83">IF(M10="","",R10)</f>
        <v>0.95530288119348972</v>
      </c>
      <c r="Y10" s="630">
        <f>IF(M10="","",S10)</f>
        <v>-0.57010171942678589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2.3850129541352585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-0.57010171942678589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1.6496049752086053</v>
      </c>
      <c r="D11" s="709">
        <v>-0.38410115844909393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1.6496049752086053</v>
      </c>
      <c r="P11" s="633">
        <f t="shared" si="4"/>
        <v>-0.38410115844909393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1.6496049752086053</v>
      </c>
      <c r="S11" s="634">
        <f t="shared" si="80"/>
        <v>-0.38410115844909393</v>
      </c>
      <c r="T11" s="635">
        <f t="shared" si="81"/>
        <v>1.6496049752086053</v>
      </c>
      <c r="U11" s="629">
        <f t="shared" si="82"/>
        <v>0</v>
      </c>
      <c r="V11" s="636">
        <f t="shared" ref="V11:V105" si="114">IF(M11="","",Y11)</f>
        <v>-0.38410115844909393</v>
      </c>
      <c r="W11" s="585">
        <f t="shared" si="5"/>
        <v>0</v>
      </c>
      <c r="X11" s="629">
        <f>IF(M11="","",R11)</f>
        <v>1.6496049752086053</v>
      </c>
      <c r="Y11" s="630">
        <f>IF(M11="","",S11)</f>
        <v>-0.38410115844909393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1.3817154525322066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-0.38410115844909393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2.3439070692237212</v>
      </c>
      <c r="D12" s="709">
        <v>-0.19810059747140196</v>
      </c>
      <c r="E12" s="710">
        <v>-0.96592583607220739</v>
      </c>
      <c r="F12" s="708">
        <v>-5.6018678339987631E-2</v>
      </c>
      <c r="G12" s="711">
        <v>0.25268396641901958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2.3439070692237212</v>
      </c>
      <c r="P12" s="633">
        <f t="shared" si="4"/>
        <v>-0.19810059747140196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2.3439070692237212</v>
      </c>
      <c r="S12" s="634">
        <f t="shared" si="80"/>
        <v>-0.19810059747140196</v>
      </c>
      <c r="T12" s="635">
        <f>IF(M12="","",X12*COS(RADIANS(W12)))</f>
        <v>2.3439070692237212</v>
      </c>
      <c r="U12" s="629">
        <f t="shared" si="82"/>
        <v>0</v>
      </c>
      <c r="V12" s="636">
        <f t="shared" si="114"/>
        <v>-0.19810059747140196</v>
      </c>
      <c r="W12" s="585">
        <f>IF(M12="","",IF(Q12-$Q$8&lt;0,360+Q12-$Q$8,Q12-$Q$8))</f>
        <v>0</v>
      </c>
      <c r="X12" s="629">
        <f t="shared" si="83"/>
        <v>2.3439070692237212</v>
      </c>
      <c r="Y12" s="630">
        <f>IF(M12="","",S12)</f>
        <v>-0.19810059747140196</v>
      </c>
      <c r="Z12" s="632">
        <f t="shared" si="6"/>
        <v>0.96592583607220739</v>
      </c>
      <c r="AA12" s="629">
        <f t="shared" si="7"/>
        <v>5.6018678339987631E-2</v>
      </c>
      <c r="AB12" s="629">
        <f t="shared" si="8"/>
        <v>-0.25268396641901958</v>
      </c>
      <c r="AC12" s="636">
        <f t="shared" si="84"/>
        <v>1</v>
      </c>
      <c r="AD12" s="637">
        <f t="shared" si="115"/>
        <v>0.96592583607220739</v>
      </c>
      <c r="AE12" s="629">
        <f t="shared" si="85"/>
        <v>5.6018678339987631E-2</v>
      </c>
      <c r="AF12" s="633">
        <f t="shared" si="86"/>
        <v>-0.25268396641901958</v>
      </c>
      <c r="AG12" s="602">
        <f t="shared" si="87"/>
        <v>12.499998195223554</v>
      </c>
      <c r="AH12" s="603">
        <f t="shared" si="88"/>
        <v>14.999997834268255</v>
      </c>
      <c r="AI12" s="585">
        <f t="shared" si="89"/>
        <v>-75.363607485266854</v>
      </c>
      <c r="AJ12" s="586">
        <f t="shared" si="90"/>
        <v>93.31913956845878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5.6018678339987631E-2</v>
      </c>
      <c r="AM12" s="634">
        <f t="shared" si="92"/>
        <v>-0.25268396641901958</v>
      </c>
      <c r="AN12" s="581">
        <f>IF(M12="","",DEGREES(ATAN2(-AM12,AL12)))</f>
        <v>12.499998195223554</v>
      </c>
      <c r="AO12" s="582">
        <f t="shared" si="94"/>
        <v>14.999997834268255</v>
      </c>
      <c r="AP12" s="585">
        <f t="shared" si="95"/>
        <v>3.3191395684587901</v>
      </c>
      <c r="AQ12" s="586">
        <f t="shared" si="9"/>
        <v>0.97252477347170041</v>
      </c>
      <c r="AS12" s="52">
        <f t="shared" si="116"/>
        <v>0</v>
      </c>
      <c r="AT12" s="72">
        <f>IF(M12="","",Y12+(((AS12-$AS$9)*$AS$6)*-1))</f>
        <v>-0.19810059747140196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1.9954311332655926E-2</v>
      </c>
      <c r="C13" s="708">
        <v>3.1067452885343974</v>
      </c>
      <c r="D13" s="709">
        <v>-8.7200262995993205E-2</v>
      </c>
      <c r="E13" s="710">
        <v>-0.96443514146672182</v>
      </c>
      <c r="F13" s="708">
        <v>6.8239919075151409E-2</v>
      </c>
      <c r="G13" s="711">
        <v>0.25535890693038527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200</v>
      </c>
      <c r="M13" s="168">
        <f t="shared" si="1"/>
        <v>1.1160000000000001</v>
      </c>
      <c r="N13" s="632">
        <f t="shared" si="2"/>
        <v>1.9954311332655926E-2</v>
      </c>
      <c r="O13" s="629">
        <f t="shared" si="3"/>
        <v>3.1067452885343974</v>
      </c>
      <c r="P13" s="633">
        <f t="shared" si="4"/>
        <v>-8.7200262995993205E-2</v>
      </c>
      <c r="Q13" s="585">
        <f t="shared" si="113"/>
        <v>89.632000053132614</v>
      </c>
      <c r="R13" s="629">
        <f t="shared" si="79"/>
        <v>3.1068093701370603</v>
      </c>
      <c r="S13" s="634">
        <f t="shared" si="80"/>
        <v>-8.7200262995993205E-2</v>
      </c>
      <c r="T13" s="635">
        <f>IF(M13="","",X13*COS(RADIANS(W13)))</f>
        <v>3.1067452885343974</v>
      </c>
      <c r="U13" s="629">
        <f t="shared" si="82"/>
        <v>-1.9954311332654458E-2</v>
      </c>
      <c r="V13" s="636">
        <f t="shared" si="114"/>
        <v>-8.7200262995993205E-2</v>
      </c>
      <c r="W13" s="585">
        <f t="shared" si="5"/>
        <v>359.63200005313263</v>
      </c>
      <c r="X13" s="629">
        <f t="shared" si="83"/>
        <v>3.1068093701370603</v>
      </c>
      <c r="Y13" s="630">
        <f>IF(M13="","",S13)</f>
        <v>-8.7200262995993205E-2</v>
      </c>
      <c r="Z13" s="632">
        <f t="shared" si="6"/>
        <v>0.96443514146672182</v>
      </c>
      <c r="AA13" s="629">
        <f t="shared" si="7"/>
        <v>-6.8239919075151409E-2</v>
      </c>
      <c r="AB13" s="629">
        <f t="shared" si="8"/>
        <v>-0.25535890693038527</v>
      </c>
      <c r="AC13" s="636">
        <f t="shared" si="84"/>
        <v>1</v>
      </c>
      <c r="AD13" s="637">
        <f>IF(M13="","",Z13*(1/SQRT(Z13^2+AA13^2+AB13^2)))</f>
        <v>0.96443514146672182</v>
      </c>
      <c r="AE13" s="629">
        <f t="shared" si="85"/>
        <v>-6.8239919075151409E-2</v>
      </c>
      <c r="AF13" s="633">
        <f t="shared" si="86"/>
        <v>-0.25535890693038527</v>
      </c>
      <c r="AG13" s="602">
        <f>IF(M13="","",DEGREES(ATAN2(-AF13,AE13)))</f>
        <v>-14.961621776466348</v>
      </c>
      <c r="AH13" s="603">
        <f t="shared" si="88"/>
        <v>15.326528029956117</v>
      </c>
      <c r="AI13" s="585">
        <f t="shared" si="89"/>
        <v>-75.20514689349605</v>
      </c>
      <c r="AJ13" s="586">
        <f t="shared" si="90"/>
        <v>85.952704474358711</v>
      </c>
      <c r="AK13" s="635">
        <f t="shared" si="211"/>
        <v>0.96485353792628759</v>
      </c>
      <c r="AL13" s="629">
        <f t="shared" si="91"/>
        <v>-6.2044169769969432E-2</v>
      </c>
      <c r="AM13" s="634">
        <f t="shared" si="92"/>
        <v>-0.25535890693038527</v>
      </c>
      <c r="AN13" s="581">
        <f t="shared" si="93"/>
        <v>-13.656443755051152</v>
      </c>
      <c r="AO13" s="582">
        <f t="shared" si="94"/>
        <v>15.235569995947447</v>
      </c>
      <c r="AP13" s="585">
        <f t="shared" si="95"/>
        <v>-3.6792955787739308</v>
      </c>
      <c r="AQ13" s="586">
        <f t="shared" si="9"/>
        <v>0.73374376539540476</v>
      </c>
      <c r="AS13" s="52">
        <f t="shared" si="116"/>
        <v>-0.36799994686737136</v>
      </c>
      <c r="AT13" s="72">
        <f t="shared" si="10"/>
        <v>-8.6944707477335306E-2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8.1944333075938958E-2</v>
      </c>
      <c r="C14" s="708">
        <v>3.8700442270560975</v>
      </c>
      <c r="D14" s="709">
        <v>-0.25000075400227406</v>
      </c>
      <c r="E14" s="710">
        <v>-0.95816076651341708</v>
      </c>
      <c r="F14" s="708">
        <v>0.20262594979882761</v>
      </c>
      <c r="G14" s="711">
        <v>0.20216495735548282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8.1944333075938958E-2</v>
      </c>
      <c r="O14" s="629">
        <f t="shared" si="3"/>
        <v>3.8700442270560975</v>
      </c>
      <c r="P14" s="633">
        <f t="shared" si="4"/>
        <v>-0.25000075400227406</v>
      </c>
      <c r="Q14" s="585">
        <f t="shared" si="113"/>
        <v>88.787000175135503</v>
      </c>
      <c r="R14" s="629">
        <f t="shared" si="79"/>
        <v>3.8709116746696104</v>
      </c>
      <c r="S14" s="634">
        <f t="shared" si="80"/>
        <v>-0.25000075400227406</v>
      </c>
      <c r="T14" s="635">
        <f t="shared" si="81"/>
        <v>3.8700442270560975</v>
      </c>
      <c r="U14" s="629">
        <f t="shared" si="82"/>
        <v>-8.1944333075939818E-2</v>
      </c>
      <c r="V14" s="636">
        <f t="shared" si="114"/>
        <v>-0.25000075400227406</v>
      </c>
      <c r="W14" s="585">
        <f t="shared" si="5"/>
        <v>358.78700017513552</v>
      </c>
      <c r="X14" s="629">
        <f t="shared" si="83"/>
        <v>3.8709116746696104</v>
      </c>
      <c r="Y14" s="630">
        <f t="shared" ref="Y14:Y75" si="223">IF(M14="","",S14)</f>
        <v>-0.25000075400227406</v>
      </c>
      <c r="Z14" s="632">
        <f t="shared" si="6"/>
        <v>0.95816076651341708</v>
      </c>
      <c r="AA14" s="629">
        <f t="shared" si="7"/>
        <v>-0.20262594979882761</v>
      </c>
      <c r="AB14" s="629">
        <f t="shared" si="8"/>
        <v>-0.20216495735548282</v>
      </c>
      <c r="AC14" s="636">
        <f t="shared" si="84"/>
        <v>1</v>
      </c>
      <c r="AD14" s="637">
        <f>IF(M14="","",Z14*(1/SQRT(Z14^2+AA14^2+AB14^2)))</f>
        <v>0.95816076651341708</v>
      </c>
      <c r="AE14" s="629">
        <f t="shared" si="85"/>
        <v>-0.20262594979882761</v>
      </c>
      <c r="AF14" s="633">
        <f t="shared" si="86"/>
        <v>-0.20216495735548282</v>
      </c>
      <c r="AG14" s="602">
        <f t="shared" si="87"/>
        <v>-45.065250749227424</v>
      </c>
      <c r="AH14" s="603">
        <f t="shared" si="88"/>
        <v>16.632420371813403</v>
      </c>
      <c r="AI14" s="585">
        <f t="shared" si="89"/>
        <v>-78.336411526261728</v>
      </c>
      <c r="AJ14" s="586">
        <f t="shared" si="90"/>
        <v>78.059366058964542</v>
      </c>
      <c r="AK14" s="635">
        <f>IF(M14="","",(COS(RADIANS((90-$Q$8)-W14))*AD14)+(-SIN(RADIANS((90-$Q$8)-W14))*AE14))</f>
        <v>0.96223548982810403</v>
      </c>
      <c r="AL14" s="629">
        <f t="shared" si="91"/>
        <v>-0.18229698881968606</v>
      </c>
      <c r="AM14" s="634">
        <f t="shared" si="92"/>
        <v>-0.20216495735548282</v>
      </c>
      <c r="AN14" s="581">
        <f t="shared" si="93"/>
        <v>-42.041738364880686</v>
      </c>
      <c r="AO14" s="582">
        <f t="shared" si="94"/>
        <v>15.796317845532856</v>
      </c>
      <c r="AP14" s="585">
        <f>IF(M14="","",DEGREES(ATAN2(AK14,AL14)))</f>
        <v>-10.727634116170954</v>
      </c>
      <c r="AQ14" s="586">
        <f t="shared" si="9"/>
        <v>0.58891716984982434</v>
      </c>
      <c r="AS14" s="52">
        <f t="shared" si="116"/>
        <v>-1.2129998248644824</v>
      </c>
      <c r="AT14" s="72">
        <f t="shared" si="10"/>
        <v>-0.24915839301278483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0.16792369526393902</v>
      </c>
      <c r="C15" s="708">
        <v>4.5170934150408453</v>
      </c>
      <c r="D15" s="709">
        <v>-0.66140199478841633</v>
      </c>
      <c r="E15" s="710">
        <v>-0.94950095293473735</v>
      </c>
      <c r="F15" s="708">
        <v>0.27772674138433701</v>
      </c>
      <c r="G15" s="711">
        <v>0.1459993064917206</v>
      </c>
      <c r="H15" s="710">
        <v>0.314</v>
      </c>
      <c r="I15" s="708">
        <v>0.52</v>
      </c>
      <c r="J15" s="570">
        <v>1.1279999999999999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2">
        <f>IF($L14=$JH$22,$JH$29,IF($L14=$JI$22,$JI$29,""))</f>
        <v>250</v>
      </c>
      <c r="M15" s="168">
        <f t="shared" si="1"/>
        <v>1.1279999999999999</v>
      </c>
      <c r="N15" s="632">
        <f t="shared" si="2"/>
        <v>0.16792369526393902</v>
      </c>
      <c r="O15" s="629">
        <f t="shared" si="3"/>
        <v>4.5170934150408453</v>
      </c>
      <c r="P15" s="633">
        <f t="shared" si="4"/>
        <v>-0.66140199478841633</v>
      </c>
      <c r="Q15" s="585">
        <f t="shared" si="113"/>
        <v>87.871000307389536</v>
      </c>
      <c r="R15" s="629">
        <f t="shared" si="79"/>
        <v>4.5202136329643166</v>
      </c>
      <c r="S15" s="634">
        <f t="shared" si="80"/>
        <v>-0.66140199478841633</v>
      </c>
      <c r="T15" s="635">
        <f t="shared" si="81"/>
        <v>4.5170934150408462</v>
      </c>
      <c r="U15" s="629">
        <f t="shared" si="82"/>
        <v>-0.16792369526393983</v>
      </c>
      <c r="V15" s="636">
        <f t="shared" si="114"/>
        <v>-0.66140199478841633</v>
      </c>
      <c r="W15" s="585">
        <f t="shared" ref="W15:W78" si="224">IF(M15="","",IF(Q15-$Q$8&lt;0,360+Q15-$Q$8,Q15-$Q$8))</f>
        <v>357.87100030738952</v>
      </c>
      <c r="X15" s="629">
        <f>IF(M15="","",R15)</f>
        <v>4.5202136329643166</v>
      </c>
      <c r="Y15" s="630">
        <f>IF(M15="","",S15)</f>
        <v>-0.66140199478841633</v>
      </c>
      <c r="Z15" s="632">
        <f t="shared" si="6"/>
        <v>0.94950095293473735</v>
      </c>
      <c r="AA15" s="629">
        <f t="shared" si="7"/>
        <v>-0.27772674138433701</v>
      </c>
      <c r="AB15" s="629">
        <f t="shared" si="8"/>
        <v>-0.1459993064917206</v>
      </c>
      <c r="AC15" s="636">
        <f t="shared" si="84"/>
        <v>1</v>
      </c>
      <c r="AD15" s="637">
        <f t="shared" si="115"/>
        <v>0.94950095293473735</v>
      </c>
      <c r="AE15" s="629">
        <f t="shared" si="85"/>
        <v>-0.27772674138433701</v>
      </c>
      <c r="AF15" s="633">
        <f t="shared" si="86"/>
        <v>-0.1459993064917206</v>
      </c>
      <c r="AG15" s="602">
        <f t="shared" si="87"/>
        <v>-62.269360471113956</v>
      </c>
      <c r="AH15" s="603">
        <f t="shared" si="88"/>
        <v>18.286222635681288</v>
      </c>
      <c r="AI15" s="585">
        <f t="shared" si="89"/>
        <v>-81.604848908814319</v>
      </c>
      <c r="AJ15" s="586">
        <f t="shared" si="90"/>
        <v>73.695929143608964</v>
      </c>
      <c r="AK15" s="635">
        <f t="shared" si="211"/>
        <v>0.95916294113738998</v>
      </c>
      <c r="AL15" s="629">
        <f t="shared" si="91"/>
        <v>-0.24226154224847279</v>
      </c>
      <c r="AM15" s="634">
        <f t="shared" si="92"/>
        <v>-0.1459993064917206</v>
      </c>
      <c r="AN15" s="581">
        <f>IF(M15="","",DEGREES(ATAN2(-AM15,AL15)))</f>
        <v>-58.924664142972468</v>
      </c>
      <c r="AO15" s="582">
        <f t="shared" si="94"/>
        <v>16.43062152893615</v>
      </c>
      <c r="AP15" s="585">
        <f t="shared" si="95"/>
        <v>-14.175071163780547</v>
      </c>
      <c r="AQ15" s="586">
        <f t="shared" si="9"/>
        <v>0.5043274367824</v>
      </c>
      <c r="AS15" s="52">
        <f t="shared" si="116"/>
        <v>-2.1289996926104777</v>
      </c>
      <c r="AT15" s="72">
        <f t="shared" si="10"/>
        <v>-0.65992352277965904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0.25537628618947433</v>
      </c>
      <c r="C16" s="708">
        <v>5.0152174384491683</v>
      </c>
      <c r="D16" s="709">
        <v>-1.237403732009656</v>
      </c>
      <c r="E16" s="710">
        <v>-0.94118483009344212</v>
      </c>
      <c r="F16" s="708">
        <v>0.32180368101964618</v>
      </c>
      <c r="G16" s="711">
        <v>0.10302187381417803</v>
      </c>
      <c r="H16" s="710">
        <v>0.314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1.1339999999999999</v>
      </c>
      <c r="N16" s="632">
        <f t="shared" si="2"/>
        <v>0.25537628618947433</v>
      </c>
      <c r="O16" s="629">
        <f t="shared" si="3"/>
        <v>5.0152174384491683</v>
      </c>
      <c r="P16" s="633">
        <f t="shared" si="4"/>
        <v>-1.237403732009656</v>
      </c>
      <c r="Q16" s="585">
        <f>IF(M16="","",IF(DEGREES(ATAN2(N16,O16))&lt;0,DEGREES(ATAN2(N16,O16))+360,IF(DEGREES(ATAN2(N16,O16))&gt;360,DEGREES(ATAN2(N16,O16))-360,DEGREES(ATAN2(N16,O16)))))</f>
        <v>87.085000420873868</v>
      </c>
      <c r="R16" s="629">
        <f t="shared" si="79"/>
        <v>5.0217151454928795</v>
      </c>
      <c r="S16" s="634">
        <f t="shared" si="80"/>
        <v>-1.237403732009656</v>
      </c>
      <c r="T16" s="635">
        <f t="shared" si="81"/>
        <v>5.0152174384491692</v>
      </c>
      <c r="U16" s="629">
        <f t="shared" si="82"/>
        <v>-0.25537628618947278</v>
      </c>
      <c r="V16" s="636">
        <f t="shared" si="114"/>
        <v>-1.237403732009656</v>
      </c>
      <c r="W16" s="585">
        <f>IF(M16="","",IF(Q16-$Q$8&lt;0,360+Q16-$Q$8,Q16-$Q$8))</f>
        <v>357.08500042087388</v>
      </c>
      <c r="X16" s="629">
        <f t="shared" si="83"/>
        <v>5.0217151454928795</v>
      </c>
      <c r="Y16" s="630">
        <f t="shared" si="223"/>
        <v>-1.237403732009656</v>
      </c>
      <c r="Z16" s="632">
        <f t="shared" si="6"/>
        <v>0.94118483009344212</v>
      </c>
      <c r="AA16" s="629">
        <f t="shared" si="7"/>
        <v>-0.32180368101964618</v>
      </c>
      <c r="AB16" s="629">
        <f t="shared" si="8"/>
        <v>-0.10302187381417803</v>
      </c>
      <c r="AC16" s="636">
        <f t="shared" si="84"/>
        <v>1</v>
      </c>
      <c r="AD16" s="637">
        <f t="shared" si="115"/>
        <v>0.94118483009344212</v>
      </c>
      <c r="AE16" s="629">
        <f t="shared" si="85"/>
        <v>-0.32180368101964618</v>
      </c>
      <c r="AF16" s="633">
        <f t="shared" si="86"/>
        <v>-0.10302187381417803</v>
      </c>
      <c r="AG16" s="602">
        <f t="shared" si="87"/>
        <v>-72.248109949453152</v>
      </c>
      <c r="AH16" s="603">
        <f t="shared" si="88"/>
        <v>19.748505337903996</v>
      </c>
      <c r="AI16" s="585">
        <f t="shared" si="89"/>
        <v>-84.086789822889955</v>
      </c>
      <c r="AJ16" s="586">
        <f t="shared" si="90"/>
        <v>71.123755708185257</v>
      </c>
      <c r="AK16" s="635">
        <f t="shared" si="211"/>
        <v>0.95633214200523742</v>
      </c>
      <c r="AL16" s="629">
        <f t="shared" si="91"/>
        <v>-0.27352390696882428</v>
      </c>
      <c r="AM16" s="634">
        <f t="shared" si="92"/>
        <v>-0.10302187381417803</v>
      </c>
      <c r="AN16" s="581">
        <f t="shared" si="93"/>
        <v>-69.361283270113191</v>
      </c>
      <c r="AO16" s="582">
        <f t="shared" si="94"/>
        <v>16.994632363342795</v>
      </c>
      <c r="AP16" s="585">
        <f t="shared" si="95"/>
        <v>-15.961244712688634</v>
      </c>
      <c r="AQ16" s="586">
        <f t="shared" si="9"/>
        <v>0.45396420569277424</v>
      </c>
      <c r="AS16" s="52">
        <f t="shared" si="116"/>
        <v>-2.9149995791261176</v>
      </c>
      <c r="AT16" s="72">
        <f t="shared" si="10"/>
        <v>-1.235379426746374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0.33184167396411657</v>
      </c>
      <c r="C17" s="708">
        <v>5.3823964249753216</v>
      </c>
      <c r="D17" s="709">
        <v>-1.9060057485133375</v>
      </c>
      <c r="E17" s="710">
        <v>-0.92876614627188903</v>
      </c>
      <c r="F17" s="708">
        <v>0.3637563400817167</v>
      </c>
      <c r="G17" s="711">
        <v>7.1237424080454526E-2</v>
      </c>
      <c r="H17" s="710">
        <v>0.314</v>
      </c>
      <c r="I17" s="708">
        <v>0.52</v>
      </c>
      <c r="J17" s="570">
        <v>1.1399999999999999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1.1399999999999999</v>
      </c>
      <c r="N17" s="632">
        <f t="shared" si="2"/>
        <v>0.33184167396411657</v>
      </c>
      <c r="O17" s="629">
        <f t="shared" si="3"/>
        <v>5.3823964249753216</v>
      </c>
      <c r="P17" s="633">
        <f t="shared" si="4"/>
        <v>-1.9060057485133375</v>
      </c>
      <c r="Q17" s="585">
        <f>IF(M17="","",IF(DEGREES(ATAN2(N17,O17))&lt;0,DEGREES(ATAN2(N17,O17))+360,IF(DEGREES(ATAN2(N17,O17))&gt;360,DEGREES(ATAN2(N17,O17))-360,DEGREES(ATAN2(N17,O17)))))</f>
        <v>86.472000509380109</v>
      </c>
      <c r="R17" s="629">
        <f>IF(M17="","",SQRT(N17^2+O17^2))</f>
        <v>5.3926162641306519</v>
      </c>
      <c r="S17" s="634">
        <f>IF(M17="","",P17)</f>
        <v>-1.9060057485133375</v>
      </c>
      <c r="T17" s="635">
        <f>IF(M17="","",X17*COS(RADIANS(W17)))</f>
        <v>5.3823964249753216</v>
      </c>
      <c r="U17" s="629">
        <f>IF(M17="","",X17*SIN(RADIANS(W17)))</f>
        <v>-0.33184167396411646</v>
      </c>
      <c r="V17" s="636">
        <f>IF(M17="","",Y17)</f>
        <v>-1.9060057485133375</v>
      </c>
      <c r="W17" s="585">
        <f t="shared" si="224"/>
        <v>356.47200050938011</v>
      </c>
      <c r="X17" s="629">
        <f>IF(M17="","",R17)</f>
        <v>5.3926162641306519</v>
      </c>
      <c r="Y17" s="630">
        <f t="shared" si="223"/>
        <v>-1.9060057485133375</v>
      </c>
      <c r="Z17" s="632">
        <f t="shared" si="6"/>
        <v>0.92876614627188903</v>
      </c>
      <c r="AA17" s="629">
        <f t="shared" si="7"/>
        <v>-0.3637563400817167</v>
      </c>
      <c r="AB17" s="629">
        <f t="shared" si="8"/>
        <v>-7.1237424080454526E-2</v>
      </c>
      <c r="AC17" s="636">
        <f>IF(M17="","",SQRT(Z17^2+AA17^2+AB17^2))</f>
        <v>1</v>
      </c>
      <c r="AD17" s="637">
        <f>IF(M17="","",Z17*(1/SQRT(Z17^2+AA17^2+AB17^2)))</f>
        <v>0.92876614627188903</v>
      </c>
      <c r="AE17" s="629">
        <f>IF(M17="","",AA17*(1/SQRT(Z17^2+AA17^2+AB17^2)))</f>
        <v>-0.3637563400817167</v>
      </c>
      <c r="AF17" s="633">
        <f>IF(M17="","",AB17*(1/SQRT(Z17^2+AA17^2+AB17^2)))</f>
        <v>-7.1237424080454526E-2</v>
      </c>
      <c r="AG17" s="602">
        <f>IF(M17="","",DEGREES(ATAN2(-AF17,AE17)))</f>
        <v>-78.919526592113769</v>
      </c>
      <c r="AH17" s="603">
        <f>IF(M17="","",DEGREES(ACOS(AD17)))</f>
        <v>21.756710565595178</v>
      </c>
      <c r="AI17" s="585">
        <f>IF(M17="","",DEGREES(-ACOS(-AF17)))</f>
        <v>-85.914936148864356</v>
      </c>
      <c r="AJ17" s="586">
        <f>IF(M17="","",DEGREES(ATAN2(-AE17,AD17)))</f>
        <v>68.611933451434069</v>
      </c>
      <c r="AK17" s="635">
        <f>IF(M17="","",(COS(RADIANS((90-$Q$8)-W17))*AD17)+(-SIN(RADIANS((90-$Q$8)-W17))*AE17))</f>
        <v>0.94939021198183648</v>
      </c>
      <c r="AL17" s="629">
        <f>IF(M17="","",(SIN(RADIANS((90-$Q$8)-W17))*AD17)+(COS(RADIANS((90-$Q$8)-W17))*AE17))</f>
        <v>-0.30591412978720822</v>
      </c>
      <c r="AM17" s="634">
        <f>IF(M17="","",AF17)</f>
        <v>-7.1237424080454526E-2</v>
      </c>
      <c r="AN17" s="581">
        <f>IF(M17="","",DEGREES(ATAN2(-AM17,AL17)))</f>
        <v>-76.891298613994394</v>
      </c>
      <c r="AO17" s="582">
        <f t="shared" si="94"/>
        <v>18.306434009694115</v>
      </c>
      <c r="AP17" s="585">
        <f>IF(M17="","",DEGREES(ATAN2(AK17,AL17)))</f>
        <v>-17.860067057946043</v>
      </c>
      <c r="AQ17" s="586">
        <f t="shared" si="9"/>
        <v>0.42274197753137616</v>
      </c>
      <c r="AS17" s="52">
        <f t="shared" si="116"/>
        <v>-3.5279994906198908</v>
      </c>
      <c r="AT17" s="72">
        <f t="shared" si="10"/>
        <v>-1.9035557488670736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0.39101878937303619</v>
      </c>
      <c r="C18" s="708">
        <v>5.637071692345919</v>
      </c>
      <c r="D18" s="709">
        <v>-2.6261079203414881</v>
      </c>
      <c r="E18" s="710">
        <v>-0.91758412594779215</v>
      </c>
      <c r="F18" s="708">
        <v>0.39575310865612723</v>
      </c>
      <c r="G18" s="711">
        <v>3.7667609396375229E-2</v>
      </c>
      <c r="H18" s="710">
        <v>0.314</v>
      </c>
      <c r="I18" s="708">
        <v>0.52</v>
      </c>
      <c r="J18" s="570">
        <v>1.1459999999999999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1.1459999999999999</v>
      </c>
      <c r="N18" s="632">
        <f t="shared" si="2"/>
        <v>0.39101878937303619</v>
      </c>
      <c r="O18" s="629">
        <f t="shared" si="3"/>
        <v>5.637071692345919</v>
      </c>
      <c r="P18" s="633">
        <f t="shared" si="4"/>
        <v>-2.6261079203414881</v>
      </c>
      <c r="Q18" s="585">
        <f t="shared" si="113"/>
        <v>86.032000572908245</v>
      </c>
      <c r="R18" s="629">
        <f>IF(M18="","",SQRT(N18^2+O18^2))</f>
        <v>5.6506170422609987</v>
      </c>
      <c r="S18" s="634">
        <f>IF(M18="","",P18)</f>
        <v>-2.6261079203414881</v>
      </c>
      <c r="T18" s="635">
        <f>IF(M18="","",X18*COS(RADIANS(W18)))</f>
        <v>5.6370716923459199</v>
      </c>
      <c r="U18" s="629">
        <f>IF(M18="","",X18*SIN(RADIANS(W18)))</f>
        <v>-0.39101878937303208</v>
      </c>
      <c r="V18" s="636">
        <f>IF(M18="","",Y18)</f>
        <v>-2.6261079203414881</v>
      </c>
      <c r="W18" s="585">
        <f t="shared" si="224"/>
        <v>356.03200057290826</v>
      </c>
      <c r="X18" s="629">
        <f>IF(M18="","",R18)</f>
        <v>5.6506170422609987</v>
      </c>
      <c r="Y18" s="630">
        <f t="shared" si="223"/>
        <v>-2.6261079203414881</v>
      </c>
      <c r="Z18" s="632">
        <f t="shared" si="6"/>
        <v>0.91758412594779215</v>
      </c>
      <c r="AA18" s="629">
        <f t="shared" si="7"/>
        <v>-0.39575310865612723</v>
      </c>
      <c r="AB18" s="629">
        <f t="shared" si="8"/>
        <v>-3.7667609396375229E-2</v>
      </c>
      <c r="AC18" s="636">
        <f>IF(M18="","",SQRT(Z18^2+AA18^2+AB18^2))</f>
        <v>1</v>
      </c>
      <c r="AD18" s="637">
        <f>IF(M18="","",Z18*(1/SQRT(Z18^2+AA18^2+AB18^2)))</f>
        <v>0.91758412594779215</v>
      </c>
      <c r="AE18" s="629">
        <f>IF(M18="","",AA18*(1/SQRT(Z18^2+AA18^2+AB18^2)))</f>
        <v>-0.39575310865612723</v>
      </c>
      <c r="AF18" s="633">
        <f>IF(M18="","",AB18*(1/SQRT(Z18^2+AA18^2+AB18^2)))</f>
        <v>-3.7667609396375229E-2</v>
      </c>
      <c r="AG18" s="602">
        <f>IF(M18="","",DEGREES(ATAN2(-AF18,AE18)))</f>
        <v>-84.562991283114783</v>
      </c>
      <c r="AH18" s="603">
        <f>IF(M18="","",DEGREES(ACOS(AD18)))</f>
        <v>23.424585487825428</v>
      </c>
      <c r="AI18" s="585">
        <f>IF(M18="","",DEGREES(-ACOS(-AF18)))</f>
        <v>-87.841294272369808</v>
      </c>
      <c r="AJ18" s="586">
        <f>IF(M18="","",DEGREES(ATAN2(-AE18,AD18)))</f>
        <v>66.669512115734648</v>
      </c>
      <c r="AK18" s="635">
        <f>IF(M18="","",(COS(RADIANS((90-$Q$8)-W18))*AD18)+(-SIN(RADIANS((90-$Q$8)-W18))*AE18))</f>
        <v>0.94277038477766006</v>
      </c>
      <c r="AL18" s="629">
        <f>IF(M18="","",(SIN(RADIANS((90-$Q$8)-W18))*AD18)+(COS(RADIANS((90-$Q$8)-W18))*AE18))</f>
        <v>-0.3313082443715295</v>
      </c>
      <c r="AM18" s="634">
        <f>IF(M18="","",AF18)</f>
        <v>-3.7667609396375229E-2</v>
      </c>
      <c r="AN18" s="581">
        <f>IF(M18="","",DEGREES(ATAN2(-AM18,AL18)))</f>
        <v>-83.513691741184033</v>
      </c>
      <c r="AO18" s="582">
        <f t="shared" si="94"/>
        <v>19.477864160325247</v>
      </c>
      <c r="AP18" s="585">
        <f>IF(M18="","",DEGREES(ATAN2(AK18,AL18)))</f>
        <v>-19.362488457173626</v>
      </c>
      <c r="AQ18" s="586">
        <f t="shared" si="9"/>
        <v>0.40344071060420417</v>
      </c>
      <c r="AS18" s="52">
        <f t="shared" si="116"/>
        <v>-3.9679994270917405</v>
      </c>
      <c r="AT18" s="72">
        <f t="shared" si="10"/>
        <v>-2.6233523651837856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0.42978230027171371</v>
      </c>
      <c r="C19" s="708">
        <v>5.7929966273937588</v>
      </c>
      <c r="D19" s="709">
        <v>-3.3747101781258975</v>
      </c>
      <c r="E19" s="710">
        <v>-0.90150450064407506</v>
      </c>
      <c r="F19" s="708">
        <v>0.43262380225133806</v>
      </c>
      <c r="G19" s="711">
        <v>1.123748388529297E-2</v>
      </c>
      <c r="H19" s="710">
        <v>0.314</v>
      </c>
      <c r="I19" s="708">
        <v>0.52</v>
      </c>
      <c r="J19" s="570">
        <v>1.1519999999999999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1.1519999999999999</v>
      </c>
      <c r="N19" s="632">
        <f t="shared" si="2"/>
        <v>0.42978230027171371</v>
      </c>
      <c r="O19" s="629">
        <f t="shared" si="3"/>
        <v>5.7929966273937588</v>
      </c>
      <c r="P19" s="633">
        <f t="shared" si="4"/>
        <v>-3.3747101781258975</v>
      </c>
      <c r="Q19" s="585">
        <f t="shared" si="113"/>
        <v>85.757000612613325</v>
      </c>
      <c r="R19" s="629">
        <f>IF(M19="","",SQRT(N19^2+O19^2))</f>
        <v>5.8089175196952407</v>
      </c>
      <c r="S19" s="634">
        <f>IF(M19="","",P19)</f>
        <v>-3.3747101781258975</v>
      </c>
      <c r="T19" s="635">
        <f>IF(M19="","",X19*COS(RADIANS(W19)))</f>
        <v>5.7929966273937579</v>
      </c>
      <c r="U19" s="629">
        <f>IF(M19="","",X19*SIN(RADIANS(W19)))</f>
        <v>-0.42978230027171588</v>
      </c>
      <c r="V19" s="636">
        <f>IF(M19="","",Y19)</f>
        <v>-3.3747101781258975</v>
      </c>
      <c r="W19" s="585">
        <f t="shared" si="224"/>
        <v>355.7570006126133</v>
      </c>
      <c r="X19" s="629">
        <f>IF(M19="","",R19)</f>
        <v>5.8089175196952407</v>
      </c>
      <c r="Y19" s="630">
        <f t="shared" si="223"/>
        <v>-3.3747101781258975</v>
      </c>
      <c r="Z19" s="632">
        <f t="shared" si="6"/>
        <v>0.90150450064407506</v>
      </c>
      <c r="AA19" s="629">
        <f t="shared" si="7"/>
        <v>-0.43262380225133806</v>
      </c>
      <c r="AB19" s="629">
        <f t="shared" si="8"/>
        <v>-1.123748388529297E-2</v>
      </c>
      <c r="AC19" s="636">
        <f>IF(M19="","",SQRT(Z19^2+AA19^2+AB19^2))</f>
        <v>1</v>
      </c>
      <c r="AD19" s="637">
        <f>IF(M19="","",Z19*(1/SQRT(Z19^2+AA19^2+AB19^2)))</f>
        <v>0.90150450064407506</v>
      </c>
      <c r="AE19" s="629">
        <f>IF(M19="","",AA19*(1/SQRT(Z19^2+AA19^2+AB19^2)))</f>
        <v>-0.43262380225133806</v>
      </c>
      <c r="AF19" s="633">
        <f>IF(M19="","",AB19*(1/SQRT(Z19^2+AA19^2+AB19^2)))</f>
        <v>-1.123748388529297E-2</v>
      </c>
      <c r="AG19" s="602">
        <f>IF(M19="","",DEGREES(ATAN2(-AF19,AE19)))</f>
        <v>-88.512066031038373</v>
      </c>
      <c r="AH19" s="603">
        <f>IF(M19="","",DEGREES(ACOS(AD19)))</f>
        <v>25.64346273183456</v>
      </c>
      <c r="AI19" s="585">
        <f>IF(M19="","",DEGREES(-ACOS(-AF19)))</f>
        <v>-89.356126049029072</v>
      </c>
      <c r="AJ19" s="586">
        <f>IF(M19="","",DEGREES(ATAN2(-AE19,AD19)))</f>
        <v>64.364075031146825</v>
      </c>
      <c r="AK19" s="635">
        <f>IF(M19="","",(COS(RADIANS((90-$Q$8)-W19))*AD19)+(-SIN(RADIANS((90-$Q$8)-W19))*AE19))</f>
        <v>0.93104206874313489</v>
      </c>
      <c r="AL19" s="629">
        <f>IF(M19="","",(SIN(RADIANS((90-$Q$8)-W19))*AD19)+(COS(RADIANS((90-$Q$8)-W19))*AE19))</f>
        <v>-0.36473879035061735</v>
      </c>
      <c r="AM19" s="634">
        <f>IF(M19="","",AF19)</f>
        <v>-1.123748388529297E-2</v>
      </c>
      <c r="AN19" s="581">
        <f>IF(M19="","",DEGREES(ATAN2(-AM19,AL19)))</f>
        <v>-88.235293841044026</v>
      </c>
      <c r="AO19" s="582">
        <f t="shared" si="94"/>
        <v>21.402158575436168</v>
      </c>
      <c r="AP19" s="585">
        <f>IF(M19="","",DEGREES(ATAN2(AK19,AL19)))</f>
        <v>-21.392925581466468</v>
      </c>
      <c r="AQ19" s="586">
        <f t="shared" si="9"/>
        <v>0.39244678076642442</v>
      </c>
      <c r="AS19" s="52">
        <f t="shared" si="116"/>
        <v>-4.2429993873867033</v>
      </c>
      <c r="AT19" s="72">
        <f t="shared" si="10"/>
        <v>-3.3717636507735458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0.4617843156595221</v>
      </c>
      <c r="C20" s="708">
        <v>5.9270380668434104</v>
      </c>
      <c r="D20" s="709">
        <v>-4.1370124772296304</v>
      </c>
      <c r="E20" s="710">
        <v>-0.70093821739540008</v>
      </c>
      <c r="F20" s="708">
        <v>0.70549749364919734</v>
      </c>
      <c r="G20" s="711">
        <v>0.10468477372216015</v>
      </c>
      <c r="H20" s="710">
        <v>0.26600000000000001</v>
      </c>
      <c r="I20" s="708">
        <v>0.52</v>
      </c>
      <c r="J20" s="570">
        <v>1.1579999999999999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330</v>
      </c>
      <c r="M20" s="168">
        <f t="shared" si="1"/>
        <v>1.1579999999999999</v>
      </c>
      <c r="N20" s="632">
        <f t="shared" si="2"/>
        <v>0.4617843156595221</v>
      </c>
      <c r="O20" s="629">
        <f t="shared" si="3"/>
        <v>5.9270380668434104</v>
      </c>
      <c r="P20" s="633">
        <f t="shared" si="4"/>
        <v>-4.1370124772296304</v>
      </c>
      <c r="Q20" s="585">
        <f t="shared" si="113"/>
        <v>85.545000643222323</v>
      </c>
      <c r="R20" s="629">
        <f>IF(M20="","",SQRT(N20^2+O20^2))</f>
        <v>5.9450000000000003</v>
      </c>
      <c r="S20" s="634">
        <f>IF(M20="","",P20)</f>
        <v>-4.1370124772296304</v>
      </c>
      <c r="T20" s="635">
        <f>IF(M20="","",X20*COS(RADIANS(W20)))</f>
        <v>5.9270380668434104</v>
      </c>
      <c r="U20" s="629">
        <f>IF(M20="","",X20*SIN(RADIANS(W20)))</f>
        <v>-0.46178431565952088</v>
      </c>
      <c r="V20" s="636">
        <f>IF(M20="","",Y20)</f>
        <v>-4.1370124772296304</v>
      </c>
      <c r="W20" s="585">
        <f t="shared" si="224"/>
        <v>355.54500064322235</v>
      </c>
      <c r="X20" s="629">
        <f>IF(M20="","",R20)</f>
        <v>5.9450000000000003</v>
      </c>
      <c r="Y20" s="630">
        <f t="shared" si="223"/>
        <v>-4.1370124772296304</v>
      </c>
      <c r="Z20" s="632">
        <f t="shared" si="6"/>
        <v>0.70093821739540008</v>
      </c>
      <c r="AA20" s="629">
        <f t="shared" si="7"/>
        <v>-0.70549749364919734</v>
      </c>
      <c r="AB20" s="629">
        <f t="shared" si="8"/>
        <v>-0.10468477372216015</v>
      </c>
      <c r="AC20" s="636">
        <f>IF(M20="","",SQRT(Z20^2+AA20^2+AB20^2))</f>
        <v>1</v>
      </c>
      <c r="AD20" s="637">
        <f>IF(M20="","",Z20*(1/SQRT(Z20^2+AA20^2+AB20^2)))</f>
        <v>0.70093821739540008</v>
      </c>
      <c r="AE20" s="629">
        <f>IF(M20="","",AA20*(1/SQRT(Z20^2+AA20^2+AB20^2)))</f>
        <v>-0.70549749364919734</v>
      </c>
      <c r="AF20" s="633">
        <f>IF(M20="","",AB20*(1/SQRT(Z20^2+AA20^2+AB20^2)))</f>
        <v>-0.10468477372216015</v>
      </c>
      <c r="AG20" s="602">
        <f>IF(M20="","",DEGREES(ATAN2(-AF20,AE20)))</f>
        <v>-81.559789769339702</v>
      </c>
      <c r="AH20" s="603">
        <f>IF(M20="","",DEGREES(ACOS(AD20)))</f>
        <v>45.497674136385371</v>
      </c>
      <c r="AI20" s="585">
        <f>IF(M20="","",DEGREES(-ACOS(-AF20)))</f>
        <v>-83.990994664481462</v>
      </c>
      <c r="AJ20" s="586">
        <f>IF(M20="","",DEGREES(ATAN2(-AE20,AD20)))</f>
        <v>44.81426355298597</v>
      </c>
      <c r="AK20" s="635">
        <f>IF(M20="","",(COS(RADIANS((90-$Q$8)-W20))*AD20)+(-SIN(RADIANS((90-$Q$8)-W20))*AE20))</f>
        <v>0.75362071897597971</v>
      </c>
      <c r="AL20" s="629">
        <f>IF(M20="","",(SIN(RADIANS((90-$Q$8)-W20))*AD20)+(COS(RADIANS((90-$Q$8)-W20))*AE20))</f>
        <v>-0.6489198025032582</v>
      </c>
      <c r="AM20" s="634">
        <f>IF(M20="","",AF20)</f>
        <v>-0.10468477372216015</v>
      </c>
      <c r="AN20" s="581">
        <f>IF(M20="","",DEGREES(ATAN2(-AM20,AL20)))</f>
        <v>-80.83590694654562</v>
      </c>
      <c r="AO20" s="582">
        <f t="shared" si="94"/>
        <v>41.095003248590579</v>
      </c>
      <c r="AP20" s="585">
        <f>IF(M20="","",DEGREES(ATAN2(AK20,AL20)))</f>
        <v>-40.730737090236367</v>
      </c>
      <c r="AQ20" s="586">
        <f t="shared" si="9"/>
        <v>0.38346385092791807</v>
      </c>
      <c r="AS20" s="52">
        <f t="shared" si="116"/>
        <v>-4.4549993567776482</v>
      </c>
      <c r="AT20" s="72">
        <f t="shared" si="10"/>
        <v>-4.1339187276763125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0.97514166963961169</v>
      </c>
      <c r="C21" s="708">
        <v>2.1220612648044233</v>
      </c>
      <c r="D21" s="709">
        <v>-0.20710382141006767</v>
      </c>
      <c r="E21" s="710">
        <v>-9.0374524311116797E-2</v>
      </c>
      <c r="F21" s="708">
        <v>-0.19666860076048892</v>
      </c>
      <c r="G21" s="711">
        <v>0.97629601393760224</v>
      </c>
      <c r="H21" s="710">
        <v>0.26250000000000001</v>
      </c>
      <c r="I21" s="708">
        <v>0.40699999999999997</v>
      </c>
      <c r="J21" s="570">
        <v>1.21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</v>
      </c>
      <c r="N21" s="632">
        <f t="shared" si="2"/>
        <v>0.97514166963961169</v>
      </c>
      <c r="O21" s="629">
        <f t="shared" si="3"/>
        <v>2.1220612648044233</v>
      </c>
      <c r="P21" s="633">
        <f t="shared" si="4"/>
        <v>-0.20710382141006767</v>
      </c>
      <c r="Q21" s="585">
        <f t="shared" si="113"/>
        <v>65.32000356335061</v>
      </c>
      <c r="R21" s="629">
        <f>IF(M21="","",SQRT(N21^2+O21^2))</f>
        <v>2.3353897506521002</v>
      </c>
      <c r="S21" s="634">
        <f>IF(M21="","",P21)</f>
        <v>-0.20710382141006767</v>
      </c>
      <c r="T21" s="635">
        <f>IF(M21="","",X21*COS(RADIANS(W21)))</f>
        <v>2.1220612648044237</v>
      </c>
      <c r="U21" s="629">
        <f>IF(M21="","",X21*SIN(RADIANS(W21)))</f>
        <v>-0.97514166963961146</v>
      </c>
      <c r="V21" s="636">
        <f>IF(M21="","",Y21)</f>
        <v>-0.20710382141006767</v>
      </c>
      <c r="W21" s="585">
        <f t="shared" si="224"/>
        <v>335.32000356335061</v>
      </c>
      <c r="X21" s="629">
        <f>IF(M21="","",R21)</f>
        <v>2.3353897506521002</v>
      </c>
      <c r="Y21" s="630">
        <f t="shared" si="223"/>
        <v>-0.20710382141006767</v>
      </c>
      <c r="Z21" s="632">
        <f t="shared" si="6"/>
        <v>9.0374524311116797E-2</v>
      </c>
      <c r="AA21" s="629">
        <f t="shared" si="7"/>
        <v>0.19666860076048892</v>
      </c>
      <c r="AB21" s="629">
        <f t="shared" si="8"/>
        <v>-0.97629601393760224</v>
      </c>
      <c r="AC21" s="636">
        <f>IF(M21="","",SQRT(Z21^2+AA21^2+AB21^2))</f>
        <v>1</v>
      </c>
      <c r="AD21" s="637">
        <f>IF(M21="","",Z21*(1/SQRT(Z21^2+AA21^2+AB21^2)))</f>
        <v>9.0374524311116797E-2</v>
      </c>
      <c r="AE21" s="629">
        <f>IF(M21="","",AA21*(1/SQRT(Z21^2+AA21^2+AB21^2)))</f>
        <v>0.19666860076048892</v>
      </c>
      <c r="AF21" s="633">
        <f>IF(M21="","",AB21*(1/SQRT(Z21^2+AA21^2+AB21^2)))</f>
        <v>-0.97629601393760224</v>
      </c>
      <c r="AG21" s="602">
        <f>IF(M21="","",DEGREES(ATAN2(-AF21,AE21)))</f>
        <v>11.389442260863767</v>
      </c>
      <c r="AH21" s="603">
        <f>IF(M21="","",DEGREES(ACOS(AD21)))</f>
        <v>84.814846441051372</v>
      </c>
      <c r="AI21" s="585">
        <f>IF(M21="","",DEGREES(-ACOS(-AF21)))</f>
        <v>-12.499998195230186</v>
      </c>
      <c r="AJ21" s="586">
        <f>IF(M21="","",DEGREES(ATAN2(-AE21,AD21)))</f>
        <v>155.31994352631762</v>
      </c>
      <c r="AK21" s="635">
        <f>IF(M21="","",(COS(RADIANS((90-$Q$8)-W21))*AD21)+(-SIN(RADIANS((90-$Q$8)-W21))*AE21))</f>
        <v>2.2679489672383646E-7</v>
      </c>
      <c r="AL21" s="629">
        <f>IF(M21="","",(SIN(RADIANS((90-$Q$8)-W21))*AD21)+(COS(RADIANS((90-$Q$8)-W21))*AE21))</f>
        <v>0.21643958318546491</v>
      </c>
      <c r="AM21" s="634">
        <f>IF(M21="","",AF21)</f>
        <v>-0.97629601393760224</v>
      </c>
      <c r="AN21" s="581">
        <f>IF(M21="","",DEGREES(ATAN2(-AM21,AL21)))</f>
        <v>12.499998195223553</v>
      </c>
      <c r="AO21" s="582">
        <f>IF(ROUND(IF(M21="",0,DEGREES(ACOS(AK21))),4)=90,0,IF(M21="","",DEGREES(ACOS(AK21))))</f>
        <v>0</v>
      </c>
      <c r="AP21" s="585">
        <f>IF(M21="","",DEGREES(ATAN2(AK21,AL21)))</f>
        <v>89.999939962967005</v>
      </c>
      <c r="AQ21" s="586">
        <f t="shared" si="9"/>
        <v>0.97607094973569952</v>
      </c>
      <c r="AS21" s="52">
        <f t="shared" si="116"/>
        <v>-24.67999643664939</v>
      </c>
      <c r="AT21" s="72">
        <f t="shared" si="10"/>
        <v>-0.18996493499572781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1.1100000000000001</v>
      </c>
      <c r="II21" s="734" cm="1">
        <f t="array" ref="II21">IFERROR(IF($IH21&lt;1,$IH21+LARGE((IF($M$9:$M$150="",0,$M$9:$M$150)-MOD(IF($M$9:$M$150="",0,$M$9:$M$150),1)),1),$IH21),"")</f>
        <v>1.1100000000000001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24.67999643664939</v>
      </c>
      <c r="IM21" s="759">
        <v>4.3492370470819199E-2</v>
      </c>
      <c r="IN21" s="5">
        <f t="shared" si="226"/>
        <v>0.7</v>
      </c>
      <c r="IO21" s="771">
        <v>350</v>
      </c>
      <c r="IP21" s="9">
        <f t="shared" si="227"/>
        <v>-2.3439070692237212</v>
      </c>
      <c r="IQ21" s="5">
        <f t="shared" si="228"/>
        <v>-0.19810059747140196</v>
      </c>
      <c r="IR21" s="5">
        <f t="shared" si="71"/>
        <v>0.314</v>
      </c>
      <c r="IS21" s="5">
        <f t="shared" si="229"/>
        <v>0.30330071252667312</v>
      </c>
      <c r="IT21" s="727">
        <f t="shared" si="230"/>
        <v>-12.499998195223554</v>
      </c>
      <c r="IU21" s="9">
        <f t="shared" si="231"/>
        <v>-2.3353897506521002</v>
      </c>
      <c r="IV21" s="5">
        <f t="shared" si="232"/>
        <v>-0.20710382141006767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-12.499998195223553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1.0966514327186088</v>
      </c>
      <c r="C22" s="708">
        <v>2.9092659856593226</v>
      </c>
      <c r="D22" s="709">
        <v>-9.0454896098958071E-2</v>
      </c>
      <c r="E22" s="710">
        <v>2.0488355663329561E-2</v>
      </c>
      <c r="F22" s="708">
        <v>5.4353443201704897E-2</v>
      </c>
      <c r="G22" s="711">
        <v>0.99831153979823961</v>
      </c>
      <c r="H22" s="710">
        <v>0.26250000000000001</v>
      </c>
      <c r="I22" s="708">
        <v>0.40699999999999997</v>
      </c>
      <c r="J22" s="570">
        <v>1.216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2" t="str">
        <f>IF($L21=$JH$22,$JH$30,IF($L21=$JI$22,$JI$30,""))</f>
        <v/>
      </c>
      <c r="M22" s="168">
        <f t="shared" si="1"/>
        <v>1.216</v>
      </c>
      <c r="N22" s="632">
        <f t="shared" si="2"/>
        <v>1.0966514327186088</v>
      </c>
      <c r="O22" s="629">
        <f t="shared" si="3"/>
        <v>2.9092659856593226</v>
      </c>
      <c r="P22" s="633">
        <f t="shared" si="4"/>
        <v>-9.0454896098958071E-2</v>
      </c>
      <c r="Q22" s="585">
        <f t="shared" si="113"/>
        <v>69.346002982068214</v>
      </c>
      <c r="R22" s="629">
        <f t="shared" si="79"/>
        <v>3.1090951963872202</v>
      </c>
      <c r="S22" s="634">
        <f t="shared" si="80"/>
        <v>-9.0454896098958071E-2</v>
      </c>
      <c r="T22" s="635">
        <f t="shared" si="81"/>
        <v>2.909265985659323</v>
      </c>
      <c r="U22" s="629">
        <f t="shared" si="82"/>
        <v>-1.0966514327186081</v>
      </c>
      <c r="V22" s="636">
        <f t="shared" si="114"/>
        <v>-9.0454896098958071E-2</v>
      </c>
      <c r="W22" s="585">
        <f t="shared" si="224"/>
        <v>339.34600298206823</v>
      </c>
      <c r="X22" s="629">
        <f t="shared" si="83"/>
        <v>3.1090951963872202</v>
      </c>
      <c r="Y22" s="630">
        <f t="shared" si="223"/>
        <v>-9.0454896098958071E-2</v>
      </c>
      <c r="Z22" s="632">
        <f t="shared" si="6"/>
        <v>-2.0488355663329561E-2</v>
      </c>
      <c r="AA22" s="629">
        <f t="shared" si="7"/>
        <v>-5.4353443201704897E-2</v>
      </c>
      <c r="AB22" s="629">
        <f t="shared" si="8"/>
        <v>-0.99831153979823961</v>
      </c>
      <c r="AC22" s="636">
        <f t="shared" si="84"/>
        <v>1</v>
      </c>
      <c r="AD22" s="637">
        <f t="shared" si="115"/>
        <v>-2.0488355663329561E-2</v>
      </c>
      <c r="AE22" s="629">
        <f t="shared" si="85"/>
        <v>-5.4353443201704897E-2</v>
      </c>
      <c r="AF22" s="633">
        <f t="shared" si="86"/>
        <v>-0.99831153979823961</v>
      </c>
      <c r="AG22" s="602">
        <f t="shared" si="87"/>
        <v>-3.116413136302878</v>
      </c>
      <c r="AH22" s="603">
        <f t="shared" si="88"/>
        <v>91.173978452463444</v>
      </c>
      <c r="AI22" s="585">
        <f t="shared" si="89"/>
        <v>-3.3299995192327834</v>
      </c>
      <c r="AJ22" s="586">
        <f t="shared" si="90"/>
        <v>-20.653773311279899</v>
      </c>
      <c r="AK22" s="635">
        <f t="shared" si="211"/>
        <v>2.2679489670648922E-7</v>
      </c>
      <c r="AL22" s="629">
        <f t="shared" si="91"/>
        <v>-5.8086741220493794E-2</v>
      </c>
      <c r="AM22" s="634">
        <f t="shared" si="92"/>
        <v>-0.99831153979823961</v>
      </c>
      <c r="AN22" s="581">
        <f t="shared" si="93"/>
        <v>-3.32999951920756</v>
      </c>
      <c r="AO22" s="582">
        <f t="shared" si="94"/>
        <v>0</v>
      </c>
      <c r="AP22" s="585">
        <f t="shared" si="95"/>
        <v>-89.999776293348134</v>
      </c>
      <c r="AQ22" s="586">
        <f t="shared" si="9"/>
        <v>0.73320437129933191</v>
      </c>
      <c r="AS22" s="52">
        <f t="shared" si="116"/>
        <v>-20.653997017931772</v>
      </c>
      <c r="AT22" s="72">
        <f t="shared" si="10"/>
        <v>-7.6111842614283234E-2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1.216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1.1160000000000001</v>
      </c>
      <c r="II22" s="734" cm="1">
        <f t="array" ref="II22">IFERROR(IF($IH22&lt;1,$IH22+LARGE((IF($M$9:$M$150="",0,$M$9:$M$150)-MOD(IF($M$9:$M$150="",0,$M$9:$M$150),1)),1),$IH22),"")</f>
        <v>1.1160000000000001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20.285997071064401</v>
      </c>
      <c r="IM22" s="759">
        <v>4.2861615099373203E-2</v>
      </c>
      <c r="IN22" s="5">
        <f t="shared" si="226"/>
        <v>0.76</v>
      </c>
      <c r="IO22" s="771">
        <v>380</v>
      </c>
      <c r="IP22" s="9">
        <f t="shared" si="227"/>
        <v>-3.1068093701370603</v>
      </c>
      <c r="IQ22" s="5">
        <f t="shared" si="228"/>
        <v>-8.7200262995993205E-2</v>
      </c>
      <c r="IR22" s="5">
        <f t="shared" si="71"/>
        <v>0.314</v>
      </c>
      <c r="IS22" s="5">
        <f t="shared" si="229"/>
        <v>0.30296401090885428</v>
      </c>
      <c r="IT22" s="727">
        <f t="shared" si="230"/>
        <v>13.656443755051152</v>
      </c>
      <c r="IU22" s="9">
        <f t="shared" si="231"/>
        <v>-3.1090951963872202</v>
      </c>
      <c r="IV22" s="5">
        <f t="shared" si="232"/>
        <v>-9.0454896098958071E-2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3.32999951920756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1.2632072693372076</v>
      </c>
      <c r="C23" s="708">
        <v>3.6748704369004686</v>
      </c>
      <c r="D23" s="709">
        <v>-0.25493475750779115</v>
      </c>
      <c r="E23" s="710">
        <v>0.12873723719771715</v>
      </c>
      <c r="F23" s="708">
        <v>0.37451775325907261</v>
      </c>
      <c r="G23" s="711">
        <v>0.91823917159554636</v>
      </c>
      <c r="H23" s="710">
        <v>0.26250000000000001</v>
      </c>
      <c r="I23" s="708">
        <v>0.40699999999999997</v>
      </c>
      <c r="J23" s="570">
        <v>1.222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1.222</v>
      </c>
      <c r="N23" s="632">
        <f t="shared" si="2"/>
        <v>1.2632072693372076</v>
      </c>
      <c r="O23" s="629">
        <f t="shared" si="3"/>
        <v>3.6748704369004686</v>
      </c>
      <c r="P23" s="633">
        <f t="shared" si="4"/>
        <v>-0.25493475750779115</v>
      </c>
      <c r="Q23" s="585">
        <f t="shared" si="113"/>
        <v>71.030002738928729</v>
      </c>
      <c r="R23" s="629">
        <f t="shared" si="79"/>
        <v>3.8859188531557636</v>
      </c>
      <c r="S23" s="634">
        <f t="shared" si="80"/>
        <v>-0.25493475750779115</v>
      </c>
      <c r="T23" s="635">
        <f t="shared" si="81"/>
        <v>3.6748704369004677</v>
      </c>
      <c r="U23" s="629">
        <f t="shared" si="82"/>
        <v>-1.2632072693372092</v>
      </c>
      <c r="V23" s="636">
        <f t="shared" si="114"/>
        <v>-0.25493475750779115</v>
      </c>
      <c r="W23" s="585">
        <f t="shared" si="224"/>
        <v>341.03000273892872</v>
      </c>
      <c r="X23" s="629">
        <f t="shared" si="83"/>
        <v>3.8859188531557636</v>
      </c>
      <c r="Y23" s="630">
        <f t="shared" si="223"/>
        <v>-0.25493475750779115</v>
      </c>
      <c r="Z23" s="632">
        <f t="shared" si="6"/>
        <v>-0.12873723719771715</v>
      </c>
      <c r="AA23" s="629">
        <f t="shared" si="7"/>
        <v>-0.37451775325907261</v>
      </c>
      <c r="AB23" s="629">
        <f t="shared" si="8"/>
        <v>-0.91823917159554636</v>
      </c>
      <c r="AC23" s="636">
        <f t="shared" si="84"/>
        <v>1</v>
      </c>
      <c r="AD23" s="637">
        <f t="shared" si="115"/>
        <v>-0.12873723719771715</v>
      </c>
      <c r="AE23" s="629">
        <f t="shared" si="85"/>
        <v>-0.37451775325907261</v>
      </c>
      <c r="AF23" s="633">
        <f t="shared" si="86"/>
        <v>-0.91823917159554636</v>
      </c>
      <c r="AG23" s="602">
        <f t="shared" si="87"/>
        <v>-22.188835267364599</v>
      </c>
      <c r="AH23" s="603">
        <f t="shared" si="88"/>
        <v>97.396628183302568</v>
      </c>
      <c r="AI23" s="585">
        <f t="shared" si="89"/>
        <v>-23.329996631568644</v>
      </c>
      <c r="AJ23" s="586">
        <f t="shared" si="90"/>
        <v>-18.96996444913259</v>
      </c>
      <c r="AK23" s="635">
        <f t="shared" si="211"/>
        <v>2.2679489693200328E-7</v>
      </c>
      <c r="AL23" s="629">
        <f t="shared" si="91"/>
        <v>-0.39602629173764892</v>
      </c>
      <c r="AM23" s="634">
        <f t="shared" si="92"/>
        <v>-0.91823917159554636</v>
      </c>
      <c r="AN23" s="581">
        <f t="shared" si="93"/>
        <v>-23.329996631565233</v>
      </c>
      <c r="AO23" s="582">
        <f t="shared" si="94"/>
        <v>0</v>
      </c>
      <c r="AP23" s="585">
        <f t="shared" si="95"/>
        <v>-89.999967188061291</v>
      </c>
      <c r="AQ23" s="586">
        <f t="shared" si="9"/>
        <v>0.58664296738963972</v>
      </c>
      <c r="AS23" s="52">
        <f t="shared" si="116"/>
        <v>-18.969997261071285</v>
      </c>
      <c r="AT23" s="72">
        <f t="shared" si="10"/>
        <v>-0.24176114829871387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1.1220000000000001</v>
      </c>
      <c r="II23" s="734" cm="1">
        <f t="array" ref="II23">IFERROR(IF($IH23&lt;1,$IH23+LARGE((IF($M$9:$M$150="",0,$M$9:$M$150)-MOD(IF($M$9:$M$150="",0,$M$9:$M$150),1)),1),$IH23),"")</f>
        <v>1.1220000000000001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17.756997436206802</v>
      </c>
      <c r="IM23" s="759">
        <v>2.9884434212780201E-2</v>
      </c>
      <c r="IN23" s="5">
        <f t="shared" si="226"/>
        <v>0.84</v>
      </c>
      <c r="IO23" s="771">
        <v>420</v>
      </c>
      <c r="IP23" s="9">
        <f t="shared" si="227"/>
        <v>-3.8709116746696104</v>
      </c>
      <c r="IQ23" s="5">
        <f t="shared" si="228"/>
        <v>-0.25000075400227406</v>
      </c>
      <c r="IR23" s="5">
        <f t="shared" si="71"/>
        <v>0.314</v>
      </c>
      <c r="IS23" s="5">
        <f t="shared" si="229"/>
        <v>0.30214194380602466</v>
      </c>
      <c r="IT23" s="727">
        <f t="shared" si="230"/>
        <v>42.041738364880686</v>
      </c>
      <c r="IU23" s="9">
        <f t="shared" si="231"/>
        <v>-3.8859188531557636</v>
      </c>
      <c r="IV23" s="5">
        <f t="shared" si="232"/>
        <v>-0.25493475750779115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23.329996631565233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29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>
        <v>23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200</v>
      </c>
      <c r="JI23" s="801">
        <v>250</v>
      </c>
    </row>
    <row r="24" spans="1:269" ht="15" customHeight="1" x14ac:dyDescent="0.25">
      <c r="A24" s="79"/>
      <c r="B24" s="707">
        <v>1.101528766124475</v>
      </c>
      <c r="C24" s="708">
        <v>4.4150366830856518</v>
      </c>
      <c r="D24" s="709">
        <v>-0.63028720439553931</v>
      </c>
      <c r="E24" s="710">
        <v>-0.81900296312753107</v>
      </c>
      <c r="F24" s="708">
        <v>0.52070086002206395</v>
      </c>
      <c r="G24" s="711">
        <v>0.241049291143133</v>
      </c>
      <c r="H24" s="710">
        <v>0.26600000000000001</v>
      </c>
      <c r="I24" s="708">
        <v>0.52</v>
      </c>
      <c r="J24" s="570">
        <v>1.228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1.228</v>
      </c>
      <c r="N24" s="632">
        <f t="shared" si="2"/>
        <v>1.101528766124475</v>
      </c>
      <c r="O24" s="629">
        <f t="shared" si="3"/>
        <v>4.4150366830856518</v>
      </c>
      <c r="P24" s="633">
        <f t="shared" si="4"/>
        <v>-0.63028720439553931</v>
      </c>
      <c r="Q24" s="585">
        <f t="shared" si="113"/>
        <v>75.991002022649042</v>
      </c>
      <c r="R24" s="629">
        <f t="shared" si="79"/>
        <v>4.5503752082209292</v>
      </c>
      <c r="S24" s="634">
        <f t="shared" si="80"/>
        <v>-0.63028720439553931</v>
      </c>
      <c r="T24" s="635">
        <f t="shared" si="81"/>
        <v>4.4150366830856509</v>
      </c>
      <c r="U24" s="629">
        <f t="shared" si="82"/>
        <v>-1.1015287661244788</v>
      </c>
      <c r="V24" s="636">
        <f t="shared" si="114"/>
        <v>-0.63028720439553931</v>
      </c>
      <c r="W24" s="585">
        <f t="shared" si="224"/>
        <v>345.99100202264901</v>
      </c>
      <c r="X24" s="629">
        <f t="shared" si="83"/>
        <v>4.5503752082209292</v>
      </c>
      <c r="Y24" s="630">
        <f t="shared" si="223"/>
        <v>-0.63028720439553931</v>
      </c>
      <c r="Z24" s="632">
        <f t="shared" si="6"/>
        <v>0.81900296312753107</v>
      </c>
      <c r="AA24" s="629">
        <f t="shared" si="7"/>
        <v>-0.52070086002206395</v>
      </c>
      <c r="AB24" s="629">
        <f t="shared" si="8"/>
        <v>-0.241049291143133</v>
      </c>
      <c r="AC24" s="636">
        <f t="shared" si="84"/>
        <v>1</v>
      </c>
      <c r="AD24" s="637">
        <f t="shared" si="115"/>
        <v>0.81900296312753107</v>
      </c>
      <c r="AE24" s="629">
        <f t="shared" si="85"/>
        <v>-0.52070086002206395</v>
      </c>
      <c r="AF24" s="633">
        <f t="shared" si="86"/>
        <v>-0.241049291143133</v>
      </c>
      <c r="AG24" s="602">
        <f t="shared" si="87"/>
        <v>-65.159053654158654</v>
      </c>
      <c r="AH24" s="603">
        <f t="shared" si="88"/>
        <v>35.014889273980174</v>
      </c>
      <c r="AI24" s="585">
        <f t="shared" si="89"/>
        <v>-76.051521359869525</v>
      </c>
      <c r="AJ24" s="586">
        <f t="shared" si="90"/>
        <v>57.552856664480721</v>
      </c>
      <c r="AK24" s="635">
        <f>IF(M24="","",(COS(RADIANS((90-$Q$8)-W24))*AD24)+(-SIN(RADIANS((90-$Q$8)-W24))*AE24))</f>
        <v>0.92069223084175744</v>
      </c>
      <c r="AL24" s="629">
        <f t="shared" si="91"/>
        <v>-0.30695448409661841</v>
      </c>
      <c r="AM24" s="634">
        <f t="shared" si="92"/>
        <v>-0.241049291143133</v>
      </c>
      <c r="AN24" s="581">
        <f t="shared" si="93"/>
        <v>-51.857691206603135</v>
      </c>
      <c r="AO24" s="582">
        <f t="shared" si="94"/>
        <v>22.972507935500019</v>
      </c>
      <c r="AP24" s="585">
        <f t="shared" si="95"/>
        <v>-18.438145358168271</v>
      </c>
      <c r="AQ24" s="586">
        <f t="shared" si="9"/>
        <v>0.50098473835616397</v>
      </c>
      <c r="AS24" s="52">
        <f t="shared" si="116"/>
        <v>-14.008997977350987</v>
      </c>
      <c r="AT24" s="72">
        <f t="shared" si="10"/>
        <v>-0.62055873357793445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1.228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734" cm="1">
        <f t="array" ref="II24">IFERROR(IF($IH24&lt;1,$IH24+LARGE((IF($M$9:$M$150="",0,$M$9:$M$150)-MOD(IF($M$9:$M$150="",0,$M$9:$M$150),1)),1),$IH24),"")</f>
        <v>1.1279999999999999</v>
      </c>
      <c r="IJ24" s="533">
        <f t="shared" si="112"/>
        <v>1613</v>
      </c>
      <c r="IK24" s="533">
        <f t="shared" si="66"/>
        <v>1313</v>
      </c>
      <c r="IL24" s="727">
        <f t="shared" si="225"/>
        <v>11.879998284740509</v>
      </c>
      <c r="IM24" s="759">
        <v>1.3388134995995201E-2</v>
      </c>
      <c r="IN24" s="5">
        <f t="shared" si="226"/>
        <v>0.46</v>
      </c>
      <c r="IO24" s="771">
        <v>230</v>
      </c>
      <c r="IP24" s="9">
        <f t="shared" si="227"/>
        <v>-4.5202136329643166</v>
      </c>
      <c r="IQ24" s="5">
        <f t="shared" si="228"/>
        <v>-0.66140199478841633</v>
      </c>
      <c r="IR24" s="5">
        <f t="shared" si="71"/>
        <v>0.314</v>
      </c>
      <c r="IS24" s="5">
        <f t="shared" si="229"/>
        <v>0.30117716351714047</v>
      </c>
      <c r="IT24" s="727">
        <f t="shared" si="230"/>
        <v>58.924664142972468</v>
      </c>
      <c r="IU24" s="9">
        <f t="shared" si="231"/>
        <v>-4.5503752082209292</v>
      </c>
      <c r="IV24" s="5">
        <f t="shared" si="232"/>
        <v>-0.63028720439553931</v>
      </c>
      <c r="IW24" s="5">
        <f t="shared" si="76"/>
        <v>0.26600000000000001</v>
      </c>
      <c r="IX24" s="5">
        <f t="shared" si="233"/>
        <v>0.24490413340390749</v>
      </c>
      <c r="IY24" s="762">
        <f t="shared" si="234"/>
        <v>51.857691206603135</v>
      </c>
      <c r="JA24" s="798" t="str">
        <v>Inactive</v>
      </c>
      <c r="JB24" s="856" cm="1">
        <f t="array" ref="JB24">IF($JA24="","",COUNT(IF(IF($II$9:$II$150&lt;&gt;"",$IK$9:$IK$150,"")=$JA24,$IG$9:$IG$150,"")))</f>
        <v>12</v>
      </c>
      <c r="JC24" s="5"/>
      <c r="JD24" s="5"/>
      <c r="JE24" s="10"/>
      <c r="JF24" s="247">
        <v>12</v>
      </c>
      <c r="JG24" s="803" t="str">
        <v/>
      </c>
      <c r="JH24" s="787">
        <v>330</v>
      </c>
      <c r="JI24" s="803" t="str">
        <v/>
      </c>
    </row>
    <row r="25" spans="1:269" ht="15" customHeight="1" x14ac:dyDescent="0.25">
      <c r="A25" s="79"/>
      <c r="B25" s="707">
        <v>1.211434165127558</v>
      </c>
      <c r="C25" s="708">
        <v>4.909507244948446</v>
      </c>
      <c r="D25" s="709">
        <v>-1.2086914639916828</v>
      </c>
      <c r="E25" s="710">
        <v>-0.78976968783996393</v>
      </c>
      <c r="F25" s="708">
        <v>0.57478907341848895</v>
      </c>
      <c r="G25" s="711">
        <v>0.2141993493171282</v>
      </c>
      <c r="H25" s="710">
        <v>0.26600000000000001</v>
      </c>
      <c r="I25" s="708">
        <v>0.52</v>
      </c>
      <c r="J25" s="570">
        <v>1.234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1.234</v>
      </c>
      <c r="N25" s="632">
        <f t="shared" si="2"/>
        <v>1.211434165127558</v>
      </c>
      <c r="O25" s="629">
        <f t="shared" si="3"/>
        <v>4.909507244948446</v>
      </c>
      <c r="P25" s="633">
        <f t="shared" si="4"/>
        <v>-1.2086914639916828</v>
      </c>
      <c r="Q25" s="585">
        <f t="shared" si="113"/>
        <v>76.139002001280517</v>
      </c>
      <c r="R25" s="629">
        <f>IF(M25="","",SQRT(N25^2+O25^2))</f>
        <v>5.056761228754981</v>
      </c>
      <c r="S25" s="634">
        <f>IF(M25="","",P25)</f>
        <v>-1.2086914639916828</v>
      </c>
      <c r="T25" s="635">
        <f>IF(M25="","",X25*COS(RADIANS(W25)))</f>
        <v>4.9095072449484469</v>
      </c>
      <c r="U25" s="629">
        <f>IF(M25="","",X25*SIN(RADIANS(W25)))</f>
        <v>-1.2114341651275564</v>
      </c>
      <c r="V25" s="636">
        <f>IF(M25="","",Y25)</f>
        <v>-1.2086914639916828</v>
      </c>
      <c r="W25" s="585">
        <f t="shared" si="224"/>
        <v>346.13900200128052</v>
      </c>
      <c r="X25" s="629">
        <f>IF(M25="","",R25)</f>
        <v>5.056761228754981</v>
      </c>
      <c r="Y25" s="630">
        <f t="shared" si="223"/>
        <v>-1.2086914639916828</v>
      </c>
      <c r="Z25" s="632">
        <f t="shared" si="6"/>
        <v>0.78976968783996393</v>
      </c>
      <c r="AA25" s="629">
        <f t="shared" si="7"/>
        <v>-0.57478907341848895</v>
      </c>
      <c r="AB25" s="629">
        <f t="shared" si="8"/>
        <v>-0.2141993493171282</v>
      </c>
      <c r="AC25" s="636">
        <f>IF(M25="","",SQRT(Z25^2+AA25^2+AB25^2))</f>
        <v>1</v>
      </c>
      <c r="AD25" s="637">
        <f>IF(M25="","",Z25*(1/SQRT(Z25^2+AA25^2+AB25^2)))</f>
        <v>0.78976968783996393</v>
      </c>
      <c r="AE25" s="629">
        <f>IF(M25="","",AA25*(1/SQRT(Z25^2+AA25^2+AB25^2)))</f>
        <v>-0.57478907341848895</v>
      </c>
      <c r="AF25" s="633">
        <f>IF(M25="","",AB25*(1/SQRT(Z25^2+AA25^2+AB25^2)))</f>
        <v>-0.2141993493171282</v>
      </c>
      <c r="AG25" s="602">
        <f>IF(M25="","",DEGREES(ATAN2(-AF25,AE25)))</f>
        <v>-69.561723180322574</v>
      </c>
      <c r="AH25" s="603">
        <f>IF(M25="","",DEGREES(ACOS(AD25)))</f>
        <v>37.836006326534218</v>
      </c>
      <c r="AI25" s="585">
        <f>IF(M25="","",DEGREES(-ACOS(-AF25)))</f>
        <v>-77.631440861499726</v>
      </c>
      <c r="AJ25" s="586">
        <f>IF(M25="","",DEGREES(ATAN2(-AE25,AD25)))</f>
        <v>53.953123884156774</v>
      </c>
      <c r="AK25" s="635">
        <f>IF(M25="","",(COS(RADIANS((90-$Q$8)-W25))*AD25)+(-SIN(RADIANS((90-$Q$8)-W25))*AE25))</f>
        <v>0.90447203628363326</v>
      </c>
      <c r="AL25" s="629">
        <f>IF(M25="","",(SIN(RADIANS((90-$Q$8)-W25))*AD25)+(COS(RADIANS((90-$Q$8)-W25))*AE25))</f>
        <v>-0.36884817246810003</v>
      </c>
      <c r="AM25" s="634">
        <f>IF(M25="","",AF25)</f>
        <v>-0.2141993493171282</v>
      </c>
      <c r="AN25" s="581">
        <f>IF(M25="","",DEGREES(ATAN2(-AM25,AL25)))</f>
        <v>-59.855194195403158</v>
      </c>
      <c r="AO25" s="582">
        <f>IF(ROUND(IF(M25="",0,DEGREES(ACOS(AK25))),4)=90,0,IF(M25="","",DEGREES(ACOS(AK25))))</f>
        <v>25.247731165534493</v>
      </c>
      <c r="AP25" s="585">
        <f>IF(M25="","",DEGREES(ATAN2(AK25,AL25)))</f>
        <v>-22.18587811712375</v>
      </c>
      <c r="AQ25" s="586">
        <f t="shared" si="9"/>
        <v>0.45081811915475373</v>
      </c>
      <c r="AS25" s="52">
        <f t="shared" si="116"/>
        <v>-13.860997998719483</v>
      </c>
      <c r="AT25" s="72">
        <f t="shared" si="10"/>
        <v>-1.1990657709370165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734" cm="1">
        <f t="array" ref="II25">IFERROR(IF($IH25&lt;1,$IH25+LARGE((IF($M$9:$M$150="",0,$M$9:$M$150)-MOD(IF($M$9:$M$150="",0,$M$9:$M$150),1)),1),$IH25),"")</f>
        <v>1.1339999999999999</v>
      </c>
      <c r="IJ25" s="533">
        <f t="shared" si="112"/>
        <v>1613</v>
      </c>
      <c r="IK25" s="533">
        <f t="shared" si="66"/>
        <v>1313</v>
      </c>
      <c r="IL25" s="727">
        <f t="shared" si="225"/>
        <v>10.945998419593366</v>
      </c>
      <c r="IM25" s="759">
        <v>1.5152228101248199E-2</v>
      </c>
      <c r="IN25" s="5">
        <f t="shared" si="226"/>
        <v>0.56000000000000005</v>
      </c>
      <c r="IO25" s="771">
        <v>280</v>
      </c>
      <c r="IP25" s="9">
        <f t="shared" si="227"/>
        <v>-5.0217151454928795</v>
      </c>
      <c r="IQ25" s="5">
        <f t="shared" si="228"/>
        <v>-1.237403732009656</v>
      </c>
      <c r="IR25" s="5">
        <f t="shared" si="71"/>
        <v>0.314</v>
      </c>
      <c r="IS25" s="5">
        <f t="shared" si="229"/>
        <v>0.30028829258964457</v>
      </c>
      <c r="IT25" s="727">
        <f t="shared" si="230"/>
        <v>69.361283270113191</v>
      </c>
      <c r="IU25" s="9">
        <f t="shared" si="231"/>
        <v>-5.056761228754981</v>
      </c>
      <c r="IV25" s="5">
        <f t="shared" si="232"/>
        <v>-1.2086914639916828</v>
      </c>
      <c r="IW25" s="5">
        <f t="shared" si="76"/>
        <v>0.26600000000000001</v>
      </c>
      <c r="IX25" s="5">
        <f t="shared" si="233"/>
        <v>0.24058956165144649</v>
      </c>
      <c r="IY25" s="762">
        <f t="shared" si="234"/>
        <v>59.855194195403158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1.305034498763898</v>
      </c>
      <c r="C26" s="708">
        <v>5.273005874657307</v>
      </c>
      <c r="D26" s="709">
        <v>-1.8806738686541891</v>
      </c>
      <c r="E26" s="710">
        <v>-0.75997514113952136</v>
      </c>
      <c r="F26" s="708">
        <v>0.62426633391862796</v>
      </c>
      <c r="G26" s="711">
        <v>0.1809124904083762</v>
      </c>
      <c r="H26" s="710">
        <v>0.26600000000000001</v>
      </c>
      <c r="I26" s="708">
        <v>0.52</v>
      </c>
      <c r="J26" s="570">
        <v>1.24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1.24</v>
      </c>
      <c r="N26" s="632">
        <f t="shared" si="2"/>
        <v>1.305034498763898</v>
      </c>
      <c r="O26" s="629">
        <f t="shared" si="3"/>
        <v>5.273005874657307</v>
      </c>
      <c r="P26" s="633">
        <f t="shared" si="4"/>
        <v>-1.8806738686541891</v>
      </c>
      <c r="Q26" s="585">
        <f t="shared" si="113"/>
        <v>76.099002007055788</v>
      </c>
      <c r="R26" s="629">
        <f>IF(M26="","",SQRT(N26^2+O26^2))</f>
        <v>5.4320995938158578</v>
      </c>
      <c r="S26" s="634">
        <f>IF(M26="","",P26)</f>
        <v>-1.8806738686541891</v>
      </c>
      <c r="T26" s="635">
        <f>IF(M26="","",X26*COS(RADIANS(W26)))</f>
        <v>5.273005874657307</v>
      </c>
      <c r="U26" s="629">
        <f>IF(M26="","",X26*SIN(RADIANS(W26)))</f>
        <v>-1.3050344987638962</v>
      </c>
      <c r="V26" s="636">
        <f>IF(M26="","",Y26)</f>
        <v>-1.8806738686541891</v>
      </c>
      <c r="W26" s="585">
        <f t="shared" si="224"/>
        <v>346.09900200705579</v>
      </c>
      <c r="X26" s="629">
        <f>IF(M26="","",R26)</f>
        <v>5.4320995938158578</v>
      </c>
      <c r="Y26" s="630">
        <f t="shared" si="223"/>
        <v>-1.8806738686541891</v>
      </c>
      <c r="Z26" s="632">
        <f t="shared" si="6"/>
        <v>0.75997514113952136</v>
      </c>
      <c r="AA26" s="629">
        <f t="shared" si="7"/>
        <v>-0.62426633391862796</v>
      </c>
      <c r="AB26" s="629">
        <f t="shared" si="8"/>
        <v>-0.1809124904083762</v>
      </c>
      <c r="AC26" s="636">
        <f>IF(M26="","",SQRT(Z26^2+AA26^2+AB26^2))</f>
        <v>1</v>
      </c>
      <c r="AD26" s="637">
        <f>IF(M26="","",Z26*(1/SQRT(Z26^2+AA26^2+AB26^2)))</f>
        <v>0.75997514113952136</v>
      </c>
      <c r="AE26" s="629">
        <f>IF(M26="","",AA26*(1/SQRT(Z26^2+AA26^2+AB26^2)))</f>
        <v>-0.62426633391862796</v>
      </c>
      <c r="AF26" s="633">
        <f>IF(M26="","",AB26*(1/SQRT(Z26^2+AA26^2+AB26^2)))</f>
        <v>-0.1809124904083762</v>
      </c>
      <c r="AG26" s="602">
        <f>IF(M26="","",DEGREES(ATAN2(-AF26,AE26)))</f>
        <v>-73.838402705518121</v>
      </c>
      <c r="AH26" s="603">
        <f>IF(M26="","",DEGREES(ACOS(AD26)))</f>
        <v>40.537993564426408</v>
      </c>
      <c r="AI26" s="585">
        <f>IF(M26="","",DEGREES(-ACOS(-AF26)))</f>
        <v>-79.577085706679142</v>
      </c>
      <c r="AJ26" s="586">
        <f>IF(M26="","",DEGREES(ATAN2(-AE26,AD26)))</f>
        <v>50.599292545591553</v>
      </c>
      <c r="AK26" s="635">
        <f>IF(M26="","",(COS(RADIANS((90-$Q$8)-W26))*AD26)+(-SIN(RADIANS((90-$Q$8)-W26))*AE26))</f>
        <v>0.88769404955176268</v>
      </c>
      <c r="AL26" s="629">
        <f>IF(M26="","",(SIN(RADIANS((90-$Q$8)-W26))*AD26)+(COS(RADIANS((90-$Q$8)-W26))*AE26))</f>
        <v>-0.42340281671787683</v>
      </c>
      <c r="AM26" s="634">
        <f>IF(M26="","",AF26)</f>
        <v>-0.1809124904083762</v>
      </c>
      <c r="AN26" s="581">
        <f>IF(M26="","",DEGREES(ATAN2(-AM26,AL26)))</f>
        <v>-66.863843396892861</v>
      </c>
      <c r="AO26" s="582">
        <f t="shared" si="94"/>
        <v>27.415102679414463</v>
      </c>
      <c r="AP26" s="585">
        <f>IF(M26="","",DEGREES(ATAN2(AK26,AL26)))</f>
        <v>-25.499709461464256</v>
      </c>
      <c r="AQ26" s="586">
        <f t="shared" si="9"/>
        <v>0.41966937891397899</v>
      </c>
      <c r="AS26" s="52">
        <f t="shared" si="116"/>
        <v>-13.900997992944212</v>
      </c>
      <c r="AT26" s="72">
        <f t="shared" si="10"/>
        <v>-1.8710203978257556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1.24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734" cm="1">
        <f t="array" ref="II26">IFERROR(IF($IH26&lt;1,$IH26+LARGE((IF($M$9:$M$150="",0,$M$9:$M$150)-MOD(IF($M$9:$M$150="",0,$M$9:$M$150),1)),1),$IH26),"")</f>
        <v>1.1399999999999999</v>
      </c>
      <c r="IJ26" s="533">
        <f t="shared" si="112"/>
        <v>1613</v>
      </c>
      <c r="IK26" s="533">
        <f t="shared" si="66"/>
        <v>1313</v>
      </c>
      <c r="IL26" s="727">
        <f t="shared" si="225"/>
        <v>10.372998502324322</v>
      </c>
      <c r="IM26" s="759">
        <v>1.6030365229549901E-2</v>
      </c>
      <c r="IN26" s="5">
        <f t="shared" si="226"/>
        <v>0.66</v>
      </c>
      <c r="IO26" s="771">
        <v>330</v>
      </c>
      <c r="IP26" s="9">
        <f t="shared" si="227"/>
        <v>-5.3926162641306519</v>
      </c>
      <c r="IQ26" s="5">
        <f t="shared" si="228"/>
        <v>-1.9060057485133375</v>
      </c>
      <c r="IR26" s="5">
        <f t="shared" si="71"/>
        <v>0.314</v>
      </c>
      <c r="IS26" s="5">
        <f t="shared" si="229"/>
        <v>0.29810852656229664</v>
      </c>
      <c r="IT26" s="727">
        <f t="shared" si="230"/>
        <v>76.891298613994394</v>
      </c>
      <c r="IU26" s="9">
        <f t="shared" si="231"/>
        <v>-5.4320995938158578</v>
      </c>
      <c r="IV26" s="5">
        <f t="shared" si="232"/>
        <v>-1.8806738686541891</v>
      </c>
      <c r="IW26" s="5">
        <f t="shared" si="76"/>
        <v>0.26600000000000001</v>
      </c>
      <c r="IX26" s="5">
        <f t="shared" si="233"/>
        <v>0.23612661718076888</v>
      </c>
      <c r="IY26" s="762">
        <f t="shared" si="234"/>
        <v>66.863843396892861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1.3763518939884309</v>
      </c>
      <c r="C27" s="708">
        <v>5.5251762628577801</v>
      </c>
      <c r="D27" s="709">
        <v>-2.6049215590380057</v>
      </c>
      <c r="E27" s="710">
        <v>-0.73070592455049144</v>
      </c>
      <c r="F27" s="708">
        <v>0.66777474155738115</v>
      </c>
      <c r="G27" s="711">
        <v>0.14193571208397335</v>
      </c>
      <c r="H27" s="710">
        <v>0.26600000000000001</v>
      </c>
      <c r="I27" s="708">
        <v>0.52</v>
      </c>
      <c r="J27" s="570">
        <v>1.246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1.246</v>
      </c>
      <c r="N27" s="632">
        <f t="shared" si="2"/>
        <v>1.3763518939884309</v>
      </c>
      <c r="O27" s="629">
        <f t="shared" si="3"/>
        <v>5.5251762628577801</v>
      </c>
      <c r="P27" s="633">
        <f t="shared" si="4"/>
        <v>-2.6049215590380057</v>
      </c>
      <c r="Q27" s="585">
        <f t="shared" si="113"/>
        <v>76.012002019617029</v>
      </c>
      <c r="R27" s="629">
        <f t="shared" si="79"/>
        <v>5.6940246989043359</v>
      </c>
      <c r="S27" s="634">
        <f t="shared" si="80"/>
        <v>-2.6049215590380057</v>
      </c>
      <c r="T27" s="635">
        <f t="shared" si="81"/>
        <v>5.5251762628577819</v>
      </c>
      <c r="U27" s="629">
        <f t="shared" si="82"/>
        <v>-1.3763518939884278</v>
      </c>
      <c r="V27" s="636">
        <f t="shared" si="114"/>
        <v>-2.6049215590380057</v>
      </c>
      <c r="W27" s="585">
        <f t="shared" si="224"/>
        <v>346.01200201961706</v>
      </c>
      <c r="X27" s="629">
        <f t="shared" si="83"/>
        <v>5.6940246989043359</v>
      </c>
      <c r="Y27" s="630">
        <f t="shared" si="223"/>
        <v>-2.6049215590380057</v>
      </c>
      <c r="Z27" s="632">
        <f t="shared" si="6"/>
        <v>0.73070592455049144</v>
      </c>
      <c r="AA27" s="629">
        <f t="shared" si="7"/>
        <v>-0.66777474155738115</v>
      </c>
      <c r="AB27" s="629">
        <f t="shared" si="8"/>
        <v>-0.14193571208397335</v>
      </c>
      <c r="AC27" s="636">
        <f t="shared" si="84"/>
        <v>1</v>
      </c>
      <c r="AD27" s="637">
        <f t="shared" si="115"/>
        <v>0.73070592455049144</v>
      </c>
      <c r="AE27" s="629">
        <f t="shared" si="85"/>
        <v>-0.66777474155738115</v>
      </c>
      <c r="AF27" s="633">
        <f t="shared" si="86"/>
        <v>-0.14193571208397335</v>
      </c>
      <c r="AG27" s="602">
        <f t="shared" si="87"/>
        <v>-78.000344044506008</v>
      </c>
      <c r="AH27" s="603">
        <f t="shared" si="88"/>
        <v>43.054393114716092</v>
      </c>
      <c r="AI27" s="585">
        <f t="shared" si="89"/>
        <v>-81.840126920665838</v>
      </c>
      <c r="AJ27" s="586">
        <f t="shared" si="90"/>
        <v>47.576553554426589</v>
      </c>
      <c r="AK27" s="635">
        <f t="shared" si="211"/>
        <v>0.87045145074797114</v>
      </c>
      <c r="AL27" s="629">
        <f t="shared" si="91"/>
        <v>-0.47134756340302431</v>
      </c>
      <c r="AM27" s="634">
        <f t="shared" si="92"/>
        <v>-0.14193571208397335</v>
      </c>
      <c r="AN27" s="581">
        <f t="shared" si="93"/>
        <v>-73.241507355142801</v>
      </c>
      <c r="AO27" s="582">
        <f t="shared" si="94"/>
        <v>29.488856565763736</v>
      </c>
      <c r="AP27" s="585">
        <f t="shared" si="95"/>
        <v>-28.435448465190483</v>
      </c>
      <c r="AQ27" s="586">
        <f t="shared" si="9"/>
        <v>0.40036523332376239</v>
      </c>
      <c r="AS27" s="52">
        <f t="shared" si="116"/>
        <v>-13.987997980382943</v>
      </c>
      <c r="AT27" s="72">
        <f t="shared" si="10"/>
        <v>-2.5952076715516288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734" cm="1">
        <f t="array" ref="II27">IFERROR(IF($IH27&lt;1,$IH27+LARGE((IF($M$9:$M$150="",0,$M$9:$M$150)-MOD(IF($M$9:$M$150="",0,$M$9:$M$150),1)),1),$IH27),"")</f>
        <v>1.1459999999999999</v>
      </c>
      <c r="IJ27" s="533">
        <f t="shared" si="112"/>
        <v>1613</v>
      </c>
      <c r="IK27" s="533">
        <f t="shared" si="66"/>
        <v>1313</v>
      </c>
      <c r="IL27" s="727">
        <f t="shared" si="225"/>
        <v>10.019998553291202</v>
      </c>
      <c r="IM27" s="759">
        <v>1.7292965191584801E-2</v>
      </c>
      <c r="IN27" s="5">
        <f t="shared" si="226"/>
        <v>0.74</v>
      </c>
      <c r="IO27" s="771">
        <v>370</v>
      </c>
      <c r="IP27" s="9">
        <f t="shared" si="227"/>
        <v>-5.6506170422609987</v>
      </c>
      <c r="IQ27" s="5">
        <f t="shared" si="228"/>
        <v>-2.6261079203414881</v>
      </c>
      <c r="IR27" s="5">
        <f t="shared" si="71"/>
        <v>0.314</v>
      </c>
      <c r="IS27" s="5">
        <f t="shared" si="229"/>
        <v>0.29602990082018527</v>
      </c>
      <c r="IT27" s="727">
        <f t="shared" si="230"/>
        <v>83.513691741184033</v>
      </c>
      <c r="IU27" s="9">
        <f t="shared" si="231"/>
        <v>-5.6940246989043359</v>
      </c>
      <c r="IV27" s="5">
        <f t="shared" si="232"/>
        <v>-2.6049215590380057</v>
      </c>
      <c r="IW27" s="5">
        <f t="shared" si="76"/>
        <v>0.26600000000000001</v>
      </c>
      <c r="IX27" s="5">
        <f t="shared" si="233"/>
        <v>0.23154008589896033</v>
      </c>
      <c r="IY27" s="762">
        <f t="shared" si="234"/>
        <v>73.241507355142801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2.702791491380756</v>
      </c>
      <c r="C28" s="708">
        <v>1.2453723875362377</v>
      </c>
      <c r="D28" s="709">
        <v>-8.7400263599195019E-2</v>
      </c>
      <c r="E28" s="710">
        <v>-0.36798285680815962</v>
      </c>
      <c r="F28" s="708">
        <v>0.89314397096129527</v>
      </c>
      <c r="G28" s="711">
        <v>0.25861644230557829</v>
      </c>
      <c r="H28" s="710">
        <v>0.314</v>
      </c>
      <c r="I28" s="708">
        <v>0.52</v>
      </c>
      <c r="J28" s="570">
        <v>2.1150000000000002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2.1150000000000002</v>
      </c>
      <c r="N28" s="632">
        <f t="shared" si="2"/>
        <v>2.702791491380756</v>
      </c>
      <c r="O28" s="629">
        <f t="shared" si="3"/>
        <v>1.2453723875362377</v>
      </c>
      <c r="P28" s="633">
        <f t="shared" si="4"/>
        <v>-8.7400263599195019E-2</v>
      </c>
      <c r="Q28" s="585">
        <f t="shared" si="113"/>
        <v>24.738957444959681</v>
      </c>
      <c r="R28" s="629">
        <f t="shared" si="79"/>
        <v>2.9759089753414703</v>
      </c>
      <c r="S28" s="634">
        <f t="shared" si="80"/>
        <v>-8.7400263599195019E-2</v>
      </c>
      <c r="T28" s="635">
        <f t="shared" si="81"/>
        <v>1.2453723875362361</v>
      </c>
      <c r="U28" s="629">
        <f t="shared" si="82"/>
        <v>-2.7027914913807565</v>
      </c>
      <c r="V28" s="636">
        <f t="shared" si="114"/>
        <v>-8.7400263599195019E-2</v>
      </c>
      <c r="W28" s="585">
        <f t="shared" si="224"/>
        <v>294.73895744495968</v>
      </c>
      <c r="X28" s="629">
        <f t="shared" si="83"/>
        <v>2.9759089753414703</v>
      </c>
      <c r="Y28" s="630">
        <f t="shared" si="223"/>
        <v>-8.7400263599195019E-2</v>
      </c>
      <c r="Z28" s="632">
        <f t="shared" si="6"/>
        <v>0.36798285680815962</v>
      </c>
      <c r="AA28" s="629">
        <f t="shared" si="7"/>
        <v>-0.89314397096129527</v>
      </c>
      <c r="AB28" s="629">
        <f t="shared" si="8"/>
        <v>-0.25861644230557829</v>
      </c>
      <c r="AC28" s="636">
        <f t="shared" si="84"/>
        <v>1</v>
      </c>
      <c r="AD28" s="637">
        <f t="shared" si="115"/>
        <v>0.36798285680815962</v>
      </c>
      <c r="AE28" s="629">
        <f t="shared" si="85"/>
        <v>-0.89314397096129527</v>
      </c>
      <c r="AF28" s="633">
        <f t="shared" si="86"/>
        <v>-0.25861644230557829</v>
      </c>
      <c r="AG28" s="602">
        <f t="shared" si="87"/>
        <v>-73.851235831671318</v>
      </c>
      <c r="AH28" s="603">
        <f t="shared" si="88"/>
        <v>68.408731486477421</v>
      </c>
      <c r="AI28" s="585">
        <f t="shared" si="89"/>
        <v>-75.012017443538284</v>
      </c>
      <c r="AJ28" s="586">
        <f t="shared" si="90"/>
        <v>22.392074605531558</v>
      </c>
      <c r="AK28" s="635">
        <f t="shared" si="211"/>
        <v>0.96516984828751906</v>
      </c>
      <c r="AL28" s="629">
        <f t="shared" si="91"/>
        <v>-3.9556285541656633E-2</v>
      </c>
      <c r="AM28" s="634">
        <f t="shared" si="92"/>
        <v>-0.25861644230557829</v>
      </c>
      <c r="AN28" s="581">
        <f t="shared" si="93"/>
        <v>-8.6961918568834147</v>
      </c>
      <c r="AO28" s="582">
        <f t="shared" si="94"/>
        <v>15.166451685457329</v>
      </c>
      <c r="AP28" s="585">
        <f t="shared" si="95"/>
        <v>-2.3468828394280927</v>
      </c>
      <c r="AQ28" s="586">
        <f t="shared" si="9"/>
        <v>0.76601496240930145</v>
      </c>
      <c r="AS28" s="52">
        <f t="shared" si="116"/>
        <v>-65.261042555040319</v>
      </c>
      <c r="AT28" s="72">
        <f t="shared" si="10"/>
        <v>-4.2080095158194795E-2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3.4258602989122062</v>
      </c>
      <c r="C29" s="708">
        <v>1.5212062731109279</v>
      </c>
      <c r="D29" s="709">
        <v>-0.20370061436105291</v>
      </c>
      <c r="E29" s="710">
        <v>-0.24029248534187708</v>
      </c>
      <c r="F29" s="708">
        <v>0.94667729426749081</v>
      </c>
      <c r="G29" s="711">
        <v>0.21461971486004408</v>
      </c>
      <c r="H29" s="710">
        <v>0.314</v>
      </c>
      <c r="I29" s="708">
        <v>0.52</v>
      </c>
      <c r="J29" s="570">
        <v>2.121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2.121</v>
      </c>
      <c r="N29" s="632">
        <f t="shared" si="2"/>
        <v>3.4258602989122062</v>
      </c>
      <c r="O29" s="629">
        <f t="shared" si="3"/>
        <v>1.5212062731109279</v>
      </c>
      <c r="P29" s="633">
        <f t="shared" si="4"/>
        <v>-0.20370061436105291</v>
      </c>
      <c r="Q29" s="585">
        <f t="shared" si="113"/>
        <v>23.942957559887841</v>
      </c>
      <c r="R29" s="629">
        <f>IF(M29="","",SQRT(N29^2+O29^2))</f>
        <v>3.7484113052084971</v>
      </c>
      <c r="S29" s="634">
        <f>IF(M29="","",P29)</f>
        <v>-0.20370061436105291</v>
      </c>
      <c r="T29" s="635">
        <f>IF(M29="","",X29*COS(RADIANS(W29)))</f>
        <v>1.5212062731109244</v>
      </c>
      <c r="U29" s="629">
        <f>IF(M29="","",X29*SIN(RADIANS(W29)))</f>
        <v>-3.4258602989122076</v>
      </c>
      <c r="V29" s="636">
        <f>IF(M29="","",Y29)</f>
        <v>-0.20370061436105291</v>
      </c>
      <c r="W29" s="585">
        <f t="shared" si="224"/>
        <v>293.94295755988782</v>
      </c>
      <c r="X29" s="629">
        <f>IF(M29="","",R29)</f>
        <v>3.7484113052084971</v>
      </c>
      <c r="Y29" s="630">
        <f t="shared" si="223"/>
        <v>-0.20370061436105291</v>
      </c>
      <c r="Z29" s="632">
        <f t="shared" si="6"/>
        <v>0.24029248534187708</v>
      </c>
      <c r="AA29" s="629">
        <f t="shared" si="7"/>
        <v>-0.94667729426749081</v>
      </c>
      <c r="AB29" s="629">
        <f t="shared" si="8"/>
        <v>-0.21461971486004408</v>
      </c>
      <c r="AC29" s="636">
        <f>IF(M29="","",SQRT(Z29^2+AA29^2+AB29^2))</f>
        <v>1</v>
      </c>
      <c r="AD29" s="637">
        <f>IF(M29="","",Z29*(1/SQRT(Z29^2+AA29^2+AB29^2)))</f>
        <v>0.24029248534187708</v>
      </c>
      <c r="AE29" s="629">
        <f>IF(M29="","",AA29*(1/SQRT(Z29^2+AA29^2+AB29^2)))</f>
        <v>-0.94667729426749081</v>
      </c>
      <c r="AF29" s="633">
        <f>IF(M29="","",AB29*(1/SQRT(Z29^2+AA29^2+AB29^2)))</f>
        <v>-0.21461971486004408</v>
      </c>
      <c r="AG29" s="602">
        <f>IF(M29="","",DEGREES(ATAN2(-AF29,AE29)))</f>
        <v>-77.226481999433915</v>
      </c>
      <c r="AH29" s="603">
        <f>IF(M29="","",DEGREES(ACOS(AD29)))</f>
        <v>76.09619627917526</v>
      </c>
      <c r="AI29" s="585">
        <f>IF(M29="","",DEGREES(-ACOS(-AF29)))</f>
        <v>-77.606782224925141</v>
      </c>
      <c r="AJ29" s="586">
        <f>IF(M29="","",DEGREES(ATAN2(-AE29,AD29)))</f>
        <v>14.242442520598869</v>
      </c>
      <c r="AK29" s="635">
        <f>IF(M29="","",(COS(RADIANS((90-$Q$8)-W29))*AD29)+(-SIN(RADIANS((90-$Q$8)-W29))*AE29))</f>
        <v>0.96273282213766487</v>
      </c>
      <c r="AL29" s="629">
        <f>IF(M29="","",(SIN(RADIANS((90-$Q$8)-W29))*AD29)+(COS(RADIANS((90-$Q$8)-W29))*AE29))</f>
        <v>-0.16457184197863542</v>
      </c>
      <c r="AM29" s="634">
        <f>IF(M29="","",AF29)</f>
        <v>-0.21461971486004408</v>
      </c>
      <c r="AN29" s="581">
        <f>IF(M29="","",DEGREES(ATAN2(-AM29,AL29)))</f>
        <v>-37.481233516344254</v>
      </c>
      <c r="AO29" s="582">
        <f t="shared" si="94"/>
        <v>15.691300455169261</v>
      </c>
      <c r="AP29" s="585">
        <f>IF(M29="","",DEGREES(ATAN2(AK29,AL29)))</f>
        <v>-9.7005150392889163</v>
      </c>
      <c r="AQ29" s="586">
        <f t="shared" si="9"/>
        <v>0.60816191974132305</v>
      </c>
      <c r="AS29" s="52">
        <f t="shared" si="116"/>
        <v>-66.057042440112184</v>
      </c>
      <c r="AT29" s="72">
        <f t="shared" si="10"/>
        <v>-0.1578276682220861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29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200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250</v>
      </c>
    </row>
    <row r="30" spans="1:269" ht="15" customHeight="1" x14ac:dyDescent="0.25">
      <c r="A30" s="79"/>
      <c r="B30" s="707">
        <v>4.0706174564361897</v>
      </c>
      <c r="C30" s="708">
        <v>1.7292966204417597</v>
      </c>
      <c r="D30" s="709">
        <v>-0.5790017462692667</v>
      </c>
      <c r="E30" s="710">
        <v>-0.15817352240638965</v>
      </c>
      <c r="F30" s="708">
        <v>0.97548140027871011</v>
      </c>
      <c r="G30" s="711">
        <v>0.1530267117853685</v>
      </c>
      <c r="H30" s="710">
        <v>0.314</v>
      </c>
      <c r="I30" s="708">
        <v>0.52</v>
      </c>
      <c r="J30" s="570">
        <v>2.1269999999999998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2.1269999999999998</v>
      </c>
      <c r="N30" s="632">
        <f t="shared" si="2"/>
        <v>4.0706174564361897</v>
      </c>
      <c r="O30" s="629">
        <f t="shared" si="3"/>
        <v>1.7292966204417597</v>
      </c>
      <c r="P30" s="633">
        <f t="shared" si="4"/>
        <v>-0.5790017462692667</v>
      </c>
      <c r="Q30" s="585">
        <f t="shared" si="113"/>
        <v>23.016957693585688</v>
      </c>
      <c r="R30" s="629">
        <f>IF(M30="","",SQRT(N30^2+O30^2))</f>
        <v>4.4227133389034297</v>
      </c>
      <c r="S30" s="634">
        <f>IF(M30="","",P30)</f>
        <v>-0.5790017462692667</v>
      </c>
      <c r="T30" s="635">
        <f>IF(M30="","",X30*COS(RADIANS(W30)))</f>
        <v>1.7292966204417592</v>
      </c>
      <c r="U30" s="629">
        <f>IF(M30="","",X30*SIN(RADIANS(W30)))</f>
        <v>-4.0706174564361897</v>
      </c>
      <c r="V30" s="636">
        <f>IF(M30="","",Y30)</f>
        <v>-0.5790017462692667</v>
      </c>
      <c r="W30" s="585">
        <f t="shared" si="224"/>
        <v>293.01695769358571</v>
      </c>
      <c r="X30" s="629">
        <f>IF(M30="","",R30)</f>
        <v>4.4227133389034297</v>
      </c>
      <c r="Y30" s="630">
        <f t="shared" si="223"/>
        <v>-0.5790017462692667</v>
      </c>
      <c r="Z30" s="632">
        <f t="shared" si="6"/>
        <v>0.15817352240638965</v>
      </c>
      <c r="AA30" s="629">
        <f t="shared" si="7"/>
        <v>-0.97548140027871011</v>
      </c>
      <c r="AB30" s="629">
        <f t="shared" si="8"/>
        <v>-0.1530267117853685</v>
      </c>
      <c r="AC30" s="636">
        <f>IF(M30="","",SQRT(Z30^2+AA30^2+AB30^2))</f>
        <v>1</v>
      </c>
      <c r="AD30" s="637">
        <f>IF(M30="","",Z30*(1/SQRT(Z30^2+AA30^2+AB30^2)))</f>
        <v>0.15817352240638965</v>
      </c>
      <c r="AE30" s="629">
        <f>IF(M30="","",AA30*(1/SQRT(Z30^2+AA30^2+AB30^2)))</f>
        <v>-0.97548140027871011</v>
      </c>
      <c r="AF30" s="633">
        <f>IF(M30="","",AB30*(1/SQRT(Z30^2+AA30^2+AB30^2)))</f>
        <v>-0.1530267117853685</v>
      </c>
      <c r="AG30" s="602">
        <f>IF(M30="","",DEGREES(ATAN2(-AF30,AE30)))</f>
        <v>-81.084498555064698</v>
      </c>
      <c r="AH30" s="603">
        <f>IF(M30="","",DEGREES(ACOS(AD30)))</f>
        <v>80.899103196572739</v>
      </c>
      <c r="AI30" s="585">
        <f>IF(M30="","",DEGREES(-ACOS(-AF30)))</f>
        <v>-81.197630101245238</v>
      </c>
      <c r="AJ30" s="586">
        <f>IF(M30="","",DEGREES(ATAN2(-AE30,AD30)))</f>
        <v>9.2103025331225066</v>
      </c>
      <c r="AK30" s="635">
        <f>IF(M30="","",(COS(RADIANS((90-$Q$8)-W30))*AD30)+(-SIN(RADIANS((90-$Q$8)-W30))*AE30))</f>
        <v>0.95966892468694753</v>
      </c>
      <c r="AL30" s="629">
        <f>IF(M30="","",(SIN(RADIANS((90-$Q$8)-W30))*AD30)+(COS(RADIANS((90-$Q$8)-W30))*AE30))</f>
        <v>-0.23583549450910787</v>
      </c>
      <c r="AM30" s="634">
        <f>IF(M30="","",AF30)</f>
        <v>-0.1530267117853685</v>
      </c>
      <c r="AN30" s="581">
        <f>IF(M30="","",DEGREES(ATAN2(-AM30,AL30)))</f>
        <v>-57.021647357023767</v>
      </c>
      <c r="AO30" s="582">
        <f>IF(ROUND(IF(M30="",0,DEGREES(ACOS(AK30))),4)=90,0,IF(M30="","",DEGREES(ACOS(AK30))))</f>
        <v>16.32781516246585</v>
      </c>
      <c r="AP30" s="585">
        <f>IF(M30="","",DEGREES(ATAN2(AK30,AL30)))</f>
        <v>-13.806655160463178</v>
      </c>
      <c r="AQ30" s="586">
        <f t="shared" si="9"/>
        <v>0.51544492173290368</v>
      </c>
      <c r="AS30" s="52">
        <f t="shared" si="116"/>
        <v>-66.983042306414291</v>
      </c>
      <c r="AT30" s="72">
        <f t="shared" si="10"/>
        <v>-0.53248574466759013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2.1269999999999998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12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330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4.5807819278332449</v>
      </c>
      <c r="C31" s="708">
        <v>1.869844881819783</v>
      </c>
      <c r="D31" s="709">
        <v>-1.1334034183447097</v>
      </c>
      <c r="E31" s="710">
        <v>-0.1131220208522625</v>
      </c>
      <c r="F31" s="708">
        <v>0.98723698670682269</v>
      </c>
      <c r="G31" s="711">
        <v>0.11210058196250898</v>
      </c>
      <c r="H31" s="710">
        <v>0.314</v>
      </c>
      <c r="I31" s="708">
        <v>0.52</v>
      </c>
      <c r="J31" s="570">
        <v>2.133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2.133</v>
      </c>
      <c r="N31" s="632">
        <f t="shared" si="2"/>
        <v>4.5807819278332449</v>
      </c>
      <c r="O31" s="629">
        <f t="shared" si="3"/>
        <v>1.869844881819783</v>
      </c>
      <c r="P31" s="633">
        <f t="shared" si="4"/>
        <v>-1.1334034183447097</v>
      </c>
      <c r="Q31" s="585">
        <f t="shared" si="113"/>
        <v>22.204957810823963</v>
      </c>
      <c r="R31" s="629">
        <f>IF(M31="","",SQRT(N31^2+O31^2))</f>
        <v>4.9477149223082062</v>
      </c>
      <c r="S31" s="634">
        <f>IF(M31="","",P31)</f>
        <v>-1.1334034183447097</v>
      </c>
      <c r="T31" s="635">
        <f>IF(M31="","",X31*COS(RADIANS(W31)))</f>
        <v>1.869844881819783</v>
      </c>
      <c r="U31" s="629">
        <f>IF(M31="","",X31*SIN(RADIANS(W31)))</f>
        <v>-4.5807819278332449</v>
      </c>
      <c r="V31" s="636">
        <f>IF(M31="","",Y31)</f>
        <v>-1.1334034183447097</v>
      </c>
      <c r="W31" s="585">
        <f t="shared" si="224"/>
        <v>292.20495781082394</v>
      </c>
      <c r="X31" s="629">
        <f>IF(M31="","",R31)</f>
        <v>4.9477149223082062</v>
      </c>
      <c r="Y31" s="630">
        <f t="shared" si="223"/>
        <v>-1.1334034183447097</v>
      </c>
      <c r="Z31" s="632">
        <f t="shared" si="6"/>
        <v>0.1131220208522625</v>
      </c>
      <c r="AA31" s="629">
        <f t="shared" si="7"/>
        <v>-0.98723698670682269</v>
      </c>
      <c r="AB31" s="629">
        <f t="shared" si="8"/>
        <v>-0.11210058196250898</v>
      </c>
      <c r="AC31" s="636">
        <f>IF(M31="","",SQRT(Z31^2+AA31^2+AB31^2))</f>
        <v>1</v>
      </c>
      <c r="AD31" s="637">
        <f>IF(M31="","",Z31*(1/SQRT(Z31^2+AA31^2+AB31^2)))</f>
        <v>0.1131220208522625</v>
      </c>
      <c r="AE31" s="629">
        <f>IF(M31="","",AA31*(1/SQRT(Z31^2+AA31^2+AB31^2)))</f>
        <v>-0.98723698670682269</v>
      </c>
      <c r="AF31" s="633">
        <f>IF(M31="","",AB31*(1/SQRT(Z31^2+AA31^2+AB31^2)))</f>
        <v>-0.11210058196250898</v>
      </c>
      <c r="AG31" s="602">
        <f>IF(M31="","",DEGREES(ATAN2(-AF31,AE31)))</f>
        <v>-83.521821734771592</v>
      </c>
      <c r="AH31" s="603">
        <f>IF(M31="","",DEGREES(ACOS(AD31)))</f>
        <v>83.504682086871767</v>
      </c>
      <c r="AI31" s="585">
        <f>IF(M31="","",DEGREES(-ACOS(-AF31)))</f>
        <v>-83.563580875264222</v>
      </c>
      <c r="AJ31" s="586">
        <f>IF(M31="","",DEGREES(ATAN2(-AE31,AD31)))</f>
        <v>6.5366975853581142</v>
      </c>
      <c r="AK31" s="635">
        <f>IF(M31="","",(COS(RADIANS((90-$Q$8)-W31))*AD31)+(-SIN(RADIANS((90-$Q$8)-W31))*AE31))</f>
        <v>0.95677258153314293</v>
      </c>
      <c r="AL31" s="629">
        <f>IF(M31="","",(SIN(RADIANS((90-$Q$8)-W31))*AD31)+(COS(RADIANS((90-$Q$8)-W31))*AE31))</f>
        <v>-0.26836483888555906</v>
      </c>
      <c r="AM31" s="634">
        <f>IF(M31="","",AF31)</f>
        <v>-0.11210058196250898</v>
      </c>
      <c r="AN31" s="581">
        <f>IF(M31="","",DEGREES(ATAN2(-AM31,AL31)))</f>
        <v>-67.328872002638192</v>
      </c>
      <c r="AO31" s="582">
        <f t="shared" si="94"/>
        <v>16.908079493730522</v>
      </c>
      <c r="AP31" s="585">
        <f>IF(M31="","",DEGREES(ATAN2(AK31,AL31)))</f>
        <v>-15.668260225465849</v>
      </c>
      <c r="AQ31" s="586">
        <f t="shared" si="9"/>
        <v>0.46075360554003147</v>
      </c>
      <c r="AS31" s="52">
        <f t="shared" si="116"/>
        <v>-67.795042189176058</v>
      </c>
      <c r="AT31" s="72">
        <f t="shared" si="10"/>
        <v>-1.0863235279355596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4.9654884997957121</v>
      </c>
      <c r="C32" s="708">
        <v>1.9621632748828346</v>
      </c>
      <c r="D32" s="709">
        <v>-1.7901053989578832</v>
      </c>
      <c r="E32" s="710">
        <v>-6.7220408885826075E-2</v>
      </c>
      <c r="F32" s="708">
        <v>0.99463729546129687</v>
      </c>
      <c r="G32" s="711">
        <v>7.8600681337119935E-2</v>
      </c>
      <c r="H32" s="710">
        <v>0.314</v>
      </c>
      <c r="I32" s="708">
        <v>0.52</v>
      </c>
      <c r="J32" s="570">
        <v>2.1389999999999998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2.1389999999999998</v>
      </c>
      <c r="N32" s="632">
        <f t="shared" si="2"/>
        <v>4.9654884997957121</v>
      </c>
      <c r="O32" s="629">
        <f t="shared" si="3"/>
        <v>1.9621632748828346</v>
      </c>
      <c r="P32" s="633">
        <f t="shared" si="4"/>
        <v>-1.7901053989578832</v>
      </c>
      <c r="Q32" s="585">
        <f t="shared" si="113"/>
        <v>21.561957903661664</v>
      </c>
      <c r="R32" s="629">
        <f t="shared" si="79"/>
        <v>5.3391161027741658</v>
      </c>
      <c r="S32" s="634">
        <f t="shared" si="80"/>
        <v>-1.7901053989578832</v>
      </c>
      <c r="T32" s="635">
        <f t="shared" si="81"/>
        <v>1.9621632748828322</v>
      </c>
      <c r="U32" s="629">
        <f t="shared" si="82"/>
        <v>-4.9654884997957121</v>
      </c>
      <c r="V32" s="636">
        <f t="shared" si="114"/>
        <v>-1.7901053989578832</v>
      </c>
      <c r="W32" s="585">
        <f t="shared" si="224"/>
        <v>291.56195790366166</v>
      </c>
      <c r="X32" s="629">
        <f t="shared" si="83"/>
        <v>5.3391161027741658</v>
      </c>
      <c r="Y32" s="630">
        <f t="shared" si="223"/>
        <v>-1.7901053989578832</v>
      </c>
      <c r="Z32" s="632">
        <f t="shared" si="6"/>
        <v>6.7220408885826075E-2</v>
      </c>
      <c r="AA32" s="629">
        <f t="shared" si="7"/>
        <v>-0.99463729546129687</v>
      </c>
      <c r="AB32" s="629">
        <f t="shared" si="8"/>
        <v>-7.8600681337119935E-2</v>
      </c>
      <c r="AC32" s="636">
        <f t="shared" si="84"/>
        <v>1</v>
      </c>
      <c r="AD32" s="637">
        <f t="shared" si="115"/>
        <v>6.7220408885826075E-2</v>
      </c>
      <c r="AE32" s="629">
        <f t="shared" si="85"/>
        <v>-0.99463729546129687</v>
      </c>
      <c r="AF32" s="633">
        <f t="shared" si="86"/>
        <v>-7.8600681337119935E-2</v>
      </c>
      <c r="AG32" s="602">
        <f t="shared" si="87"/>
        <v>-85.481621552773831</v>
      </c>
      <c r="AH32" s="603">
        <f t="shared" si="88"/>
        <v>86.145647846889943</v>
      </c>
      <c r="AI32" s="585">
        <f t="shared" si="89"/>
        <v>-85.49186261193195</v>
      </c>
      <c r="AJ32" s="586">
        <f t="shared" si="90"/>
        <v>3.8663319908939289</v>
      </c>
      <c r="AK32" s="635">
        <f t="shared" si="211"/>
        <v>0.94973725465243708</v>
      </c>
      <c r="AL32" s="629">
        <f t="shared" si="91"/>
        <v>-0.30301993336840516</v>
      </c>
      <c r="AM32" s="634">
        <f t="shared" si="92"/>
        <v>-7.8600681337119935E-2</v>
      </c>
      <c r="AN32" s="581">
        <f t="shared" si="93"/>
        <v>-75.458465660580941</v>
      </c>
      <c r="AO32" s="582">
        <f t="shared" si="94"/>
        <v>18.243022811988968</v>
      </c>
      <c r="AP32" s="585">
        <f t="shared" si="95"/>
        <v>-17.695625912767714</v>
      </c>
      <c r="AQ32" s="586">
        <f t="shared" si="9"/>
        <v>0.42697787171159907</v>
      </c>
      <c r="AS32" s="52">
        <f t="shared" si="116"/>
        <v>-68.438042096338336</v>
      </c>
      <c r="AT32" s="72">
        <f t="shared" si="10"/>
        <v>-1.742578980835426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2.1389999999999998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5.2386116997450429</v>
      </c>
      <c r="C33" s="708">
        <v>2.0206723299090936</v>
      </c>
      <c r="D33" s="709">
        <v>-2.5036075508803739</v>
      </c>
      <c r="E33" s="710">
        <v>-3.1766725579014533E-2</v>
      </c>
      <c r="F33" s="708">
        <v>0.99848090107113829</v>
      </c>
      <c r="G33" s="711">
        <v>4.5019610639759261E-2</v>
      </c>
      <c r="H33" s="710">
        <v>0.314</v>
      </c>
      <c r="I33" s="708">
        <v>0.52</v>
      </c>
      <c r="J33" s="570">
        <v>2.145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2.145</v>
      </c>
      <c r="N33" s="632">
        <f t="shared" si="2"/>
        <v>5.2386116997450429</v>
      </c>
      <c r="O33" s="629">
        <f t="shared" si="3"/>
        <v>2.0206723299090936</v>
      </c>
      <c r="P33" s="633">
        <f t="shared" si="4"/>
        <v>-2.5036075508803739</v>
      </c>
      <c r="Q33" s="585">
        <f t="shared" si="113"/>
        <v>21.092957971376872</v>
      </c>
      <c r="R33" s="629">
        <f t="shared" si="79"/>
        <v>5.6148169342878749</v>
      </c>
      <c r="S33" s="634">
        <f t="shared" si="80"/>
        <v>-2.5036075508803739</v>
      </c>
      <c r="T33" s="635">
        <f t="shared" si="81"/>
        <v>2.0206723299090901</v>
      </c>
      <c r="U33" s="629">
        <f t="shared" si="82"/>
        <v>-5.2386116997450447</v>
      </c>
      <c r="V33" s="636">
        <f t="shared" si="114"/>
        <v>-2.5036075508803739</v>
      </c>
      <c r="W33" s="585">
        <f t="shared" si="224"/>
        <v>291.09295797137685</v>
      </c>
      <c r="X33" s="629">
        <f t="shared" si="83"/>
        <v>5.6148169342878749</v>
      </c>
      <c r="Y33" s="630">
        <f t="shared" si="223"/>
        <v>-2.5036075508803739</v>
      </c>
      <c r="Z33" s="632">
        <f t="shared" si="6"/>
        <v>3.1766725579014533E-2</v>
      </c>
      <c r="AA33" s="629">
        <f t="shared" si="7"/>
        <v>-0.99848090107113829</v>
      </c>
      <c r="AB33" s="629">
        <f t="shared" si="8"/>
        <v>-4.5019610639759261E-2</v>
      </c>
      <c r="AC33" s="636">
        <f t="shared" si="84"/>
        <v>1</v>
      </c>
      <c r="AD33" s="637">
        <f t="shared" si="115"/>
        <v>3.1766725579014533E-2</v>
      </c>
      <c r="AE33" s="629">
        <f t="shared" si="85"/>
        <v>-0.99848090107113829</v>
      </c>
      <c r="AF33" s="633">
        <f t="shared" si="86"/>
        <v>-4.5019610639759261E-2</v>
      </c>
      <c r="AG33" s="602">
        <f t="shared" si="87"/>
        <v>-87.418390407829364</v>
      </c>
      <c r="AH33" s="603">
        <f t="shared" si="88"/>
        <v>88.179594438371083</v>
      </c>
      <c r="AI33" s="585">
        <f t="shared" si="89"/>
        <v>-87.419694201579802</v>
      </c>
      <c r="AJ33" s="586">
        <f t="shared" si="90"/>
        <v>1.8222537608934843</v>
      </c>
      <c r="AK33" s="635">
        <f t="shared" si="211"/>
        <v>0.94301273499740779</v>
      </c>
      <c r="AL33" s="629">
        <f t="shared" si="91"/>
        <v>-0.32969715845083286</v>
      </c>
      <c r="AM33" s="634">
        <f t="shared" si="92"/>
        <v>-4.5019610639759261E-2</v>
      </c>
      <c r="AN33" s="581">
        <f t="shared" si="93"/>
        <v>-82.224442825583623</v>
      </c>
      <c r="AO33" s="582">
        <f t="shared" si="94"/>
        <v>19.43617800327619</v>
      </c>
      <c r="AP33" s="585">
        <f t="shared" si="95"/>
        <v>-19.270704210483348</v>
      </c>
      <c r="AQ33" s="586">
        <f t="shared" si="9"/>
        <v>0.40601296526428571</v>
      </c>
      <c r="AS33" s="52">
        <f t="shared" si="116"/>
        <v>-68.907042028623152</v>
      </c>
      <c r="AT33" s="72">
        <f t="shared" si="10"/>
        <v>-2.4557554383604967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2.145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5.4121041360413074</v>
      </c>
      <c r="C34" s="708">
        <v>2.0549962983104662</v>
      </c>
      <c r="D34" s="709">
        <v>-3.2486097978071506</v>
      </c>
      <c r="E34" s="710">
        <v>9.8143043520953592E-3</v>
      </c>
      <c r="F34" s="708">
        <v>0.9997764575522804</v>
      </c>
      <c r="G34" s="711">
        <v>1.8727369123763223E-2</v>
      </c>
      <c r="H34" s="710">
        <v>0.314</v>
      </c>
      <c r="I34" s="708">
        <v>0.52</v>
      </c>
      <c r="J34" s="570">
        <v>2.1509999999999998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2.1509999999999998</v>
      </c>
      <c r="N34" s="632">
        <f t="shared" si="2"/>
        <v>5.4121041360413074</v>
      </c>
      <c r="O34" s="629">
        <f t="shared" si="3"/>
        <v>2.0549962983104662</v>
      </c>
      <c r="P34" s="633">
        <f t="shared" si="4"/>
        <v>-3.2486097978071506</v>
      </c>
      <c r="Q34" s="585">
        <f t="shared" si="113"/>
        <v>20.791958014835888</v>
      </c>
      <c r="R34" s="629">
        <f>IF(M34="","",SQRT(N34^2+O34^2))</f>
        <v>5.78911745997826</v>
      </c>
      <c r="S34" s="634">
        <f>IF(M34="","",P34)</f>
        <v>-3.2486097978071506</v>
      </c>
      <c r="T34" s="635">
        <f>IF(M34="","",X34*COS(RADIANS(W34)))</f>
        <v>2.0549962983104635</v>
      </c>
      <c r="U34" s="629">
        <f>IF(M34="","",X34*SIN(RADIANS(W34)))</f>
        <v>-5.4121041360413082</v>
      </c>
      <c r="V34" s="636">
        <f>IF(M34="","",Y34)</f>
        <v>-3.2486097978071506</v>
      </c>
      <c r="W34" s="585">
        <f t="shared" si="224"/>
        <v>290.79195801483587</v>
      </c>
      <c r="X34" s="629">
        <f>IF(M34="","",R34)</f>
        <v>5.78911745997826</v>
      </c>
      <c r="Y34" s="630">
        <f t="shared" si="223"/>
        <v>-3.2486097978071506</v>
      </c>
      <c r="Z34" s="632">
        <f t="shared" si="6"/>
        <v>-9.8143043520953592E-3</v>
      </c>
      <c r="AA34" s="629">
        <f t="shared" si="7"/>
        <v>-0.9997764575522804</v>
      </c>
      <c r="AB34" s="629">
        <f t="shared" si="8"/>
        <v>-1.8727369123763223E-2</v>
      </c>
      <c r="AC34" s="636">
        <f>IF(M34="","",SQRT(Z34^2+AA34^2+AB34^2))</f>
        <v>1</v>
      </c>
      <c r="AD34" s="637">
        <f>IF(M34="","",Z34*(1/SQRT(Z34^2+AA34^2+AB34^2)))</f>
        <v>-9.8143043520953592E-3</v>
      </c>
      <c r="AE34" s="629">
        <f>IF(M34="","",AA34*(1/SQRT(Z34^2+AA34^2+AB34^2)))</f>
        <v>-0.9997764575522804</v>
      </c>
      <c r="AF34" s="633">
        <f>IF(M34="","",AB34*(1/SQRT(Z34^2+AA34^2+AB34^2)))</f>
        <v>-1.8727369123763223E-2</v>
      </c>
      <c r="AG34" s="602">
        <f>IF(M34="","",DEGREES(ATAN2(-AF34,AE34)))</f>
        <v>-88.926886369806823</v>
      </c>
      <c r="AH34" s="603">
        <f>IF(M34="","",DEGREES(ACOS(AD34)))</f>
        <v>90.562327245758453</v>
      </c>
      <c r="AI34" s="585">
        <f>IF(M34="","",DEGREES(-ACOS(-AF34)))</f>
        <v>-88.926938058553262</v>
      </c>
      <c r="AJ34" s="586">
        <f>IF(M34="","",DEGREES(ATAN2(-AE34,AD34)))</f>
        <v>-0.56242588298982765</v>
      </c>
      <c r="AK34" s="635">
        <f>IF(M34="","",(COS(RADIANS((90-$Q$8)-W34))*AD34)+(-SIN(RADIANS((90-$Q$8)-W34))*AE34))</f>
        <v>0.93118268530374915</v>
      </c>
      <c r="AL34" s="629">
        <f>IF(M34="","",(SIN(RADIANS((90-$Q$8)-W34))*AD34)+(COS(RADIANS((90-$Q$8)-W34))*AE34))</f>
        <v>-0.36407154823770721</v>
      </c>
      <c r="AM34" s="634">
        <f>IF(M34="","",AF34)</f>
        <v>-1.8727369123763223E-2</v>
      </c>
      <c r="AN34" s="581">
        <f>IF(M34="","",DEGREES(ATAN2(-AM34,AL34)))</f>
        <v>-87.055374546704897</v>
      </c>
      <c r="AO34" s="582">
        <f t="shared" si="94"/>
        <v>21.380069131391792</v>
      </c>
      <c r="AP34" s="585">
        <f>IF(M34="","",DEGREES(ATAN2(AK34,AL34)))</f>
        <v>-21.354383897825691</v>
      </c>
      <c r="AQ34" s="586">
        <f t="shared" si="9"/>
        <v>0.39378899319616811</v>
      </c>
      <c r="AS34" s="52">
        <f t="shared" si="116"/>
        <v>-69.20804198516413</v>
      </c>
      <c r="AT34" s="72">
        <f t="shared" si="10"/>
        <v>-3.2005486575396755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2.1509999999999998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5.4932935760203838</v>
      </c>
      <c r="C35" s="708">
        <v>2.0701521009195538</v>
      </c>
      <c r="D35" s="709">
        <v>-4.009512092688472</v>
      </c>
      <c r="E35" s="710">
        <v>0.18672537868769354</v>
      </c>
      <c r="F35" s="708">
        <v>0.98125486555547647</v>
      </c>
      <c r="G35" s="711">
        <v>4.7670974162916518E-2</v>
      </c>
      <c r="H35" s="710">
        <v>0.314</v>
      </c>
      <c r="I35" s="708">
        <v>0.52</v>
      </c>
      <c r="J35" s="570">
        <v>2.157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2.157</v>
      </c>
      <c r="N35" s="632">
        <f t="shared" si="2"/>
        <v>5.4932935760203838</v>
      </c>
      <c r="O35" s="629">
        <f t="shared" si="3"/>
        <v>2.0701521009195538</v>
      </c>
      <c r="P35" s="633">
        <f t="shared" si="4"/>
        <v>-4.009512092688472</v>
      </c>
      <c r="Q35" s="585">
        <f t="shared" si="113"/>
        <v>20.648958035482533</v>
      </c>
      <c r="R35" s="629">
        <f>IF(M35="","",SQRT(N35^2+O35^2))</f>
        <v>5.8704177051797988</v>
      </c>
      <c r="S35" s="634">
        <f>IF(M35="","",P35)</f>
        <v>-4.009512092688472</v>
      </c>
      <c r="T35" s="635">
        <f>IF(M35="","",X35*COS(RADIANS(W35)))</f>
        <v>2.0701521009195507</v>
      </c>
      <c r="U35" s="629">
        <f>IF(M35="","",X35*SIN(RADIANS(W35)))</f>
        <v>-5.4932935760203847</v>
      </c>
      <c r="V35" s="636">
        <f>IF(M35="","",Y35)</f>
        <v>-4.009512092688472</v>
      </c>
      <c r="W35" s="585">
        <f t="shared" si="224"/>
        <v>290.64895803548251</v>
      </c>
      <c r="X35" s="629">
        <f>IF(M35="","",R35)</f>
        <v>5.8704177051797988</v>
      </c>
      <c r="Y35" s="630">
        <f t="shared" si="223"/>
        <v>-4.009512092688472</v>
      </c>
      <c r="Z35" s="632">
        <f t="shared" si="6"/>
        <v>-0.18672537868769354</v>
      </c>
      <c r="AA35" s="629">
        <f t="shared" si="7"/>
        <v>-0.98125486555547647</v>
      </c>
      <c r="AB35" s="629">
        <f t="shared" si="8"/>
        <v>-4.7670974162916518E-2</v>
      </c>
      <c r="AC35" s="636">
        <f>IF(M35="","",SQRT(Z35^2+AA35^2+AB35^2))</f>
        <v>1</v>
      </c>
      <c r="AD35" s="637">
        <f>IF(M35="","",Z35*(1/SQRT(Z35^2+AA35^2+AB35^2)))</f>
        <v>-0.18672537868769354</v>
      </c>
      <c r="AE35" s="629">
        <f>IF(M35="","",AA35*(1/SQRT(Z35^2+AA35^2+AB35^2)))</f>
        <v>-0.98125486555547647</v>
      </c>
      <c r="AF35" s="633">
        <f>IF(M35="","",AB35*(1/SQRT(Z35^2+AA35^2+AB35^2)))</f>
        <v>-4.7670974162916518E-2</v>
      </c>
      <c r="AG35" s="602">
        <f>IF(M35="","",DEGREES(ATAN2(-AF35,AE35)))</f>
        <v>-87.218663632085494</v>
      </c>
      <c r="AH35" s="603">
        <f>IF(M35="","",DEGREES(ACOS(AD35)))</f>
        <v>100.7617423844347</v>
      </c>
      <c r="AI35" s="585">
        <f>IF(M35="","",DEGREES(-ACOS(-AF35)))</f>
        <v>-87.267618808762393</v>
      </c>
      <c r="AJ35" s="586">
        <f>IF(M35="","",DEGREES(ATAN2(-AE35,AD35)))</f>
        <v>-10.77413777531812</v>
      </c>
      <c r="AK35" s="635">
        <f>IF(M35="","",(COS(RADIANS((90-$Q$8)-W35))*AD35)+(-SIN(RADIANS((90-$Q$8)-W35))*AE35))</f>
        <v>0.85237054085507569</v>
      </c>
      <c r="AL35" s="629">
        <f>IF(M35="","",(SIN(RADIANS((90-$Q$8)-W35))*AD35)+(COS(RADIANS((90-$Q$8)-W35))*AE35))</f>
        <v>-0.52076092336578439</v>
      </c>
      <c r="AM35" s="634">
        <f>IF(M35="","",AF35)</f>
        <v>-4.7670974162916518E-2</v>
      </c>
      <c r="AN35" s="581">
        <f>IF(M35="","",DEGREES(ATAN2(-AM35,AL35)))</f>
        <v>-84.769664353223973</v>
      </c>
      <c r="AO35" s="582">
        <f t="shared" si="94"/>
        <v>31.529553746943495</v>
      </c>
      <c r="AP35" s="585">
        <f>IF(M35="","",DEGREES(ATAN2(AK35,AL35)))</f>
        <v>-31.423095810800621</v>
      </c>
      <c r="AQ35" s="586">
        <f t="shared" si="9"/>
        <v>0.38833552191529874</v>
      </c>
      <c r="AS35" s="52">
        <f t="shared" si="116"/>
        <v>-69.351041964517492</v>
      </c>
      <c r="AT35" s="72">
        <f t="shared" si="10"/>
        <v>-3.9613516468797791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2.157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5.5668807897864454</v>
      </c>
      <c r="C36" s="708">
        <v>2.0863516655412218</v>
      </c>
      <c r="D36" s="709">
        <v>-4.8025144843836838</v>
      </c>
      <c r="E36" s="710">
        <v>0.34316927509596146</v>
      </c>
      <c r="F36" s="708">
        <v>0.93342163397944267</v>
      </c>
      <c r="G36" s="711">
        <v>0.10468477372216055</v>
      </c>
      <c r="H36" s="710">
        <v>0.26600000000000001</v>
      </c>
      <c r="I36" s="708">
        <v>0.52</v>
      </c>
      <c r="J36" s="570">
        <v>2.1629999999999998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2.1629999999999998</v>
      </c>
      <c r="N36" s="632">
        <f t="shared" si="2"/>
        <v>5.5668807897864454</v>
      </c>
      <c r="O36" s="629">
        <f t="shared" si="3"/>
        <v>2.0863516655412218</v>
      </c>
      <c r="P36" s="633">
        <f t="shared" si="4"/>
        <v>-4.8025144843836838</v>
      </c>
      <c r="Q36" s="585">
        <f t="shared" si="113"/>
        <v>20.544958050498273</v>
      </c>
      <c r="R36" s="629">
        <f>IF(M36="","",SQRT(N36^2+O36^2))</f>
        <v>5.9449999999999994</v>
      </c>
      <c r="S36" s="634">
        <f>IF(M36="","",P36)</f>
        <v>-4.8025144843836838</v>
      </c>
      <c r="T36" s="635">
        <f>IF(M36="","",X36*COS(RADIANS(W36)))</f>
        <v>2.086351665541224</v>
      </c>
      <c r="U36" s="629">
        <f>IF(M36="","",X36*SIN(RADIANS(W36)))</f>
        <v>-5.5668807897864454</v>
      </c>
      <c r="V36" s="636">
        <f>IF(M36="","",Y36)</f>
        <v>-4.8025144843836838</v>
      </c>
      <c r="W36" s="585">
        <f t="shared" si="224"/>
        <v>290.54495805049828</v>
      </c>
      <c r="X36" s="629">
        <f>IF(M36="","",R36)</f>
        <v>5.9449999999999994</v>
      </c>
      <c r="Y36" s="630">
        <f t="shared" si="223"/>
        <v>-4.8025144843836838</v>
      </c>
      <c r="Z36" s="632">
        <f t="shared" si="6"/>
        <v>-0.34316927509596146</v>
      </c>
      <c r="AA36" s="629">
        <f t="shared" si="7"/>
        <v>-0.93342163397944267</v>
      </c>
      <c r="AB36" s="629">
        <f t="shared" si="8"/>
        <v>-0.10468477372216055</v>
      </c>
      <c r="AC36" s="636">
        <f>IF(M36="","",SQRT(Z36^2+AA36^2+AB36^2))</f>
        <v>1</v>
      </c>
      <c r="AD36" s="637">
        <f>IF(M36="","",Z36*(1/SQRT(Z36^2+AA36^2+AB36^2)))</f>
        <v>-0.34316927509596146</v>
      </c>
      <c r="AE36" s="629">
        <f>IF(M36="","",AA36*(1/SQRT(Z36^2+AA36^2+AB36^2)))</f>
        <v>-0.93342163397944267</v>
      </c>
      <c r="AF36" s="633">
        <f>IF(M36="","",AB36*(1/SQRT(Z36^2+AA36^2+AB36^2)))</f>
        <v>-0.10468477372216055</v>
      </c>
      <c r="AG36" s="602">
        <f>IF(M36="","",DEGREES(ATAN2(-AF36,AE36)))</f>
        <v>-83.60092372986071</v>
      </c>
      <c r="AH36" s="603">
        <f>IF(M36="","",DEGREES(ACOS(AD36)))</f>
        <v>110.07008150809988</v>
      </c>
      <c r="AI36" s="585">
        <f>IF(M36="","",DEGREES(-ACOS(-AF36)))</f>
        <v>-83.990994664481434</v>
      </c>
      <c r="AJ36" s="586">
        <f>IF(M36="","",DEGREES(ATAN2(-AE36,AD36)))</f>
        <v>-20.185779039738058</v>
      </c>
      <c r="AK36" s="635">
        <f>IF(M36="","",(COS(RADIANS((90-$Q$8)-W36))*AD36)+(-SIN(RADIANS((90-$Q$8)-W36))*AE36))</f>
        <v>0.75362071897597993</v>
      </c>
      <c r="AL36" s="629">
        <f>IF(M36="","",(SIN(RADIANS((90-$Q$8)-W36))*AD36)+(COS(RADIANS((90-$Q$8)-W36))*AE36))</f>
        <v>-0.64891980250325809</v>
      </c>
      <c r="AM36" s="634">
        <f>IF(M36="","",AF36)</f>
        <v>-0.10468477372216055</v>
      </c>
      <c r="AN36" s="581">
        <f>IF(M36="","",DEGREES(ATAN2(-AM36,AL36)))</f>
        <v>-80.835906946545578</v>
      </c>
      <c r="AO36" s="582">
        <f t="shared" si="94"/>
        <v>41.095003248590558</v>
      </c>
      <c r="AP36" s="585">
        <f>IF(M36="","",DEGREES(ATAN2(AK36,AL36)))</f>
        <v>-40.730737090236353</v>
      </c>
      <c r="AQ36" s="586">
        <f t="shared" si="9"/>
        <v>0.38346385092791813</v>
      </c>
      <c r="AS36" s="52">
        <f t="shared" si="116"/>
        <v>-69.45504194950172</v>
      </c>
      <c r="AT36" s="72">
        <f t="shared" si="10"/>
        <v>-4.7542818163631964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2.1629999999999998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3.7422392670383822</v>
      </c>
      <c r="C37" s="708">
        <v>0.38381588659532812</v>
      </c>
      <c r="D37" s="709">
        <v>-0.20681867489110051</v>
      </c>
      <c r="E37" s="710">
        <v>0.34023525249139147</v>
      </c>
      <c r="F37" s="708">
        <v>3.4895830795538499E-2</v>
      </c>
      <c r="G37" s="711">
        <v>0.93969263802331038</v>
      </c>
      <c r="H37" s="710">
        <v>0.26250000000000001</v>
      </c>
      <c r="I37" s="708">
        <v>0.40699999999999997</v>
      </c>
      <c r="J37" s="570">
        <v>2.2210000000000001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2.2210000000000001</v>
      </c>
      <c r="N37" s="632">
        <f t="shared" si="2"/>
        <v>3.7422392670383822</v>
      </c>
      <c r="O37" s="629">
        <f t="shared" si="3"/>
        <v>0.38381588659532812</v>
      </c>
      <c r="P37" s="633">
        <f t="shared" si="4"/>
        <v>-0.20681867489110051</v>
      </c>
      <c r="Q37" s="585">
        <f t="shared" si="113"/>
        <v>5.8559601713271725</v>
      </c>
      <c r="R37" s="629">
        <f t="shared" si="79"/>
        <v>3.7618704611624953</v>
      </c>
      <c r="S37" s="634">
        <f t="shared" si="80"/>
        <v>-0.20681867489110051</v>
      </c>
      <c r="T37" s="635">
        <f t="shared" si="81"/>
        <v>0.38381588659532695</v>
      </c>
      <c r="U37" s="629">
        <f t="shared" si="82"/>
        <v>-3.7422392670383826</v>
      </c>
      <c r="V37" s="636">
        <f t="shared" si="114"/>
        <v>-0.20681867489110051</v>
      </c>
      <c r="W37" s="585">
        <f t="shared" si="224"/>
        <v>275.85596017132718</v>
      </c>
      <c r="X37" s="629">
        <f t="shared" si="83"/>
        <v>3.7618704611624953</v>
      </c>
      <c r="Y37" s="630">
        <f t="shared" si="223"/>
        <v>-0.20681867489110051</v>
      </c>
      <c r="Z37" s="632">
        <f t="shared" si="6"/>
        <v>-0.34023525249139147</v>
      </c>
      <c r="AA37" s="629">
        <f t="shared" si="7"/>
        <v>-3.4895830795538499E-2</v>
      </c>
      <c r="AB37" s="629">
        <f t="shared" si="8"/>
        <v>-0.93969263802331038</v>
      </c>
      <c r="AC37" s="636">
        <f t="shared" si="84"/>
        <v>1</v>
      </c>
      <c r="AD37" s="637">
        <f t="shared" si="115"/>
        <v>-0.34023525249139147</v>
      </c>
      <c r="AE37" s="629">
        <f t="shared" si="85"/>
        <v>-3.4895830795538499E-2</v>
      </c>
      <c r="AF37" s="633">
        <f t="shared" si="86"/>
        <v>-0.93969263802331038</v>
      </c>
      <c r="AG37" s="602">
        <f t="shared" si="87"/>
        <v>-2.1267225391557156</v>
      </c>
      <c r="AH37" s="603">
        <f t="shared" si="88"/>
        <v>109.89120756647974</v>
      </c>
      <c r="AI37" s="585">
        <f t="shared" si="89"/>
        <v>-19.999997112361736</v>
      </c>
      <c r="AJ37" s="586">
        <f t="shared" si="90"/>
        <v>-84.144001835611746</v>
      </c>
      <c r="AK37" s="635">
        <f t="shared" si="211"/>
        <v>2.2679489681404208E-7</v>
      </c>
      <c r="AL37" s="629">
        <f t="shared" si="91"/>
        <v>-0.34202009596621707</v>
      </c>
      <c r="AM37" s="634">
        <f t="shared" si="92"/>
        <v>-0.93969263802331038</v>
      </c>
      <c r="AN37" s="581">
        <f t="shared" si="93"/>
        <v>-19.99999711235769</v>
      </c>
      <c r="AO37" s="582">
        <f t="shared" si="94"/>
        <v>0</v>
      </c>
      <c r="AP37" s="585">
        <f t="shared" si="95"/>
        <v>-89.999962006938901</v>
      </c>
      <c r="AQ37" s="586">
        <f t="shared" si="9"/>
        <v>0.60598621095247363</v>
      </c>
      <c r="AS37" s="52">
        <f t="shared" si="116"/>
        <v>-84.144039828672817</v>
      </c>
      <c r="AT37" s="72">
        <f t="shared" si="10"/>
        <v>-0.14838531389896661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2.2210000000000001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2.121</v>
      </c>
      <c r="II37" s="734" cm="1">
        <f t="array" ref="II37">IFERROR(IF($IH37&lt;1,$IH37+LARGE((IF($M$9:$M$150="",0,$M$9:$M$150)-MOD(IF($M$9:$M$150="",0,$M$9:$M$150),1)),1),$IH37),"")</f>
        <v>2.121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18.086997388560633</v>
      </c>
      <c r="IM37" s="759">
        <v>3.1430916363184E-2</v>
      </c>
      <c r="IN37" s="5">
        <f t="shared" si="226"/>
        <v>0.8</v>
      </c>
      <c r="IO37" s="771">
        <v>400</v>
      </c>
      <c r="IP37" s="9">
        <f t="shared" si="227"/>
        <v>-3.7484113052084971</v>
      </c>
      <c r="IQ37" s="5">
        <f t="shared" si="228"/>
        <v>-0.20370061436105291</v>
      </c>
      <c r="IR37" s="5">
        <f t="shared" si="71"/>
        <v>0.314</v>
      </c>
      <c r="IS37" s="5">
        <f t="shared" si="229"/>
        <v>0.30229810615122676</v>
      </c>
      <c r="IT37" s="727">
        <f t="shared" si="230"/>
        <v>37.481233516344254</v>
      </c>
      <c r="IU37" s="9">
        <f t="shared" si="231"/>
        <v>-3.7618704611624953</v>
      </c>
      <c r="IV37" s="5">
        <f t="shared" si="232"/>
        <v>-0.20681867489110051</v>
      </c>
      <c r="IW37" s="5">
        <f t="shared" si="76"/>
        <v>0.26250000000000001</v>
      </c>
      <c r="IX37" s="5">
        <f t="shared" si="233"/>
        <v>0.26250000000000001</v>
      </c>
      <c r="IY37" s="762">
        <f t="shared" si="234"/>
        <v>19.99999711235769</v>
      </c>
    </row>
    <row r="38" spans="1:267" ht="15" customHeight="1" x14ac:dyDescent="0.25">
      <c r="A38" s="79"/>
      <c r="B38" s="707">
        <v>4.3713031737745531</v>
      </c>
      <c r="C38" s="708">
        <v>0.84407188666048771</v>
      </c>
      <c r="D38" s="709">
        <v>-0.54756767915237636</v>
      </c>
      <c r="E38" s="710">
        <v>0.11872527549710224</v>
      </c>
      <c r="F38" s="708">
        <v>0.96111905680836074</v>
      </c>
      <c r="G38" s="711">
        <v>0.24930797740534558</v>
      </c>
      <c r="H38" s="710">
        <v>0.26600000000000001</v>
      </c>
      <c r="I38" s="708">
        <v>0.52</v>
      </c>
      <c r="J38" s="570">
        <v>2.2269999999999999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2.2269999999999999</v>
      </c>
      <c r="N38" s="632">
        <f t="shared" si="2"/>
        <v>4.3713031737745531</v>
      </c>
      <c r="O38" s="629">
        <f t="shared" si="3"/>
        <v>0.84407188666048771</v>
      </c>
      <c r="P38" s="633">
        <f t="shared" si="4"/>
        <v>-0.54756767915237636</v>
      </c>
      <c r="Q38" s="585">
        <f t="shared" si="113"/>
        <v>10.928959438876701</v>
      </c>
      <c r="R38" s="629">
        <f t="shared" si="79"/>
        <v>4.4520499533251057</v>
      </c>
      <c r="S38" s="634">
        <f t="shared" si="80"/>
        <v>-0.54756767915237636</v>
      </c>
      <c r="T38" s="635">
        <f t="shared" si="81"/>
        <v>0.84407188666048782</v>
      </c>
      <c r="U38" s="629">
        <f t="shared" si="82"/>
        <v>-4.3713031737745531</v>
      </c>
      <c r="V38" s="636">
        <f t="shared" si="114"/>
        <v>-0.54756767915237636</v>
      </c>
      <c r="W38" s="585">
        <f t="shared" si="224"/>
        <v>280.92895943887669</v>
      </c>
      <c r="X38" s="629">
        <f t="shared" si="83"/>
        <v>4.4520499533251057</v>
      </c>
      <c r="Y38" s="630">
        <f t="shared" si="223"/>
        <v>-0.54756767915237636</v>
      </c>
      <c r="Z38" s="632">
        <f t="shared" si="6"/>
        <v>-0.11872527549710224</v>
      </c>
      <c r="AA38" s="629">
        <f t="shared" si="7"/>
        <v>-0.96111905680836074</v>
      </c>
      <c r="AB38" s="629">
        <f t="shared" si="8"/>
        <v>-0.24930797740534558</v>
      </c>
      <c r="AC38" s="636">
        <f t="shared" si="84"/>
        <v>1</v>
      </c>
      <c r="AD38" s="637">
        <f t="shared" si="115"/>
        <v>-0.11872527549710224</v>
      </c>
      <c r="AE38" s="629">
        <f t="shared" si="85"/>
        <v>-0.96111905680836074</v>
      </c>
      <c r="AF38" s="633">
        <f t="shared" si="86"/>
        <v>-0.24930797740534558</v>
      </c>
      <c r="AG38" s="602">
        <f t="shared" si="87"/>
        <v>-75.458341424488836</v>
      </c>
      <c r="AH38" s="603">
        <f t="shared" si="88"/>
        <v>96.818540323202996</v>
      </c>
      <c r="AI38" s="585">
        <f t="shared" si="89"/>
        <v>-75.563434356842151</v>
      </c>
      <c r="AJ38" s="586">
        <f t="shared" si="90"/>
        <v>-7.0419689341695193</v>
      </c>
      <c r="AK38" s="635">
        <f t="shared" si="211"/>
        <v>0.92117792008498312</v>
      </c>
      <c r="AL38" s="629">
        <f t="shared" si="91"/>
        <v>-0.29879218856917972</v>
      </c>
      <c r="AM38" s="634">
        <f t="shared" si="92"/>
        <v>-0.24930797740534558</v>
      </c>
      <c r="AN38" s="581">
        <f t="shared" si="93"/>
        <v>-50.158857270313391</v>
      </c>
      <c r="AO38" s="582">
        <f t="shared" si="94"/>
        <v>22.901102159578041</v>
      </c>
      <c r="AP38" s="585">
        <f t="shared" si="95"/>
        <v>-17.97092837304622</v>
      </c>
      <c r="AQ38" s="586">
        <f t="shared" si="9"/>
        <v>0.51204859840468919</v>
      </c>
      <c r="AS38" s="52">
        <f t="shared" si="116"/>
        <v>-79.071040561123311</v>
      </c>
      <c r="AT38" s="72">
        <f t="shared" si="10"/>
        <v>-0.49265723431826297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2.2269999999999999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2.1269999999999998</v>
      </c>
      <c r="II38" s="734" cm="1">
        <f t="array" ref="II38">IFERROR(IF($IH38&lt;1,$IH38+LARGE((IF($M$9:$M$150="",0,$M$9:$M$150)-MOD(IF($M$9:$M$150="",0,$M$9:$M$150),1)),1),$IH38),"")</f>
        <v>2.1269999999999998</v>
      </c>
      <c r="IJ38" s="533">
        <f t="shared" si="112"/>
        <v>1613</v>
      </c>
      <c r="IK38" s="533">
        <f t="shared" si="66"/>
        <v>1313</v>
      </c>
      <c r="IL38" s="727">
        <f t="shared" si="225"/>
        <v>12.087998254709021</v>
      </c>
      <c r="IM38" s="759">
        <v>1.3717324616291699E-2</v>
      </c>
      <c r="IN38" s="5">
        <f t="shared" si="226"/>
        <v>0.46</v>
      </c>
      <c r="IO38" s="771">
        <v>230</v>
      </c>
      <c r="IP38" s="9">
        <f t="shared" si="227"/>
        <v>-4.4227133389034297</v>
      </c>
      <c r="IQ38" s="5">
        <f t="shared" si="228"/>
        <v>-0.5790017462692667</v>
      </c>
      <c r="IR38" s="5">
        <f t="shared" si="71"/>
        <v>0.314</v>
      </c>
      <c r="IS38" s="5">
        <f t="shared" si="229"/>
        <v>0.30133604235170153</v>
      </c>
      <c r="IT38" s="727">
        <f t="shared" si="230"/>
        <v>57.021647357023767</v>
      </c>
      <c r="IU38" s="9">
        <f t="shared" si="231"/>
        <v>-4.4520499533251057</v>
      </c>
      <c r="IV38" s="5">
        <f t="shared" si="232"/>
        <v>-0.54756767915237636</v>
      </c>
      <c r="IW38" s="5">
        <f t="shared" si="76"/>
        <v>0.26600000000000001</v>
      </c>
      <c r="IX38" s="5">
        <f t="shared" si="233"/>
        <v>0.24503332674260556</v>
      </c>
      <c r="IY38" s="762">
        <f t="shared" si="234"/>
        <v>50.158857270313391</v>
      </c>
    </row>
    <row r="39" spans="1:267" ht="15" customHeight="1" x14ac:dyDescent="0.25">
      <c r="A39" s="79"/>
      <c r="B39" s="707">
        <v>4.8879611705650561</v>
      </c>
      <c r="C39" s="708">
        <v>0.96190021594566055</v>
      </c>
      <c r="D39" s="709">
        <v>-1.103951479514963</v>
      </c>
      <c r="E39" s="710">
        <v>0.17935543913423177</v>
      </c>
      <c r="F39" s="708">
        <v>0.95753889498578693</v>
      </c>
      <c r="G39" s="711">
        <v>0.22572304056601095</v>
      </c>
      <c r="H39" s="710">
        <v>0.26600000000000001</v>
      </c>
      <c r="I39" s="708">
        <v>0.52</v>
      </c>
      <c r="J39" s="570">
        <v>2.2330000000000001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2.2330000000000001</v>
      </c>
      <c r="N39" s="632">
        <f t="shared" si="2"/>
        <v>4.8879611705650561</v>
      </c>
      <c r="O39" s="629">
        <f t="shared" si="3"/>
        <v>0.96190021594566055</v>
      </c>
      <c r="P39" s="633">
        <f t="shared" si="4"/>
        <v>-1.103951479514963</v>
      </c>
      <c r="Q39" s="585">
        <f t="shared" si="113"/>
        <v>11.132959409422748</v>
      </c>
      <c r="R39" s="629">
        <f t="shared" si="79"/>
        <v>4.9817081839854911</v>
      </c>
      <c r="S39" s="634">
        <f t="shared" si="80"/>
        <v>-1.103951479514963</v>
      </c>
      <c r="T39" s="635">
        <f t="shared" si="81"/>
        <v>0.96190021594566155</v>
      </c>
      <c r="U39" s="629">
        <f t="shared" si="82"/>
        <v>-4.8879611705650561</v>
      </c>
      <c r="V39" s="636">
        <f t="shared" si="114"/>
        <v>-1.103951479514963</v>
      </c>
      <c r="W39" s="585">
        <f t="shared" si="224"/>
        <v>281.13295940942277</v>
      </c>
      <c r="X39" s="629">
        <f t="shared" si="83"/>
        <v>4.9817081839854911</v>
      </c>
      <c r="Y39" s="630">
        <f t="shared" si="223"/>
        <v>-1.103951479514963</v>
      </c>
      <c r="Z39" s="632">
        <f t="shared" si="6"/>
        <v>-0.17935543913423177</v>
      </c>
      <c r="AA39" s="629">
        <f t="shared" si="7"/>
        <v>-0.95753889498578693</v>
      </c>
      <c r="AB39" s="629">
        <f t="shared" si="8"/>
        <v>-0.22572304056601095</v>
      </c>
      <c r="AC39" s="636">
        <f t="shared" si="84"/>
        <v>1</v>
      </c>
      <c r="AD39" s="637">
        <f t="shared" si="115"/>
        <v>-0.17935543913423177</v>
      </c>
      <c r="AE39" s="629">
        <f t="shared" si="85"/>
        <v>-0.95753889498578693</v>
      </c>
      <c r="AF39" s="633">
        <f t="shared" si="86"/>
        <v>-0.22572304056601095</v>
      </c>
      <c r="AG39" s="602">
        <f t="shared" si="87"/>
        <v>-76.735682420358401</v>
      </c>
      <c r="AH39" s="603">
        <f t="shared" si="88"/>
        <v>100.33221821803988</v>
      </c>
      <c r="AI39" s="585">
        <f t="shared" si="89"/>
        <v>-76.954600818877338</v>
      </c>
      <c r="AJ39" s="586">
        <f t="shared" si="90"/>
        <v>-10.609070726124724</v>
      </c>
      <c r="AK39" s="635">
        <f t="shared" si="211"/>
        <v>0.90488859159864021</v>
      </c>
      <c r="AL39" s="629">
        <f t="shared" si="91"/>
        <v>-0.36086804479236501</v>
      </c>
      <c r="AM39" s="634">
        <f t="shared" si="92"/>
        <v>-0.22572304056601095</v>
      </c>
      <c r="AN39" s="581">
        <f t="shared" si="93"/>
        <v>-57.974011727339104</v>
      </c>
      <c r="AO39" s="582">
        <f t="shared" si="94"/>
        <v>25.191717600375618</v>
      </c>
      <c r="AP39" s="585">
        <f t="shared" si="95"/>
        <v>-21.742030135547477</v>
      </c>
      <c r="AQ39" s="586">
        <f t="shared" si="9"/>
        <v>0.45760973420902468</v>
      </c>
      <c r="AS39" s="52">
        <f t="shared" si="116"/>
        <v>-78.867040590577233</v>
      </c>
      <c r="AT39" s="72">
        <f t="shared" si="10"/>
        <v>-1.049182701327062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2.2330000000000001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2.133</v>
      </c>
      <c r="II39" s="734" cm="1">
        <f t="array" ref="II39">IFERROR(IF($IH39&lt;1,$IH39+LARGE((IF($M$9:$M$150="",0,$M$9:$M$150)-MOD(IF($M$9:$M$150="",0,$M$9:$M$150),1)),1),$IH39),"")</f>
        <v>2.133</v>
      </c>
      <c r="IJ39" s="533">
        <f t="shared" si="112"/>
        <v>1613</v>
      </c>
      <c r="IK39" s="533">
        <f t="shared" si="66"/>
        <v>1313</v>
      </c>
      <c r="IL39" s="727">
        <f t="shared" si="225"/>
        <v>11.071998401401174</v>
      </c>
      <c r="IM39" s="759">
        <v>1.54785865831373E-2</v>
      </c>
      <c r="IN39" s="5">
        <f t="shared" si="226"/>
        <v>0.56000000000000005</v>
      </c>
      <c r="IO39" s="771">
        <v>280</v>
      </c>
      <c r="IP39" s="9">
        <f t="shared" si="227"/>
        <v>-4.9477149223082062</v>
      </c>
      <c r="IQ39" s="5">
        <f t="shared" si="228"/>
        <v>-1.1334034183447097</v>
      </c>
      <c r="IR39" s="5">
        <f t="shared" si="71"/>
        <v>0.314</v>
      </c>
      <c r="IS39" s="5">
        <f t="shared" si="229"/>
        <v>0.30042659060140686</v>
      </c>
      <c r="IT39" s="727">
        <f t="shared" si="230"/>
        <v>67.328872002638192</v>
      </c>
      <c r="IU39" s="9">
        <f t="shared" si="231"/>
        <v>-4.9817081839854911</v>
      </c>
      <c r="IV39" s="5">
        <f t="shared" si="232"/>
        <v>-1.103951479514963</v>
      </c>
      <c r="IW39" s="5">
        <f t="shared" si="76"/>
        <v>0.26600000000000001</v>
      </c>
      <c r="IX39" s="5">
        <f t="shared" si="233"/>
        <v>0.24070036536523831</v>
      </c>
      <c r="IY39" s="762">
        <f t="shared" si="234"/>
        <v>57.974011727339104</v>
      </c>
    </row>
    <row r="40" spans="1:267" ht="15" customHeight="1" x14ac:dyDescent="0.25">
      <c r="A40" s="79"/>
      <c r="B40" s="707">
        <v>5.2770518125281543</v>
      </c>
      <c r="C40" s="708">
        <v>1.0363646791931707</v>
      </c>
      <c r="D40" s="709">
        <v>-1.7641898751641278</v>
      </c>
      <c r="E40" s="710">
        <v>0.22712766429444403</v>
      </c>
      <c r="F40" s="708">
        <v>0.9571529386496832</v>
      </c>
      <c r="G40" s="711">
        <v>0.17964207788384723</v>
      </c>
      <c r="H40" s="710">
        <v>0.26600000000000001</v>
      </c>
      <c r="I40" s="708">
        <v>0.52</v>
      </c>
      <c r="J40" s="570">
        <v>2.2389999999999999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2.2389999999999999</v>
      </c>
      <c r="N40" s="632">
        <f t="shared" si="2"/>
        <v>5.2770518125281543</v>
      </c>
      <c r="O40" s="629">
        <f t="shared" si="3"/>
        <v>1.0363646791931707</v>
      </c>
      <c r="P40" s="633">
        <f t="shared" si="4"/>
        <v>-1.7641898751641278</v>
      </c>
      <c r="Q40" s="585">
        <f t="shared" si="113"/>
        <v>11.110959412599149</v>
      </c>
      <c r="R40" s="629">
        <f t="shared" si="79"/>
        <v>5.3778552955974783</v>
      </c>
      <c r="S40" s="634">
        <f t="shared" si="80"/>
        <v>-1.7641898751641278</v>
      </c>
      <c r="T40" s="635">
        <f t="shared" si="81"/>
        <v>1.036364679193168</v>
      </c>
      <c r="U40" s="629">
        <f t="shared" si="82"/>
        <v>-5.2770518125281551</v>
      </c>
      <c r="V40" s="636">
        <f t="shared" si="114"/>
        <v>-1.7641898751641278</v>
      </c>
      <c r="W40" s="585">
        <f t="shared" si="224"/>
        <v>281.11095941259913</v>
      </c>
      <c r="X40" s="629">
        <f t="shared" si="83"/>
        <v>5.3778552955974783</v>
      </c>
      <c r="Y40" s="630">
        <f t="shared" si="223"/>
        <v>-1.7641898751641278</v>
      </c>
      <c r="Z40" s="632">
        <f t="shared" si="6"/>
        <v>-0.22712766429444403</v>
      </c>
      <c r="AA40" s="629">
        <f t="shared" si="7"/>
        <v>-0.9571529386496832</v>
      </c>
      <c r="AB40" s="629">
        <f t="shared" si="8"/>
        <v>-0.17964207788384723</v>
      </c>
      <c r="AC40" s="636">
        <f t="shared" si="84"/>
        <v>1</v>
      </c>
      <c r="AD40" s="637">
        <f t="shared" si="115"/>
        <v>-0.22712766429444403</v>
      </c>
      <c r="AE40" s="629">
        <f t="shared" si="85"/>
        <v>-0.9571529386496832</v>
      </c>
      <c r="AF40" s="633">
        <f t="shared" si="86"/>
        <v>-0.17964207788384723</v>
      </c>
      <c r="AG40" s="602">
        <f t="shared" si="87"/>
        <v>-79.370173073464414</v>
      </c>
      <c r="AH40" s="603">
        <f t="shared" si="88"/>
        <v>103.12802409179996</v>
      </c>
      <c r="AI40" s="585">
        <f t="shared" si="89"/>
        <v>-79.65108744521666</v>
      </c>
      <c r="AJ40" s="586">
        <f t="shared" si="90"/>
        <v>-13.349102720410853</v>
      </c>
      <c r="AK40" s="635">
        <f t="shared" si="211"/>
        <v>0.89544219696051686</v>
      </c>
      <c r="AL40" s="629">
        <f t="shared" si="91"/>
        <v>-0.40732296247093286</v>
      </c>
      <c r="AM40" s="634">
        <f t="shared" si="92"/>
        <v>-0.17964207788384723</v>
      </c>
      <c r="AN40" s="581">
        <f t="shared" si="93"/>
        <v>-66.201030872108689</v>
      </c>
      <c r="AO40" s="582">
        <f t="shared" si="94"/>
        <v>26.434714795388697</v>
      </c>
      <c r="AP40" s="585">
        <f t="shared" si="95"/>
        <v>-24.460062133009977</v>
      </c>
      <c r="AQ40" s="586">
        <f t="shared" si="9"/>
        <v>0.42390226416750271</v>
      </c>
      <c r="AS40" s="52">
        <f t="shared" si="116"/>
        <v>-78.889040587400871</v>
      </c>
      <c r="AT40" s="72">
        <f t="shared" si="10"/>
        <v>-1.7094058192006549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2.2389999999999999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2.1389999999999998</v>
      </c>
      <c r="II40" s="734" cm="1">
        <f t="array" ref="II40">IFERROR(IF($IH40&lt;1,$IH40+LARGE((IF($M$9:$M$150="",0,$M$9:$M$150)-MOD(IF($M$9:$M$150="",0,$M$9:$M$150),1)),1),$IH40),"")</f>
        <v>2.1389999999999998</v>
      </c>
      <c r="IJ40" s="533">
        <f t="shared" si="112"/>
        <v>1613</v>
      </c>
      <c r="IK40" s="533">
        <f t="shared" si="66"/>
        <v>1313</v>
      </c>
      <c r="IL40" s="727">
        <f t="shared" si="225"/>
        <v>10.450998491062535</v>
      </c>
      <c r="IM40" s="759">
        <v>1.42930740204765E-2</v>
      </c>
      <c r="IN40" s="5">
        <f t="shared" si="226"/>
        <v>0.6</v>
      </c>
      <c r="IO40" s="771">
        <v>300</v>
      </c>
      <c r="IP40" s="9">
        <f t="shared" si="227"/>
        <v>-5.3391161027741658</v>
      </c>
      <c r="IQ40" s="5">
        <f t="shared" si="228"/>
        <v>-1.7901053989578832</v>
      </c>
      <c r="IR40" s="5">
        <f t="shared" si="71"/>
        <v>0.314</v>
      </c>
      <c r="IS40" s="5">
        <f t="shared" si="229"/>
        <v>0.29821749796086522</v>
      </c>
      <c r="IT40" s="727">
        <f t="shared" si="230"/>
        <v>75.458465660580941</v>
      </c>
      <c r="IU40" s="9">
        <f t="shared" si="231"/>
        <v>-5.3778552955974783</v>
      </c>
      <c r="IV40" s="5">
        <f t="shared" si="232"/>
        <v>-1.7641898751641278</v>
      </c>
      <c r="IW40" s="5">
        <f t="shared" si="76"/>
        <v>0.26600000000000001</v>
      </c>
      <c r="IX40" s="5">
        <f t="shared" si="233"/>
        <v>0.23818762439149749</v>
      </c>
      <c r="IY40" s="762">
        <f t="shared" si="234"/>
        <v>66.201030872108689</v>
      </c>
    </row>
    <row r="41" spans="1:267" ht="15" customHeight="1" x14ac:dyDescent="0.25">
      <c r="A41" s="79"/>
      <c r="B41" s="707">
        <v>5.5531831867463666</v>
      </c>
      <c r="C41" s="708">
        <v>1.0820407813252182</v>
      </c>
      <c r="D41" s="709">
        <v>-2.4816759256943266</v>
      </c>
      <c r="E41" s="710">
        <v>0.29266358271636145</v>
      </c>
      <c r="F41" s="708">
        <v>0.94407524493227557</v>
      </c>
      <c r="G41" s="711">
        <v>0.15188798259799025</v>
      </c>
      <c r="H41" s="710">
        <v>0.26600000000000001</v>
      </c>
      <c r="I41" s="708">
        <v>0.52</v>
      </c>
      <c r="J41" s="570">
        <v>2.2450000000000001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2.2450000000000001</v>
      </c>
      <c r="N41" s="632">
        <f t="shared" ref="N41:N72" si="240">IF(M41="","",B41)</f>
        <v>5.5531831867463666</v>
      </c>
      <c r="O41" s="629">
        <f t="shared" ref="O41:O72" si="241">IF(M41="","",C41)</f>
        <v>1.0820407813252182</v>
      </c>
      <c r="P41" s="633">
        <f t="shared" ref="P41:P72" si="242">IF(M41="","",D41)</f>
        <v>-2.4816759256943266</v>
      </c>
      <c r="Q41" s="585">
        <f t="shared" si="113"/>
        <v>11.025959424871626</v>
      </c>
      <c r="R41" s="629">
        <f t="shared" si="79"/>
        <v>5.6576192659115385</v>
      </c>
      <c r="S41" s="634">
        <f t="shared" si="80"/>
        <v>-2.4816759256943266</v>
      </c>
      <c r="T41" s="635">
        <f t="shared" si="81"/>
        <v>1.0820407813252171</v>
      </c>
      <c r="U41" s="629">
        <f t="shared" si="82"/>
        <v>-5.5531831867463666</v>
      </c>
      <c r="V41" s="636">
        <f t="shared" si="114"/>
        <v>-2.4816759256943266</v>
      </c>
      <c r="W41" s="585">
        <f t="shared" si="224"/>
        <v>281.02595942487164</v>
      </c>
      <c r="X41" s="629">
        <f t="shared" si="83"/>
        <v>5.6576192659115385</v>
      </c>
      <c r="Y41" s="630">
        <f t="shared" si="223"/>
        <v>-2.4816759256943266</v>
      </c>
      <c r="Z41" s="632">
        <f t="shared" ref="Z41:Z72" si="243">IF(M41="","",-E41)</f>
        <v>-0.29266358271636145</v>
      </c>
      <c r="AA41" s="629">
        <f t="shared" ref="AA41:AA72" si="244">IF(M41="","",-F41)</f>
        <v>-0.94407524493227557</v>
      </c>
      <c r="AB41" s="629">
        <f t="shared" ref="AB41:AB72" si="245">IF(M41="","",-G41)</f>
        <v>-0.15188798259799025</v>
      </c>
      <c r="AC41" s="636">
        <f t="shared" si="84"/>
        <v>1</v>
      </c>
      <c r="AD41" s="637">
        <f t="shared" si="115"/>
        <v>-0.29266358271636145</v>
      </c>
      <c r="AE41" s="629">
        <f t="shared" si="85"/>
        <v>-0.94407524493227557</v>
      </c>
      <c r="AF41" s="633">
        <f t="shared" si="86"/>
        <v>-0.15188798259799025</v>
      </c>
      <c r="AG41" s="602">
        <f t="shared" si="87"/>
        <v>-80.860263001742027</v>
      </c>
      <c r="AH41" s="603">
        <f t="shared" si="88"/>
        <v>107.01748831390135</v>
      </c>
      <c r="AI41" s="585">
        <f t="shared" si="89"/>
        <v>-81.263646206447333</v>
      </c>
      <c r="AJ41" s="586">
        <f t="shared" si="90"/>
        <v>-17.223450409162144</v>
      </c>
      <c r="AK41" s="635">
        <f t="shared" si="211"/>
        <v>0.87067521053484453</v>
      </c>
      <c r="AL41" s="629">
        <f t="shared" si="91"/>
        <v>-0.46781910874013771</v>
      </c>
      <c r="AM41" s="634">
        <f t="shared" si="92"/>
        <v>-0.15188798259799025</v>
      </c>
      <c r="AN41" s="581">
        <f t="shared" si="93"/>
        <v>-72.012813638315507</v>
      </c>
      <c r="AO41" s="582">
        <f t="shared" si="94"/>
        <v>29.462801640116624</v>
      </c>
      <c r="AP41" s="585">
        <f t="shared" si="95"/>
        <v>-28.249409834033759</v>
      </c>
      <c r="AQ41" s="586">
        <f t="shared" ref="AQ41:AQ72" si="246">IF(M41="","",DEGREES(ATAN(($AS$5*SIN(RADIANS(90)))/(($X41*2*PI())-($AS$5*COS(RADIANS(90)))))))</f>
        <v>0.40294140360772901</v>
      </c>
      <c r="AS41" s="52">
        <f t="shared" si="116"/>
        <v>-78.974040575128356</v>
      </c>
      <c r="AT41" s="72">
        <f t="shared" ref="AT41:AT72" si="247">IF(M41="","",Y41+(((AS41-$AS$9)*$AS$6)*-1))</f>
        <v>-2.4268328419615988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2.2450000000000001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2.145</v>
      </c>
      <c r="II41" s="734" cm="1">
        <f t="array" ref="II41">IFERROR(IF($IH41&lt;1,$IH41+LARGE((IF($M$9:$M$150="",0,$M$9:$M$150)-MOD(IF($M$9:$M$150="",0,$M$9:$M$150),1)),1),$IH41),"")</f>
        <v>2.145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10.066998546505204</v>
      </c>
      <c r="IM41" s="759">
        <v>1.7499568406860198E-2</v>
      </c>
      <c r="IN41" s="5">
        <f t="shared" si="226"/>
        <v>0.74</v>
      </c>
      <c r="IO41" s="771">
        <v>370</v>
      </c>
      <c r="IP41" s="9">
        <f t="shared" si="227"/>
        <v>-5.6148169342878749</v>
      </c>
      <c r="IQ41" s="5">
        <f t="shared" si="228"/>
        <v>-2.5036075508803739</v>
      </c>
      <c r="IR41" s="5">
        <f t="shared" ref="IR41:IR72" si="383">IF(ISNUMBER($II41),INDEX($H$9:$H$150,MATCH($II41,$M$9:$M$150,0)),"")</f>
        <v>0.314</v>
      </c>
      <c r="IS41" s="5">
        <f t="shared" si="229"/>
        <v>0.29610599878918603</v>
      </c>
      <c r="IT41" s="727">
        <f t="shared" si="230"/>
        <v>82.224442825583623</v>
      </c>
      <c r="IU41" s="9">
        <f t="shared" si="231"/>
        <v>-5.6576192659115385</v>
      </c>
      <c r="IV41" s="5">
        <f t="shared" si="232"/>
        <v>-2.4816759256943266</v>
      </c>
      <c r="IW41" s="5">
        <f t="shared" ref="IW41:IW72" si="384">IF(ISNUMBER($II41),$H41,"")</f>
        <v>0.26600000000000001</v>
      </c>
      <c r="IX41" s="5">
        <f t="shared" si="233"/>
        <v>0.23159960600226867</v>
      </c>
      <c r="IY41" s="762">
        <f t="shared" si="234"/>
        <v>72.012813638315507</v>
      </c>
    </row>
    <row r="42" spans="1:267" ht="15" customHeight="1" x14ac:dyDescent="0.25">
      <c r="A42" s="79"/>
      <c r="B42" s="707">
        <v>5.7230594506609131</v>
      </c>
      <c r="C42" s="708">
        <v>1.1069528519721124</v>
      </c>
      <c r="D42" s="709">
        <v>-3.2351634154581577</v>
      </c>
      <c r="E42" s="710">
        <v>0.33950396396433596</v>
      </c>
      <c r="F42" s="708">
        <v>0.93436901234537506</v>
      </c>
      <c r="G42" s="711">
        <v>0.10812773567050839</v>
      </c>
      <c r="H42" s="710">
        <v>0.26600000000000001</v>
      </c>
      <c r="I42" s="708">
        <v>0.52</v>
      </c>
      <c r="J42" s="570">
        <v>2.2509999999999999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2.2509999999999999</v>
      </c>
      <c r="N42" s="632">
        <f t="shared" si="240"/>
        <v>5.7230594506609131</v>
      </c>
      <c r="O42" s="629">
        <f t="shared" si="241"/>
        <v>1.1069528519721124</v>
      </c>
      <c r="P42" s="633">
        <f t="shared" si="242"/>
        <v>-3.2351634154581577</v>
      </c>
      <c r="Q42" s="585">
        <f t="shared" si="113"/>
        <v>10.946959436277819</v>
      </c>
      <c r="R42" s="629">
        <f t="shared" ref="R42:R47" si="385">IF(M42="","",SQRT(N42^2+O42^2))</f>
        <v>5.8291297885952407</v>
      </c>
      <c r="S42" s="634">
        <f t="shared" ref="S42:S47" si="386">IF(M42="","",P42)</f>
        <v>-3.2351634154581577</v>
      </c>
      <c r="T42" s="635">
        <f t="shared" ref="T42:T47" si="387">IF(M42="","",X42*COS(RADIANS(W42)))</f>
        <v>1.1069528519721143</v>
      </c>
      <c r="U42" s="629">
        <f t="shared" ref="U42:U47" si="388">IF(M42="","",X42*SIN(RADIANS(W42)))</f>
        <v>-5.723059450660914</v>
      </c>
      <c r="V42" s="636">
        <f t="shared" ref="V42:V47" si="389">IF(M42="","",Y42)</f>
        <v>-3.2351634154581577</v>
      </c>
      <c r="W42" s="585">
        <f t="shared" si="224"/>
        <v>280.94695943627784</v>
      </c>
      <c r="X42" s="629">
        <f t="shared" ref="X42:X47" si="390">IF(M42="","",R42)</f>
        <v>5.8291297885952407</v>
      </c>
      <c r="Y42" s="630">
        <f t="shared" si="223"/>
        <v>-3.2351634154581577</v>
      </c>
      <c r="Z42" s="632">
        <f t="shared" si="243"/>
        <v>-0.33950396396433596</v>
      </c>
      <c r="AA42" s="629">
        <f t="shared" si="244"/>
        <v>-0.93436901234537506</v>
      </c>
      <c r="AB42" s="629">
        <f t="shared" si="245"/>
        <v>-0.10812773567050839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-0.33950396396433596</v>
      </c>
      <c r="AE42" s="629">
        <f t="shared" ref="AE42:AE47" si="393">IF(M42="","",AA42*(1/SQRT(Z42^2+AA42^2+AB42^2)))</f>
        <v>-0.93436901234537506</v>
      </c>
      <c r="AF42" s="633">
        <f t="shared" ref="AF42:AF47" si="394">IF(M42="","",AB42*(1/SQRT(Z42^2+AA42^2+AB42^2)))</f>
        <v>-0.10812773567050839</v>
      </c>
      <c r="AG42" s="602">
        <f t="shared" ref="AG42:AG47" si="395">IF(M42="","",DEGREES(ATAN2(-AF42,AE42)))</f>
        <v>-83.398937905369792</v>
      </c>
      <c r="AH42" s="603">
        <f t="shared" ref="AH42:AH47" si="396">IF(M42="","",DEGREES(ACOS(AD42)))</f>
        <v>109.84665576439318</v>
      </c>
      <c r="AI42" s="585">
        <f t="shared" ref="AI42:AI47" si="397">IF(M42="","",DEGREES(-ACOS(-AF42)))</f>
        <v>-83.792601041470235</v>
      </c>
      <c r="AJ42" s="586">
        <f t="shared" ref="AJ42:AJ47" si="398">IF(M42="","",DEGREES(ATAN2(-AE42,AD42)))</f>
        <v>-19.968667223162779</v>
      </c>
      <c r="AK42" s="635">
        <f t="shared" ref="AK42:AK47" si="399">IF(M42="","",(COS(RADIANS((90-$Q$8)-W42))*AD42)+(-SIN(RADIANS((90-$Q$8)-W42))*AE42))</f>
        <v>0.85289480688331953</v>
      </c>
      <c r="AL42" s="629">
        <f t="shared" ref="AL42:AL47" si="400">IF(M42="","",(SIN(RADIANS((90-$Q$8)-W42))*AD42)+(COS(RADIANS((90-$Q$8)-W42))*AE42))</f>
        <v>-0.51076299902228028</v>
      </c>
      <c r="AM42" s="634">
        <f t="shared" ref="AM42:AM47" si="401">IF(M42="","",AF42)</f>
        <v>-0.10812773567050839</v>
      </c>
      <c r="AN42" s="581">
        <f t="shared" ref="AN42:AN47" si="402">IF(M42="","",DEGREES(ATAN2(-AM42,AL42)))</f>
        <v>-78.04704900805848</v>
      </c>
      <c r="AO42" s="582">
        <f t="shared" si="94"/>
        <v>31.472065475346707</v>
      </c>
      <c r="AP42" s="585">
        <f t="shared" ref="AP42:AP47" si="403">IF(M42="","",DEGREES(ATAN2(AK42,AL42)))</f>
        <v>-30.915626659440615</v>
      </c>
      <c r="AQ42" s="586">
        <f t="shared" si="246"/>
        <v>0.39108602996072817</v>
      </c>
      <c r="AS42" s="52">
        <f t="shared" si="116"/>
        <v>-79.053040563722163</v>
      </c>
      <c r="AT42" s="72">
        <f t="shared" si="247"/>
        <v>-3.1802654706222393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2.2509999999999999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2.1509999999999998</v>
      </c>
      <c r="II42" s="734" cm="1">
        <f t="array" ref="II42">IFERROR(IF($IH42&lt;1,$IH42+LARGE((IF($M$9:$M$150="",0,$M$9:$M$150)-MOD(IF($M$9:$M$150="",0,$M$9:$M$150),1)),1),$IH42),"")</f>
        <v>2.1509999999999998</v>
      </c>
      <c r="IJ42" s="533">
        <f t="shared" si="112"/>
        <v>1613</v>
      </c>
      <c r="IK42" s="533">
        <f t="shared" si="382"/>
        <v>1313</v>
      </c>
      <c r="IL42" s="727">
        <f t="shared" si="225"/>
        <v>9.8449985785580338</v>
      </c>
      <c r="IM42" s="759">
        <v>2.36783459104765E-2</v>
      </c>
      <c r="IN42" s="5">
        <f t="shared" si="226"/>
        <v>1.08</v>
      </c>
      <c r="IO42" s="771">
        <v>540</v>
      </c>
      <c r="IP42" s="9">
        <f t="shared" si="227"/>
        <v>-5.78911745997826</v>
      </c>
      <c r="IQ42" s="5">
        <f t="shared" si="228"/>
        <v>-3.2486097978071506</v>
      </c>
      <c r="IR42" s="5">
        <f t="shared" si="383"/>
        <v>0.314</v>
      </c>
      <c r="IS42" s="5">
        <f t="shared" si="229"/>
        <v>0.29239136318537728</v>
      </c>
      <c r="IT42" s="727">
        <f t="shared" si="230"/>
        <v>87.055374546704897</v>
      </c>
      <c r="IU42" s="9">
        <f t="shared" si="231"/>
        <v>-5.8291297885952407</v>
      </c>
      <c r="IV42" s="5">
        <f t="shared" si="232"/>
        <v>-3.2351634154581577</v>
      </c>
      <c r="IW42" s="5">
        <f t="shared" si="384"/>
        <v>0.26600000000000001</v>
      </c>
      <c r="IX42" s="5">
        <f t="shared" si="233"/>
        <v>0.22687001863096301</v>
      </c>
      <c r="IY42" s="762">
        <f t="shared" si="234"/>
        <v>78.04704900805848</v>
      </c>
    </row>
    <row r="43" spans="1:267" ht="15" customHeight="1" x14ac:dyDescent="0.25">
      <c r="A43" s="79"/>
      <c r="B43" s="707">
        <v>0.60379854253514231</v>
      </c>
      <c r="C43" s="708">
        <v>-0.42278482391383154</v>
      </c>
      <c r="D43" s="709">
        <v>-0.62860189586331794</v>
      </c>
      <c r="E43" s="710">
        <v>0.49916002344389943</v>
      </c>
      <c r="F43" s="708">
        <v>0.82966215254342957</v>
      </c>
      <c r="G43" s="711">
        <v>0.24999996726497561</v>
      </c>
      <c r="H43" s="710">
        <v>0.314</v>
      </c>
      <c r="I43" s="708">
        <v>0.52</v>
      </c>
      <c r="J43" s="570">
        <v>3.1030000000000002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3.1030000000000002</v>
      </c>
      <c r="N43" s="632">
        <f t="shared" si="240"/>
        <v>0.60379854253514231</v>
      </c>
      <c r="O43" s="629">
        <f t="shared" si="241"/>
        <v>-0.42278482391383154</v>
      </c>
      <c r="P43" s="633">
        <f t="shared" si="242"/>
        <v>-0.62860189586331794</v>
      </c>
      <c r="Q43" s="585">
        <f t="shared" si="113"/>
        <v>324.9999660702029</v>
      </c>
      <c r="R43" s="629">
        <f t="shared" si="385"/>
        <v>0.73710222310030482</v>
      </c>
      <c r="S43" s="634">
        <f t="shared" si="386"/>
        <v>-0.62860189586331794</v>
      </c>
      <c r="T43" s="635">
        <f t="shared" si="387"/>
        <v>-0.42278482391383154</v>
      </c>
      <c r="U43" s="629">
        <f t="shared" si="388"/>
        <v>-0.60379854253514231</v>
      </c>
      <c r="V43" s="636">
        <f t="shared" si="389"/>
        <v>-0.62860189586331794</v>
      </c>
      <c r="W43" s="585">
        <f t="shared" si="224"/>
        <v>234.9999660702029</v>
      </c>
      <c r="X43" s="629">
        <f t="shared" si="390"/>
        <v>0.73710222310030482</v>
      </c>
      <c r="Y43" s="630">
        <f t="shared" si="223"/>
        <v>-0.62860189586331794</v>
      </c>
      <c r="Z43" s="632">
        <f t="shared" si="243"/>
        <v>-0.49916002344389943</v>
      </c>
      <c r="AA43" s="629">
        <f t="shared" si="244"/>
        <v>-0.82966215254342957</v>
      </c>
      <c r="AB43" s="629">
        <f t="shared" si="245"/>
        <v>-0.24999996726497561</v>
      </c>
      <c r="AC43" s="636">
        <f t="shared" si="391"/>
        <v>1</v>
      </c>
      <c r="AD43" s="637">
        <f t="shared" si="392"/>
        <v>-0.49916002344389943</v>
      </c>
      <c r="AE43" s="629">
        <f t="shared" si="393"/>
        <v>-0.82966215254342957</v>
      </c>
      <c r="AF43" s="633">
        <f t="shared" si="394"/>
        <v>-0.24999996726497561</v>
      </c>
      <c r="AG43" s="602">
        <f t="shared" si="395"/>
        <v>-73.231004817230954</v>
      </c>
      <c r="AH43" s="603">
        <f t="shared" si="396"/>
        <v>119.94444314080609</v>
      </c>
      <c r="AI43" s="585">
        <f t="shared" si="397"/>
        <v>-75.522489751159469</v>
      </c>
      <c r="AJ43" s="586">
        <f t="shared" si="398"/>
        <v>-31.032904284710551</v>
      </c>
      <c r="AK43" s="635">
        <f t="shared" si="399"/>
        <v>0.9659258360722075</v>
      </c>
      <c r="AL43" s="629">
        <f t="shared" si="400"/>
        <v>6.698727920820724E-2</v>
      </c>
      <c r="AM43" s="634">
        <f t="shared" si="401"/>
        <v>-0.24999996726497561</v>
      </c>
      <c r="AN43" s="581">
        <f t="shared" si="402"/>
        <v>14.999997834268278</v>
      </c>
      <c r="AO43" s="582">
        <f t="shared" si="94"/>
        <v>14.99999783426823</v>
      </c>
      <c r="AP43" s="585">
        <f t="shared" si="403"/>
        <v>3.9671296450865734</v>
      </c>
      <c r="AQ43" s="586">
        <f t="shared" si="246"/>
        <v>3.0898241454479347</v>
      </c>
      <c r="AS43" s="52">
        <f t="shared" ref="AS43:AS74" si="406">IF(G43="","",IF(AND(W43&lt;(AS42+180),W43&gt;(AS42-180)),W43,IF(W43&gt;(AS42+180),W43-360,IF(W43&lt;(AS42-180),W43+360,"Error"))))</f>
        <v>-125.0000339297971</v>
      </c>
      <c r="AT43" s="72">
        <f t="shared" si="247"/>
        <v>-0.54179631674540329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3.1030000000000002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1.1617244512594476</v>
      </c>
      <c r="C44" s="708">
        <v>-0.81344924335177837</v>
      </c>
      <c r="D44" s="709">
        <v>-0.44610134544165786</v>
      </c>
      <c r="E44" s="710">
        <v>0.49916002344389943</v>
      </c>
      <c r="F44" s="708">
        <v>0.82966215254342957</v>
      </c>
      <c r="G44" s="711">
        <v>0.24999996726497567</v>
      </c>
      <c r="H44" s="710">
        <v>0.314</v>
      </c>
      <c r="I44" s="708">
        <v>0.52</v>
      </c>
      <c r="J44" s="570">
        <v>3.1059999999999999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3.1059999999999999</v>
      </c>
      <c r="N44" s="632">
        <f t="shared" si="240"/>
        <v>1.1617244512594476</v>
      </c>
      <c r="O44" s="629">
        <f t="shared" si="241"/>
        <v>-0.81344924335177837</v>
      </c>
      <c r="P44" s="633">
        <f t="shared" si="242"/>
        <v>-0.44610134544165786</v>
      </c>
      <c r="Q44" s="585">
        <f t="shared" si="113"/>
        <v>324.9999660702029</v>
      </c>
      <c r="R44" s="629">
        <f t="shared" si="385"/>
        <v>1.4182042773041004</v>
      </c>
      <c r="S44" s="634">
        <f t="shared" si="386"/>
        <v>-0.44610134544165786</v>
      </c>
      <c r="T44" s="635">
        <f t="shared" si="387"/>
        <v>-0.81344924335177848</v>
      </c>
      <c r="U44" s="629">
        <f t="shared" si="388"/>
        <v>-1.1617244512594476</v>
      </c>
      <c r="V44" s="636">
        <f t="shared" si="389"/>
        <v>-0.44610134544165786</v>
      </c>
      <c r="W44" s="585">
        <f t="shared" si="224"/>
        <v>234.9999660702029</v>
      </c>
      <c r="X44" s="629">
        <f t="shared" si="390"/>
        <v>1.4182042773041004</v>
      </c>
      <c r="Y44" s="630">
        <f t="shared" si="223"/>
        <v>-0.44610134544165786</v>
      </c>
      <c r="Z44" s="632">
        <f t="shared" si="243"/>
        <v>-0.49916002344389943</v>
      </c>
      <c r="AA44" s="629">
        <f t="shared" si="244"/>
        <v>-0.82966215254342957</v>
      </c>
      <c r="AB44" s="629">
        <f t="shared" si="245"/>
        <v>-0.24999996726497567</v>
      </c>
      <c r="AC44" s="636">
        <f t="shared" si="391"/>
        <v>1</v>
      </c>
      <c r="AD44" s="637">
        <f t="shared" si="392"/>
        <v>-0.49916002344389943</v>
      </c>
      <c r="AE44" s="629">
        <f t="shared" si="393"/>
        <v>-0.82966215254342957</v>
      </c>
      <c r="AF44" s="633">
        <f t="shared" si="394"/>
        <v>-0.24999996726497567</v>
      </c>
      <c r="AG44" s="602">
        <f t="shared" si="395"/>
        <v>-73.231004817230939</v>
      </c>
      <c r="AH44" s="603">
        <f t="shared" si="396"/>
        <v>119.94444314080609</v>
      </c>
      <c r="AI44" s="585">
        <f t="shared" si="397"/>
        <v>-75.522489751159455</v>
      </c>
      <c r="AJ44" s="586">
        <f t="shared" si="398"/>
        <v>-31.032904284710551</v>
      </c>
      <c r="AK44" s="635">
        <f t="shared" si="399"/>
        <v>0.9659258360722075</v>
      </c>
      <c r="AL44" s="629">
        <f t="shared" si="400"/>
        <v>6.698727920820724E-2</v>
      </c>
      <c r="AM44" s="634">
        <f t="shared" si="401"/>
        <v>-0.24999996726497567</v>
      </c>
      <c r="AN44" s="581">
        <f t="shared" si="402"/>
        <v>14.999997834268274</v>
      </c>
      <c r="AO44" s="582">
        <f t="shared" si="94"/>
        <v>14.99999783426823</v>
      </c>
      <c r="AP44" s="585">
        <f t="shared" si="403"/>
        <v>3.9671296450865734</v>
      </c>
      <c r="AQ44" s="586">
        <f t="shared" si="246"/>
        <v>1.6070525303488554</v>
      </c>
      <c r="AS44" s="52">
        <f t="shared" si="406"/>
        <v>-125.0000339297971</v>
      </c>
      <c r="AT44" s="72">
        <f t="shared" si="247"/>
        <v>-0.35929576632374322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3.1059999999999999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1.7303812796787881</v>
      </c>
      <c r="C45" s="708">
        <v>-1.211627543122477</v>
      </c>
      <c r="D45" s="709">
        <v>-0.26010078446396595</v>
      </c>
      <c r="E45" s="710">
        <v>0.49916002344389948</v>
      </c>
      <c r="F45" s="708">
        <v>0.82966215254342957</v>
      </c>
      <c r="G45" s="711">
        <v>0.24999996726497567</v>
      </c>
      <c r="H45" s="710">
        <v>0.314</v>
      </c>
      <c r="I45" s="708">
        <v>0.52</v>
      </c>
      <c r="J45" s="570">
        <v>3.109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3.109</v>
      </c>
      <c r="N45" s="632">
        <f t="shared" si="240"/>
        <v>1.7303812796787881</v>
      </c>
      <c r="O45" s="629">
        <f t="shared" si="241"/>
        <v>-1.211627543122477</v>
      </c>
      <c r="P45" s="633">
        <f t="shared" si="242"/>
        <v>-0.26010078446396595</v>
      </c>
      <c r="Q45" s="585">
        <f t="shared" si="113"/>
        <v>324.9999660702029</v>
      </c>
      <c r="R45" s="629">
        <f t="shared" si="385"/>
        <v>2.1124063710176153</v>
      </c>
      <c r="S45" s="634">
        <f t="shared" si="386"/>
        <v>-0.26010078446396595</v>
      </c>
      <c r="T45" s="635">
        <f t="shared" si="387"/>
        <v>-1.2116275431224772</v>
      </c>
      <c r="U45" s="629">
        <f t="shared" si="388"/>
        <v>-1.7303812796787883</v>
      </c>
      <c r="V45" s="636">
        <f t="shared" si="389"/>
        <v>-0.26010078446396595</v>
      </c>
      <c r="W45" s="585">
        <f t="shared" si="224"/>
        <v>234.9999660702029</v>
      </c>
      <c r="X45" s="629">
        <f t="shared" si="390"/>
        <v>2.1124063710176153</v>
      </c>
      <c r="Y45" s="630">
        <f t="shared" si="223"/>
        <v>-0.26010078446396595</v>
      </c>
      <c r="Z45" s="632">
        <f t="shared" si="243"/>
        <v>-0.49916002344389948</v>
      </c>
      <c r="AA45" s="629">
        <f t="shared" si="244"/>
        <v>-0.82966215254342957</v>
      </c>
      <c r="AB45" s="629">
        <f t="shared" si="245"/>
        <v>-0.24999996726497567</v>
      </c>
      <c r="AC45" s="636">
        <f t="shared" si="391"/>
        <v>1</v>
      </c>
      <c r="AD45" s="637">
        <f t="shared" si="392"/>
        <v>-0.49916002344389948</v>
      </c>
      <c r="AE45" s="629">
        <f t="shared" si="393"/>
        <v>-0.82966215254342957</v>
      </c>
      <c r="AF45" s="633">
        <f t="shared" si="394"/>
        <v>-0.24999996726497567</v>
      </c>
      <c r="AG45" s="602">
        <f t="shared" si="395"/>
        <v>-73.231004817230939</v>
      </c>
      <c r="AH45" s="603">
        <f t="shared" si="396"/>
        <v>119.94444314080609</v>
      </c>
      <c r="AI45" s="585">
        <f t="shared" si="397"/>
        <v>-75.522489751159455</v>
      </c>
      <c r="AJ45" s="586">
        <f t="shared" si="398"/>
        <v>-31.032904284710551</v>
      </c>
      <c r="AK45" s="635">
        <f t="shared" si="399"/>
        <v>0.9659258360722075</v>
      </c>
      <c r="AL45" s="629">
        <f t="shared" si="400"/>
        <v>6.6987279208207184E-2</v>
      </c>
      <c r="AM45" s="634">
        <f t="shared" si="401"/>
        <v>-0.24999996726497567</v>
      </c>
      <c r="AN45" s="581">
        <f t="shared" si="402"/>
        <v>14.999997834268262</v>
      </c>
      <c r="AO45" s="582">
        <f t="shared" si="94"/>
        <v>14.99999783426823</v>
      </c>
      <c r="AP45" s="585">
        <f t="shared" si="403"/>
        <v>3.9671296450865703</v>
      </c>
      <c r="AQ45" s="586">
        <f t="shared" si="246"/>
        <v>1.0790807660279513</v>
      </c>
      <c r="AS45" s="52">
        <f t="shared" si="406"/>
        <v>-125.0000339297971</v>
      </c>
      <c r="AT45" s="72">
        <f t="shared" si="247"/>
        <v>-0.17329520534605131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3.109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2.3258337300160394</v>
      </c>
      <c r="C46" s="708">
        <v>-1.6388133910131584</v>
      </c>
      <c r="D46" s="709">
        <v>-9.5600288330469588E-2</v>
      </c>
      <c r="E46" s="710">
        <v>0.57279690870284761</v>
      </c>
      <c r="F46" s="708">
        <v>0.77742738408662448</v>
      </c>
      <c r="G46" s="711">
        <v>0.25982756561360049</v>
      </c>
      <c r="H46" s="710">
        <v>0.314</v>
      </c>
      <c r="I46" s="708">
        <v>0.52</v>
      </c>
      <c r="J46" s="570">
        <v>3.1139999999999999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3.1139999999999999</v>
      </c>
      <c r="N46" s="632">
        <f t="shared" si="240"/>
        <v>2.3258337300160394</v>
      </c>
      <c r="O46" s="629">
        <f t="shared" si="241"/>
        <v>-1.6388133910131584</v>
      </c>
      <c r="P46" s="633">
        <f t="shared" si="242"/>
        <v>-9.5600288330469588E-2</v>
      </c>
      <c r="Q46" s="585">
        <f t="shared" si="113"/>
        <v>324.83096609460347</v>
      </c>
      <c r="R46" s="629">
        <f t="shared" si="385"/>
        <v>2.8452085811490817</v>
      </c>
      <c r="S46" s="634">
        <f t="shared" si="386"/>
        <v>-9.5600288330469588E-2</v>
      </c>
      <c r="T46" s="635">
        <f t="shared" si="387"/>
        <v>-1.6388133910131577</v>
      </c>
      <c r="U46" s="629">
        <f t="shared" si="388"/>
        <v>-2.3258337300160399</v>
      </c>
      <c r="V46" s="636">
        <f t="shared" si="389"/>
        <v>-9.5600288330469588E-2</v>
      </c>
      <c r="W46" s="585">
        <f t="shared" si="224"/>
        <v>234.83096609460347</v>
      </c>
      <c r="X46" s="629">
        <f t="shared" si="390"/>
        <v>2.8452085811490817</v>
      </c>
      <c r="Y46" s="630">
        <f t="shared" si="223"/>
        <v>-9.5600288330469588E-2</v>
      </c>
      <c r="Z46" s="632">
        <f t="shared" si="243"/>
        <v>-0.57279690870284761</v>
      </c>
      <c r="AA46" s="629">
        <f t="shared" si="244"/>
        <v>-0.77742738408662448</v>
      </c>
      <c r="AB46" s="629">
        <f t="shared" si="245"/>
        <v>-0.25982756561360049</v>
      </c>
      <c r="AC46" s="636">
        <f t="shared" si="391"/>
        <v>1</v>
      </c>
      <c r="AD46" s="637">
        <f t="shared" si="392"/>
        <v>-0.57279690870284761</v>
      </c>
      <c r="AE46" s="629">
        <f t="shared" si="393"/>
        <v>-0.77742738408662448</v>
      </c>
      <c r="AF46" s="633">
        <f t="shared" si="394"/>
        <v>-0.25982756561360049</v>
      </c>
      <c r="AG46" s="602">
        <f t="shared" si="395"/>
        <v>-71.519620722918319</v>
      </c>
      <c r="AH46" s="603">
        <f t="shared" si="396"/>
        <v>124.94549390349368</v>
      </c>
      <c r="AI46" s="585">
        <f t="shared" si="397"/>
        <v>-74.94016925213262</v>
      </c>
      <c r="AJ46" s="586">
        <f t="shared" si="398"/>
        <v>-36.382234708820704</v>
      </c>
      <c r="AK46" s="635">
        <f t="shared" si="399"/>
        <v>0.96543856048353627</v>
      </c>
      <c r="AL46" s="629">
        <f t="shared" si="400"/>
        <v>-2.04455882475294E-2</v>
      </c>
      <c r="AM46" s="634">
        <f t="shared" si="401"/>
        <v>-0.25982756561360049</v>
      </c>
      <c r="AN46" s="581">
        <f t="shared" si="402"/>
        <v>-4.4992801454591014</v>
      </c>
      <c r="AO46" s="582">
        <f t="shared" si="94"/>
        <v>15.107491682275979</v>
      </c>
      <c r="AP46" s="585">
        <f t="shared" si="403"/>
        <v>-1.213200803424181</v>
      </c>
      <c r="AQ46" s="586">
        <f t="shared" si="246"/>
        <v>0.80119891827761258</v>
      </c>
      <c r="AS46" s="52">
        <f t="shared" si="406"/>
        <v>-125.16903390539653</v>
      </c>
      <c r="AT46" s="72">
        <f t="shared" si="247"/>
        <v>-8.6773481183886614E-3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3.1139999999999999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2.9349270553511611</v>
      </c>
      <c r="C47" s="708">
        <v>-2.1249258656292644</v>
      </c>
      <c r="D47" s="709">
        <v>-0.16500049764150101</v>
      </c>
      <c r="E47" s="710">
        <v>0.68295070362079968</v>
      </c>
      <c r="F47" s="708">
        <v>0.69470129429898486</v>
      </c>
      <c r="G47" s="711">
        <v>0.22576192797540051</v>
      </c>
      <c r="H47" s="710">
        <v>0.314</v>
      </c>
      <c r="I47" s="708">
        <v>0.52</v>
      </c>
      <c r="J47" s="570">
        <v>3.12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</v>
      </c>
      <c r="N47" s="632">
        <f t="shared" si="240"/>
        <v>2.9349270553511611</v>
      </c>
      <c r="O47" s="629">
        <f t="shared" si="241"/>
        <v>-2.1249258656292644</v>
      </c>
      <c r="P47" s="633">
        <f t="shared" si="242"/>
        <v>-0.16500049764150101</v>
      </c>
      <c r="Q47" s="585">
        <f t="shared" si="113"/>
        <v>324.09496620086873</v>
      </c>
      <c r="R47" s="629">
        <f t="shared" si="385"/>
        <v>3.6234109282073588</v>
      </c>
      <c r="S47" s="634">
        <f t="shared" si="386"/>
        <v>-0.16500049764150101</v>
      </c>
      <c r="T47" s="635">
        <f t="shared" si="387"/>
        <v>-2.1249258656292644</v>
      </c>
      <c r="U47" s="629">
        <f t="shared" si="388"/>
        <v>-2.9349270553511602</v>
      </c>
      <c r="V47" s="636">
        <f t="shared" si="389"/>
        <v>-0.16500049764150101</v>
      </c>
      <c r="W47" s="585">
        <f t="shared" si="224"/>
        <v>234.09496620086873</v>
      </c>
      <c r="X47" s="629">
        <f t="shared" si="390"/>
        <v>3.6234109282073588</v>
      </c>
      <c r="Y47" s="630">
        <f t="shared" si="223"/>
        <v>-0.16500049764150101</v>
      </c>
      <c r="Z47" s="632">
        <f t="shared" si="243"/>
        <v>-0.68295070362079968</v>
      </c>
      <c r="AA47" s="629">
        <f t="shared" si="244"/>
        <v>-0.69470129429898486</v>
      </c>
      <c r="AB47" s="629">
        <f t="shared" si="245"/>
        <v>-0.22576192797540051</v>
      </c>
      <c r="AC47" s="636">
        <f t="shared" si="391"/>
        <v>1</v>
      </c>
      <c r="AD47" s="637">
        <f t="shared" si="392"/>
        <v>-0.68295070362079968</v>
      </c>
      <c r="AE47" s="629">
        <f t="shared" si="393"/>
        <v>-0.69470129429898486</v>
      </c>
      <c r="AF47" s="633">
        <f t="shared" si="394"/>
        <v>-0.22576192797540051</v>
      </c>
      <c r="AG47" s="602">
        <f t="shared" si="395"/>
        <v>-71.997031394617522</v>
      </c>
      <c r="AH47" s="603">
        <f t="shared" si="396"/>
        <v>133.07465396178216</v>
      </c>
      <c r="AI47" s="585">
        <f t="shared" si="397"/>
        <v>-76.952313696988909</v>
      </c>
      <c r="AJ47" s="586">
        <f t="shared" si="398"/>
        <v>-44.511311327126194</v>
      </c>
      <c r="AK47" s="635">
        <f t="shared" si="399"/>
        <v>0.96321320111097597</v>
      </c>
      <c r="AL47" s="629">
        <f t="shared" si="400"/>
        <v>-0.14578024928767536</v>
      </c>
      <c r="AM47" s="634">
        <f t="shared" si="401"/>
        <v>-0.22576192797540051</v>
      </c>
      <c r="AN47" s="581">
        <f t="shared" si="402"/>
        <v>-32.851364621855168</v>
      </c>
      <c r="AO47" s="582">
        <f t="shared" si="94"/>
        <v>15.589208265340073</v>
      </c>
      <c r="AP47" s="585">
        <f t="shared" si="403"/>
        <v>-8.6062775279948838</v>
      </c>
      <c r="AQ47" s="586">
        <f t="shared" si="246"/>
        <v>0.62914062243134905</v>
      </c>
      <c r="AS47" s="52">
        <f t="shared" si="406"/>
        <v>-125.90503379913127</v>
      </c>
      <c r="AT47" s="72">
        <f t="shared" si="247"/>
        <v>-7.7566446392104291E-2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3.4585926527296844</v>
      </c>
      <c r="C48" s="708">
        <v>-2.5905634400915694</v>
      </c>
      <c r="D48" s="709">
        <v>-0.5017015131317637</v>
      </c>
      <c r="E48" s="710">
        <v>0.75895601774928756</v>
      </c>
      <c r="F48" s="708">
        <v>0.63118366867868714</v>
      </c>
      <c r="G48" s="711">
        <v>0.15997793446427722</v>
      </c>
      <c r="H48" s="710">
        <v>0.314</v>
      </c>
      <c r="I48" s="708">
        <v>0.52</v>
      </c>
      <c r="J48" s="570">
        <v>3.1259999999999999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3.1259999999999999</v>
      </c>
      <c r="N48" s="632">
        <f t="shared" si="240"/>
        <v>3.4585926527296844</v>
      </c>
      <c r="O48" s="629">
        <f t="shared" si="241"/>
        <v>-2.5905634400915694</v>
      </c>
      <c r="P48" s="633">
        <f t="shared" si="242"/>
        <v>-0.5017015131317637</v>
      </c>
      <c r="Q48" s="585">
        <f t="shared" si="113"/>
        <v>323.16596633499967</v>
      </c>
      <c r="R48" s="629">
        <f t="shared" si="79"/>
        <v>4.3212130327785072</v>
      </c>
      <c r="S48" s="634">
        <f t="shared" si="80"/>
        <v>-0.5017015131317637</v>
      </c>
      <c r="T48" s="635">
        <f t="shared" si="81"/>
        <v>-2.5905634400915711</v>
      </c>
      <c r="U48" s="629">
        <f t="shared" si="82"/>
        <v>-3.4585926527296835</v>
      </c>
      <c r="V48" s="636">
        <f t="shared" si="114"/>
        <v>-0.5017015131317637</v>
      </c>
      <c r="W48" s="585">
        <f t="shared" si="224"/>
        <v>233.16596633499967</v>
      </c>
      <c r="X48" s="629">
        <f t="shared" si="83"/>
        <v>4.3212130327785072</v>
      </c>
      <c r="Y48" s="630">
        <f t="shared" si="223"/>
        <v>-0.5017015131317637</v>
      </c>
      <c r="Z48" s="632">
        <f t="shared" si="243"/>
        <v>-0.75895601774928756</v>
      </c>
      <c r="AA48" s="629">
        <f t="shared" si="244"/>
        <v>-0.63118366867868714</v>
      </c>
      <c r="AB48" s="629">
        <f t="shared" si="245"/>
        <v>-0.15997793446427722</v>
      </c>
      <c r="AC48" s="636">
        <f t="shared" si="84"/>
        <v>1</v>
      </c>
      <c r="AD48" s="637">
        <f t="shared" si="115"/>
        <v>-0.75895601774928756</v>
      </c>
      <c r="AE48" s="629">
        <f t="shared" si="85"/>
        <v>-0.63118366867868714</v>
      </c>
      <c r="AF48" s="633">
        <f t="shared" si="86"/>
        <v>-0.15997793446427722</v>
      </c>
      <c r="AG48" s="602">
        <f t="shared" si="87"/>
        <v>-75.777487147518869</v>
      </c>
      <c r="AH48" s="603">
        <f t="shared" si="88"/>
        <v>139.37224896120202</v>
      </c>
      <c r="AI48" s="585">
        <f t="shared" si="89"/>
        <v>-80.794384538443467</v>
      </c>
      <c r="AJ48" s="586">
        <f t="shared" si="90"/>
        <v>-50.251489992071839</v>
      </c>
      <c r="AK48" s="635">
        <f t="shared" si="211"/>
        <v>0.96017735755230937</v>
      </c>
      <c r="AL48" s="629">
        <f t="shared" si="91"/>
        <v>-0.22905567560837298</v>
      </c>
      <c r="AM48" s="634">
        <f t="shared" si="92"/>
        <v>-0.15997793446427722</v>
      </c>
      <c r="AN48" s="581">
        <f t="shared" si="93"/>
        <v>-55.068635321111628</v>
      </c>
      <c r="AO48" s="582">
        <f t="shared" si="94"/>
        <v>16.223872928724106</v>
      </c>
      <c r="AP48" s="585">
        <f t="shared" si="95"/>
        <v>-13.417456327071497</v>
      </c>
      <c r="AQ48" s="586">
        <f t="shared" si="246"/>
        <v>0.52755145153951111</v>
      </c>
      <c r="AS48" s="52">
        <f t="shared" si="406"/>
        <v>-126.83403366500033</v>
      </c>
      <c r="AT48" s="72">
        <f t="shared" si="247"/>
        <v>-0.41362232308662455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3.1259999999999999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3.8547753659248061</v>
      </c>
      <c r="C49" s="708">
        <v>-2.9761972278811246</v>
      </c>
      <c r="D49" s="709">
        <v>-1.0322031131245892</v>
      </c>
      <c r="E49" s="710">
        <v>0.79428280786334371</v>
      </c>
      <c r="F49" s="708">
        <v>0.59608402827823881</v>
      </c>
      <c r="G49" s="711">
        <v>0.11746766518625723</v>
      </c>
      <c r="H49" s="710">
        <v>0.314</v>
      </c>
      <c r="I49" s="708">
        <v>0.52</v>
      </c>
      <c r="J49" s="570">
        <v>3.1320000000000001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3.1320000000000001</v>
      </c>
      <c r="N49" s="632">
        <f t="shared" si="240"/>
        <v>3.8547753659248061</v>
      </c>
      <c r="O49" s="629">
        <f t="shared" si="241"/>
        <v>-2.9761972278811246</v>
      </c>
      <c r="P49" s="633">
        <f t="shared" si="242"/>
        <v>-1.0322031131245892</v>
      </c>
      <c r="Q49" s="585">
        <f t="shared" si="113"/>
        <v>322.32896645584754</v>
      </c>
      <c r="R49" s="629">
        <f t="shared" si="79"/>
        <v>4.8700146879643</v>
      </c>
      <c r="S49" s="634">
        <f t="shared" si="80"/>
        <v>-1.0322031131245892</v>
      </c>
      <c r="T49" s="635">
        <f t="shared" si="81"/>
        <v>-2.9761972278811224</v>
      </c>
      <c r="U49" s="629">
        <f t="shared" si="82"/>
        <v>-3.8547753659248087</v>
      </c>
      <c r="V49" s="636">
        <f t="shared" si="114"/>
        <v>-1.0322031131245892</v>
      </c>
      <c r="W49" s="585">
        <f t="shared" si="224"/>
        <v>232.32896645584754</v>
      </c>
      <c r="X49" s="629">
        <f t="shared" si="83"/>
        <v>4.8700146879643</v>
      </c>
      <c r="Y49" s="630">
        <f t="shared" si="223"/>
        <v>-1.0322031131245892</v>
      </c>
      <c r="Z49" s="632">
        <f t="shared" si="243"/>
        <v>-0.79428280786334371</v>
      </c>
      <c r="AA49" s="629">
        <f t="shared" si="244"/>
        <v>-0.59608402827823881</v>
      </c>
      <c r="AB49" s="629">
        <f t="shared" si="245"/>
        <v>-0.11746766518625723</v>
      </c>
      <c r="AC49" s="636">
        <f t="shared" si="84"/>
        <v>1</v>
      </c>
      <c r="AD49" s="637">
        <f t="shared" si="115"/>
        <v>-0.79428280786334371</v>
      </c>
      <c r="AE49" s="629">
        <f t="shared" si="85"/>
        <v>-0.59608402827823881</v>
      </c>
      <c r="AF49" s="633">
        <f t="shared" si="86"/>
        <v>-0.11746766518625723</v>
      </c>
      <c r="AG49" s="602">
        <f t="shared" si="87"/>
        <v>-78.851819833815938</v>
      </c>
      <c r="AH49" s="603">
        <f t="shared" si="88"/>
        <v>142.58756743715668</v>
      </c>
      <c r="AI49" s="585">
        <f t="shared" si="89"/>
        <v>-83.254023235488134</v>
      </c>
      <c r="AJ49" s="586">
        <f t="shared" si="90"/>
        <v>-53.11293583892256</v>
      </c>
      <c r="AK49" s="635">
        <f t="shared" si="211"/>
        <v>0.95722756866947512</v>
      </c>
      <c r="AL49" s="629">
        <f t="shared" si="91"/>
        <v>-0.26441771766433292</v>
      </c>
      <c r="AM49" s="634">
        <f t="shared" si="92"/>
        <v>-0.11746766518625723</v>
      </c>
      <c r="AN49" s="581">
        <f t="shared" si="93"/>
        <v>-66.046797845603152</v>
      </c>
      <c r="AO49" s="582">
        <f t="shared" si="94"/>
        <v>16.818213790142838</v>
      </c>
      <c r="AP49" s="585">
        <f t="shared" si="95"/>
        <v>-15.441902294770113</v>
      </c>
      <c r="AQ49" s="586">
        <f t="shared" si="246"/>
        <v>0.46810452434802369</v>
      </c>
      <c r="AS49" s="52">
        <f t="shared" si="406"/>
        <v>-127.67103354415246</v>
      </c>
      <c r="AT49" s="72">
        <f t="shared" si="247"/>
        <v>-0.94354267316337226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3.1320000000000001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4.1429766336705454</v>
      </c>
      <c r="C50" s="708">
        <v>-3.2769812652298214</v>
      </c>
      <c r="D50" s="709">
        <v>-1.6758050542280436</v>
      </c>
      <c r="E50" s="710">
        <v>0.82458993501237143</v>
      </c>
      <c r="F50" s="708">
        <v>0.55915687395375913</v>
      </c>
      <c r="G50" s="711">
        <v>8.5994356713408965E-2</v>
      </c>
      <c r="H50" s="710">
        <v>0.314</v>
      </c>
      <c r="I50" s="708">
        <v>0.52</v>
      </c>
      <c r="J50" s="570">
        <v>3.1379999999999999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3.1379999999999999</v>
      </c>
      <c r="N50" s="632">
        <f t="shared" si="240"/>
        <v>4.1429766336705454</v>
      </c>
      <c r="O50" s="629">
        <f t="shared" si="241"/>
        <v>-3.2769812652298214</v>
      </c>
      <c r="P50" s="633">
        <f t="shared" si="242"/>
        <v>-1.6758050542280436</v>
      </c>
      <c r="Q50" s="585">
        <f t="shared" si="113"/>
        <v>321.65696655287229</v>
      </c>
      <c r="R50" s="629">
        <f t="shared" si="79"/>
        <v>5.2823159314648498</v>
      </c>
      <c r="S50" s="634">
        <f t="shared" si="80"/>
        <v>-1.6758050542280436</v>
      </c>
      <c r="T50" s="635">
        <f t="shared" si="81"/>
        <v>-3.2769812652298205</v>
      </c>
      <c r="U50" s="629">
        <f t="shared" si="82"/>
        <v>-4.1429766336705462</v>
      </c>
      <c r="V50" s="636">
        <f t="shared" si="114"/>
        <v>-1.6758050542280436</v>
      </c>
      <c r="W50" s="585">
        <f t="shared" si="224"/>
        <v>231.65696655287229</v>
      </c>
      <c r="X50" s="629">
        <f t="shared" si="83"/>
        <v>5.2823159314648498</v>
      </c>
      <c r="Y50" s="630">
        <f t="shared" si="223"/>
        <v>-1.6758050542280436</v>
      </c>
      <c r="Z50" s="632">
        <f t="shared" si="243"/>
        <v>-0.82458993501237143</v>
      </c>
      <c r="AA50" s="629">
        <f t="shared" si="244"/>
        <v>-0.55915687395375913</v>
      </c>
      <c r="AB50" s="629">
        <f t="shared" si="245"/>
        <v>-8.5994356713408965E-2</v>
      </c>
      <c r="AC50" s="636">
        <f t="shared" si="84"/>
        <v>1</v>
      </c>
      <c r="AD50" s="637">
        <f t="shared" si="115"/>
        <v>-0.82458993501237143</v>
      </c>
      <c r="AE50" s="629">
        <f t="shared" si="85"/>
        <v>-0.55915687395375913</v>
      </c>
      <c r="AF50" s="633">
        <f t="shared" si="86"/>
        <v>-8.5994356713408965E-2</v>
      </c>
      <c r="AG50" s="602">
        <f t="shared" si="87"/>
        <v>-81.256818482208033</v>
      </c>
      <c r="AH50" s="603">
        <f t="shared" si="88"/>
        <v>145.5469390303187</v>
      </c>
      <c r="AI50" s="585">
        <f t="shared" si="89"/>
        <v>-85.066793308725877</v>
      </c>
      <c r="AJ50" s="586">
        <f t="shared" si="90"/>
        <v>-55.85868819152271</v>
      </c>
      <c r="AK50" s="635">
        <f t="shared" si="211"/>
        <v>0.95010213266201782</v>
      </c>
      <c r="AL50" s="629">
        <f t="shared" si="91"/>
        <v>-0.29985147677564045</v>
      </c>
      <c r="AM50" s="634">
        <f t="shared" si="92"/>
        <v>-8.5994356713408965E-2</v>
      </c>
      <c r="AN50" s="581">
        <f t="shared" si="93"/>
        <v>-73.99764656025863</v>
      </c>
      <c r="AO50" s="582">
        <f t="shared" si="94"/>
        <v>18.176122340278194</v>
      </c>
      <c r="AP50" s="585">
        <f t="shared" si="95"/>
        <v>-17.515654744395011</v>
      </c>
      <c r="AQ50" s="586">
        <f t="shared" si="246"/>
        <v>0.43156894580615718</v>
      </c>
      <c r="AS50" s="52">
        <f t="shared" si="406"/>
        <v>-128.34303344712771</v>
      </c>
      <c r="AT50" s="72">
        <f t="shared" si="247"/>
        <v>-1.5866779476675383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3.1379999999999999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4.3433150438019403</v>
      </c>
      <c r="C51" s="708">
        <v>-3.4971143004167189</v>
      </c>
      <c r="D51" s="709">
        <v>-2.3820071841336676</v>
      </c>
      <c r="E51" s="710">
        <v>0.8469323322827198</v>
      </c>
      <c r="F51" s="708">
        <v>0.52910877854536498</v>
      </c>
      <c r="G51" s="711">
        <v>5.2435913269292145E-2</v>
      </c>
      <c r="H51" s="710">
        <v>0.314</v>
      </c>
      <c r="I51" s="708">
        <v>0.52</v>
      </c>
      <c r="J51" s="570">
        <v>3.1440000000000001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3.1440000000000001</v>
      </c>
      <c r="N51" s="632">
        <f t="shared" si="240"/>
        <v>4.3433150438019403</v>
      </c>
      <c r="O51" s="629">
        <f t="shared" si="241"/>
        <v>-3.4971143004167189</v>
      </c>
      <c r="P51" s="633">
        <f t="shared" si="242"/>
        <v>-2.3820071841336676</v>
      </c>
      <c r="Q51" s="585">
        <f t="shared" si="113"/>
        <v>321.15996662463021</v>
      </c>
      <c r="R51" s="629">
        <f t="shared" si="79"/>
        <v>5.5762168178699225</v>
      </c>
      <c r="S51" s="634">
        <f t="shared" si="80"/>
        <v>-2.3820071841336676</v>
      </c>
      <c r="T51" s="635">
        <f t="shared" si="81"/>
        <v>-3.4971143004167167</v>
      </c>
      <c r="U51" s="629">
        <f t="shared" si="82"/>
        <v>-4.3433150438019421</v>
      </c>
      <c r="V51" s="636">
        <f t="shared" si="114"/>
        <v>-2.3820071841336676</v>
      </c>
      <c r="W51" s="585">
        <f t="shared" si="224"/>
        <v>231.15996662463021</v>
      </c>
      <c r="X51" s="629">
        <f t="shared" si="83"/>
        <v>5.5762168178699225</v>
      </c>
      <c r="Y51" s="630">
        <f t="shared" si="223"/>
        <v>-2.3820071841336676</v>
      </c>
      <c r="Z51" s="632">
        <f t="shared" si="243"/>
        <v>-0.8469323322827198</v>
      </c>
      <c r="AA51" s="629">
        <f t="shared" si="244"/>
        <v>-0.52910877854536498</v>
      </c>
      <c r="AB51" s="629">
        <f t="shared" si="245"/>
        <v>-5.2435913269292145E-2</v>
      </c>
      <c r="AC51" s="636">
        <f t="shared" si="84"/>
        <v>1</v>
      </c>
      <c r="AD51" s="637">
        <f t="shared" si="115"/>
        <v>-0.8469323322827198</v>
      </c>
      <c r="AE51" s="629">
        <f t="shared" si="85"/>
        <v>-0.52910877854536498</v>
      </c>
      <c r="AF51" s="633">
        <f t="shared" si="86"/>
        <v>-5.2435913269292145E-2</v>
      </c>
      <c r="AG51" s="602">
        <f t="shared" si="87"/>
        <v>-84.340334790437339</v>
      </c>
      <c r="AH51" s="603">
        <f t="shared" si="88"/>
        <v>147.8795641753747</v>
      </c>
      <c r="AI51" s="585">
        <f t="shared" si="89"/>
        <v>-86.994265009621515</v>
      </c>
      <c r="AJ51" s="586">
        <f t="shared" si="90"/>
        <v>-58.005511763156719</v>
      </c>
      <c r="AK51" s="635">
        <f t="shared" si="211"/>
        <v>0.9432748869302725</v>
      </c>
      <c r="AL51" s="629">
        <f t="shared" si="91"/>
        <v>-0.32784594352576152</v>
      </c>
      <c r="AM51" s="634">
        <f t="shared" si="92"/>
        <v>-5.2435913269292145E-2</v>
      </c>
      <c r="AN51" s="581">
        <f t="shared" si="93"/>
        <v>-80.913035332785043</v>
      </c>
      <c r="AO51" s="582">
        <f t="shared" si="94"/>
        <v>19.390988805176619</v>
      </c>
      <c r="AP51" s="585">
        <f t="shared" si="95"/>
        <v>-19.165478387786965</v>
      </c>
      <c r="AQ51" s="586">
        <f t="shared" si="246"/>
        <v>0.4088234043363293</v>
      </c>
      <c r="AS51" s="52">
        <f t="shared" si="406"/>
        <v>-128.84003337536979</v>
      </c>
      <c r="AT51" s="72">
        <f t="shared" si="247"/>
        <v>-2.2925349387341054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3.1440000000000001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4.4708550793720461</v>
      </c>
      <c r="C52" s="708">
        <v>-3.6423185395141568</v>
      </c>
      <c r="D52" s="709">
        <v>-3.1230094189964079</v>
      </c>
      <c r="E52" s="710">
        <v>0.86260951247290107</v>
      </c>
      <c r="F52" s="708">
        <v>0.505566507491225</v>
      </c>
      <c r="G52" s="711">
        <v>1.7530986691829564E-2</v>
      </c>
      <c r="H52" s="710">
        <v>0.314</v>
      </c>
      <c r="I52" s="708">
        <v>0.52</v>
      </c>
      <c r="J52" s="570">
        <v>3.15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3.15</v>
      </c>
      <c r="N52" s="632">
        <f t="shared" si="240"/>
        <v>4.4708550793720461</v>
      </c>
      <c r="O52" s="629">
        <f t="shared" si="241"/>
        <v>-3.6423185395141568</v>
      </c>
      <c r="P52" s="633">
        <f t="shared" si="242"/>
        <v>-3.1230094189964079</v>
      </c>
      <c r="Q52" s="585">
        <f t="shared" si="113"/>
        <v>320.83096667213192</v>
      </c>
      <c r="R52" s="629">
        <f t="shared" si="79"/>
        <v>5.7667173924196566</v>
      </c>
      <c r="S52" s="634">
        <f t="shared" si="80"/>
        <v>-3.1230094189964079</v>
      </c>
      <c r="T52" s="635">
        <f t="shared" si="81"/>
        <v>-3.6423185395141582</v>
      </c>
      <c r="U52" s="629">
        <f t="shared" si="82"/>
        <v>-4.4708550793720443</v>
      </c>
      <c r="V52" s="636">
        <f t="shared" si="114"/>
        <v>-3.1230094189964079</v>
      </c>
      <c r="W52" s="585">
        <f t="shared" si="224"/>
        <v>230.83096667213192</v>
      </c>
      <c r="X52" s="629">
        <f t="shared" si="83"/>
        <v>5.7667173924196566</v>
      </c>
      <c r="Y52" s="630">
        <f t="shared" si="223"/>
        <v>-3.1230094189964079</v>
      </c>
      <c r="Z52" s="632">
        <f t="shared" si="243"/>
        <v>-0.86260951247290107</v>
      </c>
      <c r="AA52" s="629">
        <f t="shared" si="244"/>
        <v>-0.505566507491225</v>
      </c>
      <c r="AB52" s="629">
        <f t="shared" si="245"/>
        <v>-1.7530986691829564E-2</v>
      </c>
      <c r="AC52" s="636">
        <f t="shared" si="84"/>
        <v>1</v>
      </c>
      <c r="AD52" s="637">
        <f t="shared" si="115"/>
        <v>-0.86260951247290107</v>
      </c>
      <c r="AE52" s="629">
        <f t="shared" si="85"/>
        <v>-0.505566507491225</v>
      </c>
      <c r="AF52" s="633">
        <f t="shared" si="86"/>
        <v>-1.7530986691829564E-2</v>
      </c>
      <c r="AG52" s="602">
        <f t="shared" si="87"/>
        <v>-88.014011544187554</v>
      </c>
      <c r="AH52" s="603">
        <f t="shared" si="88"/>
        <v>149.61085362620156</v>
      </c>
      <c r="AI52" s="585">
        <f t="shared" si="89"/>
        <v>-88.995496994138989</v>
      </c>
      <c r="AJ52" s="586">
        <f t="shared" si="90"/>
        <v>-59.625873890154317</v>
      </c>
      <c r="AK52" s="635">
        <f t="shared" si="211"/>
        <v>0.93679173782992176</v>
      </c>
      <c r="AL52" s="629">
        <f t="shared" si="91"/>
        <v>-0.34944799962112527</v>
      </c>
      <c r="AM52" s="634">
        <f t="shared" si="92"/>
        <v>-1.7530986691829564E-2</v>
      </c>
      <c r="AN52" s="581">
        <f t="shared" si="93"/>
        <v>-87.128012884061874</v>
      </c>
      <c r="AO52" s="582">
        <f t="shared" si="94"/>
        <v>20.480432282530316</v>
      </c>
      <c r="AP52" s="585">
        <f t="shared" si="95"/>
        <v>-20.456840562286217</v>
      </c>
      <c r="AQ52" s="586">
        <f t="shared" si="246"/>
        <v>0.39531856713774682</v>
      </c>
      <c r="AS52" s="52">
        <f t="shared" si="406"/>
        <v>-129.16903332786808</v>
      </c>
      <c r="AT52" s="72">
        <f t="shared" si="247"/>
        <v>-3.0333087014076106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3.15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4.5298548997519337</v>
      </c>
      <c r="C53" s="708">
        <v>-3.7126673855194796</v>
      </c>
      <c r="D53" s="709">
        <v>-3.882111708448913</v>
      </c>
      <c r="E53" s="710">
        <v>0.91449079222673713</v>
      </c>
      <c r="F53" s="708">
        <v>0.40388773396380639</v>
      </c>
      <c r="G53" s="711">
        <v>2.4109941644398364E-2</v>
      </c>
      <c r="H53" s="710">
        <v>0.314</v>
      </c>
      <c r="I53" s="708">
        <v>0.52</v>
      </c>
      <c r="J53" s="570">
        <v>3.1560000000000001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3.1560000000000001</v>
      </c>
      <c r="N53" s="632">
        <f t="shared" si="240"/>
        <v>4.5298548997519337</v>
      </c>
      <c r="O53" s="629">
        <f t="shared" si="241"/>
        <v>-3.7126673855194796</v>
      </c>
      <c r="P53" s="633">
        <f t="shared" si="242"/>
        <v>-3.882111708448913</v>
      </c>
      <c r="Q53" s="585">
        <f t="shared" si="113"/>
        <v>320.66196669653249</v>
      </c>
      <c r="R53" s="629">
        <f t="shared" ref="R53:R58" si="410">IF(M53="","",SQRT(N53^2+O53^2))</f>
        <v>5.8569176644636771</v>
      </c>
      <c r="S53" s="634">
        <f t="shared" ref="S53:S58" si="411">IF(M53="","",P53)</f>
        <v>-3.882111708448913</v>
      </c>
      <c r="T53" s="635">
        <f t="shared" ref="T53:T58" si="412">IF(M53="","",X53*COS(RADIANS(W53)))</f>
        <v>-3.7126673855194796</v>
      </c>
      <c r="U53" s="629">
        <f t="shared" ref="U53:U58" si="413">IF(M53="","",X53*SIN(RADIANS(W53)))</f>
        <v>-4.5298548997519346</v>
      </c>
      <c r="V53" s="636">
        <f t="shared" ref="V53:V58" si="414">IF(M53="","",Y53)</f>
        <v>-3.882111708448913</v>
      </c>
      <c r="W53" s="585">
        <f t="shared" si="224"/>
        <v>230.66196669653249</v>
      </c>
      <c r="X53" s="629">
        <f t="shared" ref="X53:X58" si="415">IF(M53="","",R53)</f>
        <v>5.8569176644636771</v>
      </c>
      <c r="Y53" s="630">
        <f t="shared" si="223"/>
        <v>-3.882111708448913</v>
      </c>
      <c r="Z53" s="632">
        <f t="shared" si="243"/>
        <v>-0.91449079222673713</v>
      </c>
      <c r="AA53" s="629">
        <f t="shared" si="244"/>
        <v>-0.40388773396380639</v>
      </c>
      <c r="AB53" s="629">
        <f t="shared" si="245"/>
        <v>-2.4109941644398364E-2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-0.91449079222673713</v>
      </c>
      <c r="AE53" s="629">
        <f t="shared" ref="AE53:AE58" si="418">IF(M53="","",AA53*(1/SQRT(Z53^2+AA53^2+AB53^2)))</f>
        <v>-0.40388773396380639</v>
      </c>
      <c r="AF53" s="633">
        <f t="shared" ref="AF53:AF58" si="419">IF(M53="","",AB53*(1/SQRT(Z53^2+AA53^2+AB53^2)))</f>
        <v>-2.4109941644398364E-2</v>
      </c>
      <c r="AG53" s="602">
        <f t="shared" ref="AG53:AG58" si="420">IF(M53="","",DEGREES(ATAN2(-AF53,AE53)))</f>
        <v>-86.583801796421653</v>
      </c>
      <c r="AH53" s="603">
        <f t="shared" ref="AH53:AH58" si="421">IF(M53="","",DEGREES(ACOS(AD53)))</f>
        <v>156.13351599440068</v>
      </c>
      <c r="AI53" s="585">
        <f t="shared" ref="AI53:AI58" si="422">IF(M53="","",DEGREES(-ACOS(-AF53)))</f>
        <v>-88.618468232482797</v>
      </c>
      <c r="AJ53" s="586">
        <f t="shared" ref="AJ53:AJ58" si="423">IF(M53="","",DEGREES(ATAN2(-AE53,AD53)))</f>
        <v>-66.171198826973125</v>
      </c>
      <c r="AK53" s="635">
        <f t="shared" ref="AK53:AK58" si="424">IF(M53="","",(COS(RADIANS((90-$Q$8)-W53))*AD53)+(-SIN(RADIANS((90-$Q$8)-W53))*AE53))</f>
        <v>0.89206529246679556</v>
      </c>
      <c r="AL53" s="629">
        <f t="shared" ref="AL53:AL58" si="425">IF(M53="","",(SIN(RADIANS((90-$Q$8)-W53))*AD53)+(COS(RADIANS((90-$Q$8)-W53))*AE53))</f>
        <v>-0.45126292190920592</v>
      </c>
      <c r="AM53" s="634">
        <f t="shared" ref="AM53:AM58" si="426">IF(M53="","",AF53)</f>
        <v>-2.4109941644398364E-2</v>
      </c>
      <c r="AN53" s="581">
        <f t="shared" ref="AN53:AN58" si="427">IF(M53="","",DEGREES(ATAN2(-AM53,AL53)))</f>
        <v>-86.941725829748947</v>
      </c>
      <c r="AO53" s="582">
        <f t="shared" si="94"/>
        <v>26.866071034419395</v>
      </c>
      <c r="AP53" s="585">
        <f t="shared" ref="AP53:AP58" si="428">IF(M53="","",DEGREES(ATAN2(AK53,AL53)))</f>
        <v>-26.83316552350562</v>
      </c>
      <c r="AQ53" s="586">
        <f t="shared" si="246"/>
        <v>0.38923059754212519</v>
      </c>
      <c r="AS53" s="52">
        <f t="shared" si="406"/>
        <v>-129.33803330346751</v>
      </c>
      <c r="AT53" s="72">
        <f t="shared" si="247"/>
        <v>-3.7922936297659495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3.1560000000000001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4.5902745096831046</v>
      </c>
      <c r="C54" s="708">
        <v>-3.7778836569901855</v>
      </c>
      <c r="D54" s="709">
        <v>-4.673014093810508</v>
      </c>
      <c r="E54" s="710">
        <v>0.97995145938567652</v>
      </c>
      <c r="F54" s="708">
        <v>0.16951765512365682</v>
      </c>
      <c r="G54" s="711">
        <v>0.10468477372216051</v>
      </c>
      <c r="H54" s="710">
        <v>0.26600000000000001</v>
      </c>
      <c r="I54" s="708">
        <v>0.52</v>
      </c>
      <c r="J54" s="570">
        <v>3.1619999999999999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3.1619999999999999</v>
      </c>
      <c r="N54" s="632">
        <f t="shared" si="240"/>
        <v>4.5902745096831046</v>
      </c>
      <c r="O54" s="629">
        <f t="shared" si="241"/>
        <v>-3.7778836569901855</v>
      </c>
      <c r="P54" s="633">
        <f t="shared" si="242"/>
        <v>-4.673014093810508</v>
      </c>
      <c r="Q54" s="585">
        <f t="shared" si="113"/>
        <v>320.5449667134252</v>
      </c>
      <c r="R54" s="629">
        <f t="shared" si="410"/>
        <v>5.9450000000000003</v>
      </c>
      <c r="S54" s="634">
        <f t="shared" si="411"/>
        <v>-4.673014093810508</v>
      </c>
      <c r="T54" s="635">
        <f t="shared" si="412"/>
        <v>-3.7778836569901877</v>
      </c>
      <c r="U54" s="629">
        <f t="shared" si="413"/>
        <v>-4.5902745096831028</v>
      </c>
      <c r="V54" s="636">
        <f t="shared" si="414"/>
        <v>-4.673014093810508</v>
      </c>
      <c r="W54" s="585">
        <f t="shared" si="224"/>
        <v>230.5449667134252</v>
      </c>
      <c r="X54" s="629">
        <f t="shared" si="415"/>
        <v>5.9450000000000003</v>
      </c>
      <c r="Y54" s="630">
        <f t="shared" si="223"/>
        <v>-4.673014093810508</v>
      </c>
      <c r="Z54" s="632">
        <f t="shared" si="243"/>
        <v>-0.97995145938567652</v>
      </c>
      <c r="AA54" s="629">
        <f t="shared" si="244"/>
        <v>-0.16951765512365682</v>
      </c>
      <c r="AB54" s="629">
        <f t="shared" si="245"/>
        <v>-0.10468477372216051</v>
      </c>
      <c r="AC54" s="636">
        <f t="shared" si="416"/>
        <v>1</v>
      </c>
      <c r="AD54" s="637">
        <f t="shared" si="417"/>
        <v>-0.97995145938567652</v>
      </c>
      <c r="AE54" s="629">
        <f t="shared" si="418"/>
        <v>-0.16951765512365682</v>
      </c>
      <c r="AF54" s="633">
        <f t="shared" si="419"/>
        <v>-0.10468477372216051</v>
      </c>
      <c r="AG54" s="602">
        <f t="shared" si="420"/>
        <v>-58.302804925275957</v>
      </c>
      <c r="AH54" s="603">
        <f t="shared" si="421"/>
        <v>168.50769151275716</v>
      </c>
      <c r="AI54" s="585">
        <f t="shared" si="422"/>
        <v>-83.990994664481434</v>
      </c>
      <c r="AJ54" s="586">
        <f t="shared" si="423"/>
        <v>-80.185770376811135</v>
      </c>
      <c r="AK54" s="635">
        <f t="shared" si="424"/>
        <v>0.75362071897598049</v>
      </c>
      <c r="AL54" s="629">
        <f t="shared" si="425"/>
        <v>-0.64891980250325743</v>
      </c>
      <c r="AM54" s="634">
        <f t="shared" si="426"/>
        <v>-0.10468477372216051</v>
      </c>
      <c r="AN54" s="581">
        <f t="shared" si="427"/>
        <v>-80.835906946545578</v>
      </c>
      <c r="AO54" s="582">
        <f t="shared" si="94"/>
        <v>41.095003248590515</v>
      </c>
      <c r="AP54" s="585">
        <f t="shared" si="428"/>
        <v>-40.730737090236303</v>
      </c>
      <c r="AQ54" s="586">
        <f t="shared" si="246"/>
        <v>0.38346385092791807</v>
      </c>
      <c r="AS54" s="52">
        <f t="shared" si="406"/>
        <v>-129.4550332865748</v>
      </c>
      <c r="AT54" s="72">
        <f t="shared" si="247"/>
        <v>-4.5831147651392756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3.1619999999999999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0.99363167195154078</v>
      </c>
      <c r="C55" s="708">
        <v>-1.8525740636552861</v>
      </c>
      <c r="D55" s="709">
        <v>-0.27185987998896055</v>
      </c>
      <c r="E55" s="710">
        <v>-0.12233266746748687</v>
      </c>
      <c r="F55" s="708">
        <v>0.22808331302080032</v>
      </c>
      <c r="G55" s="711">
        <v>0.96592583607218263</v>
      </c>
      <c r="H55" s="710">
        <v>0.26250000000000001</v>
      </c>
      <c r="I55" s="708">
        <v>0.40699999999999997</v>
      </c>
      <c r="J55" s="570">
        <v>3.2090000000000001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Inactive</v>
      </c>
      <c r="L55" s="320"/>
      <c r="M55" s="168">
        <f t="shared" si="239"/>
        <v>3.2090000000000001</v>
      </c>
      <c r="N55" s="632">
        <f t="shared" si="240"/>
        <v>0.99363167195154078</v>
      </c>
      <c r="O55" s="629">
        <f t="shared" si="241"/>
        <v>-1.8525740636552861</v>
      </c>
      <c r="P55" s="633">
        <f t="shared" si="242"/>
        <v>-0.27185987998896055</v>
      </c>
      <c r="Q55" s="585">
        <f t="shared" si="113"/>
        <v>298.20696993863294</v>
      </c>
      <c r="R55" s="629">
        <f t="shared" si="410"/>
        <v>2.1022213396389722</v>
      </c>
      <c r="S55" s="634">
        <f t="shared" si="411"/>
        <v>-0.27185987998896055</v>
      </c>
      <c r="T55" s="635">
        <f t="shared" si="412"/>
        <v>-1.8525740636552857</v>
      </c>
      <c r="U55" s="629">
        <f t="shared" si="413"/>
        <v>-0.99363167195154145</v>
      </c>
      <c r="V55" s="636">
        <f t="shared" si="414"/>
        <v>-0.27185987998896055</v>
      </c>
      <c r="W55" s="585">
        <f t="shared" si="224"/>
        <v>208.20696993863294</v>
      </c>
      <c r="X55" s="629">
        <f t="shared" si="415"/>
        <v>2.1022213396389722</v>
      </c>
      <c r="Y55" s="630">
        <f t="shared" si="223"/>
        <v>-0.27185987998896055</v>
      </c>
      <c r="Z55" s="632">
        <f t="shared" si="243"/>
        <v>0.12233266746748687</v>
      </c>
      <c r="AA55" s="629">
        <f t="shared" si="244"/>
        <v>-0.22808331302080032</v>
      </c>
      <c r="AB55" s="629">
        <f t="shared" si="245"/>
        <v>-0.96592583607218263</v>
      </c>
      <c r="AC55" s="636">
        <f t="shared" si="416"/>
        <v>1</v>
      </c>
      <c r="AD55" s="637">
        <f t="shared" si="417"/>
        <v>0.12233266746748687</v>
      </c>
      <c r="AE55" s="629">
        <f t="shared" si="418"/>
        <v>-0.22808331302080032</v>
      </c>
      <c r="AF55" s="633">
        <f t="shared" si="419"/>
        <v>-0.96592583607218263</v>
      </c>
      <c r="AG55" s="602">
        <f t="shared" si="420"/>
        <v>-13.285849186614669</v>
      </c>
      <c r="AH55" s="603">
        <f t="shared" si="421"/>
        <v>82.973253359497306</v>
      </c>
      <c r="AI55" s="585">
        <f t="shared" si="422"/>
        <v>-14.999997834273739</v>
      </c>
      <c r="AJ55" s="586">
        <f t="shared" si="423"/>
        <v>28.20691973215671</v>
      </c>
      <c r="AK55" s="635">
        <f t="shared" si="424"/>
        <v>2.2679489675159203E-7</v>
      </c>
      <c r="AL55" s="629">
        <f t="shared" si="425"/>
        <v>0.25881900859133911</v>
      </c>
      <c r="AM55" s="634">
        <f t="shared" si="426"/>
        <v>-0.96592583607218263</v>
      </c>
      <c r="AN55" s="581">
        <f t="shared" si="427"/>
        <v>14.999997834268259</v>
      </c>
      <c r="AO55" s="582">
        <f>IF(ROUND(IF(M55="",0,DEGREES(ACOS(AK55))),4)=90,0,IF(M55="","",DEGREES(ACOS(AK55))))</f>
        <v>0</v>
      </c>
      <c r="AP55" s="585">
        <f t="shared" si="428"/>
        <v>89.999949793523797</v>
      </c>
      <c r="AQ55" s="586">
        <f t="shared" si="246"/>
        <v>1.084307548593463</v>
      </c>
      <c r="AS55" s="52">
        <f t="shared" si="406"/>
        <v>-151.79303006136706</v>
      </c>
      <c r="AT55" s="72">
        <f t="shared" si="247"/>
        <v>-0.16644805355745562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3.2090000000000001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3.109</v>
      </c>
      <c r="II55" s="734" cm="1">
        <f t="array" ref="II55">IFERROR(IF($IH55&lt;1,$IH55+LARGE((IF($M$9:$M$150="",0,$M$9:$M$150)-MOD(IF($M$9:$M$150="",0,$M$9:$M$150),1)),1),$IH55),"")</f>
        <v>3.109</v>
      </c>
      <c r="IJ55" s="533">
        <f t="shared" si="112"/>
        <v>1613</v>
      </c>
      <c r="IK55" s="533" t="str">
        <f t="shared" si="382"/>
        <v>Inactive</v>
      </c>
      <c r="IL55" s="727">
        <f t="shared" si="225"/>
        <v>26.792996131569964</v>
      </c>
      <c r="IM55" s="759">
        <v>4.2191055761315099E-2</v>
      </c>
      <c r="IN55" s="5">
        <f t="shared" si="226"/>
        <v>0.68</v>
      </c>
      <c r="IO55" s="771">
        <v>340</v>
      </c>
      <c r="IP55" s="9">
        <f t="shared" si="227"/>
        <v>-2.1124063710176153</v>
      </c>
      <c r="IQ55" s="5">
        <f t="shared" si="228"/>
        <v>-0.26010078446396595</v>
      </c>
      <c r="IR55" s="5">
        <f t="shared" si="383"/>
        <v>0.314</v>
      </c>
      <c r="IS55" s="5">
        <f t="shared" si="229"/>
        <v>0.30330071252667318</v>
      </c>
      <c r="IT55" s="727">
        <f t="shared" si="230"/>
        <v>-14.999997834268262</v>
      </c>
      <c r="IU55" s="9">
        <f t="shared" si="231"/>
        <v>-2.1022213396389722</v>
      </c>
      <c r="IV55" s="5">
        <f t="shared" si="232"/>
        <v>-0.27185987998896055</v>
      </c>
      <c r="IW55" s="5">
        <f t="shared" si="384"/>
        <v>0.26250000000000001</v>
      </c>
      <c r="IX55" s="5">
        <f t="shared" si="233"/>
        <v>0.26250000000000001</v>
      </c>
      <c r="IY55" s="762">
        <f t="shared" si="234"/>
        <v>-14.999997834268259</v>
      </c>
    </row>
    <row r="56" spans="1:259" ht="15" customHeight="1" x14ac:dyDescent="0.25">
      <c r="A56" s="79"/>
      <c r="B56" s="707">
        <v>1.5624678608472362</v>
      </c>
      <c r="C56" s="708">
        <v>-2.3757401703029624</v>
      </c>
      <c r="D56" s="709">
        <v>-0.10017371340003528</v>
      </c>
      <c r="E56" s="710">
        <v>-2.3968184353240024E-2</v>
      </c>
      <c r="F56" s="708">
        <v>3.6444156512655181E-2</v>
      </c>
      <c r="G56" s="711">
        <v>0.99904822185662812</v>
      </c>
      <c r="H56" s="710">
        <v>0.26250000000000001</v>
      </c>
      <c r="I56" s="708">
        <v>0.40699999999999997</v>
      </c>
      <c r="J56" s="570">
        <v>3.214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Inactive</v>
      </c>
      <c r="L56" s="320"/>
      <c r="M56" s="168">
        <f t="shared" si="239"/>
        <v>3.214</v>
      </c>
      <c r="N56" s="632">
        <f t="shared" si="240"/>
        <v>1.5624678608472362</v>
      </c>
      <c r="O56" s="629">
        <f t="shared" si="241"/>
        <v>-2.3757401703029624</v>
      </c>
      <c r="P56" s="633">
        <f t="shared" si="242"/>
        <v>-0.10017371340003528</v>
      </c>
      <c r="Q56" s="585">
        <f t="shared" si="113"/>
        <v>303.33196919867453</v>
      </c>
      <c r="R56" s="629">
        <f t="shared" si="410"/>
        <v>2.8434920736607809</v>
      </c>
      <c r="S56" s="634">
        <f t="shared" si="411"/>
        <v>-0.10017371340003528</v>
      </c>
      <c r="T56" s="635">
        <f t="shared" si="412"/>
        <v>-2.3757401703029633</v>
      </c>
      <c r="U56" s="629">
        <f t="shared" si="413"/>
        <v>-1.5624678608472351</v>
      </c>
      <c r="V56" s="636">
        <f t="shared" si="414"/>
        <v>-0.10017371340003528</v>
      </c>
      <c r="W56" s="585">
        <f t="shared" si="224"/>
        <v>213.33196919867453</v>
      </c>
      <c r="X56" s="629">
        <f t="shared" si="415"/>
        <v>2.8434920736607809</v>
      </c>
      <c r="Y56" s="630">
        <f t="shared" si="223"/>
        <v>-0.10017371340003528</v>
      </c>
      <c r="Z56" s="632">
        <f t="shared" si="243"/>
        <v>2.3968184353240024E-2</v>
      </c>
      <c r="AA56" s="629">
        <f t="shared" si="244"/>
        <v>-3.6444156512655181E-2</v>
      </c>
      <c r="AB56" s="629">
        <f t="shared" si="245"/>
        <v>-0.99904822185662812</v>
      </c>
      <c r="AC56" s="636">
        <f t="shared" si="416"/>
        <v>1</v>
      </c>
      <c r="AD56" s="637">
        <f t="shared" si="417"/>
        <v>2.3968184353240024E-2</v>
      </c>
      <c r="AE56" s="629">
        <f t="shared" si="418"/>
        <v>-3.6444156512655181E-2</v>
      </c>
      <c r="AF56" s="633">
        <f t="shared" si="419"/>
        <v>-0.99904822185662812</v>
      </c>
      <c r="AG56" s="602">
        <f t="shared" si="420"/>
        <v>-2.089159295257581</v>
      </c>
      <c r="AH56" s="603">
        <f t="shared" si="421"/>
        <v>88.626592674789777</v>
      </c>
      <c r="AI56" s="585">
        <f t="shared" si="422"/>
        <v>-2.4999996390783106</v>
      </c>
      <c r="AJ56" s="586">
        <f t="shared" si="423"/>
        <v>33.331671294621962</v>
      </c>
      <c r="AK56" s="635">
        <f t="shared" si="424"/>
        <v>2.267948966232225E-7</v>
      </c>
      <c r="AL56" s="629">
        <f t="shared" si="425"/>
        <v>4.3619381071472937E-2</v>
      </c>
      <c r="AM56" s="634">
        <f t="shared" si="426"/>
        <v>-0.99904822185662812</v>
      </c>
      <c r="AN56" s="581">
        <f t="shared" si="427"/>
        <v>2.4999996390447246</v>
      </c>
      <c r="AO56" s="582">
        <f t="shared" ref="AO56:AO119" si="461">IF(ROUND(IF(M56="",0,DEGREES(ACOS(AK56))),4)=90,0,IF(M56="","",DEGREES(ACOS(AK56))))</f>
        <v>0</v>
      </c>
      <c r="AP56" s="585">
        <f t="shared" si="428"/>
        <v>89.999702095947441</v>
      </c>
      <c r="AQ56" s="586">
        <f t="shared" si="246"/>
        <v>0.8016825083396053</v>
      </c>
      <c r="AS56" s="52">
        <f t="shared" si="406"/>
        <v>-146.66803080132547</v>
      </c>
      <c r="AT56" s="72">
        <f t="shared" si="247"/>
        <v>1.6790857675518522E-3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3.214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3.1139999999999999</v>
      </c>
      <c r="II56" s="734" cm="1">
        <f t="array" ref="II56">IFERROR(IF($IH56&lt;1,$IH56+LARGE((IF($M$9:$M$150="",0,$M$9:$M$150)-MOD(IF($M$9:$M$150="",0,$M$9:$M$150),1)),1),$IH56),"")</f>
        <v>3.1139999999999999</v>
      </c>
      <c r="IJ56" s="533">
        <f t="shared" si="112"/>
        <v>1613</v>
      </c>
      <c r="IK56" s="533" t="str">
        <f t="shared" si="382"/>
        <v>Inactive</v>
      </c>
      <c r="IL56" s="727">
        <f t="shared" si="225"/>
        <v>21.49899689592894</v>
      </c>
      <c r="IM56" s="759">
        <v>4.5295651616364598E-2</v>
      </c>
      <c r="IN56" s="5">
        <f t="shared" si="226"/>
        <v>0.74</v>
      </c>
      <c r="IO56" s="771">
        <v>370</v>
      </c>
      <c r="IP56" s="9">
        <f t="shared" si="227"/>
        <v>-2.8452085811490817</v>
      </c>
      <c r="IQ56" s="5">
        <f t="shared" si="228"/>
        <v>-9.5600288330469588E-2</v>
      </c>
      <c r="IR56" s="5">
        <f t="shared" si="383"/>
        <v>0.314</v>
      </c>
      <c r="IS56" s="5">
        <f t="shared" si="229"/>
        <v>0.30314770799183038</v>
      </c>
      <c r="IT56" s="727">
        <f t="shared" si="230"/>
        <v>4.4992801454591014</v>
      </c>
      <c r="IU56" s="9">
        <f t="shared" si="231"/>
        <v>-2.8434920736607809</v>
      </c>
      <c r="IV56" s="5">
        <f t="shared" si="232"/>
        <v>-0.10017371340003528</v>
      </c>
      <c r="IW56" s="5">
        <f t="shared" si="384"/>
        <v>0.26250000000000001</v>
      </c>
      <c r="IX56" s="5">
        <f t="shared" si="233"/>
        <v>0.26250000000000001</v>
      </c>
      <c r="IY56" s="762">
        <f t="shared" si="234"/>
        <v>-2.4999996390447246</v>
      </c>
    </row>
    <row r="57" spans="1:259" ht="15" customHeight="1" x14ac:dyDescent="0.25">
      <c r="A57" s="79"/>
      <c r="B57" s="707">
        <v>2.1182639939784327</v>
      </c>
      <c r="C57" s="708">
        <v>-2.953641357716617</v>
      </c>
      <c r="D57" s="709">
        <v>-0.16780030899770881</v>
      </c>
      <c r="E57" s="710">
        <v>0.16717850333297846</v>
      </c>
      <c r="F57" s="708">
        <v>-0.23310811052723129</v>
      </c>
      <c r="G57" s="711">
        <v>0.95797283720874338</v>
      </c>
      <c r="H57" s="710">
        <v>0.26250000000000001</v>
      </c>
      <c r="I57" s="708">
        <v>0.40699999999999997</v>
      </c>
      <c r="J57" s="570">
        <v>3.22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Inactive</v>
      </c>
      <c r="L57" s="320"/>
      <c r="M57" s="168">
        <f t="shared" si="239"/>
        <v>3.22</v>
      </c>
      <c r="N57" s="632">
        <f t="shared" si="240"/>
        <v>2.1182639939784327</v>
      </c>
      <c r="O57" s="629">
        <f t="shared" si="241"/>
        <v>-2.953641357716617</v>
      </c>
      <c r="P57" s="633">
        <f t="shared" si="242"/>
        <v>-0.16780030899770881</v>
      </c>
      <c r="Q57" s="585">
        <f t="shared" si="113"/>
        <v>305.64696886442994</v>
      </c>
      <c r="R57" s="629">
        <f t="shared" si="410"/>
        <v>3.6346993848459492</v>
      </c>
      <c r="S57" s="634">
        <f t="shared" si="411"/>
        <v>-0.16780030899770881</v>
      </c>
      <c r="T57" s="635">
        <f t="shared" si="412"/>
        <v>-2.9536413577166178</v>
      </c>
      <c r="U57" s="629">
        <f t="shared" si="413"/>
        <v>-2.1182639939784313</v>
      </c>
      <c r="V57" s="636">
        <f t="shared" si="414"/>
        <v>-0.16780030899770881</v>
      </c>
      <c r="W57" s="585">
        <f t="shared" si="224"/>
        <v>215.64696886442994</v>
      </c>
      <c r="X57" s="629">
        <f t="shared" si="415"/>
        <v>3.6346993848459492</v>
      </c>
      <c r="Y57" s="630">
        <f t="shared" si="223"/>
        <v>-0.16780030899770881</v>
      </c>
      <c r="Z57" s="632">
        <f t="shared" si="243"/>
        <v>-0.16717850333297846</v>
      </c>
      <c r="AA57" s="629">
        <f t="shared" si="244"/>
        <v>0.23310811052723129</v>
      </c>
      <c r="AB57" s="629">
        <f t="shared" si="245"/>
        <v>-0.95797283720874338</v>
      </c>
      <c r="AC57" s="636">
        <f t="shared" si="416"/>
        <v>1</v>
      </c>
      <c r="AD57" s="637">
        <f t="shared" si="417"/>
        <v>-0.16717850333297846</v>
      </c>
      <c r="AE57" s="629">
        <f t="shared" si="418"/>
        <v>0.23310811052723129</v>
      </c>
      <c r="AF57" s="633">
        <f t="shared" si="419"/>
        <v>-0.95797283720874338</v>
      </c>
      <c r="AG57" s="602">
        <f t="shared" si="420"/>
        <v>13.676258772841619</v>
      </c>
      <c r="AH57" s="603">
        <f t="shared" si="421"/>
        <v>99.623811607481315</v>
      </c>
      <c r="AI57" s="585">
        <f t="shared" si="422"/>
        <v>-16.66999759315506</v>
      </c>
      <c r="AJ57" s="586">
        <f t="shared" si="423"/>
        <v>-144.35298583668185</v>
      </c>
      <c r="AK57" s="635">
        <f t="shared" si="424"/>
        <v>2.2679489683485876E-7</v>
      </c>
      <c r="AL57" s="629">
        <f t="shared" si="425"/>
        <v>-0.28685892555432041</v>
      </c>
      <c r="AM57" s="634">
        <f t="shared" si="426"/>
        <v>-0.95797283720874338</v>
      </c>
      <c r="AN57" s="581">
        <f t="shared" si="427"/>
        <v>-16.669997593150153</v>
      </c>
      <c r="AO57" s="582">
        <f t="shared" si="461"/>
        <v>0</v>
      </c>
      <c r="AP57" s="585">
        <f t="shared" si="428"/>
        <v>-89.99995470111179</v>
      </c>
      <c r="AQ57" s="586">
        <f t="shared" si="246"/>
        <v>0.62718682717102647</v>
      </c>
      <c r="AS57" s="52">
        <f t="shared" si="406"/>
        <v>-144.35303113557006</v>
      </c>
      <c r="AT57" s="72">
        <f t="shared" si="247"/>
        <v>-6.7555148486896269E-2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3.22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3.12</v>
      </c>
      <c r="II57" s="734" cm="1">
        <f t="array" ref="II57">IFERROR(IF($IH57&lt;1,$IH57+LARGE((IF($M$9:$M$150="",0,$M$9:$M$150)-MOD(IF($M$9:$M$150="",0,$M$9:$M$150),1)),1),$IH57),"")</f>
        <v>3.12</v>
      </c>
      <c r="IJ57" s="533">
        <f t="shared" si="112"/>
        <v>1613</v>
      </c>
      <c r="IK57" s="533" t="str">
        <f t="shared" si="382"/>
        <v>Inactive</v>
      </c>
      <c r="IL57" s="727">
        <f t="shared" si="225"/>
        <v>18.447997336438789</v>
      </c>
      <c r="IM57" s="759">
        <v>3.3972995812791097E-2</v>
      </c>
      <c r="IN57" s="5">
        <f t="shared" si="226"/>
        <v>0.8</v>
      </c>
      <c r="IO57" s="771">
        <v>400</v>
      </c>
      <c r="IP57" s="9">
        <f t="shared" si="227"/>
        <v>-3.6234109282073588</v>
      </c>
      <c r="IQ57" s="5">
        <f t="shared" si="228"/>
        <v>-0.16500049764150101</v>
      </c>
      <c r="IR57" s="5">
        <f t="shared" si="383"/>
        <v>0.314</v>
      </c>
      <c r="IS57" s="5">
        <f t="shared" si="229"/>
        <v>0.30244894514884646</v>
      </c>
      <c r="IT57" s="727">
        <f t="shared" si="230"/>
        <v>32.851364621855168</v>
      </c>
      <c r="IU57" s="9">
        <f t="shared" si="231"/>
        <v>-3.6346993848459492</v>
      </c>
      <c r="IV57" s="5">
        <f t="shared" si="232"/>
        <v>-0.16780030899770881</v>
      </c>
      <c r="IW57" s="5">
        <f t="shared" si="384"/>
        <v>0.26250000000000001</v>
      </c>
      <c r="IX57" s="5">
        <f t="shared" si="233"/>
        <v>0.26250000000000001</v>
      </c>
      <c r="IY57" s="762">
        <f t="shared" si="234"/>
        <v>16.669997593150153</v>
      </c>
    </row>
    <row r="58" spans="1:259" ht="15" customHeight="1" x14ac:dyDescent="0.25">
      <c r="A58" s="79"/>
      <c r="B58" s="707">
        <v>2.845178539988213</v>
      </c>
      <c r="C58" s="708">
        <v>-3.2901332152800693</v>
      </c>
      <c r="D58" s="709">
        <v>-0.46998352484784522</v>
      </c>
      <c r="E58" s="710">
        <v>0.88700645688870339</v>
      </c>
      <c r="F58" s="708">
        <v>0.38332023986499009</v>
      </c>
      <c r="G58" s="711">
        <v>0.25745900479026829</v>
      </c>
      <c r="H58" s="710">
        <v>0.26600000000000001</v>
      </c>
      <c r="I58" s="708">
        <v>0.52</v>
      </c>
      <c r="J58" s="570">
        <v>3.226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3.226</v>
      </c>
      <c r="N58" s="632">
        <f t="shared" si="240"/>
        <v>2.845178539988213</v>
      </c>
      <c r="O58" s="629">
        <f t="shared" si="241"/>
        <v>-3.2901332152800693</v>
      </c>
      <c r="P58" s="633">
        <f t="shared" si="242"/>
        <v>-0.46998352484784522</v>
      </c>
      <c r="Q58" s="585">
        <f t="shared" si="113"/>
        <v>310.85196811292104</v>
      </c>
      <c r="R58" s="629">
        <f t="shared" si="410"/>
        <v>4.3497146456633944</v>
      </c>
      <c r="S58" s="634">
        <f t="shared" si="411"/>
        <v>-0.46998352484784522</v>
      </c>
      <c r="T58" s="635">
        <f t="shared" si="412"/>
        <v>-3.2901332152800711</v>
      </c>
      <c r="U58" s="629">
        <f t="shared" si="413"/>
        <v>-2.8451785399882112</v>
      </c>
      <c r="V58" s="636">
        <f t="shared" si="414"/>
        <v>-0.46998352484784522</v>
      </c>
      <c r="W58" s="585">
        <f t="shared" si="224"/>
        <v>220.85196811292104</v>
      </c>
      <c r="X58" s="629">
        <f t="shared" si="415"/>
        <v>4.3497146456633944</v>
      </c>
      <c r="Y58" s="630">
        <f t="shared" si="223"/>
        <v>-0.46998352484784522</v>
      </c>
      <c r="Z58" s="632">
        <f t="shared" si="243"/>
        <v>-0.88700645688870339</v>
      </c>
      <c r="AA58" s="629">
        <f t="shared" si="244"/>
        <v>-0.38332023986499009</v>
      </c>
      <c r="AB58" s="629">
        <f t="shared" si="245"/>
        <v>-0.25745900479026829</v>
      </c>
      <c r="AC58" s="636">
        <f t="shared" si="416"/>
        <v>1</v>
      </c>
      <c r="AD58" s="637">
        <f t="shared" si="417"/>
        <v>-0.88700645688870339</v>
      </c>
      <c r="AE58" s="629">
        <f t="shared" si="418"/>
        <v>-0.38332023986499009</v>
      </c>
      <c r="AF58" s="633">
        <f t="shared" si="419"/>
        <v>-0.25745900479026829</v>
      </c>
      <c r="AG58" s="602">
        <f t="shared" si="420"/>
        <v>-56.112513936876518</v>
      </c>
      <c r="AH58" s="603">
        <f t="shared" si="421"/>
        <v>152.49945697587469</v>
      </c>
      <c r="AI58" s="585">
        <f t="shared" si="422"/>
        <v>-75.080658265293451</v>
      </c>
      <c r="AJ58" s="586">
        <f t="shared" si="423"/>
        <v>-66.628391469274064</v>
      </c>
      <c r="AK58" s="635">
        <f t="shared" si="424"/>
        <v>0.92166596040531501</v>
      </c>
      <c r="AL58" s="629">
        <f t="shared" si="425"/>
        <v>-0.29025285232457759</v>
      </c>
      <c r="AM58" s="634">
        <f t="shared" si="426"/>
        <v>-0.25745900479026829</v>
      </c>
      <c r="AN58" s="581">
        <f t="shared" si="427"/>
        <v>-48.426452342401589</v>
      </c>
      <c r="AO58" s="582">
        <f t="shared" si="461"/>
        <v>22.829137906399183</v>
      </c>
      <c r="AP58" s="585">
        <f t="shared" si="428"/>
        <v>-17.480359582195096</v>
      </c>
      <c r="AQ58" s="586">
        <f t="shared" si="246"/>
        <v>0.52409485104941778</v>
      </c>
      <c r="AS58" s="52">
        <f t="shared" si="406"/>
        <v>-139.14803188707896</v>
      </c>
      <c r="AT58" s="72">
        <f t="shared" si="247"/>
        <v>-0.37335294714848483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3.226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3.1259999999999999</v>
      </c>
      <c r="II58" s="734" cm="1">
        <f t="array" ref="II58">IFERROR(IF($IH58&lt;1,$IH58+LARGE((IF($M$9:$M$150="",0,$M$9:$M$150)-MOD(IF($M$9:$M$150="",0,$M$9:$M$150),1)),1),$IH58),"")</f>
        <v>3.1259999999999999</v>
      </c>
      <c r="IJ58" s="533">
        <f t="shared" si="112"/>
        <v>1613</v>
      </c>
      <c r="IK58" s="533">
        <f t="shared" si="382"/>
        <v>1313</v>
      </c>
      <c r="IL58" s="727">
        <f t="shared" si="225"/>
        <v>12.313998222078624</v>
      </c>
      <c r="IM58" s="759">
        <v>1.4065890540083399E-2</v>
      </c>
      <c r="IN58" s="5">
        <f t="shared" si="226"/>
        <v>0.46</v>
      </c>
      <c r="IO58" s="771">
        <v>230</v>
      </c>
      <c r="IP58" s="9">
        <f t="shared" si="227"/>
        <v>-4.3212130327785072</v>
      </c>
      <c r="IQ58" s="5">
        <f t="shared" si="228"/>
        <v>-0.5017015131317637</v>
      </c>
      <c r="IR58" s="5">
        <f t="shared" si="383"/>
        <v>0.314</v>
      </c>
      <c r="IS58" s="5">
        <f t="shared" si="229"/>
        <v>0.30149569027142514</v>
      </c>
      <c r="IT58" s="727">
        <f t="shared" si="230"/>
        <v>55.068635321111628</v>
      </c>
      <c r="IU58" s="9">
        <f t="shared" si="231"/>
        <v>-4.3497146456633944</v>
      </c>
      <c r="IV58" s="5">
        <f t="shared" si="232"/>
        <v>-0.46998352484784522</v>
      </c>
      <c r="IW58" s="5">
        <f t="shared" si="384"/>
        <v>0.26600000000000001</v>
      </c>
      <c r="IX58" s="5">
        <f t="shared" si="233"/>
        <v>0.24516314546781381</v>
      </c>
      <c r="IY58" s="762">
        <f t="shared" si="234"/>
        <v>48.426452342401589</v>
      </c>
    </row>
    <row r="59" spans="1:259" ht="15" customHeight="1" x14ac:dyDescent="0.25">
      <c r="A59" s="79"/>
      <c r="B59" s="707">
        <v>3.2247579170028473</v>
      </c>
      <c r="C59" s="708">
        <v>-3.6938796452455582</v>
      </c>
      <c r="D59" s="709">
        <v>-1.0025938738671694</v>
      </c>
      <c r="E59" s="710">
        <v>0.91458201319666654</v>
      </c>
      <c r="F59" s="708">
        <v>0.33945083910146356</v>
      </c>
      <c r="G59" s="711">
        <v>0.21980188572995674</v>
      </c>
      <c r="H59" s="710">
        <v>0.26600000000000001</v>
      </c>
      <c r="I59" s="708">
        <v>0.52</v>
      </c>
      <c r="J59" s="570">
        <v>3.2320000000000002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3.2320000000000002</v>
      </c>
      <c r="N59" s="632">
        <f t="shared" si="240"/>
        <v>3.2247579170028473</v>
      </c>
      <c r="O59" s="629">
        <f t="shared" si="241"/>
        <v>-3.6938796452455582</v>
      </c>
      <c r="P59" s="633">
        <f t="shared" si="242"/>
        <v>-1.0025938738671694</v>
      </c>
      <c r="Q59" s="585">
        <f t="shared" si="113"/>
        <v>311.12096807408227</v>
      </c>
      <c r="R59" s="629">
        <f t="shared" si="79"/>
        <v>4.9034488328962906</v>
      </c>
      <c r="S59" s="634">
        <f t="shared" si="80"/>
        <v>-1.0025938738671694</v>
      </c>
      <c r="T59" s="635">
        <f t="shared" si="81"/>
        <v>-3.6938796452455582</v>
      </c>
      <c r="U59" s="629">
        <f t="shared" si="82"/>
        <v>-3.2247579170028473</v>
      </c>
      <c r="V59" s="636">
        <f t="shared" si="114"/>
        <v>-1.0025938738671694</v>
      </c>
      <c r="W59" s="585">
        <f t="shared" si="224"/>
        <v>221.12096807408227</v>
      </c>
      <c r="X59" s="629">
        <f t="shared" si="83"/>
        <v>4.9034488328962906</v>
      </c>
      <c r="Y59" s="630">
        <f t="shared" si="223"/>
        <v>-1.0025938738671694</v>
      </c>
      <c r="Z59" s="632">
        <f t="shared" si="243"/>
        <v>-0.91458201319666654</v>
      </c>
      <c r="AA59" s="629">
        <f t="shared" si="244"/>
        <v>-0.33945083910146356</v>
      </c>
      <c r="AB59" s="629">
        <f t="shared" si="245"/>
        <v>-0.21980188572995674</v>
      </c>
      <c r="AC59" s="636">
        <f t="shared" si="84"/>
        <v>1</v>
      </c>
      <c r="AD59" s="637">
        <f t="shared" si="115"/>
        <v>-0.91458201319666654</v>
      </c>
      <c r="AE59" s="629">
        <f t="shared" si="85"/>
        <v>-0.33945083910146356</v>
      </c>
      <c r="AF59" s="633">
        <f t="shared" si="86"/>
        <v>-0.21980188572995674</v>
      </c>
      <c r="AG59" s="602">
        <f t="shared" si="87"/>
        <v>-57.076054995041886</v>
      </c>
      <c r="AH59" s="603">
        <f t="shared" si="88"/>
        <v>156.14643695893571</v>
      </c>
      <c r="AI59" s="585">
        <f t="shared" si="89"/>
        <v>-77.302602939140385</v>
      </c>
      <c r="AJ59" s="586">
        <f t="shared" si="90"/>
        <v>-69.637386918328147</v>
      </c>
      <c r="AK59" s="635">
        <f t="shared" si="211"/>
        <v>0.91221562938967882</v>
      </c>
      <c r="AL59" s="629">
        <f t="shared" si="91"/>
        <v>-0.34575970922990368</v>
      </c>
      <c r="AM59" s="634">
        <f t="shared" si="92"/>
        <v>-0.21980188572995674</v>
      </c>
      <c r="AN59" s="581">
        <f t="shared" si="93"/>
        <v>-57.555591881762986</v>
      </c>
      <c r="AO59" s="582">
        <f t="shared" si="461"/>
        <v>24.186646459940921</v>
      </c>
      <c r="AP59" s="585">
        <f t="shared" si="95"/>
        <v>-20.7583549924104</v>
      </c>
      <c r="AQ59" s="586">
        <f t="shared" si="246"/>
        <v>0.4649128962263232</v>
      </c>
      <c r="AS59" s="52">
        <f t="shared" si="406"/>
        <v>-138.87903192591773</v>
      </c>
      <c r="AT59" s="72">
        <f t="shared" si="247"/>
        <v>-0.9061501016963931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3.2320000000000002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3.1320000000000001</v>
      </c>
      <c r="II59" s="734" cm="1">
        <f t="array" ref="II59">IFERROR(IF($IH59&lt;1,$IH59+LARGE((IF($M$9:$M$150="",0,$M$9:$M$150)-MOD(IF($M$9:$M$150="",0,$M$9:$M$150),1)),1),$IH59),"")</f>
        <v>3.1320000000000001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11.207998381765265</v>
      </c>
      <c r="IM59" s="759">
        <v>1.3899526124926301E-2</v>
      </c>
      <c r="IN59" s="5">
        <f t="shared" si="226"/>
        <v>0.5</v>
      </c>
      <c r="IO59" s="771">
        <v>250</v>
      </c>
      <c r="IP59" s="9">
        <f t="shared" si="227"/>
        <v>-4.8700146879643</v>
      </c>
      <c r="IQ59" s="5">
        <f t="shared" si="228"/>
        <v>-1.0322031131245892</v>
      </c>
      <c r="IR59" s="5">
        <f t="shared" si="383"/>
        <v>0.314</v>
      </c>
      <c r="IS59" s="5">
        <f t="shared" si="229"/>
        <v>0.30056945656221518</v>
      </c>
      <c r="IT59" s="727">
        <f t="shared" si="230"/>
        <v>66.046797845603152</v>
      </c>
      <c r="IU59" s="9">
        <f t="shared" si="231"/>
        <v>-4.9034488328962906</v>
      </c>
      <c r="IV59" s="5">
        <f t="shared" si="232"/>
        <v>-1.0025938738671694</v>
      </c>
      <c r="IW59" s="5">
        <f t="shared" si="384"/>
        <v>0.26600000000000001</v>
      </c>
      <c r="IX59" s="5">
        <f t="shared" si="233"/>
        <v>0.24264935741765459</v>
      </c>
      <c r="IY59" s="762">
        <f t="shared" si="234"/>
        <v>57.555591881762986</v>
      </c>
    </row>
    <row r="60" spans="1:259" ht="15" customHeight="1" x14ac:dyDescent="0.25">
      <c r="A60" s="79"/>
      <c r="B60" s="707">
        <v>3.4990061246818351</v>
      </c>
      <c r="C60" s="708">
        <v>-4.0078829209150761</v>
      </c>
      <c r="D60" s="709">
        <v>-1.6492726329784111</v>
      </c>
      <c r="E60" s="710">
        <v>0.93938861532063256</v>
      </c>
      <c r="F60" s="708">
        <v>0.28606420715439795</v>
      </c>
      <c r="G60" s="711">
        <v>0.18898756253021134</v>
      </c>
      <c r="H60" s="710">
        <v>0.26600000000000001</v>
      </c>
      <c r="I60" s="708">
        <v>0.52</v>
      </c>
      <c r="J60" s="570">
        <v>3.238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3.238</v>
      </c>
      <c r="N60" s="632">
        <f t="shared" si="240"/>
        <v>3.4990061246818351</v>
      </c>
      <c r="O60" s="629">
        <f t="shared" si="241"/>
        <v>-4.0078829209150761</v>
      </c>
      <c r="P60" s="633">
        <f t="shared" si="242"/>
        <v>-1.6492726329784111</v>
      </c>
      <c r="Q60" s="585">
        <f t="shared" si="113"/>
        <v>311.12196807393786</v>
      </c>
      <c r="R60" s="629">
        <f t="shared" si="79"/>
        <v>5.3203542521455995</v>
      </c>
      <c r="S60" s="634">
        <f t="shared" si="80"/>
        <v>-1.6492726329784111</v>
      </c>
      <c r="T60" s="635">
        <f t="shared" si="81"/>
        <v>-4.0078829209150779</v>
      </c>
      <c r="U60" s="629">
        <f t="shared" si="82"/>
        <v>-3.4990061246818343</v>
      </c>
      <c r="V60" s="636">
        <f t="shared" si="114"/>
        <v>-1.6492726329784111</v>
      </c>
      <c r="W60" s="585">
        <f t="shared" si="224"/>
        <v>221.12196807393786</v>
      </c>
      <c r="X60" s="629">
        <f t="shared" si="83"/>
        <v>5.3203542521455995</v>
      </c>
      <c r="Y60" s="630">
        <f t="shared" si="223"/>
        <v>-1.6492726329784111</v>
      </c>
      <c r="Z60" s="632">
        <f t="shared" si="243"/>
        <v>-0.93938861532063256</v>
      </c>
      <c r="AA60" s="629">
        <f t="shared" si="244"/>
        <v>-0.28606420715439795</v>
      </c>
      <c r="AB60" s="629">
        <f t="shared" si="245"/>
        <v>-0.18898756253021134</v>
      </c>
      <c r="AC60" s="636">
        <f t="shared" si="84"/>
        <v>1</v>
      </c>
      <c r="AD60" s="637">
        <f t="shared" si="115"/>
        <v>-0.93938861532063256</v>
      </c>
      <c r="AE60" s="629">
        <f t="shared" si="85"/>
        <v>-0.28606420715439795</v>
      </c>
      <c r="AF60" s="633">
        <f t="shared" si="86"/>
        <v>-0.18898756253021134</v>
      </c>
      <c r="AG60" s="602">
        <f t="shared" si="87"/>
        <v>-56.549360025091104</v>
      </c>
      <c r="AH60" s="603">
        <f t="shared" si="88"/>
        <v>159.9491345291718</v>
      </c>
      <c r="AI60" s="585">
        <f t="shared" si="89"/>
        <v>-79.106294592207689</v>
      </c>
      <c r="AJ60" s="586">
        <f t="shared" si="90"/>
        <v>-73.063370296826008</v>
      </c>
      <c r="AK60" s="635">
        <f t="shared" si="211"/>
        <v>0.89578621544028203</v>
      </c>
      <c r="AL60" s="629">
        <f t="shared" si="91"/>
        <v>-0.40230679516516543</v>
      </c>
      <c r="AM60" s="634">
        <f t="shared" si="92"/>
        <v>-0.18898756253021134</v>
      </c>
      <c r="AN60" s="581">
        <f t="shared" si="93"/>
        <v>-64.837748557964105</v>
      </c>
      <c r="AO60" s="582">
        <f t="shared" si="461"/>
        <v>26.390404068872844</v>
      </c>
      <c r="AP60" s="585">
        <f t="shared" si="95"/>
        <v>-24.185338370763869</v>
      </c>
      <c r="AQ60" s="586">
        <f t="shared" si="246"/>
        <v>0.4284835227481002</v>
      </c>
      <c r="AS60" s="52">
        <f t="shared" si="406"/>
        <v>-138.87803192606214</v>
      </c>
      <c r="AT60" s="72">
        <f t="shared" si="247"/>
        <v>-1.5528295552519791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3.238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3.1379999999999999</v>
      </c>
      <c r="II60" s="734" cm="1">
        <f t="array" ref="II60">IFERROR(IF($IH60&lt;1,$IH60+LARGE((IF($M$9:$M$150="",0,$M$9:$M$150)-MOD(IF($M$9:$M$150="",0,$M$9:$M$150),1)),1),$IH60),"")</f>
        <v>3.1379999999999999</v>
      </c>
      <c r="IJ60" s="533">
        <f t="shared" si="112"/>
        <v>1613</v>
      </c>
      <c r="IK60" s="533">
        <f t="shared" si="382"/>
        <v>1313</v>
      </c>
      <c r="IL60" s="727">
        <f t="shared" si="225"/>
        <v>10.534998478934426</v>
      </c>
      <c r="IM60" s="759">
        <v>1.45195137095837E-2</v>
      </c>
      <c r="IN60" s="5">
        <f t="shared" si="226"/>
        <v>0.57999999999999996</v>
      </c>
      <c r="IO60" s="771">
        <v>290</v>
      </c>
      <c r="IP60" s="9">
        <f t="shared" si="227"/>
        <v>-5.2823159314648498</v>
      </c>
      <c r="IQ60" s="5">
        <f t="shared" si="228"/>
        <v>-1.6758050542280436</v>
      </c>
      <c r="IR60" s="5">
        <f t="shared" si="383"/>
        <v>0.314</v>
      </c>
      <c r="IS60" s="5">
        <f t="shared" si="229"/>
        <v>0.29833206965587361</v>
      </c>
      <c r="IT60" s="727">
        <f t="shared" si="230"/>
        <v>73.99764656025863</v>
      </c>
      <c r="IU60" s="9">
        <f t="shared" si="231"/>
        <v>-5.3203542521455995</v>
      </c>
      <c r="IV60" s="5">
        <f t="shared" si="232"/>
        <v>-1.6492726329784111</v>
      </c>
      <c r="IW60" s="5">
        <f t="shared" si="384"/>
        <v>0.26600000000000001</v>
      </c>
      <c r="IX60" s="5">
        <f t="shared" si="233"/>
        <v>0.23827913330711503</v>
      </c>
      <c r="IY60" s="762">
        <f t="shared" si="234"/>
        <v>64.837748557964105</v>
      </c>
    </row>
    <row r="61" spans="1:259" ht="15" customHeight="1" x14ac:dyDescent="0.25">
      <c r="A61" s="79"/>
      <c r="B61" s="707">
        <v>3.6890097460359255</v>
      </c>
      <c r="C61" s="708">
        <v>-4.2375969028374598</v>
      </c>
      <c r="D61" s="709">
        <v>-2.3593750002141309</v>
      </c>
      <c r="E61" s="710">
        <v>0.95972647140266254</v>
      </c>
      <c r="F61" s="708">
        <v>0.23606817313439468</v>
      </c>
      <c r="G61" s="711">
        <v>0.15230534370790771</v>
      </c>
      <c r="H61" s="710">
        <v>0.26600000000000001</v>
      </c>
      <c r="I61" s="708">
        <v>0.52</v>
      </c>
      <c r="J61" s="570">
        <v>3.2440000000000002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3.2440000000000002</v>
      </c>
      <c r="N61" s="632">
        <f t="shared" si="240"/>
        <v>3.6890097460359255</v>
      </c>
      <c r="O61" s="629">
        <f t="shared" si="241"/>
        <v>-4.2375969028374598</v>
      </c>
      <c r="P61" s="633">
        <f t="shared" si="242"/>
        <v>-2.3593750002141309</v>
      </c>
      <c r="Q61" s="585">
        <f t="shared" si="113"/>
        <v>311.04096808563281</v>
      </c>
      <c r="R61" s="629">
        <f t="shared" si="79"/>
        <v>5.6183645678511889</v>
      </c>
      <c r="S61" s="634">
        <f t="shared" si="80"/>
        <v>-2.3593750002141309</v>
      </c>
      <c r="T61" s="635">
        <f t="shared" si="81"/>
        <v>-4.2375969028374616</v>
      </c>
      <c r="U61" s="629">
        <f t="shared" si="82"/>
        <v>-3.6890097460359246</v>
      </c>
      <c r="V61" s="636">
        <f t="shared" si="114"/>
        <v>-2.3593750002141309</v>
      </c>
      <c r="W61" s="585">
        <f t="shared" si="224"/>
        <v>221.04096808563281</v>
      </c>
      <c r="X61" s="629">
        <f t="shared" si="83"/>
        <v>5.6183645678511889</v>
      </c>
      <c r="Y61" s="630">
        <f t="shared" si="223"/>
        <v>-2.3593750002141309</v>
      </c>
      <c r="Z61" s="632">
        <f t="shared" si="243"/>
        <v>-0.95972647140266254</v>
      </c>
      <c r="AA61" s="629">
        <f t="shared" si="244"/>
        <v>-0.23606817313439468</v>
      </c>
      <c r="AB61" s="629">
        <f t="shared" si="245"/>
        <v>-0.15230534370790771</v>
      </c>
      <c r="AC61" s="636">
        <f t="shared" si="84"/>
        <v>1</v>
      </c>
      <c r="AD61" s="637">
        <f t="shared" si="115"/>
        <v>-0.95972647140266254</v>
      </c>
      <c r="AE61" s="629">
        <f t="shared" si="85"/>
        <v>-0.23606817313439468</v>
      </c>
      <c r="AF61" s="633">
        <f t="shared" si="86"/>
        <v>-0.15230534370790771</v>
      </c>
      <c r="AG61" s="602">
        <f t="shared" si="87"/>
        <v>-57.170893266420812</v>
      </c>
      <c r="AH61" s="603">
        <f t="shared" si="88"/>
        <v>163.68391715307919</v>
      </c>
      <c r="AI61" s="585">
        <f t="shared" si="89"/>
        <v>-81.239451687980733</v>
      </c>
      <c r="AJ61" s="586">
        <f t="shared" si="90"/>
        <v>-76.181041856834938</v>
      </c>
      <c r="AK61" s="635">
        <f t="shared" si="211"/>
        <v>0.87886637731969819</v>
      </c>
      <c r="AL61" s="629">
        <f t="shared" si="91"/>
        <v>-0.45210283464601964</v>
      </c>
      <c r="AM61" s="634">
        <f t="shared" si="92"/>
        <v>-0.15230534370790771</v>
      </c>
      <c r="AN61" s="581">
        <f t="shared" si="93"/>
        <v>-71.382250980158446</v>
      </c>
      <c r="AO61" s="582">
        <f t="shared" si="461"/>
        <v>28.494083886475853</v>
      </c>
      <c r="AP61" s="585">
        <f t="shared" si="95"/>
        <v>-27.222009942467761</v>
      </c>
      <c r="AQ61" s="586">
        <f t="shared" si="246"/>
        <v>0.40575660293107535</v>
      </c>
      <c r="AS61" s="52">
        <f t="shared" si="406"/>
        <v>-138.95903191436719</v>
      </c>
      <c r="AT61" s="72">
        <f t="shared" si="247"/>
        <v>-2.2628756724958206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3.2440000000000002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3.1440000000000001</v>
      </c>
      <c r="II61" s="734" cm="1">
        <f t="array" ref="II61">IFERROR(IF($IH61&lt;1,$IH61+LARGE((IF($M$9:$M$150="",0,$M$9:$M$150)-MOD(IF($M$9:$M$150="",0,$M$9:$M$150),1)),1),$IH61),"")</f>
        <v>3.1440000000000001</v>
      </c>
      <c r="IJ61" s="533">
        <f t="shared" si="112"/>
        <v>1613</v>
      </c>
      <c r="IK61" s="533">
        <f t="shared" si="382"/>
        <v>1313</v>
      </c>
      <c r="IL61" s="727">
        <f t="shared" si="225"/>
        <v>10.118998538997403</v>
      </c>
      <c r="IM61" s="759">
        <v>1.55832209203201E-2</v>
      </c>
      <c r="IN61" s="5">
        <f t="shared" si="226"/>
        <v>0.68</v>
      </c>
      <c r="IO61" s="771">
        <v>340</v>
      </c>
      <c r="IP61" s="9">
        <f t="shared" si="227"/>
        <v>-5.5762168178699225</v>
      </c>
      <c r="IQ61" s="5">
        <f t="shared" si="228"/>
        <v>-2.3820071841336676</v>
      </c>
      <c r="IR61" s="5">
        <f t="shared" si="383"/>
        <v>0.314</v>
      </c>
      <c r="IS61" s="5">
        <f t="shared" si="229"/>
        <v>0.29618831449610555</v>
      </c>
      <c r="IT61" s="727">
        <f t="shared" si="230"/>
        <v>80.913035332785043</v>
      </c>
      <c r="IU61" s="9">
        <f t="shared" si="231"/>
        <v>-5.6183645678511889</v>
      </c>
      <c r="IV61" s="5">
        <f t="shared" si="232"/>
        <v>-2.3593750002141309</v>
      </c>
      <c r="IW61" s="5">
        <f t="shared" si="384"/>
        <v>0.26600000000000001</v>
      </c>
      <c r="IX61" s="5">
        <f t="shared" si="233"/>
        <v>0.23377845636703973</v>
      </c>
      <c r="IY61" s="762">
        <f t="shared" si="234"/>
        <v>71.382250980158446</v>
      </c>
    </row>
    <row r="62" spans="1:259" ht="15" customHeight="1" x14ac:dyDescent="0.25">
      <c r="A62" s="79"/>
      <c r="B62" s="707">
        <v>3.8087814890524143</v>
      </c>
      <c r="C62" s="708">
        <v>-4.387999052208202</v>
      </c>
      <c r="D62" s="709">
        <v>-3.1062032248569338</v>
      </c>
      <c r="E62" s="710">
        <v>0.97736302681139153</v>
      </c>
      <c r="F62" s="708">
        <v>0.17534657658937319</v>
      </c>
      <c r="G62" s="711">
        <v>0.11838535340346096</v>
      </c>
      <c r="H62" s="710">
        <v>0.26600000000000001</v>
      </c>
      <c r="I62" s="708">
        <v>0.52</v>
      </c>
      <c r="J62" s="570">
        <v>3.25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3.25</v>
      </c>
      <c r="N62" s="632">
        <f t="shared" si="240"/>
        <v>3.8087814890524143</v>
      </c>
      <c r="O62" s="629">
        <f t="shared" si="241"/>
        <v>-4.387999052208202</v>
      </c>
      <c r="P62" s="633">
        <f t="shared" si="242"/>
        <v>-3.1062032248569338</v>
      </c>
      <c r="Q62" s="585">
        <f t="shared" si="113"/>
        <v>310.95796809761657</v>
      </c>
      <c r="R62" s="629">
        <f t="shared" si="79"/>
        <v>5.810451971536156</v>
      </c>
      <c r="S62" s="634">
        <f t="shared" si="80"/>
        <v>-3.1062032248569338</v>
      </c>
      <c r="T62" s="635">
        <f t="shared" si="81"/>
        <v>-4.3879990522082011</v>
      </c>
      <c r="U62" s="629">
        <f t="shared" si="82"/>
        <v>-3.8087814890524152</v>
      </c>
      <c r="V62" s="636">
        <f t="shared" si="114"/>
        <v>-3.1062032248569338</v>
      </c>
      <c r="W62" s="585">
        <f t="shared" si="224"/>
        <v>220.95796809761657</v>
      </c>
      <c r="X62" s="629">
        <f t="shared" si="83"/>
        <v>5.810451971536156</v>
      </c>
      <c r="Y62" s="630">
        <f t="shared" si="223"/>
        <v>-3.1062032248569338</v>
      </c>
      <c r="Z62" s="632">
        <f t="shared" si="243"/>
        <v>-0.97736302681139153</v>
      </c>
      <c r="AA62" s="629">
        <f t="shared" si="244"/>
        <v>-0.17534657658937319</v>
      </c>
      <c r="AB62" s="629">
        <f t="shared" si="245"/>
        <v>-0.11838535340346096</v>
      </c>
      <c r="AC62" s="636">
        <f t="shared" si="84"/>
        <v>1</v>
      </c>
      <c r="AD62" s="637">
        <f t="shared" si="115"/>
        <v>-0.97736302681139153</v>
      </c>
      <c r="AE62" s="629">
        <f t="shared" si="85"/>
        <v>-0.17534657658937319</v>
      </c>
      <c r="AF62" s="633">
        <f t="shared" si="86"/>
        <v>-0.11838535340346096</v>
      </c>
      <c r="AG62" s="602">
        <f t="shared" si="87"/>
        <v>-55.974720988310061</v>
      </c>
      <c r="AH62" s="603">
        <f t="shared" si="88"/>
        <v>167.78567450284751</v>
      </c>
      <c r="AI62" s="585">
        <f t="shared" si="89"/>
        <v>-83.201074110006346</v>
      </c>
      <c r="AJ62" s="586">
        <f t="shared" si="90"/>
        <v>-79.828893894934595</v>
      </c>
      <c r="AK62" s="635">
        <f t="shared" si="211"/>
        <v>0.85303602106595589</v>
      </c>
      <c r="AL62" s="629">
        <f t="shared" si="91"/>
        <v>-0.5082464509108745</v>
      </c>
      <c r="AM62" s="634">
        <f t="shared" si="92"/>
        <v>-0.11838535340346096</v>
      </c>
      <c r="AN62" s="581">
        <f t="shared" si="93"/>
        <v>-76.887948390649655</v>
      </c>
      <c r="AO62" s="582">
        <f t="shared" si="461"/>
        <v>31.456564552565439</v>
      </c>
      <c r="AP62" s="585">
        <f t="shared" si="95"/>
        <v>-30.786861992551156</v>
      </c>
      <c r="AQ62" s="586">
        <f t="shared" si="246"/>
        <v>0.39234314479093058</v>
      </c>
      <c r="AS62" s="52">
        <f t="shared" si="406"/>
        <v>-139.04203190238343</v>
      </c>
      <c r="AT62" s="72">
        <f t="shared" si="247"/>
        <v>-3.0096462582580563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3.25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3.15</v>
      </c>
      <c r="II62" s="734" cm="1">
        <f t="array" ref="II62">IFERROR(IF($IH62&lt;1,$IH62+LARGE((IF($M$9:$M$150="",0,$M$9:$M$150)-MOD(IF($M$9:$M$150="",0,$M$9:$M$150),1)),1),$IH62),"")</f>
        <v>3.15</v>
      </c>
      <c r="IJ62" s="533">
        <f t="shared" si="112"/>
        <v>1613</v>
      </c>
      <c r="IK62" s="533">
        <f t="shared" si="382"/>
        <v>1313</v>
      </c>
      <c r="IL62" s="727">
        <f t="shared" si="225"/>
        <v>9.8729985745153499</v>
      </c>
      <c r="IM62" s="759">
        <v>2.13841045259393E-2</v>
      </c>
      <c r="IN62" s="5">
        <f t="shared" si="226"/>
        <v>0.92</v>
      </c>
      <c r="IO62" s="771">
        <v>460</v>
      </c>
      <c r="IP62" s="9">
        <f t="shared" si="227"/>
        <v>-5.7667173924196566</v>
      </c>
      <c r="IQ62" s="5">
        <f t="shared" si="228"/>
        <v>-3.1230094189964079</v>
      </c>
      <c r="IR62" s="5">
        <f t="shared" si="383"/>
        <v>0.314</v>
      </c>
      <c r="IS62" s="5">
        <f t="shared" si="229"/>
        <v>0.29415260567859541</v>
      </c>
      <c r="IT62" s="727">
        <f t="shared" si="230"/>
        <v>87.128012884061874</v>
      </c>
      <c r="IU62" s="9">
        <f t="shared" si="231"/>
        <v>-5.810451971536156</v>
      </c>
      <c r="IV62" s="5">
        <f t="shared" si="232"/>
        <v>-3.1062032248569338</v>
      </c>
      <c r="IW62" s="5">
        <f t="shared" si="384"/>
        <v>0.26600000000000001</v>
      </c>
      <c r="IX62" s="5">
        <f t="shared" si="233"/>
        <v>0.22690758160354427</v>
      </c>
      <c r="IY62" s="762">
        <f t="shared" si="234"/>
        <v>76.887948390649655</v>
      </c>
    </row>
    <row r="63" spans="1:259" ht="15" customHeight="1" x14ac:dyDescent="0.25">
      <c r="A63" s="79"/>
      <c r="B63" s="707">
        <v>-0.47589590952038574</v>
      </c>
      <c r="C63" s="708">
        <v>-2.6732791935297056</v>
      </c>
      <c r="D63" s="709">
        <v>-0.11160033658661513</v>
      </c>
      <c r="E63" s="710">
        <v>0.950518758108574</v>
      </c>
      <c r="F63" s="708">
        <v>-0.17030314321075588</v>
      </c>
      <c r="G63" s="711">
        <v>0.25982865487907802</v>
      </c>
      <c r="H63" s="710">
        <v>0.314</v>
      </c>
      <c r="I63" s="708">
        <v>0.52</v>
      </c>
      <c r="J63" s="570">
        <v>4.1130000000000004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4.1130000000000004</v>
      </c>
      <c r="N63" s="632">
        <f t="shared" si="240"/>
        <v>-0.47589590952038574</v>
      </c>
      <c r="O63" s="629">
        <f t="shared" si="241"/>
        <v>-2.6732791935297056</v>
      </c>
      <c r="P63" s="633">
        <f t="shared" si="242"/>
        <v>-0.11160033658661513</v>
      </c>
      <c r="Q63" s="585">
        <f t="shared" si="113"/>
        <v>259.90597546861227</v>
      </c>
      <c r="R63" s="629">
        <f t="shared" si="79"/>
        <v>2.7153081893694995</v>
      </c>
      <c r="S63" s="634">
        <f t="shared" si="80"/>
        <v>-0.11160033658661513</v>
      </c>
      <c r="T63" s="635">
        <f t="shared" si="81"/>
        <v>-2.6732791935297056</v>
      </c>
      <c r="U63" s="629">
        <f t="shared" si="82"/>
        <v>0.47589590952038652</v>
      </c>
      <c r="V63" s="636">
        <f t="shared" si="114"/>
        <v>-0.11160033658661513</v>
      </c>
      <c r="W63" s="585">
        <f t="shared" si="224"/>
        <v>169.90597546861227</v>
      </c>
      <c r="X63" s="629">
        <f t="shared" si="83"/>
        <v>2.7153081893694995</v>
      </c>
      <c r="Y63" s="630">
        <f t="shared" si="223"/>
        <v>-0.11160033658661513</v>
      </c>
      <c r="Z63" s="632">
        <f t="shared" si="243"/>
        <v>-0.950518758108574</v>
      </c>
      <c r="AA63" s="629">
        <f t="shared" si="244"/>
        <v>0.17030314321075588</v>
      </c>
      <c r="AB63" s="629">
        <f t="shared" si="245"/>
        <v>-0.25982865487907802</v>
      </c>
      <c r="AC63" s="636">
        <f t="shared" si="84"/>
        <v>1</v>
      </c>
      <c r="AD63" s="637">
        <f t="shared" si="115"/>
        <v>-0.950518758108574</v>
      </c>
      <c r="AE63" s="629">
        <f t="shared" si="85"/>
        <v>0.17030314321075588</v>
      </c>
      <c r="AF63" s="633">
        <f t="shared" si="86"/>
        <v>-0.25982865487907802</v>
      </c>
      <c r="AG63" s="602">
        <f t="shared" si="87"/>
        <v>33.24259864996521</v>
      </c>
      <c r="AH63" s="603">
        <f t="shared" si="88"/>
        <v>161.90055816001379</v>
      </c>
      <c r="AI63" s="585">
        <f t="shared" si="89"/>
        <v>-74.940104622091667</v>
      </c>
      <c r="AJ63" s="586">
        <f t="shared" si="90"/>
        <v>-100.15782792965364</v>
      </c>
      <c r="AK63" s="635">
        <f t="shared" si="211"/>
        <v>0.96565413775467412</v>
      </c>
      <c r="AL63" s="629">
        <f t="shared" si="91"/>
        <v>-1.0753329744250251E-3</v>
      </c>
      <c r="AM63" s="634">
        <f t="shared" si="92"/>
        <v>-0.25982865487907802</v>
      </c>
      <c r="AN63" s="581">
        <f t="shared" si="93"/>
        <v>-0.23712430513183666</v>
      </c>
      <c r="AO63" s="582">
        <f t="shared" si="461"/>
        <v>15.060027406478016</v>
      </c>
      <c r="AP63" s="585">
        <f t="shared" si="95"/>
        <v>-6.3803398265903075E-2</v>
      </c>
      <c r="AQ63" s="586">
        <f t="shared" si="246"/>
        <v>0.83952292807274365</v>
      </c>
      <c r="AS63" s="52">
        <f t="shared" si="406"/>
        <v>-190.09402453138773</v>
      </c>
      <c r="AT63" s="72">
        <f t="shared" si="247"/>
        <v>2.0409402671293028E-2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4.1130000000000004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-0.65260835602438527</v>
      </c>
      <c r="C64" s="708">
        <v>-3.434762074091394</v>
      </c>
      <c r="D64" s="709">
        <v>-0.13380040354201708</v>
      </c>
      <c r="E64" s="710">
        <v>0.92321206451358351</v>
      </c>
      <c r="F64" s="708">
        <v>-0.30367008451783745</v>
      </c>
      <c r="G64" s="711">
        <v>0.23550788459305699</v>
      </c>
      <c r="H64" s="710">
        <v>0.314</v>
      </c>
      <c r="I64" s="708">
        <v>0.52</v>
      </c>
      <c r="J64" s="570">
        <v>4.1189999999999998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4.1189999999999998</v>
      </c>
      <c r="N64" s="632">
        <f t="shared" si="240"/>
        <v>-0.65260835602438527</v>
      </c>
      <c r="O64" s="629">
        <f t="shared" si="241"/>
        <v>-3.434762074091394</v>
      </c>
      <c r="P64" s="633">
        <f t="shared" si="242"/>
        <v>-0.13380040354201708</v>
      </c>
      <c r="Q64" s="585">
        <f t="shared" si="113"/>
        <v>259.241975564482</v>
      </c>
      <c r="R64" s="629">
        <f t="shared" si="79"/>
        <v>3.4962105445710026</v>
      </c>
      <c r="S64" s="634">
        <f t="shared" si="80"/>
        <v>-0.13380040354201708</v>
      </c>
      <c r="T64" s="635">
        <f t="shared" si="81"/>
        <v>-3.434762074091394</v>
      </c>
      <c r="U64" s="629">
        <f t="shared" si="82"/>
        <v>0.65260835602438594</v>
      </c>
      <c r="V64" s="636">
        <f t="shared" si="114"/>
        <v>-0.13380040354201708</v>
      </c>
      <c r="W64" s="585">
        <f t="shared" si="224"/>
        <v>169.241975564482</v>
      </c>
      <c r="X64" s="629">
        <f t="shared" si="83"/>
        <v>3.4962105445710026</v>
      </c>
      <c r="Y64" s="630">
        <f t="shared" si="223"/>
        <v>-0.13380040354201708</v>
      </c>
      <c r="Z64" s="632">
        <f t="shared" si="243"/>
        <v>-0.92321206451358351</v>
      </c>
      <c r="AA64" s="629">
        <f t="shared" si="244"/>
        <v>0.30367008451783745</v>
      </c>
      <c r="AB64" s="629">
        <f t="shared" si="245"/>
        <v>-0.23550788459305699</v>
      </c>
      <c r="AC64" s="636">
        <f t="shared" si="84"/>
        <v>1</v>
      </c>
      <c r="AD64" s="637">
        <f t="shared" si="115"/>
        <v>-0.92321206451358351</v>
      </c>
      <c r="AE64" s="629">
        <f t="shared" si="85"/>
        <v>0.30367008451783745</v>
      </c>
      <c r="AF64" s="633">
        <f t="shared" si="86"/>
        <v>-0.23550788459305699</v>
      </c>
      <c r="AG64" s="602">
        <f t="shared" si="87"/>
        <v>52.205039601539717</v>
      </c>
      <c r="AH64" s="603">
        <f t="shared" si="88"/>
        <v>157.40027543626624</v>
      </c>
      <c r="AI64" s="585">
        <f t="shared" si="89"/>
        <v>-76.378437285825385</v>
      </c>
      <c r="AJ64" s="586">
        <f t="shared" si="90"/>
        <v>-108.20747113802535</v>
      </c>
      <c r="AK64" s="635">
        <f t="shared" si="211"/>
        <v>0.96366948649520134</v>
      </c>
      <c r="AL64" s="629">
        <f t="shared" si="91"/>
        <v>-0.12600459155355667</v>
      </c>
      <c r="AM64" s="634">
        <f t="shared" si="92"/>
        <v>-0.23550788459305699</v>
      </c>
      <c r="AN64" s="581">
        <f t="shared" si="93"/>
        <v>-28.148270406447299</v>
      </c>
      <c r="AO64" s="582">
        <f t="shared" si="461"/>
        <v>15.491629077084617</v>
      </c>
      <c r="AP64" s="585">
        <f t="shared" si="95"/>
        <v>-7.4494467025073536</v>
      </c>
      <c r="AQ64" s="586">
        <f t="shared" si="246"/>
        <v>0.65202830029684644</v>
      </c>
      <c r="AS64" s="52">
        <f t="shared" si="406"/>
        <v>-190.758024435518</v>
      </c>
      <c r="AT64" s="72">
        <f t="shared" si="247"/>
        <v>-1.3295532395740384E-3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4.1189999999999998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-0.85366985435735243</v>
      </c>
      <c r="C65" s="708">
        <v>-4.1283751612121531</v>
      </c>
      <c r="D65" s="709">
        <v>-0.43000129688391142</v>
      </c>
      <c r="E65" s="710">
        <v>0.89585855064307263</v>
      </c>
      <c r="F65" s="708">
        <v>-0.41181674194515527</v>
      </c>
      <c r="G65" s="711">
        <v>0.16686649841526269</v>
      </c>
      <c r="H65" s="710">
        <v>0.314</v>
      </c>
      <c r="I65" s="708">
        <v>0.52</v>
      </c>
      <c r="J65" s="570">
        <v>4.125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4.125</v>
      </c>
      <c r="N65" s="632">
        <f t="shared" si="240"/>
        <v>-0.85366985435735243</v>
      </c>
      <c r="O65" s="629">
        <f t="shared" si="241"/>
        <v>-4.1283751612121531</v>
      </c>
      <c r="P65" s="633">
        <f t="shared" si="242"/>
        <v>-0.43000129688391142</v>
      </c>
      <c r="Q65" s="585">
        <f t="shared" si="113"/>
        <v>258.31697569803549</v>
      </c>
      <c r="R65" s="629">
        <f t="shared" si="79"/>
        <v>4.2157127145895474</v>
      </c>
      <c r="S65" s="634">
        <f t="shared" si="80"/>
        <v>-0.43000129688391142</v>
      </c>
      <c r="T65" s="635">
        <f t="shared" si="81"/>
        <v>-4.1283751612121531</v>
      </c>
      <c r="U65" s="629">
        <f t="shared" si="82"/>
        <v>0.85366985435735143</v>
      </c>
      <c r="V65" s="636">
        <f t="shared" si="114"/>
        <v>-0.43000129688391142</v>
      </c>
      <c r="W65" s="585">
        <f t="shared" si="224"/>
        <v>168.31697569803549</v>
      </c>
      <c r="X65" s="629">
        <f t="shared" si="83"/>
        <v>4.2157127145895474</v>
      </c>
      <c r="Y65" s="630">
        <f t="shared" si="223"/>
        <v>-0.43000129688391142</v>
      </c>
      <c r="Z65" s="632">
        <f t="shared" si="243"/>
        <v>-0.89585855064307263</v>
      </c>
      <c r="AA65" s="629">
        <f t="shared" si="244"/>
        <v>0.41181674194515527</v>
      </c>
      <c r="AB65" s="629">
        <f t="shared" si="245"/>
        <v>-0.16686649841526269</v>
      </c>
      <c r="AC65" s="636">
        <f t="shared" si="84"/>
        <v>1</v>
      </c>
      <c r="AD65" s="637">
        <f t="shared" si="115"/>
        <v>-0.89585855064307263</v>
      </c>
      <c r="AE65" s="629">
        <f t="shared" si="85"/>
        <v>0.41181674194515527</v>
      </c>
      <c r="AF65" s="633">
        <f t="shared" si="86"/>
        <v>-0.16686649841526269</v>
      </c>
      <c r="AG65" s="602">
        <f t="shared" si="87"/>
        <v>67.942405438040183</v>
      </c>
      <c r="AH65" s="603">
        <f t="shared" si="88"/>
        <v>153.6189217356804</v>
      </c>
      <c r="AI65" s="585">
        <f t="shared" si="89"/>
        <v>-80.394319645760149</v>
      </c>
      <c r="AJ65" s="586">
        <f t="shared" si="90"/>
        <v>-114.68774371311206</v>
      </c>
      <c r="AK65" s="635">
        <f t="shared" si="211"/>
        <v>0.96069063542602862</v>
      </c>
      <c r="AL65" s="629">
        <f t="shared" si="91"/>
        <v>-0.22187625990935295</v>
      </c>
      <c r="AM65" s="634">
        <f t="shared" si="92"/>
        <v>-0.16686649841526269</v>
      </c>
      <c r="AN65" s="581">
        <f t="shared" si="93"/>
        <v>-53.054269057518987</v>
      </c>
      <c r="AO65" s="582">
        <f t="shared" si="461"/>
        <v>16.118278689722608</v>
      </c>
      <c r="AP65" s="585">
        <f t="shared" si="95"/>
        <v>-13.004719411147555</v>
      </c>
      <c r="AQ65" s="586">
        <f t="shared" si="246"/>
        <v>0.54075291594256303</v>
      </c>
      <c r="AS65" s="52">
        <f t="shared" si="406"/>
        <v>-191.68302430196451</v>
      </c>
      <c r="AT65" s="72">
        <f t="shared" si="247"/>
        <v>-0.29688808556310275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4.125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-1.0398311547701735</v>
      </c>
      <c r="C66" s="708">
        <v>-4.6741484825113515</v>
      </c>
      <c r="D66" s="709">
        <v>-0.93410281725409694</v>
      </c>
      <c r="E66" s="710">
        <v>0.87851367307835226</v>
      </c>
      <c r="F66" s="708">
        <v>-0.46116919414807117</v>
      </c>
      <c r="G66" s="711">
        <v>0.12464630192348483</v>
      </c>
      <c r="H66" s="710">
        <v>0.314</v>
      </c>
      <c r="I66" s="708">
        <v>0.52</v>
      </c>
      <c r="J66" s="570">
        <v>4.1310000000000002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4.1310000000000002</v>
      </c>
      <c r="N66" s="632">
        <f t="shared" si="240"/>
        <v>-1.0398311547701735</v>
      </c>
      <c r="O66" s="629">
        <f t="shared" si="241"/>
        <v>-4.6741484825113515</v>
      </c>
      <c r="P66" s="633">
        <f t="shared" si="242"/>
        <v>-0.93410281725409694</v>
      </c>
      <c r="Q66" s="585">
        <f t="shared" si="113"/>
        <v>257.45797582205967</v>
      </c>
      <c r="R66" s="629">
        <f t="shared" si="79"/>
        <v>4.7884144418579568</v>
      </c>
      <c r="S66" s="634">
        <f t="shared" si="80"/>
        <v>-0.93410281725409694</v>
      </c>
      <c r="T66" s="635">
        <f t="shared" si="81"/>
        <v>-4.6741484825113515</v>
      </c>
      <c r="U66" s="629">
        <f t="shared" si="82"/>
        <v>1.0398311547701764</v>
      </c>
      <c r="V66" s="636">
        <f t="shared" si="114"/>
        <v>-0.93410281725409694</v>
      </c>
      <c r="W66" s="585">
        <f t="shared" si="224"/>
        <v>167.45797582205967</v>
      </c>
      <c r="X66" s="629">
        <f t="shared" si="83"/>
        <v>4.7884144418579568</v>
      </c>
      <c r="Y66" s="630">
        <f t="shared" si="223"/>
        <v>-0.93410281725409694</v>
      </c>
      <c r="Z66" s="632">
        <f t="shared" si="243"/>
        <v>-0.87851367307835226</v>
      </c>
      <c r="AA66" s="629">
        <f t="shared" si="244"/>
        <v>0.46116919414807117</v>
      </c>
      <c r="AB66" s="629">
        <f t="shared" si="245"/>
        <v>-0.12464630192348483</v>
      </c>
      <c r="AC66" s="636">
        <f t="shared" si="84"/>
        <v>1</v>
      </c>
      <c r="AD66" s="637">
        <f t="shared" si="115"/>
        <v>-0.87851367307835226</v>
      </c>
      <c r="AE66" s="629">
        <f t="shared" si="85"/>
        <v>0.46116919414807117</v>
      </c>
      <c r="AF66" s="633">
        <f t="shared" si="86"/>
        <v>-0.12464630192348483</v>
      </c>
      <c r="AG66" s="602">
        <f t="shared" si="87"/>
        <v>74.875300407742955</v>
      </c>
      <c r="AH66" s="603">
        <f t="shared" si="88"/>
        <v>151.46358520361036</v>
      </c>
      <c r="AI66" s="585">
        <f t="shared" si="89"/>
        <v>-82.839669370641673</v>
      </c>
      <c r="AJ66" s="586">
        <f t="shared" si="90"/>
        <v>-117.69689163578759</v>
      </c>
      <c r="AK66" s="635">
        <f t="shared" si="211"/>
        <v>0.95769518350226979</v>
      </c>
      <c r="AL66" s="629">
        <f t="shared" si="91"/>
        <v>-0.25939012107895199</v>
      </c>
      <c r="AM66" s="634">
        <f t="shared" si="92"/>
        <v>-0.12464630192348483</v>
      </c>
      <c r="AN66" s="581">
        <f t="shared" si="93"/>
        <v>-64.334037675197251</v>
      </c>
      <c r="AO66" s="582">
        <f t="shared" si="461"/>
        <v>16.725365436173149</v>
      </c>
      <c r="AP66" s="585">
        <f t="shared" si="95"/>
        <v>-15.154867457847253</v>
      </c>
      <c r="AQ66" s="586">
        <f t="shared" si="246"/>
        <v>0.47608121505445561</v>
      </c>
      <c r="AS66" s="52">
        <f t="shared" si="406"/>
        <v>-192.54202417794033</v>
      </c>
      <c r="AT66" s="72">
        <f t="shared" si="247"/>
        <v>-0.80039307824163841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4.1310000000000002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-1.196426619820681</v>
      </c>
      <c r="C67" s="708">
        <v>-5.083418647067127</v>
      </c>
      <c r="D67" s="709">
        <v>-1.5632047146254193</v>
      </c>
      <c r="E67" s="710">
        <v>0.85729280850625711</v>
      </c>
      <c r="F67" s="708">
        <v>-0.50628666515018517</v>
      </c>
      <c r="G67" s="711">
        <v>9.3396216061242016E-2</v>
      </c>
      <c r="H67" s="710">
        <v>0.314</v>
      </c>
      <c r="I67" s="708">
        <v>0.52</v>
      </c>
      <c r="J67" s="570">
        <v>4.1369999999999996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4.1369999999999996</v>
      </c>
      <c r="N67" s="632">
        <f t="shared" si="240"/>
        <v>-1.196426619820681</v>
      </c>
      <c r="O67" s="629">
        <f t="shared" si="241"/>
        <v>-5.083418647067127</v>
      </c>
      <c r="P67" s="633">
        <f t="shared" si="242"/>
        <v>-1.5632047146254193</v>
      </c>
      <c r="Q67" s="585">
        <f t="shared" si="113"/>
        <v>256.75597592341592</v>
      </c>
      <c r="R67" s="629">
        <f>IF(M67="","",SQRT(N67^2+O67^2))</f>
        <v>5.2223157505043032</v>
      </c>
      <c r="S67" s="634">
        <f>IF(M67="","",P67)</f>
        <v>-1.5632047146254193</v>
      </c>
      <c r="T67" s="635">
        <f>IF(M67="","",X67*COS(RADIANS(W67)))</f>
        <v>-5.0834186470671261</v>
      </c>
      <c r="U67" s="629">
        <f>IF(M67="","",X67*SIN(RADIANS(W67)))</f>
        <v>1.1964266198206848</v>
      </c>
      <c r="V67" s="636">
        <f>IF(M67="","",Y67)</f>
        <v>-1.5632047146254193</v>
      </c>
      <c r="W67" s="585">
        <f t="shared" si="224"/>
        <v>166.75597592341592</v>
      </c>
      <c r="X67" s="629">
        <f>IF(M67="","",R67)</f>
        <v>5.2223157505043032</v>
      </c>
      <c r="Y67" s="630">
        <f t="shared" si="223"/>
        <v>-1.5632047146254193</v>
      </c>
      <c r="Z67" s="632">
        <f t="shared" si="243"/>
        <v>-0.85729280850625711</v>
      </c>
      <c r="AA67" s="629">
        <f t="shared" si="244"/>
        <v>0.50628666515018517</v>
      </c>
      <c r="AB67" s="629">
        <f t="shared" si="245"/>
        <v>-9.3396216061242016E-2</v>
      </c>
      <c r="AC67" s="636">
        <f>IF(M67="","",SQRT(Z67^2+AA67^2+AB67^2))</f>
        <v>1</v>
      </c>
      <c r="AD67" s="637">
        <f>IF(M67="","",Z67*(1/SQRT(Z67^2+AA67^2+AB67^2)))</f>
        <v>-0.85729280850625711</v>
      </c>
      <c r="AE67" s="629">
        <f>IF(M67="","",AA67*(1/SQRT(Z67^2+AA67^2+AB67^2)))</f>
        <v>0.50628666515018517</v>
      </c>
      <c r="AF67" s="633">
        <f>IF(M67="","",AB67*(1/SQRT(Z67^2+AA67^2+AB67^2)))</f>
        <v>-9.3396216061242016E-2</v>
      </c>
      <c r="AG67" s="602">
        <f>IF(M67="","",DEGREES(ATAN2(-AF67,AE67)))</f>
        <v>79.547980689276073</v>
      </c>
      <c r="AH67" s="603">
        <f>IF(M67="","",DEGREES(ACOS(AD67)))</f>
        <v>149.01396503812043</v>
      </c>
      <c r="AI67" s="585">
        <f>IF(M67="","",DEGREES(-ACOS(-AF67)))</f>
        <v>-84.640980665347186</v>
      </c>
      <c r="AJ67" s="586">
        <f>IF(M67="","",DEGREES(ATAN2(-AE67,AD67)))</f>
        <v>-120.56458914504046</v>
      </c>
      <c r="AK67" s="635">
        <f>IF(M67="","",(COS(RADIANS((90-$Q$8)-W67))*AD67)+(-SIN(RADIANS((90-$Q$8)-W67))*AE67))</f>
        <v>0.95048122889234476</v>
      </c>
      <c r="AL67" s="629">
        <f>IF(M67="","",(SIN(RADIANS((90-$Q$8)-W67))*AD67)+(COS(RADIANS((90-$Q$8)-W67))*AE67))</f>
        <v>-0.29641622821421232</v>
      </c>
      <c r="AM67" s="634">
        <f>IF(M67="","",AF67)</f>
        <v>-9.3396216061242016E-2</v>
      </c>
      <c r="AN67" s="581">
        <f>IF(M67="","",DEGREES(ATAN2(-AM67,AL67)))</f>
        <v>-72.511158299479263</v>
      </c>
      <c r="AO67" s="582">
        <f t="shared" si="461"/>
        <v>18.106362006268299</v>
      </c>
      <c r="AP67" s="585">
        <f>IF(M67="","",DEGREES(ATAN2(AK67,AL67)))</f>
        <v>-17.320565068456371</v>
      </c>
      <c r="AQ67" s="586">
        <f t="shared" si="246"/>
        <v>0.43652713288946288</v>
      </c>
      <c r="AS67" s="52">
        <f t="shared" si="406"/>
        <v>-193.24402407658408</v>
      </c>
      <c r="AT67" s="72">
        <f t="shared" si="247"/>
        <v>-1.4290074756833471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4.1369999999999996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-1.3173328395752451</v>
      </c>
      <c r="C68" s="708">
        <v>-5.3757632030221707</v>
      </c>
      <c r="D68" s="709">
        <v>-2.2613068201013693</v>
      </c>
      <c r="E68" s="710">
        <v>0.838910202567832</v>
      </c>
      <c r="F68" s="708">
        <v>-0.54096269633482386</v>
      </c>
      <c r="G68" s="711">
        <v>5.9908540307341974E-2</v>
      </c>
      <c r="H68" s="710">
        <v>0.314</v>
      </c>
      <c r="I68" s="708">
        <v>0.52</v>
      </c>
      <c r="J68" s="570">
        <v>4.1429999999999998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4.1429999999999998</v>
      </c>
      <c r="N68" s="632">
        <f t="shared" si="240"/>
        <v>-1.3173328395752451</v>
      </c>
      <c r="O68" s="629">
        <f t="shared" si="241"/>
        <v>-5.3757632030221707</v>
      </c>
      <c r="P68" s="633">
        <f t="shared" si="242"/>
        <v>-2.2613068201013693</v>
      </c>
      <c r="Q68" s="585">
        <f t="shared" si="113"/>
        <v>256.23097599921658</v>
      </c>
      <c r="R68" s="629">
        <f>IF(M68="","",SQRT(N68^2+O68^2))</f>
        <v>5.534816693007147</v>
      </c>
      <c r="S68" s="634">
        <f>IF(M68="","",P68)</f>
        <v>-2.2613068201013693</v>
      </c>
      <c r="T68" s="635">
        <f>IF(M68="","",X68*COS(RADIANS(W68)))</f>
        <v>-5.3757632030221716</v>
      </c>
      <c r="U68" s="629">
        <f>IF(M68="","",X68*SIN(RADIANS(W68)))</f>
        <v>1.3173328395752439</v>
      </c>
      <c r="V68" s="636">
        <f>IF(M68="","",Y68)</f>
        <v>-2.2613068201013693</v>
      </c>
      <c r="W68" s="585">
        <f t="shared" si="224"/>
        <v>166.23097599921658</v>
      </c>
      <c r="X68" s="629">
        <f>IF(M68="","",R68)</f>
        <v>5.534816693007147</v>
      </c>
      <c r="Y68" s="630">
        <f t="shared" si="223"/>
        <v>-2.2613068201013693</v>
      </c>
      <c r="Z68" s="632">
        <f t="shared" si="243"/>
        <v>-0.838910202567832</v>
      </c>
      <c r="AA68" s="629">
        <f t="shared" si="244"/>
        <v>0.54096269633482386</v>
      </c>
      <c r="AB68" s="629">
        <f t="shared" si="245"/>
        <v>-5.9908540307341974E-2</v>
      </c>
      <c r="AC68" s="636">
        <f>IF(M68="","",SQRT(Z68^2+AA68^2+AB68^2))</f>
        <v>1</v>
      </c>
      <c r="AD68" s="637">
        <f>IF(M68="","",Z68*(1/SQRT(Z68^2+AA68^2+AB68^2)))</f>
        <v>-0.838910202567832</v>
      </c>
      <c r="AE68" s="629">
        <f>IF(M68="","",AA68*(1/SQRT(Z68^2+AA68^2+AB68^2)))</f>
        <v>0.54096269633482386</v>
      </c>
      <c r="AF68" s="633">
        <f>IF(M68="","",AB68*(1/SQRT(Z68^2+AA68^2+AB68^2)))</f>
        <v>-5.9908540307341974E-2</v>
      </c>
      <c r="AG68" s="602">
        <f>IF(M68="","",DEGREES(ATAN2(-AF68,AE68)))</f>
        <v>83.680568974469821</v>
      </c>
      <c r="AH68" s="603">
        <f>IF(M68="","",DEGREES(ACOS(AD68)))</f>
        <v>147.02521800019926</v>
      </c>
      <c r="AI68" s="585">
        <f>IF(M68="","",DEGREES(-ACOS(-AF68)))</f>
        <v>-86.565436930423118</v>
      </c>
      <c r="AJ68" s="586">
        <f>IF(M68="","",DEGREES(ATAN2(-AE68,AD68)))</f>
        <v>-122.81553396430152</v>
      </c>
      <c r="AK68" s="635">
        <f>IF(M68="","",(COS(RADIANS((90-$Q$8)-W68))*AD68)+(-SIN(RADIANS((90-$Q$8)-W68))*AE68))</f>
        <v>0.94355618480901293</v>
      </c>
      <c r="AL68" s="629">
        <f>IF(M68="","",(SIN(RADIANS((90-$Q$8)-W68))*AD68)+(COS(RADIANS((90-$Q$8)-W68))*AE68))</f>
        <v>-0.32574943270388629</v>
      </c>
      <c r="AM68" s="634">
        <f>IF(M68="","",AF68)</f>
        <v>-5.9908540307341974E-2</v>
      </c>
      <c r="AN68" s="581">
        <f>IF(M68="","",DEGREES(ATAN2(-AM68,AL68)))</f>
        <v>-79.579185750236192</v>
      </c>
      <c r="AO68" s="582">
        <f t="shared" si="461"/>
        <v>19.342386375563816</v>
      </c>
      <c r="AP68" s="585">
        <f>IF(M68="","",DEGREES(ATAN2(AK68,AL68)))</f>
        <v>-19.046509963518098</v>
      </c>
      <c r="AQ68" s="586">
        <f t="shared" si="246"/>
        <v>0.41188127598646312</v>
      </c>
      <c r="AS68" s="52">
        <f t="shared" si="406"/>
        <v>-193.76902400078342</v>
      </c>
      <c r="AT68" s="72">
        <f t="shared" si="247"/>
        <v>-2.1267449978786028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4.1429999999999998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-1.4012733194979361</v>
      </c>
      <c r="C69" s="708">
        <v>-5.5679980689379969</v>
      </c>
      <c r="D69" s="709">
        <v>-2.9979090416936698</v>
      </c>
      <c r="E69" s="710">
        <v>0.82357685747365772</v>
      </c>
      <c r="F69" s="708">
        <v>-0.5666572876870386</v>
      </c>
      <c r="G69" s="711">
        <v>2.4913412953330771E-2</v>
      </c>
      <c r="H69" s="710">
        <v>0.314</v>
      </c>
      <c r="I69" s="708">
        <v>0.52</v>
      </c>
      <c r="J69" s="570">
        <v>4.149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4.149</v>
      </c>
      <c r="N69" s="632">
        <f t="shared" si="240"/>
        <v>-1.4012733194979361</v>
      </c>
      <c r="O69" s="629">
        <f t="shared" si="241"/>
        <v>-5.5679980689379969</v>
      </c>
      <c r="P69" s="633">
        <f t="shared" si="242"/>
        <v>-2.9979090416936698</v>
      </c>
      <c r="Q69" s="585">
        <f t="shared" si="113"/>
        <v>255.87397605076097</v>
      </c>
      <c r="R69" s="629">
        <f t="shared" si="79"/>
        <v>5.7416173167178277</v>
      </c>
      <c r="S69" s="634">
        <f t="shared" si="80"/>
        <v>-2.9979090416936698</v>
      </c>
      <c r="T69" s="635">
        <f t="shared" si="81"/>
        <v>-5.5679980689379969</v>
      </c>
      <c r="U69" s="629">
        <f t="shared" si="82"/>
        <v>1.4012733194979361</v>
      </c>
      <c r="V69" s="636">
        <f t="shared" si="114"/>
        <v>-2.9979090416936698</v>
      </c>
      <c r="W69" s="585">
        <f t="shared" si="224"/>
        <v>165.87397605076097</v>
      </c>
      <c r="X69" s="629">
        <f t="shared" si="83"/>
        <v>5.7416173167178277</v>
      </c>
      <c r="Y69" s="630">
        <f t="shared" si="223"/>
        <v>-2.9979090416936698</v>
      </c>
      <c r="Z69" s="632">
        <f t="shared" si="243"/>
        <v>-0.82357685747365772</v>
      </c>
      <c r="AA69" s="629">
        <f t="shared" si="244"/>
        <v>0.5666572876870386</v>
      </c>
      <c r="AB69" s="629">
        <f t="shared" si="245"/>
        <v>-2.4913412953330771E-2</v>
      </c>
      <c r="AC69" s="636">
        <f t="shared" si="84"/>
        <v>1</v>
      </c>
      <c r="AD69" s="637">
        <f t="shared" si="115"/>
        <v>-0.82357685747365772</v>
      </c>
      <c r="AE69" s="629">
        <f t="shared" si="85"/>
        <v>0.5666572876870386</v>
      </c>
      <c r="AF69" s="633">
        <f t="shared" si="86"/>
        <v>-2.4913412953330771E-2</v>
      </c>
      <c r="AG69" s="602">
        <f t="shared" si="87"/>
        <v>87.482579361037807</v>
      </c>
      <c r="AH69" s="603">
        <f t="shared" si="88"/>
        <v>145.44447062363705</v>
      </c>
      <c r="AI69" s="585">
        <f t="shared" si="89"/>
        <v>-88.572418880461967</v>
      </c>
      <c r="AJ69" s="586">
        <f t="shared" si="90"/>
        <v>-124.52969084271957</v>
      </c>
      <c r="AK69" s="635">
        <f t="shared" si="211"/>
        <v>0.9369687657354282</v>
      </c>
      <c r="AL69" s="629">
        <f t="shared" si="91"/>
        <v>-0.34852382112453262</v>
      </c>
      <c r="AM69" s="634">
        <f t="shared" si="92"/>
        <v>-2.4913412953330771E-2</v>
      </c>
      <c r="AN69" s="581">
        <f t="shared" si="93"/>
        <v>-85.911299401662689</v>
      </c>
      <c r="AO69" s="582">
        <f t="shared" si="461"/>
        <v>20.451423436460704</v>
      </c>
      <c r="AP69" s="585">
        <f t="shared" si="95"/>
        <v>-20.403666893480555</v>
      </c>
      <c r="AQ69" s="586">
        <f t="shared" si="246"/>
        <v>0.39704668805627336</v>
      </c>
      <c r="AS69" s="52">
        <f t="shared" si="406"/>
        <v>-194.12602394923903</v>
      </c>
      <c r="AT69" s="72">
        <f t="shared" si="247"/>
        <v>-2.8630993028400313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4.149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-1.4448023627377851</v>
      </c>
      <c r="C70" s="708">
        <v>-5.6595081879079698</v>
      </c>
      <c r="D70" s="709">
        <v>-3.75541132632056</v>
      </c>
      <c r="E70" s="710">
        <v>0.80226466552741793</v>
      </c>
      <c r="F70" s="708">
        <v>-0.59695921873615754</v>
      </c>
      <c r="G70" s="711">
        <v>-3.3313078657953021E-3</v>
      </c>
      <c r="H70" s="710">
        <v>0.314</v>
      </c>
      <c r="I70" s="708">
        <v>0.52</v>
      </c>
      <c r="J70" s="570">
        <v>4.1550000000000002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4.1550000000000002</v>
      </c>
      <c r="N70" s="632">
        <f t="shared" si="240"/>
        <v>-1.4448023627377851</v>
      </c>
      <c r="O70" s="629">
        <f t="shared" si="241"/>
        <v>-5.6595081879079698</v>
      </c>
      <c r="P70" s="633">
        <f t="shared" si="242"/>
        <v>-3.75541132632056</v>
      </c>
      <c r="Q70" s="585">
        <f t="shared" si="113"/>
        <v>255.67897607891547</v>
      </c>
      <c r="R70" s="629">
        <f t="shared" si="79"/>
        <v>5.8410176165091334</v>
      </c>
      <c r="S70" s="634">
        <f t="shared" si="80"/>
        <v>-3.75541132632056</v>
      </c>
      <c r="T70" s="635">
        <f t="shared" si="81"/>
        <v>-5.6595081879079689</v>
      </c>
      <c r="U70" s="629">
        <f t="shared" si="82"/>
        <v>1.4448023627377884</v>
      </c>
      <c r="V70" s="636">
        <f t="shared" si="114"/>
        <v>-3.75541132632056</v>
      </c>
      <c r="W70" s="585">
        <f t="shared" si="224"/>
        <v>165.67897607891547</v>
      </c>
      <c r="X70" s="629">
        <f t="shared" si="83"/>
        <v>5.8410176165091334</v>
      </c>
      <c r="Y70" s="630">
        <f t="shared" si="223"/>
        <v>-3.75541132632056</v>
      </c>
      <c r="Z70" s="632">
        <f t="shared" si="243"/>
        <v>-0.80226466552741793</v>
      </c>
      <c r="AA70" s="629">
        <f t="shared" si="244"/>
        <v>0.59695921873615754</v>
      </c>
      <c r="AB70" s="629">
        <f t="shared" si="245"/>
        <v>3.3313078657953021E-3</v>
      </c>
      <c r="AC70" s="636">
        <f t="shared" si="84"/>
        <v>1</v>
      </c>
      <c r="AD70" s="637">
        <f t="shared" si="115"/>
        <v>-0.80226466552741793</v>
      </c>
      <c r="AE70" s="629">
        <f t="shared" si="85"/>
        <v>0.59695921873615754</v>
      </c>
      <c r="AF70" s="633">
        <f t="shared" si="86"/>
        <v>3.3313078657953021E-3</v>
      </c>
      <c r="AG70" s="602">
        <f t="shared" si="87"/>
        <v>90.319733565857291</v>
      </c>
      <c r="AH70" s="603">
        <f t="shared" si="88"/>
        <v>143.34690943038012</v>
      </c>
      <c r="AI70" s="585">
        <f t="shared" si="89"/>
        <v>-90.190870234003881</v>
      </c>
      <c r="AJ70" s="586">
        <f t="shared" si="90"/>
        <v>-126.65266330768048</v>
      </c>
      <c r="AK70" s="635">
        <f t="shared" si="211"/>
        <v>0.92499490462739065</v>
      </c>
      <c r="AL70" s="629">
        <f t="shared" si="91"/>
        <v>-0.3799649046968257</v>
      </c>
      <c r="AM70" s="634">
        <f t="shared" si="92"/>
        <v>3.3313078657953021E-3</v>
      </c>
      <c r="AN70" s="581">
        <f t="shared" si="93"/>
        <v>-90.502322683683659</v>
      </c>
      <c r="AO70" s="582">
        <f t="shared" si="461"/>
        <v>22.332413335156659</v>
      </c>
      <c r="AP70" s="585">
        <f t="shared" si="95"/>
        <v>-22.331639386595931</v>
      </c>
      <c r="AQ70" s="586">
        <f t="shared" si="246"/>
        <v>0.39029010367431982</v>
      </c>
      <c r="AS70" s="52">
        <f t="shared" si="406"/>
        <v>-194.32102392108453</v>
      </c>
      <c r="AT70" s="72">
        <f t="shared" si="247"/>
        <v>-3.6204661708198067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4.1550000000000002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-1.4839905997104654</v>
      </c>
      <c r="C71" s="708">
        <v>-5.7568044000096927</v>
      </c>
      <c r="D71" s="709">
        <v>-4.5306136643308106</v>
      </c>
      <c r="E71" s="710">
        <v>0.56778068697368955</v>
      </c>
      <c r="F71" s="708">
        <v>-0.81649628881607617</v>
      </c>
      <c r="G71" s="711">
        <v>0.10468477372216058</v>
      </c>
      <c r="H71" s="710">
        <v>0.26600000000000001</v>
      </c>
      <c r="I71" s="708">
        <v>0.52</v>
      </c>
      <c r="J71" s="570">
        <v>4.1609999999999996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4.1609999999999996</v>
      </c>
      <c r="N71" s="632">
        <f t="shared" si="240"/>
        <v>-1.4839905997104654</v>
      </c>
      <c r="O71" s="629">
        <f t="shared" si="241"/>
        <v>-5.7568044000096927</v>
      </c>
      <c r="P71" s="633">
        <f t="shared" si="242"/>
        <v>-4.5306136643308106</v>
      </c>
      <c r="Q71" s="585">
        <f t="shared" si="113"/>
        <v>255.54497609826268</v>
      </c>
      <c r="R71" s="629">
        <f t="shared" si="79"/>
        <v>5.9449999999999985</v>
      </c>
      <c r="S71" s="634">
        <f t="shared" si="80"/>
        <v>-4.5306136643308106</v>
      </c>
      <c r="T71" s="635">
        <f t="shared" si="81"/>
        <v>-5.7568044000096927</v>
      </c>
      <c r="U71" s="629">
        <f t="shared" si="82"/>
        <v>1.4839905997104657</v>
      </c>
      <c r="V71" s="636">
        <f t="shared" si="114"/>
        <v>-4.5306136643308106</v>
      </c>
      <c r="W71" s="585">
        <f t="shared" si="224"/>
        <v>165.54497609826268</v>
      </c>
      <c r="X71" s="629">
        <f t="shared" si="83"/>
        <v>5.9449999999999985</v>
      </c>
      <c r="Y71" s="630">
        <f t="shared" si="223"/>
        <v>-4.5306136643308106</v>
      </c>
      <c r="Z71" s="632">
        <f t="shared" si="243"/>
        <v>-0.56778068697368955</v>
      </c>
      <c r="AA71" s="629">
        <f t="shared" si="244"/>
        <v>0.81649628881607617</v>
      </c>
      <c r="AB71" s="629">
        <f t="shared" si="245"/>
        <v>-0.10468477372216058</v>
      </c>
      <c r="AC71" s="636">
        <f t="shared" si="84"/>
        <v>1</v>
      </c>
      <c r="AD71" s="637">
        <f t="shared" si="115"/>
        <v>-0.56778068697368955</v>
      </c>
      <c r="AE71" s="629">
        <f t="shared" si="85"/>
        <v>0.81649628881607617</v>
      </c>
      <c r="AF71" s="633">
        <f t="shared" si="86"/>
        <v>-0.10468477372216058</v>
      </c>
      <c r="AG71" s="602">
        <f t="shared" si="87"/>
        <v>82.693842646980926</v>
      </c>
      <c r="AH71" s="603">
        <f t="shared" si="88"/>
        <v>124.59561085320388</v>
      </c>
      <c r="AI71" s="585">
        <f t="shared" si="89"/>
        <v>-83.990994664481434</v>
      </c>
      <c r="AJ71" s="586">
        <f t="shared" si="90"/>
        <v>-145.18576099197364</v>
      </c>
      <c r="AK71" s="635">
        <f t="shared" si="211"/>
        <v>0.75362071897598004</v>
      </c>
      <c r="AL71" s="629">
        <f t="shared" si="91"/>
        <v>-0.64891980250325776</v>
      </c>
      <c r="AM71" s="634">
        <f t="shared" si="92"/>
        <v>-0.10468477372216058</v>
      </c>
      <c r="AN71" s="581">
        <f t="shared" si="93"/>
        <v>-80.835906946545578</v>
      </c>
      <c r="AO71" s="582">
        <f t="shared" si="461"/>
        <v>41.095003248590551</v>
      </c>
      <c r="AP71" s="585">
        <f t="shared" si="95"/>
        <v>-40.730737090236339</v>
      </c>
      <c r="AQ71" s="586">
        <f t="shared" si="246"/>
        <v>0.38346385092791818</v>
      </c>
      <c r="AS71" s="52">
        <f t="shared" si="406"/>
        <v>-194.45502390173732</v>
      </c>
      <c r="AT71" s="72">
        <f t="shared" si="247"/>
        <v>-4.3955754532879379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4.1609999999999996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>
        <f t="shared" si="112"/>
        <v>1313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-1.7316202034614567</v>
      </c>
      <c r="C72" s="708">
        <v>-3.0477046898872122</v>
      </c>
      <c r="D72" s="709">
        <v>-0.13644879632825635</v>
      </c>
      <c r="E72" s="710">
        <v>-0.11389672949860812</v>
      </c>
      <c r="F72" s="708">
        <v>-0.20046219773957419</v>
      </c>
      <c r="G72" s="711">
        <v>0.97305829336527472</v>
      </c>
      <c r="H72" s="710">
        <v>0.26250000000000001</v>
      </c>
      <c r="I72" s="708">
        <v>0.40699999999999997</v>
      </c>
      <c r="J72" s="570">
        <v>4.2190000000000003</v>
      </c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Inactive</v>
      </c>
      <c r="L72" s="320"/>
      <c r="M72" s="168">
        <f t="shared" si="239"/>
        <v>4.2190000000000003</v>
      </c>
      <c r="N72" s="632">
        <f t="shared" si="240"/>
        <v>-1.7316202034614567</v>
      </c>
      <c r="O72" s="629">
        <f t="shared" si="241"/>
        <v>-3.0477046898872122</v>
      </c>
      <c r="P72" s="633">
        <f t="shared" si="242"/>
        <v>-0.13644879632825635</v>
      </c>
      <c r="Q72" s="585">
        <f t="shared" si="113"/>
        <v>240.39597828550734</v>
      </c>
      <c r="R72" s="629">
        <f t="shared" si="79"/>
        <v>3.5052834986340842</v>
      </c>
      <c r="S72" s="634">
        <f t="shared" si="80"/>
        <v>-0.13644879632825635</v>
      </c>
      <c r="T72" s="635">
        <f t="shared" si="81"/>
        <v>-3.0477046898872113</v>
      </c>
      <c r="U72" s="629">
        <f t="shared" si="82"/>
        <v>1.7316202034614583</v>
      </c>
      <c r="V72" s="636">
        <f t="shared" si="114"/>
        <v>-0.13644879632825635</v>
      </c>
      <c r="W72" s="585">
        <f t="shared" si="224"/>
        <v>150.39597828550734</v>
      </c>
      <c r="X72" s="629">
        <f t="shared" si="83"/>
        <v>3.5052834986340842</v>
      </c>
      <c r="Y72" s="630">
        <f t="shared" si="223"/>
        <v>-0.13644879632825635</v>
      </c>
      <c r="Z72" s="632">
        <f t="shared" si="243"/>
        <v>0.11389672949860812</v>
      </c>
      <c r="AA72" s="629">
        <f t="shared" si="244"/>
        <v>0.20046219773957419</v>
      </c>
      <c r="AB72" s="629">
        <f t="shared" si="245"/>
        <v>-0.97305829336527472</v>
      </c>
      <c r="AC72" s="636">
        <f t="shared" si="84"/>
        <v>1</v>
      </c>
      <c r="AD72" s="637">
        <f t="shared" si="115"/>
        <v>0.11389672949860812</v>
      </c>
      <c r="AE72" s="629">
        <f t="shared" si="85"/>
        <v>0.20046219773957419</v>
      </c>
      <c r="AF72" s="633">
        <f t="shared" si="86"/>
        <v>-0.97305829336527472</v>
      </c>
      <c r="AG72" s="602">
        <f t="shared" si="87"/>
        <v>11.640788939489443</v>
      </c>
      <c r="AH72" s="603">
        <f t="shared" si="88"/>
        <v>83.460005803756019</v>
      </c>
      <c r="AI72" s="585">
        <f t="shared" si="89"/>
        <v>-13.329998075392583</v>
      </c>
      <c r="AJ72" s="586">
        <f t="shared" si="90"/>
        <v>150.39603464582092</v>
      </c>
      <c r="AK72" s="635">
        <f t="shared" si="211"/>
        <v>2.2679489686261434E-7</v>
      </c>
      <c r="AL72" s="629">
        <f t="shared" si="91"/>
        <v>-0.23055922821047048</v>
      </c>
      <c r="AM72" s="634">
        <f t="shared" si="92"/>
        <v>-0.97305829336527472</v>
      </c>
      <c r="AN72" s="581">
        <f t="shared" si="93"/>
        <v>-13.329998075386406</v>
      </c>
      <c r="AO72" s="582">
        <f t="shared" si="461"/>
        <v>0</v>
      </c>
      <c r="AP72" s="585">
        <f t="shared" si="95"/>
        <v>-89.999943639686407</v>
      </c>
      <c r="AQ72" s="586">
        <f t="shared" si="246"/>
        <v>0.65034075803120384</v>
      </c>
      <c r="AS72" s="52">
        <f t="shared" si="406"/>
        <v>-209.60402171449266</v>
      </c>
      <c r="AT72" s="72">
        <f t="shared" si="247"/>
        <v>9.1095520845857758E-3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Nose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4.2190000000000003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4.1189999999999998</v>
      </c>
      <c r="II72" s="734" cm="1">
        <f t="array" ref="II72">IFERROR(IF($IH72&lt;1,$IH72+LARGE((IF($M$9:$M$150="",0,$M$9:$M$150)-MOD(IF($M$9:$M$150="",0,$M$9:$M$150),1)),1),$IH72),"")</f>
        <v>4.1189999999999998</v>
      </c>
      <c r="IJ72" s="533">
        <f t="shared" si="112"/>
        <v>1613</v>
      </c>
      <c r="IK72" s="533" t="str">
        <f t="shared" si="382"/>
        <v>Inactive</v>
      </c>
      <c r="IL72" s="727">
        <f t="shared" si="225"/>
        <v>18.845997278974664</v>
      </c>
      <c r="IM72" s="759">
        <v>3.6451841125089202E-2</v>
      </c>
      <c r="IN72" s="5">
        <f t="shared" si="226"/>
        <v>0.78</v>
      </c>
      <c r="IO72" s="771">
        <v>390</v>
      </c>
      <c r="IP72" s="9">
        <f t="shared" si="227"/>
        <v>-3.4962105445710026</v>
      </c>
      <c r="IQ72" s="5">
        <f t="shared" si="228"/>
        <v>-0.13380040354201708</v>
      </c>
      <c r="IR72" s="5">
        <f t="shared" si="383"/>
        <v>0.314</v>
      </c>
      <c r="IS72" s="5">
        <f t="shared" si="229"/>
        <v>0.30259221875949321</v>
      </c>
      <c r="IT72" s="727">
        <f t="shared" si="230"/>
        <v>28.148270406447299</v>
      </c>
      <c r="IU72" s="9">
        <f t="shared" si="231"/>
        <v>-3.5052834986340842</v>
      </c>
      <c r="IV72" s="5">
        <f t="shared" si="232"/>
        <v>-0.13644879632825635</v>
      </c>
      <c r="IW72" s="5">
        <f t="shared" si="384"/>
        <v>0.26250000000000001</v>
      </c>
      <c r="IX72" s="5">
        <f t="shared" si="233"/>
        <v>0.26250000000000001</v>
      </c>
      <c r="IY72" s="762">
        <f t="shared" si="234"/>
        <v>13.329998075386406</v>
      </c>
    </row>
    <row r="73" spans="1:259" ht="15" customHeight="1" x14ac:dyDescent="0.25">
      <c r="A73" s="79"/>
      <c r="B73" s="707">
        <v>-1.7424282356909222</v>
      </c>
      <c r="C73" s="708">
        <v>-3.8691251155452369</v>
      </c>
      <c r="D73" s="709">
        <v>-0.39803825945287274</v>
      </c>
      <c r="E73" s="710">
        <v>0.72532385697095292</v>
      </c>
      <c r="F73" s="708">
        <v>-0.63514306440715551</v>
      </c>
      <c r="G73" s="711">
        <v>0.26551570621013837</v>
      </c>
      <c r="H73" s="710">
        <v>0.26600000000000001</v>
      </c>
      <c r="I73" s="708">
        <v>0.52</v>
      </c>
      <c r="J73" s="570">
        <v>4.2249999999999996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4.2249999999999996</v>
      </c>
      <c r="N73" s="632">
        <f t="shared" ref="N73:N104" si="465">IF(M73="","",B73)</f>
        <v>-1.7424282356909222</v>
      </c>
      <c r="O73" s="629">
        <f t="shared" ref="O73:O104" si="466">IF(M73="","",C73)</f>
        <v>-3.8691251155452369</v>
      </c>
      <c r="P73" s="633">
        <f t="shared" ref="P73:P104" si="467">IF(M73="","",D73)</f>
        <v>-0.39803825945287274</v>
      </c>
      <c r="Q73" s="585">
        <f t="shared" si="113"/>
        <v>245.75597751161922</v>
      </c>
      <c r="R73" s="629">
        <f>IF(M73="","",SQRT(N73^2+O73^2))</f>
        <v>4.2433695710220576</v>
      </c>
      <c r="S73" s="634">
        <f>IF(M73="","",P73)</f>
        <v>-0.39803825945287274</v>
      </c>
      <c r="T73" s="635">
        <f>IF(M73="","",X73*COS(RADIANS(W73)))</f>
        <v>-3.8691251155452364</v>
      </c>
      <c r="U73" s="629">
        <f>IF(M73="","",X73*SIN(RADIANS(W73)))</f>
        <v>1.7424282356909226</v>
      </c>
      <c r="V73" s="636">
        <f>IF(M73="","",Y73)</f>
        <v>-0.39803825945287274</v>
      </c>
      <c r="W73" s="585">
        <f t="shared" si="224"/>
        <v>155.75597751161922</v>
      </c>
      <c r="X73" s="629">
        <f>IF(M73="","",R73)</f>
        <v>4.2433695710220576</v>
      </c>
      <c r="Y73" s="630">
        <f t="shared" si="223"/>
        <v>-0.39803825945287274</v>
      </c>
      <c r="Z73" s="632">
        <f t="shared" ref="Z73:Z104" si="468">IF(M73="","",-E73)</f>
        <v>-0.72532385697095292</v>
      </c>
      <c r="AA73" s="629">
        <f t="shared" ref="AA73:AA104" si="469">IF(M73="","",-F73)</f>
        <v>0.63514306440715551</v>
      </c>
      <c r="AB73" s="629">
        <f t="shared" ref="AB73:AB104" si="470">IF(M73="","",-G73)</f>
        <v>-0.26551570621013837</v>
      </c>
      <c r="AC73" s="636">
        <f>IF(M73="","",SQRT(Z73^2+AA73^2+AB73^2))</f>
        <v>1</v>
      </c>
      <c r="AD73" s="637">
        <f>IF(M73="","",Z73*(1/SQRT(Z73^2+AA73^2+AB73^2)))</f>
        <v>-0.72532385697095292</v>
      </c>
      <c r="AE73" s="629">
        <f>IF(M73="","",AA73*(1/SQRT(Z73^2+AA73^2+AB73^2)))</f>
        <v>0.63514306440715551</v>
      </c>
      <c r="AF73" s="633">
        <f>IF(M73="","",AB73*(1/SQRT(Z73^2+AA73^2+AB73^2)))</f>
        <v>-0.26551570621013837</v>
      </c>
      <c r="AG73" s="602">
        <f>IF(M73="","",DEGREES(ATAN2(-AF73,AE73)))</f>
        <v>67.31308316225001</v>
      </c>
      <c r="AH73" s="603">
        <f>IF(M73="","",DEGREES(ACOS(AD73)))</f>
        <v>136.49579558329131</v>
      </c>
      <c r="AI73" s="585">
        <f>IF(M73="","",DEGREES(-ACOS(-AF73)))</f>
        <v>-74.602401611108434</v>
      </c>
      <c r="AJ73" s="586">
        <f>IF(M73="","",DEGREES(ATAN2(-AE73,AD73)))</f>
        <v>-131.20760280795901</v>
      </c>
      <c r="AK73" s="635">
        <f>IF(M73="","",(COS(RADIANS((90-$Q$8)-W73))*AD73)+(-SIN(RADIANS((90-$Q$8)-W73))*AE73))</f>
        <v>0.92215865140736297</v>
      </c>
      <c r="AL73" s="629">
        <f>IF(M73="","",(SIN(RADIANS((90-$Q$8)-W73))*AD73)+(COS(RADIANS((90-$Q$8)-W73))*AE73))</f>
        <v>-0.2812913638743379</v>
      </c>
      <c r="AM73" s="634">
        <f>IF(M73="","",AF73)</f>
        <v>-0.26551570621013837</v>
      </c>
      <c r="AN73" s="581">
        <f>IF(M73="","",DEGREES(ATAN2(-AM73,AL73)))</f>
        <v>-46.652553517086716</v>
      </c>
      <c r="AO73" s="582">
        <f t="shared" si="461"/>
        <v>22.756269427005623</v>
      </c>
      <c r="AP73" s="585">
        <f>IF(M73="","",DEGREES(ATAN2(AK73,AL73)))</f>
        <v>-16.963580319578252</v>
      </c>
      <c r="AQ73" s="586">
        <f t="shared" ref="AQ73:AQ104" si="471">IF(M73="","",DEGREES(ATAN(($AS$5*SIN(RADIANS(90)))/(($X73*2*PI())-($AS$5*COS(RADIANS(90)))))))</f>
        <v>0.53722867745991443</v>
      </c>
      <c r="AS73" s="52">
        <f t="shared" si="406"/>
        <v>-204.24402248838078</v>
      </c>
      <c r="AT73" s="72">
        <f t="shared" ref="AT73:AT104" si="472">IF(M73="","",Y73+(((AS73-$AS$9)*$AS$6)*-1))</f>
        <v>-0.2562021327248305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Nose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4.2249999999999996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4.125</v>
      </c>
      <c r="II73" s="734" cm="1">
        <f t="array" ref="II73">IFERROR(IF($IH73&lt;1,$IH73+LARGE((IF($M$9:$M$150="",0,$M$9:$M$150)-MOD(IF($M$9:$M$150="",0,$M$9:$M$150),1)),1),$IH73),"")</f>
        <v>4.125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12.560998186416271</v>
      </c>
      <c r="IM73" s="759">
        <v>1.4420632557887E-2</v>
      </c>
      <c r="IN73" s="5">
        <f t="shared" si="226"/>
        <v>0.44</v>
      </c>
      <c r="IO73" s="771">
        <v>220</v>
      </c>
      <c r="IP73" s="9">
        <f t="shared" si="227"/>
        <v>-4.2157127145895474</v>
      </c>
      <c r="IQ73" s="5">
        <f t="shared" si="228"/>
        <v>-0.43000129688391142</v>
      </c>
      <c r="IR73" s="5">
        <f t="shared" ref="IR73:IR104" si="518">IF(ISNUMBER($II73),INDEX($H$9:$H$150,MATCH($II73,$M$9:$M$150,0)),"")</f>
        <v>0.314</v>
      </c>
      <c r="IS73" s="5">
        <f t="shared" si="229"/>
        <v>0.30165685952377297</v>
      </c>
      <c r="IT73" s="727">
        <f t="shared" si="230"/>
        <v>53.054269057518987</v>
      </c>
      <c r="IU73" s="9">
        <f t="shared" si="231"/>
        <v>-4.2433695710220576</v>
      </c>
      <c r="IV73" s="5">
        <f t="shared" si="232"/>
        <v>-0.39803825945287274</v>
      </c>
      <c r="IW73" s="5">
        <f t="shared" ref="IW73:IW104" si="519">IF(ISNUMBER($II73),$H73,"")</f>
        <v>0.26600000000000001</v>
      </c>
      <c r="IX73" s="5">
        <f t="shared" si="233"/>
        <v>0.24529420127435855</v>
      </c>
      <c r="IY73" s="762">
        <f t="shared" si="234"/>
        <v>46.652553517086716</v>
      </c>
    </row>
    <row r="74" spans="1:259" ht="15" customHeight="1" x14ac:dyDescent="0.25">
      <c r="A74" s="79"/>
      <c r="B74" s="707">
        <v>-1.9529847607324615</v>
      </c>
      <c r="C74" s="708">
        <v>-4.4077789942493837</v>
      </c>
      <c r="D74" s="709">
        <v>-0.9040455971807605</v>
      </c>
      <c r="E74" s="710">
        <v>0.69715162927401386</v>
      </c>
      <c r="F74" s="708">
        <v>-0.67952843726794798</v>
      </c>
      <c r="G74" s="711">
        <v>0.22851850853873645</v>
      </c>
      <c r="H74" s="710">
        <v>0.26600000000000001</v>
      </c>
      <c r="I74" s="708">
        <v>0.52</v>
      </c>
      <c r="J74" s="570">
        <v>4.2309999999999999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4.2309999999999999</v>
      </c>
      <c r="N74" s="632">
        <f t="shared" si="465"/>
        <v>-1.9529847607324615</v>
      </c>
      <c r="O74" s="629">
        <f t="shared" si="466"/>
        <v>-4.4077789942493837</v>
      </c>
      <c r="P74" s="633">
        <f t="shared" si="467"/>
        <v>-0.9040455971807605</v>
      </c>
      <c r="Q74" s="585">
        <f t="shared" ref="Q74:Q129" si="520">IF(M74="","",IF(DEGREES(ATAN2(N74,O74))&lt;0,DEGREES(ATAN2(N74,O74))+360,IF(DEGREES(ATAN2(N74,O74))&gt;360,DEGREES(ATAN2(N74,O74))-360,DEGREES(ATAN2(N74,O74)))))</f>
        <v>246.10297746151861</v>
      </c>
      <c r="R74" s="629">
        <f>IF(M74="","",SQRT(N74^2+O74^2))</f>
        <v>4.8210647307207291</v>
      </c>
      <c r="S74" s="634">
        <f>IF(M74="","",P74)</f>
        <v>-0.9040455971807605</v>
      </c>
      <c r="T74" s="635">
        <f>IF(M74="","",X74*COS(RADIANS(W74)))</f>
        <v>-4.4077789942493828</v>
      </c>
      <c r="U74" s="629">
        <f>IF(M74="","",X74*SIN(RADIANS(W74)))</f>
        <v>1.9529847607324622</v>
      </c>
      <c r="V74" s="636">
        <f>IF(M74="","",Y74)</f>
        <v>-0.9040455971807605</v>
      </c>
      <c r="W74" s="585">
        <f t="shared" si="224"/>
        <v>156.10297746151861</v>
      </c>
      <c r="X74" s="629">
        <f>IF(M74="","",R74)</f>
        <v>4.8210647307207291</v>
      </c>
      <c r="Y74" s="630">
        <f t="shared" si="223"/>
        <v>-0.9040455971807605</v>
      </c>
      <c r="Z74" s="632">
        <f t="shared" si="468"/>
        <v>-0.69715162927401386</v>
      </c>
      <c r="AA74" s="629">
        <f t="shared" si="469"/>
        <v>0.67952843726794798</v>
      </c>
      <c r="AB74" s="629">
        <f t="shared" si="470"/>
        <v>-0.22851850853873645</v>
      </c>
      <c r="AC74" s="636">
        <f>IF(M74="","",SQRT(Z74^2+AA74^2+AB74^2))</f>
        <v>1</v>
      </c>
      <c r="AD74" s="637">
        <f>IF(M74="","",Z74*(1/SQRT(Z74^2+AA74^2+AB74^2)))</f>
        <v>-0.69715162927401386</v>
      </c>
      <c r="AE74" s="629">
        <f>IF(M74="","",AA74*(1/SQRT(Z74^2+AA74^2+AB74^2)))</f>
        <v>0.67952843726794798</v>
      </c>
      <c r="AF74" s="633">
        <f>IF(M74="","",AB74*(1/SQRT(Z74^2+AA74^2+AB74^2)))</f>
        <v>-0.22851850853873645</v>
      </c>
      <c r="AG74" s="602">
        <f>IF(M74="","",DEGREES(ATAN2(-AF74,AE74)))</f>
        <v>71.412730886993188</v>
      </c>
      <c r="AH74" s="603">
        <f>IF(M74="","",DEGREES(ACOS(AD74)))</f>
        <v>134.19892319594945</v>
      </c>
      <c r="AI74" s="585">
        <f>IF(M74="","",DEGREES(-ACOS(-AF74)))</f>
        <v>-76.790134165402705</v>
      </c>
      <c r="AJ74" s="586">
        <f>IF(M74="","",DEGREES(ATAN2(-AE74,AD74)))</f>
        <v>-134.26658386510482</v>
      </c>
      <c r="AK74" s="635">
        <f>IF(M74="","",(COS(RADIANS((90-$Q$8)-W74))*AD74)+(-SIN(RADIANS((90-$Q$8)-W74))*AE74))</f>
        <v>0.91266125545914367</v>
      </c>
      <c r="AL74" s="629">
        <f>IF(M74="","",(SIN(RADIANS((90-$Q$8)-W74))*AD74)+(COS(RADIANS((90-$Q$8)-W74))*AE74))</f>
        <v>-0.33886387243105642</v>
      </c>
      <c r="AM74" s="634">
        <f>IF(M74="","",AF74)</f>
        <v>-0.22851850853873645</v>
      </c>
      <c r="AN74" s="581">
        <f>IF(M74="","",DEGREES(ATAN2(-AM74,AL74)))</f>
        <v>-56.005585387218524</v>
      </c>
      <c r="AO74" s="582">
        <f t="shared" si="461"/>
        <v>24.124252422134663</v>
      </c>
      <c r="AP74" s="585">
        <f>IF(M74="","",DEGREES(ATAN2(AK74,AL74)))</f>
        <v>-20.369561326623419</v>
      </c>
      <c r="AQ74" s="586">
        <f t="shared" si="471"/>
        <v>0.47285713866274348</v>
      </c>
      <c r="AS74" s="52">
        <f t="shared" si="406"/>
        <v>-203.89702253848139</v>
      </c>
      <c r="AT74" s="72">
        <f t="shared" si="472"/>
        <v>-0.76245044264014838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4.2309999999999999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4.1310000000000002</v>
      </c>
      <c r="II74" s="734" cm="1">
        <f t="array" ref="II74">IFERROR(IF($IH74&lt;1,$IH74+LARGE((IF($M$9:$M$150="",0,$M$9:$M$150)-MOD(IF($M$9:$M$150="",0,$M$9:$M$150),1)),1),$IH74),"")</f>
        <v>4.1310000000000002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11.35499836054106</v>
      </c>
      <c r="IM74" s="759">
        <v>1.41813734962342E-2</v>
      </c>
      <c r="IN74" s="5">
        <f t="shared" si="226"/>
        <v>0.5</v>
      </c>
      <c r="IO74" s="771">
        <v>250</v>
      </c>
      <c r="IP74" s="9">
        <f t="shared" si="227"/>
        <v>-4.7884144418579568</v>
      </c>
      <c r="IQ74" s="5">
        <f t="shared" si="228"/>
        <v>-0.93410281725409694</v>
      </c>
      <c r="IR74" s="5">
        <f t="shared" si="518"/>
        <v>0.314</v>
      </c>
      <c r="IS74" s="5">
        <f t="shared" si="229"/>
        <v>0.3007162876197127</v>
      </c>
      <c r="IT74" s="727">
        <f t="shared" si="230"/>
        <v>64.334037675197251</v>
      </c>
      <c r="IU74" s="9">
        <f t="shared" si="231"/>
        <v>-4.8210647307207291</v>
      </c>
      <c r="IV74" s="5">
        <f t="shared" si="232"/>
        <v>-0.9040455971807605</v>
      </c>
      <c r="IW74" s="5">
        <f t="shared" si="519"/>
        <v>0.26600000000000001</v>
      </c>
      <c r="IX74" s="5">
        <f t="shared" si="233"/>
        <v>0.24276789395213222</v>
      </c>
      <c r="IY74" s="762">
        <f t="shared" si="234"/>
        <v>56.005585387218524</v>
      </c>
    </row>
    <row r="75" spans="1:259" ht="15" customHeight="1" x14ac:dyDescent="0.25">
      <c r="A75" s="79"/>
      <c r="B75" s="707">
        <v>-2.1282988207473532</v>
      </c>
      <c r="C75" s="708">
        <v>-4.8097982238157009</v>
      </c>
      <c r="D75" s="709">
        <v>-1.5360751498864056</v>
      </c>
      <c r="E75" s="710">
        <v>0.65885861926230527</v>
      </c>
      <c r="F75" s="708">
        <v>-0.72565753488930174</v>
      </c>
      <c r="G75" s="711">
        <v>0.19830900605406337</v>
      </c>
      <c r="H75" s="710">
        <v>0.26600000000000001</v>
      </c>
      <c r="I75" s="708">
        <v>0.52</v>
      </c>
      <c r="J75" s="570">
        <v>4.2370000000000001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4.2370000000000001</v>
      </c>
      <c r="N75" s="632">
        <f t="shared" si="465"/>
        <v>-2.1282988207473532</v>
      </c>
      <c r="O75" s="629">
        <f t="shared" si="466"/>
        <v>-4.8097982238157009</v>
      </c>
      <c r="P75" s="633">
        <f t="shared" si="467"/>
        <v>-1.5360751498864056</v>
      </c>
      <c r="Q75" s="585">
        <f t="shared" si="520"/>
        <v>246.13097745747592</v>
      </c>
      <c r="R75" s="629">
        <f>IF(M75="","",SQRT(N75^2+O75^2))</f>
        <v>5.2596401801088302</v>
      </c>
      <c r="S75" s="634">
        <f>IF(M75="","",P75)</f>
        <v>-1.5360751498864056</v>
      </c>
      <c r="T75" s="635">
        <f>IF(M75="","",X75*COS(RADIANS(W75)))</f>
        <v>-4.8097982238157009</v>
      </c>
      <c r="U75" s="629">
        <f>IF(M75="","",X75*SIN(RADIANS(W75)))</f>
        <v>2.1282988207473537</v>
      </c>
      <c r="V75" s="636">
        <f>IF(M75="","",Y75)</f>
        <v>-1.5360751498864056</v>
      </c>
      <c r="W75" s="585">
        <f t="shared" si="224"/>
        <v>156.13097745747592</v>
      </c>
      <c r="X75" s="629">
        <f>IF(M75="","",R75)</f>
        <v>5.2596401801088302</v>
      </c>
      <c r="Y75" s="630">
        <f t="shared" si="223"/>
        <v>-1.5360751498864056</v>
      </c>
      <c r="Z75" s="632">
        <f t="shared" si="468"/>
        <v>-0.65885861926230527</v>
      </c>
      <c r="AA75" s="629">
        <f t="shared" si="469"/>
        <v>0.72565753488930174</v>
      </c>
      <c r="AB75" s="629">
        <f t="shared" si="470"/>
        <v>-0.19830900605406337</v>
      </c>
      <c r="AC75" s="636">
        <f>IF(M75="","",SQRT(Z75^2+AA75^2+AB75^2))</f>
        <v>1</v>
      </c>
      <c r="AD75" s="637">
        <f>IF(M75="","",Z75*(1/SQRT(Z75^2+AA75^2+AB75^2)))</f>
        <v>-0.65885861926230527</v>
      </c>
      <c r="AE75" s="629">
        <f>IF(M75="","",AA75*(1/SQRT(Z75^2+AA75^2+AB75^2)))</f>
        <v>0.72565753488930174</v>
      </c>
      <c r="AF75" s="633">
        <f>IF(M75="","",AB75*(1/SQRT(Z75^2+AA75^2+AB75^2)))</f>
        <v>-0.19830900605406337</v>
      </c>
      <c r="AG75" s="602">
        <f>IF(M75="","",DEGREES(ATAN2(-AF75,AE75)))</f>
        <v>74.71531235256387</v>
      </c>
      <c r="AH75" s="603">
        <f>IF(M75="","",DEGREES(ACOS(AD75)))</f>
        <v>131.21288259832903</v>
      </c>
      <c r="AI75" s="585">
        <f>IF(M75="","",DEGREES(-ACOS(-AF75)))</f>
        <v>-78.56190829709611</v>
      </c>
      <c r="AJ75" s="586">
        <f>IF(M75="","",DEGREES(ATAN2(-AE75,AD75)))</f>
        <v>-137.76221434045183</v>
      </c>
      <c r="AK75" s="635">
        <f>IF(M75="","",(COS(RADIANS((90-$Q$8)-W75))*AD75)+(-SIN(RADIANS((90-$Q$8)-W75))*AE75))</f>
        <v>0.89614363930638807</v>
      </c>
      <c r="AL75" s="629">
        <f>IF(M75="","",(SIN(RADIANS((90-$Q$8)-W75))*AD75)+(COS(RADIANS((90-$Q$8)-W75))*AE75))</f>
        <v>-0.39698881073470033</v>
      </c>
      <c r="AM75" s="634">
        <f>IF(M75="","",AF75)</f>
        <v>-0.19830900605406337</v>
      </c>
      <c r="AN75" s="581">
        <f>IF(M75="","",DEGREES(ATAN2(-AM75,AL75)))</f>
        <v>-63.456359164222356</v>
      </c>
      <c r="AO75" s="582">
        <f t="shared" si="461"/>
        <v>26.344293413135293</v>
      </c>
      <c r="AP75" s="585">
        <f>IF(M75="","",DEGREES(ATAN2(AK75,AL75)))</f>
        <v>-23.893191797927788</v>
      </c>
      <c r="AQ75" s="586">
        <f t="shared" si="471"/>
        <v>0.43342948706599471</v>
      </c>
      <c r="AS75" s="52">
        <f t="shared" ref="AS75:AS106" si="543">IF(G75="","",IF(AND(W75&lt;(AS74+180),W75&gt;(AS74-180)),W75,IF(W75&gt;(AS74+180),W75-360,IF(W75&lt;(AS74-180),W75+360,"Error"))))</f>
        <v>-203.86902254252408</v>
      </c>
      <c r="AT75" s="72">
        <f t="shared" si="472"/>
        <v>-1.3944994397874306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4.2370000000000001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4.1369999999999996</v>
      </c>
      <c r="II75" s="734" cm="1">
        <f t="array" ref="II75">IFERROR(IF($IH75&lt;1,$IH75+LARGE((IF($M$9:$M$150="",0,$M$9:$M$150)-MOD(IF($M$9:$M$150="",0,$M$9:$M$150),1)),1),$IH75),"")</f>
        <v>4.1369999999999996</v>
      </c>
      <c r="IJ75" s="533">
        <f t="shared" si="542"/>
        <v>1613</v>
      </c>
      <c r="IK75" s="533">
        <f t="shared" si="517"/>
        <v>1313</v>
      </c>
      <c r="IL75" s="727">
        <f t="shared" si="225"/>
        <v>10.624998465939996</v>
      </c>
      <c r="IM75" s="759">
        <v>1.47519517372755E-2</v>
      </c>
      <c r="IN75" s="5">
        <f t="shared" si="226"/>
        <v>0.57999999999999996</v>
      </c>
      <c r="IO75" s="771">
        <v>290</v>
      </c>
      <c r="IP75" s="9">
        <f t="shared" si="227"/>
        <v>-5.2223157505043032</v>
      </c>
      <c r="IQ75" s="5">
        <f t="shared" si="228"/>
        <v>-1.5632047146254193</v>
      </c>
      <c r="IR75" s="5">
        <f t="shared" si="518"/>
        <v>0.314</v>
      </c>
      <c r="IS75" s="5">
        <f t="shared" si="229"/>
        <v>0.29845110587219625</v>
      </c>
      <c r="IT75" s="727">
        <f t="shared" si="230"/>
        <v>72.511158299479263</v>
      </c>
      <c r="IU75" s="9">
        <f t="shared" si="231"/>
        <v>-5.2596401801088302</v>
      </c>
      <c r="IV75" s="5">
        <f t="shared" si="232"/>
        <v>-1.5360751498864056</v>
      </c>
      <c r="IW75" s="5">
        <f t="shared" si="519"/>
        <v>0.26600000000000001</v>
      </c>
      <c r="IX75" s="5">
        <f t="shared" si="233"/>
        <v>0.23837420805549925</v>
      </c>
      <c r="IY75" s="762">
        <f t="shared" si="234"/>
        <v>63.456359164222356</v>
      </c>
    </row>
    <row r="76" spans="1:259" ht="15" customHeight="1" x14ac:dyDescent="0.25">
      <c r="A76" s="79"/>
      <c r="B76" s="707">
        <v>-2.2631198686898646</v>
      </c>
      <c r="C76" s="708">
        <v>-5.0964449258383739</v>
      </c>
      <c r="D76" s="709">
        <v>-2.2379629461372064</v>
      </c>
      <c r="E76" s="710">
        <v>0.62158407472998434</v>
      </c>
      <c r="F76" s="708">
        <v>-0.76639419481614446</v>
      </c>
      <c r="G76" s="711">
        <v>0.16209002496817324</v>
      </c>
      <c r="H76" s="710">
        <v>0.26600000000000001</v>
      </c>
      <c r="I76" s="708">
        <v>0.52</v>
      </c>
      <c r="J76" s="570">
        <v>4.2430000000000003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4.2430000000000003</v>
      </c>
      <c r="N76" s="632">
        <f t="shared" si="465"/>
        <v>-2.2631198686898646</v>
      </c>
      <c r="O76" s="629">
        <f t="shared" si="466"/>
        <v>-5.0964449258383739</v>
      </c>
      <c r="P76" s="633">
        <f t="shared" si="467"/>
        <v>-2.2379629461372064</v>
      </c>
      <c r="Q76" s="585">
        <f t="shared" si="520"/>
        <v>246.05597746830458</v>
      </c>
      <c r="R76" s="629">
        <f t="shared" si="79"/>
        <v>5.57633055173046</v>
      </c>
      <c r="S76" s="634">
        <f t="shared" si="80"/>
        <v>-2.2379629461372064</v>
      </c>
      <c r="T76" s="635">
        <f t="shared" si="81"/>
        <v>-5.0964449258383739</v>
      </c>
      <c r="U76" s="629">
        <f t="shared" si="82"/>
        <v>2.263119868689865</v>
      </c>
      <c r="V76" s="636">
        <f t="shared" si="114"/>
        <v>-2.2379629461372064</v>
      </c>
      <c r="W76" s="585">
        <f t="shared" si="224"/>
        <v>156.05597746830458</v>
      </c>
      <c r="X76" s="629">
        <f t="shared" si="83"/>
        <v>5.57633055173046</v>
      </c>
      <c r="Y76" s="630">
        <f t="shared" ref="Y76:Y129" si="644">IF(M76="","",S76)</f>
        <v>-2.2379629461372064</v>
      </c>
      <c r="Z76" s="632">
        <f t="shared" si="468"/>
        <v>-0.62158407472998434</v>
      </c>
      <c r="AA76" s="629">
        <f t="shared" si="469"/>
        <v>0.76639419481614446</v>
      </c>
      <c r="AB76" s="629">
        <f t="shared" si="470"/>
        <v>-0.16209002496817324</v>
      </c>
      <c r="AC76" s="636">
        <f t="shared" si="84"/>
        <v>1</v>
      </c>
      <c r="AD76" s="637">
        <f t="shared" si="115"/>
        <v>-0.62158407472998434</v>
      </c>
      <c r="AE76" s="629">
        <f t="shared" si="85"/>
        <v>0.76639419481614446</v>
      </c>
      <c r="AF76" s="633">
        <f t="shared" si="86"/>
        <v>-0.16209002496817324</v>
      </c>
      <c r="AG76" s="602">
        <f t="shared" si="87"/>
        <v>78.05810009030742</v>
      </c>
      <c r="AH76" s="603">
        <f t="shared" si="88"/>
        <v>128.4319045020905</v>
      </c>
      <c r="AI76" s="585">
        <f t="shared" si="89"/>
        <v>-80.671770387553252</v>
      </c>
      <c r="AJ76" s="586">
        <f t="shared" si="90"/>
        <v>-140.95621660471977</v>
      </c>
      <c r="AK76" s="635">
        <f t="shared" si="211"/>
        <v>0.87912846767221509</v>
      </c>
      <c r="AL76" s="629">
        <f t="shared" si="91"/>
        <v>-0.44817402996394201</v>
      </c>
      <c r="AM76" s="634">
        <f t="shared" si="92"/>
        <v>-0.16209002496817324</v>
      </c>
      <c r="AN76" s="581">
        <f t="shared" si="93"/>
        <v>-70.116584415280585</v>
      </c>
      <c r="AO76" s="582">
        <f t="shared" si="461"/>
        <v>28.462590937780007</v>
      </c>
      <c r="AP76" s="585">
        <f t="shared" si="95"/>
        <v>-27.012194073024343</v>
      </c>
      <c r="AQ76" s="586">
        <f t="shared" si="471"/>
        <v>0.40881506632883641</v>
      </c>
      <c r="AS76" s="52">
        <f t="shared" si="543"/>
        <v>-203.94402253169542</v>
      </c>
      <c r="AT76" s="72">
        <f t="shared" si="472"/>
        <v>-2.0963351527124177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4.2430000000000003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4.1429999999999998</v>
      </c>
      <c r="II76" s="734" cm="1">
        <f t="array" ref="II76">IFERROR(IF($IH76&lt;1,$IH76+LARGE((IF($M$9:$M$150="",0,$M$9:$M$150)-MOD(IF($M$9:$M$150="",0,$M$9:$M$150),1)),1),$IH76),"")</f>
        <v>4.1429999999999998</v>
      </c>
      <c r="IJ76" s="533">
        <f t="shared" si="542"/>
        <v>1613</v>
      </c>
      <c r="IK76" s="533">
        <f t="shared" si="517"/>
        <v>1313</v>
      </c>
      <c r="IL76" s="727">
        <f t="shared" si="225"/>
        <v>10.174998530912006</v>
      </c>
      <c r="IM76" s="759">
        <v>1.5794707098042201E-2</v>
      </c>
      <c r="IN76" s="5">
        <f t="shared" si="226"/>
        <v>0.68</v>
      </c>
      <c r="IO76" s="771">
        <v>340</v>
      </c>
      <c r="IP76" s="9">
        <f t="shared" si="227"/>
        <v>-5.534816693007147</v>
      </c>
      <c r="IQ76" s="5">
        <f t="shared" si="228"/>
        <v>-2.2613068201013693</v>
      </c>
      <c r="IR76" s="5">
        <f t="shared" si="518"/>
        <v>0.314</v>
      </c>
      <c r="IS76" s="5">
        <f t="shared" si="229"/>
        <v>0.29627664203003007</v>
      </c>
      <c r="IT76" s="727">
        <f t="shared" si="230"/>
        <v>79.579185750236192</v>
      </c>
      <c r="IU76" s="9">
        <f t="shared" si="231"/>
        <v>-5.57633055173046</v>
      </c>
      <c r="IV76" s="5">
        <f t="shared" si="232"/>
        <v>-2.2379629461372064</v>
      </c>
      <c r="IW76" s="5">
        <f t="shared" si="519"/>
        <v>0.26600000000000001</v>
      </c>
      <c r="IX76" s="5">
        <f t="shared" si="233"/>
        <v>0.23384817240080921</v>
      </c>
      <c r="IY76" s="762">
        <f t="shared" si="234"/>
        <v>70.116584415280585</v>
      </c>
    </row>
    <row r="77" spans="1:259" ht="15" customHeight="1" x14ac:dyDescent="0.25">
      <c r="A77" s="79"/>
      <c r="B77" s="707">
        <v>-2.3555791706457909</v>
      </c>
      <c r="C77" s="708">
        <v>-5.283513174064411</v>
      </c>
      <c r="D77" s="709">
        <v>-2.9803318693191936</v>
      </c>
      <c r="E77" s="710">
        <v>0.57343599432853942</v>
      </c>
      <c r="F77" s="708">
        <v>-0.80907691813812921</v>
      </c>
      <c r="G77" s="711">
        <v>0.12870781229026665</v>
      </c>
      <c r="H77" s="710">
        <v>0.26600000000000001</v>
      </c>
      <c r="I77" s="708">
        <v>0.52</v>
      </c>
      <c r="J77" s="570">
        <v>4.2489999999999997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1313</v>
      </c>
      <c r="L77" s="320"/>
      <c r="M77" s="168">
        <f t="shared" si="464"/>
        <v>4.2489999999999997</v>
      </c>
      <c r="N77" s="632">
        <f t="shared" si="465"/>
        <v>-2.3555791706457909</v>
      </c>
      <c r="O77" s="629">
        <f t="shared" si="466"/>
        <v>-5.283513174064411</v>
      </c>
      <c r="P77" s="633">
        <f t="shared" si="467"/>
        <v>-2.9803318693191936</v>
      </c>
      <c r="Q77" s="585">
        <f t="shared" si="520"/>
        <v>245.97097748057706</v>
      </c>
      <c r="R77" s="629">
        <f t="shared" si="79"/>
        <v>5.7848305670687106</v>
      </c>
      <c r="S77" s="634">
        <f t="shared" si="80"/>
        <v>-2.9803318693191936</v>
      </c>
      <c r="T77" s="635">
        <f t="shared" si="81"/>
        <v>-5.283513174064411</v>
      </c>
      <c r="U77" s="629">
        <f t="shared" si="82"/>
        <v>2.3555791706457918</v>
      </c>
      <c r="V77" s="636">
        <f t="shared" si="114"/>
        <v>-2.9803318693191936</v>
      </c>
      <c r="W77" s="585">
        <f t="shared" si="224"/>
        <v>155.97097748057706</v>
      </c>
      <c r="X77" s="629">
        <f t="shared" si="83"/>
        <v>5.7848305670687106</v>
      </c>
      <c r="Y77" s="630">
        <f t="shared" si="644"/>
        <v>-2.9803318693191936</v>
      </c>
      <c r="Z77" s="632">
        <f t="shared" si="468"/>
        <v>-0.57343599432853942</v>
      </c>
      <c r="AA77" s="629">
        <f t="shared" si="469"/>
        <v>0.80907691813812921</v>
      </c>
      <c r="AB77" s="629">
        <f t="shared" si="470"/>
        <v>-0.12870781229026665</v>
      </c>
      <c r="AC77" s="636">
        <f t="shared" si="84"/>
        <v>1</v>
      </c>
      <c r="AD77" s="637">
        <f t="shared" si="115"/>
        <v>-0.57343599432853942</v>
      </c>
      <c r="AE77" s="629">
        <f t="shared" si="85"/>
        <v>0.80907691813812921</v>
      </c>
      <c r="AF77" s="633">
        <f t="shared" si="86"/>
        <v>-0.12870781229026665</v>
      </c>
      <c r="AG77" s="602">
        <f t="shared" si="87"/>
        <v>80.961136748511578</v>
      </c>
      <c r="AH77" s="603">
        <f t="shared" si="88"/>
        <v>124.99017733971701</v>
      </c>
      <c r="AI77" s="585">
        <f t="shared" si="89"/>
        <v>-82.605071883154821</v>
      </c>
      <c r="AJ77" s="586">
        <f t="shared" si="90"/>
        <v>-144.6727639698897</v>
      </c>
      <c r="AK77" s="635">
        <f t="shared" si="211"/>
        <v>0.85319722144169874</v>
      </c>
      <c r="AL77" s="629">
        <f t="shared" si="91"/>
        <v>-0.50545899970187369</v>
      </c>
      <c r="AM77" s="634">
        <f t="shared" si="92"/>
        <v>-0.12870781229026665</v>
      </c>
      <c r="AN77" s="581">
        <f t="shared" si="93"/>
        <v>-75.7140583226454</v>
      </c>
      <c r="AO77" s="582">
        <f t="shared" si="461"/>
        <v>31.438861384390432</v>
      </c>
      <c r="AP77" s="585">
        <f t="shared" si="95"/>
        <v>-30.643741450466781</v>
      </c>
      <c r="AQ77" s="586">
        <f t="shared" si="471"/>
        <v>0.3940808043396693</v>
      </c>
      <c r="AS77" s="52">
        <f t="shared" si="543"/>
        <v>-204.02902251942294</v>
      </c>
      <c r="AT77" s="72">
        <f t="shared" si="472"/>
        <v>-2.8386450481251497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4.2489999999999997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4.149</v>
      </c>
      <c r="II77" s="734" cm="1">
        <f t="array" ref="II77">IFERROR(IF($IH77&lt;1,$IH77+LARGE((IF($M$9:$M$150="",0,$M$9:$M$150)-MOD(IF($M$9:$M$150="",0,$M$9:$M$150),1)),1),$IH77),"")</f>
        <v>4.149</v>
      </c>
      <c r="IJ77" s="533">
        <f t="shared" si="542"/>
        <v>1613</v>
      </c>
      <c r="IK77" s="533">
        <f t="shared" si="517"/>
        <v>1313</v>
      </c>
      <c r="IL77" s="727">
        <f t="shared" si="225"/>
        <v>9.9029985701839109</v>
      </c>
      <c r="IM77" s="759">
        <v>2.1572497493338502E-2</v>
      </c>
      <c r="IN77" s="5">
        <f t="shared" si="226"/>
        <v>0.92</v>
      </c>
      <c r="IO77" s="771">
        <v>460</v>
      </c>
      <c r="IP77" s="9">
        <f t="shared" si="227"/>
        <v>-5.7416173167178277</v>
      </c>
      <c r="IQ77" s="5">
        <f t="shared" si="228"/>
        <v>-2.9979090416936698</v>
      </c>
      <c r="IR77" s="5">
        <f t="shared" si="518"/>
        <v>0.314</v>
      </c>
      <c r="IS77" s="5">
        <f t="shared" si="229"/>
        <v>0.29420819244092444</v>
      </c>
      <c r="IT77" s="727">
        <f t="shared" si="230"/>
        <v>85.911299401662689</v>
      </c>
      <c r="IU77" s="9">
        <f t="shared" si="231"/>
        <v>-5.7848305670687106</v>
      </c>
      <c r="IV77" s="5">
        <f t="shared" si="232"/>
        <v>-2.9803318693191936</v>
      </c>
      <c r="IW77" s="5">
        <f t="shared" si="519"/>
        <v>0.26600000000000001</v>
      </c>
      <c r="IX77" s="5">
        <f t="shared" si="233"/>
        <v>0.22695046090349189</v>
      </c>
      <c r="IY77" s="762">
        <f t="shared" si="234"/>
        <v>75.7140583226454</v>
      </c>
    </row>
    <row r="78" spans="1:259" ht="15" customHeight="1" x14ac:dyDescent="0.25">
      <c r="A78" s="79"/>
      <c r="B78" s="707">
        <v>-0.4584119231998246</v>
      </c>
      <c r="C78" s="708">
        <v>-0.21376082864672855</v>
      </c>
      <c r="D78" s="709">
        <v>-0.69060208285588198</v>
      </c>
      <c r="E78" s="710">
        <v>0.47359441874391661</v>
      </c>
      <c r="F78" s="708">
        <v>-0.83146955959349167</v>
      </c>
      <c r="G78" s="711">
        <v>0.29045946017304541</v>
      </c>
      <c r="H78" s="710">
        <v>0.314</v>
      </c>
      <c r="I78" s="708">
        <v>0.52</v>
      </c>
      <c r="J78" s="570">
        <v>5.1020000000000003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5.1020000000000003</v>
      </c>
      <c r="N78" s="632">
        <f t="shared" si="465"/>
        <v>-0.4584119231998246</v>
      </c>
      <c r="O78" s="629">
        <f t="shared" si="466"/>
        <v>-0.21376082864672855</v>
      </c>
      <c r="P78" s="633">
        <f t="shared" si="467"/>
        <v>-0.69060208285588198</v>
      </c>
      <c r="Q78" s="585">
        <f t="shared" si="520"/>
        <v>204.99998339605673</v>
      </c>
      <c r="R78" s="629">
        <f>IF(M78="","",SQRT(N78^2+O78^2))</f>
        <v>0.50580152549740087</v>
      </c>
      <c r="S78" s="634">
        <f>IF(M78="","",P78)</f>
        <v>-0.69060208285588198</v>
      </c>
      <c r="T78" s="635">
        <f>IF(M78="","",X78*COS(RADIANS(W78)))</f>
        <v>-0.21376082864672871</v>
      </c>
      <c r="U78" s="629">
        <f>IF(M78="","",X78*SIN(RADIANS(W78)))</f>
        <v>0.45841192319982449</v>
      </c>
      <c r="V78" s="636">
        <f>IF(M78="","",Y78)</f>
        <v>-0.69060208285588198</v>
      </c>
      <c r="W78" s="585">
        <f t="shared" si="224"/>
        <v>114.99998339605673</v>
      </c>
      <c r="X78" s="629">
        <f>IF(M78="","",R78)</f>
        <v>0.50580152549740087</v>
      </c>
      <c r="Y78" s="630">
        <f t="shared" si="644"/>
        <v>-0.69060208285588198</v>
      </c>
      <c r="Z78" s="632">
        <f t="shared" si="468"/>
        <v>-0.47359441874391661</v>
      </c>
      <c r="AA78" s="629">
        <f t="shared" si="469"/>
        <v>0.83146955959349167</v>
      </c>
      <c r="AB78" s="629">
        <f t="shared" si="470"/>
        <v>-0.29045946017304541</v>
      </c>
      <c r="AC78" s="636">
        <f>IF(M78="","",SQRT(Z78^2+AA78^2+AB78^2))</f>
        <v>1</v>
      </c>
      <c r="AD78" s="637">
        <f>IF(M78="","",Z78*(1/SQRT(Z78^2+AA78^2+AB78^2)))</f>
        <v>-0.47359441874391661</v>
      </c>
      <c r="AE78" s="629">
        <f>IF(M78="","",AA78*(1/SQRT(Z78^2+AA78^2+AB78^2)))</f>
        <v>0.83146955959349167</v>
      </c>
      <c r="AF78" s="633">
        <f>IF(M78="","",AB78*(1/SQRT(Z78^2+AA78^2+AB78^2)))</f>
        <v>-0.29045946017304541</v>
      </c>
      <c r="AG78" s="602">
        <f>IF(M78="","",DEGREES(ATAN2(-AF78,AE78)))</f>
        <v>70.744024694262023</v>
      </c>
      <c r="AH78" s="603">
        <f>IF(M78="","",DEGREES(ACOS(AD78)))</f>
        <v>118.26787216468571</v>
      </c>
      <c r="AI78" s="585">
        <f>IF(M78="","",DEGREES(-ACOS(-AF78)))</f>
        <v>-73.114534769632428</v>
      </c>
      <c r="AJ78" s="586">
        <f>IF(M78="","",DEGREES(ATAN2(-AE78,AD78)))</f>
        <v>-150.33471465516058</v>
      </c>
      <c r="AK78" s="635">
        <f>IF(M78="","",(COS(RADIANS((90-$Q$8)-W78))*AD78)+(-SIN(RADIANS((90-$Q$8)-W78))*AE78))</f>
        <v>0.95371696400905348</v>
      </c>
      <c r="AL78" s="629">
        <f>IF(M78="","",(SIN(RADIANS((90-$Q$8)-W78))*AD78)+(COS(RADIANS((90-$Q$8)-W78))*AE78))</f>
        <v>7.7828366019961182E-2</v>
      </c>
      <c r="AM78" s="634">
        <f>IF(M78="","",AF78)</f>
        <v>-0.29045946017304541</v>
      </c>
      <c r="AN78" s="581">
        <f>IF(M78="","",DEGREES(ATAN2(-AM78,AL78)))</f>
        <v>14.999997834268202</v>
      </c>
      <c r="AO78" s="582">
        <f t="shared" si="461"/>
        <v>17.499997473312952</v>
      </c>
      <c r="AP78" s="585">
        <f>IF(M78="","",DEGREES(ATAN2(AK78,AL78)))</f>
        <v>4.665301948782683</v>
      </c>
      <c r="AQ78" s="586">
        <f t="shared" si="471"/>
        <v>4.4978938946992724</v>
      </c>
      <c r="AS78" s="52">
        <f t="shared" si="543"/>
        <v>-245.00001660394327</v>
      </c>
      <c r="AT78" s="72">
        <f t="shared" si="472"/>
        <v>-0.52046318243647693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5.1020000000000003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-1.0756094710430049</v>
      </c>
      <c r="C79" s="708">
        <v>-0.50156455404890765</v>
      </c>
      <c r="D79" s="709">
        <v>-0.50810153243422185</v>
      </c>
      <c r="E79" s="710">
        <v>0.46892874510133481</v>
      </c>
      <c r="F79" s="708">
        <v>-0.84711619532694482</v>
      </c>
      <c r="G79" s="711">
        <v>0.24999996726497561</v>
      </c>
      <c r="H79" s="710">
        <v>0.314</v>
      </c>
      <c r="I79" s="708">
        <v>0.52</v>
      </c>
      <c r="J79" s="570">
        <v>5.1050000000000004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 t="shared" si="464"/>
        <v>5.1050000000000004</v>
      </c>
      <c r="N79" s="632">
        <f t="shared" si="465"/>
        <v>-1.0756094710430049</v>
      </c>
      <c r="O79" s="629">
        <f t="shared" si="466"/>
        <v>-0.50156455404890765</v>
      </c>
      <c r="P79" s="633">
        <f t="shared" si="467"/>
        <v>-0.50810153243422185</v>
      </c>
      <c r="Q79" s="585">
        <f t="shared" si="520"/>
        <v>204.99998339605673</v>
      </c>
      <c r="R79" s="629">
        <f>IF(M79="","",SQRT(N79^2+O79^2))</f>
        <v>1.1868035793995957</v>
      </c>
      <c r="S79" s="634">
        <f>IF(M79="","",P79)</f>
        <v>-0.50810153243422185</v>
      </c>
      <c r="T79" s="635">
        <f>IF(M79="","",X79*COS(RADIANS(W79)))</f>
        <v>-0.50156455404890798</v>
      </c>
      <c r="U79" s="629">
        <f>IF(M79="","",X79*SIN(RADIANS(W79)))</f>
        <v>1.0756094710430049</v>
      </c>
      <c r="V79" s="636">
        <f>IF(M79="","",Y79)</f>
        <v>-0.50810153243422185</v>
      </c>
      <c r="W79" s="585">
        <f t="shared" ref="W79:W129" si="645">IF(M79="","",IF(Q79-$Q$8&lt;0,360+Q79-$Q$8,Q79-$Q$8))</f>
        <v>114.99998339605673</v>
      </c>
      <c r="X79" s="629">
        <f>IF(M79="","",R79)</f>
        <v>1.1868035793995957</v>
      </c>
      <c r="Y79" s="630">
        <f t="shared" si="644"/>
        <v>-0.50810153243422185</v>
      </c>
      <c r="Z79" s="632">
        <f t="shared" si="468"/>
        <v>-0.46892874510133481</v>
      </c>
      <c r="AA79" s="629">
        <f t="shared" si="469"/>
        <v>0.84711619532694482</v>
      </c>
      <c r="AB79" s="629">
        <f t="shared" si="470"/>
        <v>-0.24999996726497561</v>
      </c>
      <c r="AC79" s="636">
        <f>IF(M79="","",SQRT(Z79^2+AA79^2+AB79^2))</f>
        <v>1</v>
      </c>
      <c r="AD79" s="637">
        <f>IF(M79="","",Z79*(1/SQRT(Z79^2+AA79^2+AB79^2)))</f>
        <v>-0.46892874510133481</v>
      </c>
      <c r="AE79" s="629">
        <f>IF(M79="","",AA79*(1/SQRT(Z79^2+AA79^2+AB79^2)))</f>
        <v>0.84711619532694482</v>
      </c>
      <c r="AF79" s="633">
        <f>IF(M79="","",AB79*(1/SQRT(Z79^2+AA79^2+AB79^2)))</f>
        <v>-0.24999996726497561</v>
      </c>
      <c r="AG79" s="602">
        <f>IF(M79="","",DEGREES(ATAN2(-AF79,AE79)))</f>
        <v>73.557675922032189</v>
      </c>
      <c r="AH79" s="603">
        <f>IF(M79="","",DEGREES(ACOS(AD79)))</f>
        <v>117.96478150797752</v>
      </c>
      <c r="AI79" s="585">
        <f>IF(M79="","",DEGREES(-ACOS(-AF79)))</f>
        <v>-75.522489751159469</v>
      </c>
      <c r="AJ79" s="586">
        <f>IF(M79="","",DEGREES(ATAN2(-AE79,AD79)))</f>
        <v>-151.03288695885672</v>
      </c>
      <c r="AK79" s="635">
        <f>IF(M79="","",(COS(RADIANS((90-$Q$8)-W79))*AD79)+(-SIN(RADIANS((90-$Q$8)-W79))*AE79))</f>
        <v>0.9659258360722075</v>
      </c>
      <c r="AL79" s="629">
        <f>IF(M79="","",(SIN(RADIANS((90-$Q$8)-W79))*AD79)+(COS(RADIANS((90-$Q$8)-W79))*AE79))</f>
        <v>6.6987279208206851E-2</v>
      </c>
      <c r="AM79" s="634">
        <f>IF(M79="","",AF79)</f>
        <v>-0.24999996726497561</v>
      </c>
      <c r="AN79" s="581">
        <f>IF(M79="","",DEGREES(ATAN2(-AM79,AL79)))</f>
        <v>14.999997834268195</v>
      </c>
      <c r="AO79" s="582">
        <f t="shared" si="461"/>
        <v>14.99999783426823</v>
      </c>
      <c r="AP79" s="585">
        <f>IF(M79="","",DEGREES(ATAN2(AK79,AL79)))</f>
        <v>3.9671296450865503</v>
      </c>
      <c r="AQ79" s="586">
        <f t="shared" si="471"/>
        <v>1.9201771184520251</v>
      </c>
      <c r="AS79" s="52">
        <f t="shared" si="543"/>
        <v>-245.00001660394327</v>
      </c>
      <c r="AT79" s="72">
        <f t="shared" si="472"/>
        <v>-0.3379626320148168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5.1050000000000004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-1.704770319373013</v>
      </c>
      <c r="C80" s="708">
        <v>-0.79494685386416841</v>
      </c>
      <c r="D80" s="709">
        <v>-0.32210097145652994</v>
      </c>
      <c r="E80" s="710">
        <v>0.46892874510133487</v>
      </c>
      <c r="F80" s="708">
        <v>-0.84711619532694482</v>
      </c>
      <c r="G80" s="711">
        <v>0.24999996726497561</v>
      </c>
      <c r="H80" s="710">
        <v>0.314</v>
      </c>
      <c r="I80" s="708">
        <v>0.52</v>
      </c>
      <c r="J80" s="570">
        <v>5.1079999999999997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5.1079999999999997</v>
      </c>
      <c r="N80" s="632">
        <f t="shared" si="465"/>
        <v>-1.704770319373013</v>
      </c>
      <c r="O80" s="629">
        <f t="shared" si="466"/>
        <v>-0.79494685386416841</v>
      </c>
      <c r="P80" s="633">
        <f t="shared" si="467"/>
        <v>-0.32210097145652994</v>
      </c>
      <c r="Q80" s="585">
        <f t="shared" si="520"/>
        <v>204.99998339605673</v>
      </c>
      <c r="R80" s="629">
        <f t="shared" si="79"/>
        <v>1.8810056731131102</v>
      </c>
      <c r="S80" s="634">
        <f t="shared" si="80"/>
        <v>-0.32210097145652994</v>
      </c>
      <c r="T80" s="635">
        <f t="shared" si="81"/>
        <v>-0.79494685386416908</v>
      </c>
      <c r="U80" s="629">
        <f t="shared" si="82"/>
        <v>1.7047703193730128</v>
      </c>
      <c r="V80" s="636">
        <f t="shared" si="114"/>
        <v>-0.32210097145652994</v>
      </c>
      <c r="W80" s="585">
        <f t="shared" si="645"/>
        <v>114.99998339605673</v>
      </c>
      <c r="X80" s="629">
        <f t="shared" si="83"/>
        <v>1.8810056731131102</v>
      </c>
      <c r="Y80" s="630">
        <f t="shared" si="644"/>
        <v>-0.32210097145652994</v>
      </c>
      <c r="Z80" s="632">
        <f t="shared" si="468"/>
        <v>-0.46892874510133487</v>
      </c>
      <c r="AA80" s="629">
        <f t="shared" si="469"/>
        <v>0.84711619532694482</v>
      </c>
      <c r="AB80" s="629">
        <f t="shared" si="470"/>
        <v>-0.24999996726497561</v>
      </c>
      <c r="AC80" s="636">
        <f t="shared" si="84"/>
        <v>1</v>
      </c>
      <c r="AD80" s="637">
        <f t="shared" si="115"/>
        <v>-0.46892874510133487</v>
      </c>
      <c r="AE80" s="629">
        <f t="shared" si="85"/>
        <v>0.84711619532694482</v>
      </c>
      <c r="AF80" s="633">
        <f t="shared" si="86"/>
        <v>-0.24999996726497561</v>
      </c>
      <c r="AG80" s="602">
        <f t="shared" si="87"/>
        <v>73.557675922032189</v>
      </c>
      <c r="AH80" s="603">
        <f t="shared" si="88"/>
        <v>117.96478150797752</v>
      </c>
      <c r="AI80" s="585">
        <f t="shared" si="89"/>
        <v>-75.522489751159469</v>
      </c>
      <c r="AJ80" s="586">
        <f t="shared" si="90"/>
        <v>-151.03288695885672</v>
      </c>
      <c r="AK80" s="635">
        <f t="shared" si="211"/>
        <v>0.9659258360722075</v>
      </c>
      <c r="AL80" s="629">
        <f t="shared" si="91"/>
        <v>6.6987279208206907E-2</v>
      </c>
      <c r="AM80" s="634">
        <f t="shared" si="92"/>
        <v>-0.24999996726497561</v>
      </c>
      <c r="AN80" s="581">
        <f t="shared" si="93"/>
        <v>14.999997834268207</v>
      </c>
      <c r="AO80" s="582">
        <f t="shared" si="461"/>
        <v>14.99999783426823</v>
      </c>
      <c r="AP80" s="585">
        <f t="shared" si="95"/>
        <v>3.9671296450865539</v>
      </c>
      <c r="AQ80" s="586">
        <f t="shared" si="471"/>
        <v>1.211791510275275</v>
      </c>
      <c r="AS80" s="52">
        <f t="shared" si="543"/>
        <v>-245.00001660394327</v>
      </c>
      <c r="AT80" s="72">
        <f t="shared" si="472"/>
        <v>-0.15196207103712489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5.1079999999999997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-2.345025698161546</v>
      </c>
      <c r="C81" s="708">
        <v>-1.0915101429844212</v>
      </c>
      <c r="D81" s="709">
        <v>-0.13550040866923257</v>
      </c>
      <c r="E81" s="710">
        <v>0.42432998216440687</v>
      </c>
      <c r="F81" s="708">
        <v>-0.86780035246357679</v>
      </c>
      <c r="G81" s="711">
        <v>0.25858579717464425</v>
      </c>
      <c r="H81" s="710">
        <v>0.314</v>
      </c>
      <c r="I81" s="708">
        <v>0.52</v>
      </c>
      <c r="J81" s="570">
        <v>5.1120000000000001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5.1120000000000001</v>
      </c>
      <c r="N81" s="632">
        <f t="shared" si="465"/>
        <v>-2.345025698161546</v>
      </c>
      <c r="O81" s="629">
        <f t="shared" si="466"/>
        <v>-1.0915101429844212</v>
      </c>
      <c r="P81" s="633">
        <f t="shared" si="467"/>
        <v>-0.13550040866923257</v>
      </c>
      <c r="Q81" s="585">
        <f t="shared" si="520"/>
        <v>204.95998340183201</v>
      </c>
      <c r="R81" s="629">
        <f t="shared" si="79"/>
        <v>2.5866078012091274</v>
      </c>
      <c r="S81" s="634">
        <f t="shared" si="80"/>
        <v>-0.13550040866923257</v>
      </c>
      <c r="T81" s="635">
        <f t="shared" si="81"/>
        <v>-1.0915101429844205</v>
      </c>
      <c r="U81" s="629">
        <f t="shared" si="82"/>
        <v>2.345025698161546</v>
      </c>
      <c r="V81" s="636">
        <f t="shared" si="114"/>
        <v>-0.13550040866923257</v>
      </c>
      <c r="W81" s="585">
        <f t="shared" si="645"/>
        <v>114.95998340183201</v>
      </c>
      <c r="X81" s="629">
        <f t="shared" si="83"/>
        <v>2.5866078012091274</v>
      </c>
      <c r="Y81" s="630">
        <f t="shared" si="644"/>
        <v>-0.13550040866923257</v>
      </c>
      <c r="Z81" s="632">
        <f t="shared" si="468"/>
        <v>-0.42432998216440687</v>
      </c>
      <c r="AA81" s="629">
        <f t="shared" si="469"/>
        <v>0.86780035246357679</v>
      </c>
      <c r="AB81" s="629">
        <f t="shared" si="470"/>
        <v>-0.25858579717464425</v>
      </c>
      <c r="AC81" s="636">
        <f t="shared" si="84"/>
        <v>1</v>
      </c>
      <c r="AD81" s="637">
        <f t="shared" si="115"/>
        <v>-0.42432998216440687</v>
      </c>
      <c r="AE81" s="629">
        <f t="shared" si="85"/>
        <v>0.86780035246357679</v>
      </c>
      <c r="AF81" s="633">
        <f t="shared" si="86"/>
        <v>-0.25858579717464425</v>
      </c>
      <c r="AG81" s="602">
        <f t="shared" si="87"/>
        <v>73.407077855408147</v>
      </c>
      <c r="AH81" s="603">
        <f t="shared" si="88"/>
        <v>115.10826083709836</v>
      </c>
      <c r="AI81" s="585">
        <f t="shared" si="89"/>
        <v>-75.013835109581066</v>
      </c>
      <c r="AJ81" s="586">
        <f t="shared" si="90"/>
        <v>-153.94266639005752</v>
      </c>
      <c r="AK81" s="635">
        <f t="shared" si="211"/>
        <v>0.96581113137360619</v>
      </c>
      <c r="AL81" s="629">
        <f t="shared" si="91"/>
        <v>1.8499838226014309E-2</v>
      </c>
      <c r="AM81" s="634">
        <f t="shared" si="92"/>
        <v>-0.25858579717464425</v>
      </c>
      <c r="AN81" s="581">
        <f t="shared" si="93"/>
        <v>4.0921032453729564</v>
      </c>
      <c r="AO81" s="582">
        <f t="shared" si="461"/>
        <v>15.025369499411118</v>
      </c>
      <c r="AP81" s="585">
        <f t="shared" si="95"/>
        <v>1.0973502081104765</v>
      </c>
      <c r="AQ81" s="586">
        <f t="shared" si="471"/>
        <v>0.88128816575889812</v>
      </c>
      <c r="AS81" s="52">
        <f t="shared" si="543"/>
        <v>-245.04001659816799</v>
      </c>
      <c r="AT81" s="72">
        <f t="shared" si="472"/>
        <v>3.4666269523939641E-2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5.1120000000000001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-3.0670826822036528</v>
      </c>
      <c r="C82" s="708">
        <v>-1.3901276847803208</v>
      </c>
      <c r="D82" s="709">
        <v>-0.11040033296740423</v>
      </c>
      <c r="E82" s="710">
        <v>0.3019898327438314</v>
      </c>
      <c r="F82" s="708">
        <v>-0.92162830411650976</v>
      </c>
      <c r="G82" s="711">
        <v>0.24372814767826662</v>
      </c>
      <c r="H82" s="710">
        <v>0.314</v>
      </c>
      <c r="I82" s="708">
        <v>0.52</v>
      </c>
      <c r="J82" s="570">
        <v>5.1180000000000003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5.1180000000000003</v>
      </c>
      <c r="N82" s="632">
        <f t="shared" si="465"/>
        <v>-3.0670826822036528</v>
      </c>
      <c r="O82" s="629">
        <f t="shared" si="466"/>
        <v>-1.3901276847803208</v>
      </c>
      <c r="P82" s="633">
        <f t="shared" si="467"/>
        <v>-0.11040033296740423</v>
      </c>
      <c r="Q82" s="585">
        <f t="shared" si="520"/>
        <v>204.38198348528488</v>
      </c>
      <c r="R82" s="629">
        <f t="shared" si="79"/>
        <v>3.367410156109031</v>
      </c>
      <c r="S82" s="634">
        <f t="shared" si="80"/>
        <v>-0.11040033296740423</v>
      </c>
      <c r="T82" s="635">
        <f t="shared" si="81"/>
        <v>-1.3901276847803208</v>
      </c>
      <c r="U82" s="629">
        <f t="shared" si="82"/>
        <v>3.0670826822036532</v>
      </c>
      <c r="V82" s="636">
        <f t="shared" si="114"/>
        <v>-0.11040033296740423</v>
      </c>
      <c r="W82" s="585">
        <f t="shared" si="645"/>
        <v>114.38198348528488</v>
      </c>
      <c r="X82" s="629">
        <f t="shared" si="83"/>
        <v>3.367410156109031</v>
      </c>
      <c r="Y82" s="630">
        <f t="shared" si="644"/>
        <v>-0.11040033296740423</v>
      </c>
      <c r="Z82" s="632">
        <f t="shared" si="468"/>
        <v>-0.3019898327438314</v>
      </c>
      <c r="AA82" s="629">
        <f t="shared" si="469"/>
        <v>0.92162830411650976</v>
      </c>
      <c r="AB82" s="629">
        <f t="shared" si="470"/>
        <v>-0.24372814767826662</v>
      </c>
      <c r="AC82" s="636">
        <f t="shared" si="84"/>
        <v>1</v>
      </c>
      <c r="AD82" s="637">
        <f t="shared" si="115"/>
        <v>-0.3019898327438314</v>
      </c>
      <c r="AE82" s="629">
        <f t="shared" si="85"/>
        <v>0.92162830411650976</v>
      </c>
      <c r="AF82" s="633">
        <f t="shared" si="86"/>
        <v>-0.24372814767826662</v>
      </c>
      <c r="AG82" s="602">
        <f t="shared" si="87"/>
        <v>75.187016015914082</v>
      </c>
      <c r="AH82" s="603">
        <f t="shared" si="88"/>
        <v>107.57715636113839</v>
      </c>
      <c r="AI82" s="585">
        <f t="shared" si="89"/>
        <v>-75.893316330383314</v>
      </c>
      <c r="AJ82" s="586">
        <f t="shared" si="90"/>
        <v>-161.85758861922261</v>
      </c>
      <c r="AK82" s="635">
        <f t="shared" si="211"/>
        <v>0.96409836862733833</v>
      </c>
      <c r="AL82" s="629">
        <f t="shared" si="91"/>
        <v>-0.105408375565825</v>
      </c>
      <c r="AM82" s="634">
        <f t="shared" si="92"/>
        <v>-0.24372814767826662</v>
      </c>
      <c r="AN82" s="581">
        <f t="shared" si="93"/>
        <v>-23.387680711240453</v>
      </c>
      <c r="AO82" s="582">
        <f t="shared" si="461"/>
        <v>15.399360396347733</v>
      </c>
      <c r="AP82" s="585">
        <f t="shared" si="95"/>
        <v>-6.2395721045074914</v>
      </c>
      <c r="AQ82" s="586">
        <f t="shared" si="471"/>
        <v>0.67696551397586757</v>
      </c>
      <c r="AS82" s="52">
        <f t="shared" si="543"/>
        <v>-245.61801651471512</v>
      </c>
      <c r="AT82" s="72">
        <f t="shared" si="472"/>
        <v>6.0167734056703503E-2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5.1180000000000003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-3.7665638828224481</v>
      </c>
      <c r="C83" s="708">
        <v>-1.6354809435912583</v>
      </c>
      <c r="D83" s="709">
        <v>-0.3643010987321138</v>
      </c>
      <c r="E83" s="710">
        <v>0.18625507488029555</v>
      </c>
      <c r="F83" s="708">
        <v>-0.96703110991778374</v>
      </c>
      <c r="G83" s="711">
        <v>0.17366599993238377</v>
      </c>
      <c r="H83" s="710">
        <v>0.314</v>
      </c>
      <c r="I83" s="708">
        <v>0.52</v>
      </c>
      <c r="J83" s="570">
        <v>5.1239999999999997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5.1239999999999997</v>
      </c>
      <c r="N83" s="632">
        <f t="shared" si="465"/>
        <v>-3.7665638828224481</v>
      </c>
      <c r="O83" s="629">
        <f t="shared" si="466"/>
        <v>-1.6354809435912583</v>
      </c>
      <c r="P83" s="633">
        <f t="shared" si="467"/>
        <v>-0.3643010987321138</v>
      </c>
      <c r="Q83" s="585">
        <f t="shared" si="520"/>
        <v>203.47098361681699</v>
      </c>
      <c r="R83" s="629">
        <f t="shared" si="79"/>
        <v>4.1063123846381524</v>
      </c>
      <c r="S83" s="634">
        <f t="shared" si="80"/>
        <v>-0.3643010987321138</v>
      </c>
      <c r="T83" s="635">
        <f t="shared" si="81"/>
        <v>-1.6354809435912596</v>
      </c>
      <c r="U83" s="629">
        <f t="shared" si="82"/>
        <v>3.7665638828224477</v>
      </c>
      <c r="V83" s="636">
        <f t="shared" si="114"/>
        <v>-0.3643010987321138</v>
      </c>
      <c r="W83" s="585">
        <f t="shared" si="645"/>
        <v>113.47098361681699</v>
      </c>
      <c r="X83" s="629">
        <f t="shared" si="83"/>
        <v>4.1063123846381524</v>
      </c>
      <c r="Y83" s="630">
        <f t="shared" si="644"/>
        <v>-0.3643010987321138</v>
      </c>
      <c r="Z83" s="632">
        <f t="shared" si="468"/>
        <v>-0.18625507488029555</v>
      </c>
      <c r="AA83" s="629">
        <f t="shared" si="469"/>
        <v>0.96703110991778374</v>
      </c>
      <c r="AB83" s="629">
        <f t="shared" si="470"/>
        <v>-0.17366599993238377</v>
      </c>
      <c r="AC83" s="636">
        <f t="shared" si="84"/>
        <v>1</v>
      </c>
      <c r="AD83" s="637">
        <f t="shared" si="115"/>
        <v>-0.18625507488029555</v>
      </c>
      <c r="AE83" s="629">
        <f t="shared" si="85"/>
        <v>0.96703110991778374</v>
      </c>
      <c r="AF83" s="633">
        <f t="shared" si="86"/>
        <v>-0.17366599993238377</v>
      </c>
      <c r="AG83" s="602">
        <f t="shared" si="87"/>
        <v>79.818960857533455</v>
      </c>
      <c r="AH83" s="603">
        <f t="shared" si="88"/>
        <v>100.73431479362463</v>
      </c>
      <c r="AI83" s="585">
        <f t="shared" si="89"/>
        <v>-79.998963105014127</v>
      </c>
      <c r="AJ83" s="586">
        <f t="shared" si="90"/>
        <v>-169.09804414210404</v>
      </c>
      <c r="AK83" s="635">
        <f t="shared" si="211"/>
        <v>0.96120331530591152</v>
      </c>
      <c r="AL83" s="629">
        <f t="shared" si="91"/>
        <v>-0.21430890581683679</v>
      </c>
      <c r="AM83" s="634">
        <f t="shared" si="92"/>
        <v>-0.17366599993238377</v>
      </c>
      <c r="AN83" s="581">
        <f t="shared" si="93"/>
        <v>-50.980295067128949</v>
      </c>
      <c r="AO83" s="582">
        <f t="shared" si="461"/>
        <v>16.0121309007727</v>
      </c>
      <c r="AP83" s="585">
        <f t="shared" si="95"/>
        <v>-12.56902775892104</v>
      </c>
      <c r="AQ83" s="586">
        <f t="shared" si="471"/>
        <v>0.555158759268499</v>
      </c>
      <c r="AS83" s="52">
        <f t="shared" si="543"/>
        <v>-246.52901638318301</v>
      </c>
      <c r="AT83" s="72">
        <f t="shared" si="472"/>
        <v>-0.19310039291045894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5.1239999999999997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>
        <f t="shared" si="542"/>
        <v>1613</v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-4.342155102490918</v>
      </c>
      <c r="C84" s="708">
        <v>-1.8066630797003529</v>
      </c>
      <c r="D84" s="709">
        <v>-0.83930253133643462</v>
      </c>
      <c r="E84" s="710">
        <v>0.13355238900842187</v>
      </c>
      <c r="F84" s="708">
        <v>-0.98223781453403713</v>
      </c>
      <c r="G84" s="711">
        <v>0.13180529234268951</v>
      </c>
      <c r="H84" s="710">
        <v>0.314</v>
      </c>
      <c r="I84" s="708">
        <v>0.52</v>
      </c>
      <c r="J84" s="570">
        <v>5.13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5.13</v>
      </c>
      <c r="N84" s="632">
        <f t="shared" si="465"/>
        <v>-4.342155102490918</v>
      </c>
      <c r="O84" s="629">
        <f t="shared" si="466"/>
        <v>-1.8066630797003529</v>
      </c>
      <c r="P84" s="633">
        <f t="shared" si="467"/>
        <v>-0.83930253133643462</v>
      </c>
      <c r="Q84" s="585">
        <f t="shared" si="520"/>
        <v>202.59098374387324</v>
      </c>
      <c r="R84" s="629">
        <f t="shared" si="79"/>
        <v>4.7030141842907804</v>
      </c>
      <c r="S84" s="634">
        <f t="shared" si="80"/>
        <v>-0.83930253133643462</v>
      </c>
      <c r="T84" s="635">
        <f t="shared" si="81"/>
        <v>-1.8066630797003529</v>
      </c>
      <c r="U84" s="629">
        <f t="shared" si="82"/>
        <v>4.342155102490918</v>
      </c>
      <c r="V84" s="636">
        <f t="shared" si="114"/>
        <v>-0.83930253133643462</v>
      </c>
      <c r="W84" s="585">
        <f t="shared" si="645"/>
        <v>112.59098374387324</v>
      </c>
      <c r="X84" s="629">
        <f t="shared" si="83"/>
        <v>4.7030141842907804</v>
      </c>
      <c r="Y84" s="630">
        <f t="shared" si="644"/>
        <v>-0.83930253133643462</v>
      </c>
      <c r="Z84" s="632">
        <f t="shared" si="468"/>
        <v>-0.13355238900842187</v>
      </c>
      <c r="AA84" s="629">
        <f t="shared" si="469"/>
        <v>0.98223781453403713</v>
      </c>
      <c r="AB84" s="629">
        <f t="shared" si="470"/>
        <v>-0.13180529234268951</v>
      </c>
      <c r="AC84" s="636">
        <f t="shared" si="84"/>
        <v>1</v>
      </c>
      <c r="AD84" s="637">
        <f t="shared" si="115"/>
        <v>-0.13355238900842187</v>
      </c>
      <c r="AE84" s="629">
        <f t="shared" si="85"/>
        <v>0.98223781453403713</v>
      </c>
      <c r="AF84" s="633">
        <f t="shared" si="86"/>
        <v>-0.13180529234268951</v>
      </c>
      <c r="AG84" s="602">
        <f t="shared" si="87"/>
        <v>82.357204781211081</v>
      </c>
      <c r="AH84" s="603">
        <f t="shared" si="88"/>
        <v>97.674919888871898</v>
      </c>
      <c r="AI84" s="585">
        <f t="shared" si="89"/>
        <v>-82.426074271250087</v>
      </c>
      <c r="AJ84" s="586">
        <f t="shared" si="90"/>
        <v>-172.25711953588208</v>
      </c>
      <c r="AK84" s="635">
        <f t="shared" si="211"/>
        <v>0.95817553000753897</v>
      </c>
      <c r="AL84" s="629">
        <f t="shared" si="91"/>
        <v>-0.25402168924174606</v>
      </c>
      <c r="AM84" s="634">
        <f t="shared" si="92"/>
        <v>-0.13180529234268951</v>
      </c>
      <c r="AN84" s="581">
        <f t="shared" si="93"/>
        <v>-62.576367504741519</v>
      </c>
      <c r="AO84" s="582">
        <f t="shared" si="461"/>
        <v>16.629464856228857</v>
      </c>
      <c r="AP84" s="585">
        <f t="shared" si="95"/>
        <v>-14.848103279755341</v>
      </c>
      <c r="AQ84" s="586">
        <f t="shared" si="471"/>
        <v>0.48472578514227105</v>
      </c>
      <c r="AS84" s="52">
        <f t="shared" si="543"/>
        <v>-247.40901625612676</v>
      </c>
      <c r="AT84" s="72">
        <f t="shared" si="472"/>
        <v>-0.66749071449190212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5.13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-4.7880308983850979</v>
      </c>
      <c r="C85" s="708">
        <v>-1.9209897605689865</v>
      </c>
      <c r="D85" s="709">
        <v>-1.4525043807532123</v>
      </c>
      <c r="E85" s="710">
        <v>8.2425921162982391E-2</v>
      </c>
      <c r="F85" s="708">
        <v>-0.99148424530223589</v>
      </c>
      <c r="G85" s="711">
        <v>0.10082142053100457</v>
      </c>
      <c r="H85" s="710">
        <v>0.314</v>
      </c>
      <c r="I85" s="708">
        <v>0.52</v>
      </c>
      <c r="J85" s="570">
        <v>5.1360000000000001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5.1360000000000001</v>
      </c>
      <c r="N85" s="632">
        <f t="shared" si="465"/>
        <v>-4.7880308983850979</v>
      </c>
      <c r="O85" s="629">
        <f t="shared" si="466"/>
        <v>-1.9209897605689865</v>
      </c>
      <c r="P85" s="633">
        <f t="shared" si="467"/>
        <v>-1.4525043807532123</v>
      </c>
      <c r="Q85" s="585">
        <f t="shared" si="520"/>
        <v>201.86098384927217</v>
      </c>
      <c r="R85" s="629">
        <f t="shared" si="79"/>
        <v>5.1590155595909284</v>
      </c>
      <c r="S85" s="634">
        <f t="shared" si="80"/>
        <v>-1.4525043807532123</v>
      </c>
      <c r="T85" s="635">
        <f t="shared" si="81"/>
        <v>-1.9209897605689863</v>
      </c>
      <c r="U85" s="629">
        <f t="shared" si="82"/>
        <v>4.7880308983850979</v>
      </c>
      <c r="V85" s="636">
        <f t="shared" si="114"/>
        <v>-1.4525043807532123</v>
      </c>
      <c r="W85" s="585">
        <f t="shared" si="645"/>
        <v>111.86098384927217</v>
      </c>
      <c r="X85" s="629">
        <f t="shared" si="83"/>
        <v>5.1590155595909284</v>
      </c>
      <c r="Y85" s="630">
        <f t="shared" si="644"/>
        <v>-1.4525043807532123</v>
      </c>
      <c r="Z85" s="632">
        <f t="shared" si="468"/>
        <v>-8.2425921162982391E-2</v>
      </c>
      <c r="AA85" s="629">
        <f t="shared" si="469"/>
        <v>0.99148424530223589</v>
      </c>
      <c r="AB85" s="629">
        <f t="shared" si="470"/>
        <v>-0.10082142053100457</v>
      </c>
      <c r="AC85" s="636">
        <f t="shared" si="84"/>
        <v>1</v>
      </c>
      <c r="AD85" s="637">
        <f t="shared" si="115"/>
        <v>-8.2425921162982391E-2</v>
      </c>
      <c r="AE85" s="629">
        <f t="shared" si="85"/>
        <v>0.99148424530223589</v>
      </c>
      <c r="AF85" s="633">
        <f t="shared" si="86"/>
        <v>-0.10082142053100457</v>
      </c>
      <c r="AG85" s="602">
        <f t="shared" si="87"/>
        <v>84.193701253719695</v>
      </c>
      <c r="AH85" s="603">
        <f t="shared" si="88"/>
        <v>94.728021468951425</v>
      </c>
      <c r="AI85" s="585">
        <f t="shared" si="89"/>
        <v>-84.213526525856508</v>
      </c>
      <c r="AJ85" s="586">
        <f t="shared" si="90"/>
        <v>-175.24770815551514</v>
      </c>
      <c r="AK85" s="635">
        <f t="shared" si="211"/>
        <v>0.95087841772620441</v>
      </c>
      <c r="AL85" s="629">
        <f t="shared" si="91"/>
        <v>-0.2926863096638111</v>
      </c>
      <c r="AM85" s="634">
        <f t="shared" si="92"/>
        <v>-0.10082142053100457</v>
      </c>
      <c r="AN85" s="581">
        <f t="shared" si="93"/>
        <v>-70.992747579317253</v>
      </c>
      <c r="AO85" s="582">
        <f t="shared" si="461"/>
        <v>18.032992563412815</v>
      </c>
      <c r="AP85" s="585">
        <f t="shared" si="95"/>
        <v>-17.108692004787304</v>
      </c>
      <c r="AQ85" s="586">
        <f t="shared" si="471"/>
        <v>0.44188303102116155</v>
      </c>
      <c r="AS85" s="52">
        <f t="shared" si="543"/>
        <v>-248.13901615072783</v>
      </c>
      <c r="AT85" s="72">
        <f t="shared" si="472"/>
        <v>-1.280185619537429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5.1360000000000001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-5.1151646222624212</v>
      </c>
      <c r="C86" s="708">
        <v>-1.9949348058405985</v>
      </c>
      <c r="D86" s="709">
        <v>-2.1417064593866817</v>
      </c>
      <c r="E86" s="710">
        <v>4.1627673688134831E-2</v>
      </c>
      <c r="F86" s="708">
        <v>-0.99685710232512026</v>
      </c>
      <c r="G86" s="711">
        <v>6.7402183401421567E-2</v>
      </c>
      <c r="H86" s="710">
        <v>0.314</v>
      </c>
      <c r="I86" s="708">
        <v>0.52</v>
      </c>
      <c r="J86" s="570">
        <v>5.1420000000000003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5.1420000000000003</v>
      </c>
      <c r="N86" s="632">
        <f t="shared" si="465"/>
        <v>-5.1151646222624212</v>
      </c>
      <c r="O86" s="629">
        <f t="shared" si="466"/>
        <v>-1.9949348058405985</v>
      </c>
      <c r="P86" s="633">
        <f t="shared" si="467"/>
        <v>-2.1417064593866817</v>
      </c>
      <c r="Q86" s="585">
        <f t="shared" si="520"/>
        <v>201.30598392940425</v>
      </c>
      <c r="R86" s="629">
        <f t="shared" si="79"/>
        <v>5.4904165590963432</v>
      </c>
      <c r="S86" s="634">
        <f t="shared" si="80"/>
        <v>-2.1417064593866817</v>
      </c>
      <c r="T86" s="635">
        <f t="shared" si="81"/>
        <v>-1.9949348058405978</v>
      </c>
      <c r="U86" s="629">
        <f t="shared" si="82"/>
        <v>5.1151646222624221</v>
      </c>
      <c r="V86" s="636">
        <f t="shared" si="114"/>
        <v>-2.1417064593866817</v>
      </c>
      <c r="W86" s="585">
        <f t="shared" si="645"/>
        <v>111.30598392940425</v>
      </c>
      <c r="X86" s="629">
        <f t="shared" si="83"/>
        <v>5.4904165590963432</v>
      </c>
      <c r="Y86" s="630">
        <f t="shared" si="644"/>
        <v>-2.1417064593866817</v>
      </c>
      <c r="Z86" s="632">
        <f t="shared" si="468"/>
        <v>-4.1627673688134831E-2</v>
      </c>
      <c r="AA86" s="629">
        <f t="shared" si="469"/>
        <v>0.99685710232512026</v>
      </c>
      <c r="AB86" s="629">
        <f t="shared" si="470"/>
        <v>-6.7402183401421567E-2</v>
      </c>
      <c r="AC86" s="636">
        <f t="shared" si="84"/>
        <v>1</v>
      </c>
      <c r="AD86" s="637">
        <f t="shared" si="115"/>
        <v>-4.1627673688134831E-2</v>
      </c>
      <c r="AE86" s="629">
        <f t="shared" si="85"/>
        <v>0.99685710232512026</v>
      </c>
      <c r="AF86" s="633">
        <f t="shared" si="86"/>
        <v>-6.7402183401421567E-2</v>
      </c>
      <c r="AG86" s="602">
        <f t="shared" si="87"/>
        <v>86.131851223559721</v>
      </c>
      <c r="AH86" s="603">
        <f t="shared" si="88"/>
        <v>92.385779390106819</v>
      </c>
      <c r="AI86" s="585">
        <f t="shared" si="89"/>
        <v>-86.135209259831726</v>
      </c>
      <c r="AJ86" s="586">
        <f t="shared" si="90"/>
        <v>-177.60877955585718</v>
      </c>
      <c r="AK86" s="635">
        <f t="shared" si="211"/>
        <v>0.94385054806188295</v>
      </c>
      <c r="AL86" s="629">
        <f t="shared" si="91"/>
        <v>-0.32342400745152522</v>
      </c>
      <c r="AM86" s="634">
        <f t="shared" si="92"/>
        <v>-6.7402183401421567E-2</v>
      </c>
      <c r="AN86" s="581">
        <f t="shared" si="93"/>
        <v>-78.227944982379512</v>
      </c>
      <c r="AO86" s="582">
        <f t="shared" si="461"/>
        <v>19.291400441048786</v>
      </c>
      <c r="AP86" s="585">
        <f t="shared" si="95"/>
        <v>-18.914763485261407</v>
      </c>
      <c r="AQ86" s="586">
        <f t="shared" si="471"/>
        <v>0.41521197884339067</v>
      </c>
      <c r="AS86" s="52">
        <f t="shared" si="543"/>
        <v>-248.69401607059575</v>
      </c>
      <c r="AT86" s="72">
        <f t="shared" si="472"/>
        <v>-1.9690022815598791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5.1420000000000003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-5.3372779505849808</v>
      </c>
      <c r="C87" s="708">
        <v>-2.040455101848567</v>
      </c>
      <c r="D87" s="709">
        <v>-2.8733086658989366</v>
      </c>
      <c r="E87" s="710">
        <v>1.016543479590898E-2</v>
      </c>
      <c r="F87" s="708">
        <v>-0.99942324143779593</v>
      </c>
      <c r="G87" s="711">
        <v>3.2401364313548162E-2</v>
      </c>
      <c r="H87" s="710">
        <v>0.314</v>
      </c>
      <c r="I87" s="708">
        <v>0.52</v>
      </c>
      <c r="J87" s="570">
        <v>5.1479999999999997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5.1479999999999997</v>
      </c>
      <c r="N87" s="632">
        <f t="shared" si="465"/>
        <v>-5.3372779505849808</v>
      </c>
      <c r="O87" s="629">
        <f t="shared" si="466"/>
        <v>-2.040455101848567</v>
      </c>
      <c r="P87" s="633">
        <f t="shared" si="467"/>
        <v>-2.8733086658989366</v>
      </c>
      <c r="Q87" s="585">
        <f t="shared" si="520"/>
        <v>200.92198398484697</v>
      </c>
      <c r="R87" s="629">
        <f t="shared" si="79"/>
        <v>5.7140172334759773</v>
      </c>
      <c r="S87" s="634">
        <f t="shared" si="80"/>
        <v>-2.8733086658989366</v>
      </c>
      <c r="T87" s="635">
        <f t="shared" si="81"/>
        <v>-2.0404551018485662</v>
      </c>
      <c r="U87" s="629">
        <f t="shared" si="82"/>
        <v>5.3372779505849817</v>
      </c>
      <c r="V87" s="636">
        <f t="shared" si="114"/>
        <v>-2.8733086658989366</v>
      </c>
      <c r="W87" s="585">
        <f t="shared" si="645"/>
        <v>110.92198398484697</v>
      </c>
      <c r="X87" s="629">
        <f t="shared" si="83"/>
        <v>5.7140172334759773</v>
      </c>
      <c r="Y87" s="630">
        <f t="shared" si="644"/>
        <v>-2.8733086658989366</v>
      </c>
      <c r="Z87" s="632">
        <f t="shared" si="468"/>
        <v>-1.016543479590898E-2</v>
      </c>
      <c r="AA87" s="629">
        <f t="shared" si="469"/>
        <v>0.99942324143779593</v>
      </c>
      <c r="AB87" s="629">
        <f t="shared" si="470"/>
        <v>-3.2401364313548162E-2</v>
      </c>
      <c r="AC87" s="636">
        <f t="shared" si="84"/>
        <v>1</v>
      </c>
      <c r="AD87" s="637">
        <f t="shared" si="115"/>
        <v>-1.016543479590898E-2</v>
      </c>
      <c r="AE87" s="629">
        <f t="shared" si="85"/>
        <v>0.99942324143779593</v>
      </c>
      <c r="AF87" s="633">
        <f t="shared" si="86"/>
        <v>-3.2401364313548162E-2</v>
      </c>
      <c r="AG87" s="602">
        <f t="shared" si="87"/>
        <v>88.143117609424024</v>
      </c>
      <c r="AH87" s="603">
        <f t="shared" si="88"/>
        <v>90.582446542303643</v>
      </c>
      <c r="AI87" s="585">
        <f t="shared" si="89"/>
        <v>-88.143213586964293</v>
      </c>
      <c r="AJ87" s="586">
        <f t="shared" si="90"/>
        <v>-179.41724746591308</v>
      </c>
      <c r="AK87" s="635">
        <f t="shared" si="211"/>
        <v>0.93715883664956978</v>
      </c>
      <c r="AL87" s="629">
        <f t="shared" si="91"/>
        <v>-0.34739525972621704</v>
      </c>
      <c r="AM87" s="634">
        <f t="shared" si="92"/>
        <v>-3.2401364313548162E-2</v>
      </c>
      <c r="AN87" s="581">
        <f t="shared" si="93"/>
        <v>-84.671469856442215</v>
      </c>
      <c r="AO87" s="582">
        <f t="shared" si="461"/>
        <v>20.420233377200791</v>
      </c>
      <c r="AP87" s="585">
        <f t="shared" si="95"/>
        <v>-20.339231450760064</v>
      </c>
      <c r="AQ87" s="586">
        <f t="shared" si="471"/>
        <v>0.39896445760779597</v>
      </c>
      <c r="AS87" s="52">
        <f t="shared" si="543"/>
        <v>-249.07801601515303</v>
      </c>
      <c r="AT87" s="72">
        <f t="shared" si="472"/>
        <v>-2.7003378214439691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5.1479999999999997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-5.4639096034967078</v>
      </c>
      <c r="C88" s="708">
        <v>-2.0647466288110192</v>
      </c>
      <c r="D88" s="709">
        <v>-3.6279109417794007</v>
      </c>
      <c r="E88" s="710">
        <v>-2.8220814041276875E-2</v>
      </c>
      <c r="F88" s="708">
        <v>-0.99959302551659968</v>
      </c>
      <c r="G88" s="711">
        <v>4.1676124361863954E-3</v>
      </c>
      <c r="H88" s="710">
        <v>0.314</v>
      </c>
      <c r="I88" s="708">
        <v>0.52</v>
      </c>
      <c r="J88" s="570">
        <v>5.1539999999999999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5.1539999999999999</v>
      </c>
      <c r="N88" s="632">
        <f t="shared" si="465"/>
        <v>-5.4639096034967078</v>
      </c>
      <c r="O88" s="629">
        <f t="shared" si="466"/>
        <v>-2.0647466288110192</v>
      </c>
      <c r="P88" s="633">
        <f t="shared" si="467"/>
        <v>-3.6279109417794007</v>
      </c>
      <c r="Q88" s="585">
        <f t="shared" si="520"/>
        <v>200.70098401675546</v>
      </c>
      <c r="R88" s="629">
        <f t="shared" si="79"/>
        <v>5.8410176165091325</v>
      </c>
      <c r="S88" s="634">
        <f t="shared" si="80"/>
        <v>-3.6279109417794007</v>
      </c>
      <c r="T88" s="635">
        <f t="shared" si="81"/>
        <v>-2.064746628811021</v>
      </c>
      <c r="U88" s="629">
        <f t="shared" si="82"/>
        <v>5.4639096034967078</v>
      </c>
      <c r="V88" s="636">
        <f t="shared" si="114"/>
        <v>-3.6279109417794007</v>
      </c>
      <c r="W88" s="585">
        <f t="shared" si="645"/>
        <v>110.70098401675546</v>
      </c>
      <c r="X88" s="629">
        <f t="shared" si="83"/>
        <v>5.8410176165091325</v>
      </c>
      <c r="Y88" s="630">
        <f t="shared" si="644"/>
        <v>-3.6279109417794007</v>
      </c>
      <c r="Z88" s="632">
        <f t="shared" si="468"/>
        <v>2.8220814041276875E-2</v>
      </c>
      <c r="AA88" s="629">
        <f t="shared" si="469"/>
        <v>0.99959302551659968</v>
      </c>
      <c r="AB88" s="629">
        <f t="shared" si="470"/>
        <v>-4.1676124361863954E-3</v>
      </c>
      <c r="AC88" s="636">
        <f t="shared" si="84"/>
        <v>1</v>
      </c>
      <c r="AD88" s="637">
        <f t="shared" si="115"/>
        <v>2.8220814041276875E-2</v>
      </c>
      <c r="AE88" s="629">
        <f t="shared" si="85"/>
        <v>0.99959302551659968</v>
      </c>
      <c r="AF88" s="633">
        <f t="shared" si="86"/>
        <v>-4.1676124361863954E-3</v>
      </c>
      <c r="AG88" s="602">
        <f t="shared" si="87"/>
        <v>89.76111756130905</v>
      </c>
      <c r="AH88" s="603">
        <f t="shared" si="88"/>
        <v>88.382851759211917</v>
      </c>
      <c r="AI88" s="585">
        <f t="shared" si="89"/>
        <v>-89.761212705507731</v>
      </c>
      <c r="AJ88" s="586">
        <f t="shared" si="90"/>
        <v>178.3828377111798</v>
      </c>
      <c r="AK88" s="635">
        <f t="shared" si="211"/>
        <v>0.92508145939881392</v>
      </c>
      <c r="AL88" s="629">
        <f t="shared" si="91"/>
        <v>-0.37974586828975837</v>
      </c>
      <c r="AM88" s="634">
        <f t="shared" si="92"/>
        <v>-4.1676124361863954E-3</v>
      </c>
      <c r="AN88" s="581">
        <f t="shared" si="93"/>
        <v>-89.371218920355886</v>
      </c>
      <c r="AO88" s="582">
        <f t="shared" si="461"/>
        <v>22.319358423579612</v>
      </c>
      <c r="AP88" s="585">
        <f t="shared" si="95"/>
        <v>-22.318146305575656</v>
      </c>
      <c r="AQ88" s="586">
        <f t="shared" si="471"/>
        <v>0.39029010367431993</v>
      </c>
      <c r="AS88" s="52">
        <f t="shared" si="543"/>
        <v>-249.29901598324454</v>
      </c>
      <c r="AT88" s="72">
        <f t="shared" si="472"/>
        <v>-3.4547866251243695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5.1539999999999999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-5.5668798434380555</v>
      </c>
      <c r="C89" s="708">
        <v>-2.0863541906213174</v>
      </c>
      <c r="D89" s="709">
        <v>-4.4008132728528304</v>
      </c>
      <c r="E89" s="710">
        <v>-0.34316885170540046</v>
      </c>
      <c r="F89" s="708">
        <v>-0.93342178963742706</v>
      </c>
      <c r="G89" s="711">
        <v>0.10468477372216049</v>
      </c>
      <c r="H89" s="710">
        <v>0.26600000000000001</v>
      </c>
      <c r="I89" s="708">
        <v>0.52</v>
      </c>
      <c r="J89" s="570">
        <v>5.16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5.16</v>
      </c>
      <c r="N89" s="632">
        <f t="shared" si="465"/>
        <v>-5.5668798434380555</v>
      </c>
      <c r="O89" s="629">
        <f t="shared" si="466"/>
        <v>-2.0863541906213174</v>
      </c>
      <c r="P89" s="633">
        <f t="shared" si="467"/>
        <v>-4.4008132728528304</v>
      </c>
      <c r="Q89" s="585">
        <f t="shared" si="520"/>
        <v>200.54498403927909</v>
      </c>
      <c r="R89" s="629">
        <f t="shared" si="79"/>
        <v>5.9450000000000029</v>
      </c>
      <c r="S89" s="634">
        <f t="shared" si="80"/>
        <v>-4.4008132728528304</v>
      </c>
      <c r="T89" s="635">
        <f t="shared" si="81"/>
        <v>-2.0863541906213183</v>
      </c>
      <c r="U89" s="629">
        <f t="shared" si="82"/>
        <v>5.5668798434380546</v>
      </c>
      <c r="V89" s="636">
        <f t="shared" si="114"/>
        <v>-4.4008132728528304</v>
      </c>
      <c r="W89" s="585">
        <f t="shared" si="645"/>
        <v>110.54498403927909</v>
      </c>
      <c r="X89" s="629">
        <f t="shared" si="83"/>
        <v>5.9450000000000029</v>
      </c>
      <c r="Y89" s="630">
        <f t="shared" si="644"/>
        <v>-4.4008132728528304</v>
      </c>
      <c r="Z89" s="632">
        <f t="shared" si="468"/>
        <v>0.34316885170540046</v>
      </c>
      <c r="AA89" s="629">
        <f t="shared" si="469"/>
        <v>0.93342178963742706</v>
      </c>
      <c r="AB89" s="629">
        <f t="shared" si="470"/>
        <v>-0.10468477372216049</v>
      </c>
      <c r="AC89" s="636">
        <f t="shared" si="84"/>
        <v>1</v>
      </c>
      <c r="AD89" s="637">
        <f t="shared" si="115"/>
        <v>0.34316885170540046</v>
      </c>
      <c r="AE89" s="629">
        <f t="shared" si="85"/>
        <v>0.93342178963742706</v>
      </c>
      <c r="AF89" s="633">
        <f t="shared" si="86"/>
        <v>-0.10468477372216049</v>
      </c>
      <c r="AG89" s="602">
        <f t="shared" si="87"/>
        <v>83.600924788122896</v>
      </c>
      <c r="AH89" s="603">
        <f t="shared" si="88"/>
        <v>69.929944318763447</v>
      </c>
      <c r="AI89" s="585">
        <f t="shared" si="89"/>
        <v>-83.990994664481434</v>
      </c>
      <c r="AJ89" s="586">
        <f t="shared" si="90"/>
        <v>159.81424694904271</v>
      </c>
      <c r="AK89" s="635">
        <f t="shared" si="211"/>
        <v>0.7536207189759796</v>
      </c>
      <c r="AL89" s="629">
        <f t="shared" si="91"/>
        <v>-0.64891980250325842</v>
      </c>
      <c r="AM89" s="634">
        <f t="shared" si="92"/>
        <v>-0.10468477372216049</v>
      </c>
      <c r="AN89" s="581">
        <f t="shared" si="93"/>
        <v>-80.835906946545592</v>
      </c>
      <c r="AO89" s="582">
        <f t="shared" si="461"/>
        <v>41.095003248590587</v>
      </c>
      <c r="AP89" s="585">
        <f t="shared" si="95"/>
        <v>-40.730737090236381</v>
      </c>
      <c r="AQ89" s="586">
        <f t="shared" si="471"/>
        <v>0.3834638509279179</v>
      </c>
      <c r="AS89" s="52">
        <f t="shared" si="543"/>
        <v>-249.45501596072091</v>
      </c>
      <c r="AT89" s="72">
        <f t="shared" si="472"/>
        <v>-4.2275806228801072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5.16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>
        <f t="shared" si="542"/>
        <v>1313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-1.8670402927722169</v>
      </c>
      <c r="C90" s="708">
        <v>0.1188714377165425</v>
      </c>
      <c r="D90" s="709">
        <v>-0.33591562873665359</v>
      </c>
      <c r="E90" s="710">
        <v>0.25829600114308521</v>
      </c>
      <c r="F90" s="708">
        <v>-1.644551615931969E-2</v>
      </c>
      <c r="G90" s="711">
        <v>0.96592583607218263</v>
      </c>
      <c r="H90" s="710">
        <v>0.26250000000000001</v>
      </c>
      <c r="I90" s="708">
        <v>0.40699999999999997</v>
      </c>
      <c r="J90" s="570">
        <v>5.2080000000000002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5.2080000000000002</v>
      </c>
      <c r="N90" s="632">
        <f t="shared" si="465"/>
        <v>-1.8670402927722169</v>
      </c>
      <c r="O90" s="629">
        <f t="shared" si="466"/>
        <v>0.1188714377165425</v>
      </c>
      <c r="P90" s="633">
        <f t="shared" si="467"/>
        <v>-0.33591562873665359</v>
      </c>
      <c r="Q90" s="585">
        <f t="shared" si="520"/>
        <v>176.35698753159366</v>
      </c>
      <c r="R90" s="629">
        <f t="shared" si="79"/>
        <v>1.870820641734467</v>
      </c>
      <c r="S90" s="634">
        <f t="shared" si="80"/>
        <v>-0.33591562873665359</v>
      </c>
      <c r="T90" s="635">
        <f t="shared" si="81"/>
        <v>0.11887143771654232</v>
      </c>
      <c r="U90" s="629">
        <f t="shared" si="82"/>
        <v>1.8670402927722167</v>
      </c>
      <c r="V90" s="636">
        <f t="shared" si="114"/>
        <v>-0.33591562873665359</v>
      </c>
      <c r="W90" s="585">
        <f t="shared" si="645"/>
        <v>86.35698753159366</v>
      </c>
      <c r="X90" s="629">
        <f t="shared" si="83"/>
        <v>1.870820641734467</v>
      </c>
      <c r="Y90" s="630">
        <f t="shared" si="644"/>
        <v>-0.33591562873665359</v>
      </c>
      <c r="Z90" s="632">
        <f t="shared" si="468"/>
        <v>-0.25829600114308521</v>
      </c>
      <c r="AA90" s="629">
        <f t="shared" si="469"/>
        <v>1.644551615931969E-2</v>
      </c>
      <c r="AB90" s="629">
        <f t="shared" si="470"/>
        <v>-0.96592583607218263</v>
      </c>
      <c r="AC90" s="636">
        <f t="shared" si="84"/>
        <v>1</v>
      </c>
      <c r="AD90" s="637">
        <f t="shared" si="115"/>
        <v>-0.25829600114308521</v>
      </c>
      <c r="AE90" s="629">
        <f t="shared" si="85"/>
        <v>1.644551615931969E-2</v>
      </c>
      <c r="AF90" s="633">
        <f t="shared" si="86"/>
        <v>-0.96592583607218263</v>
      </c>
      <c r="AG90" s="602">
        <f t="shared" si="87"/>
        <v>0.97540370434230961</v>
      </c>
      <c r="AH90" s="603">
        <f t="shared" si="88"/>
        <v>104.96897687353577</v>
      </c>
      <c r="AI90" s="585">
        <f t="shared" si="89"/>
        <v>-14.999997834273739</v>
      </c>
      <c r="AJ90" s="586">
        <f t="shared" si="90"/>
        <v>-93.643062674882543</v>
      </c>
      <c r="AK90" s="635">
        <f t="shared" si="211"/>
        <v>2.2679489673771425E-7</v>
      </c>
      <c r="AL90" s="629">
        <f t="shared" si="91"/>
        <v>0.25881900859133911</v>
      </c>
      <c r="AM90" s="634">
        <f t="shared" si="92"/>
        <v>-0.96592583607218263</v>
      </c>
      <c r="AN90" s="581">
        <f t="shared" si="93"/>
        <v>14.999997834268259</v>
      </c>
      <c r="AO90" s="582">
        <f t="shared" si="461"/>
        <v>0</v>
      </c>
      <c r="AP90" s="585">
        <f t="shared" si="95"/>
        <v>89.999949793523797</v>
      </c>
      <c r="AQ90" s="586">
        <f t="shared" si="471"/>
        <v>1.2183867038445182</v>
      </c>
      <c r="AS90" s="52">
        <f t="shared" si="543"/>
        <v>-273.64301246840637</v>
      </c>
      <c r="AT90" s="72">
        <f t="shared" si="472"/>
        <v>-0.14588575896692693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5.2080000000000002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5.1079999999999997</v>
      </c>
      <c r="II90" s="734" cm="1">
        <f t="array" ref="II90">IFERROR(IF($IH90&lt;1,$IH90+LARGE((IF($M$9:$M$150="",0,$M$9:$M$150)-MOD(IF($M$9:$M$150="",0,$M$9:$M$150),1)),1),$IH90),"")</f>
        <v>5.1079999999999997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28.642995864463074</v>
      </c>
      <c r="IM90" s="759">
        <v>4.2778485932858899E-2</v>
      </c>
      <c r="IN90" s="5">
        <f t="shared" si="648"/>
        <v>0.66</v>
      </c>
      <c r="IO90" s="771">
        <v>330</v>
      </c>
      <c r="IP90" s="9">
        <f t="shared" si="649"/>
        <v>-1.8810056731131102</v>
      </c>
      <c r="IQ90" s="5">
        <f t="shared" si="650"/>
        <v>-0.32210097145652994</v>
      </c>
      <c r="IR90" s="5">
        <f t="shared" si="518"/>
        <v>0.314</v>
      </c>
      <c r="IS90" s="5">
        <f t="shared" si="651"/>
        <v>0.30330071252667318</v>
      </c>
      <c r="IT90" s="727">
        <f t="shared" si="652"/>
        <v>-14.999997834268207</v>
      </c>
      <c r="IU90" s="9">
        <f t="shared" si="653"/>
        <v>-1.870820641734467</v>
      </c>
      <c r="IV90" s="5">
        <f t="shared" si="654"/>
        <v>-0.33591562873665359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-14.999997834268259</v>
      </c>
    </row>
    <row r="91" spans="1:259" ht="15" customHeight="1" x14ac:dyDescent="0.25">
      <c r="A91" s="79"/>
      <c r="B91" s="707">
        <v>-2.5799113546860153</v>
      </c>
      <c r="C91" s="708">
        <v>-8.9731229838973442E-2</v>
      </c>
      <c r="D91" s="709">
        <v>-0.14200526785396603</v>
      </c>
      <c r="E91" s="710">
        <v>0.13044730416705277</v>
      </c>
      <c r="F91" s="708">
        <v>4.5368270294644858E-3</v>
      </c>
      <c r="G91" s="711">
        <v>0.99144486384067432</v>
      </c>
      <c r="H91" s="710">
        <v>0.26250000000000001</v>
      </c>
      <c r="I91" s="708">
        <v>0.40699999999999997</v>
      </c>
      <c r="J91" s="570">
        <v>5.2119999999999997</v>
      </c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Inactive</v>
      </c>
      <c r="L91" s="320"/>
      <c r="M91" s="168">
        <f t="shared" si="464"/>
        <v>5.2119999999999997</v>
      </c>
      <c r="N91" s="632">
        <f t="shared" si="465"/>
        <v>-2.5799113546860153</v>
      </c>
      <c r="O91" s="629">
        <f t="shared" si="466"/>
        <v>-8.9731229838973442E-2</v>
      </c>
      <c r="P91" s="633">
        <f t="shared" si="467"/>
        <v>-0.14200526785396603</v>
      </c>
      <c r="Q91" s="585">
        <f t="shared" si="520"/>
        <v>181.99198671800045</v>
      </c>
      <c r="R91" s="629">
        <f t="shared" si="79"/>
        <v>2.5814713424026703</v>
      </c>
      <c r="S91" s="634">
        <f t="shared" si="80"/>
        <v>-0.14200526785396603</v>
      </c>
      <c r="T91" s="635">
        <f t="shared" si="81"/>
        <v>-8.9731229838974205E-2</v>
      </c>
      <c r="U91" s="629">
        <f t="shared" si="82"/>
        <v>2.5799113546860153</v>
      </c>
      <c r="V91" s="636">
        <f t="shared" si="114"/>
        <v>-0.14200526785396603</v>
      </c>
      <c r="W91" s="585">
        <f t="shared" si="645"/>
        <v>91.991986718000447</v>
      </c>
      <c r="X91" s="629">
        <f t="shared" si="83"/>
        <v>2.5814713424026703</v>
      </c>
      <c r="Y91" s="630">
        <f t="shared" si="644"/>
        <v>-0.14200526785396603</v>
      </c>
      <c r="Z91" s="632">
        <f t="shared" si="468"/>
        <v>-0.13044730416705277</v>
      </c>
      <c r="AA91" s="629">
        <f t="shared" si="469"/>
        <v>-4.5368270294644858E-3</v>
      </c>
      <c r="AB91" s="629">
        <f t="shared" si="470"/>
        <v>-0.99144486384067432</v>
      </c>
      <c r="AC91" s="636">
        <f t="shared" si="84"/>
        <v>1</v>
      </c>
      <c r="AD91" s="637">
        <f t="shared" si="115"/>
        <v>-0.13044730416705277</v>
      </c>
      <c r="AE91" s="629">
        <f t="shared" si="85"/>
        <v>-4.5368270294644858E-3</v>
      </c>
      <c r="AF91" s="633">
        <f t="shared" si="86"/>
        <v>-0.99144486384067432</v>
      </c>
      <c r="AG91" s="602">
        <f t="shared" si="87"/>
        <v>-0.26218223153196729</v>
      </c>
      <c r="AH91" s="603">
        <f t="shared" si="88"/>
        <v>97.495441068890742</v>
      </c>
      <c r="AI91" s="585">
        <f t="shared" si="89"/>
        <v>-7.4999989171453043</v>
      </c>
      <c r="AJ91" s="586">
        <f t="shared" si="90"/>
        <v>-88.008112835905493</v>
      </c>
      <c r="AK91" s="635">
        <f t="shared" si="211"/>
        <v>2.2679489674031633E-7</v>
      </c>
      <c r="AL91" s="629">
        <f t="shared" si="91"/>
        <v>0.13052617348216192</v>
      </c>
      <c r="AM91" s="634">
        <f t="shared" si="92"/>
        <v>-0.99144486384067432</v>
      </c>
      <c r="AN91" s="581">
        <f t="shared" si="93"/>
        <v>7.499998917134131</v>
      </c>
      <c r="AO91" s="582">
        <f t="shared" si="461"/>
        <v>0</v>
      </c>
      <c r="AP91" s="585">
        <f t="shared" si="95"/>
        <v>89.999900446094045</v>
      </c>
      <c r="AQ91" s="586">
        <f t="shared" si="471"/>
        <v>0.88304142337434166</v>
      </c>
      <c r="AS91" s="52">
        <f t="shared" si="543"/>
        <v>-268.00801328199952</v>
      </c>
      <c r="AT91" s="72">
        <f t="shared" si="472"/>
        <v>4.4111408036311417E-2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Nose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5.2119999999999997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5.1120000000000001</v>
      </c>
      <c r="II91" s="734" cm="1">
        <f t="array" ref="II91">IFERROR(IF($IH91&lt;1,$IH91+LARGE((IF($M$9:$M$150="",0,$M$9:$M$150)-MOD(IF($M$9:$M$150="",0,$M$9:$M$150),1)),1),$IH91),"")</f>
        <v>5.1120000000000001</v>
      </c>
      <c r="IJ91" s="533">
        <f t="shared" si="542"/>
        <v>1613</v>
      </c>
      <c r="IK91" s="533" t="str">
        <f t="shared" si="517"/>
        <v>Inactive</v>
      </c>
      <c r="IL91" s="727">
        <f t="shared" si="647"/>
        <v>22.967996683831558</v>
      </c>
      <c r="IM91" s="759">
        <v>4.5879175101819401E-2</v>
      </c>
      <c r="IN91" s="5">
        <f t="shared" si="648"/>
        <v>0.72</v>
      </c>
      <c r="IO91" s="771">
        <v>360</v>
      </c>
      <c r="IP91" s="9">
        <f t="shared" si="649"/>
        <v>-2.5866078012091274</v>
      </c>
      <c r="IQ91" s="5">
        <f t="shared" si="650"/>
        <v>-0.13550040866923257</v>
      </c>
      <c r="IR91" s="5">
        <f t="shared" si="518"/>
        <v>0.314</v>
      </c>
      <c r="IS91" s="5">
        <f t="shared" si="651"/>
        <v>0.30326469525131233</v>
      </c>
      <c r="IT91" s="727">
        <f t="shared" si="652"/>
        <v>-4.0921032453729564</v>
      </c>
      <c r="IU91" s="9">
        <f t="shared" si="653"/>
        <v>-2.5814713424026703</v>
      </c>
      <c r="IV91" s="5">
        <f t="shared" si="654"/>
        <v>-0.14200526785396603</v>
      </c>
      <c r="IW91" s="5">
        <f t="shared" si="519"/>
        <v>0.26250000000000001</v>
      </c>
      <c r="IX91" s="5">
        <f t="shared" si="655"/>
        <v>0.26250000000000001</v>
      </c>
      <c r="IY91" s="762">
        <f t="shared" si="656"/>
        <v>-7.499998917134131</v>
      </c>
    </row>
    <row r="92" spans="1:259" ht="15" customHeight="1" x14ac:dyDescent="0.25">
      <c r="A92" s="79"/>
      <c r="B92" s="707">
        <v>-3.3608852110584508</v>
      </c>
      <c r="C92" s="708">
        <v>-0.29995020229073921</v>
      </c>
      <c r="D92" s="709">
        <v>-0.11307080733039218</v>
      </c>
      <c r="E92" s="710">
        <v>-0.17296067471019427</v>
      </c>
      <c r="F92" s="708">
        <v>-1.5436514897378423E-2</v>
      </c>
      <c r="G92" s="711">
        <v>0.98480775738801807</v>
      </c>
      <c r="H92" s="710">
        <v>0.26250000000000001</v>
      </c>
      <c r="I92" s="708">
        <v>0.40699999999999997</v>
      </c>
      <c r="J92" s="570">
        <v>5.218</v>
      </c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Inactive</v>
      </c>
      <c r="L92" s="320"/>
      <c r="M92" s="168">
        <f t="shared" si="464"/>
        <v>5.218</v>
      </c>
      <c r="N92" s="632">
        <f t="shared" si="465"/>
        <v>-3.3608852110584508</v>
      </c>
      <c r="O92" s="629">
        <f t="shared" si="466"/>
        <v>-0.29995020229073921</v>
      </c>
      <c r="P92" s="633">
        <f t="shared" si="467"/>
        <v>-0.11307080733039218</v>
      </c>
      <c r="Q92" s="585">
        <f t="shared" si="520"/>
        <v>185.0999862692608</v>
      </c>
      <c r="R92" s="629">
        <f t="shared" si="79"/>
        <v>3.374243548673638</v>
      </c>
      <c r="S92" s="634">
        <f t="shared" si="80"/>
        <v>-0.11307080733039218</v>
      </c>
      <c r="T92" s="635">
        <f t="shared" si="81"/>
        <v>-0.2999502022907376</v>
      </c>
      <c r="U92" s="629">
        <f t="shared" si="82"/>
        <v>3.3608852110584513</v>
      </c>
      <c r="V92" s="636">
        <f t="shared" si="114"/>
        <v>-0.11307080733039218</v>
      </c>
      <c r="W92" s="585">
        <f t="shared" si="645"/>
        <v>95.099986269260796</v>
      </c>
      <c r="X92" s="629">
        <f t="shared" si="83"/>
        <v>3.374243548673638</v>
      </c>
      <c r="Y92" s="630">
        <f t="shared" si="644"/>
        <v>-0.11307080733039218</v>
      </c>
      <c r="Z92" s="632">
        <f t="shared" si="468"/>
        <v>0.17296067471019427</v>
      </c>
      <c r="AA92" s="629">
        <f t="shared" si="469"/>
        <v>1.5436514897378423E-2</v>
      </c>
      <c r="AB92" s="629">
        <f t="shared" si="470"/>
        <v>-0.98480775738801807</v>
      </c>
      <c r="AC92" s="636">
        <f t="shared" si="84"/>
        <v>1</v>
      </c>
      <c r="AD92" s="637">
        <f t="shared" si="115"/>
        <v>0.17296067471019427</v>
      </c>
      <c r="AE92" s="629">
        <f t="shared" si="85"/>
        <v>1.5436514897378423E-2</v>
      </c>
      <c r="AF92" s="633">
        <f t="shared" si="86"/>
        <v>-0.98480775738801807</v>
      </c>
      <c r="AG92" s="602">
        <f t="shared" si="87"/>
        <v>0.89801763179234173</v>
      </c>
      <c r="AH92" s="603">
        <f t="shared" si="88"/>
        <v>80.039996229490953</v>
      </c>
      <c r="AI92" s="585">
        <f t="shared" si="89"/>
        <v>-9.9999985561871902</v>
      </c>
      <c r="AJ92" s="586">
        <f t="shared" si="90"/>
        <v>95.100061100983368</v>
      </c>
      <c r="AK92" s="635">
        <f t="shared" si="211"/>
        <v>2.2679489679149067E-7</v>
      </c>
      <c r="AL92" s="629">
        <f t="shared" si="91"/>
        <v>-0.17364815285032889</v>
      </c>
      <c r="AM92" s="634">
        <f t="shared" si="92"/>
        <v>-0.98480775738801807</v>
      </c>
      <c r="AN92" s="581">
        <f t="shared" si="93"/>
        <v>-9.9999985561788467</v>
      </c>
      <c r="AO92" s="582">
        <f t="shared" si="461"/>
        <v>0</v>
      </c>
      <c r="AP92" s="585">
        <f t="shared" si="95"/>
        <v>-89.999925168277414</v>
      </c>
      <c r="AQ92" s="586">
        <f t="shared" si="471"/>
        <v>0.67559467579075749</v>
      </c>
      <c r="AS92" s="52">
        <f t="shared" si="543"/>
        <v>-264.9000137307392</v>
      </c>
      <c r="AT92" s="73">
        <f t="shared" si="472"/>
        <v>7.0887535538176727E-2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Nose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5.218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5.1180000000000003</v>
      </c>
      <c r="II92" s="734" cm="1">
        <f t="array" ref="II92">IFERROR(IF($IH92&lt;1,$IH92+LARGE((IF($M$9:$M$150="",0,$M$9:$M$150)-MOD(IF($M$9:$M$150="",0,$M$9:$M$150),1)),1),$IH92),"")</f>
        <v>5.1180000000000003</v>
      </c>
      <c r="IJ92" s="533">
        <f t="shared" si="542"/>
        <v>1613</v>
      </c>
      <c r="IK92" s="533" t="str">
        <f t="shared" si="517"/>
        <v>Inactive</v>
      </c>
      <c r="IL92" s="727">
        <f t="shared" si="647"/>
        <v>19.281997216024081</v>
      </c>
      <c r="IM92" s="759">
        <v>3.8823438018001998E-2</v>
      </c>
      <c r="IN92" s="5">
        <f t="shared" si="648"/>
        <v>0.78</v>
      </c>
      <c r="IO92" s="771">
        <v>390</v>
      </c>
      <c r="IP92" s="9">
        <f t="shared" si="649"/>
        <v>-3.367410156109031</v>
      </c>
      <c r="IQ92" s="5">
        <f t="shared" si="650"/>
        <v>-0.11040033296740423</v>
      </c>
      <c r="IR92" s="5">
        <f t="shared" si="518"/>
        <v>0.314</v>
      </c>
      <c r="IS92" s="5">
        <f t="shared" si="651"/>
        <v>0.30272688774898426</v>
      </c>
      <c r="IT92" s="727">
        <f t="shared" si="652"/>
        <v>23.387680711240453</v>
      </c>
      <c r="IU92" s="9">
        <f t="shared" si="653"/>
        <v>-3.374243548673638</v>
      </c>
      <c r="IV92" s="5">
        <f t="shared" si="654"/>
        <v>-0.11307080733039218</v>
      </c>
      <c r="IW92" s="5">
        <f t="shared" si="519"/>
        <v>0.26250000000000001</v>
      </c>
      <c r="IX92" s="5">
        <f t="shared" si="655"/>
        <v>0.26250000000000001</v>
      </c>
      <c r="IY92" s="762">
        <f t="shared" si="656"/>
        <v>9.9999985561788467</v>
      </c>
    </row>
    <row r="93" spans="1:259" ht="15" customHeight="1" x14ac:dyDescent="0.25">
      <c r="A93" s="79"/>
      <c r="B93" s="707">
        <v>-4.0619963949234652</v>
      </c>
      <c r="C93" s="708">
        <v>-0.76304301075156356</v>
      </c>
      <c r="D93" s="709">
        <v>-0.33225910701644984</v>
      </c>
      <c r="E93" s="710">
        <v>-8.7789512422318389E-2</v>
      </c>
      <c r="F93" s="708">
        <v>-0.96175640989370337</v>
      </c>
      <c r="G93" s="711">
        <v>0.2594563730900179</v>
      </c>
      <c r="H93" s="710">
        <v>0.26600000000000001</v>
      </c>
      <c r="I93" s="708">
        <v>0.52</v>
      </c>
      <c r="J93" s="570">
        <v>5.2240000000000002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5.2240000000000002</v>
      </c>
      <c r="N93" s="632">
        <f t="shared" si="465"/>
        <v>-4.0619963949234652</v>
      </c>
      <c r="O93" s="629">
        <f t="shared" si="466"/>
        <v>-0.76304301075156356</v>
      </c>
      <c r="P93" s="633">
        <f t="shared" si="467"/>
        <v>-0.33225910701644984</v>
      </c>
      <c r="Q93" s="585">
        <f t="shared" si="520"/>
        <v>190.63898546952828</v>
      </c>
      <c r="R93" s="629">
        <f t="shared" si="79"/>
        <v>4.1330435938455867</v>
      </c>
      <c r="S93" s="634">
        <f t="shared" si="80"/>
        <v>-0.33225910701644984</v>
      </c>
      <c r="T93" s="635">
        <f t="shared" si="81"/>
        <v>-0.76304301075156467</v>
      </c>
      <c r="U93" s="629">
        <f t="shared" si="82"/>
        <v>4.0619963949234652</v>
      </c>
      <c r="V93" s="636">
        <f t="shared" si="114"/>
        <v>-0.33225910701644984</v>
      </c>
      <c r="W93" s="585">
        <f t="shared" si="645"/>
        <v>100.63898546952828</v>
      </c>
      <c r="X93" s="629">
        <f t="shared" si="83"/>
        <v>4.1330435938455867</v>
      </c>
      <c r="Y93" s="630">
        <f t="shared" si="644"/>
        <v>-0.33225910701644984</v>
      </c>
      <c r="Z93" s="632">
        <f t="shared" si="468"/>
        <v>8.7789512422318389E-2</v>
      </c>
      <c r="AA93" s="629">
        <f t="shared" si="469"/>
        <v>0.96175640989370337</v>
      </c>
      <c r="AB93" s="629">
        <f t="shared" si="470"/>
        <v>-0.2594563730900179</v>
      </c>
      <c r="AC93" s="636">
        <f t="shared" si="84"/>
        <v>1</v>
      </c>
      <c r="AD93" s="637">
        <f t="shared" si="115"/>
        <v>8.7789512422318389E-2</v>
      </c>
      <c r="AE93" s="629">
        <f t="shared" si="85"/>
        <v>0.96175640989370337</v>
      </c>
      <c r="AF93" s="633">
        <f t="shared" si="86"/>
        <v>-0.2594563730900179</v>
      </c>
      <c r="AG93" s="602">
        <f t="shared" si="87"/>
        <v>74.902522380325124</v>
      </c>
      <c r="AH93" s="603">
        <f t="shared" si="88"/>
        <v>84.963547948328426</v>
      </c>
      <c r="AI93" s="585">
        <f t="shared" si="89"/>
        <v>-74.962192298797376</v>
      </c>
      <c r="AJ93" s="586">
        <f t="shared" si="90"/>
        <v>174.7844715814112</v>
      </c>
      <c r="AK93" s="635">
        <f t="shared" si="211"/>
        <v>0.92901606497186939</v>
      </c>
      <c r="AL93" s="629">
        <f t="shared" si="91"/>
        <v>-0.26383999220580051</v>
      </c>
      <c r="AM93" s="634">
        <f t="shared" si="92"/>
        <v>-0.2594563730900179</v>
      </c>
      <c r="AN93" s="581">
        <f t="shared" si="93"/>
        <v>-45.479951737252826</v>
      </c>
      <c r="AO93" s="582">
        <f t="shared" si="461"/>
        <v>21.718046659180217</v>
      </c>
      <c r="AP93" s="585">
        <f t="shared" si="95"/>
        <v>-15.854513888117095</v>
      </c>
      <c r="AQ93" s="586">
        <f t="shared" si="471"/>
        <v>0.55156839183489315</v>
      </c>
      <c r="AS93" s="52">
        <f t="shared" si="543"/>
        <v>-259.36101453047172</v>
      </c>
      <c r="AT93" s="73">
        <f t="shared" si="472"/>
        <v>-0.15214729137028893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Nose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5.2240000000000002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5.1239999999999997</v>
      </c>
      <c r="II93" s="734" cm="1">
        <f t="array" ref="II93">IFERROR(IF($IH93&lt;1,$IH93+LARGE((IF($M$9:$M$150="",0,$M$9:$M$150)-MOD(IF($M$9:$M$150="",0,$M$9:$M$150),1)),1),$IH93),"")</f>
        <v>5.1239999999999997</v>
      </c>
      <c r="IJ93" s="533">
        <f t="shared" si="542"/>
        <v>1613</v>
      </c>
      <c r="IK93" s="533">
        <f t="shared" si="517"/>
        <v>1313</v>
      </c>
      <c r="IL93" s="727">
        <f t="shared" si="647"/>
        <v>12.831998147288715</v>
      </c>
      <c r="IM93" s="759">
        <v>1.3232705011231E-2</v>
      </c>
      <c r="IN93" s="5">
        <f t="shared" si="648"/>
        <v>0.4</v>
      </c>
      <c r="IO93" s="771">
        <v>200</v>
      </c>
      <c r="IP93" s="9">
        <f t="shared" si="649"/>
        <v>-4.1063123846381524</v>
      </c>
      <c r="IQ93" s="5">
        <f t="shared" si="650"/>
        <v>-0.3643010987321138</v>
      </c>
      <c r="IR93" s="5">
        <f t="shared" si="518"/>
        <v>0.314</v>
      </c>
      <c r="IS93" s="5">
        <f t="shared" si="651"/>
        <v>0.30181784100605624</v>
      </c>
      <c r="IT93" s="727">
        <f t="shared" si="652"/>
        <v>50.980295067128949</v>
      </c>
      <c r="IU93" s="9">
        <f t="shared" si="653"/>
        <v>-4.1330435938455867</v>
      </c>
      <c r="IV93" s="5">
        <f t="shared" si="654"/>
        <v>-0.33225910701644984</v>
      </c>
      <c r="IW93" s="5">
        <f t="shared" si="519"/>
        <v>0.26600000000000001</v>
      </c>
      <c r="IX93" s="5">
        <f t="shared" si="655"/>
        <v>0.24711827328251731</v>
      </c>
      <c r="IY93" s="762">
        <f t="shared" si="656"/>
        <v>45.479951737252826</v>
      </c>
    </row>
    <row r="94" spans="1:259" ht="15" customHeight="1" x14ac:dyDescent="0.25">
      <c r="A94" s="79"/>
      <c r="B94" s="707">
        <v>-4.6466743087272198</v>
      </c>
      <c r="C94" s="708">
        <v>-0.90961887830236166</v>
      </c>
      <c r="D94" s="709">
        <v>-0.80882638044316058</v>
      </c>
      <c r="E94" s="710">
        <v>-0.15000265270975152</v>
      </c>
      <c r="F94" s="708">
        <v>-0.95981432468714356</v>
      </c>
      <c r="G94" s="711">
        <v>0.23718276983246553</v>
      </c>
      <c r="H94" s="710">
        <v>0.26600000000000001</v>
      </c>
      <c r="I94" s="708">
        <v>0.52</v>
      </c>
      <c r="J94" s="570">
        <v>5.23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1313</v>
      </c>
      <c r="L94" s="320"/>
      <c r="M94" s="168">
        <f t="shared" si="464"/>
        <v>5.23</v>
      </c>
      <c r="N94" s="632">
        <f t="shared" si="465"/>
        <v>-4.6466743087272198</v>
      </c>
      <c r="O94" s="629">
        <f t="shared" si="466"/>
        <v>-0.90961887830236166</v>
      </c>
      <c r="P94" s="633">
        <f t="shared" si="467"/>
        <v>-0.80882638044316058</v>
      </c>
      <c r="Q94" s="585">
        <f t="shared" si="520"/>
        <v>191.07598540643332</v>
      </c>
      <c r="R94" s="629">
        <f t="shared" si="79"/>
        <v>4.7348694422496624</v>
      </c>
      <c r="S94" s="634">
        <f t="shared" si="80"/>
        <v>-0.80882638044316058</v>
      </c>
      <c r="T94" s="635">
        <f t="shared" si="81"/>
        <v>-0.90961887830236332</v>
      </c>
      <c r="U94" s="629">
        <f t="shared" si="82"/>
        <v>4.6466743087272189</v>
      </c>
      <c r="V94" s="636">
        <f t="shared" si="114"/>
        <v>-0.80882638044316058</v>
      </c>
      <c r="W94" s="585">
        <f t="shared" si="645"/>
        <v>101.07598540643332</v>
      </c>
      <c r="X94" s="629">
        <f t="shared" si="83"/>
        <v>4.7348694422496624</v>
      </c>
      <c r="Y94" s="630">
        <f t="shared" si="644"/>
        <v>-0.80882638044316058</v>
      </c>
      <c r="Z94" s="632">
        <f t="shared" si="468"/>
        <v>0.15000265270975152</v>
      </c>
      <c r="AA94" s="629">
        <f t="shared" si="469"/>
        <v>0.95981432468714356</v>
      </c>
      <c r="AB94" s="629">
        <f t="shared" si="470"/>
        <v>-0.23718276983246553</v>
      </c>
      <c r="AC94" s="636">
        <f t="shared" si="84"/>
        <v>1</v>
      </c>
      <c r="AD94" s="637">
        <f t="shared" si="115"/>
        <v>0.15000265270975152</v>
      </c>
      <c r="AE94" s="629">
        <f t="shared" si="85"/>
        <v>0.95981432468714356</v>
      </c>
      <c r="AF94" s="633">
        <f t="shared" si="86"/>
        <v>-0.23718276983246553</v>
      </c>
      <c r="AG94" s="602">
        <f t="shared" si="87"/>
        <v>76.119535007132939</v>
      </c>
      <c r="AH94" s="603">
        <f t="shared" si="88"/>
        <v>81.372919712933907</v>
      </c>
      <c r="AI94" s="585">
        <f t="shared" si="89"/>
        <v>-76.279675405863046</v>
      </c>
      <c r="AJ94" s="586">
        <f t="shared" si="90"/>
        <v>171.11749570655329</v>
      </c>
      <c r="AK94" s="635">
        <f t="shared" si="211"/>
        <v>0.91311901451662481</v>
      </c>
      <c r="AL94" s="629">
        <f t="shared" si="91"/>
        <v>-0.3315991541346085</v>
      </c>
      <c r="AM94" s="634">
        <f t="shared" si="92"/>
        <v>-0.23718276983246553</v>
      </c>
      <c r="AN94" s="581">
        <f t="shared" si="93"/>
        <v>-54.42501464109391</v>
      </c>
      <c r="AO94" s="582">
        <f t="shared" si="461"/>
        <v>24.060001219844679</v>
      </c>
      <c r="AP94" s="585">
        <f t="shared" si="95"/>
        <v>-19.958489699880026</v>
      </c>
      <c r="AQ94" s="586">
        <f t="shared" si="471"/>
        <v>0.48146480070115427</v>
      </c>
      <c r="AS94" s="52">
        <f t="shared" si="543"/>
        <v>-258.92401459356665</v>
      </c>
      <c r="AT94" s="73">
        <f t="shared" si="472"/>
        <v>-0.62901803697540593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Taper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5.23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5.13</v>
      </c>
      <c r="II94" s="734" cm="1">
        <f t="array" ref="II94">IFERROR(IF($IH94&lt;1,$IH94+LARGE((IF($M$9:$M$150="",0,$M$9:$M$150)-MOD(IF($M$9:$M$150="",0,$M$9:$M$150),1)),1),$IH94),"")</f>
        <v>5.13</v>
      </c>
      <c r="IJ94" s="533">
        <f t="shared" si="542"/>
        <v>1613</v>
      </c>
      <c r="IK94" s="533">
        <f t="shared" si="517"/>
        <v>1313</v>
      </c>
      <c r="IL94" s="727">
        <f t="shared" si="647"/>
        <v>11.51499833743992</v>
      </c>
      <c r="IM94" s="759">
        <v>1.44592532574519E-2</v>
      </c>
      <c r="IN94" s="5">
        <f t="shared" si="648"/>
        <v>0.5</v>
      </c>
      <c r="IO94" s="771">
        <v>250</v>
      </c>
      <c r="IP94" s="9">
        <f t="shared" si="649"/>
        <v>-4.7030141842907804</v>
      </c>
      <c r="IQ94" s="5">
        <f t="shared" si="650"/>
        <v>-0.83930253133643462</v>
      </c>
      <c r="IR94" s="5">
        <f t="shared" si="518"/>
        <v>0.314</v>
      </c>
      <c r="IS94" s="5">
        <f t="shared" si="651"/>
        <v>0.30086711642236724</v>
      </c>
      <c r="IT94" s="727">
        <f t="shared" si="652"/>
        <v>62.576367504741519</v>
      </c>
      <c r="IU94" s="9">
        <f t="shared" si="653"/>
        <v>-4.7348694422496624</v>
      </c>
      <c r="IV94" s="5">
        <f t="shared" si="654"/>
        <v>-0.80882638044316058</v>
      </c>
      <c r="IW94" s="5">
        <f t="shared" si="519"/>
        <v>0.26600000000000001</v>
      </c>
      <c r="IX94" s="5">
        <f t="shared" si="655"/>
        <v>0.24288965786142222</v>
      </c>
      <c r="IY94" s="762">
        <f t="shared" si="656"/>
        <v>54.42501464109391</v>
      </c>
    </row>
    <row r="95" spans="1:259" ht="15" customHeight="1" x14ac:dyDescent="0.25">
      <c r="A95" s="79"/>
      <c r="B95" s="707">
        <v>-5.0977080683050655</v>
      </c>
      <c r="C95" s="708">
        <v>-1.0035483128122276</v>
      </c>
      <c r="D95" s="709">
        <v>-1.4248698657912713</v>
      </c>
      <c r="E95" s="710">
        <v>-0.19896297030956245</v>
      </c>
      <c r="F95" s="708">
        <v>-0.96019050791095995</v>
      </c>
      <c r="G95" s="711">
        <v>0.19608142431981879</v>
      </c>
      <c r="H95" s="710">
        <v>0.26600000000000001</v>
      </c>
      <c r="I95" s="708">
        <v>0.52</v>
      </c>
      <c r="J95" s="570">
        <v>5.2359999999999998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5.2359999999999998</v>
      </c>
      <c r="N95" s="632">
        <f t="shared" si="465"/>
        <v>-5.0977080683050655</v>
      </c>
      <c r="O95" s="629">
        <f t="shared" si="466"/>
        <v>-1.0035483128122276</v>
      </c>
      <c r="P95" s="633">
        <f t="shared" si="467"/>
        <v>-1.4248698657912713</v>
      </c>
      <c r="Q95" s="585">
        <f t="shared" si="520"/>
        <v>191.13698539762598</v>
      </c>
      <c r="R95" s="629">
        <f t="shared" si="79"/>
        <v>5.1955497077605592</v>
      </c>
      <c r="S95" s="634">
        <f t="shared" si="80"/>
        <v>-1.4248698657912713</v>
      </c>
      <c r="T95" s="635">
        <f t="shared" si="81"/>
        <v>-1.0035483128122271</v>
      </c>
      <c r="U95" s="629">
        <f t="shared" si="82"/>
        <v>5.0977080683050664</v>
      </c>
      <c r="V95" s="636">
        <f t="shared" si="114"/>
        <v>-1.4248698657912713</v>
      </c>
      <c r="W95" s="585">
        <f t="shared" si="645"/>
        <v>101.13698539762598</v>
      </c>
      <c r="X95" s="629">
        <f t="shared" si="83"/>
        <v>5.1955497077605592</v>
      </c>
      <c r="Y95" s="630">
        <f t="shared" si="644"/>
        <v>-1.4248698657912713</v>
      </c>
      <c r="Z95" s="632">
        <f t="shared" si="468"/>
        <v>0.19896297030956245</v>
      </c>
      <c r="AA95" s="629">
        <f t="shared" si="469"/>
        <v>0.96019050791095995</v>
      </c>
      <c r="AB95" s="629">
        <f t="shared" si="470"/>
        <v>-0.19608142431981879</v>
      </c>
      <c r="AC95" s="636">
        <f t="shared" si="84"/>
        <v>1</v>
      </c>
      <c r="AD95" s="637">
        <f t="shared" si="115"/>
        <v>0.19896297030956245</v>
      </c>
      <c r="AE95" s="629">
        <f t="shared" si="85"/>
        <v>0.96019050791095995</v>
      </c>
      <c r="AF95" s="633">
        <f t="shared" si="86"/>
        <v>-0.19608142431981879</v>
      </c>
      <c r="AG95" s="602">
        <f t="shared" si="87"/>
        <v>78.458265955481835</v>
      </c>
      <c r="AH95" s="603">
        <f t="shared" si="88"/>
        <v>78.523677083990037</v>
      </c>
      <c r="AI95" s="585">
        <f t="shared" si="89"/>
        <v>-78.692095687869568</v>
      </c>
      <c r="AJ95" s="586">
        <f t="shared" si="90"/>
        <v>168.29330141182939</v>
      </c>
      <c r="AK95" s="635">
        <f t="shared" si="211"/>
        <v>0.90367761068830232</v>
      </c>
      <c r="AL95" s="629">
        <f t="shared" si="91"/>
        <v>-0.38068208649395674</v>
      </c>
      <c r="AM95" s="634">
        <f t="shared" si="92"/>
        <v>-0.19608142431981879</v>
      </c>
      <c r="AN95" s="581">
        <f t="shared" si="93"/>
        <v>-62.747946142126395</v>
      </c>
      <c r="AO95" s="582">
        <f t="shared" si="461"/>
        <v>25.354235787113918</v>
      </c>
      <c r="AP95" s="585">
        <f t="shared" si="95"/>
        <v>-22.843683985796595</v>
      </c>
      <c r="AQ95" s="586">
        <f t="shared" si="471"/>
        <v>0.4387759128861044</v>
      </c>
      <c r="AS95" s="52">
        <f t="shared" si="543"/>
        <v>-258.86301460237405</v>
      </c>
      <c r="AT95" s="73">
        <f t="shared" si="472"/>
        <v>-1.2451038834285115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5.2359999999999998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5.1360000000000001</v>
      </c>
      <c r="II95" s="734" cm="1">
        <f t="array" ref="II95">IFERROR(IF($IH95&lt;1,$IH95+LARGE((IF($M$9:$M$150="",0,$M$9:$M$150)-MOD(IF($M$9:$M$150="",0,$M$9:$M$150),1)),1),$IH95),"")</f>
        <v>5.1360000000000001</v>
      </c>
      <c r="IJ95" s="533">
        <f t="shared" si="542"/>
        <v>1613</v>
      </c>
      <c r="IK95" s="533">
        <f t="shared" si="517"/>
        <v>1313</v>
      </c>
      <c r="IL95" s="727">
        <f t="shared" si="647"/>
        <v>10.723998451646196</v>
      </c>
      <c r="IM95" s="759">
        <v>1.3124542824582299E-2</v>
      </c>
      <c r="IN95" s="5">
        <f t="shared" si="648"/>
        <v>0.52</v>
      </c>
      <c r="IO95" s="771">
        <v>260</v>
      </c>
      <c r="IP95" s="9">
        <f t="shared" si="649"/>
        <v>-5.1590155595909284</v>
      </c>
      <c r="IQ95" s="5">
        <f t="shared" si="650"/>
        <v>-1.4525043807532123</v>
      </c>
      <c r="IR95" s="5">
        <f t="shared" si="518"/>
        <v>0.314</v>
      </c>
      <c r="IS95" s="5">
        <f t="shared" si="651"/>
        <v>0.29857582316602821</v>
      </c>
      <c r="IT95" s="727">
        <f t="shared" si="652"/>
        <v>70.992747579317253</v>
      </c>
      <c r="IU95" s="9">
        <f t="shared" si="653"/>
        <v>-5.1955497077605592</v>
      </c>
      <c r="IV95" s="5">
        <f t="shared" si="654"/>
        <v>-1.4248698657912713</v>
      </c>
      <c r="IW95" s="5">
        <f t="shared" si="519"/>
        <v>0.26600000000000001</v>
      </c>
      <c r="IX95" s="5">
        <f t="shared" si="655"/>
        <v>0.24037824444308842</v>
      </c>
      <c r="IY95" s="762">
        <f t="shared" si="656"/>
        <v>62.747946142126395</v>
      </c>
    </row>
    <row r="96" spans="1:259" ht="15" customHeight="1" x14ac:dyDescent="0.25">
      <c r="A96" s="79"/>
      <c r="B96" s="707">
        <v>-5.4283001808852633</v>
      </c>
      <c r="C96" s="708">
        <v>-1.0621357369077415</v>
      </c>
      <c r="D96" s="709">
        <v>-2.1177070616974798</v>
      </c>
      <c r="E96" s="710">
        <v>-0.25393573368253325</v>
      </c>
      <c r="F96" s="708">
        <v>-0.9535972604345464</v>
      </c>
      <c r="G96" s="711">
        <v>0.16176806869973287</v>
      </c>
      <c r="H96" s="710">
        <v>0.26600000000000001</v>
      </c>
      <c r="I96" s="708">
        <v>0.52</v>
      </c>
      <c r="J96" s="570">
        <v>5.242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1313</v>
      </c>
      <c r="L96" s="320"/>
      <c r="M96" s="168">
        <f t="shared" si="464"/>
        <v>5.242</v>
      </c>
      <c r="N96" s="632">
        <f t="shared" si="465"/>
        <v>-5.4283001808852633</v>
      </c>
      <c r="O96" s="629">
        <f t="shared" si="466"/>
        <v>-1.0621357369077415</v>
      </c>
      <c r="P96" s="633">
        <f t="shared" si="467"/>
        <v>-2.1177070616974798</v>
      </c>
      <c r="Q96" s="585">
        <f t="shared" si="520"/>
        <v>191.07098540715523</v>
      </c>
      <c r="R96" s="629">
        <f t="shared" si="79"/>
        <v>5.5312363154556623</v>
      </c>
      <c r="S96" s="634">
        <f t="shared" si="80"/>
        <v>-2.1177070616974798</v>
      </c>
      <c r="T96" s="635">
        <f t="shared" si="81"/>
        <v>-1.0621357369077431</v>
      </c>
      <c r="U96" s="629">
        <f t="shared" si="82"/>
        <v>5.4283001808852624</v>
      </c>
      <c r="V96" s="636">
        <f t="shared" si="114"/>
        <v>-2.1177070616974798</v>
      </c>
      <c r="W96" s="585">
        <f t="shared" si="645"/>
        <v>101.07098540715523</v>
      </c>
      <c r="X96" s="629">
        <f t="shared" si="83"/>
        <v>5.5312363154556623</v>
      </c>
      <c r="Y96" s="630">
        <f t="shared" si="644"/>
        <v>-2.1177070616974798</v>
      </c>
      <c r="Z96" s="632">
        <f t="shared" si="468"/>
        <v>0.25393573368253325</v>
      </c>
      <c r="AA96" s="629">
        <f t="shared" si="469"/>
        <v>0.9535972604345464</v>
      </c>
      <c r="AB96" s="629">
        <f t="shared" si="470"/>
        <v>-0.16176806869973287</v>
      </c>
      <c r="AC96" s="636">
        <f t="shared" si="84"/>
        <v>1</v>
      </c>
      <c r="AD96" s="637">
        <f t="shared" si="115"/>
        <v>0.25393573368253325</v>
      </c>
      <c r="AE96" s="629">
        <f t="shared" si="85"/>
        <v>0.9535972604345464</v>
      </c>
      <c r="AF96" s="633">
        <f t="shared" si="86"/>
        <v>-0.16176806869973287</v>
      </c>
      <c r="AG96" s="602">
        <f t="shared" si="87"/>
        <v>80.372012955725694</v>
      </c>
      <c r="AH96" s="603">
        <f t="shared" si="88"/>
        <v>75.289468468701003</v>
      </c>
      <c r="AI96" s="585">
        <f t="shared" si="89"/>
        <v>-80.690463831539773</v>
      </c>
      <c r="AJ96" s="586">
        <f t="shared" si="90"/>
        <v>165.08860321062301</v>
      </c>
      <c r="AK96" s="635">
        <f t="shared" si="211"/>
        <v>0.8870888321975845</v>
      </c>
      <c r="AL96" s="629">
        <f t="shared" si="91"/>
        <v>-0.43232452595184145</v>
      </c>
      <c r="AM96" s="634">
        <f t="shared" si="92"/>
        <v>-0.16176806869973287</v>
      </c>
      <c r="AN96" s="581">
        <f t="shared" si="93"/>
        <v>-69.485054031027062</v>
      </c>
      <c r="AO96" s="582">
        <f t="shared" si="461"/>
        <v>27.490319971021624</v>
      </c>
      <c r="AP96" s="585">
        <f t="shared" si="95"/>
        <v>-25.982382196532221</v>
      </c>
      <c r="AQ96" s="586">
        <f t="shared" si="471"/>
        <v>0.41214787815933585</v>
      </c>
      <c r="AS96" s="52">
        <f t="shared" si="543"/>
        <v>-258.92901459284474</v>
      </c>
      <c r="AT96" s="73">
        <f t="shared" si="472"/>
        <v>-1.9378952460080043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Taper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5.242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5.1420000000000003</v>
      </c>
      <c r="II96" s="734" cm="1">
        <f t="array" ref="II96">IFERROR(IF($IH96&lt;1,$IH96+LARGE((IF($M$9:$M$150="",0,$M$9:$M$150)-MOD(IF($M$9:$M$150="",0,$M$9:$M$150),1)),1),$IH96),"")</f>
        <v>5.1420000000000003</v>
      </c>
      <c r="IJ96" s="533">
        <f t="shared" si="542"/>
        <v>1613</v>
      </c>
      <c r="IK96" s="533">
        <f t="shared" si="517"/>
        <v>1313</v>
      </c>
      <c r="IL96" s="727">
        <f t="shared" si="647"/>
        <v>10.234998522249015</v>
      </c>
      <c r="IM96" s="759">
        <v>1.39591008618868E-2</v>
      </c>
      <c r="IN96" s="5">
        <f t="shared" si="648"/>
        <v>0.62</v>
      </c>
      <c r="IO96" s="771">
        <v>310</v>
      </c>
      <c r="IP96" s="9">
        <f t="shared" si="649"/>
        <v>-5.4904165590963432</v>
      </c>
      <c r="IQ96" s="5">
        <f t="shared" si="650"/>
        <v>-2.1417064593866817</v>
      </c>
      <c r="IR96" s="5">
        <f t="shared" si="518"/>
        <v>0.314</v>
      </c>
      <c r="IS96" s="5">
        <f t="shared" si="651"/>
        <v>0.29636907209143126</v>
      </c>
      <c r="IT96" s="727">
        <f t="shared" si="652"/>
        <v>78.227944982379512</v>
      </c>
      <c r="IU96" s="9">
        <f t="shared" si="653"/>
        <v>-5.5312363154556623</v>
      </c>
      <c r="IV96" s="5">
        <f t="shared" si="654"/>
        <v>-2.1177070616974798</v>
      </c>
      <c r="IW96" s="5">
        <f t="shared" si="519"/>
        <v>0.26600000000000001</v>
      </c>
      <c r="IX96" s="5">
        <f t="shared" si="655"/>
        <v>0.23596562936455748</v>
      </c>
      <c r="IY96" s="762">
        <f t="shared" si="656"/>
        <v>69.485054031027062</v>
      </c>
    </row>
    <row r="97" spans="1:259" ht="15" customHeight="1" x14ac:dyDescent="0.25">
      <c r="A97" s="79"/>
      <c r="B97" s="707">
        <v>-5.6531187056996295</v>
      </c>
      <c r="C97" s="708">
        <v>-1.0972152619821869</v>
      </c>
      <c r="D97" s="709">
        <v>-2.8536432429834089</v>
      </c>
      <c r="E97" s="710">
        <v>-0.31687983813271015</v>
      </c>
      <c r="F97" s="708">
        <v>-0.93942541528279466</v>
      </c>
      <c r="G97" s="711">
        <v>0.13064094804362172</v>
      </c>
      <c r="H97" s="710">
        <v>0.26600000000000001</v>
      </c>
      <c r="I97" s="708">
        <v>0.52</v>
      </c>
      <c r="J97" s="570">
        <v>5.2480000000000002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5.2480000000000002</v>
      </c>
      <c r="N97" s="632">
        <f t="shared" si="465"/>
        <v>-5.6531187056996295</v>
      </c>
      <c r="O97" s="629">
        <f t="shared" si="466"/>
        <v>-1.0972152619821869</v>
      </c>
      <c r="P97" s="633">
        <f t="shared" si="467"/>
        <v>-2.8536432429834089</v>
      </c>
      <c r="Q97" s="585">
        <f t="shared" si="520"/>
        <v>190.98398541971648</v>
      </c>
      <c r="R97" s="629">
        <f t="shared" si="79"/>
        <v>5.7586137595655513</v>
      </c>
      <c r="S97" s="634">
        <f t="shared" si="80"/>
        <v>-2.8536432429834089</v>
      </c>
      <c r="T97" s="635">
        <f t="shared" si="81"/>
        <v>-1.0972152619821887</v>
      </c>
      <c r="U97" s="629">
        <f t="shared" si="82"/>
        <v>5.6531187056996286</v>
      </c>
      <c r="V97" s="636">
        <f t="shared" si="114"/>
        <v>-2.8536432429834089</v>
      </c>
      <c r="W97" s="585">
        <f t="shared" si="645"/>
        <v>100.98398541971648</v>
      </c>
      <c r="X97" s="629">
        <f t="shared" si="83"/>
        <v>5.7586137595655513</v>
      </c>
      <c r="Y97" s="630">
        <f t="shared" si="644"/>
        <v>-2.8536432429834089</v>
      </c>
      <c r="Z97" s="632">
        <f t="shared" si="468"/>
        <v>0.31687983813271015</v>
      </c>
      <c r="AA97" s="629">
        <f t="shared" si="469"/>
        <v>0.93942541528279466</v>
      </c>
      <c r="AB97" s="629">
        <f t="shared" si="470"/>
        <v>-0.13064094804362172</v>
      </c>
      <c r="AC97" s="636">
        <f t="shared" si="84"/>
        <v>1</v>
      </c>
      <c r="AD97" s="637">
        <f t="shared" si="115"/>
        <v>0.31687983813271015</v>
      </c>
      <c r="AE97" s="629">
        <f t="shared" si="85"/>
        <v>0.93942541528279466</v>
      </c>
      <c r="AF97" s="633">
        <f t="shared" si="86"/>
        <v>-0.13064094804362172</v>
      </c>
      <c r="AG97" s="602">
        <f t="shared" si="87"/>
        <v>82.082952871821632</v>
      </c>
      <c r="AH97" s="603">
        <f t="shared" si="88"/>
        <v>71.525664730457549</v>
      </c>
      <c r="AI97" s="585">
        <f t="shared" si="89"/>
        <v>-82.493368189465016</v>
      </c>
      <c r="AJ97" s="586">
        <f t="shared" si="90"/>
        <v>161.36011152080624</v>
      </c>
      <c r="AK97" s="635">
        <f t="shared" si="211"/>
        <v>0.86183901201694391</v>
      </c>
      <c r="AL97" s="629">
        <f t="shared" si="91"/>
        <v>-0.49006781169540381</v>
      </c>
      <c r="AM97" s="634">
        <f t="shared" si="92"/>
        <v>-0.13064094804362172</v>
      </c>
      <c r="AN97" s="581">
        <f t="shared" si="93"/>
        <v>-75.07336397851671</v>
      </c>
      <c r="AO97" s="582">
        <f t="shared" si="461"/>
        <v>30.476301628295058</v>
      </c>
      <c r="AP97" s="585">
        <f t="shared" si="95"/>
        <v>-29.623873898910212</v>
      </c>
      <c r="AQ97" s="586">
        <f t="shared" si="471"/>
        <v>0.39587484939253587</v>
      </c>
      <c r="AS97" s="52">
        <f t="shared" si="543"/>
        <v>-259.01601458028352</v>
      </c>
      <c r="AT97" s="73">
        <f t="shared" si="472"/>
        <v>-2.6737710106359898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Taper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5.2480000000000002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5.1479999999999997</v>
      </c>
      <c r="II97" s="734" cm="1">
        <f t="array" ref="II97">IFERROR(IF($IH97&lt;1,$IH97+LARGE((IF($M$9:$M$150="",0,$M$9:$M$150)-MOD(IF($M$9:$M$150="",0,$M$9:$M$150),1)),1),$IH97),"")</f>
        <v>5.1479999999999997</v>
      </c>
      <c r="IJ97" s="533">
        <f t="shared" si="542"/>
        <v>1613</v>
      </c>
      <c r="IK97" s="533">
        <f t="shared" si="517"/>
        <v>1313</v>
      </c>
      <c r="IL97" s="727">
        <f t="shared" si="647"/>
        <v>9.9379985651304992</v>
      </c>
      <c r="IM97" s="759">
        <v>1.7375101170219301E-2</v>
      </c>
      <c r="IN97" s="5">
        <f t="shared" si="648"/>
        <v>0.78</v>
      </c>
      <c r="IO97" s="771">
        <v>390</v>
      </c>
      <c r="IP97" s="9">
        <f t="shared" si="649"/>
        <v>-5.7140172334759773</v>
      </c>
      <c r="IQ97" s="5">
        <f t="shared" si="650"/>
        <v>-2.8733086658989366</v>
      </c>
      <c r="IR97" s="5">
        <f t="shared" si="518"/>
        <v>0.314</v>
      </c>
      <c r="IS97" s="5">
        <f t="shared" si="651"/>
        <v>0.29426787470796489</v>
      </c>
      <c r="IT97" s="727">
        <f t="shared" si="652"/>
        <v>84.671469856442215</v>
      </c>
      <c r="IU97" s="9">
        <f t="shared" si="653"/>
        <v>-5.7586137595655513</v>
      </c>
      <c r="IV97" s="5">
        <f t="shared" si="654"/>
        <v>-2.8536432429834089</v>
      </c>
      <c r="IW97" s="5">
        <f t="shared" si="519"/>
        <v>0.26600000000000001</v>
      </c>
      <c r="IX97" s="5">
        <f t="shared" si="655"/>
        <v>0.22924917719650711</v>
      </c>
      <c r="IY97" s="762">
        <f t="shared" si="656"/>
        <v>75.07336397851671</v>
      </c>
    </row>
    <row r="98" spans="1:259" ht="15" customHeight="1" x14ac:dyDescent="0.25">
      <c r="A98" s="79"/>
      <c r="B98" s="707">
        <v>-2.0147922492184804</v>
      </c>
      <c r="C98" s="708">
        <v>1.4107731369839083</v>
      </c>
      <c r="D98" s="709">
        <v>-0.16710050397512002</v>
      </c>
      <c r="E98" s="710">
        <v>-0.51721689905205193</v>
      </c>
      <c r="F98" s="708">
        <v>-0.81701855130363654</v>
      </c>
      <c r="G98" s="711">
        <v>0.25488696742024014</v>
      </c>
      <c r="H98" s="710">
        <v>0.314</v>
      </c>
      <c r="I98" s="708">
        <v>0.52</v>
      </c>
      <c r="J98" s="570">
        <v>6.1109999999999998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6.1109999999999998</v>
      </c>
      <c r="N98" s="632">
        <f t="shared" si="465"/>
        <v>-2.0147922492184804</v>
      </c>
      <c r="O98" s="629">
        <f t="shared" si="466"/>
        <v>1.4107731369839083</v>
      </c>
      <c r="P98" s="633">
        <f t="shared" si="467"/>
        <v>-0.16710050397512002</v>
      </c>
      <c r="Q98" s="585">
        <f t="shared" si="520"/>
        <v>144.99999205898365</v>
      </c>
      <c r="R98" s="629">
        <f t="shared" si="79"/>
        <v>2.4596074181759739</v>
      </c>
      <c r="S98" s="634">
        <f t="shared" si="80"/>
        <v>-0.16710050397512002</v>
      </c>
      <c r="T98" s="635">
        <f t="shared" si="81"/>
        <v>1.410773136983908</v>
      </c>
      <c r="U98" s="629">
        <f t="shared" si="82"/>
        <v>2.0147922492184804</v>
      </c>
      <c r="V98" s="636">
        <f t="shared" si="114"/>
        <v>-0.16710050397512002</v>
      </c>
      <c r="W98" s="585">
        <f t="shared" si="645"/>
        <v>54.999992058983651</v>
      </c>
      <c r="X98" s="629">
        <f t="shared" si="83"/>
        <v>2.4596074181759739</v>
      </c>
      <c r="Y98" s="630">
        <f t="shared" si="644"/>
        <v>-0.16710050397512002</v>
      </c>
      <c r="Z98" s="632">
        <f t="shared" si="468"/>
        <v>0.51721689905205193</v>
      </c>
      <c r="AA98" s="629">
        <f t="shared" si="469"/>
        <v>0.81701855130363654</v>
      </c>
      <c r="AB98" s="629">
        <f t="shared" si="470"/>
        <v>-0.25488696742024014</v>
      </c>
      <c r="AC98" s="636">
        <f t="shared" si="84"/>
        <v>1</v>
      </c>
      <c r="AD98" s="637">
        <f t="shared" si="115"/>
        <v>0.51721689905205193</v>
      </c>
      <c r="AE98" s="629">
        <f t="shared" si="85"/>
        <v>0.81701855130363654</v>
      </c>
      <c r="AF98" s="633">
        <f t="shared" si="86"/>
        <v>-0.25488696742024014</v>
      </c>
      <c r="AG98" s="602">
        <f t="shared" si="87"/>
        <v>72.673536627850339</v>
      </c>
      <c r="AH98" s="603">
        <f t="shared" si="88"/>
        <v>58.85424894098459</v>
      </c>
      <c r="AI98" s="585">
        <f t="shared" si="89"/>
        <v>-75.233112454846449</v>
      </c>
      <c r="AJ98" s="586">
        <f t="shared" si="90"/>
        <v>147.66397889323017</v>
      </c>
      <c r="AK98" s="635">
        <f t="shared" si="211"/>
        <v>0.96592583607220739</v>
      </c>
      <c r="AL98" s="629">
        <f t="shared" si="91"/>
        <v>4.4943442764441621E-2</v>
      </c>
      <c r="AM98" s="634">
        <f t="shared" si="92"/>
        <v>-0.25488696742024014</v>
      </c>
      <c r="AN98" s="581">
        <f t="shared" si="93"/>
        <v>9.9999985561788112</v>
      </c>
      <c r="AO98" s="582">
        <f t="shared" si="461"/>
        <v>14.999997834268255</v>
      </c>
      <c r="AP98" s="585">
        <f t="shared" si="95"/>
        <v>2.6639868342465061</v>
      </c>
      <c r="AQ98" s="586">
        <f t="shared" si="471"/>
        <v>0.9267852198911658</v>
      </c>
      <c r="AS98" s="52">
        <f t="shared" si="543"/>
        <v>-305.00000794101635</v>
      </c>
      <c r="AT98" s="73">
        <f t="shared" si="472"/>
        <v>4.4705057095030226E-2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6.1109999999999998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-2.6361003768559095</v>
      </c>
      <c r="C99" s="708">
        <v>1.8794797890024395</v>
      </c>
      <c r="D99" s="709">
        <v>-9.4900286219263247E-2</v>
      </c>
      <c r="E99" s="710">
        <v>-0.62836479593833339</v>
      </c>
      <c r="F99" s="708">
        <v>-0.73652848791766701</v>
      </c>
      <c r="G99" s="711">
        <v>0.25036667052763173</v>
      </c>
      <c r="H99" s="710">
        <v>0.314</v>
      </c>
      <c r="I99" s="708">
        <v>0.52</v>
      </c>
      <c r="J99" s="570">
        <v>6.117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6.117</v>
      </c>
      <c r="N99" s="632">
        <f t="shared" si="465"/>
        <v>-2.6361003768559095</v>
      </c>
      <c r="O99" s="629">
        <f t="shared" si="466"/>
        <v>1.8794797890024395</v>
      </c>
      <c r="P99" s="633">
        <f t="shared" si="467"/>
        <v>-9.4900286219263247E-2</v>
      </c>
      <c r="Q99" s="585">
        <f t="shared" si="520"/>
        <v>144.51199212944212</v>
      </c>
      <c r="R99" s="629">
        <f t="shared" si="79"/>
        <v>3.2375097643294488</v>
      </c>
      <c r="S99" s="634">
        <f t="shared" si="80"/>
        <v>-9.4900286219263247E-2</v>
      </c>
      <c r="T99" s="635">
        <f t="shared" si="81"/>
        <v>1.8794797890024395</v>
      </c>
      <c r="U99" s="629">
        <f t="shared" si="82"/>
        <v>2.6361003768559095</v>
      </c>
      <c r="V99" s="636">
        <f t="shared" si="114"/>
        <v>-9.4900286219263247E-2</v>
      </c>
      <c r="W99" s="585">
        <f t="shared" si="645"/>
        <v>54.51199212944212</v>
      </c>
      <c r="X99" s="629">
        <f t="shared" si="83"/>
        <v>3.2375097643294488</v>
      </c>
      <c r="Y99" s="630">
        <f t="shared" si="644"/>
        <v>-9.4900286219263247E-2</v>
      </c>
      <c r="Z99" s="632">
        <f t="shared" si="468"/>
        <v>0.62836479593833339</v>
      </c>
      <c r="AA99" s="629">
        <f t="shared" si="469"/>
        <v>0.73652848791766701</v>
      </c>
      <c r="AB99" s="629">
        <f t="shared" si="470"/>
        <v>-0.25036667052763173</v>
      </c>
      <c r="AC99" s="636">
        <f t="shared" si="84"/>
        <v>1</v>
      </c>
      <c r="AD99" s="637">
        <f t="shared" si="115"/>
        <v>0.62836479593833339</v>
      </c>
      <c r="AE99" s="629">
        <f t="shared" si="85"/>
        <v>0.73652848791766701</v>
      </c>
      <c r="AF99" s="633">
        <f t="shared" si="86"/>
        <v>-0.25036667052763173</v>
      </c>
      <c r="AG99" s="602">
        <f t="shared" si="87"/>
        <v>71.225663661820064</v>
      </c>
      <c r="AH99" s="603">
        <f t="shared" si="88"/>
        <v>51.070417079389287</v>
      </c>
      <c r="AI99" s="585">
        <f t="shared" si="89"/>
        <v>-75.500789087758804</v>
      </c>
      <c r="AJ99" s="586">
        <f t="shared" si="90"/>
        <v>139.53104908973745</v>
      </c>
      <c r="AK99" s="635">
        <f t="shared" si="211"/>
        <v>0.9644949933605399</v>
      </c>
      <c r="AL99" s="629">
        <f t="shared" si="91"/>
        <v>-8.4059134371942457E-2</v>
      </c>
      <c r="AM99" s="634">
        <f t="shared" si="92"/>
        <v>-0.25036667052763173</v>
      </c>
      <c r="AN99" s="581">
        <f t="shared" si="93"/>
        <v>-18.559173257353251</v>
      </c>
      <c r="AO99" s="582">
        <f t="shared" si="461"/>
        <v>15.313548748086191</v>
      </c>
      <c r="AP99" s="585">
        <f t="shared" si="95"/>
        <v>-4.9809430397046803</v>
      </c>
      <c r="AQ99" s="586">
        <f t="shared" si="471"/>
        <v>0.7041250930616394</v>
      </c>
      <c r="AS99" s="52">
        <f t="shared" si="543"/>
        <v>-305.48800787055791</v>
      </c>
      <c r="AT99" s="73">
        <f t="shared" si="472"/>
        <v>0.11724416369084642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6.117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-3.2129751903851229</v>
      </c>
      <c r="C100" s="708">
        <v>2.3663010292201925</v>
      </c>
      <c r="D100" s="709">
        <v>-0.30360091566036163</v>
      </c>
      <c r="E100" s="710">
        <v>-0.73049673373179447</v>
      </c>
      <c r="F100" s="708">
        <v>-0.65640048936431272</v>
      </c>
      <c r="G100" s="711">
        <v>0.18844871867293395</v>
      </c>
      <c r="H100" s="710">
        <v>0.314</v>
      </c>
      <c r="I100" s="708">
        <v>0.52</v>
      </c>
      <c r="J100" s="570">
        <v>6.1230000000000002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6.1230000000000002</v>
      </c>
      <c r="N100" s="632">
        <f t="shared" si="465"/>
        <v>-3.2129751903851229</v>
      </c>
      <c r="O100" s="629">
        <f t="shared" si="466"/>
        <v>2.3663010292201925</v>
      </c>
      <c r="P100" s="633">
        <f t="shared" si="467"/>
        <v>-0.30360091566036163</v>
      </c>
      <c r="Q100" s="585">
        <f t="shared" si="520"/>
        <v>143.62899225693153</v>
      </c>
      <c r="R100" s="629">
        <f t="shared" si="79"/>
        <v>3.990312034781097</v>
      </c>
      <c r="S100" s="634">
        <f t="shared" si="80"/>
        <v>-0.30360091566036163</v>
      </c>
      <c r="T100" s="635">
        <f t="shared" si="81"/>
        <v>2.3663010292201925</v>
      </c>
      <c r="U100" s="629">
        <f t="shared" si="82"/>
        <v>3.2129751903851229</v>
      </c>
      <c r="V100" s="636">
        <f t="shared" si="114"/>
        <v>-0.30360091566036163</v>
      </c>
      <c r="W100" s="585">
        <f t="shared" si="645"/>
        <v>53.628992256931525</v>
      </c>
      <c r="X100" s="629">
        <f t="shared" si="83"/>
        <v>3.990312034781097</v>
      </c>
      <c r="Y100" s="630">
        <f t="shared" si="644"/>
        <v>-0.30360091566036163</v>
      </c>
      <c r="Z100" s="632">
        <f t="shared" si="468"/>
        <v>0.73049673373179447</v>
      </c>
      <c r="AA100" s="629">
        <f t="shared" si="469"/>
        <v>0.65640048936431272</v>
      </c>
      <c r="AB100" s="629">
        <f t="shared" si="470"/>
        <v>-0.18844871867293395</v>
      </c>
      <c r="AC100" s="636">
        <f t="shared" si="84"/>
        <v>1</v>
      </c>
      <c r="AD100" s="637">
        <f t="shared" si="115"/>
        <v>0.73049673373179447</v>
      </c>
      <c r="AE100" s="629">
        <f t="shared" si="85"/>
        <v>0.65640048936431272</v>
      </c>
      <c r="AF100" s="633">
        <f t="shared" si="86"/>
        <v>-0.18844871867293395</v>
      </c>
      <c r="AG100" s="602">
        <f t="shared" si="87"/>
        <v>73.981538958280495</v>
      </c>
      <c r="AH100" s="603">
        <f t="shared" si="88"/>
        <v>43.071946828738056</v>
      </c>
      <c r="AI100" s="585">
        <f t="shared" si="89"/>
        <v>-79.137732978582108</v>
      </c>
      <c r="AJ100" s="586">
        <f t="shared" si="90"/>
        <v>131.94182838016829</v>
      </c>
      <c r="AK100" s="635">
        <f t="shared" si="211"/>
        <v>0.96172269905359631</v>
      </c>
      <c r="AL100" s="629">
        <f t="shared" si="91"/>
        <v>-0.19893850948369757</v>
      </c>
      <c r="AM100" s="634">
        <f t="shared" si="92"/>
        <v>-0.18844871867293395</v>
      </c>
      <c r="AN100" s="581">
        <f t="shared" si="93"/>
        <v>-46.551093753001311</v>
      </c>
      <c r="AO100" s="582">
        <f t="shared" si="461"/>
        <v>15.90389173157187</v>
      </c>
      <c r="AP100" s="585">
        <f t="shared" si="95"/>
        <v>-11.687163876763247</v>
      </c>
      <c r="AQ100" s="586">
        <f t="shared" si="471"/>
        <v>0.57129644517562672</v>
      </c>
      <c r="AS100" s="52">
        <f t="shared" si="543"/>
        <v>-306.3710077430685</v>
      </c>
      <c r="AT100" s="73">
        <f t="shared" si="472"/>
        <v>-9.0843271394341812E-2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6.1230000000000002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-3.6714217583930804</v>
      </c>
      <c r="C101" s="708">
        <v>2.7939390876571082</v>
      </c>
      <c r="D101" s="709">
        <v>-0.74830225687960672</v>
      </c>
      <c r="E101" s="710">
        <v>-0.77816345848289248</v>
      </c>
      <c r="F101" s="708">
        <v>-0.61250528095967627</v>
      </c>
      <c r="G101" s="711">
        <v>0.13892052648349643</v>
      </c>
      <c r="H101" s="710">
        <v>0.314</v>
      </c>
      <c r="I101" s="708">
        <v>0.52</v>
      </c>
      <c r="J101" s="570">
        <v>6.1289999999999996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6.1289999999999996</v>
      </c>
      <c r="N101" s="632">
        <f t="shared" si="465"/>
        <v>-3.6714217583930804</v>
      </c>
      <c r="O101" s="629">
        <f t="shared" si="466"/>
        <v>2.7939390876571082</v>
      </c>
      <c r="P101" s="633">
        <f t="shared" si="467"/>
        <v>-0.74830225687960672</v>
      </c>
      <c r="Q101" s="585">
        <f t="shared" si="520"/>
        <v>142.72899238687543</v>
      </c>
      <c r="R101" s="629">
        <f t="shared" si="79"/>
        <v>4.6136139146595667</v>
      </c>
      <c r="S101" s="634">
        <f t="shared" si="80"/>
        <v>-0.74830225687960672</v>
      </c>
      <c r="T101" s="635">
        <f t="shared" si="81"/>
        <v>2.7939390876571077</v>
      </c>
      <c r="U101" s="629">
        <f t="shared" si="82"/>
        <v>3.6714217583930808</v>
      </c>
      <c r="V101" s="636">
        <f t="shared" si="114"/>
        <v>-0.74830225687960672</v>
      </c>
      <c r="W101" s="585">
        <f t="shared" si="645"/>
        <v>52.728992386875433</v>
      </c>
      <c r="X101" s="629">
        <f t="shared" si="83"/>
        <v>4.6136139146595667</v>
      </c>
      <c r="Y101" s="630">
        <f t="shared" si="644"/>
        <v>-0.74830225687960672</v>
      </c>
      <c r="Z101" s="632">
        <f t="shared" si="468"/>
        <v>0.77816345848289248</v>
      </c>
      <c r="AA101" s="629">
        <f t="shared" si="469"/>
        <v>0.61250528095967627</v>
      </c>
      <c r="AB101" s="629">
        <f t="shared" si="470"/>
        <v>-0.13892052648349643</v>
      </c>
      <c r="AC101" s="636">
        <f t="shared" si="84"/>
        <v>1</v>
      </c>
      <c r="AD101" s="637">
        <f t="shared" si="115"/>
        <v>0.77816345848289248</v>
      </c>
      <c r="AE101" s="629">
        <f t="shared" si="85"/>
        <v>0.61250528095967627</v>
      </c>
      <c r="AF101" s="633">
        <f t="shared" si="86"/>
        <v>-0.13892052648349643</v>
      </c>
      <c r="AG101" s="602">
        <f t="shared" si="87"/>
        <v>77.22110640739794</v>
      </c>
      <c r="AH101" s="603">
        <f t="shared" si="88"/>
        <v>38.907270402469386</v>
      </c>
      <c r="AI101" s="585">
        <f t="shared" si="89"/>
        <v>-82.014613409007296</v>
      </c>
      <c r="AJ101" s="586">
        <f t="shared" si="90"/>
        <v>128.20686652796959</v>
      </c>
      <c r="AK101" s="635">
        <f t="shared" si="211"/>
        <v>0.95866420569658262</v>
      </c>
      <c r="AL101" s="629">
        <f t="shared" si="91"/>
        <v>-0.24832242757690765</v>
      </c>
      <c r="AM101" s="634">
        <f t="shared" si="92"/>
        <v>-0.13892052648349643</v>
      </c>
      <c r="AN101" s="581">
        <f t="shared" si="93"/>
        <v>-60.775776104876208</v>
      </c>
      <c r="AO101" s="582">
        <f t="shared" si="461"/>
        <v>16.531346699797748</v>
      </c>
      <c r="AP101" s="585">
        <f t="shared" si="95"/>
        <v>-14.522125858905833</v>
      </c>
      <c r="AQ101" s="586">
        <f t="shared" si="471"/>
        <v>0.4941180941912362</v>
      </c>
      <c r="AS101" s="52">
        <f t="shared" si="543"/>
        <v>-307.27100761312454</v>
      </c>
      <c r="AT101" s="73">
        <f t="shared" si="472"/>
        <v>-0.53491961270382582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6.1289999999999996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-4.0110539599748281</v>
      </c>
      <c r="C102" s="708">
        <v>3.1370503578227327</v>
      </c>
      <c r="D102" s="709">
        <v>-1.3438040529130237</v>
      </c>
      <c r="E102" s="710">
        <v>-0.80757232068210894</v>
      </c>
      <c r="F102" s="708">
        <v>-0.5819354328638352</v>
      </c>
      <c r="G102" s="711">
        <v>9.5802394780579489E-2</v>
      </c>
      <c r="H102" s="710">
        <v>0.314</v>
      </c>
      <c r="I102" s="708">
        <v>0.52</v>
      </c>
      <c r="J102" s="570">
        <v>6.1349999999999998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6.1349999999999998</v>
      </c>
      <c r="N102" s="632">
        <f t="shared" si="465"/>
        <v>-4.0110539599748281</v>
      </c>
      <c r="O102" s="629">
        <f t="shared" si="466"/>
        <v>3.1370503578227327</v>
      </c>
      <c r="P102" s="633">
        <f t="shared" si="467"/>
        <v>-1.3438040529130237</v>
      </c>
      <c r="Q102" s="585">
        <f t="shared" si="520"/>
        <v>141.97099249631708</v>
      </c>
      <c r="R102" s="629">
        <f t="shared" si="79"/>
        <v>5.0921153578199192</v>
      </c>
      <c r="S102" s="634">
        <f t="shared" si="80"/>
        <v>-1.3438040529130237</v>
      </c>
      <c r="T102" s="635">
        <f t="shared" si="81"/>
        <v>3.1370503578227322</v>
      </c>
      <c r="U102" s="629">
        <f t="shared" si="82"/>
        <v>4.0110539599748281</v>
      </c>
      <c r="V102" s="636">
        <f t="shared" si="114"/>
        <v>-1.3438040529130237</v>
      </c>
      <c r="W102" s="585">
        <f t="shared" si="645"/>
        <v>51.970992496317081</v>
      </c>
      <c r="X102" s="629">
        <f t="shared" si="83"/>
        <v>5.0921153578199192</v>
      </c>
      <c r="Y102" s="630">
        <f t="shared" si="644"/>
        <v>-1.3438040529130237</v>
      </c>
      <c r="Z102" s="632">
        <f t="shared" si="468"/>
        <v>0.80757232068210894</v>
      </c>
      <c r="AA102" s="629">
        <f t="shared" si="469"/>
        <v>0.5819354328638352</v>
      </c>
      <c r="AB102" s="629">
        <f t="shared" si="470"/>
        <v>-9.5802394780579489E-2</v>
      </c>
      <c r="AC102" s="636">
        <f t="shared" si="84"/>
        <v>1</v>
      </c>
      <c r="AD102" s="637">
        <f t="shared" si="115"/>
        <v>0.80757232068210894</v>
      </c>
      <c r="AE102" s="629">
        <f t="shared" si="85"/>
        <v>0.5819354328638352</v>
      </c>
      <c r="AF102" s="633">
        <f t="shared" si="86"/>
        <v>-9.5802394780579489E-2</v>
      </c>
      <c r="AG102" s="602">
        <f t="shared" si="87"/>
        <v>80.651410490367255</v>
      </c>
      <c r="AH102" s="603">
        <f t="shared" si="88"/>
        <v>36.140585786275146</v>
      </c>
      <c r="AI102" s="585">
        <f t="shared" si="89"/>
        <v>-84.502495699989723</v>
      </c>
      <c r="AJ102" s="586">
        <f t="shared" si="90"/>
        <v>125.77646622969422</v>
      </c>
      <c r="AK102" s="635">
        <f t="shared" si="211"/>
        <v>0.95590321859590444</v>
      </c>
      <c r="AL102" s="629">
        <f t="shared" si="91"/>
        <v>-0.27761653018560845</v>
      </c>
      <c r="AM102" s="634">
        <f t="shared" si="92"/>
        <v>-9.5802394780579489E-2</v>
      </c>
      <c r="AN102" s="581">
        <f t="shared" si="93"/>
        <v>-70.961011786655405</v>
      </c>
      <c r="AO102" s="582">
        <f t="shared" si="461"/>
        <v>17.07851293505902</v>
      </c>
      <c r="AP102" s="585">
        <f t="shared" si="95"/>
        <v>-16.194526266622859</v>
      </c>
      <c r="AQ102" s="586">
        <f t="shared" si="471"/>
        <v>0.44768825467384826</v>
      </c>
      <c r="AS102" s="52">
        <f t="shared" si="543"/>
        <v>-308.02900750368292</v>
      </c>
      <c r="AT102" s="73">
        <f t="shared" si="472"/>
        <v>-1.1298950199243549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6.1349999999999998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-4.253057731977882</v>
      </c>
      <c r="C103" s="708">
        <v>3.3967525130344112</v>
      </c>
      <c r="D103" s="709">
        <v>-2.0232061019896039</v>
      </c>
      <c r="E103" s="710">
        <v>-0.8333614297062093</v>
      </c>
      <c r="F103" s="708">
        <v>-0.54902223420774621</v>
      </c>
      <c r="G103" s="711">
        <v>6.3900812385738859E-2</v>
      </c>
      <c r="H103" s="710">
        <v>0.314</v>
      </c>
      <c r="I103" s="708">
        <v>0.52</v>
      </c>
      <c r="J103" s="570">
        <v>6.141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6.141</v>
      </c>
      <c r="N103" s="632">
        <f t="shared" si="465"/>
        <v>-4.253057731977882</v>
      </c>
      <c r="O103" s="629">
        <f t="shared" si="466"/>
        <v>3.3967525130344112</v>
      </c>
      <c r="P103" s="633">
        <f t="shared" si="467"/>
        <v>-2.0232061019896039</v>
      </c>
      <c r="Q103" s="585">
        <f t="shared" si="520"/>
        <v>141.38699258063625</v>
      </c>
      <c r="R103" s="629">
        <f t="shared" si="79"/>
        <v>5.4430164161375112</v>
      </c>
      <c r="S103" s="634">
        <f t="shared" si="80"/>
        <v>-2.0232061019896039</v>
      </c>
      <c r="T103" s="635">
        <f t="shared" si="81"/>
        <v>3.3967525130344103</v>
      </c>
      <c r="U103" s="629">
        <f t="shared" si="82"/>
        <v>4.2530577319778828</v>
      </c>
      <c r="V103" s="636">
        <f t="shared" si="114"/>
        <v>-2.0232061019896039</v>
      </c>
      <c r="W103" s="585">
        <f t="shared" si="645"/>
        <v>51.386992580636246</v>
      </c>
      <c r="X103" s="629">
        <f t="shared" si="83"/>
        <v>5.4430164161375112</v>
      </c>
      <c r="Y103" s="630">
        <f t="shared" si="644"/>
        <v>-2.0232061019896039</v>
      </c>
      <c r="Z103" s="632">
        <f t="shared" si="468"/>
        <v>0.8333614297062093</v>
      </c>
      <c r="AA103" s="629">
        <f t="shared" si="469"/>
        <v>0.54902223420774621</v>
      </c>
      <c r="AB103" s="629">
        <f t="shared" si="470"/>
        <v>-6.3900812385738859E-2</v>
      </c>
      <c r="AC103" s="636">
        <f t="shared" si="84"/>
        <v>1</v>
      </c>
      <c r="AD103" s="637">
        <f t="shared" si="115"/>
        <v>0.8333614297062093</v>
      </c>
      <c r="AE103" s="629">
        <f t="shared" si="85"/>
        <v>0.54902223420774621</v>
      </c>
      <c r="AF103" s="633">
        <f t="shared" si="86"/>
        <v>-6.3900812385738859E-2</v>
      </c>
      <c r="AG103" s="602">
        <f t="shared" si="87"/>
        <v>83.361202625984745</v>
      </c>
      <c r="AH103" s="603">
        <f t="shared" si="88"/>
        <v>33.554397406072134</v>
      </c>
      <c r="AI103" s="585">
        <f t="shared" si="89"/>
        <v>-86.336256883275183</v>
      </c>
      <c r="AJ103" s="586">
        <f t="shared" si="90"/>
        <v>123.37707049382364</v>
      </c>
      <c r="AK103" s="635">
        <f t="shared" si="211"/>
        <v>0.94905938066438422</v>
      </c>
      <c r="AL103" s="629">
        <f t="shared" si="91"/>
        <v>-0.30854979849187714</v>
      </c>
      <c r="AM103" s="634">
        <f t="shared" si="92"/>
        <v>-6.3900812385738859E-2</v>
      </c>
      <c r="AN103" s="581">
        <f t="shared" si="93"/>
        <v>-78.299426494212739</v>
      </c>
      <c r="AO103" s="582">
        <f t="shared" si="461"/>
        <v>18.366686224056888</v>
      </c>
      <c r="AP103" s="585">
        <f t="shared" si="95"/>
        <v>-18.009922086812615</v>
      </c>
      <c r="AQ103" s="586">
        <f t="shared" si="471"/>
        <v>0.41882769622843868</v>
      </c>
      <c r="AS103" s="52">
        <f t="shared" si="543"/>
        <v>-308.61300741936373</v>
      </c>
      <c r="AT103" s="73">
        <f t="shared" si="472"/>
        <v>-1.8088915135039347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6.141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-4.4155162349735964</v>
      </c>
      <c r="C104" s="708">
        <v>3.5788066348969676</v>
      </c>
      <c r="D104" s="709">
        <v>-2.7494082922154095</v>
      </c>
      <c r="E104" s="710">
        <v>-0.8590533513890134</v>
      </c>
      <c r="F104" s="708">
        <v>-0.51032777424229137</v>
      </c>
      <c r="G104" s="711">
        <v>3.9911180190686402E-2</v>
      </c>
      <c r="H104" s="710">
        <v>0.314</v>
      </c>
      <c r="I104" s="708">
        <v>0.52</v>
      </c>
      <c r="J104" s="570">
        <v>6.1470000000000002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6.1470000000000002</v>
      </c>
      <c r="N104" s="632">
        <f t="shared" si="465"/>
        <v>-4.4155162349735964</v>
      </c>
      <c r="O104" s="629">
        <f t="shared" si="466"/>
        <v>3.5788066348969676</v>
      </c>
      <c r="P104" s="633">
        <f t="shared" si="467"/>
        <v>-2.7494082922154095</v>
      </c>
      <c r="Q104" s="585">
        <f t="shared" si="520"/>
        <v>140.97499264012168</v>
      </c>
      <c r="R104" s="629">
        <f t="shared" si="79"/>
        <v>5.6837171420909014</v>
      </c>
      <c r="S104" s="634">
        <f t="shared" si="80"/>
        <v>-2.7494082922154095</v>
      </c>
      <c r="T104" s="635">
        <f t="shared" si="81"/>
        <v>3.5788066348969658</v>
      </c>
      <c r="U104" s="629">
        <f t="shared" si="82"/>
        <v>4.4155162349735981</v>
      </c>
      <c r="V104" s="636">
        <f t="shared" si="114"/>
        <v>-2.7494082922154095</v>
      </c>
      <c r="W104" s="585">
        <f t="shared" si="645"/>
        <v>50.974992640121684</v>
      </c>
      <c r="X104" s="629">
        <f t="shared" si="83"/>
        <v>5.6837171420909014</v>
      </c>
      <c r="Y104" s="630">
        <f t="shared" si="644"/>
        <v>-2.7494082922154095</v>
      </c>
      <c r="Z104" s="632">
        <f t="shared" si="468"/>
        <v>0.8590533513890134</v>
      </c>
      <c r="AA104" s="629">
        <f t="shared" si="469"/>
        <v>0.51032777424229137</v>
      </c>
      <c r="AB104" s="629">
        <f t="shared" si="470"/>
        <v>-3.9911180190686402E-2</v>
      </c>
      <c r="AC104" s="636">
        <f t="shared" si="84"/>
        <v>1</v>
      </c>
      <c r="AD104" s="637">
        <f t="shared" si="115"/>
        <v>0.8590533513890134</v>
      </c>
      <c r="AE104" s="629">
        <f t="shared" si="85"/>
        <v>0.51032777424229137</v>
      </c>
      <c r="AF104" s="633">
        <f t="shared" si="86"/>
        <v>-3.9911180190686402E-2</v>
      </c>
      <c r="AG104" s="602">
        <f t="shared" si="87"/>
        <v>85.528173900020533</v>
      </c>
      <c r="AH104" s="603">
        <f t="shared" si="88"/>
        <v>30.78954117636524</v>
      </c>
      <c r="AI104" s="585">
        <f t="shared" si="89"/>
        <v>-87.712650291291993</v>
      </c>
      <c r="AJ104" s="586">
        <f t="shared" si="90"/>
        <v>120.71278091324579</v>
      </c>
      <c r="AK104" s="635">
        <f t="shared" si="211"/>
        <v>0.93737008243276265</v>
      </c>
      <c r="AL104" s="629">
        <f t="shared" si="91"/>
        <v>-0.34604107596610911</v>
      </c>
      <c r="AM104" s="634">
        <f t="shared" si="92"/>
        <v>-3.9911180190686402E-2</v>
      </c>
      <c r="AN104" s="581">
        <f t="shared" si="93"/>
        <v>-83.420773719779092</v>
      </c>
      <c r="AO104" s="582">
        <f t="shared" si="461"/>
        <v>20.385514989054354</v>
      </c>
      <c r="AP104" s="585">
        <f t="shared" si="95"/>
        <v>-20.26221172687589</v>
      </c>
      <c r="AQ104" s="586">
        <f t="shared" si="471"/>
        <v>0.40109128153946355</v>
      </c>
      <c r="AS104" s="52">
        <f t="shared" si="543"/>
        <v>-309.02500735987832</v>
      </c>
      <c r="AT104" s="73">
        <f t="shared" si="472"/>
        <v>-2.5348075926599383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6.1470000000000002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-4.5102994283623365</v>
      </c>
      <c r="C105" s="708">
        <v>3.6880903271621128</v>
      </c>
      <c r="D105" s="709">
        <v>-3.5011105593494474</v>
      </c>
      <c r="E105" s="710">
        <v>-0.87200383883662347</v>
      </c>
      <c r="F105" s="708">
        <v>-0.48948398881061</v>
      </c>
      <c r="G105" s="711">
        <v>3.8379359357127722E-3</v>
      </c>
      <c r="H105" s="710">
        <v>0.314</v>
      </c>
      <c r="I105" s="708">
        <v>0.52</v>
      </c>
      <c r="J105" s="570">
        <v>6.1529999999999996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6.1529999999999996</v>
      </c>
      <c r="N105" s="632">
        <f t="shared" ref="N105:N136" si="661">IF(M105="","",B105)</f>
        <v>-4.5102994283623365</v>
      </c>
      <c r="O105" s="629">
        <f t="shared" ref="O105:O136" si="662">IF(M105="","",C105)</f>
        <v>3.6880903271621128</v>
      </c>
      <c r="P105" s="633">
        <f t="shared" ref="P105:P136" si="663">IF(M105="","",D105)</f>
        <v>-3.5011105593494474</v>
      </c>
      <c r="Q105" s="585">
        <f t="shared" si="520"/>
        <v>140.72699267592841</v>
      </c>
      <c r="R105" s="629">
        <f t="shared" si="79"/>
        <v>5.8262175718721965</v>
      </c>
      <c r="S105" s="634">
        <f t="shared" si="80"/>
        <v>-3.5011105593494474</v>
      </c>
      <c r="T105" s="635">
        <f t="shared" si="81"/>
        <v>3.6880903271621133</v>
      </c>
      <c r="U105" s="629">
        <f t="shared" si="82"/>
        <v>4.5102994283623357</v>
      </c>
      <c r="V105" s="636">
        <f t="shared" si="114"/>
        <v>-3.5011105593494474</v>
      </c>
      <c r="W105" s="585">
        <f t="shared" si="645"/>
        <v>50.726992675928415</v>
      </c>
      <c r="X105" s="629">
        <f t="shared" si="83"/>
        <v>5.8262175718721965</v>
      </c>
      <c r="Y105" s="630">
        <f t="shared" si="644"/>
        <v>-3.5011105593494474</v>
      </c>
      <c r="Z105" s="632">
        <f t="shared" ref="Z105:Z136" si="664">IF(M105="","",-E105)</f>
        <v>0.87200383883662347</v>
      </c>
      <c r="AA105" s="629">
        <f t="shared" ref="AA105:AA136" si="665">IF(M105="","",-F105)</f>
        <v>0.48948398881061</v>
      </c>
      <c r="AB105" s="629">
        <f t="shared" ref="AB105:AB136" si="666">IF(M105="","",-G105)</f>
        <v>-3.8379359357127722E-3</v>
      </c>
      <c r="AC105" s="636">
        <f t="shared" si="84"/>
        <v>1</v>
      </c>
      <c r="AD105" s="637">
        <f t="shared" si="115"/>
        <v>0.87200383883662347</v>
      </c>
      <c r="AE105" s="629">
        <f t="shared" si="85"/>
        <v>0.48948398881061</v>
      </c>
      <c r="AF105" s="633">
        <f t="shared" si="86"/>
        <v>-3.8379359357127722E-3</v>
      </c>
      <c r="AG105" s="602">
        <f t="shared" si="87"/>
        <v>89.550765642846002</v>
      </c>
      <c r="AH105" s="603">
        <f t="shared" si="88"/>
        <v>29.307659903484431</v>
      </c>
      <c r="AI105" s="585">
        <f t="shared" si="89"/>
        <v>-89.78010192899913</v>
      </c>
      <c r="AJ105" s="586">
        <f t="shared" si="90"/>
        <v>119.30690816893782</v>
      </c>
      <c r="AK105" s="635">
        <f t="shared" si="211"/>
        <v>0.93092099827705632</v>
      </c>
      <c r="AL105" s="629">
        <f t="shared" si="91"/>
        <v>-0.36520044525520856</v>
      </c>
      <c r="AM105" s="634">
        <f t="shared" si="92"/>
        <v>-3.8379359357127722E-3</v>
      </c>
      <c r="AN105" s="581">
        <f t="shared" si="93"/>
        <v>-89.397893843586729</v>
      </c>
      <c r="AO105" s="582">
        <f t="shared" si="461"/>
        <v>21.421160131810744</v>
      </c>
      <c r="AP105" s="585">
        <f t="shared" si="95"/>
        <v>-21.420084506990591</v>
      </c>
      <c r="AQ105" s="586">
        <f t="shared" ref="AQ105:AQ136" si="667">IF(M105="","",DEGREES(ATAN(($AS$5*SIN(RADIANS(90)))/(($X105*2*PI())-($AS$5*COS(RADIANS(90)))))))</f>
        <v>0.3912815070195117</v>
      </c>
      <c r="AS105" s="52">
        <f t="shared" si="543"/>
        <v>-309.27300732407161</v>
      </c>
      <c r="AT105" s="73">
        <f t="shared" ref="AT105:AT136" si="668">IF(M105="","",Y105+(((AS105-$AS$9)*$AS$6)*-1))</f>
        <v>-3.28633763759662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6.1529999999999996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-4.5902762232920979</v>
      </c>
      <c r="C106" s="708">
        <v>3.7778815748881325</v>
      </c>
      <c r="D106" s="709">
        <v>-4.2607128503099565</v>
      </c>
      <c r="E106" s="710">
        <v>-0.97995138249409763</v>
      </c>
      <c r="F106" s="708">
        <v>-0.16951809961961864</v>
      </c>
      <c r="G106" s="711">
        <v>0.10468477372216016</v>
      </c>
      <c r="H106" s="710">
        <v>0.26600000000000001</v>
      </c>
      <c r="I106" s="708">
        <v>0.52</v>
      </c>
      <c r="J106" s="570">
        <v>6.1589999999999998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1313</v>
      </c>
      <c r="L106" s="320"/>
      <c r="M106" s="168">
        <f t="shared" si="660"/>
        <v>6.1589999999999998</v>
      </c>
      <c r="N106" s="632">
        <f t="shared" si="661"/>
        <v>-4.5902762232920979</v>
      </c>
      <c r="O106" s="629">
        <f t="shared" si="662"/>
        <v>3.7778815748881325</v>
      </c>
      <c r="P106" s="633">
        <f t="shared" si="663"/>
        <v>-4.2607128503099565</v>
      </c>
      <c r="Q106" s="585">
        <f t="shared" si="520"/>
        <v>140.54499270220597</v>
      </c>
      <c r="R106" s="629">
        <f t="shared" ref="R106:R129" si="716">IF(M106="","",SQRT(N106^2+O106^2))</f>
        <v>5.9450000000000003</v>
      </c>
      <c r="S106" s="634">
        <f t="shared" ref="S106:S129" si="717">IF(M106="","",P106)</f>
        <v>-4.2607128503099565</v>
      </c>
      <c r="T106" s="635">
        <f t="shared" ref="T106:T129" si="718">IF(M106="","",X106*COS(RADIANS(W106)))</f>
        <v>3.7778815748881325</v>
      </c>
      <c r="U106" s="629">
        <f t="shared" ref="U106:U129" si="719">IF(M106="","",X106*SIN(RADIANS(W106)))</f>
        <v>4.5902762232920979</v>
      </c>
      <c r="V106" s="636">
        <f t="shared" ref="V106:V129" si="720">IF(M106="","",Y106)</f>
        <v>-4.2607128503099565</v>
      </c>
      <c r="W106" s="585">
        <f t="shared" si="645"/>
        <v>50.544992702205974</v>
      </c>
      <c r="X106" s="629">
        <f t="shared" ref="X106:X129" si="721">IF(M106="","",R106)</f>
        <v>5.9450000000000003</v>
      </c>
      <c r="Y106" s="630">
        <f t="shared" si="644"/>
        <v>-4.2607128503099565</v>
      </c>
      <c r="Z106" s="632">
        <f t="shared" si="664"/>
        <v>0.97995138249409763</v>
      </c>
      <c r="AA106" s="629">
        <f t="shared" si="665"/>
        <v>0.16951809961961864</v>
      </c>
      <c r="AB106" s="629">
        <f t="shared" si="666"/>
        <v>-0.10468477372216016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0.97995138249409763</v>
      </c>
      <c r="AE106" s="629">
        <f t="shared" ref="AE106:AE129" si="724">IF(M106="","",AA106*(1/SQRT(Z106^2+AA106^2+AB106^2)))</f>
        <v>0.16951809961961864</v>
      </c>
      <c r="AF106" s="633">
        <f t="shared" ref="AF106:AF129" si="725">IF(M106="","",AB106*(1/SQRT(Z106^2+AA106^2+AB106^2)))</f>
        <v>-0.10468477372216016</v>
      </c>
      <c r="AG106" s="602">
        <f t="shared" ref="AG106:AG129" si="726">IF(M106="","",DEGREES(ATAN2(-AF106,AE106)))</f>
        <v>58.302872089165575</v>
      </c>
      <c r="AH106" s="603">
        <f t="shared" ref="AH106:AH129" si="727">IF(M106="","",DEGREES(ACOS(AD106)))</f>
        <v>11.492330599462703</v>
      </c>
      <c r="AI106" s="585">
        <f t="shared" ref="AI106:AI129" si="728">IF(M106="","",DEGREES(-ACOS(-AF106)))</f>
        <v>-83.990994664481462</v>
      </c>
      <c r="AJ106" s="586">
        <f t="shared" ref="AJ106:AJ129" si="729">IF(M106="","",DEGREES(ATAN2(-AE106,AD106)))</f>
        <v>99.814255611969614</v>
      </c>
      <c r="AK106" s="635">
        <f t="shared" ref="AK106:AK129" si="730">IF(M106="","",(COS(RADIANS((90-$Q$8)-W106))*AD106)+(-SIN(RADIANS((90-$Q$8)-W106))*AE106))</f>
        <v>0.75362071897597993</v>
      </c>
      <c r="AL106" s="629">
        <f t="shared" ref="AL106:AL129" si="731">IF(M106="","",(SIN(RADIANS((90-$Q$8)-W106))*AD106)+(COS(RADIANS((90-$Q$8)-W106))*AE106))</f>
        <v>-0.64891980250325787</v>
      </c>
      <c r="AM106" s="634">
        <f t="shared" ref="AM106:AM129" si="732">IF(M106="","",AF106)</f>
        <v>-0.10468477372216016</v>
      </c>
      <c r="AN106" s="581">
        <f t="shared" ref="AN106:AN129" si="733">IF(M106="","",DEGREES(ATAN2(-AM106,AL106)))</f>
        <v>-80.83590694654562</v>
      </c>
      <c r="AO106" s="582">
        <f t="shared" si="461"/>
        <v>41.095003248590558</v>
      </c>
      <c r="AP106" s="585">
        <f t="shared" ref="AP106:AP129" si="734">IF(M106="","",DEGREES(ATAN2(AK106,AL106)))</f>
        <v>-40.730737090236346</v>
      </c>
      <c r="AQ106" s="586">
        <f t="shared" si="667"/>
        <v>0.38346385092791807</v>
      </c>
      <c r="AS106" s="52">
        <f t="shared" si="543"/>
        <v>-309.45500729779405</v>
      </c>
      <c r="AT106" s="73">
        <f t="shared" si="668"/>
        <v>-4.0458135396864883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6.1589999999999998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>
        <f t="shared" si="542"/>
        <v>1313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-1.8480681515784596</v>
      </c>
      <c r="C107" s="708">
        <v>2.6637811851711146</v>
      </c>
      <c r="D107" s="709">
        <v>-9.7770378498376859E-2</v>
      </c>
      <c r="E107" s="710">
        <v>-6.6209021676186489E-2</v>
      </c>
      <c r="F107" s="708">
        <v>9.5432417246982523E-2</v>
      </c>
      <c r="G107" s="711">
        <v>0.9932316040013428</v>
      </c>
      <c r="H107" s="710">
        <v>0.26250000000000001</v>
      </c>
      <c r="I107" s="708">
        <v>0.40699999999999997</v>
      </c>
      <c r="J107" s="570">
        <v>6.2169999999999996</v>
      </c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Inactive</v>
      </c>
      <c r="L107" s="320"/>
      <c r="M107" s="168">
        <f t="shared" si="660"/>
        <v>6.2169999999999996</v>
      </c>
      <c r="N107" s="632">
        <f t="shared" si="661"/>
        <v>-1.8480681515784596</v>
      </c>
      <c r="O107" s="629">
        <f t="shared" si="662"/>
        <v>2.6637811851711146</v>
      </c>
      <c r="P107" s="633">
        <f t="shared" si="663"/>
        <v>-9.7770378498376859E-2</v>
      </c>
      <c r="Q107" s="585">
        <f t="shared" si="520"/>
        <v>124.75199498243271</v>
      </c>
      <c r="R107" s="629">
        <f t="shared" si="716"/>
        <v>3.24208051956614</v>
      </c>
      <c r="S107" s="634">
        <f t="shared" si="717"/>
        <v>-9.7770378498376859E-2</v>
      </c>
      <c r="T107" s="635">
        <f t="shared" si="718"/>
        <v>2.6637811851711151</v>
      </c>
      <c r="U107" s="629">
        <f t="shared" si="719"/>
        <v>1.8480681515784587</v>
      </c>
      <c r="V107" s="636">
        <f t="shared" si="720"/>
        <v>-9.7770378498376859E-2</v>
      </c>
      <c r="W107" s="585">
        <f t="shared" si="645"/>
        <v>34.751994982432706</v>
      </c>
      <c r="X107" s="629">
        <f t="shared" si="721"/>
        <v>3.24208051956614</v>
      </c>
      <c r="Y107" s="630">
        <f t="shared" si="644"/>
        <v>-9.7770378498376859E-2</v>
      </c>
      <c r="Z107" s="632">
        <f t="shared" si="664"/>
        <v>6.6209021676186489E-2</v>
      </c>
      <c r="AA107" s="629">
        <f t="shared" si="665"/>
        <v>-9.5432417246982523E-2</v>
      </c>
      <c r="AB107" s="629">
        <f t="shared" si="666"/>
        <v>-0.9932316040013428</v>
      </c>
      <c r="AC107" s="636">
        <f t="shared" si="722"/>
        <v>1</v>
      </c>
      <c r="AD107" s="637">
        <f t="shared" si="723"/>
        <v>6.6209021676186489E-2</v>
      </c>
      <c r="AE107" s="629">
        <f t="shared" si="724"/>
        <v>-9.5432417246982523E-2</v>
      </c>
      <c r="AF107" s="633">
        <f t="shared" si="725"/>
        <v>-0.9932316040013428</v>
      </c>
      <c r="AG107" s="602">
        <f t="shared" si="726"/>
        <v>-5.4882879568696499</v>
      </c>
      <c r="AH107" s="603">
        <f t="shared" si="727"/>
        <v>86.203725459571402</v>
      </c>
      <c r="AI107" s="585">
        <f t="shared" si="728"/>
        <v>-6.6699990369838345</v>
      </c>
      <c r="AJ107" s="586">
        <f t="shared" si="729"/>
        <v>34.752106857716043</v>
      </c>
      <c r="AK107" s="635">
        <f t="shared" si="730"/>
        <v>2.2679489680710319E-7</v>
      </c>
      <c r="AL107" s="629">
        <f t="shared" si="731"/>
        <v>-0.11615068149980207</v>
      </c>
      <c r="AM107" s="634">
        <f t="shared" si="732"/>
        <v>-0.9932316040013428</v>
      </c>
      <c r="AN107" s="581">
        <f t="shared" si="733"/>
        <v>-6.6699990369712756</v>
      </c>
      <c r="AO107" s="582">
        <f t="shared" si="461"/>
        <v>0</v>
      </c>
      <c r="AP107" s="585">
        <f t="shared" si="734"/>
        <v>-89.999888124716676</v>
      </c>
      <c r="AQ107" s="586">
        <f t="shared" si="667"/>
        <v>0.70313250201095545</v>
      </c>
      <c r="AS107" s="52">
        <f t="shared" ref="AS107:AS138" si="737">IF(G107="","",IF(AND(W107&lt;(AS106+180),W107&gt;(AS106-180)),W107,IF(W107&gt;(AS106+180),W107-360,IF(W107&lt;(AS106-180),W107+360,"Error"))))</f>
        <v>-325.24800501756727</v>
      </c>
      <c r="AT107" s="73">
        <f t="shared" si="668"/>
        <v>0.12809629165271152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Nose</v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6.2169999999999996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0.11700000000000001</v>
      </c>
      <c r="II107" s="734" cm="1">
        <f t="array" ref="II107">IFERROR(IF($IH107&lt;1,$IH107+LARGE((IF($M$9:$M$150="",0,$M$9:$M$150)-MOD(IF($M$9:$M$150="",0,$M$9:$M$150),1)),1),$IH107),"")</f>
        <v>6.117</v>
      </c>
      <c r="IJ107" s="533">
        <f t="shared" si="542"/>
        <v>1613</v>
      </c>
      <c r="IK107" s="533" t="str">
        <f t="shared" si="713"/>
        <v>Inactive</v>
      </c>
      <c r="IL107" s="727">
        <f t="shared" si="647"/>
        <v>19.759997147009415</v>
      </c>
      <c r="IM107" s="759">
        <v>4.0977596491525298E-2</v>
      </c>
      <c r="IN107" s="5">
        <f t="shared" si="648"/>
        <v>0.76</v>
      </c>
      <c r="IO107" s="771">
        <v>380</v>
      </c>
      <c r="IP107" s="9">
        <f t="shared" si="649"/>
        <v>-3.2375097643294488</v>
      </c>
      <c r="IQ107" s="5">
        <f t="shared" si="650"/>
        <v>-9.4900286219263247E-2</v>
      </c>
      <c r="IR107" s="5">
        <f t="shared" si="714"/>
        <v>0.314</v>
      </c>
      <c r="IS107" s="5">
        <f t="shared" si="651"/>
        <v>0.30285142791520953</v>
      </c>
      <c r="IT107" s="727">
        <f t="shared" si="652"/>
        <v>18.559173257353251</v>
      </c>
      <c r="IU107" s="9">
        <f t="shared" si="653"/>
        <v>-3.24208051956614</v>
      </c>
      <c r="IV107" s="5">
        <f t="shared" si="654"/>
        <v>-9.7770378498376859E-2</v>
      </c>
      <c r="IW107" s="5">
        <f t="shared" si="715"/>
        <v>0.26250000000000001</v>
      </c>
      <c r="IX107" s="5">
        <f t="shared" si="655"/>
        <v>0.26250000000000001</v>
      </c>
      <c r="IY107" s="762">
        <f t="shared" si="656"/>
        <v>6.6699990369712756</v>
      </c>
    </row>
    <row r="108" spans="1:259" ht="15" customHeight="1" x14ac:dyDescent="0.25">
      <c r="A108" s="79"/>
      <c r="B108" s="707">
        <v>-2.6067649697543573</v>
      </c>
      <c r="C108" s="708">
        <v>3.0527775486739417</v>
      </c>
      <c r="D108" s="709">
        <v>-0.27042103798439049</v>
      </c>
      <c r="E108" s="710">
        <v>-0.86494794590134327</v>
      </c>
      <c r="F108" s="708">
        <v>-0.4184799039609331</v>
      </c>
      <c r="G108" s="711">
        <v>0.27701917056748143</v>
      </c>
      <c r="H108" s="710">
        <v>0.26600000000000001</v>
      </c>
      <c r="I108" s="708">
        <v>0.52</v>
      </c>
      <c r="J108" s="570">
        <v>6.2229999999999999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1313</v>
      </c>
      <c r="L108" s="320"/>
      <c r="M108" s="168">
        <f t="shared" si="660"/>
        <v>6.2229999999999999</v>
      </c>
      <c r="N108" s="632">
        <f t="shared" si="661"/>
        <v>-2.6067649697543573</v>
      </c>
      <c r="O108" s="629">
        <f t="shared" si="662"/>
        <v>3.0527775486739417</v>
      </c>
      <c r="P108" s="633">
        <f t="shared" si="663"/>
        <v>-0.27042103798439049</v>
      </c>
      <c r="Q108" s="585">
        <f t="shared" si="520"/>
        <v>130.49399415339062</v>
      </c>
      <c r="R108" s="629">
        <f t="shared" si="716"/>
        <v>4.0143087037777896</v>
      </c>
      <c r="S108" s="634">
        <f t="shared" si="717"/>
        <v>-0.27042103798439049</v>
      </c>
      <c r="T108" s="635">
        <f t="shared" si="718"/>
        <v>3.0527775486739417</v>
      </c>
      <c r="U108" s="629">
        <f t="shared" si="719"/>
        <v>2.6067649697543578</v>
      </c>
      <c r="V108" s="636">
        <f t="shared" si="720"/>
        <v>-0.27042103798439049</v>
      </c>
      <c r="W108" s="585">
        <f t="shared" si="645"/>
        <v>40.493994153390616</v>
      </c>
      <c r="X108" s="629">
        <f t="shared" si="721"/>
        <v>4.0143087037777896</v>
      </c>
      <c r="Y108" s="630">
        <f t="shared" si="644"/>
        <v>-0.27042103798439049</v>
      </c>
      <c r="Z108" s="632">
        <f t="shared" si="664"/>
        <v>0.86494794590134327</v>
      </c>
      <c r="AA108" s="629">
        <f t="shared" si="665"/>
        <v>0.4184799039609331</v>
      </c>
      <c r="AB108" s="629">
        <f t="shared" si="666"/>
        <v>-0.27701917056748143</v>
      </c>
      <c r="AC108" s="636">
        <f t="shared" si="722"/>
        <v>1</v>
      </c>
      <c r="AD108" s="637">
        <f t="shared" si="723"/>
        <v>0.86494794590134327</v>
      </c>
      <c r="AE108" s="629">
        <f t="shared" si="724"/>
        <v>0.4184799039609331</v>
      </c>
      <c r="AF108" s="633">
        <f t="shared" si="725"/>
        <v>-0.27701917056748143</v>
      </c>
      <c r="AG108" s="602">
        <f t="shared" si="726"/>
        <v>56.496823640160621</v>
      </c>
      <c r="AH108" s="603">
        <f t="shared" si="727"/>
        <v>30.123238112738832</v>
      </c>
      <c r="AI108" s="585">
        <f t="shared" si="728"/>
        <v>-73.917620243392236</v>
      </c>
      <c r="AJ108" s="586">
        <f t="shared" si="729"/>
        <v>115.81866803727375</v>
      </c>
      <c r="AK108" s="635">
        <f t="shared" si="730"/>
        <v>0.92951805642133811</v>
      </c>
      <c r="AL108" s="629">
        <f t="shared" si="731"/>
        <v>-0.24342670750105244</v>
      </c>
      <c r="AM108" s="634">
        <f t="shared" si="732"/>
        <v>-0.27701917056748143</v>
      </c>
      <c r="AN108" s="581">
        <f t="shared" si="733"/>
        <v>-41.306935567576076</v>
      </c>
      <c r="AO108" s="582">
        <f t="shared" si="461"/>
        <v>21.640186983120685</v>
      </c>
      <c r="AP108" s="585">
        <f t="shared" si="734"/>
        <v>-14.675326116116851</v>
      </c>
      <c r="AQ108" s="586">
        <f t="shared" si="667"/>
        <v>0.5678815829417756</v>
      </c>
      <c r="AS108" s="52">
        <f t="shared" si="737"/>
        <v>-319.50600584660936</v>
      </c>
      <c r="AT108" s="73">
        <f t="shared" si="668"/>
        <v>-4.8541867257578419E-2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Nose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6.2229999999999999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0.123</v>
      </c>
      <c r="II108" s="734" cm="1">
        <f t="array" ref="II108">IFERROR(IF($IH108&lt;1,$IH108+LARGE((IF($M$9:$M$150="",0,$M$9:$M$150)-MOD(IF($M$9:$M$150="",0,$M$9:$M$150),1)),1),$IH108),"")</f>
        <v>6.1230000000000002</v>
      </c>
      <c r="IJ108" s="533">
        <f t="shared" si="542"/>
        <v>1613</v>
      </c>
      <c r="IK108" s="533">
        <f t="shared" si="713"/>
        <v>1313</v>
      </c>
      <c r="IL108" s="727">
        <f t="shared" si="647"/>
        <v>13.134998103540909</v>
      </c>
      <c r="IM108" s="759">
        <v>1.40216742900448E-2</v>
      </c>
      <c r="IN108" s="5">
        <f t="shared" si="648"/>
        <v>0.4</v>
      </c>
      <c r="IO108" s="771">
        <v>200</v>
      </c>
      <c r="IP108" s="9">
        <f t="shared" si="649"/>
        <v>-3.990312034781097</v>
      </c>
      <c r="IQ108" s="5">
        <f t="shared" si="650"/>
        <v>-0.30360091566036163</v>
      </c>
      <c r="IR108" s="5">
        <f t="shared" si="714"/>
        <v>0.314</v>
      </c>
      <c r="IS108" s="5">
        <f t="shared" si="651"/>
        <v>0.30198092750282923</v>
      </c>
      <c r="IT108" s="727">
        <f t="shared" si="652"/>
        <v>46.551093753001311</v>
      </c>
      <c r="IU108" s="9">
        <f t="shared" si="653"/>
        <v>-4.0143087037777896</v>
      </c>
      <c r="IV108" s="5">
        <f t="shared" si="654"/>
        <v>-0.27042103798439049</v>
      </c>
      <c r="IW108" s="5">
        <f t="shared" si="715"/>
        <v>0.26600000000000001</v>
      </c>
      <c r="IX108" s="5">
        <f t="shared" si="655"/>
        <v>0.24725180300807595</v>
      </c>
      <c r="IY108" s="762">
        <f t="shared" si="656"/>
        <v>41.306935567576076</v>
      </c>
    </row>
    <row r="109" spans="1:259" ht="15" customHeight="1" x14ac:dyDescent="0.25">
      <c r="A109" s="79"/>
      <c r="B109" s="707">
        <v>-3.0495582170898463</v>
      </c>
      <c r="C109" s="708">
        <v>3.5032972018038295</v>
      </c>
      <c r="D109" s="709">
        <v>-0.71743865161999654</v>
      </c>
      <c r="E109" s="710">
        <v>-0.90179663822413902</v>
      </c>
      <c r="F109" s="708">
        <v>-0.35547171323048798</v>
      </c>
      <c r="G109" s="711">
        <v>0.24576957578313743</v>
      </c>
      <c r="H109" s="710">
        <v>0.26600000000000001</v>
      </c>
      <c r="I109" s="708">
        <v>0.52</v>
      </c>
      <c r="J109" s="570">
        <v>6.2290000000000001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1313</v>
      </c>
      <c r="L109" s="320"/>
      <c r="M109" s="168">
        <f t="shared" si="660"/>
        <v>6.2290000000000001</v>
      </c>
      <c r="N109" s="632">
        <f t="shared" si="661"/>
        <v>-3.0495582170898463</v>
      </c>
      <c r="O109" s="629">
        <f t="shared" si="662"/>
        <v>3.5032972018038295</v>
      </c>
      <c r="P109" s="633">
        <f t="shared" si="663"/>
        <v>-0.71743865161999654</v>
      </c>
      <c r="Q109" s="585">
        <f t="shared" si="520"/>
        <v>131.03899407470234</v>
      </c>
      <c r="R109" s="629">
        <f t="shared" si="716"/>
        <v>4.6446632389858733</v>
      </c>
      <c r="S109" s="634">
        <f t="shared" si="717"/>
        <v>-0.71743865161999654</v>
      </c>
      <c r="T109" s="635">
        <f t="shared" si="718"/>
        <v>3.5032972018038309</v>
      </c>
      <c r="U109" s="629">
        <f t="shared" si="719"/>
        <v>3.049558217089845</v>
      </c>
      <c r="V109" s="636">
        <f t="shared" si="720"/>
        <v>-0.71743865161999654</v>
      </c>
      <c r="W109" s="585">
        <f t="shared" si="645"/>
        <v>41.038994074702345</v>
      </c>
      <c r="X109" s="629">
        <f t="shared" si="721"/>
        <v>4.6446632389858733</v>
      </c>
      <c r="Y109" s="630">
        <f t="shared" si="644"/>
        <v>-0.71743865161999654</v>
      </c>
      <c r="Z109" s="632">
        <f t="shared" si="664"/>
        <v>0.90179663822413902</v>
      </c>
      <c r="AA109" s="629">
        <f t="shared" si="665"/>
        <v>0.35547171323048798</v>
      </c>
      <c r="AB109" s="629">
        <f t="shared" si="666"/>
        <v>-0.24576957578313743</v>
      </c>
      <c r="AC109" s="636">
        <f t="shared" si="722"/>
        <v>1</v>
      </c>
      <c r="AD109" s="637">
        <f t="shared" si="723"/>
        <v>0.90179663822413902</v>
      </c>
      <c r="AE109" s="629">
        <f t="shared" si="724"/>
        <v>0.35547171323048798</v>
      </c>
      <c r="AF109" s="633">
        <f t="shared" si="725"/>
        <v>-0.24576957578313743</v>
      </c>
      <c r="AG109" s="602">
        <f t="shared" si="726"/>
        <v>55.340407057590447</v>
      </c>
      <c r="AH109" s="603">
        <f t="shared" si="727"/>
        <v>25.604758460821518</v>
      </c>
      <c r="AI109" s="585">
        <f t="shared" si="728"/>
        <v>-75.77268218431135</v>
      </c>
      <c r="AJ109" s="586">
        <f t="shared" si="729"/>
        <v>111.51345035763818</v>
      </c>
      <c r="AK109" s="635">
        <f t="shared" si="730"/>
        <v>0.91358471109269446</v>
      </c>
      <c r="AL109" s="629">
        <f t="shared" si="731"/>
        <v>-0.32397575723664124</v>
      </c>
      <c r="AM109" s="634">
        <f t="shared" si="732"/>
        <v>-0.24576957578313743</v>
      </c>
      <c r="AN109" s="581">
        <f t="shared" si="733"/>
        <v>-52.815870140046968</v>
      </c>
      <c r="AO109" s="582">
        <f t="shared" si="461"/>
        <v>23.994469883964499</v>
      </c>
      <c r="AP109" s="585">
        <f t="shared" si="734"/>
        <v>-19.525543717064167</v>
      </c>
      <c r="AQ109" s="586">
        <f t="shared" si="667"/>
        <v>0.49081510340291701</v>
      </c>
      <c r="AS109" s="52">
        <f t="shared" si="737"/>
        <v>-318.96100592529763</v>
      </c>
      <c r="AT109" s="73">
        <f t="shared" si="668"/>
        <v>-0.49593795306076205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>Taper</v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6.2290000000000001</v>
      </c>
      <c r="IH109" s="731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0.129</v>
      </c>
      <c r="II109" s="734" cm="1">
        <f t="array" ref="II109">IFERROR(IF($IH109&lt;1,$IH109+LARGE((IF($M$9:$M$150="",0,$M$9:$M$150)-MOD(IF($M$9:$M$150="",0,$M$9:$M$150),1)),1),$IH109),"")</f>
        <v>6.1289999999999996</v>
      </c>
      <c r="IJ109" s="533">
        <f t="shared" si="542"/>
        <v>1613</v>
      </c>
      <c r="IK109" s="533">
        <f t="shared" si="713"/>
        <v>1313</v>
      </c>
      <c r="IL109" s="727">
        <f t="shared" si="647"/>
        <v>11.689998312173088</v>
      </c>
      <c r="IM109" s="759">
        <v>1.47536935018303E-2</v>
      </c>
      <c r="IN109" s="5">
        <f t="shared" si="648"/>
        <v>0.5</v>
      </c>
      <c r="IO109" s="771">
        <v>250</v>
      </c>
      <c r="IP109" s="9">
        <f t="shared" si="649"/>
        <v>-4.6136139146595667</v>
      </c>
      <c r="IQ109" s="5">
        <f t="shared" si="650"/>
        <v>-0.74830225687960672</v>
      </c>
      <c r="IR109" s="5">
        <f t="shared" si="714"/>
        <v>0.314</v>
      </c>
      <c r="IS109" s="5">
        <f t="shared" si="651"/>
        <v>0.30102056058872695</v>
      </c>
      <c r="IT109" s="727">
        <f t="shared" si="652"/>
        <v>60.775776104876208</v>
      </c>
      <c r="IU109" s="9">
        <f t="shared" si="653"/>
        <v>-4.6446632389858733</v>
      </c>
      <c r="IV109" s="5">
        <f t="shared" si="654"/>
        <v>-0.71743865161999654</v>
      </c>
      <c r="IW109" s="5">
        <f t="shared" si="715"/>
        <v>0.26600000000000001</v>
      </c>
      <c r="IX109" s="5">
        <f t="shared" si="655"/>
        <v>0.24301353315065674</v>
      </c>
      <c r="IY109" s="762">
        <f t="shared" si="656"/>
        <v>52.815870140046968</v>
      </c>
    </row>
    <row r="110" spans="1:259" ht="15" customHeight="1" x14ac:dyDescent="0.25">
      <c r="A110" s="79"/>
      <c r="B110" s="707">
        <v>-3.3736586509778133</v>
      </c>
      <c r="C110" s="708">
        <v>3.8618524929231581</v>
      </c>
      <c r="D110" s="709">
        <v>-1.3156193342863953</v>
      </c>
      <c r="E110" s="710">
        <v>-0.92752812491920633</v>
      </c>
      <c r="F110" s="708">
        <v>-0.31241917043799683</v>
      </c>
      <c r="G110" s="711">
        <v>0.20514833517895062</v>
      </c>
      <c r="H110" s="710">
        <v>0.26600000000000001</v>
      </c>
      <c r="I110" s="708">
        <v>0.52</v>
      </c>
      <c r="J110" s="570">
        <v>6.2350000000000003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6.2350000000000003</v>
      </c>
      <c r="N110" s="632">
        <f t="shared" si="661"/>
        <v>-3.3736586509778133</v>
      </c>
      <c r="O110" s="629">
        <f t="shared" si="662"/>
        <v>3.8618524929231581</v>
      </c>
      <c r="P110" s="633">
        <f t="shared" si="663"/>
        <v>-1.3156193342863953</v>
      </c>
      <c r="Q110" s="585">
        <f t="shared" si="520"/>
        <v>131.13999406011976</v>
      </c>
      <c r="R110" s="629">
        <f t="shared" si="716"/>
        <v>5.1279115993174305</v>
      </c>
      <c r="S110" s="634">
        <f t="shared" si="717"/>
        <v>-1.3156193342863953</v>
      </c>
      <c r="T110" s="635">
        <f t="shared" si="718"/>
        <v>3.8618524929231586</v>
      </c>
      <c r="U110" s="629">
        <f t="shared" si="719"/>
        <v>3.3736586509778124</v>
      </c>
      <c r="V110" s="636">
        <f t="shared" si="720"/>
        <v>-1.3156193342863953</v>
      </c>
      <c r="W110" s="585">
        <f t="shared" si="645"/>
        <v>41.139994060119761</v>
      </c>
      <c r="X110" s="629">
        <f t="shared" si="721"/>
        <v>5.1279115993174305</v>
      </c>
      <c r="Y110" s="630">
        <f t="shared" si="644"/>
        <v>-1.3156193342863953</v>
      </c>
      <c r="Z110" s="632">
        <f t="shared" si="664"/>
        <v>0.92752812491920633</v>
      </c>
      <c r="AA110" s="629">
        <f t="shared" si="665"/>
        <v>0.31241917043799683</v>
      </c>
      <c r="AB110" s="629">
        <f t="shared" si="666"/>
        <v>-0.20514833517895062</v>
      </c>
      <c r="AC110" s="636">
        <f t="shared" si="722"/>
        <v>1</v>
      </c>
      <c r="AD110" s="637">
        <f t="shared" si="723"/>
        <v>0.92752812491920633</v>
      </c>
      <c r="AE110" s="629">
        <f t="shared" si="724"/>
        <v>0.31241917043799683</v>
      </c>
      <c r="AF110" s="633">
        <f t="shared" si="725"/>
        <v>-0.20514833517895062</v>
      </c>
      <c r="AG110" s="602">
        <f t="shared" si="726"/>
        <v>56.709315119283069</v>
      </c>
      <c r="AH110" s="603">
        <f t="shared" si="727"/>
        <v>21.947284093424184</v>
      </c>
      <c r="AI110" s="585">
        <f t="shared" si="728"/>
        <v>-78.161817415519451</v>
      </c>
      <c r="AJ110" s="586">
        <f t="shared" si="729"/>
        <v>108.61506200640576</v>
      </c>
      <c r="AK110" s="635">
        <f t="shared" si="730"/>
        <v>0.90406637258959921</v>
      </c>
      <c r="AL110" s="629">
        <f t="shared" si="731"/>
        <v>-0.37493753416534459</v>
      </c>
      <c r="AM110" s="634">
        <f t="shared" si="732"/>
        <v>-0.20514833517895062</v>
      </c>
      <c r="AN110" s="581">
        <f t="shared" si="733"/>
        <v>-61.31457741929551</v>
      </c>
      <c r="AO110" s="582">
        <f t="shared" si="461"/>
        <v>25.302168769721611</v>
      </c>
      <c r="AP110" s="585">
        <f t="shared" si="734"/>
        <v>-22.524932053713982</v>
      </c>
      <c r="AQ110" s="586">
        <f t="shared" si="667"/>
        <v>0.44456321807362281</v>
      </c>
      <c r="AS110" s="52">
        <f t="shared" si="737"/>
        <v>-318.86000593988024</v>
      </c>
      <c r="AT110" s="73">
        <f t="shared" si="668"/>
        <v>-1.0941887746059229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>Taper</v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6.2350000000000003</v>
      </c>
      <c r="IH110" s="731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0.13500000000000001</v>
      </c>
      <c r="II110" s="734" cm="1">
        <f t="array" ref="II110">IFERROR(IF($IH110&lt;1,$IH110+LARGE((IF($M$9:$M$150="",0,$M$9:$M$150)-MOD(IF($M$9:$M$150="",0,$M$9:$M$150),1)),1),$IH110),"")</f>
        <v>6.1349999999999998</v>
      </c>
      <c r="IJ110" s="533">
        <f t="shared" si="542"/>
        <v>1613</v>
      </c>
      <c r="IK110" s="533">
        <f t="shared" si="713"/>
        <v>1313</v>
      </c>
      <c r="IL110" s="727">
        <f t="shared" si="647"/>
        <v>10.830998436197319</v>
      </c>
      <c r="IM110" s="759">
        <v>1.49012424182979E-2</v>
      </c>
      <c r="IN110" s="5">
        <f t="shared" si="648"/>
        <v>0.56000000000000005</v>
      </c>
      <c r="IO110" s="771">
        <v>280</v>
      </c>
      <c r="IP110" s="9">
        <f t="shared" si="649"/>
        <v>-5.0921153578199192</v>
      </c>
      <c r="IQ110" s="5">
        <f t="shared" si="650"/>
        <v>-1.3438040529130237</v>
      </c>
      <c r="IR110" s="5">
        <f t="shared" si="714"/>
        <v>0.314</v>
      </c>
      <c r="IS110" s="5">
        <f t="shared" si="651"/>
        <v>0.300153610639114</v>
      </c>
      <c r="IT110" s="727">
        <f t="shared" si="652"/>
        <v>70.961011786655405</v>
      </c>
      <c r="IU110" s="9">
        <f t="shared" si="653"/>
        <v>-5.1279115993174305</v>
      </c>
      <c r="IV110" s="5">
        <f t="shared" si="654"/>
        <v>-1.3156193342863953</v>
      </c>
      <c r="IW110" s="5">
        <f t="shared" si="715"/>
        <v>0.26600000000000001</v>
      </c>
      <c r="IX110" s="5">
        <f t="shared" si="655"/>
        <v>0.2404816551088334</v>
      </c>
      <c r="IY110" s="762">
        <f t="shared" si="656"/>
        <v>61.31457741929551</v>
      </c>
    </row>
    <row r="111" spans="1:259" ht="15" customHeight="1" x14ac:dyDescent="0.25">
      <c r="A111" s="79"/>
      <c r="B111" s="707">
        <v>-3.6034932485916409</v>
      </c>
      <c r="C111" s="708">
        <v>4.1328008226207773</v>
      </c>
      <c r="D111" s="709">
        <v>-1.9985309485586309</v>
      </c>
      <c r="E111" s="710">
        <v>-0.95012469502912278</v>
      </c>
      <c r="F111" s="708">
        <v>-0.2605830958544717</v>
      </c>
      <c r="G111" s="711">
        <v>0.17134618189710471</v>
      </c>
      <c r="H111" s="710">
        <v>0.26600000000000001</v>
      </c>
      <c r="I111" s="708">
        <v>0.52</v>
      </c>
      <c r="J111" s="570">
        <v>6.2409999999999997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1313</v>
      </c>
      <c r="L111" s="320"/>
      <c r="M111" s="168">
        <f t="shared" si="660"/>
        <v>6.2409999999999997</v>
      </c>
      <c r="N111" s="632">
        <f t="shared" si="661"/>
        <v>-3.6034932485916409</v>
      </c>
      <c r="O111" s="629">
        <f t="shared" si="662"/>
        <v>4.1328008226207773</v>
      </c>
      <c r="P111" s="633">
        <f t="shared" si="663"/>
        <v>-1.9985309485586309</v>
      </c>
      <c r="Q111" s="585">
        <f t="shared" si="520"/>
        <v>131.08599406791643</v>
      </c>
      <c r="R111" s="629">
        <f t="shared" si="716"/>
        <v>5.4831748314366662</v>
      </c>
      <c r="S111" s="634">
        <f t="shared" si="717"/>
        <v>-1.9985309485586309</v>
      </c>
      <c r="T111" s="635">
        <f t="shared" si="718"/>
        <v>4.1328008226207755</v>
      </c>
      <c r="U111" s="629">
        <f t="shared" si="719"/>
        <v>3.6034932485916431</v>
      </c>
      <c r="V111" s="636">
        <f t="shared" si="720"/>
        <v>-1.9985309485586309</v>
      </c>
      <c r="W111" s="585">
        <f t="shared" si="645"/>
        <v>41.085994067916431</v>
      </c>
      <c r="X111" s="629">
        <f t="shared" si="721"/>
        <v>5.4831748314366662</v>
      </c>
      <c r="Y111" s="630">
        <f t="shared" si="644"/>
        <v>-1.9985309485586309</v>
      </c>
      <c r="Z111" s="632">
        <f t="shared" si="664"/>
        <v>0.95012469502912278</v>
      </c>
      <c r="AA111" s="629">
        <f t="shared" si="665"/>
        <v>0.2605830958544717</v>
      </c>
      <c r="AB111" s="629">
        <f t="shared" si="666"/>
        <v>-0.17134618189710471</v>
      </c>
      <c r="AC111" s="636">
        <f t="shared" si="722"/>
        <v>1</v>
      </c>
      <c r="AD111" s="637">
        <f t="shared" si="723"/>
        <v>0.95012469502912278</v>
      </c>
      <c r="AE111" s="629">
        <f t="shared" si="724"/>
        <v>0.2605830958544717</v>
      </c>
      <c r="AF111" s="633">
        <f t="shared" si="725"/>
        <v>-0.17134618189710471</v>
      </c>
      <c r="AG111" s="602">
        <f t="shared" si="726"/>
        <v>56.673115894504562</v>
      </c>
      <c r="AH111" s="603">
        <f t="shared" si="727"/>
        <v>18.171977713115428</v>
      </c>
      <c r="AI111" s="585">
        <f t="shared" si="728"/>
        <v>-80.13390186220505</v>
      </c>
      <c r="AJ111" s="586">
        <f t="shared" si="729"/>
        <v>105.33693229039163</v>
      </c>
      <c r="AK111" s="635">
        <f t="shared" si="730"/>
        <v>0.88738471732124113</v>
      </c>
      <c r="AL111" s="629">
        <f t="shared" si="731"/>
        <v>-0.42800566516576077</v>
      </c>
      <c r="AM111" s="634">
        <f t="shared" si="732"/>
        <v>-0.17134618189710471</v>
      </c>
      <c r="AN111" s="581">
        <f t="shared" si="733"/>
        <v>-68.181984196406077</v>
      </c>
      <c r="AO111" s="582">
        <f t="shared" si="461"/>
        <v>27.453570684385387</v>
      </c>
      <c r="AP111" s="585">
        <f t="shared" si="734"/>
        <v>-25.749061777524798</v>
      </c>
      <c r="AQ111" s="586">
        <f t="shared" si="667"/>
        <v>0.41576033753778574</v>
      </c>
      <c r="AS111" s="52">
        <f t="shared" si="737"/>
        <v>-318.91400593208357</v>
      </c>
      <c r="AT111" s="73">
        <f t="shared" si="668"/>
        <v>-1.7770628888835729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Taper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6.2409999999999997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0.14099999999999999</v>
      </c>
      <c r="II111" s="734" cm="1">
        <f t="array" ref="II111">IFERROR(IF($IH111&lt;1,$IH111+LARGE((IF($M$9:$M$150="",0,$M$9:$M$150)-MOD(IF($M$9:$M$150="",0,$M$9:$M$150),1)),1),$IH111),"")</f>
        <v>6.141</v>
      </c>
      <c r="IJ111" s="533">
        <f t="shared" si="542"/>
        <v>1613</v>
      </c>
      <c r="IK111" s="533">
        <f t="shared" si="713"/>
        <v>1313</v>
      </c>
      <c r="IL111" s="727">
        <f t="shared" si="647"/>
        <v>10.300998512719815</v>
      </c>
      <c r="IM111" s="759">
        <v>1.5808404609379701E-2</v>
      </c>
      <c r="IN111" s="5">
        <f t="shared" si="648"/>
        <v>0.66</v>
      </c>
      <c r="IO111" s="771">
        <v>330</v>
      </c>
      <c r="IP111" s="9">
        <f t="shared" si="649"/>
        <v>-5.4430164161375112</v>
      </c>
      <c r="IQ111" s="5">
        <f t="shared" si="650"/>
        <v>-2.0232061019896039</v>
      </c>
      <c r="IR111" s="5">
        <f t="shared" si="714"/>
        <v>0.314</v>
      </c>
      <c r="IS111" s="5">
        <f t="shared" si="651"/>
        <v>0.29800464552861666</v>
      </c>
      <c r="IT111" s="727">
        <f t="shared" si="652"/>
        <v>78.299426494212739</v>
      </c>
      <c r="IU111" s="9">
        <f t="shared" si="653"/>
        <v>-5.4831748314366662</v>
      </c>
      <c r="IV111" s="5">
        <f t="shared" si="654"/>
        <v>-1.9985309485586309</v>
      </c>
      <c r="IW111" s="5">
        <f t="shared" si="715"/>
        <v>0.26600000000000001</v>
      </c>
      <c r="IX111" s="5">
        <f t="shared" si="655"/>
        <v>0.23604433480745016</v>
      </c>
      <c r="IY111" s="762">
        <f t="shared" si="656"/>
        <v>68.181984196406077</v>
      </c>
    </row>
    <row r="112" spans="1:259" ht="15" customHeight="1" x14ac:dyDescent="0.25">
      <c r="A112" s="79"/>
      <c r="B112" s="707">
        <v>-3.7575074135560249</v>
      </c>
      <c r="C112" s="708">
        <v>4.3229758494816179</v>
      </c>
      <c r="D112" s="709">
        <v>-2.7289675583345878</v>
      </c>
      <c r="E112" s="710">
        <v>-0.97003265548107831</v>
      </c>
      <c r="F112" s="708">
        <v>-0.19802302877002892</v>
      </c>
      <c r="G112" s="711">
        <v>0.14079604886882269</v>
      </c>
      <c r="H112" s="710">
        <v>0.26600000000000001</v>
      </c>
      <c r="I112" s="708">
        <v>0.52</v>
      </c>
      <c r="J112" s="570">
        <v>6.2469999999999999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1313</v>
      </c>
      <c r="L112" s="320"/>
      <c r="M112" s="168">
        <f t="shared" si="660"/>
        <v>6.2469999999999999</v>
      </c>
      <c r="N112" s="632">
        <f t="shared" si="661"/>
        <v>-3.7575074135560249</v>
      </c>
      <c r="O112" s="629">
        <f t="shared" si="662"/>
        <v>4.3229758494816179</v>
      </c>
      <c r="P112" s="633">
        <f t="shared" si="663"/>
        <v>-2.7289675583345878</v>
      </c>
      <c r="Q112" s="585">
        <f t="shared" si="520"/>
        <v>130.9969940807664</v>
      </c>
      <c r="R112" s="629">
        <f t="shared" si="716"/>
        <v>5.7277379617201243</v>
      </c>
      <c r="S112" s="634">
        <f t="shared" si="717"/>
        <v>-2.7289675583345878</v>
      </c>
      <c r="T112" s="635">
        <f t="shared" si="718"/>
        <v>4.3229758494816188</v>
      </c>
      <c r="U112" s="629">
        <f t="shared" si="719"/>
        <v>3.7575074135560245</v>
      </c>
      <c r="V112" s="636">
        <f t="shared" si="720"/>
        <v>-2.7289675583345878</v>
      </c>
      <c r="W112" s="585">
        <f t="shared" si="645"/>
        <v>40.996994080766399</v>
      </c>
      <c r="X112" s="629">
        <f t="shared" si="721"/>
        <v>5.7277379617201243</v>
      </c>
      <c r="Y112" s="630">
        <f t="shared" si="644"/>
        <v>-2.7289675583345878</v>
      </c>
      <c r="Z112" s="632">
        <f t="shared" si="664"/>
        <v>0.97003265548107831</v>
      </c>
      <c r="AA112" s="629">
        <f t="shared" si="665"/>
        <v>0.19802302877002892</v>
      </c>
      <c r="AB112" s="629">
        <f t="shared" si="666"/>
        <v>-0.14079604886882269</v>
      </c>
      <c r="AC112" s="636">
        <f t="shared" si="722"/>
        <v>1</v>
      </c>
      <c r="AD112" s="637">
        <f t="shared" si="723"/>
        <v>0.97003265548107831</v>
      </c>
      <c r="AE112" s="629">
        <f t="shared" si="724"/>
        <v>0.19802302877002892</v>
      </c>
      <c r="AF112" s="633">
        <f t="shared" si="725"/>
        <v>-0.14079604886882269</v>
      </c>
      <c r="AG112" s="602">
        <f t="shared" si="726"/>
        <v>54.586851081025472</v>
      </c>
      <c r="AH112" s="603">
        <f t="shared" si="727"/>
        <v>14.06216933094827</v>
      </c>
      <c r="AI112" s="585">
        <f t="shared" si="728"/>
        <v>-81.90608722864215</v>
      </c>
      <c r="AJ112" s="586">
        <f t="shared" si="729"/>
        <v>101.53786299916641</v>
      </c>
      <c r="AK112" s="635">
        <f t="shared" si="730"/>
        <v>0.86203327989338085</v>
      </c>
      <c r="AL112" s="629">
        <f t="shared" si="731"/>
        <v>-0.48690358078287765</v>
      </c>
      <c r="AM112" s="634">
        <f t="shared" si="732"/>
        <v>-0.14079604886882269</v>
      </c>
      <c r="AN112" s="581">
        <f t="shared" si="733"/>
        <v>-73.87191899406902</v>
      </c>
      <c r="AO112" s="582">
        <f t="shared" si="461"/>
        <v>30.454348254949185</v>
      </c>
      <c r="AP112" s="585">
        <f t="shared" si="734"/>
        <v>-29.459131081599978</v>
      </c>
      <c r="AQ112" s="586">
        <f t="shared" si="667"/>
        <v>0.3980087737709202</v>
      </c>
      <c r="AS112" s="52">
        <f t="shared" si="737"/>
        <v>-319.0030059192336</v>
      </c>
      <c r="AT112" s="73">
        <f t="shared" si="668"/>
        <v>-2.5074376931128977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Taper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6.2469999999999999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0.14699999999999999</v>
      </c>
      <c r="II112" s="734" cm="1">
        <f t="array" ref="II112">IFERROR(IF($IH112&lt;1,$IH112+LARGE((IF($M$9:$M$150="",0,$M$9:$M$150)-MOD(IF($M$9:$M$150="",0,$M$9:$M$150),1)),1),$IH112),"")</f>
        <v>6.1470000000000002</v>
      </c>
      <c r="IJ112" s="533">
        <f t="shared" si="542"/>
        <v>1613</v>
      </c>
      <c r="IK112" s="533">
        <f t="shared" si="713"/>
        <v>1313</v>
      </c>
      <c r="IL112" s="727">
        <f t="shared" si="647"/>
        <v>9.9779985593552851</v>
      </c>
      <c r="IM112" s="759">
        <v>1.7577979126278401E-2</v>
      </c>
      <c r="IN112" s="5">
        <f t="shared" si="648"/>
        <v>0.76</v>
      </c>
      <c r="IO112" s="771">
        <v>380</v>
      </c>
      <c r="IP112" s="9">
        <f t="shared" si="649"/>
        <v>-5.6837171420909014</v>
      </c>
      <c r="IQ112" s="5">
        <f t="shared" si="650"/>
        <v>-2.7494082922154095</v>
      </c>
      <c r="IR112" s="5">
        <f t="shared" si="714"/>
        <v>0.314</v>
      </c>
      <c r="IS112" s="5">
        <f t="shared" si="651"/>
        <v>0.29433420588388748</v>
      </c>
      <c r="IT112" s="727">
        <f t="shared" si="652"/>
        <v>83.420773719779092</v>
      </c>
      <c r="IU112" s="9">
        <f t="shared" si="653"/>
        <v>-5.7277379617201243</v>
      </c>
      <c r="IV112" s="5">
        <f t="shared" si="654"/>
        <v>-2.7289675583345878</v>
      </c>
      <c r="IW112" s="5">
        <f t="shared" si="715"/>
        <v>0.26600000000000001</v>
      </c>
      <c r="IX112" s="5">
        <f t="shared" si="655"/>
        <v>0.22930085245163934</v>
      </c>
      <c r="IY112" s="762">
        <f t="shared" si="656"/>
        <v>73.87191899406902</v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0.29580089213549071</v>
      </c>
      <c r="AN155">
        <v>-0.69200208707829458</v>
      </c>
      <c r="AO155">
        <v>-0.93969263802333458</v>
      </c>
      <c r="AP155">
        <v>-8.8521302156295598E-2</v>
      </c>
      <c r="AQ155">
        <v>0.33036604714967338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0.95530288119348972</v>
      </c>
      <c r="AN156">
        <v>-0.57010171942678589</v>
      </c>
      <c r="AO156">
        <v>-0.96592583607220739</v>
      </c>
      <c r="AP156">
        <v>-6.6987279208207198E-2</v>
      </c>
      <c r="AQ156">
        <v>0.24999996726497561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0.96592583607220739</v>
      </c>
      <c r="F157" s="170">
        <f t="shared" si="929"/>
        <v>5.6018678339987631E-2</v>
      </c>
      <c r="G157" s="170">
        <f t="shared" si="929"/>
        <v>-0.25268396641901958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0</v>
      </c>
      <c r="AM157">
        <v>1.6496049752086053</v>
      </c>
      <c r="AN157">
        <v>-0.38410115844909393</v>
      </c>
      <c r="AO157">
        <v>-0.96592583607220739</v>
      </c>
      <c r="AP157">
        <v>-6.6987279208207212E-2</v>
      </c>
      <c r="AQ157">
        <v>0.24999996726497564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0.96443514146672182</v>
      </c>
      <c r="F158" s="170">
        <f t="shared" si="929"/>
        <v>-6.8239919075151409E-2</v>
      </c>
      <c r="G158" s="170">
        <f t="shared" si="929"/>
        <v>-0.25535890693038527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0</v>
      </c>
      <c r="AM158">
        <v>2.3439070692237212</v>
      </c>
      <c r="AN158">
        <v>-0.19810059747140196</v>
      </c>
      <c r="AO158">
        <v>-0.96592583607220739</v>
      </c>
      <c r="AP158">
        <v>-5.6018678339987631E-2</v>
      </c>
      <c r="AQ158">
        <v>0.25268396641901958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0.95816076651341708</v>
      </c>
      <c r="F159" s="170">
        <f t="shared" si="929"/>
        <v>-0.20262594979882761</v>
      </c>
      <c r="G159" s="170">
        <f t="shared" si="929"/>
        <v>-0.20216495735548282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1.9954311332655926E-2</v>
      </c>
      <c r="AM159">
        <v>3.1067452885343974</v>
      </c>
      <c r="AN159">
        <v>-8.7200262995993205E-2</v>
      </c>
      <c r="AO159">
        <v>-0.96443514146672182</v>
      </c>
      <c r="AP159">
        <v>6.8239919075151409E-2</v>
      </c>
      <c r="AQ159">
        <v>0.25535890693038527</v>
      </c>
      <c r="AR159">
        <v>0.314</v>
      </c>
      <c r="AS159">
        <v>0.52</v>
      </c>
      <c r="AT159">
        <v>1.1160000000000001</v>
      </c>
    </row>
    <row r="160" spans="1:259" x14ac:dyDescent="0.25">
      <c r="E160" s="170">
        <f t="shared" si="929"/>
        <v>0.94950095293473735</v>
      </c>
      <c r="F160" s="170">
        <f t="shared" si="929"/>
        <v>-0.27772674138433701</v>
      </c>
      <c r="G160" s="170">
        <f t="shared" si="929"/>
        <v>-0.1459993064917206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8.1944333075938958E-2</v>
      </c>
      <c r="AM160">
        <v>3.8700442270560975</v>
      </c>
      <c r="AN160">
        <v>-0.25000075400227406</v>
      </c>
      <c r="AO160">
        <v>-0.95816076651341708</v>
      </c>
      <c r="AP160">
        <v>0.20262594979882761</v>
      </c>
      <c r="AQ160">
        <v>0.20216495735548282</v>
      </c>
      <c r="AR160">
        <v>0.314</v>
      </c>
      <c r="AS160">
        <v>0.52</v>
      </c>
      <c r="AT160">
        <v>1.1220000000000001</v>
      </c>
    </row>
    <row r="161" spans="5:46" x14ac:dyDescent="0.25">
      <c r="E161" s="170">
        <f t="shared" si="929"/>
        <v>0.94118483009344212</v>
      </c>
      <c r="F161" s="170">
        <f t="shared" si="929"/>
        <v>-0.32180368101964618</v>
      </c>
      <c r="G161" s="170">
        <f t="shared" si="929"/>
        <v>-0.10302187381417803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0.16792369526393902</v>
      </c>
      <c r="AM161">
        <v>4.5170934150408453</v>
      </c>
      <c r="AN161">
        <v>-0.66140199478841633</v>
      </c>
      <c r="AO161">
        <v>-0.94950095293473735</v>
      </c>
      <c r="AP161">
        <v>0.27772674138433701</v>
      </c>
      <c r="AQ161">
        <v>0.1459993064917206</v>
      </c>
      <c r="AR161">
        <v>0.314</v>
      </c>
      <c r="AS161">
        <v>0.52</v>
      </c>
      <c r="AT161">
        <v>1.1279999999999999</v>
      </c>
    </row>
    <row r="162" spans="5:46" x14ac:dyDescent="0.25">
      <c r="E162" s="170">
        <f t="shared" si="929"/>
        <v>0.92876614627188903</v>
      </c>
      <c r="F162" s="170">
        <f t="shared" si="929"/>
        <v>-0.3637563400817167</v>
      </c>
      <c r="G162" s="170">
        <f t="shared" si="929"/>
        <v>-7.1237424080454526E-2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0.25537628618947433</v>
      </c>
      <c r="AM162">
        <v>5.0152174384491683</v>
      </c>
      <c r="AN162">
        <v>-1.237403732009656</v>
      </c>
      <c r="AO162">
        <v>-0.94118483009344212</v>
      </c>
      <c r="AP162">
        <v>0.32180368101964618</v>
      </c>
      <c r="AQ162">
        <v>0.10302187381417803</v>
      </c>
      <c r="AR162">
        <v>0.314</v>
      </c>
      <c r="AS162">
        <v>0.52</v>
      </c>
      <c r="AT162">
        <v>1.1339999999999999</v>
      </c>
    </row>
    <row r="163" spans="5:46" x14ac:dyDescent="0.25">
      <c r="E163" s="170">
        <f t="shared" si="929"/>
        <v>0.91758412594779215</v>
      </c>
      <c r="F163" s="170">
        <f t="shared" si="929"/>
        <v>-0.39575310865612723</v>
      </c>
      <c r="G163" s="170">
        <f t="shared" si="929"/>
        <v>-3.7667609396375229E-2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0.33184167396411657</v>
      </c>
      <c r="AM163">
        <v>5.3823964249753216</v>
      </c>
      <c r="AN163">
        <v>-1.9060057485133375</v>
      </c>
      <c r="AO163">
        <v>-0.92876614627188903</v>
      </c>
      <c r="AP163">
        <v>0.3637563400817167</v>
      </c>
      <c r="AQ163">
        <v>7.1237424080454526E-2</v>
      </c>
      <c r="AR163">
        <v>0.314</v>
      </c>
      <c r="AS163">
        <v>0.52</v>
      </c>
      <c r="AT163">
        <v>1.1399999999999999</v>
      </c>
    </row>
    <row r="164" spans="5:46" x14ac:dyDescent="0.25">
      <c r="E164" s="170">
        <f t="shared" si="929"/>
        <v>0.90150450064407506</v>
      </c>
      <c r="F164" s="170">
        <f t="shared" si="929"/>
        <v>-0.43262380225133806</v>
      </c>
      <c r="G164" s="170">
        <f t="shared" si="929"/>
        <v>-1.123748388529297E-2</v>
      </c>
      <c r="H164" s="139"/>
      <c r="I164" s="86"/>
      <c r="J164" s="79">
        <f t="shared" si="930"/>
        <v>1.1519999999999999</v>
      </c>
      <c r="AL164">
        <v>0.39101878937303619</v>
      </c>
      <c r="AM164">
        <v>5.637071692345919</v>
      </c>
      <c r="AN164">
        <v>-2.6261079203414881</v>
      </c>
      <c r="AO164">
        <v>-0.91758412594779215</v>
      </c>
      <c r="AP164">
        <v>0.39575310865612723</v>
      </c>
      <c r="AQ164">
        <v>3.7667609396375229E-2</v>
      </c>
      <c r="AR164">
        <v>0.314</v>
      </c>
      <c r="AS164">
        <v>0.52</v>
      </c>
      <c r="AT164">
        <v>1.1459999999999999</v>
      </c>
    </row>
    <row r="165" spans="5:46" x14ac:dyDescent="0.25">
      <c r="E165" s="170">
        <f t="shared" si="929"/>
        <v>0.70093821739540008</v>
      </c>
      <c r="F165" s="170">
        <f t="shared" si="929"/>
        <v>-0.70549749364919734</v>
      </c>
      <c r="G165" s="170">
        <f t="shared" si="929"/>
        <v>-0.10468477372216015</v>
      </c>
      <c r="H165" s="139"/>
      <c r="I165" s="86"/>
      <c r="J165" s="79">
        <f t="shared" si="930"/>
        <v>1.1579999999999999</v>
      </c>
      <c r="AL165">
        <v>0.42978230027171371</v>
      </c>
      <c r="AM165">
        <v>5.7929966273937588</v>
      </c>
      <c r="AN165">
        <v>-3.3747101781258975</v>
      </c>
      <c r="AO165">
        <v>-0.90150450064407506</v>
      </c>
      <c r="AP165">
        <v>0.43262380225133806</v>
      </c>
      <c r="AQ165">
        <v>1.123748388529297E-2</v>
      </c>
      <c r="AR165">
        <v>0.314</v>
      </c>
      <c r="AS165">
        <v>0.52</v>
      </c>
      <c r="AT165">
        <v>1.1519999999999999</v>
      </c>
    </row>
    <row r="166" spans="5:46" x14ac:dyDescent="0.25">
      <c r="E166" s="170">
        <f t="shared" si="929"/>
        <v>9.0374524311116797E-2</v>
      </c>
      <c r="F166" s="170">
        <f t="shared" si="929"/>
        <v>0.19666860076048892</v>
      </c>
      <c r="G166" s="170">
        <f t="shared" si="929"/>
        <v>-0.97629601393760224</v>
      </c>
      <c r="H166" s="139"/>
      <c r="I166" s="86"/>
      <c r="J166" s="79">
        <f t="shared" si="930"/>
        <v>1.21</v>
      </c>
      <c r="AL166">
        <v>0.4617843156595221</v>
      </c>
      <c r="AM166">
        <v>5.9270380668434104</v>
      </c>
      <c r="AN166">
        <v>-4.1370124772296304</v>
      </c>
      <c r="AO166">
        <v>-0.70093821739540008</v>
      </c>
      <c r="AP166">
        <v>0.70549749364919734</v>
      </c>
      <c r="AQ166">
        <v>0.10468477372216015</v>
      </c>
      <c r="AR166">
        <v>0.26600000000000001</v>
      </c>
      <c r="AS166">
        <v>0.52</v>
      </c>
      <c r="AT166">
        <v>1.1579999999999999</v>
      </c>
    </row>
    <row r="167" spans="5:46" x14ac:dyDescent="0.25">
      <c r="E167" s="170">
        <f t="shared" si="929"/>
        <v>-2.0488355663329561E-2</v>
      </c>
      <c r="F167" s="170">
        <f t="shared" si="929"/>
        <v>-5.4353443201704897E-2</v>
      </c>
      <c r="G167" s="170">
        <f t="shared" si="929"/>
        <v>-0.99831153979823961</v>
      </c>
      <c r="H167" s="139"/>
      <c r="I167" s="86"/>
      <c r="J167" s="79">
        <f t="shared" si="930"/>
        <v>1.216</v>
      </c>
      <c r="AL167">
        <v>0.97514166963961169</v>
      </c>
      <c r="AM167">
        <v>2.1220612648044233</v>
      </c>
      <c r="AN167">
        <v>-0.20710382141006767</v>
      </c>
      <c r="AO167">
        <v>-9.0374524311116797E-2</v>
      </c>
      <c r="AP167">
        <v>-0.19666860076048892</v>
      </c>
      <c r="AQ167">
        <v>0.97629601393760224</v>
      </c>
      <c r="AR167">
        <v>0.26250000000000001</v>
      </c>
      <c r="AS167">
        <v>0.41199999999999998</v>
      </c>
      <c r="AT167">
        <v>1.21</v>
      </c>
    </row>
    <row r="168" spans="5:46" x14ac:dyDescent="0.25">
      <c r="E168" s="170">
        <f t="shared" si="929"/>
        <v>-0.12873723719771715</v>
      </c>
      <c r="F168" s="170">
        <f t="shared" si="929"/>
        <v>-0.37451775325907261</v>
      </c>
      <c r="G168" s="170">
        <f t="shared" si="929"/>
        <v>-0.91823917159554636</v>
      </c>
      <c r="H168" s="139"/>
      <c r="I168" s="86"/>
      <c r="J168" s="79">
        <f t="shared" si="930"/>
        <v>1.222</v>
      </c>
      <c r="AL168">
        <v>1.0966514327186088</v>
      </c>
      <c r="AM168">
        <v>2.9092659856593226</v>
      </c>
      <c r="AN168">
        <v>-9.0454896098958071E-2</v>
      </c>
      <c r="AO168">
        <v>2.0488355663329561E-2</v>
      </c>
      <c r="AP168">
        <v>5.4353443201704897E-2</v>
      </c>
      <c r="AQ168">
        <v>0.99831153979823961</v>
      </c>
      <c r="AR168">
        <v>0.26250000000000001</v>
      </c>
      <c r="AS168">
        <v>0.41199999999999998</v>
      </c>
      <c r="AT168">
        <v>1.216</v>
      </c>
    </row>
    <row r="169" spans="5:46" x14ac:dyDescent="0.25">
      <c r="E169" s="170">
        <f t="shared" si="929"/>
        <v>0.81900296312753107</v>
      </c>
      <c r="F169" s="170">
        <f t="shared" si="929"/>
        <v>-0.52070086002206395</v>
      </c>
      <c r="G169" s="170">
        <f t="shared" si="929"/>
        <v>-0.241049291143133</v>
      </c>
      <c r="H169" s="139"/>
      <c r="I169" s="86"/>
      <c r="J169" s="79">
        <f t="shared" si="930"/>
        <v>1.228</v>
      </c>
      <c r="AL169">
        <v>1.2632072693372076</v>
      </c>
      <c r="AM169">
        <v>3.6748704369004686</v>
      </c>
      <c r="AN169">
        <v>-0.25493475750779115</v>
      </c>
      <c r="AO169">
        <v>0.12873723719771715</v>
      </c>
      <c r="AP169">
        <v>0.37451775325907261</v>
      </c>
      <c r="AQ169">
        <v>0.91823917159554636</v>
      </c>
      <c r="AR169">
        <v>0.26250000000000001</v>
      </c>
      <c r="AS169">
        <v>0.41199999999999998</v>
      </c>
      <c r="AT169">
        <v>1.222</v>
      </c>
    </row>
    <row r="170" spans="5:46" x14ac:dyDescent="0.25">
      <c r="E170" s="170">
        <f t="shared" si="929"/>
        <v>0.78976968783996393</v>
      </c>
      <c r="F170" s="170">
        <f t="shared" si="929"/>
        <v>-0.57478907341848895</v>
      </c>
      <c r="G170" s="170">
        <f t="shared" si="929"/>
        <v>-0.2141993493171282</v>
      </c>
      <c r="H170" s="139"/>
      <c r="I170" s="86"/>
      <c r="J170" s="79">
        <f t="shared" si="930"/>
        <v>1.234</v>
      </c>
      <c r="AL170">
        <v>1.101528766124475</v>
      </c>
      <c r="AM170">
        <v>4.4150366830856518</v>
      </c>
      <c r="AN170">
        <v>-0.63028720439553931</v>
      </c>
      <c r="AO170">
        <v>-0.81900296312753107</v>
      </c>
      <c r="AP170">
        <v>0.52070086002206395</v>
      </c>
      <c r="AQ170">
        <v>0.241049291143133</v>
      </c>
      <c r="AR170">
        <v>0.26600000000000001</v>
      </c>
      <c r="AS170">
        <v>0.52</v>
      </c>
      <c r="AT170">
        <v>1.228</v>
      </c>
    </row>
    <row r="171" spans="5:46" x14ac:dyDescent="0.25">
      <c r="E171" s="170">
        <f t="shared" si="929"/>
        <v>0.75997514113952136</v>
      </c>
      <c r="F171" s="170">
        <f t="shared" si="929"/>
        <v>-0.62426633391862796</v>
      </c>
      <c r="G171" s="170">
        <f t="shared" si="929"/>
        <v>-0.1809124904083762</v>
      </c>
      <c r="H171" s="139"/>
      <c r="I171" s="86"/>
      <c r="J171" s="79">
        <f t="shared" si="930"/>
        <v>1.24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1.211434165127558</v>
      </c>
      <c r="AM171">
        <v>4.909507244948446</v>
      </c>
      <c r="AN171">
        <v>-1.2086914639916828</v>
      </c>
      <c r="AO171">
        <v>-0.78976968783996393</v>
      </c>
      <c r="AP171">
        <v>0.57478907341848895</v>
      </c>
      <c r="AQ171">
        <v>0.2141993493171282</v>
      </c>
      <c r="AR171">
        <v>0.26600000000000001</v>
      </c>
      <c r="AS171">
        <v>0.52</v>
      </c>
      <c r="AT171">
        <v>1.234</v>
      </c>
    </row>
    <row r="172" spans="5:46" x14ac:dyDescent="0.25">
      <c r="E172" s="170">
        <f t="shared" si="929"/>
        <v>0.73070592455049144</v>
      </c>
      <c r="F172" s="170">
        <f t="shared" si="929"/>
        <v>-0.66777474155738115</v>
      </c>
      <c r="G172" s="170">
        <f t="shared" si="929"/>
        <v>-0.14193571208397335</v>
      </c>
      <c r="H172" s="139"/>
      <c r="I172" s="86"/>
      <c r="J172" s="79">
        <f t="shared" si="930"/>
        <v>1.246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1.305034498763898</v>
      </c>
      <c r="AM172">
        <v>5.273005874657307</v>
      </c>
      <c r="AN172">
        <v>-1.8806738686541891</v>
      </c>
      <c r="AO172">
        <v>-0.75997514113952136</v>
      </c>
      <c r="AP172">
        <v>0.62426633391862796</v>
      </c>
      <c r="AQ172">
        <v>0.1809124904083762</v>
      </c>
      <c r="AR172">
        <v>0.26600000000000001</v>
      </c>
      <c r="AS172">
        <v>0.52</v>
      </c>
      <c r="AT172">
        <v>1.24</v>
      </c>
    </row>
    <row r="173" spans="5:46" x14ac:dyDescent="0.25">
      <c r="E173" s="170">
        <f t="shared" si="929"/>
        <v>0.36798285680815962</v>
      </c>
      <c r="F173" s="170">
        <f t="shared" si="929"/>
        <v>-0.89314397096129527</v>
      </c>
      <c r="G173" s="170">
        <f t="shared" si="929"/>
        <v>-0.25861644230557829</v>
      </c>
      <c r="H173" s="139"/>
      <c r="I173" s="86"/>
      <c r="J173" s="79">
        <f t="shared" si="930"/>
        <v>2.1150000000000002</v>
      </c>
      <c r="O173">
        <f>IF($J24="","",IFERROR(INDEX(Settings!$AK$14:$AK$32,MATCH((((ROUND($H24,6)*2)*1000000)+ROUND($I24,6)),Settings!$AI$14:$AI$32,0)),"Undefined"))</f>
        <v>1313</v>
      </c>
      <c r="AL173">
        <v>1.3763518939884309</v>
      </c>
      <c r="AM173">
        <v>5.5251762628577801</v>
      </c>
      <c r="AN173">
        <v>-2.6049215590380057</v>
      </c>
      <c r="AO173">
        <v>-0.73070592455049144</v>
      </c>
      <c r="AP173">
        <v>0.66777474155738115</v>
      </c>
      <c r="AQ173">
        <v>0.14193571208397335</v>
      </c>
      <c r="AR173">
        <v>0.26600000000000001</v>
      </c>
      <c r="AS173">
        <v>0.52</v>
      </c>
      <c r="AT173">
        <v>1.246</v>
      </c>
    </row>
    <row r="174" spans="5:46" x14ac:dyDescent="0.25">
      <c r="E174" s="170">
        <f t="shared" ref="E174:G193" si="933">E29*-1</f>
        <v>0.24029248534187708</v>
      </c>
      <c r="F174" s="170">
        <f t="shared" si="933"/>
        <v>-0.94667729426749081</v>
      </c>
      <c r="G174" s="170">
        <f t="shared" si="933"/>
        <v>-0.21461971486004408</v>
      </c>
      <c r="H174" s="139"/>
      <c r="I174" s="86"/>
      <c r="J174" s="79">
        <f t="shared" si="930"/>
        <v>2.121</v>
      </c>
      <c r="AL174">
        <v>2.702791491380756</v>
      </c>
      <c r="AM174">
        <v>1.2453723875362377</v>
      </c>
      <c r="AN174">
        <v>-8.7400263599195019E-2</v>
      </c>
      <c r="AO174">
        <v>-0.36798285680815962</v>
      </c>
      <c r="AP174">
        <v>0.89314397096129527</v>
      </c>
      <c r="AQ174">
        <v>0.25861644230557829</v>
      </c>
      <c r="AR174">
        <v>0.314</v>
      </c>
      <c r="AS174">
        <v>0.52</v>
      </c>
      <c r="AT174">
        <v>2.1150000000000002</v>
      </c>
    </row>
    <row r="175" spans="5:46" x14ac:dyDescent="0.25">
      <c r="E175" s="170">
        <f t="shared" si="933"/>
        <v>0.15817352240638965</v>
      </c>
      <c r="F175" s="170">
        <f t="shared" si="933"/>
        <v>-0.97548140027871011</v>
      </c>
      <c r="G175" s="170">
        <f t="shared" si="933"/>
        <v>-0.1530267117853685</v>
      </c>
      <c r="H175" s="139"/>
      <c r="I175" s="86"/>
      <c r="J175" s="79">
        <f t="shared" si="930"/>
        <v>2.1269999999999998</v>
      </c>
      <c r="AL175">
        <v>3.4258602989122062</v>
      </c>
      <c r="AM175">
        <v>1.5212062731109279</v>
      </c>
      <c r="AN175">
        <v>-0.20370061436105291</v>
      </c>
      <c r="AO175">
        <v>-0.24029248534187708</v>
      </c>
      <c r="AP175">
        <v>0.94667729426749081</v>
      </c>
      <c r="AQ175">
        <v>0.21461971486004408</v>
      </c>
      <c r="AR175">
        <v>0.314</v>
      </c>
      <c r="AS175">
        <v>0.52</v>
      </c>
      <c r="AT175">
        <v>2.121</v>
      </c>
    </row>
    <row r="176" spans="5:46" x14ac:dyDescent="0.25">
      <c r="E176" s="170">
        <f t="shared" si="933"/>
        <v>0.1131220208522625</v>
      </c>
      <c r="F176" s="170">
        <f t="shared" si="933"/>
        <v>-0.98723698670682269</v>
      </c>
      <c r="G176" s="170">
        <f t="shared" si="933"/>
        <v>-0.11210058196250898</v>
      </c>
      <c r="H176" s="139"/>
      <c r="I176" s="86"/>
      <c r="J176" s="79">
        <f t="shared" si="930"/>
        <v>2.133</v>
      </c>
      <c r="AL176">
        <v>4.0706174564361897</v>
      </c>
      <c r="AM176">
        <v>1.7292966204417597</v>
      </c>
      <c r="AN176">
        <v>-0.5790017462692667</v>
      </c>
      <c r="AO176">
        <v>-0.15817352240638965</v>
      </c>
      <c r="AP176">
        <v>0.97548140027871011</v>
      </c>
      <c r="AQ176">
        <v>0.1530267117853685</v>
      </c>
      <c r="AR176">
        <v>0.314</v>
      </c>
      <c r="AS176">
        <v>0.52</v>
      </c>
      <c r="AT176">
        <v>2.1269999999999998</v>
      </c>
    </row>
    <row r="177" spans="5:46" x14ac:dyDescent="0.25">
      <c r="E177" s="170">
        <f t="shared" si="933"/>
        <v>6.7220408885826075E-2</v>
      </c>
      <c r="F177" s="170">
        <f t="shared" si="933"/>
        <v>-0.99463729546129687</v>
      </c>
      <c r="G177" s="170">
        <f t="shared" si="933"/>
        <v>-7.8600681337119935E-2</v>
      </c>
      <c r="H177" s="139"/>
      <c r="I177" s="86"/>
      <c r="J177" s="79">
        <f t="shared" si="930"/>
        <v>2.1389999999999998</v>
      </c>
      <c r="AL177">
        <v>4.5807819278332449</v>
      </c>
      <c r="AM177">
        <v>1.869844881819783</v>
      </c>
      <c r="AN177">
        <v>-1.1334034183447097</v>
      </c>
      <c r="AO177">
        <v>-0.1131220208522625</v>
      </c>
      <c r="AP177">
        <v>0.98723698670682269</v>
      </c>
      <c r="AQ177">
        <v>0.11210058196250898</v>
      </c>
      <c r="AR177">
        <v>0.314</v>
      </c>
      <c r="AS177">
        <v>0.52</v>
      </c>
      <c r="AT177">
        <v>2.133</v>
      </c>
    </row>
    <row r="178" spans="5:46" x14ac:dyDescent="0.25">
      <c r="E178" s="170">
        <f t="shared" si="933"/>
        <v>3.1766725579014533E-2</v>
      </c>
      <c r="F178" s="170">
        <f t="shared" si="933"/>
        <v>-0.99848090107113829</v>
      </c>
      <c r="G178" s="170">
        <f t="shared" si="933"/>
        <v>-4.5019610639759261E-2</v>
      </c>
      <c r="H178" s="139"/>
      <c r="I178" s="86"/>
      <c r="J178" s="79">
        <f t="shared" si="930"/>
        <v>2.145</v>
      </c>
      <c r="AL178">
        <v>4.9654884997957121</v>
      </c>
      <c r="AM178">
        <v>1.9621632748828346</v>
      </c>
      <c r="AN178">
        <v>-1.7901053989578832</v>
      </c>
      <c r="AO178">
        <v>-6.7220408885826075E-2</v>
      </c>
      <c r="AP178">
        <v>0.99463729546129687</v>
      </c>
      <c r="AQ178">
        <v>7.8600681337119935E-2</v>
      </c>
      <c r="AR178">
        <v>0.314</v>
      </c>
      <c r="AS178">
        <v>0.52</v>
      </c>
      <c r="AT178">
        <v>2.1389999999999998</v>
      </c>
    </row>
    <row r="179" spans="5:46" x14ac:dyDescent="0.25">
      <c r="E179" s="170">
        <f t="shared" si="933"/>
        <v>-9.8143043520953592E-3</v>
      </c>
      <c r="F179" s="170">
        <f t="shared" si="933"/>
        <v>-0.9997764575522804</v>
      </c>
      <c r="G179" s="170">
        <f t="shared" si="933"/>
        <v>-1.8727369123763223E-2</v>
      </c>
      <c r="H179" s="139"/>
      <c r="I179" s="86"/>
      <c r="J179" s="79">
        <f t="shared" si="930"/>
        <v>2.1509999999999998</v>
      </c>
      <c r="AL179">
        <v>5.2386116997450429</v>
      </c>
      <c r="AM179">
        <v>2.0206723299090936</v>
      </c>
      <c r="AN179">
        <v>-2.5036075508803739</v>
      </c>
      <c r="AO179">
        <v>-3.1766725579014533E-2</v>
      </c>
      <c r="AP179">
        <v>0.99848090107113829</v>
      </c>
      <c r="AQ179">
        <v>4.5019610639759261E-2</v>
      </c>
      <c r="AR179">
        <v>0.314</v>
      </c>
      <c r="AS179">
        <v>0.52</v>
      </c>
      <c r="AT179">
        <v>2.145</v>
      </c>
    </row>
    <row r="180" spans="5:46" x14ac:dyDescent="0.25">
      <c r="E180" s="170">
        <f t="shared" si="933"/>
        <v>-0.18672537868769354</v>
      </c>
      <c r="F180" s="170">
        <f t="shared" si="933"/>
        <v>-0.98125486555547647</v>
      </c>
      <c r="G180" s="170">
        <f t="shared" si="933"/>
        <v>-4.7670974162916518E-2</v>
      </c>
      <c r="H180" s="139"/>
      <c r="I180" s="86"/>
      <c r="J180" s="79">
        <f t="shared" si="930"/>
        <v>2.157</v>
      </c>
      <c r="AL180">
        <v>5.4121041360413074</v>
      </c>
      <c r="AM180">
        <v>2.0549962983104662</v>
      </c>
      <c r="AN180">
        <v>-3.2486097978071506</v>
      </c>
      <c r="AO180">
        <v>9.8143043520953592E-3</v>
      </c>
      <c r="AP180">
        <v>0.9997764575522804</v>
      </c>
      <c r="AQ180">
        <v>1.8727369123763223E-2</v>
      </c>
      <c r="AR180">
        <v>0.314</v>
      </c>
      <c r="AS180">
        <v>0.52</v>
      </c>
      <c r="AT180">
        <v>2.1509999999999998</v>
      </c>
    </row>
    <row r="181" spans="5:46" x14ac:dyDescent="0.25">
      <c r="E181" s="170">
        <f t="shared" si="933"/>
        <v>-0.34316927509596146</v>
      </c>
      <c r="F181" s="170">
        <f t="shared" si="933"/>
        <v>-0.93342163397944267</v>
      </c>
      <c r="G181" s="170">
        <f t="shared" si="933"/>
        <v>-0.10468477372216055</v>
      </c>
      <c r="H181" s="139"/>
      <c r="I181" s="86"/>
      <c r="J181" s="79">
        <f t="shared" si="930"/>
        <v>2.1629999999999998</v>
      </c>
      <c r="AL181">
        <v>5.4932935760203838</v>
      </c>
      <c r="AM181">
        <v>2.0701521009195538</v>
      </c>
      <c r="AN181">
        <v>-4.009512092688472</v>
      </c>
      <c r="AO181">
        <v>0.18672537868769354</v>
      </c>
      <c r="AP181">
        <v>0.98125486555547647</v>
      </c>
      <c r="AQ181">
        <v>4.7670974162916518E-2</v>
      </c>
      <c r="AR181">
        <v>0.314</v>
      </c>
      <c r="AS181">
        <v>0.52</v>
      </c>
      <c r="AT181">
        <v>2.157</v>
      </c>
    </row>
    <row r="182" spans="5:46" x14ac:dyDescent="0.25">
      <c r="E182" s="170">
        <f t="shared" si="933"/>
        <v>-0.34023525249139147</v>
      </c>
      <c r="F182" s="170">
        <f t="shared" si="933"/>
        <v>-3.4895830795538499E-2</v>
      </c>
      <c r="G182" s="170">
        <f t="shared" si="933"/>
        <v>-0.93969263802331038</v>
      </c>
      <c r="H182" s="139"/>
      <c r="I182" s="86"/>
      <c r="J182" s="79">
        <f t="shared" si="930"/>
        <v>2.2210000000000001</v>
      </c>
      <c r="AL182">
        <v>5.5668807897864454</v>
      </c>
      <c r="AM182">
        <v>2.0863516655412218</v>
      </c>
      <c r="AN182">
        <v>-4.8025144843836838</v>
      </c>
      <c r="AO182">
        <v>0.34316927509596146</v>
      </c>
      <c r="AP182">
        <v>0.93342163397944267</v>
      </c>
      <c r="AQ182">
        <v>0.10468477372216055</v>
      </c>
      <c r="AR182">
        <v>0.26600000000000001</v>
      </c>
      <c r="AS182">
        <v>0.52</v>
      </c>
      <c r="AT182">
        <v>2.1629999999999998</v>
      </c>
    </row>
    <row r="183" spans="5:46" x14ac:dyDescent="0.25">
      <c r="E183" s="170">
        <f t="shared" si="933"/>
        <v>-0.11872527549710224</v>
      </c>
      <c r="F183" s="170">
        <f t="shared" si="933"/>
        <v>-0.96111905680836074</v>
      </c>
      <c r="G183" s="170">
        <f t="shared" si="933"/>
        <v>-0.24930797740534558</v>
      </c>
      <c r="H183" s="139"/>
      <c r="I183" s="86"/>
      <c r="J183" s="79">
        <f t="shared" si="930"/>
        <v>2.2269999999999999</v>
      </c>
      <c r="AL183">
        <v>3.7422392670383822</v>
      </c>
      <c r="AM183">
        <v>0.38381588659532812</v>
      </c>
      <c r="AN183">
        <v>-0.20681867489110051</v>
      </c>
      <c r="AO183">
        <v>0.34023525249139147</v>
      </c>
      <c r="AP183">
        <v>3.4895830795538499E-2</v>
      </c>
      <c r="AQ183">
        <v>0.93969263802331038</v>
      </c>
      <c r="AR183">
        <v>0.26250000000000001</v>
      </c>
      <c r="AS183">
        <v>0.41199999999999998</v>
      </c>
      <c r="AT183">
        <v>2.2210000000000001</v>
      </c>
    </row>
    <row r="184" spans="5:46" x14ac:dyDescent="0.25">
      <c r="E184" s="170">
        <f t="shared" si="933"/>
        <v>-0.17935543913423177</v>
      </c>
      <c r="F184" s="170">
        <f t="shared" si="933"/>
        <v>-0.95753889498578693</v>
      </c>
      <c r="G184" s="170">
        <f t="shared" si="933"/>
        <v>-0.22572304056601095</v>
      </c>
      <c r="H184" s="139"/>
      <c r="I184" s="86"/>
      <c r="J184" s="79">
        <f t="shared" si="930"/>
        <v>2.2330000000000001</v>
      </c>
      <c r="AL184">
        <v>4.3713031737745531</v>
      </c>
      <c r="AM184">
        <v>0.84407188666048771</v>
      </c>
      <c r="AN184">
        <v>-0.54756767915237636</v>
      </c>
      <c r="AO184">
        <v>0.11872527549710224</v>
      </c>
      <c r="AP184">
        <v>0.96111905680836074</v>
      </c>
      <c r="AQ184">
        <v>0.24930797740534558</v>
      </c>
      <c r="AR184">
        <v>0.26600000000000001</v>
      </c>
      <c r="AS184">
        <v>0.52</v>
      </c>
      <c r="AT184">
        <v>2.2269999999999999</v>
      </c>
    </row>
    <row r="185" spans="5:46" x14ac:dyDescent="0.25">
      <c r="E185" s="170">
        <f t="shared" si="933"/>
        <v>-0.22712766429444403</v>
      </c>
      <c r="F185" s="170">
        <f t="shared" si="933"/>
        <v>-0.9571529386496832</v>
      </c>
      <c r="G185" s="170">
        <f t="shared" si="933"/>
        <v>-0.17964207788384723</v>
      </c>
      <c r="H185" s="139"/>
      <c r="I185" s="86"/>
      <c r="J185" s="79">
        <f t="shared" si="930"/>
        <v>2.2389999999999999</v>
      </c>
      <c r="AL185">
        <v>4.8879611705650561</v>
      </c>
      <c r="AM185">
        <v>0.96190021594566055</v>
      </c>
      <c r="AN185">
        <v>-1.103951479514963</v>
      </c>
      <c r="AO185">
        <v>0.17935543913423177</v>
      </c>
      <c r="AP185">
        <v>0.95753889498578693</v>
      </c>
      <c r="AQ185">
        <v>0.22572304056601095</v>
      </c>
      <c r="AR185">
        <v>0.26600000000000001</v>
      </c>
      <c r="AS185">
        <v>0.52</v>
      </c>
      <c r="AT185">
        <v>2.2330000000000001</v>
      </c>
    </row>
    <row r="186" spans="5:46" x14ac:dyDescent="0.25">
      <c r="E186" s="170">
        <f t="shared" si="933"/>
        <v>-0.29266358271636145</v>
      </c>
      <c r="F186" s="170">
        <f t="shared" si="933"/>
        <v>-0.94407524493227557</v>
      </c>
      <c r="G186" s="170">
        <f t="shared" si="933"/>
        <v>-0.15188798259799025</v>
      </c>
      <c r="H186" s="139"/>
      <c r="I186" s="86"/>
      <c r="J186" s="79">
        <f t="shared" si="930"/>
        <v>2.2450000000000001</v>
      </c>
      <c r="AL186">
        <v>5.2770518125281543</v>
      </c>
      <c r="AM186">
        <v>1.0363646791931707</v>
      </c>
      <c r="AN186">
        <v>-1.7641898751641278</v>
      </c>
      <c r="AO186">
        <v>0.22712766429444403</v>
      </c>
      <c r="AP186">
        <v>0.9571529386496832</v>
      </c>
      <c r="AQ186">
        <v>0.17964207788384723</v>
      </c>
      <c r="AR186">
        <v>0.26600000000000001</v>
      </c>
      <c r="AS186">
        <v>0.52</v>
      </c>
      <c r="AT186">
        <v>2.2389999999999999</v>
      </c>
    </row>
    <row r="187" spans="5:46" x14ac:dyDescent="0.25">
      <c r="E187" s="170">
        <f t="shared" si="933"/>
        <v>-0.33950396396433596</v>
      </c>
      <c r="F187" s="170">
        <f t="shared" si="933"/>
        <v>-0.93436901234537506</v>
      </c>
      <c r="G187" s="170">
        <f t="shared" si="933"/>
        <v>-0.10812773567050839</v>
      </c>
      <c r="H187" s="139"/>
      <c r="I187" s="86"/>
      <c r="J187" s="79">
        <f t="shared" si="930"/>
        <v>2.2509999999999999</v>
      </c>
      <c r="AL187">
        <v>5.5531831867463666</v>
      </c>
      <c r="AM187">
        <v>1.0820407813252182</v>
      </c>
      <c r="AN187">
        <v>-2.4816759256943266</v>
      </c>
      <c r="AO187">
        <v>0.29266358271636145</v>
      </c>
      <c r="AP187">
        <v>0.94407524493227557</v>
      </c>
      <c r="AQ187">
        <v>0.15188798259799025</v>
      </c>
      <c r="AR187">
        <v>0.26600000000000001</v>
      </c>
      <c r="AS187">
        <v>0.52</v>
      </c>
      <c r="AT187">
        <v>2.2450000000000001</v>
      </c>
    </row>
    <row r="188" spans="5:46" x14ac:dyDescent="0.25">
      <c r="E188" s="170">
        <f t="shared" si="933"/>
        <v>-0.49916002344389943</v>
      </c>
      <c r="F188" s="170">
        <f t="shared" si="933"/>
        <v>-0.82966215254342957</v>
      </c>
      <c r="G188" s="170">
        <f t="shared" si="933"/>
        <v>-0.24999996726497561</v>
      </c>
      <c r="H188" s="139"/>
      <c r="I188" s="86"/>
      <c r="J188" s="79">
        <f t="shared" si="930"/>
        <v>3.1030000000000002</v>
      </c>
      <c r="AL188">
        <v>5.7230594506609131</v>
      </c>
      <c r="AM188">
        <v>1.1069528519721124</v>
      </c>
      <c r="AN188">
        <v>-3.2351634154581577</v>
      </c>
      <c r="AO188">
        <v>0.33950396396433596</v>
      </c>
      <c r="AP188">
        <v>0.93436901234537506</v>
      </c>
      <c r="AQ188">
        <v>0.10812773567050839</v>
      </c>
      <c r="AR188">
        <v>0.26600000000000001</v>
      </c>
      <c r="AS188">
        <v>0.52</v>
      </c>
      <c r="AT188">
        <v>2.2509999999999999</v>
      </c>
    </row>
    <row r="189" spans="5:46" x14ac:dyDescent="0.25">
      <c r="E189" s="170">
        <f t="shared" si="933"/>
        <v>-0.49916002344389943</v>
      </c>
      <c r="F189" s="170">
        <f t="shared" si="933"/>
        <v>-0.82966215254342957</v>
      </c>
      <c r="G189" s="170">
        <f t="shared" si="933"/>
        <v>-0.24999996726497567</v>
      </c>
      <c r="H189" s="139"/>
      <c r="I189" s="86"/>
      <c r="J189" s="79">
        <f t="shared" si="930"/>
        <v>3.1059999999999999</v>
      </c>
      <c r="AL189">
        <v>0.60379854253514231</v>
      </c>
      <c r="AM189">
        <v>-0.42278482391383154</v>
      </c>
      <c r="AN189">
        <v>-0.62860189586331794</v>
      </c>
      <c r="AO189">
        <v>0.49916002344389943</v>
      </c>
      <c r="AP189">
        <v>0.82966215254342957</v>
      </c>
      <c r="AQ189">
        <v>0.24999996726497561</v>
      </c>
      <c r="AR189">
        <v>0.314</v>
      </c>
      <c r="AS189">
        <v>0.52</v>
      </c>
      <c r="AT189">
        <v>3.1030000000000002</v>
      </c>
    </row>
    <row r="190" spans="5:46" x14ac:dyDescent="0.25">
      <c r="E190" s="170">
        <f t="shared" si="933"/>
        <v>-0.49916002344389948</v>
      </c>
      <c r="F190" s="170">
        <f t="shared" si="933"/>
        <v>-0.82966215254342957</v>
      </c>
      <c r="G190" s="170">
        <f t="shared" si="933"/>
        <v>-0.24999996726497567</v>
      </c>
      <c r="H190" s="139"/>
      <c r="I190" s="86"/>
      <c r="J190" s="79">
        <f t="shared" si="930"/>
        <v>3.109</v>
      </c>
      <c r="AL190">
        <v>1.1617244512594476</v>
      </c>
      <c r="AM190">
        <v>-0.81344924335177837</v>
      </c>
      <c r="AN190">
        <v>-0.44610134544165786</v>
      </c>
      <c r="AO190">
        <v>0.49916002344389943</v>
      </c>
      <c r="AP190">
        <v>0.82966215254342957</v>
      </c>
      <c r="AQ190">
        <v>0.24999996726497567</v>
      </c>
      <c r="AR190">
        <v>0.314</v>
      </c>
      <c r="AS190">
        <v>0.52</v>
      </c>
      <c r="AT190">
        <v>3.1059999999999999</v>
      </c>
    </row>
    <row r="191" spans="5:46" x14ac:dyDescent="0.25">
      <c r="E191" s="170">
        <f t="shared" si="933"/>
        <v>-0.57279690870284761</v>
      </c>
      <c r="F191" s="170">
        <f t="shared" si="933"/>
        <v>-0.77742738408662448</v>
      </c>
      <c r="G191" s="170">
        <f t="shared" si="933"/>
        <v>-0.25982756561360049</v>
      </c>
      <c r="H191" s="139"/>
      <c r="I191" s="86"/>
      <c r="J191" s="79">
        <f t="shared" si="930"/>
        <v>3.1139999999999999</v>
      </c>
      <c r="AL191">
        <v>1.7303812796787881</v>
      </c>
      <c r="AM191">
        <v>-1.211627543122477</v>
      </c>
      <c r="AN191">
        <v>-0.26010078446396595</v>
      </c>
      <c r="AO191">
        <v>0.49916002344389948</v>
      </c>
      <c r="AP191">
        <v>0.82966215254342957</v>
      </c>
      <c r="AQ191">
        <v>0.24999996726497567</v>
      </c>
      <c r="AR191">
        <v>0.314</v>
      </c>
      <c r="AS191">
        <v>0.52</v>
      </c>
      <c r="AT191">
        <v>3.109</v>
      </c>
    </row>
    <row r="192" spans="5:46" x14ac:dyDescent="0.25">
      <c r="E192" s="170">
        <f t="shared" si="933"/>
        <v>-0.68295070362079968</v>
      </c>
      <c r="F192" s="170">
        <f t="shared" si="933"/>
        <v>-0.69470129429898486</v>
      </c>
      <c r="G192" s="170">
        <f t="shared" si="933"/>
        <v>-0.22576192797540051</v>
      </c>
      <c r="H192" s="139"/>
      <c r="I192" s="86"/>
      <c r="J192" s="79">
        <f t="shared" si="930"/>
        <v>3.12</v>
      </c>
      <c r="AL192">
        <v>2.3258337300160394</v>
      </c>
      <c r="AM192">
        <v>-1.6388133910131584</v>
      </c>
      <c r="AN192">
        <v>-9.5600288330469588E-2</v>
      </c>
      <c r="AO192">
        <v>0.57279690870284761</v>
      </c>
      <c r="AP192">
        <v>0.77742738408662448</v>
      </c>
      <c r="AQ192">
        <v>0.25982756561360049</v>
      </c>
      <c r="AR192">
        <v>0.314</v>
      </c>
      <c r="AS192">
        <v>0.52</v>
      </c>
      <c r="AT192">
        <v>3.1139999999999999</v>
      </c>
    </row>
    <row r="193" spans="5:46" x14ac:dyDescent="0.25">
      <c r="E193" s="170">
        <f t="shared" si="933"/>
        <v>-0.75895601774928756</v>
      </c>
      <c r="F193" s="170">
        <f t="shared" si="933"/>
        <v>-0.63118366867868714</v>
      </c>
      <c r="G193" s="170">
        <f t="shared" si="933"/>
        <v>-0.15997793446427722</v>
      </c>
      <c r="H193" s="139"/>
      <c r="I193" s="86"/>
      <c r="J193" s="79">
        <f t="shared" si="930"/>
        <v>3.1259999999999999</v>
      </c>
      <c r="AL193">
        <v>2.9349270553511611</v>
      </c>
      <c r="AM193">
        <v>-2.1249258656292644</v>
      </c>
      <c r="AN193">
        <v>-0.16500049764150101</v>
      </c>
      <c r="AO193">
        <v>0.68295070362079968</v>
      </c>
      <c r="AP193">
        <v>0.69470129429898486</v>
      </c>
      <c r="AQ193">
        <v>0.22576192797540051</v>
      </c>
      <c r="AR193">
        <v>0.314</v>
      </c>
      <c r="AS193">
        <v>0.52</v>
      </c>
      <c r="AT193">
        <v>3.12</v>
      </c>
    </row>
    <row r="194" spans="5:46" x14ac:dyDescent="0.25">
      <c r="E194" s="170">
        <f t="shared" ref="E194:G213" si="934">E49*-1</f>
        <v>-0.79428280786334371</v>
      </c>
      <c r="F194" s="170">
        <f t="shared" si="934"/>
        <v>-0.59608402827823881</v>
      </c>
      <c r="G194" s="170">
        <f t="shared" si="934"/>
        <v>-0.11746766518625723</v>
      </c>
      <c r="H194" s="139"/>
      <c r="I194" s="86"/>
      <c r="J194" s="79">
        <f t="shared" si="930"/>
        <v>3.1320000000000001</v>
      </c>
      <c r="AL194">
        <v>3.4585926527296844</v>
      </c>
      <c r="AM194">
        <v>-2.5905634400915694</v>
      </c>
      <c r="AN194">
        <v>-0.5017015131317637</v>
      </c>
      <c r="AO194">
        <v>0.75895601774928756</v>
      </c>
      <c r="AP194">
        <v>0.63118366867868714</v>
      </c>
      <c r="AQ194">
        <v>0.15997793446427722</v>
      </c>
      <c r="AR194">
        <v>0.314</v>
      </c>
      <c r="AS194">
        <v>0.52</v>
      </c>
      <c r="AT194">
        <v>3.1259999999999999</v>
      </c>
    </row>
    <row r="195" spans="5:46" x14ac:dyDescent="0.25">
      <c r="E195" s="170">
        <f t="shared" si="934"/>
        <v>-0.82458993501237143</v>
      </c>
      <c r="F195" s="170">
        <f t="shared" si="934"/>
        <v>-0.55915687395375913</v>
      </c>
      <c r="G195" s="170">
        <f t="shared" si="934"/>
        <v>-8.5994356713408965E-2</v>
      </c>
      <c r="H195" s="139"/>
      <c r="I195" s="86"/>
      <c r="J195" s="79">
        <f t="shared" si="930"/>
        <v>3.1379999999999999</v>
      </c>
      <c r="AL195">
        <v>3.8547753659248061</v>
      </c>
      <c r="AM195">
        <v>-2.9761972278811246</v>
      </c>
      <c r="AN195">
        <v>-1.0322031131245892</v>
      </c>
      <c r="AO195">
        <v>0.79428280786334371</v>
      </c>
      <c r="AP195">
        <v>0.59608402827823881</v>
      </c>
      <c r="AQ195">
        <v>0.11746766518625723</v>
      </c>
      <c r="AR195">
        <v>0.314</v>
      </c>
      <c r="AS195">
        <v>0.52</v>
      </c>
      <c r="AT195">
        <v>3.1320000000000001</v>
      </c>
    </row>
    <row r="196" spans="5:46" x14ac:dyDescent="0.25">
      <c r="E196" s="170">
        <f t="shared" si="934"/>
        <v>-0.8469323322827198</v>
      </c>
      <c r="F196" s="170">
        <f t="shared" si="934"/>
        <v>-0.52910877854536498</v>
      </c>
      <c r="G196" s="170">
        <f t="shared" si="934"/>
        <v>-5.2435913269292145E-2</v>
      </c>
      <c r="H196" s="139"/>
      <c r="I196" s="86"/>
      <c r="J196" s="79">
        <f t="shared" si="930"/>
        <v>3.1440000000000001</v>
      </c>
      <c r="AL196">
        <v>4.1429766336705454</v>
      </c>
      <c r="AM196">
        <v>-3.2769812652298214</v>
      </c>
      <c r="AN196">
        <v>-1.6758050542280436</v>
      </c>
      <c r="AO196">
        <v>0.82458993501237143</v>
      </c>
      <c r="AP196">
        <v>0.55915687395375913</v>
      </c>
      <c r="AQ196">
        <v>8.5994356713408965E-2</v>
      </c>
      <c r="AR196">
        <v>0.314</v>
      </c>
      <c r="AS196">
        <v>0.52</v>
      </c>
      <c r="AT196">
        <v>3.1379999999999999</v>
      </c>
    </row>
    <row r="197" spans="5:46" x14ac:dyDescent="0.25">
      <c r="E197" s="170">
        <f t="shared" si="934"/>
        <v>-0.86260951247290107</v>
      </c>
      <c r="F197" s="170">
        <f t="shared" si="934"/>
        <v>-0.505566507491225</v>
      </c>
      <c r="G197" s="170">
        <f t="shared" si="934"/>
        <v>-1.7530986691829564E-2</v>
      </c>
      <c r="H197" s="139"/>
      <c r="I197" s="86"/>
      <c r="J197" s="79">
        <f t="shared" si="930"/>
        <v>3.15</v>
      </c>
      <c r="AL197">
        <v>4.3433150438019403</v>
      </c>
      <c r="AM197">
        <v>-3.4971143004167189</v>
      </c>
      <c r="AN197">
        <v>-2.3820071841336676</v>
      </c>
      <c r="AO197">
        <v>0.8469323322827198</v>
      </c>
      <c r="AP197">
        <v>0.52910877854536498</v>
      </c>
      <c r="AQ197">
        <v>5.2435913269292145E-2</v>
      </c>
      <c r="AR197">
        <v>0.314</v>
      </c>
      <c r="AS197">
        <v>0.52</v>
      </c>
      <c r="AT197">
        <v>3.1440000000000001</v>
      </c>
    </row>
    <row r="198" spans="5:46" x14ac:dyDescent="0.25">
      <c r="E198" s="170">
        <f t="shared" si="934"/>
        <v>-0.91449079222673713</v>
      </c>
      <c r="F198" s="170">
        <f t="shared" si="934"/>
        <v>-0.40388773396380639</v>
      </c>
      <c r="G198" s="170">
        <f t="shared" si="934"/>
        <v>-2.4109941644398364E-2</v>
      </c>
      <c r="H198" s="139"/>
      <c r="I198" s="86"/>
      <c r="J198" s="79">
        <f t="shared" si="930"/>
        <v>3.1560000000000001</v>
      </c>
      <c r="AL198">
        <v>4.4708550793720461</v>
      </c>
      <c r="AM198">
        <v>-3.6423185395141568</v>
      </c>
      <c r="AN198">
        <v>-3.1230094189964079</v>
      </c>
      <c r="AO198">
        <v>0.86260951247290107</v>
      </c>
      <c r="AP198">
        <v>0.505566507491225</v>
      </c>
      <c r="AQ198">
        <v>1.7530986691829564E-2</v>
      </c>
      <c r="AR198">
        <v>0.314</v>
      </c>
      <c r="AS198">
        <v>0.52</v>
      </c>
      <c r="AT198">
        <v>3.15</v>
      </c>
    </row>
    <row r="199" spans="5:46" x14ac:dyDescent="0.25">
      <c r="E199" s="170">
        <f t="shared" si="934"/>
        <v>-0.97995145938567652</v>
      </c>
      <c r="F199" s="170">
        <f t="shared" si="934"/>
        <v>-0.16951765512365682</v>
      </c>
      <c r="G199" s="170">
        <f t="shared" si="934"/>
        <v>-0.10468477372216051</v>
      </c>
      <c r="H199" s="139"/>
      <c r="I199" s="86"/>
      <c r="J199" s="79">
        <f t="shared" si="930"/>
        <v>3.1619999999999999</v>
      </c>
      <c r="AL199">
        <v>4.5298548997519337</v>
      </c>
      <c r="AM199">
        <v>-3.7126673855194796</v>
      </c>
      <c r="AN199">
        <v>-3.882111708448913</v>
      </c>
      <c r="AO199">
        <v>0.91449079222673713</v>
      </c>
      <c r="AP199">
        <v>0.40388773396380639</v>
      </c>
      <c r="AQ199">
        <v>2.4109941644398364E-2</v>
      </c>
      <c r="AR199">
        <v>0.314</v>
      </c>
      <c r="AS199">
        <v>0.52</v>
      </c>
      <c r="AT199">
        <v>3.1560000000000001</v>
      </c>
    </row>
    <row r="200" spans="5:46" x14ac:dyDescent="0.25">
      <c r="E200" s="170">
        <f t="shared" si="934"/>
        <v>0.12233266746748687</v>
      </c>
      <c r="F200" s="170">
        <f t="shared" si="934"/>
        <v>-0.22808331302080032</v>
      </c>
      <c r="G200" s="170">
        <f t="shared" si="934"/>
        <v>-0.96592583607218263</v>
      </c>
      <c r="H200" s="139"/>
      <c r="I200" s="86"/>
      <c r="J200" s="79">
        <f t="shared" si="930"/>
        <v>3.2090000000000001</v>
      </c>
      <c r="AL200">
        <v>4.5902745096831046</v>
      </c>
      <c r="AM200">
        <v>-3.7778836569901855</v>
      </c>
      <c r="AN200">
        <v>-4.673014093810508</v>
      </c>
      <c r="AO200">
        <v>0.97995145938567652</v>
      </c>
      <c r="AP200">
        <v>0.16951765512365682</v>
      </c>
      <c r="AQ200">
        <v>0.10468477372216051</v>
      </c>
      <c r="AR200">
        <v>0.26600000000000001</v>
      </c>
      <c r="AS200">
        <v>0.52</v>
      </c>
      <c r="AT200">
        <v>3.1619999999999999</v>
      </c>
    </row>
    <row r="201" spans="5:46" x14ac:dyDescent="0.25">
      <c r="E201" s="170">
        <f t="shared" si="934"/>
        <v>2.3968184353240024E-2</v>
      </c>
      <c r="F201" s="170">
        <f t="shared" si="934"/>
        <v>-3.6444156512655181E-2</v>
      </c>
      <c r="G201" s="170">
        <f t="shared" si="934"/>
        <v>-0.99904822185662812</v>
      </c>
      <c r="H201" s="139"/>
      <c r="I201" s="86"/>
      <c r="J201" s="79">
        <f t="shared" si="930"/>
        <v>3.214</v>
      </c>
      <c r="AL201">
        <v>0.99363167195154078</v>
      </c>
      <c r="AM201">
        <v>-1.8525740636552861</v>
      </c>
      <c r="AN201">
        <v>-0.27185987998896055</v>
      </c>
      <c r="AO201">
        <v>-0.12233266746748687</v>
      </c>
      <c r="AP201">
        <v>0.22808331302080032</v>
      </c>
      <c r="AQ201">
        <v>0.96592583607218263</v>
      </c>
      <c r="AR201">
        <v>0.26250000000000001</v>
      </c>
      <c r="AS201">
        <v>0.41199999999999998</v>
      </c>
      <c r="AT201">
        <v>3.2090000000000001</v>
      </c>
    </row>
    <row r="202" spans="5:46" x14ac:dyDescent="0.25">
      <c r="E202" s="170">
        <f t="shared" si="934"/>
        <v>-0.16717850333297846</v>
      </c>
      <c r="F202" s="170">
        <f t="shared" si="934"/>
        <v>0.23310811052723129</v>
      </c>
      <c r="G202" s="170">
        <f t="shared" si="934"/>
        <v>-0.95797283720874338</v>
      </c>
      <c r="H202" s="139"/>
      <c r="I202" s="86"/>
      <c r="J202" s="79">
        <f t="shared" si="930"/>
        <v>3.22</v>
      </c>
      <c r="AL202">
        <v>1.5624678608472362</v>
      </c>
      <c r="AM202">
        <v>-2.3757401703029624</v>
      </c>
      <c r="AN202">
        <v>-0.10017371340003528</v>
      </c>
      <c r="AO202">
        <v>-2.3968184353240024E-2</v>
      </c>
      <c r="AP202">
        <v>3.6444156512655181E-2</v>
      </c>
      <c r="AQ202">
        <v>0.99904822185662812</v>
      </c>
      <c r="AR202">
        <v>0.26250000000000001</v>
      </c>
      <c r="AS202">
        <v>0.41199999999999998</v>
      </c>
      <c r="AT202">
        <v>3.214</v>
      </c>
    </row>
    <row r="203" spans="5:46" x14ac:dyDescent="0.25">
      <c r="E203" s="170">
        <f t="shared" si="934"/>
        <v>-0.88700645688870339</v>
      </c>
      <c r="F203" s="170">
        <f t="shared" si="934"/>
        <v>-0.38332023986499009</v>
      </c>
      <c r="G203" s="170">
        <f t="shared" si="934"/>
        <v>-0.25745900479026829</v>
      </c>
      <c r="H203" s="139"/>
      <c r="I203" s="86"/>
      <c r="J203" s="79">
        <f t="shared" si="930"/>
        <v>3.226</v>
      </c>
      <c r="AL203">
        <v>2.1182639939784327</v>
      </c>
      <c r="AM203">
        <v>-2.953641357716617</v>
      </c>
      <c r="AN203">
        <v>-0.16780030899770881</v>
      </c>
      <c r="AO203">
        <v>0.16717850333297846</v>
      </c>
      <c r="AP203">
        <v>-0.23310811052723129</v>
      </c>
      <c r="AQ203">
        <v>0.95797283720874338</v>
      </c>
      <c r="AR203">
        <v>0.26250000000000001</v>
      </c>
      <c r="AS203">
        <v>0.41199999999999998</v>
      </c>
      <c r="AT203">
        <v>3.22</v>
      </c>
    </row>
    <row r="204" spans="5:46" x14ac:dyDescent="0.25">
      <c r="E204" s="170">
        <f t="shared" si="934"/>
        <v>-0.91458201319666654</v>
      </c>
      <c r="F204" s="170">
        <f t="shared" si="934"/>
        <v>-0.33945083910146356</v>
      </c>
      <c r="G204" s="170">
        <f t="shared" si="934"/>
        <v>-0.21980188572995674</v>
      </c>
      <c r="H204" s="139"/>
      <c r="I204" s="86"/>
      <c r="J204" s="79">
        <f t="shared" si="930"/>
        <v>3.2320000000000002</v>
      </c>
      <c r="AL204">
        <v>2.845178539988213</v>
      </c>
      <c r="AM204">
        <v>-3.2901332152800693</v>
      </c>
      <c r="AN204">
        <v>-0.46998352484784522</v>
      </c>
      <c r="AO204">
        <v>0.88700645688870339</v>
      </c>
      <c r="AP204">
        <v>0.38332023986499009</v>
      </c>
      <c r="AQ204">
        <v>0.25745900479026829</v>
      </c>
      <c r="AR204">
        <v>0.26600000000000001</v>
      </c>
      <c r="AS204">
        <v>0.52</v>
      </c>
      <c r="AT204">
        <v>3.226</v>
      </c>
    </row>
    <row r="205" spans="5:46" x14ac:dyDescent="0.25">
      <c r="E205" s="170">
        <f t="shared" si="934"/>
        <v>-0.93938861532063256</v>
      </c>
      <c r="F205" s="170">
        <f t="shared" si="934"/>
        <v>-0.28606420715439795</v>
      </c>
      <c r="G205" s="170">
        <f t="shared" si="934"/>
        <v>-0.18898756253021134</v>
      </c>
      <c r="H205" s="139"/>
      <c r="I205" s="86"/>
      <c r="J205" s="79">
        <f t="shared" si="930"/>
        <v>3.238</v>
      </c>
      <c r="AL205">
        <v>3.2247579170028473</v>
      </c>
      <c r="AM205">
        <v>-3.6938796452455582</v>
      </c>
      <c r="AN205">
        <v>-1.0025938738671694</v>
      </c>
      <c r="AO205">
        <v>0.91458201319666654</v>
      </c>
      <c r="AP205">
        <v>0.33945083910146356</v>
      </c>
      <c r="AQ205">
        <v>0.21980188572995674</v>
      </c>
      <c r="AR205">
        <v>0.26600000000000001</v>
      </c>
      <c r="AS205">
        <v>0.52</v>
      </c>
      <c r="AT205">
        <v>3.2320000000000002</v>
      </c>
    </row>
    <row r="206" spans="5:46" x14ac:dyDescent="0.25">
      <c r="E206" s="170">
        <f t="shared" si="934"/>
        <v>-0.95972647140266254</v>
      </c>
      <c r="F206" s="170">
        <f t="shared" si="934"/>
        <v>-0.23606817313439468</v>
      </c>
      <c r="G206" s="170">
        <f t="shared" si="934"/>
        <v>-0.15230534370790771</v>
      </c>
      <c r="H206" s="139"/>
      <c r="I206" s="86"/>
      <c r="J206" s="79">
        <f t="shared" si="930"/>
        <v>3.2440000000000002</v>
      </c>
      <c r="AL206">
        <v>3.4990061246818351</v>
      </c>
      <c r="AM206">
        <v>-4.0078829209150761</v>
      </c>
      <c r="AN206">
        <v>-1.6492726329784111</v>
      </c>
      <c r="AO206">
        <v>0.93938861532063256</v>
      </c>
      <c r="AP206">
        <v>0.28606420715439795</v>
      </c>
      <c r="AQ206">
        <v>0.18898756253021134</v>
      </c>
      <c r="AR206">
        <v>0.26600000000000001</v>
      </c>
      <c r="AS206">
        <v>0.52</v>
      </c>
      <c r="AT206">
        <v>3.238</v>
      </c>
    </row>
    <row r="207" spans="5:46" x14ac:dyDescent="0.25">
      <c r="E207" s="170">
        <f t="shared" si="934"/>
        <v>-0.97736302681139153</v>
      </c>
      <c r="F207" s="170">
        <f t="shared" si="934"/>
        <v>-0.17534657658937319</v>
      </c>
      <c r="G207" s="170">
        <f t="shared" si="934"/>
        <v>-0.11838535340346096</v>
      </c>
      <c r="H207" s="139"/>
      <c r="I207" s="86"/>
      <c r="J207" s="79">
        <f t="shared" si="930"/>
        <v>3.25</v>
      </c>
      <c r="AL207">
        <v>3.6890097460359255</v>
      </c>
      <c r="AM207">
        <v>-4.2375969028374598</v>
      </c>
      <c r="AN207">
        <v>-2.3593750002141309</v>
      </c>
      <c r="AO207">
        <v>0.95972647140266254</v>
      </c>
      <c r="AP207">
        <v>0.23606817313439468</v>
      </c>
      <c r="AQ207">
        <v>0.15230534370790771</v>
      </c>
      <c r="AR207">
        <v>0.26600000000000001</v>
      </c>
      <c r="AS207">
        <v>0.52</v>
      </c>
      <c r="AT207">
        <v>3.2440000000000002</v>
      </c>
    </row>
    <row r="208" spans="5:46" x14ac:dyDescent="0.25">
      <c r="E208" s="170">
        <f t="shared" si="934"/>
        <v>-0.950518758108574</v>
      </c>
      <c r="F208" s="170">
        <f t="shared" si="934"/>
        <v>0.17030314321075588</v>
      </c>
      <c r="G208" s="170">
        <f t="shared" si="934"/>
        <v>-0.25982865487907802</v>
      </c>
      <c r="H208" s="139"/>
      <c r="I208" s="86"/>
      <c r="J208" s="79">
        <f t="shared" si="930"/>
        <v>4.1130000000000004</v>
      </c>
      <c r="AL208">
        <v>3.8087814890524143</v>
      </c>
      <c r="AM208">
        <v>-4.387999052208202</v>
      </c>
      <c r="AN208">
        <v>-3.1062032248569338</v>
      </c>
      <c r="AO208">
        <v>0.97736302681139153</v>
      </c>
      <c r="AP208">
        <v>0.17534657658937319</v>
      </c>
      <c r="AQ208">
        <v>0.11838535340346096</v>
      </c>
      <c r="AR208">
        <v>0.26600000000000001</v>
      </c>
      <c r="AS208">
        <v>0.52</v>
      </c>
      <c r="AT208">
        <v>3.25</v>
      </c>
    </row>
    <row r="209" spans="5:46" x14ac:dyDescent="0.25">
      <c r="E209" s="170">
        <f t="shared" si="934"/>
        <v>-0.92321206451358351</v>
      </c>
      <c r="F209" s="170">
        <f t="shared" si="934"/>
        <v>0.30367008451783745</v>
      </c>
      <c r="G209" s="170">
        <f t="shared" si="934"/>
        <v>-0.23550788459305699</v>
      </c>
      <c r="H209" s="139"/>
      <c r="I209" s="86"/>
      <c r="J209" s="79">
        <f t="shared" si="930"/>
        <v>4.1189999999999998</v>
      </c>
      <c r="AL209">
        <v>-0.47589590952038574</v>
      </c>
      <c r="AM209">
        <v>-2.6732791935297056</v>
      </c>
      <c r="AN209">
        <v>-0.11160033658661513</v>
      </c>
      <c r="AO209">
        <v>0.950518758108574</v>
      </c>
      <c r="AP209">
        <v>-0.17030314321075588</v>
      </c>
      <c r="AQ209">
        <v>0.25982865487907802</v>
      </c>
      <c r="AR209">
        <v>0.314</v>
      </c>
      <c r="AS209">
        <v>0.52</v>
      </c>
      <c r="AT209">
        <v>4.1130000000000004</v>
      </c>
    </row>
    <row r="210" spans="5:46" x14ac:dyDescent="0.25">
      <c r="E210" s="170">
        <f t="shared" si="934"/>
        <v>-0.89585855064307263</v>
      </c>
      <c r="F210" s="170">
        <f t="shared" si="934"/>
        <v>0.41181674194515527</v>
      </c>
      <c r="G210" s="170">
        <f t="shared" si="934"/>
        <v>-0.16686649841526269</v>
      </c>
      <c r="H210" s="139"/>
      <c r="I210" s="86"/>
      <c r="J210" s="79">
        <f t="shared" si="930"/>
        <v>4.125</v>
      </c>
      <c r="AL210">
        <v>-0.65260835602438527</v>
      </c>
      <c r="AM210">
        <v>-3.434762074091394</v>
      </c>
      <c r="AN210">
        <v>-0.13380040354201708</v>
      </c>
      <c r="AO210">
        <v>0.92321206451358351</v>
      </c>
      <c r="AP210">
        <v>-0.30367008451783745</v>
      </c>
      <c r="AQ210">
        <v>0.23550788459305699</v>
      </c>
      <c r="AR210">
        <v>0.314</v>
      </c>
      <c r="AS210">
        <v>0.52</v>
      </c>
      <c r="AT210">
        <v>4.1189999999999998</v>
      </c>
    </row>
    <row r="211" spans="5:46" x14ac:dyDescent="0.25">
      <c r="E211" s="170">
        <f t="shared" si="934"/>
        <v>-0.87851367307835226</v>
      </c>
      <c r="F211" s="170">
        <f t="shared" si="934"/>
        <v>0.46116919414807117</v>
      </c>
      <c r="G211" s="170">
        <f t="shared" si="934"/>
        <v>-0.12464630192348483</v>
      </c>
      <c r="H211" s="139"/>
      <c r="I211" s="86"/>
      <c r="J211" s="79">
        <f t="shared" si="930"/>
        <v>4.1310000000000002</v>
      </c>
      <c r="AL211">
        <v>-0.85366985435735243</v>
      </c>
      <c r="AM211">
        <v>-4.1283751612121531</v>
      </c>
      <c r="AN211">
        <v>-0.43000129688391142</v>
      </c>
      <c r="AO211">
        <v>0.89585855064307263</v>
      </c>
      <c r="AP211">
        <v>-0.41181674194515527</v>
      </c>
      <c r="AQ211">
        <v>0.16686649841526269</v>
      </c>
      <c r="AR211">
        <v>0.314</v>
      </c>
      <c r="AS211">
        <v>0.52</v>
      </c>
      <c r="AT211">
        <v>4.125</v>
      </c>
    </row>
    <row r="212" spans="5:46" x14ac:dyDescent="0.25">
      <c r="E212" s="170">
        <f t="shared" si="934"/>
        <v>-0.85729280850625711</v>
      </c>
      <c r="F212" s="170">
        <f t="shared" si="934"/>
        <v>0.50628666515018517</v>
      </c>
      <c r="G212" s="170">
        <f t="shared" si="934"/>
        <v>-9.3396216061242016E-2</v>
      </c>
      <c r="H212" s="139"/>
      <c r="I212" s="86"/>
      <c r="J212" s="79">
        <f t="shared" si="930"/>
        <v>4.1369999999999996</v>
      </c>
      <c r="AL212">
        <v>-1.0398311547701735</v>
      </c>
      <c r="AM212">
        <v>-4.6741484825113515</v>
      </c>
      <c r="AN212">
        <v>-0.93410281725409694</v>
      </c>
      <c r="AO212">
        <v>0.87851367307835226</v>
      </c>
      <c r="AP212">
        <v>-0.46116919414807117</v>
      </c>
      <c r="AQ212">
        <v>0.12464630192348483</v>
      </c>
      <c r="AR212">
        <v>0.314</v>
      </c>
      <c r="AS212">
        <v>0.52</v>
      </c>
      <c r="AT212">
        <v>4.1310000000000002</v>
      </c>
    </row>
    <row r="213" spans="5:46" x14ac:dyDescent="0.25">
      <c r="E213" s="170">
        <f t="shared" si="934"/>
        <v>-0.838910202567832</v>
      </c>
      <c r="F213" s="170">
        <f t="shared" si="934"/>
        <v>0.54096269633482386</v>
      </c>
      <c r="G213" s="170">
        <f t="shared" si="934"/>
        <v>-5.9908540307341974E-2</v>
      </c>
      <c r="H213" s="139"/>
      <c r="I213" s="86"/>
      <c r="J213" s="79">
        <f t="shared" si="930"/>
        <v>4.1429999999999998</v>
      </c>
      <c r="AL213">
        <v>-1.196426619820681</v>
      </c>
      <c r="AM213">
        <v>-5.083418647067127</v>
      </c>
      <c r="AN213">
        <v>-1.5632047146254193</v>
      </c>
      <c r="AO213">
        <v>0.85729280850625711</v>
      </c>
      <c r="AP213">
        <v>-0.50628666515018517</v>
      </c>
      <c r="AQ213">
        <v>9.3396216061242016E-2</v>
      </c>
      <c r="AR213">
        <v>0.314</v>
      </c>
      <c r="AS213">
        <v>0.52</v>
      </c>
      <c r="AT213">
        <v>4.1369999999999996</v>
      </c>
    </row>
    <row r="214" spans="5:46" x14ac:dyDescent="0.25">
      <c r="E214" s="170">
        <f t="shared" ref="E214:G233" si="935">E69*-1</f>
        <v>-0.82357685747365772</v>
      </c>
      <c r="F214" s="170">
        <f t="shared" si="935"/>
        <v>0.5666572876870386</v>
      </c>
      <c r="G214" s="170">
        <f t="shared" si="935"/>
        <v>-2.4913412953330771E-2</v>
      </c>
      <c r="H214" s="139"/>
      <c r="I214" s="86"/>
      <c r="J214" s="79">
        <f t="shared" si="930"/>
        <v>4.149</v>
      </c>
      <c r="AL214">
        <v>-1.3173328395752451</v>
      </c>
      <c r="AM214">
        <v>-5.3757632030221707</v>
      </c>
      <c r="AN214">
        <v>-2.2613068201013693</v>
      </c>
      <c r="AO214">
        <v>0.838910202567832</v>
      </c>
      <c r="AP214">
        <v>-0.54096269633482386</v>
      </c>
      <c r="AQ214">
        <v>5.9908540307341974E-2</v>
      </c>
      <c r="AR214">
        <v>0.314</v>
      </c>
      <c r="AS214">
        <v>0.52</v>
      </c>
      <c r="AT214">
        <v>4.1429999999999998</v>
      </c>
    </row>
    <row r="215" spans="5:46" x14ac:dyDescent="0.25">
      <c r="E215" s="170">
        <f t="shared" si="935"/>
        <v>-0.80226466552741793</v>
      </c>
      <c r="F215" s="170">
        <f t="shared" si="935"/>
        <v>0.59695921873615754</v>
      </c>
      <c r="G215" s="170">
        <f t="shared" si="935"/>
        <v>3.3313078657953021E-3</v>
      </c>
      <c r="H215" s="139"/>
      <c r="I215" s="86"/>
      <c r="J215" s="79">
        <f t="shared" si="930"/>
        <v>4.1550000000000002</v>
      </c>
      <c r="AL215">
        <v>-1.4012733194979361</v>
      </c>
      <c r="AM215">
        <v>-5.5679980689379969</v>
      </c>
      <c r="AN215">
        <v>-2.9979090416936698</v>
      </c>
      <c r="AO215">
        <v>0.82357685747365772</v>
      </c>
      <c r="AP215">
        <v>-0.5666572876870386</v>
      </c>
      <c r="AQ215">
        <v>2.4913412953330771E-2</v>
      </c>
      <c r="AR215">
        <v>0.314</v>
      </c>
      <c r="AS215">
        <v>0.52</v>
      </c>
      <c r="AT215">
        <v>4.149</v>
      </c>
    </row>
    <row r="216" spans="5:46" x14ac:dyDescent="0.25">
      <c r="E216" s="170">
        <f t="shared" si="935"/>
        <v>-0.56778068697368955</v>
      </c>
      <c r="F216" s="170">
        <f t="shared" si="935"/>
        <v>0.81649628881607617</v>
      </c>
      <c r="G216" s="170">
        <f t="shared" si="935"/>
        <v>-0.10468477372216058</v>
      </c>
      <c r="H216" s="139"/>
      <c r="I216" s="86"/>
      <c r="J216" s="79">
        <f t="shared" si="930"/>
        <v>4.1609999999999996</v>
      </c>
      <c r="AL216">
        <v>-1.4448023627377851</v>
      </c>
      <c r="AM216">
        <v>-5.6595081879079698</v>
      </c>
      <c r="AN216">
        <v>-3.75541132632056</v>
      </c>
      <c r="AO216">
        <v>0.80226466552741793</v>
      </c>
      <c r="AP216">
        <v>-0.59695921873615754</v>
      </c>
      <c r="AQ216">
        <v>-3.3313078657953021E-3</v>
      </c>
      <c r="AR216">
        <v>0.314</v>
      </c>
      <c r="AS216">
        <v>0.52</v>
      </c>
      <c r="AT216">
        <v>4.1550000000000002</v>
      </c>
    </row>
    <row r="217" spans="5:46" x14ac:dyDescent="0.25">
      <c r="E217" s="170">
        <f t="shared" si="935"/>
        <v>0.11389672949860812</v>
      </c>
      <c r="F217" s="170">
        <f t="shared" si="935"/>
        <v>0.20046219773957419</v>
      </c>
      <c r="G217" s="170">
        <f t="shared" si="935"/>
        <v>-0.97305829336527472</v>
      </c>
      <c r="H217" s="139"/>
      <c r="I217" s="86"/>
      <c r="J217" s="79">
        <f t="shared" si="930"/>
        <v>4.2190000000000003</v>
      </c>
      <c r="AL217">
        <v>-1.4839905997104654</v>
      </c>
      <c r="AM217">
        <v>-5.7568044000096927</v>
      </c>
      <c r="AN217">
        <v>-4.5306136643308106</v>
      </c>
      <c r="AO217">
        <v>0.56778068697368955</v>
      </c>
      <c r="AP217">
        <v>-0.81649628881607617</v>
      </c>
      <c r="AQ217">
        <v>0.10468477372216058</v>
      </c>
      <c r="AR217">
        <v>0.26600000000000001</v>
      </c>
      <c r="AS217">
        <v>0.52</v>
      </c>
      <c r="AT217">
        <v>4.1609999999999996</v>
      </c>
    </row>
    <row r="218" spans="5:46" x14ac:dyDescent="0.25">
      <c r="E218" s="170">
        <f t="shared" si="935"/>
        <v>-0.72532385697095292</v>
      </c>
      <c r="F218" s="170">
        <f t="shared" si="935"/>
        <v>0.63514306440715551</v>
      </c>
      <c r="G218" s="170">
        <f t="shared" si="935"/>
        <v>-0.26551570621013837</v>
      </c>
      <c r="H218" s="139"/>
      <c r="I218" s="86"/>
      <c r="J218" s="79">
        <f t="shared" si="930"/>
        <v>4.2249999999999996</v>
      </c>
      <c r="AL218">
        <v>-1.7316202034614567</v>
      </c>
      <c r="AM218">
        <v>-3.0477046898872122</v>
      </c>
      <c r="AN218">
        <v>-0.13644879632825635</v>
      </c>
      <c r="AO218">
        <v>-0.11389672949860812</v>
      </c>
      <c r="AP218">
        <v>-0.20046219773957419</v>
      </c>
      <c r="AQ218">
        <v>0.97305829336527472</v>
      </c>
      <c r="AR218">
        <v>0.26250000000000001</v>
      </c>
      <c r="AS218">
        <v>0.41199999999999998</v>
      </c>
      <c r="AT218">
        <v>4.2190000000000003</v>
      </c>
    </row>
    <row r="219" spans="5:46" x14ac:dyDescent="0.25">
      <c r="E219" s="170">
        <f t="shared" si="935"/>
        <v>-0.69715162927401386</v>
      </c>
      <c r="F219" s="170">
        <f t="shared" si="935"/>
        <v>0.67952843726794798</v>
      </c>
      <c r="G219" s="170">
        <f t="shared" si="935"/>
        <v>-0.22851850853873645</v>
      </c>
      <c r="H219" s="139"/>
      <c r="I219" s="86"/>
      <c r="J219" s="79">
        <f t="shared" ref="J219:J282" si="936">J74</f>
        <v>4.2309999999999999</v>
      </c>
      <c r="AL219">
        <v>-1.7424282356909222</v>
      </c>
      <c r="AM219">
        <v>-3.8691251155452369</v>
      </c>
      <c r="AN219">
        <v>-0.39803825945287274</v>
      </c>
      <c r="AO219">
        <v>0.72532385697095292</v>
      </c>
      <c r="AP219">
        <v>-0.63514306440715551</v>
      </c>
      <c r="AQ219">
        <v>0.26551570621013837</v>
      </c>
      <c r="AR219">
        <v>0.26600000000000001</v>
      </c>
      <c r="AS219">
        <v>0.52</v>
      </c>
      <c r="AT219">
        <v>4.2249999999999996</v>
      </c>
    </row>
    <row r="220" spans="5:46" x14ac:dyDescent="0.25">
      <c r="E220" s="170">
        <f t="shared" si="935"/>
        <v>-0.65885861926230527</v>
      </c>
      <c r="F220" s="170">
        <f t="shared" si="935"/>
        <v>0.72565753488930174</v>
      </c>
      <c r="G220" s="170">
        <f t="shared" si="935"/>
        <v>-0.19830900605406337</v>
      </c>
      <c r="H220" s="139"/>
      <c r="I220" s="86"/>
      <c r="J220" s="79">
        <f t="shared" si="936"/>
        <v>4.2370000000000001</v>
      </c>
      <c r="AL220">
        <v>-1.9529847607324615</v>
      </c>
      <c r="AM220">
        <v>-4.4077789942493837</v>
      </c>
      <c r="AN220">
        <v>-0.9040455971807605</v>
      </c>
      <c r="AO220">
        <v>0.69715162927401386</v>
      </c>
      <c r="AP220">
        <v>-0.67952843726794798</v>
      </c>
      <c r="AQ220">
        <v>0.22851850853873645</v>
      </c>
      <c r="AR220">
        <v>0.26600000000000001</v>
      </c>
      <c r="AS220">
        <v>0.52</v>
      </c>
      <c r="AT220">
        <v>4.2309999999999999</v>
      </c>
    </row>
    <row r="221" spans="5:46" x14ac:dyDescent="0.25">
      <c r="E221" s="170">
        <f t="shared" si="935"/>
        <v>-0.62158407472998434</v>
      </c>
      <c r="F221" s="170">
        <f t="shared" si="935"/>
        <v>0.76639419481614446</v>
      </c>
      <c r="G221" s="170">
        <f t="shared" si="935"/>
        <v>-0.16209002496817324</v>
      </c>
      <c r="H221" s="139"/>
      <c r="I221" s="86"/>
      <c r="J221" s="79">
        <f t="shared" si="936"/>
        <v>4.2430000000000003</v>
      </c>
      <c r="AL221">
        <v>-2.1282988207473532</v>
      </c>
      <c r="AM221">
        <v>-4.8097982238157009</v>
      </c>
      <c r="AN221">
        <v>-1.5360751498864056</v>
      </c>
      <c r="AO221">
        <v>0.65885861926230527</v>
      </c>
      <c r="AP221">
        <v>-0.72565753488930174</v>
      </c>
      <c r="AQ221">
        <v>0.19830900605406337</v>
      </c>
      <c r="AR221">
        <v>0.26600000000000001</v>
      </c>
      <c r="AS221">
        <v>0.52</v>
      </c>
      <c r="AT221">
        <v>4.2370000000000001</v>
      </c>
    </row>
    <row r="222" spans="5:46" x14ac:dyDescent="0.25">
      <c r="E222" s="170">
        <f t="shared" si="935"/>
        <v>-0.57343599432853942</v>
      </c>
      <c r="F222" s="170">
        <f t="shared" si="935"/>
        <v>0.80907691813812921</v>
      </c>
      <c r="G222" s="170">
        <f t="shared" si="935"/>
        <v>-0.12870781229026665</v>
      </c>
      <c r="H222" s="139"/>
      <c r="I222" s="86"/>
      <c r="J222" s="79">
        <f t="shared" si="936"/>
        <v>4.2489999999999997</v>
      </c>
      <c r="AL222">
        <v>-2.2631198686898646</v>
      </c>
      <c r="AM222">
        <v>-5.0964449258383739</v>
      </c>
      <c r="AN222">
        <v>-2.2379629461372064</v>
      </c>
      <c r="AO222">
        <v>0.62158407472998434</v>
      </c>
      <c r="AP222">
        <v>-0.76639419481614446</v>
      </c>
      <c r="AQ222">
        <v>0.16209002496817324</v>
      </c>
      <c r="AR222">
        <v>0.26600000000000001</v>
      </c>
      <c r="AS222">
        <v>0.52</v>
      </c>
      <c r="AT222">
        <v>4.2430000000000003</v>
      </c>
    </row>
    <row r="223" spans="5:46" x14ac:dyDescent="0.25">
      <c r="E223" s="170">
        <f t="shared" si="935"/>
        <v>-0.47359441874391661</v>
      </c>
      <c r="F223" s="170">
        <f t="shared" si="935"/>
        <v>0.83146955959349167</v>
      </c>
      <c r="G223" s="170">
        <f t="shared" si="935"/>
        <v>-0.29045946017304541</v>
      </c>
      <c r="H223" s="139"/>
      <c r="I223" s="86"/>
      <c r="J223" s="79">
        <f t="shared" si="936"/>
        <v>5.1020000000000003</v>
      </c>
      <c r="AL223">
        <v>-2.3555791706457909</v>
      </c>
      <c r="AM223">
        <v>-5.283513174064411</v>
      </c>
      <c r="AN223">
        <v>-2.9803318693191936</v>
      </c>
      <c r="AO223">
        <v>0.57343599432853942</v>
      </c>
      <c r="AP223">
        <v>-0.80907691813812921</v>
      </c>
      <c r="AQ223">
        <v>0.12870781229026665</v>
      </c>
      <c r="AR223">
        <v>0.26600000000000001</v>
      </c>
      <c r="AS223">
        <v>0.52</v>
      </c>
      <c r="AT223">
        <v>4.2489999999999997</v>
      </c>
    </row>
    <row r="224" spans="5:46" x14ac:dyDescent="0.25">
      <c r="E224" s="170">
        <f t="shared" si="935"/>
        <v>-0.46892874510133481</v>
      </c>
      <c r="F224" s="170">
        <f t="shared" si="935"/>
        <v>0.84711619532694482</v>
      </c>
      <c r="G224" s="170">
        <f t="shared" si="935"/>
        <v>-0.24999996726497561</v>
      </c>
      <c r="H224" s="139"/>
      <c r="I224" s="86"/>
      <c r="J224" s="79">
        <f t="shared" si="936"/>
        <v>5.1050000000000004</v>
      </c>
      <c r="AL224">
        <v>-0.4584119231998246</v>
      </c>
      <c r="AM224">
        <v>-0.21376082864672855</v>
      </c>
      <c r="AN224">
        <v>-0.69060208285588198</v>
      </c>
      <c r="AO224">
        <v>0.47359441874391661</v>
      </c>
      <c r="AP224">
        <v>-0.83146955959349167</v>
      </c>
      <c r="AQ224">
        <v>0.29045946017304541</v>
      </c>
      <c r="AR224">
        <v>0.314</v>
      </c>
      <c r="AS224">
        <v>0.52</v>
      </c>
      <c r="AT224">
        <v>5.1020000000000003</v>
      </c>
    </row>
    <row r="225" spans="5:46" x14ac:dyDescent="0.25">
      <c r="E225" s="170">
        <f t="shared" si="935"/>
        <v>-0.46892874510133487</v>
      </c>
      <c r="F225" s="170">
        <f t="shared" si="935"/>
        <v>0.84711619532694482</v>
      </c>
      <c r="G225" s="170">
        <f t="shared" si="935"/>
        <v>-0.24999996726497561</v>
      </c>
      <c r="H225" s="139"/>
      <c r="I225" s="86"/>
      <c r="J225" s="79">
        <f t="shared" si="936"/>
        <v>5.1079999999999997</v>
      </c>
      <c r="AL225">
        <v>-1.0756094710430049</v>
      </c>
      <c r="AM225">
        <v>-0.50156455404890765</v>
      </c>
      <c r="AN225">
        <v>-0.50810153243422185</v>
      </c>
      <c r="AO225">
        <v>0.46892874510133481</v>
      </c>
      <c r="AP225">
        <v>-0.84711619532694482</v>
      </c>
      <c r="AQ225">
        <v>0.24999996726497561</v>
      </c>
      <c r="AR225">
        <v>0.314</v>
      </c>
      <c r="AS225">
        <v>0.52</v>
      </c>
      <c r="AT225">
        <v>5.1050000000000004</v>
      </c>
    </row>
    <row r="226" spans="5:46" x14ac:dyDescent="0.25">
      <c r="E226" s="170">
        <f t="shared" si="935"/>
        <v>-0.42432998216440687</v>
      </c>
      <c r="F226" s="170">
        <f t="shared" si="935"/>
        <v>0.86780035246357679</v>
      </c>
      <c r="G226" s="170">
        <f t="shared" si="935"/>
        <v>-0.25858579717464425</v>
      </c>
      <c r="H226" s="139"/>
      <c r="I226" s="86"/>
      <c r="J226" s="79">
        <f t="shared" si="936"/>
        <v>5.1120000000000001</v>
      </c>
      <c r="AL226">
        <v>-1.704770319373013</v>
      </c>
      <c r="AM226">
        <v>-0.79494685386416841</v>
      </c>
      <c r="AN226">
        <v>-0.32210097145652994</v>
      </c>
      <c r="AO226">
        <v>0.46892874510133487</v>
      </c>
      <c r="AP226">
        <v>-0.84711619532694482</v>
      </c>
      <c r="AQ226">
        <v>0.24999996726497561</v>
      </c>
      <c r="AR226">
        <v>0.314</v>
      </c>
      <c r="AS226">
        <v>0.52</v>
      </c>
      <c r="AT226">
        <v>5.1079999999999997</v>
      </c>
    </row>
    <row r="227" spans="5:46" x14ac:dyDescent="0.25">
      <c r="E227" s="170">
        <f t="shared" si="935"/>
        <v>-0.3019898327438314</v>
      </c>
      <c r="F227" s="170">
        <f t="shared" si="935"/>
        <v>0.92162830411650976</v>
      </c>
      <c r="G227" s="170">
        <f t="shared" si="935"/>
        <v>-0.24372814767826662</v>
      </c>
      <c r="H227" s="139"/>
      <c r="I227" s="86"/>
      <c r="J227" s="79">
        <f t="shared" si="936"/>
        <v>5.1180000000000003</v>
      </c>
      <c r="AL227">
        <v>-2.345025698161546</v>
      </c>
      <c r="AM227">
        <v>-1.0915101429844212</v>
      </c>
      <c r="AN227">
        <v>-0.13550040866923257</v>
      </c>
      <c r="AO227">
        <v>0.42432998216440687</v>
      </c>
      <c r="AP227">
        <v>-0.86780035246357679</v>
      </c>
      <c r="AQ227">
        <v>0.25858579717464425</v>
      </c>
      <c r="AR227">
        <v>0.314</v>
      </c>
      <c r="AS227">
        <v>0.52</v>
      </c>
      <c r="AT227">
        <v>5.1120000000000001</v>
      </c>
    </row>
    <row r="228" spans="5:46" x14ac:dyDescent="0.25">
      <c r="E228" s="170">
        <f t="shared" si="935"/>
        <v>-0.18625507488029555</v>
      </c>
      <c r="F228" s="170">
        <f t="shared" si="935"/>
        <v>0.96703110991778374</v>
      </c>
      <c r="G228" s="170">
        <f t="shared" si="935"/>
        <v>-0.17366599993238377</v>
      </c>
      <c r="H228" s="139"/>
      <c r="I228" s="86"/>
      <c r="J228" s="79">
        <f t="shared" si="936"/>
        <v>5.1239999999999997</v>
      </c>
      <c r="AL228">
        <v>-3.0670826822036528</v>
      </c>
      <c r="AM228">
        <v>-1.3901276847803208</v>
      </c>
      <c r="AN228">
        <v>-0.11040033296740423</v>
      </c>
      <c r="AO228">
        <v>0.3019898327438314</v>
      </c>
      <c r="AP228">
        <v>-0.92162830411650976</v>
      </c>
      <c r="AQ228">
        <v>0.24372814767826662</v>
      </c>
      <c r="AR228">
        <v>0.314</v>
      </c>
      <c r="AS228">
        <v>0.52</v>
      </c>
      <c r="AT228">
        <v>5.1180000000000003</v>
      </c>
    </row>
    <row r="229" spans="5:46" x14ac:dyDescent="0.25">
      <c r="E229" s="170">
        <f t="shared" si="935"/>
        <v>-0.13355238900842187</v>
      </c>
      <c r="F229" s="170">
        <f t="shared" si="935"/>
        <v>0.98223781453403713</v>
      </c>
      <c r="G229" s="170">
        <f t="shared" si="935"/>
        <v>-0.13180529234268951</v>
      </c>
      <c r="H229" s="139"/>
      <c r="I229" s="86"/>
      <c r="J229" s="79">
        <f t="shared" si="936"/>
        <v>5.13</v>
      </c>
      <c r="AL229">
        <v>-3.7665638828224481</v>
      </c>
      <c r="AM229">
        <v>-1.6354809435912583</v>
      </c>
      <c r="AN229">
        <v>-0.3643010987321138</v>
      </c>
      <c r="AO229">
        <v>0.18625507488029555</v>
      </c>
      <c r="AP229">
        <v>-0.96703110991778374</v>
      </c>
      <c r="AQ229">
        <v>0.17366599993238377</v>
      </c>
      <c r="AR229">
        <v>0.314</v>
      </c>
      <c r="AS229">
        <v>0.52</v>
      </c>
      <c r="AT229">
        <v>5.1239999999999997</v>
      </c>
    </row>
    <row r="230" spans="5:46" x14ac:dyDescent="0.25">
      <c r="E230" s="170">
        <f t="shared" si="935"/>
        <v>-8.2425921162982391E-2</v>
      </c>
      <c r="F230" s="170">
        <f t="shared" si="935"/>
        <v>0.99148424530223589</v>
      </c>
      <c r="G230" s="170">
        <f t="shared" si="935"/>
        <v>-0.10082142053100457</v>
      </c>
      <c r="H230" s="139"/>
      <c r="I230" s="86"/>
      <c r="J230" s="79">
        <f t="shared" si="936"/>
        <v>5.1360000000000001</v>
      </c>
      <c r="AL230">
        <v>-4.342155102490918</v>
      </c>
      <c r="AM230">
        <v>-1.8066630797003529</v>
      </c>
      <c r="AN230">
        <v>-0.83930253133643462</v>
      </c>
      <c r="AO230">
        <v>0.13355238900842187</v>
      </c>
      <c r="AP230">
        <v>-0.98223781453403713</v>
      </c>
      <c r="AQ230">
        <v>0.13180529234268951</v>
      </c>
      <c r="AR230">
        <v>0.314</v>
      </c>
      <c r="AS230">
        <v>0.52</v>
      </c>
      <c r="AT230">
        <v>5.13</v>
      </c>
    </row>
    <row r="231" spans="5:46" x14ac:dyDescent="0.25">
      <c r="E231" s="170">
        <f t="shared" si="935"/>
        <v>-4.1627673688134831E-2</v>
      </c>
      <c r="F231" s="170">
        <f t="shared" si="935"/>
        <v>0.99685710232512026</v>
      </c>
      <c r="G231" s="170">
        <f t="shared" si="935"/>
        <v>-6.7402183401421567E-2</v>
      </c>
      <c r="H231" s="139"/>
      <c r="I231" s="86"/>
      <c r="J231" s="79">
        <f t="shared" si="936"/>
        <v>5.1420000000000003</v>
      </c>
      <c r="AL231">
        <v>-4.7880308983850979</v>
      </c>
      <c r="AM231">
        <v>-1.9209897605689865</v>
      </c>
      <c r="AN231">
        <v>-1.4525043807532123</v>
      </c>
      <c r="AO231">
        <v>8.2425921162982391E-2</v>
      </c>
      <c r="AP231">
        <v>-0.99148424530223589</v>
      </c>
      <c r="AQ231">
        <v>0.10082142053100457</v>
      </c>
      <c r="AR231">
        <v>0.314</v>
      </c>
      <c r="AS231">
        <v>0.52</v>
      </c>
      <c r="AT231">
        <v>5.1360000000000001</v>
      </c>
    </row>
    <row r="232" spans="5:46" x14ac:dyDescent="0.25">
      <c r="E232" s="170">
        <f t="shared" si="935"/>
        <v>-1.016543479590898E-2</v>
      </c>
      <c r="F232" s="170">
        <f t="shared" si="935"/>
        <v>0.99942324143779593</v>
      </c>
      <c r="G232" s="170">
        <f t="shared" si="935"/>
        <v>-3.2401364313548162E-2</v>
      </c>
      <c r="H232" s="139"/>
      <c r="I232" s="86"/>
      <c r="J232" s="79">
        <f t="shared" si="936"/>
        <v>5.1479999999999997</v>
      </c>
      <c r="AL232">
        <v>-5.1151646222624212</v>
      </c>
      <c r="AM232">
        <v>-1.9949348058405985</v>
      </c>
      <c r="AN232">
        <v>-2.1417064593866817</v>
      </c>
      <c r="AO232">
        <v>4.1627673688134831E-2</v>
      </c>
      <c r="AP232">
        <v>-0.99685710232512026</v>
      </c>
      <c r="AQ232">
        <v>6.7402183401421567E-2</v>
      </c>
      <c r="AR232">
        <v>0.314</v>
      </c>
      <c r="AS232">
        <v>0.52</v>
      </c>
      <c r="AT232">
        <v>5.1420000000000003</v>
      </c>
    </row>
    <row r="233" spans="5:46" x14ac:dyDescent="0.25">
      <c r="E233" s="170">
        <f t="shared" si="935"/>
        <v>2.8220814041276875E-2</v>
      </c>
      <c r="F233" s="170">
        <f t="shared" si="935"/>
        <v>0.99959302551659968</v>
      </c>
      <c r="G233" s="170">
        <f t="shared" si="935"/>
        <v>-4.1676124361863954E-3</v>
      </c>
      <c r="H233" s="139"/>
      <c r="I233" s="86"/>
      <c r="J233" s="79">
        <f t="shared" si="936"/>
        <v>5.1539999999999999</v>
      </c>
      <c r="AL233">
        <v>-5.3372779505849808</v>
      </c>
      <c r="AM233">
        <v>-2.040455101848567</v>
      </c>
      <c r="AN233">
        <v>-2.8733086658989366</v>
      </c>
      <c r="AO233">
        <v>1.016543479590898E-2</v>
      </c>
      <c r="AP233">
        <v>-0.99942324143779593</v>
      </c>
      <c r="AQ233">
        <v>3.2401364313548162E-2</v>
      </c>
      <c r="AR233">
        <v>0.314</v>
      </c>
      <c r="AS233">
        <v>0.52</v>
      </c>
      <c r="AT233">
        <v>5.1479999999999997</v>
      </c>
    </row>
    <row r="234" spans="5:46" x14ac:dyDescent="0.25">
      <c r="E234" s="170">
        <f t="shared" ref="E234:G253" si="937">E89*-1</f>
        <v>0.34316885170540046</v>
      </c>
      <c r="F234" s="170">
        <f t="shared" si="937"/>
        <v>0.93342178963742706</v>
      </c>
      <c r="G234" s="170">
        <f t="shared" si="937"/>
        <v>-0.10468477372216049</v>
      </c>
      <c r="H234" s="139"/>
      <c r="I234" s="86"/>
      <c r="J234" s="79">
        <f t="shared" si="936"/>
        <v>5.16</v>
      </c>
      <c r="AL234">
        <v>-5.4639096034967078</v>
      </c>
      <c r="AM234">
        <v>-2.0647466288110192</v>
      </c>
      <c r="AN234">
        <v>-3.6279109417794007</v>
      </c>
      <c r="AO234">
        <v>-2.8220814041276875E-2</v>
      </c>
      <c r="AP234">
        <v>-0.99959302551659968</v>
      </c>
      <c r="AQ234">
        <v>4.1676124361863954E-3</v>
      </c>
      <c r="AR234">
        <v>0.314</v>
      </c>
      <c r="AS234">
        <v>0.52</v>
      </c>
      <c r="AT234">
        <v>5.1539999999999999</v>
      </c>
    </row>
    <row r="235" spans="5:46" x14ac:dyDescent="0.25">
      <c r="E235" s="170">
        <f t="shared" si="937"/>
        <v>-0.25829600114308521</v>
      </c>
      <c r="F235" s="170">
        <f t="shared" si="937"/>
        <v>1.644551615931969E-2</v>
      </c>
      <c r="G235" s="170">
        <f t="shared" si="937"/>
        <v>-0.96592583607218263</v>
      </c>
      <c r="H235" s="139"/>
      <c r="I235" s="86"/>
      <c r="J235" s="79">
        <f t="shared" si="936"/>
        <v>5.2080000000000002</v>
      </c>
      <c r="AL235">
        <v>-5.5668798434380555</v>
      </c>
      <c r="AM235">
        <v>-2.0863541906213174</v>
      </c>
      <c r="AN235">
        <v>-4.4008132728528304</v>
      </c>
      <c r="AO235">
        <v>-0.34316885170540046</v>
      </c>
      <c r="AP235">
        <v>-0.93342178963742706</v>
      </c>
      <c r="AQ235">
        <v>0.10468477372216049</v>
      </c>
      <c r="AR235">
        <v>0.26600000000000001</v>
      </c>
      <c r="AS235">
        <v>0.52</v>
      </c>
      <c r="AT235">
        <v>5.16</v>
      </c>
    </row>
    <row r="236" spans="5:46" x14ac:dyDescent="0.25">
      <c r="E236" s="170">
        <f t="shared" si="937"/>
        <v>-0.13044730416705277</v>
      </c>
      <c r="F236" s="170">
        <f t="shared" si="937"/>
        <v>-4.5368270294644858E-3</v>
      </c>
      <c r="G236" s="170">
        <f t="shared" si="937"/>
        <v>-0.99144486384067432</v>
      </c>
      <c r="H236" s="139"/>
      <c r="I236" s="86"/>
      <c r="J236" s="79">
        <f t="shared" si="936"/>
        <v>5.2119999999999997</v>
      </c>
      <c r="AL236">
        <v>-1.8670402927722169</v>
      </c>
      <c r="AM236">
        <v>0.1188714377165425</v>
      </c>
      <c r="AN236">
        <v>-0.33591562873665359</v>
      </c>
      <c r="AO236">
        <v>0.25829600114308521</v>
      </c>
      <c r="AP236">
        <v>-1.644551615931969E-2</v>
      </c>
      <c r="AQ236">
        <v>0.96592583607218263</v>
      </c>
      <c r="AR236">
        <v>0.26250000000000001</v>
      </c>
      <c r="AS236">
        <v>0.41199999999999998</v>
      </c>
      <c r="AT236">
        <v>5.2080000000000002</v>
      </c>
    </row>
    <row r="237" spans="5:46" x14ac:dyDescent="0.25">
      <c r="E237" s="170">
        <f t="shared" si="937"/>
        <v>0.17296067471019427</v>
      </c>
      <c r="F237" s="170">
        <f t="shared" si="937"/>
        <v>1.5436514897378423E-2</v>
      </c>
      <c r="G237" s="170">
        <f t="shared" si="937"/>
        <v>-0.98480775738801807</v>
      </c>
      <c r="H237" s="139"/>
      <c r="I237" s="86"/>
      <c r="J237" s="79">
        <f t="shared" si="936"/>
        <v>5.218</v>
      </c>
      <c r="AL237">
        <v>-2.5799113546860153</v>
      </c>
      <c r="AM237">
        <v>-8.9731229838973442E-2</v>
      </c>
      <c r="AN237">
        <v>-0.14200526785396603</v>
      </c>
      <c r="AO237">
        <v>0.13044730416705277</v>
      </c>
      <c r="AP237">
        <v>4.5368270294644858E-3</v>
      </c>
      <c r="AQ237">
        <v>0.99144486384067432</v>
      </c>
      <c r="AR237">
        <v>0.26250000000000001</v>
      </c>
      <c r="AS237">
        <v>0.41199999999999998</v>
      </c>
      <c r="AT237">
        <v>5.2119999999999997</v>
      </c>
    </row>
    <row r="238" spans="5:46" x14ac:dyDescent="0.25">
      <c r="E238" s="170">
        <f t="shared" si="937"/>
        <v>8.7789512422318389E-2</v>
      </c>
      <c r="F238" s="170">
        <f t="shared" si="937"/>
        <v>0.96175640989370337</v>
      </c>
      <c r="G238" s="170">
        <f t="shared" si="937"/>
        <v>-0.2594563730900179</v>
      </c>
      <c r="H238" s="139"/>
      <c r="I238" s="86"/>
      <c r="J238" s="79">
        <f t="shared" si="936"/>
        <v>5.2240000000000002</v>
      </c>
      <c r="AL238">
        <v>-3.3608852110584508</v>
      </c>
      <c r="AM238">
        <v>-0.29995020229073921</v>
      </c>
      <c r="AN238">
        <v>-0.11307080733039218</v>
      </c>
      <c r="AO238">
        <v>-0.17296067471019427</v>
      </c>
      <c r="AP238">
        <v>-1.5436514897378423E-2</v>
      </c>
      <c r="AQ238">
        <v>0.98480775738801807</v>
      </c>
      <c r="AR238">
        <v>0.26250000000000001</v>
      </c>
      <c r="AS238">
        <v>0.41199999999999998</v>
      </c>
      <c r="AT238">
        <v>5.218</v>
      </c>
    </row>
    <row r="239" spans="5:46" x14ac:dyDescent="0.25">
      <c r="E239" s="170">
        <f t="shared" si="937"/>
        <v>0.15000265270975152</v>
      </c>
      <c r="F239" s="170">
        <f t="shared" si="937"/>
        <v>0.95981432468714356</v>
      </c>
      <c r="G239" s="170">
        <f t="shared" si="937"/>
        <v>-0.23718276983246553</v>
      </c>
      <c r="H239" s="139"/>
      <c r="I239" s="86"/>
      <c r="J239" s="79">
        <f t="shared" si="936"/>
        <v>5.23</v>
      </c>
      <c r="AL239">
        <v>-4.0619963949234652</v>
      </c>
      <c r="AM239">
        <v>-0.76304301075156356</v>
      </c>
      <c r="AN239">
        <v>-0.33225910701644984</v>
      </c>
      <c r="AO239">
        <v>-8.7789512422318389E-2</v>
      </c>
      <c r="AP239">
        <v>-0.96175640989370337</v>
      </c>
      <c r="AQ239">
        <v>0.2594563730900179</v>
      </c>
      <c r="AR239">
        <v>0.26600000000000001</v>
      </c>
      <c r="AS239">
        <v>0.52</v>
      </c>
      <c r="AT239">
        <v>5.2240000000000002</v>
      </c>
    </row>
    <row r="240" spans="5:46" x14ac:dyDescent="0.25">
      <c r="E240" s="170">
        <f t="shared" si="937"/>
        <v>0.19896297030956245</v>
      </c>
      <c r="F240" s="170">
        <f t="shared" si="937"/>
        <v>0.96019050791095995</v>
      </c>
      <c r="G240" s="170">
        <f t="shared" si="937"/>
        <v>-0.19608142431981879</v>
      </c>
      <c r="H240" s="139"/>
      <c r="I240" s="86"/>
      <c r="J240" s="79">
        <f t="shared" si="936"/>
        <v>5.2359999999999998</v>
      </c>
      <c r="AL240">
        <v>-4.6466743087272198</v>
      </c>
      <c r="AM240">
        <v>-0.90961887830236166</v>
      </c>
      <c r="AN240">
        <v>-0.80882638044316058</v>
      </c>
      <c r="AO240">
        <v>-0.15000265270975152</v>
      </c>
      <c r="AP240">
        <v>-0.95981432468714356</v>
      </c>
      <c r="AQ240">
        <v>0.23718276983246553</v>
      </c>
      <c r="AR240">
        <v>0.26600000000000001</v>
      </c>
      <c r="AS240">
        <v>0.52</v>
      </c>
      <c r="AT240">
        <v>5.23</v>
      </c>
    </row>
    <row r="241" spans="5:46" x14ac:dyDescent="0.25">
      <c r="E241" s="170">
        <f t="shared" si="937"/>
        <v>0.25393573368253325</v>
      </c>
      <c r="F241" s="170">
        <f t="shared" si="937"/>
        <v>0.9535972604345464</v>
      </c>
      <c r="G241" s="170">
        <f t="shared" si="937"/>
        <v>-0.16176806869973287</v>
      </c>
      <c r="H241" s="139"/>
      <c r="I241" s="86"/>
      <c r="J241" s="79">
        <f t="shared" si="936"/>
        <v>5.242</v>
      </c>
      <c r="AL241">
        <v>-5.0977080683050655</v>
      </c>
      <c r="AM241">
        <v>-1.0035483128122276</v>
      </c>
      <c r="AN241">
        <v>-1.4248698657912713</v>
      </c>
      <c r="AO241">
        <v>-0.19896297030956245</v>
      </c>
      <c r="AP241">
        <v>-0.96019050791095995</v>
      </c>
      <c r="AQ241">
        <v>0.19608142431981879</v>
      </c>
      <c r="AR241">
        <v>0.26600000000000001</v>
      </c>
      <c r="AS241">
        <v>0.52</v>
      </c>
      <c r="AT241">
        <v>5.2359999999999998</v>
      </c>
    </row>
    <row r="242" spans="5:46" x14ac:dyDescent="0.25">
      <c r="E242" s="170">
        <f t="shared" si="937"/>
        <v>0.31687983813271015</v>
      </c>
      <c r="F242" s="170">
        <f t="shared" si="937"/>
        <v>0.93942541528279466</v>
      </c>
      <c r="G242" s="170">
        <f t="shared" si="937"/>
        <v>-0.13064094804362172</v>
      </c>
      <c r="H242" s="139"/>
      <c r="I242" s="86"/>
      <c r="J242" s="79">
        <f t="shared" si="936"/>
        <v>5.2480000000000002</v>
      </c>
      <c r="AL242">
        <v>-5.4283001808852633</v>
      </c>
      <c r="AM242">
        <v>-1.0621357369077415</v>
      </c>
      <c r="AN242">
        <v>-2.1177070616974798</v>
      </c>
      <c r="AO242">
        <v>-0.25393573368253325</v>
      </c>
      <c r="AP242">
        <v>-0.9535972604345464</v>
      </c>
      <c r="AQ242">
        <v>0.16176806869973287</v>
      </c>
      <c r="AR242">
        <v>0.26600000000000001</v>
      </c>
      <c r="AS242">
        <v>0.52</v>
      </c>
      <c r="AT242">
        <v>5.242</v>
      </c>
    </row>
    <row r="243" spans="5:46" x14ac:dyDescent="0.25">
      <c r="E243" s="170">
        <f t="shared" si="937"/>
        <v>0.51721689905205193</v>
      </c>
      <c r="F243" s="170">
        <f t="shared" si="937"/>
        <v>0.81701855130363654</v>
      </c>
      <c r="G243" s="170">
        <f t="shared" si="937"/>
        <v>-0.25488696742024014</v>
      </c>
      <c r="H243" s="139"/>
      <c r="I243" s="86"/>
      <c r="J243" s="79">
        <f t="shared" si="936"/>
        <v>6.1109999999999998</v>
      </c>
      <c r="AL243">
        <v>-5.6531187056996295</v>
      </c>
      <c r="AM243">
        <v>-1.0972152619821869</v>
      </c>
      <c r="AN243">
        <v>-2.8536432429834089</v>
      </c>
      <c r="AO243">
        <v>-0.31687983813271015</v>
      </c>
      <c r="AP243">
        <v>-0.93942541528279466</v>
      </c>
      <c r="AQ243">
        <v>0.13064094804362172</v>
      </c>
      <c r="AR243">
        <v>0.26600000000000001</v>
      </c>
      <c r="AS243">
        <v>0.52</v>
      </c>
      <c r="AT243">
        <v>5.2480000000000002</v>
      </c>
    </row>
    <row r="244" spans="5:46" x14ac:dyDescent="0.25">
      <c r="E244" s="170">
        <f t="shared" si="937"/>
        <v>0.62836479593833339</v>
      </c>
      <c r="F244" s="170">
        <f t="shared" si="937"/>
        <v>0.73652848791766701</v>
      </c>
      <c r="G244" s="170">
        <f t="shared" si="937"/>
        <v>-0.25036667052763173</v>
      </c>
      <c r="H244" s="139"/>
      <c r="I244" s="86"/>
      <c r="J244" s="79">
        <f t="shared" si="936"/>
        <v>6.117</v>
      </c>
      <c r="AL244">
        <v>-2.0147922492184804</v>
      </c>
      <c r="AM244">
        <v>1.4107731369839083</v>
      </c>
      <c r="AN244">
        <v>-0.16710050397512002</v>
      </c>
      <c r="AO244">
        <v>-0.51721689905205193</v>
      </c>
      <c r="AP244">
        <v>-0.81701855130363654</v>
      </c>
      <c r="AQ244">
        <v>0.25488696742024014</v>
      </c>
      <c r="AR244">
        <v>0.314</v>
      </c>
      <c r="AS244">
        <v>0.52</v>
      </c>
      <c r="AT244">
        <v>6.1109999999999998</v>
      </c>
    </row>
    <row r="245" spans="5:46" x14ac:dyDescent="0.25">
      <c r="E245" s="170">
        <f t="shared" si="937"/>
        <v>0.73049673373179447</v>
      </c>
      <c r="F245" s="170">
        <f t="shared" si="937"/>
        <v>0.65640048936431272</v>
      </c>
      <c r="G245" s="170">
        <f t="shared" si="937"/>
        <v>-0.18844871867293395</v>
      </c>
      <c r="H245" s="139"/>
      <c r="I245" s="86"/>
      <c r="J245" s="79">
        <f t="shared" si="936"/>
        <v>6.1230000000000002</v>
      </c>
      <c r="AL245">
        <v>-2.6361003768559095</v>
      </c>
      <c r="AM245">
        <v>1.8794797890024395</v>
      </c>
      <c r="AN245">
        <v>-9.4900286219263247E-2</v>
      </c>
      <c r="AO245">
        <v>-0.62836479593833339</v>
      </c>
      <c r="AP245">
        <v>-0.73652848791766701</v>
      </c>
      <c r="AQ245">
        <v>0.25036667052763173</v>
      </c>
      <c r="AR245">
        <v>0.314</v>
      </c>
      <c r="AS245">
        <v>0.52</v>
      </c>
      <c r="AT245">
        <v>6.117</v>
      </c>
    </row>
    <row r="246" spans="5:46" x14ac:dyDescent="0.25">
      <c r="E246" s="170">
        <f t="shared" si="937"/>
        <v>0.77816345848289248</v>
      </c>
      <c r="F246" s="170">
        <f t="shared" si="937"/>
        <v>0.61250528095967627</v>
      </c>
      <c r="G246" s="170">
        <f t="shared" si="937"/>
        <v>-0.13892052648349643</v>
      </c>
      <c r="H246" s="139"/>
      <c r="I246" s="86"/>
      <c r="J246" s="79">
        <f t="shared" si="936"/>
        <v>6.1289999999999996</v>
      </c>
      <c r="AL246">
        <v>-3.2129751903851229</v>
      </c>
      <c r="AM246">
        <v>2.3663010292201925</v>
      </c>
      <c r="AN246">
        <v>-0.30360091566036163</v>
      </c>
      <c r="AO246">
        <v>-0.73049673373179447</v>
      </c>
      <c r="AP246">
        <v>-0.65640048936431272</v>
      </c>
      <c r="AQ246">
        <v>0.18844871867293395</v>
      </c>
      <c r="AR246">
        <v>0.314</v>
      </c>
      <c r="AS246">
        <v>0.52</v>
      </c>
      <c r="AT246">
        <v>6.1230000000000002</v>
      </c>
    </row>
    <row r="247" spans="5:46" x14ac:dyDescent="0.25">
      <c r="E247" s="170">
        <f t="shared" si="937"/>
        <v>0.80757232068210894</v>
      </c>
      <c r="F247" s="170">
        <f t="shared" si="937"/>
        <v>0.5819354328638352</v>
      </c>
      <c r="G247" s="170">
        <f t="shared" si="937"/>
        <v>-9.5802394780579489E-2</v>
      </c>
      <c r="H247" s="139"/>
      <c r="I247" s="86"/>
      <c r="J247" s="79">
        <f t="shared" si="936"/>
        <v>6.1349999999999998</v>
      </c>
      <c r="AL247">
        <v>-3.6714217583930804</v>
      </c>
      <c r="AM247">
        <v>2.7939390876571082</v>
      </c>
      <c r="AN247">
        <v>-0.74830225687960672</v>
      </c>
      <c r="AO247">
        <v>-0.77816345848289248</v>
      </c>
      <c r="AP247">
        <v>-0.61250528095967627</v>
      </c>
      <c r="AQ247">
        <v>0.13892052648349643</v>
      </c>
      <c r="AR247">
        <v>0.314</v>
      </c>
      <c r="AS247">
        <v>0.52</v>
      </c>
      <c r="AT247">
        <v>6.1289999999999996</v>
      </c>
    </row>
    <row r="248" spans="5:46" x14ac:dyDescent="0.25">
      <c r="E248" s="170">
        <f t="shared" si="937"/>
        <v>0.8333614297062093</v>
      </c>
      <c r="F248" s="170">
        <f t="shared" si="937"/>
        <v>0.54902223420774621</v>
      </c>
      <c r="G248" s="170">
        <f t="shared" si="937"/>
        <v>-6.3900812385738859E-2</v>
      </c>
      <c r="H248" s="139"/>
      <c r="I248" s="86"/>
      <c r="J248" s="79">
        <f t="shared" si="936"/>
        <v>6.141</v>
      </c>
      <c r="AL248">
        <v>-4.0110539599748281</v>
      </c>
      <c r="AM248">
        <v>3.1370503578227327</v>
      </c>
      <c r="AN248">
        <v>-1.3438040529130237</v>
      </c>
      <c r="AO248">
        <v>-0.80757232068210894</v>
      </c>
      <c r="AP248">
        <v>-0.5819354328638352</v>
      </c>
      <c r="AQ248">
        <v>9.5802394780579489E-2</v>
      </c>
      <c r="AR248">
        <v>0.314</v>
      </c>
      <c r="AS248">
        <v>0.52</v>
      </c>
      <c r="AT248">
        <v>6.1349999999999998</v>
      </c>
    </row>
    <row r="249" spans="5:46" x14ac:dyDescent="0.25">
      <c r="E249" s="170">
        <f t="shared" si="937"/>
        <v>0.8590533513890134</v>
      </c>
      <c r="F249" s="170">
        <f t="shared" si="937"/>
        <v>0.51032777424229137</v>
      </c>
      <c r="G249" s="170">
        <f t="shared" si="937"/>
        <v>-3.9911180190686402E-2</v>
      </c>
      <c r="H249" s="139"/>
      <c r="I249" s="86"/>
      <c r="J249" s="79">
        <f t="shared" si="936"/>
        <v>6.1470000000000002</v>
      </c>
      <c r="AL249">
        <v>-4.253057731977882</v>
      </c>
      <c r="AM249">
        <v>3.3967525130344112</v>
      </c>
      <c r="AN249">
        <v>-2.0232061019896039</v>
      </c>
      <c r="AO249">
        <v>-0.8333614297062093</v>
      </c>
      <c r="AP249">
        <v>-0.54902223420774621</v>
      </c>
      <c r="AQ249">
        <v>6.3900812385738859E-2</v>
      </c>
      <c r="AR249">
        <v>0.314</v>
      </c>
      <c r="AS249">
        <v>0.52</v>
      </c>
      <c r="AT249">
        <v>6.141</v>
      </c>
    </row>
    <row r="250" spans="5:46" x14ac:dyDescent="0.25">
      <c r="E250" s="170">
        <f t="shared" si="937"/>
        <v>0.87200383883662347</v>
      </c>
      <c r="F250" s="170">
        <f t="shared" si="937"/>
        <v>0.48948398881061</v>
      </c>
      <c r="G250" s="170">
        <f t="shared" si="937"/>
        <v>-3.8379359357127722E-3</v>
      </c>
      <c r="H250" s="139"/>
      <c r="I250" s="86"/>
      <c r="J250" s="79">
        <f t="shared" si="936"/>
        <v>6.1529999999999996</v>
      </c>
      <c r="AL250">
        <v>-4.4155162349735964</v>
      </c>
      <c r="AM250">
        <v>3.5788066348969676</v>
      </c>
      <c r="AN250">
        <v>-2.7494082922154095</v>
      </c>
      <c r="AO250">
        <v>-0.8590533513890134</v>
      </c>
      <c r="AP250">
        <v>-0.51032777424229137</v>
      </c>
      <c r="AQ250">
        <v>3.9911180190686402E-2</v>
      </c>
      <c r="AR250">
        <v>0.314</v>
      </c>
      <c r="AS250">
        <v>0.52</v>
      </c>
      <c r="AT250">
        <v>6.1470000000000002</v>
      </c>
    </row>
    <row r="251" spans="5:46" x14ac:dyDescent="0.25">
      <c r="E251" s="170">
        <f t="shared" si="937"/>
        <v>0.97995138249409763</v>
      </c>
      <c r="F251" s="170">
        <f t="shared" si="937"/>
        <v>0.16951809961961864</v>
      </c>
      <c r="G251" s="170">
        <f t="shared" si="937"/>
        <v>-0.10468477372216016</v>
      </c>
      <c r="H251" s="139"/>
      <c r="I251" s="86"/>
      <c r="J251" s="79">
        <f t="shared" si="936"/>
        <v>6.1589999999999998</v>
      </c>
      <c r="AL251">
        <v>-4.5102994283623365</v>
      </c>
      <c r="AM251">
        <v>3.6880903271621128</v>
      </c>
      <c r="AN251">
        <v>-3.5011105593494474</v>
      </c>
      <c r="AO251">
        <v>-0.87200383883662347</v>
      </c>
      <c r="AP251">
        <v>-0.48948398881061</v>
      </c>
      <c r="AQ251">
        <v>3.8379359357127722E-3</v>
      </c>
      <c r="AR251">
        <v>0.314</v>
      </c>
      <c r="AS251">
        <v>0.52</v>
      </c>
      <c r="AT251">
        <v>6.1529999999999996</v>
      </c>
    </row>
    <row r="252" spans="5:46" x14ac:dyDescent="0.25">
      <c r="E252" s="170">
        <f t="shared" si="937"/>
        <v>6.6209021676186489E-2</v>
      </c>
      <c r="F252" s="170">
        <f t="shared" si="937"/>
        <v>-9.5432417246982523E-2</v>
      </c>
      <c r="G252" s="170">
        <f t="shared" si="937"/>
        <v>-0.9932316040013428</v>
      </c>
      <c r="H252" s="139"/>
      <c r="I252" s="86"/>
      <c r="J252" s="79">
        <f t="shared" si="936"/>
        <v>6.2169999999999996</v>
      </c>
      <c r="AL252">
        <v>-4.5902762232920979</v>
      </c>
      <c r="AM252">
        <v>3.7778815748881325</v>
      </c>
      <c r="AN252">
        <v>-4.2607128503099565</v>
      </c>
      <c r="AO252">
        <v>-0.97995138249409763</v>
      </c>
      <c r="AP252">
        <v>-0.16951809961961864</v>
      </c>
      <c r="AQ252">
        <v>0.10468477372216016</v>
      </c>
      <c r="AR252">
        <v>0.26600000000000001</v>
      </c>
      <c r="AS252">
        <v>0.52</v>
      </c>
      <c r="AT252">
        <v>6.1589999999999998</v>
      </c>
    </row>
    <row r="253" spans="5:46" x14ac:dyDescent="0.25">
      <c r="E253" s="170">
        <f t="shared" si="937"/>
        <v>0.86494794590134327</v>
      </c>
      <c r="F253" s="170">
        <f t="shared" si="937"/>
        <v>0.4184799039609331</v>
      </c>
      <c r="G253" s="170">
        <f t="shared" si="937"/>
        <v>-0.27701917056748143</v>
      </c>
      <c r="H253" s="139"/>
      <c r="I253" s="86"/>
      <c r="J253" s="79">
        <f t="shared" si="936"/>
        <v>6.2229999999999999</v>
      </c>
      <c r="AL253">
        <v>-1.8480681515784596</v>
      </c>
      <c r="AM253">
        <v>2.6637811851711146</v>
      </c>
      <c r="AN253">
        <v>-9.7770378498376859E-2</v>
      </c>
      <c r="AO253">
        <v>-6.6209021676186489E-2</v>
      </c>
      <c r="AP253">
        <v>9.5432417246982523E-2</v>
      </c>
      <c r="AQ253">
        <v>0.9932316040013428</v>
      </c>
      <c r="AR253">
        <v>0.26250000000000001</v>
      </c>
      <c r="AS253">
        <v>0.41199999999999998</v>
      </c>
      <c r="AT253">
        <v>6.2169999999999996</v>
      </c>
    </row>
    <row r="254" spans="5:46" x14ac:dyDescent="0.25">
      <c r="E254" s="170">
        <f t="shared" ref="E254:G273" si="938">E109*-1</f>
        <v>0.90179663822413902</v>
      </c>
      <c r="F254" s="170">
        <f t="shared" si="938"/>
        <v>0.35547171323048798</v>
      </c>
      <c r="G254" s="170">
        <f t="shared" si="938"/>
        <v>-0.24576957578313743</v>
      </c>
      <c r="H254" s="139"/>
      <c r="I254" s="86"/>
      <c r="J254" s="79">
        <f t="shared" si="936"/>
        <v>6.2290000000000001</v>
      </c>
      <c r="AL254">
        <v>-2.6067649697543573</v>
      </c>
      <c r="AM254">
        <v>3.0527775486739417</v>
      </c>
      <c r="AN254">
        <v>-0.27042103798439049</v>
      </c>
      <c r="AO254">
        <v>-0.86494794590134327</v>
      </c>
      <c r="AP254">
        <v>-0.4184799039609331</v>
      </c>
      <c r="AQ254">
        <v>0.27701917056748143</v>
      </c>
      <c r="AR254">
        <v>0.26600000000000001</v>
      </c>
      <c r="AS254">
        <v>0.52</v>
      </c>
      <c r="AT254">
        <v>6.2229999999999999</v>
      </c>
    </row>
    <row r="255" spans="5:46" x14ac:dyDescent="0.25">
      <c r="E255" s="170">
        <f t="shared" si="938"/>
        <v>0.92752812491920633</v>
      </c>
      <c r="F255" s="170">
        <f t="shared" si="938"/>
        <v>0.31241917043799683</v>
      </c>
      <c r="G255" s="170">
        <f t="shared" si="938"/>
        <v>-0.20514833517895062</v>
      </c>
      <c r="H255" s="139"/>
      <c r="I255" s="86"/>
      <c r="J255" s="79">
        <f t="shared" si="936"/>
        <v>6.2350000000000003</v>
      </c>
      <c r="AL255">
        <v>-3.0495582170898463</v>
      </c>
      <c r="AM255">
        <v>3.5032972018038295</v>
      </c>
      <c r="AN255">
        <v>-0.71743865161999654</v>
      </c>
      <c r="AO255">
        <v>-0.90179663822413902</v>
      </c>
      <c r="AP255">
        <v>-0.35547171323048798</v>
      </c>
      <c r="AQ255">
        <v>0.24576957578313743</v>
      </c>
      <c r="AR255">
        <v>0.26600000000000001</v>
      </c>
      <c r="AS255">
        <v>0.52</v>
      </c>
      <c r="AT255">
        <v>6.2290000000000001</v>
      </c>
    </row>
    <row r="256" spans="5:46" x14ac:dyDescent="0.25">
      <c r="E256" s="170">
        <f t="shared" si="938"/>
        <v>0.95012469502912278</v>
      </c>
      <c r="F256" s="170">
        <f t="shared" si="938"/>
        <v>0.2605830958544717</v>
      </c>
      <c r="G256" s="170">
        <f t="shared" si="938"/>
        <v>-0.17134618189710471</v>
      </c>
      <c r="H256" s="139"/>
      <c r="I256" s="86"/>
      <c r="J256" s="79">
        <f t="shared" si="936"/>
        <v>6.2409999999999997</v>
      </c>
      <c r="AL256">
        <v>-3.3736586509778133</v>
      </c>
      <c r="AM256">
        <v>3.8618524929231581</v>
      </c>
      <c r="AN256">
        <v>-1.3156193342863953</v>
      </c>
      <c r="AO256">
        <v>-0.92752812491920633</v>
      </c>
      <c r="AP256">
        <v>-0.31241917043799683</v>
      </c>
      <c r="AQ256">
        <v>0.20514833517895062</v>
      </c>
      <c r="AR256">
        <v>0.26600000000000001</v>
      </c>
      <c r="AS256">
        <v>0.52</v>
      </c>
      <c r="AT256">
        <v>6.2350000000000003</v>
      </c>
    </row>
    <row r="257" spans="5:46" x14ac:dyDescent="0.25">
      <c r="E257" s="170">
        <f t="shared" si="938"/>
        <v>0.97003265548107831</v>
      </c>
      <c r="F257" s="170">
        <f t="shared" si="938"/>
        <v>0.19802302877002892</v>
      </c>
      <c r="G257" s="170">
        <f t="shared" si="938"/>
        <v>-0.14079604886882269</v>
      </c>
      <c r="H257" s="139"/>
      <c r="I257" s="86"/>
      <c r="J257" s="79">
        <f t="shared" si="936"/>
        <v>6.2469999999999999</v>
      </c>
      <c r="AL257">
        <v>-3.6034932485916409</v>
      </c>
      <c r="AM257">
        <v>4.1328008226207773</v>
      </c>
      <c r="AN257">
        <v>-1.9985309485586309</v>
      </c>
      <c r="AO257">
        <v>-0.95012469502912278</v>
      </c>
      <c r="AP257">
        <v>-0.2605830958544717</v>
      </c>
      <c r="AQ257">
        <v>0.17134618189710471</v>
      </c>
      <c r="AR257">
        <v>0.26600000000000001</v>
      </c>
      <c r="AS257">
        <v>0.52</v>
      </c>
      <c r="AT257">
        <v>6.2409999999999997</v>
      </c>
    </row>
    <row r="258" spans="5:46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  <c r="AL258">
        <v>-3.7575074135560249</v>
      </c>
      <c r="AM258">
        <v>4.3229758494816179</v>
      </c>
      <c r="AN258">
        <v>-2.7289675583345878</v>
      </c>
      <c r="AO258">
        <v>-0.97003265548107831</v>
      </c>
      <c r="AP258">
        <v>-0.19802302877002892</v>
      </c>
      <c r="AQ258">
        <v>0.14079604886882269</v>
      </c>
      <c r="AR258">
        <v>0.26600000000000001</v>
      </c>
      <c r="AS258">
        <v>0.52</v>
      </c>
      <c r="AT258">
        <v>6.2469999999999999</v>
      </c>
    </row>
    <row r="259" spans="5:46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46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46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46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46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46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46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46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46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46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46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46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46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46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52E433A4-C02B-4D06-8A4D-FD26561092F0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D1F6318E-26E5-46FE-B3E2-80AFFC008E2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1.1579999999999999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1.216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1.222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1.228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1.234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1.24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1.246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2.1269999999999998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2.1389999999999998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2.145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2.1509999999999998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2.157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2.1629999999999998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2.2210000000000001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2.2269999999999999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2.2330000000000001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2.2389999999999999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2.2450000000000001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2.2509999999999999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3.1030000000000002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3.1059999999999999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3.109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3.1139999999999999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3.1259999999999999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3.1320000000000001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3.1379999999999999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3.1440000000000001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3.15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3.1560000000000001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3.1619999999999999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3.2090000000000001</v>
      </c>
      <c r="N210" s="869" t="str">
        <f>Assy.Model!K55</f>
        <v>Inactive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3.214</v>
      </c>
      <c r="N211" s="869" t="str">
        <f>Assy.Model!K56</f>
        <v>Inactive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3.22</v>
      </c>
      <c r="N212" s="869" t="str">
        <f>Assy.Model!K57</f>
        <v>Inactive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3.226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3.2320000000000002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3.238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3.2440000000000002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3.25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4.1130000000000004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4.1189999999999998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4.125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4.1310000000000002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4.1369999999999996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4.1429999999999998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4.149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4.1550000000000002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4.1609999999999996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4.2190000000000003</v>
      </c>
      <c r="N227" s="869" t="str">
        <f>Assy.Model!K72</f>
        <v>Inactive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4.2249999999999996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4.2309999999999999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4.2370000000000001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4.2430000000000003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4.2489999999999997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5.1020000000000003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5.1050000000000004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5.1079999999999997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5.1120000000000001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5.1180000000000003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5.1239999999999997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5.13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5.1360000000000001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5.1420000000000003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5.1479999999999997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5.1539999999999999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5.16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5.2080000000000002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5.2119999999999997</v>
      </c>
      <c r="N246" s="869" t="str">
        <f>Assy.Model!K91</f>
        <v>Inactive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5.218</v>
      </c>
      <c r="N247" s="869" t="str">
        <f>Assy.Model!K92</f>
        <v>Inactive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5.2240000000000002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5.23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5.2359999999999998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5.242</v>
      </c>
      <c r="N251" s="869">
        <f>Assy.Model!K96</f>
        <v>1313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5.2480000000000002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6.1109999999999998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6.117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6.1230000000000002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6.1289999999999996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6.1349999999999998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6.141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6.1470000000000002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6.1529999999999996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6.1589999999999998</v>
      </c>
      <c r="N261" s="869">
        <f>Assy.Model!K106</f>
        <v>1313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6.2169999999999996</v>
      </c>
      <c r="N262" s="869" t="str">
        <f>Assy.Model!K107</f>
        <v>Inactive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6.2229999999999999</v>
      </c>
      <c r="N263" s="869">
        <f>Assy.Model!K108</f>
        <v>1313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6.2290000000000001</v>
      </c>
      <c r="N264" s="869">
        <f>Assy.Model!K109</f>
        <v>1313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6.2350000000000003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6.2409999999999997</v>
      </c>
      <c r="N266" s="869">
        <f>Assy.Model!K111</f>
        <v>1313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6.2469999999999999</v>
      </c>
      <c r="N267" s="869">
        <f>Assy.Model!K112</f>
        <v>1313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2023-03-30T16:44:58Z</dcterms:modified>
</cp:coreProperties>
</file>