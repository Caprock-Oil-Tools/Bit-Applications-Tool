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9\"/>
    </mc:Choice>
  </mc:AlternateContent>
  <xr:revisionPtr revIDLastSave="0" documentId="13_ncr:1_{445A3B81-99FD-4573-AB21-E0B18079F0E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129" i="1"/>
  <c r="IF73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12" i="1"/>
  <c r="IF50" i="1"/>
  <c r="IF133" i="1"/>
  <c r="IF149" i="1"/>
  <c r="IF130" i="1"/>
  <c r="IF132" i="1"/>
  <c r="IF119" i="1"/>
  <c r="IF32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62" i="1" l="1"/>
  <c r="IQ68" i="1"/>
  <c r="IV81" i="1"/>
  <c r="IQ89" i="1"/>
  <c r="IQ77" i="1"/>
  <c r="IV71" i="1"/>
  <c r="IV90" i="1"/>
  <c r="IQ75" i="1"/>
  <c r="IV69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5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3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V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7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IQ99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7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IQ71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8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0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8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63" i="1" l="1"/>
  <c r="IQ69" i="1"/>
  <c r="IV97" i="1"/>
  <c r="IQ103" i="1"/>
  <c r="IV98" i="1"/>
  <c r="IQ104" i="1"/>
  <c r="IV76" i="1"/>
  <c r="IQ84" i="1"/>
  <c r="IQ52" i="1"/>
  <c r="IQ56" i="1"/>
  <c r="AQ91" i="1"/>
  <c r="IU91" i="1"/>
  <c r="IE91" i="1" s="1"/>
  <c r="IQ97" i="1"/>
  <c r="IV88" i="1"/>
  <c r="IV83" i="1"/>
  <c r="IQ91" i="1"/>
  <c r="IQ93" i="1"/>
  <c r="IQ20" i="1"/>
  <c r="IV84" i="1"/>
  <c r="IQ78" i="1"/>
  <c r="IV72" i="1"/>
  <c r="IV78" i="1"/>
  <c r="IQ86" i="1"/>
  <c r="IQ76" i="1"/>
  <c r="IV70" i="1"/>
  <c r="IQ95" i="1"/>
  <c r="IV86" i="1"/>
  <c r="IQ98" i="1"/>
  <c r="IV89" i="1"/>
  <c r="IQ59" i="1"/>
  <c r="IV56" i="1"/>
  <c r="IV77" i="1"/>
  <c r="IQ85" i="1"/>
  <c r="IQ96" i="1"/>
  <c r="IV87" i="1"/>
  <c r="Q98" i="1"/>
  <c r="Q106" i="1"/>
  <c r="IQ113" i="1"/>
  <c r="IQ64" i="1"/>
  <c r="IV55" i="1"/>
  <c r="AD86" i="1"/>
  <c r="AH86" i="1" s="1"/>
  <c r="IQ94" i="1"/>
  <c r="IV85" i="1"/>
  <c r="IV64" i="1"/>
  <c r="IQ70" i="1"/>
  <c r="IU82" i="1"/>
  <c r="IE82" i="1" s="1"/>
  <c r="IP90" i="1"/>
  <c r="IQ111" i="1"/>
  <c r="IV104" i="1"/>
  <c r="IQ115" i="1"/>
  <c r="IQ54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8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8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1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4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7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7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P91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IP70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P118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IP99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4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69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5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03" i="1" l="1"/>
  <c r="IU103" i="1"/>
  <c r="IE103" i="1" s="1"/>
  <c r="AJ97" i="1"/>
  <c r="IP54" i="1"/>
  <c r="IP59" i="1"/>
  <c r="IU56" i="1"/>
  <c r="IE56" i="1" s="1"/>
  <c r="IU84" i="1"/>
  <c r="IE84" i="1" s="1"/>
  <c r="IP20" i="1"/>
  <c r="IP102" i="1"/>
  <c r="IP89" i="1"/>
  <c r="IP52" i="1"/>
  <c r="IP56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3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IL88" i="1" s="1"/>
  <c r="W77" i="1"/>
  <c r="IL85" i="1" s="1"/>
  <c r="W78" i="1"/>
  <c r="IL86" i="1" s="1"/>
  <c r="W75" i="1"/>
  <c r="W76" i="1"/>
  <c r="IL84" i="1" s="1"/>
  <c r="W73" i="1"/>
  <c r="W74" i="1"/>
  <c r="W71" i="1"/>
  <c r="W72" i="1"/>
  <c r="W69" i="1"/>
  <c r="W70" i="1"/>
  <c r="W67" i="1"/>
  <c r="W68" i="1"/>
  <c r="W65" i="1"/>
  <c r="IL71" i="1" s="1"/>
  <c r="W66" i="1"/>
  <c r="IL72" i="1" s="1"/>
  <c r="W63" i="1"/>
  <c r="W64" i="1"/>
  <c r="IL70" i="1" s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W47" i="1"/>
  <c r="IL55" i="1" s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IL38" i="1" s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04" i="1" l="1"/>
  <c r="IL37" i="1"/>
  <c r="IL69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IT72" i="1" s="1"/>
  <c r="U65" i="1"/>
  <c r="T65" i="1"/>
  <c r="AL65" i="1"/>
  <c r="AN65" i="1" s="1"/>
  <c r="IT71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T38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6" i="1" l="1"/>
  <c r="IT84" i="1"/>
  <c r="IY82" i="1"/>
  <c r="IT90" i="1"/>
  <c r="IT94" i="1"/>
  <c r="IY85" i="1"/>
  <c r="IF85" i="1" s="1"/>
  <c r="IS94" i="1"/>
  <c r="IX85" i="1"/>
  <c r="IY97" i="1"/>
  <c r="IT103" i="1"/>
  <c r="IT77" i="1"/>
  <c r="IY71" i="1"/>
  <c r="IF71" i="1" s="1"/>
  <c r="IY64" i="1"/>
  <c r="IT70" i="1"/>
  <c r="IS77" i="1"/>
  <c r="IX71" i="1"/>
  <c r="IT99" i="1"/>
  <c r="IY90" i="1"/>
  <c r="IY63" i="1"/>
  <c r="IT69" i="1"/>
  <c r="IS98" i="1"/>
  <c r="IX89" i="1"/>
  <c r="IY77" i="1"/>
  <c r="IT85" i="1"/>
  <c r="IY81" i="1"/>
  <c r="IT89" i="1"/>
  <c r="IT97" i="1"/>
  <c r="IY88" i="1"/>
  <c r="IY83" i="1"/>
  <c r="IT91" i="1"/>
  <c r="IT78" i="1"/>
  <c r="IY72" i="1"/>
  <c r="IT95" i="1"/>
  <c r="IY86" i="1"/>
  <c r="IT93" i="1"/>
  <c r="IY84" i="1"/>
  <c r="IY98" i="1"/>
  <c r="IT104" i="1"/>
  <c r="IT96" i="1"/>
  <c r="IY87" i="1"/>
  <c r="IT98" i="1"/>
  <c r="IY89" i="1"/>
  <c r="IF89" i="1" s="1"/>
  <c r="IT111" i="1"/>
  <c r="IY104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IS87" i="1" s="1"/>
  <c r="AP79" i="1"/>
  <c r="AP80" i="1"/>
  <c r="AO80" i="1"/>
  <c r="IS88" i="1" s="1"/>
  <c r="AO77" i="1"/>
  <c r="AP77" i="1"/>
  <c r="AP78" i="1"/>
  <c r="AO78" i="1"/>
  <c r="IS86" i="1" s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1" i="1" s="1"/>
  <c r="AP65" i="1"/>
  <c r="AP66" i="1"/>
  <c r="AO66" i="1"/>
  <c r="IS72" i="1" s="1"/>
  <c r="AO63" i="1"/>
  <c r="AP63" i="1"/>
  <c r="AO64" i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7" i="1" s="1"/>
  <c r="AP31" i="1"/>
  <c r="AO32" i="1"/>
  <c r="IS38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5" i="1" l="1"/>
  <c r="IX69" i="1"/>
  <c r="IF69" i="1" s="1"/>
  <c r="IX83" i="1"/>
  <c r="IF83" i="1" s="1"/>
  <c r="IS91" i="1"/>
  <c r="IX76" i="1"/>
  <c r="IF76" i="1" s="1"/>
  <c r="IS84" i="1"/>
  <c r="IX64" i="1"/>
  <c r="IF64" i="1" s="1"/>
  <c r="IS70" i="1"/>
  <c r="IS78" i="1"/>
  <c r="IX72" i="1"/>
  <c r="IF72" i="1" s="1"/>
  <c r="IS93" i="1"/>
  <c r="IX84" i="1"/>
  <c r="IS96" i="1"/>
  <c r="IX87" i="1"/>
  <c r="IS58" i="1"/>
  <c r="IF87" i="1"/>
  <c r="IF86" i="1"/>
  <c r="IX63" i="1"/>
  <c r="IF63" i="1" s="1"/>
  <c r="IS69" i="1"/>
  <c r="IS99" i="1"/>
  <c r="IX90" i="1"/>
  <c r="IF90" i="1" s="1"/>
  <c r="IX82" i="1"/>
  <c r="IF82" i="1" s="1"/>
  <c r="IS90" i="1"/>
  <c r="IS95" i="1"/>
  <c r="IX86" i="1"/>
  <c r="IS52" i="1"/>
  <c r="IS56" i="1"/>
  <c r="IT29" i="1"/>
  <c r="IT55" i="1"/>
  <c r="IS111" i="1"/>
  <c r="IX104" i="1"/>
  <c r="IF104" i="1" s="1"/>
  <c r="IS113" i="1"/>
  <c r="IX77" i="1"/>
  <c r="IF77" i="1" s="1"/>
  <c r="IS85" i="1"/>
  <c r="IX81" i="1"/>
  <c r="IF81" i="1" s="1"/>
  <c r="IS89" i="1"/>
  <c r="IF84" i="1"/>
  <c r="IT60" i="1"/>
  <c r="IY57" i="1"/>
  <c r="IF57" i="1" s="1"/>
  <c r="IS97" i="1"/>
  <c r="IX88" i="1"/>
  <c r="IF88" i="1" s="1"/>
  <c r="IX97" i="1"/>
  <c r="IF97" i="1" s="1"/>
  <c r="IS103" i="1"/>
  <c r="IX98" i="1"/>
  <c r="IF98" i="1" s="1"/>
  <c r="IS104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<sst xmlns="http://schemas.openxmlformats.org/spreadsheetml/2006/main" count="734" uniqueCount="391">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</sst>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62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90.000000000000014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-0.18590056067609087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0.34260103328471642</v>
      </c>
      <c r="D9" s="704">
        <v>-0.77540233861345331</v>
      </c>
      <c r="E9" s="705">
        <v>-0.93969263802333458</v>
      </c>
      <c r="F9" s="703">
        <v>-8.8521302156295611E-2</v>
      </c>
      <c r="G9" s="706">
        <v>0.33036604714967333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0.34260103328471642</v>
      </c>
      <c r="P9" s="625">
        <f t="shared" ref="P9:P40" si="4">IF(M9="","",D9)</f>
        <v>-0.77540233861345331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-0.77540233861345331</v>
      </c>
      <c r="T9" s="627">
        <f>IF(M9="","",X9*COS(RADIANS(W9)))</f>
        <v>0.34260103328471642</v>
      </c>
      <c r="U9" s="624">
        <f>IF(M9="","",X9*SIN(RADIANS(W9)))</f>
        <v>-8.3947425315773399E-17</v>
      </c>
      <c r="V9" s="628">
        <f>IF(M9="","",Y9)</f>
        <v>-0.77540233861345331</v>
      </c>
      <c r="W9" s="583">
        <f t="shared" ref="W9:W14" si="5">IF(M9="","",IF(Q9-$Q$8&lt;0,360+Q9-$Q$8,Q9-$Q$8))</f>
        <v>360</v>
      </c>
      <c r="X9" s="629">
        <f>IF(M9="","",R9)</f>
        <v>0.34260103328471642</v>
      </c>
      <c r="Y9" s="630">
        <f>IF(M9="","",S9)</f>
        <v>-0.77540233861345331</v>
      </c>
      <c r="Z9" s="623">
        <f t="shared" ref="Z9:Z40" si="6">IF(M9="","",-E9)</f>
        <v>0.93969263802333458</v>
      </c>
      <c r="AA9" s="624">
        <f t="shared" ref="AA9:AA40" si="7">IF(M9="","",-F9)</f>
        <v>8.8521302156295611E-2</v>
      </c>
      <c r="AB9" s="624">
        <f t="shared" ref="AB9:AB40" si="8">IF(M9="","",-G9)</f>
        <v>-0.33036604714967333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8.8521302156295611E-2</v>
      </c>
      <c r="AF9" s="625">
        <f>IF(M9="","",AB9*(1/SQRT(Z9^2+AA9^2+AB9^2)))</f>
        <v>-0.33036604714967333</v>
      </c>
      <c r="AG9" s="599">
        <f>IF(M9="","",DEGREES(ATAN2(-AF9,AE9)))</f>
        <v>14.999997834268274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8.8521302156295847E-2</v>
      </c>
      <c r="AM9" s="626">
        <f>IF(M9="","",AF9)</f>
        <v>-0.33036604714967333</v>
      </c>
      <c r="AN9" s="581">
        <f>IF(M9="","",DEGREES(ATAN2(-AM9,AL9)))</f>
        <v>14.999997834268312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5.3815187622394953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360</v>
      </c>
      <c r="AT9" s="71">
        <f t="shared" ref="AT9:AT40" si="10">IF(M9="","",Y9+(((AS9-$AS$9)*$AS$6)*-1))</f>
        <v>-0.77540233861345331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62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-1.6006921837876543E-16</v>
      </c>
      <c r="C10" s="708">
        <v>1.1303034089950814</v>
      </c>
      <c r="D10" s="709">
        <v>-0.56440170223553399</v>
      </c>
      <c r="E10" s="710">
        <v>-0.96592583607220739</v>
      </c>
      <c r="F10" s="708">
        <v>-6.6987279208207198E-2</v>
      </c>
      <c r="G10" s="711">
        <v>0.24999996726497561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-1.6006921837876543E-16</v>
      </c>
      <c r="O10" s="629">
        <f t="shared" si="3"/>
        <v>1.1303034089950814</v>
      </c>
      <c r="P10" s="633">
        <f t="shared" si="4"/>
        <v>-0.56440170223553399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1.1303034089950814</v>
      </c>
      <c r="S10" s="634">
        <f t="shared" ref="S10:S105" si="80">IF(M10="","",P10)</f>
        <v>-0.56440170223553399</v>
      </c>
      <c r="T10" s="635">
        <f t="shared" ref="T10:T105" si="81">IF(M10="","",X10*COS(RADIANS(W10)))</f>
        <v>1.1303034089950814</v>
      </c>
      <c r="U10" s="629">
        <f t="shared" ref="U10:U105" si="82">IF(M10="","",X10*SIN(RADIANS(W10)))</f>
        <v>-2.7695789502165399E-16</v>
      </c>
      <c r="V10" s="636">
        <f>IF(M10="","",Y10)</f>
        <v>-0.56440170223553399</v>
      </c>
      <c r="W10" s="585">
        <f t="shared" si="5"/>
        <v>360</v>
      </c>
      <c r="X10" s="629">
        <f t="shared" ref="X10:X105" si="83">IF(M10="","",R10)</f>
        <v>1.1303034089950814</v>
      </c>
      <c r="Y10" s="630">
        <f>IF(M10="","",S10)</f>
        <v>-0.56440170223553399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6.6987279208207434E-2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14.999997834268319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3.9671296450865854</v>
      </c>
      <c r="AQ10" s="586">
        <f t="shared" si="9"/>
        <v>2.0160831671579902</v>
      </c>
      <c r="AS10" s="52">
        <f>IF($M10="","",IF(AND($W10&lt;($AS$9+180),$W10&gt;($AS$9-180)),$W10,IF($W10&gt;($AS$9+180),$W10-360,IF($W10&lt;($AS$9-180),$W10+360,"Error"))))</f>
        <v>360</v>
      </c>
      <c r="AT10" s="72">
        <f t="shared" si="10"/>
        <v>-0.56440170223553399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5.388997018751769E-16</v>
      </c>
      <c r="C11" s="708">
        <v>1.8727056480802351</v>
      </c>
      <c r="D11" s="709">
        <v>-0.36540110204972376</v>
      </c>
      <c r="E11" s="710">
        <v>-0.96592583607220739</v>
      </c>
      <c r="F11" s="708">
        <v>-6.6987279208207198E-2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5.388997018751769E-16</v>
      </c>
      <c r="O11" s="629">
        <f t="shared" si="3"/>
        <v>1.8727056480802351</v>
      </c>
      <c r="P11" s="633">
        <f t="shared" si="4"/>
        <v>-0.36540110204972376</v>
      </c>
      <c r="Q11" s="585">
        <f t="shared" ref="Q11:Q73" si="113">IF(M11="","",IF(DEGREES(ATAN2(N11,O11))&lt;0,DEGREES(ATAN2(N11,O11))+360,IF(DEGREES(ATAN2(N11,O11))&gt;360,DEGREES(ATAN2(N11,O11))-360,DEGREES(ATAN2(N11,O11)))))</f>
        <v>89.999999999999986</v>
      </c>
      <c r="R11" s="629">
        <f t="shared" si="79"/>
        <v>1.8727056480802351</v>
      </c>
      <c r="S11" s="634">
        <f t="shared" si="80"/>
        <v>-0.36540110204972376</v>
      </c>
      <c r="T11" s="635">
        <f t="shared" si="81"/>
        <v>1.8727056480802351</v>
      </c>
      <c r="U11" s="629">
        <f t="shared" si="82"/>
        <v>-4.5886848624882921E-16</v>
      </c>
      <c r="V11" s="636">
        <f t="shared" ref="V11:V105" si="114">IF(M11="","",Y11)</f>
        <v>-0.36540110204972376</v>
      </c>
      <c r="W11" s="585">
        <f t="shared" si="5"/>
        <v>360</v>
      </c>
      <c r="X11" s="629">
        <f>IF(M11="","",R11)</f>
        <v>1.8727056480802351</v>
      </c>
      <c r="Y11" s="630">
        <f>IF(M11="","",S11)</f>
        <v>-0.36540110204972376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-0.24999996726497561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6.6987279208207434E-2</v>
      </c>
      <c r="AM11" s="634">
        <f t="shared" si="92"/>
        <v>-0.24999996726497561</v>
      </c>
      <c r="AN11" s="581">
        <f>IF(M11="","",DEGREES(ATAN2(-AM11,AL11)))</f>
        <v>14.999997834268319</v>
      </c>
      <c r="AO11" s="582">
        <f>IF(ROUND(IF(M11="",0,DEGREES(ACOS(AK11))),4)=90,0,IF(M11="","",DEGREES(ACOS(AK11))))</f>
        <v>14.999997834268255</v>
      </c>
      <c r="AP11" s="585">
        <f t="shared" si="95"/>
        <v>3.9671296450865854</v>
      </c>
      <c r="AQ11" s="586">
        <f t="shared" si="9"/>
        <v>1.2171606833974669</v>
      </c>
      <c r="AS11" s="52">
        <f t="shared" ref="AS11:AS42" si="116">IF(G11="","",IF(AND(W11&lt;(AS10+180),W11&gt;(AS10-180)),W11,IF(W11&gt;(AS10+180),W11-360,IF(W11&lt;(AS10-180),W11+360,"Error"))))</f>
        <v>360</v>
      </c>
      <c r="AT11" s="72">
        <f t="shared" si="10"/>
        <v>-0.36540110204972376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-5.1222149881204933E-16</v>
      </c>
      <c r="C12" s="708">
        <v>2.5616077258089014</v>
      </c>
      <c r="D12" s="709">
        <v>-0.18590056067609087</v>
      </c>
      <c r="E12" s="710">
        <v>-0.96592583607220739</v>
      </c>
      <c r="F12" s="708">
        <v>-5.6018678339987651E-2</v>
      </c>
      <c r="G12" s="711">
        <v>0.25268396641901963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-5.1222149881204933E-16</v>
      </c>
      <c r="O12" s="629">
        <f t="shared" si="3"/>
        <v>2.5616077258089014</v>
      </c>
      <c r="P12" s="633">
        <f t="shared" si="4"/>
        <v>-0.18590056067609087</v>
      </c>
      <c r="Q12" s="585">
        <f>IF(M12="","",IF(DEGREES(ATAN2(N12,O12))&lt;0,DEGREES(ATAN2(N12,O12))+360,IF(DEGREES(ATAN2(N12,O12))&gt;360,DEGREES(ATAN2(N12,O12))-360,DEGREES(ATAN2(N12,O12)))))</f>
        <v>90.000000000000014</v>
      </c>
      <c r="R12" s="629">
        <f t="shared" si="79"/>
        <v>2.5616077258089014</v>
      </c>
      <c r="S12" s="634">
        <f t="shared" si="80"/>
        <v>-0.18590056067609087</v>
      </c>
      <c r="T12" s="635">
        <f>IF(M12="","",X12*COS(RADIANS(W12)))</f>
        <v>2.5616077258089014</v>
      </c>
      <c r="U12" s="629">
        <f t="shared" si="82"/>
        <v>0</v>
      </c>
      <c r="V12" s="636">
        <f t="shared" si="114"/>
        <v>-0.18590056067609087</v>
      </c>
      <c r="W12" s="585">
        <f>IF(M12="","",IF(Q12-$Q$8&lt;0,360+Q12-$Q$8,Q12-$Q$8))</f>
        <v>0</v>
      </c>
      <c r="X12" s="629">
        <f t="shared" si="83"/>
        <v>2.5616077258089014</v>
      </c>
      <c r="Y12" s="630">
        <f>IF(M12="","",S12)</f>
        <v>-0.18590056067609087</v>
      </c>
      <c r="Z12" s="632">
        <f t="shared" si="6"/>
        <v>0.96592583607220739</v>
      </c>
      <c r="AA12" s="629">
        <f t="shared" si="7"/>
        <v>5.6018678339987651E-2</v>
      </c>
      <c r="AB12" s="629">
        <f t="shared" si="8"/>
        <v>-0.25268396641901963</v>
      </c>
      <c r="AC12" s="636">
        <f t="shared" si="84"/>
        <v>1</v>
      </c>
      <c r="AD12" s="637">
        <f t="shared" si="115"/>
        <v>0.96592583607220739</v>
      </c>
      <c r="AE12" s="629">
        <f t="shared" si="85"/>
        <v>5.6018678339987651E-2</v>
      </c>
      <c r="AF12" s="633">
        <f t="shared" si="86"/>
        <v>-0.25268396641901963</v>
      </c>
      <c r="AG12" s="602">
        <f t="shared" si="87"/>
        <v>12.499998195223558</v>
      </c>
      <c r="AH12" s="603">
        <f t="shared" si="88"/>
        <v>14.999997834268255</v>
      </c>
      <c r="AI12" s="585">
        <f t="shared" si="89"/>
        <v>-75.36360748526684</v>
      </c>
      <c r="AJ12" s="586">
        <f t="shared" si="90"/>
        <v>93.31913956845878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5.6018678339987409E-2</v>
      </c>
      <c r="AM12" s="634">
        <f t="shared" si="92"/>
        <v>-0.25268396641901963</v>
      </c>
      <c r="AN12" s="581">
        <f>IF(M12="","",DEGREES(ATAN2(-AM12,AL12)))</f>
        <v>12.499998195223505</v>
      </c>
      <c r="AO12" s="582">
        <f t="shared" si="94"/>
        <v>14.999997834268255</v>
      </c>
      <c r="AP12" s="585">
        <f t="shared" si="95"/>
        <v>3.3191395684587772</v>
      </c>
      <c r="AQ12" s="586">
        <f t="shared" si="9"/>
        <v>0.88988774346946387</v>
      </c>
      <c r="AS12" s="52">
        <f t="shared" si="116"/>
        <v>360</v>
      </c>
      <c r="AT12" s="72">
        <f>IF(M12="","",Y12+(((AS12-$AS$9)*$AS$6)*-1))</f>
        <v>-0.18590056067609087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-3.414809992080329E-17</v>
      </c>
      <c r="C13" s="708">
        <v>3.314609996863751</v>
      </c>
      <c r="D13" s="709">
        <v>-0.13740041439964981</v>
      </c>
      <c r="E13" s="710">
        <v>-0.96546026562843779</v>
      </c>
      <c r="F13" s="708">
        <v>4.7897357391550696E-2</v>
      </c>
      <c r="G13" s="711">
        <v>0.25610997373701117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1.1160000000000001</v>
      </c>
      <c r="N13" s="632">
        <f t="shared" si="2"/>
        <v>-3.414809992080329E-17</v>
      </c>
      <c r="O13" s="629">
        <f t="shared" si="3"/>
        <v>3.314609996863751</v>
      </c>
      <c r="P13" s="633">
        <f t="shared" si="4"/>
        <v>-0.13740041439964981</v>
      </c>
      <c r="Q13" s="585">
        <f t="shared" si="113"/>
        <v>90</v>
      </c>
      <c r="R13" s="629">
        <f t="shared" si="79"/>
        <v>3.314609996863751</v>
      </c>
      <c r="S13" s="634">
        <f t="shared" si="80"/>
        <v>-0.13740041439964981</v>
      </c>
      <c r="T13" s="635">
        <f>IF(M13="","",X13*COS(RADIANS(W13)))</f>
        <v>3.314609996863751</v>
      </c>
      <c r="U13" s="629">
        <f t="shared" si="82"/>
        <v>-8.1217786325645806E-16</v>
      </c>
      <c r="V13" s="636">
        <f t="shared" si="114"/>
        <v>-0.13740041439964981</v>
      </c>
      <c r="W13" s="585">
        <f t="shared" si="5"/>
        <v>360</v>
      </c>
      <c r="X13" s="629">
        <f t="shared" si="83"/>
        <v>3.314609996863751</v>
      </c>
      <c r="Y13" s="630">
        <f>IF(M13="","",S13)</f>
        <v>-0.13740041439964981</v>
      </c>
      <c r="Z13" s="632">
        <f t="shared" si="6"/>
        <v>0.96546026562843779</v>
      </c>
      <c r="AA13" s="629">
        <f t="shared" si="7"/>
        <v>-4.7897357391550696E-2</v>
      </c>
      <c r="AB13" s="629">
        <f t="shared" si="8"/>
        <v>-0.25610997373701117</v>
      </c>
      <c r="AC13" s="636">
        <f t="shared" si="84"/>
        <v>1</v>
      </c>
      <c r="AD13" s="637">
        <f>IF(M13="","",Z13*(1/SQRT(Z13^2+AA13^2+AB13^2)))</f>
        <v>0.96546026562843779</v>
      </c>
      <c r="AE13" s="629">
        <f t="shared" si="85"/>
        <v>-4.7897357391550696E-2</v>
      </c>
      <c r="AF13" s="633">
        <f t="shared" si="86"/>
        <v>-0.25610997373701117</v>
      </c>
      <c r="AG13" s="602">
        <f>IF(M13="","",DEGREES(ATAN2(-AF13,AE13)))</f>
        <v>-10.59301371418764</v>
      </c>
      <c r="AH13" s="603">
        <f t="shared" si="88"/>
        <v>15.102719393919296</v>
      </c>
      <c r="AI13" s="585">
        <f t="shared" si="89"/>
        <v>-75.160633741268967</v>
      </c>
      <c r="AJ13" s="586">
        <f t="shared" si="90"/>
        <v>87.159833118463908</v>
      </c>
      <c r="AK13" s="635">
        <f t="shared" si="211"/>
        <v>0.96546026562843779</v>
      </c>
      <c r="AL13" s="629">
        <f t="shared" si="91"/>
        <v>-4.789735739155046E-2</v>
      </c>
      <c r="AM13" s="634">
        <f t="shared" si="92"/>
        <v>-0.25610997373701117</v>
      </c>
      <c r="AN13" s="581">
        <f t="shared" si="93"/>
        <v>-10.593013714187588</v>
      </c>
      <c r="AO13" s="582">
        <f t="shared" si="94"/>
        <v>15.102719393919296</v>
      </c>
      <c r="AP13" s="585">
        <f t="shared" si="95"/>
        <v>-2.8401668815360885</v>
      </c>
      <c r="AQ13" s="586">
        <f t="shared" si="9"/>
        <v>0.68774822463816021</v>
      </c>
      <c r="AS13" s="52">
        <f t="shared" si="116"/>
        <v>360</v>
      </c>
      <c r="AT13" s="72">
        <f t="shared" si="10"/>
        <v>-0.13740041439964981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1.5843017288017978E-2</v>
      </c>
      <c r="C14" s="708">
        <v>4.0523812526005223</v>
      </c>
      <c r="D14" s="709">
        <v>-0.29530089062748627</v>
      </c>
      <c r="E14" s="710">
        <v>-0.9637169232375864</v>
      </c>
      <c r="F14" s="708">
        <v>0.13532464942753641</v>
      </c>
      <c r="G14" s="711">
        <v>0.23008027104207437</v>
      </c>
      <c r="H14" s="710">
        <v>0.314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1.123</v>
      </c>
      <c r="N14" s="632">
        <f t="shared" si="2"/>
        <v>1.5843017288017978E-2</v>
      </c>
      <c r="O14" s="629">
        <f t="shared" si="3"/>
        <v>4.0523812526005223</v>
      </c>
      <c r="P14" s="633">
        <f t="shared" si="4"/>
        <v>-0.29530089062748627</v>
      </c>
      <c r="Q14" s="585">
        <f t="shared" si="113"/>
        <v>89.775999999999996</v>
      </c>
      <c r="R14" s="629">
        <f t="shared" si="79"/>
        <v>4.0524122220752625</v>
      </c>
      <c r="S14" s="634">
        <f t="shared" si="80"/>
        <v>-0.29530089062748627</v>
      </c>
      <c r="T14" s="635">
        <f t="shared" si="81"/>
        <v>4.0523812526005223</v>
      </c>
      <c r="U14" s="629">
        <f t="shared" si="82"/>
        <v>-1.5843017288017333E-2</v>
      </c>
      <c r="V14" s="636">
        <f t="shared" si="114"/>
        <v>-0.29530089062748627</v>
      </c>
      <c r="W14" s="585">
        <f t="shared" si="5"/>
        <v>359.77600000000001</v>
      </c>
      <c r="X14" s="629">
        <f t="shared" si="83"/>
        <v>4.0524122220752625</v>
      </c>
      <c r="Y14" s="630">
        <f t="shared" ref="Y14:Y75" si="223">IF(M14="","",S14)</f>
        <v>-0.29530089062748627</v>
      </c>
      <c r="Z14" s="632">
        <f t="shared" si="6"/>
        <v>0.9637169232375864</v>
      </c>
      <c r="AA14" s="629">
        <f t="shared" si="7"/>
        <v>-0.13532464942753641</v>
      </c>
      <c r="AB14" s="629">
        <f t="shared" si="8"/>
        <v>-0.23008027104207437</v>
      </c>
      <c r="AC14" s="636">
        <f t="shared" si="84"/>
        <v>1</v>
      </c>
      <c r="AD14" s="637">
        <f>IF(M14="","",Z14*(1/SQRT(Z14^2+AA14^2+AB14^2)))</f>
        <v>0.9637169232375864</v>
      </c>
      <c r="AE14" s="629">
        <f t="shared" si="85"/>
        <v>-0.13532464942753641</v>
      </c>
      <c r="AF14" s="633">
        <f t="shared" si="86"/>
        <v>-0.23008027104207437</v>
      </c>
      <c r="AG14" s="602">
        <f t="shared" si="87"/>
        <v>-30.462457682399318</v>
      </c>
      <c r="AH14" s="603">
        <f t="shared" si="88"/>
        <v>15.481450039065404</v>
      </c>
      <c r="AI14" s="585">
        <f t="shared" si="89"/>
        <v>-76.69820231665345</v>
      </c>
      <c r="AJ14" s="586">
        <f t="shared" si="90"/>
        <v>82.006817372703196</v>
      </c>
      <c r="AK14" s="635">
        <f>IF(M14="","",(COS(RADIANS((90-$Q$8)-W14))*AD14)+(-SIN(RADIANS((90-$Q$8)-W14))*AE14))</f>
        <v>0.9642386137363832</v>
      </c>
      <c r="AL14" s="629">
        <f t="shared" si="91"/>
        <v>-0.13155593736864843</v>
      </c>
      <c r="AM14" s="634">
        <f t="shared" si="92"/>
        <v>-0.23008027104207437</v>
      </c>
      <c r="AN14" s="581">
        <f t="shared" si="93"/>
        <v>-29.760178080361662</v>
      </c>
      <c r="AO14" s="582">
        <f t="shared" si="94"/>
        <v>15.369071137662855</v>
      </c>
      <c r="AP14" s="585">
        <f>IF(M14="","",DEGREES(ATAN2(AK14,AL14)))</f>
        <v>-7.7691826272968116</v>
      </c>
      <c r="AQ14" s="586">
        <f t="shared" si="9"/>
        <v>0.56254232130050308</v>
      </c>
      <c r="AS14" s="52">
        <f t="shared" si="116"/>
        <v>359.77600000000001</v>
      </c>
      <c r="AT14" s="72">
        <f t="shared" si="10"/>
        <v>-0.29514533507193069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6.9190679882876804E-2</v>
      </c>
      <c r="C15" s="708">
        <v>4.7191070310979519</v>
      </c>
      <c r="D15" s="709">
        <v>-0.64790195407229323</v>
      </c>
      <c r="E15" s="710">
        <v>-0.95964964344632309</v>
      </c>
      <c r="F15" s="708">
        <v>0.21396732848614214</v>
      </c>
      <c r="G15" s="711">
        <v>0.18245696526536995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130</v>
      </c>
      <c r="M15" s="168">
        <f t="shared" si="1"/>
        <v>1.1299999999999999</v>
      </c>
      <c r="N15" s="632">
        <f t="shared" si="2"/>
        <v>6.9190679882876804E-2</v>
      </c>
      <c r="O15" s="629">
        <f t="shared" si="3"/>
        <v>4.7191070310979519</v>
      </c>
      <c r="P15" s="633">
        <f t="shared" si="4"/>
        <v>-0.64790195407229323</v>
      </c>
      <c r="Q15" s="585">
        <f t="shared" si="113"/>
        <v>89.16</v>
      </c>
      <c r="R15" s="629">
        <f t="shared" si="79"/>
        <v>4.7196142343565306</v>
      </c>
      <c r="S15" s="634">
        <f t="shared" si="80"/>
        <v>-0.64790195407229323</v>
      </c>
      <c r="T15" s="635">
        <f t="shared" si="81"/>
        <v>4.7191070310979519</v>
      </c>
      <c r="U15" s="629">
        <f t="shared" si="82"/>
        <v>-6.9190679882878039E-2</v>
      </c>
      <c r="V15" s="636">
        <f t="shared" si="114"/>
        <v>-0.64790195407229323</v>
      </c>
      <c r="W15" s="585">
        <f t="shared" ref="W15:W78" si="224">IF(M15="","",IF(Q15-$Q$8&lt;0,360+Q15-$Q$8,Q15-$Q$8))</f>
        <v>359.15999999999997</v>
      </c>
      <c r="X15" s="629">
        <f>IF(M15="","",R15)</f>
        <v>4.7196142343565306</v>
      </c>
      <c r="Y15" s="630">
        <f>IF(M15="","",S15)</f>
        <v>-0.64790195407229323</v>
      </c>
      <c r="Z15" s="632">
        <f t="shared" si="6"/>
        <v>0.95964964344632309</v>
      </c>
      <c r="AA15" s="629">
        <f t="shared" si="7"/>
        <v>-0.21396732848614214</v>
      </c>
      <c r="AB15" s="629">
        <f t="shared" si="8"/>
        <v>-0.18245696526536995</v>
      </c>
      <c r="AC15" s="636">
        <f t="shared" si="84"/>
        <v>1</v>
      </c>
      <c r="AD15" s="637">
        <f t="shared" si="115"/>
        <v>0.95964964344632309</v>
      </c>
      <c r="AE15" s="629">
        <f t="shared" si="85"/>
        <v>-0.21396732848614214</v>
      </c>
      <c r="AF15" s="633">
        <f t="shared" si="86"/>
        <v>-0.18245696526536995</v>
      </c>
      <c r="AG15" s="602">
        <f t="shared" si="87"/>
        <v>-49.544683429634453</v>
      </c>
      <c r="AH15" s="603">
        <f t="shared" si="88"/>
        <v>16.331744284562259</v>
      </c>
      <c r="AI15" s="585">
        <f t="shared" si="89"/>
        <v>-79.487096093561718</v>
      </c>
      <c r="AJ15" s="586">
        <f t="shared" si="90"/>
        <v>77.430697650897571</v>
      </c>
      <c r="AK15" s="635">
        <f t="shared" si="211"/>
        <v>0.96268332518247068</v>
      </c>
      <c r="AL15" s="629">
        <f t="shared" si="91"/>
        <v>-0.19987563944056114</v>
      </c>
      <c r="AM15" s="634">
        <f t="shared" si="92"/>
        <v>-0.18245696526536995</v>
      </c>
      <c r="AN15" s="581">
        <f>IF(M15="","",DEGREES(ATAN2(-AM15,AL15)))</f>
        <v>-47.608532102257129</v>
      </c>
      <c r="AO15" s="582">
        <f t="shared" si="94"/>
        <v>15.701782979444525</v>
      </c>
      <c r="AP15" s="585">
        <f t="shared" si="95"/>
        <v>-11.72930234910242</v>
      </c>
      <c r="AQ15" s="586">
        <f t="shared" si="9"/>
        <v>0.4830209656395652</v>
      </c>
      <c r="AS15" s="52">
        <f t="shared" si="116"/>
        <v>359.15999999999997</v>
      </c>
      <c r="AT15" s="72">
        <f t="shared" si="10"/>
        <v>-0.64731862073895985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8.3630784562518379E-2</v>
      </c>
      <c r="C16" s="708">
        <v>5.2651517349307966</v>
      </c>
      <c r="D16" s="709">
        <v>-1.1684035239050281</v>
      </c>
      <c r="E16" s="710">
        <v>-0.95225155755706181</v>
      </c>
      <c r="F16" s="708">
        <v>0.27520093311702826</v>
      </c>
      <c r="G16" s="711">
        <v>0.13221731180774701</v>
      </c>
      <c r="H16" s="710">
        <v>0.314</v>
      </c>
      <c r="I16" s="708">
        <v>0.52</v>
      </c>
      <c r="J16" s="570">
        <v>1.137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1.137</v>
      </c>
      <c r="N16" s="632">
        <f t="shared" si="2"/>
        <v>8.3630784562518379E-2</v>
      </c>
      <c r="O16" s="629">
        <f t="shared" si="3"/>
        <v>5.2651517349307966</v>
      </c>
      <c r="P16" s="633">
        <f t="shared" si="4"/>
        <v>-1.1684035239050281</v>
      </c>
      <c r="Q16" s="585">
        <f>IF(M16="","",IF(DEGREES(ATAN2(N16,O16))&lt;0,DEGREES(ATAN2(N16,O16))+360,IF(DEGREES(ATAN2(N16,O16))&gt;360,DEGREES(ATAN2(N16,O16))-360,DEGREES(ATAN2(N16,O16)))))</f>
        <v>89.09</v>
      </c>
      <c r="R16" s="629">
        <f t="shared" si="79"/>
        <v>5.2658158817006999</v>
      </c>
      <c r="S16" s="634">
        <f t="shared" si="80"/>
        <v>-1.1684035239050281</v>
      </c>
      <c r="T16" s="635">
        <f t="shared" si="81"/>
        <v>5.2651517349307966</v>
      </c>
      <c r="U16" s="629">
        <f t="shared" si="82"/>
        <v>-8.363078456251434E-2</v>
      </c>
      <c r="V16" s="636">
        <f t="shared" si="114"/>
        <v>-1.1684035239050281</v>
      </c>
      <c r="W16" s="585">
        <f>IF(M16="","",IF(Q16-$Q$8&lt;0,360+Q16-$Q$8,Q16-$Q$8))</f>
        <v>359.09000000000003</v>
      </c>
      <c r="X16" s="629">
        <f t="shared" si="83"/>
        <v>5.2658158817006999</v>
      </c>
      <c r="Y16" s="630">
        <f t="shared" si="223"/>
        <v>-1.1684035239050281</v>
      </c>
      <c r="Z16" s="632">
        <f t="shared" si="6"/>
        <v>0.95225155755706181</v>
      </c>
      <c r="AA16" s="629">
        <f t="shared" si="7"/>
        <v>-0.27520093311702826</v>
      </c>
      <c r="AB16" s="629">
        <f t="shared" si="8"/>
        <v>-0.13221731180774701</v>
      </c>
      <c r="AC16" s="636">
        <f t="shared" si="84"/>
        <v>1</v>
      </c>
      <c r="AD16" s="637">
        <f t="shared" si="115"/>
        <v>0.95225155755706181</v>
      </c>
      <c r="AE16" s="629">
        <f t="shared" si="85"/>
        <v>-0.27520093311702826</v>
      </c>
      <c r="AF16" s="633">
        <f t="shared" si="86"/>
        <v>-0.13221731180774701</v>
      </c>
      <c r="AG16" s="602">
        <f t="shared" si="87"/>
        <v>-64.33854627948412</v>
      </c>
      <c r="AH16" s="603">
        <f t="shared" si="88"/>
        <v>17.777088656714479</v>
      </c>
      <c r="AI16" s="585">
        <f t="shared" si="89"/>
        <v>-82.402258867259178</v>
      </c>
      <c r="AJ16" s="586">
        <f t="shared" si="90"/>
        <v>73.880693182683402</v>
      </c>
      <c r="AK16" s="635">
        <f t="shared" si="211"/>
        <v>0.95650214961262703</v>
      </c>
      <c r="AL16" s="629">
        <f t="shared" si="91"/>
        <v>-0.26004272772903475</v>
      </c>
      <c r="AM16" s="634">
        <f t="shared" si="92"/>
        <v>-0.13221731180774701</v>
      </c>
      <c r="AN16" s="581">
        <f t="shared" si="93"/>
        <v>-63.049187319713532</v>
      </c>
      <c r="AO16" s="582">
        <f t="shared" si="94"/>
        <v>16.961274161896011</v>
      </c>
      <c r="AP16" s="585">
        <f t="shared" si="95"/>
        <v>-15.209306817316635</v>
      </c>
      <c r="AQ16" s="586">
        <f t="shared" si="9"/>
        <v>0.43292118421313486</v>
      </c>
      <c r="AS16" s="52">
        <f t="shared" si="116"/>
        <v>359.09000000000003</v>
      </c>
      <c r="AT16" s="72">
        <f t="shared" si="10"/>
        <v>-1.1677715794605836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1.137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0.13192772647948298</v>
      </c>
      <c r="C17" s="708">
        <v>5.6483765486696216</v>
      </c>
      <c r="D17" s="709">
        <v>-1.8179054828029362</v>
      </c>
      <c r="E17" s="710">
        <v>-0.94302155881300642</v>
      </c>
      <c r="F17" s="708">
        <v>0.32551981860703216</v>
      </c>
      <c r="G17" s="711">
        <v>6.8899835325872669E-2</v>
      </c>
      <c r="H17" s="710">
        <v>0.314</v>
      </c>
      <c r="I17" s="708">
        <v>0.52</v>
      </c>
      <c r="J17" s="570">
        <v>1.1439999999999999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1.1439999999999999</v>
      </c>
      <c r="N17" s="632">
        <f t="shared" si="2"/>
        <v>0.13192772647948298</v>
      </c>
      <c r="O17" s="629">
        <f t="shared" si="3"/>
        <v>5.6483765486696216</v>
      </c>
      <c r="P17" s="633">
        <f t="shared" si="4"/>
        <v>-1.8179054828029362</v>
      </c>
      <c r="Q17" s="585">
        <f>IF(M17="","",IF(DEGREES(ATAN2(N17,O17))&lt;0,DEGREES(ATAN2(N17,O17))+360,IF(DEGREES(ATAN2(N17,O17))&gt;360,DEGREES(ATAN2(N17,O17))-360,DEGREES(ATAN2(N17,O17)))))</f>
        <v>88.662000000000006</v>
      </c>
      <c r="R17" s="629">
        <f>IF(M17="","",SQRT(N17^2+O17^2))</f>
        <v>5.6499170401497922</v>
      </c>
      <c r="S17" s="634">
        <f>IF(M17="","",P17)</f>
        <v>-1.8179054828029362</v>
      </c>
      <c r="T17" s="635">
        <f>IF(M17="","",X17*COS(RADIANS(W17)))</f>
        <v>5.6483765486696216</v>
      </c>
      <c r="U17" s="629">
        <f>IF(M17="","",X17*SIN(RADIANS(W17)))</f>
        <v>-0.13192772647947887</v>
      </c>
      <c r="V17" s="636">
        <f>IF(M17="","",Y17)</f>
        <v>-1.8179054828029362</v>
      </c>
      <c r="W17" s="585">
        <f t="shared" si="224"/>
        <v>358.66200000000003</v>
      </c>
      <c r="X17" s="629">
        <f>IF(M17="","",R17)</f>
        <v>5.6499170401497922</v>
      </c>
      <c r="Y17" s="630">
        <f t="shared" si="223"/>
        <v>-1.8179054828029362</v>
      </c>
      <c r="Z17" s="632">
        <f t="shared" si="6"/>
        <v>0.94302155881300642</v>
      </c>
      <c r="AA17" s="629">
        <f t="shared" si="7"/>
        <v>-0.32551981860703216</v>
      </c>
      <c r="AB17" s="629">
        <f t="shared" si="8"/>
        <v>-6.8899835325872669E-2</v>
      </c>
      <c r="AC17" s="636">
        <f>IF(M17="","",SQRT(Z17^2+AA17^2+AB17^2))</f>
        <v>1</v>
      </c>
      <c r="AD17" s="637">
        <f>IF(M17="","",Z17*(1/SQRT(Z17^2+AA17^2+AB17^2)))</f>
        <v>0.94302155881300642</v>
      </c>
      <c r="AE17" s="629">
        <f>IF(M17="","",AA17*(1/SQRT(Z17^2+AA17^2+AB17^2)))</f>
        <v>-0.32551981860703216</v>
      </c>
      <c r="AF17" s="633">
        <f>IF(M17="","",AB17*(1/SQRT(Z17^2+AA17^2+AB17^2)))</f>
        <v>-6.8899835325872669E-2</v>
      </c>
      <c r="AG17" s="602">
        <f>IF(M17="","",DEGREES(ATAN2(-AF17,AE17)))</f>
        <v>-78.04910528844924</v>
      </c>
      <c r="AH17" s="603">
        <f>IF(M17="","",DEGREES(ACOS(AD17)))</f>
        <v>19.434658615442391</v>
      </c>
      <c r="AI17" s="585">
        <f>IF(M17="","",DEGREES(-ACOS(-AF17)))</f>
        <v>-86.049200147503612</v>
      </c>
      <c r="AJ17" s="586">
        <f>IF(M17="","",DEGREES(ATAN2(-AE17,AD17)))</f>
        <v>70.955935281601114</v>
      </c>
      <c r="AK17" s="635">
        <f>IF(M17="","",(COS(RADIANS((90-$Q$8)-W17))*AD17)+(-SIN(RADIANS((90-$Q$8)-W17))*AE17))</f>
        <v>0.95036544946149082</v>
      </c>
      <c r="AL17" s="629">
        <f>IF(M17="","",(SIN(RADIANS((90-$Q$8)-W17))*AD17)+(COS(RADIANS((90-$Q$8)-W17))*AE17))</f>
        <v>-0.30341114871066616</v>
      </c>
      <c r="AM17" s="634">
        <f>IF(M17="","",AF17)</f>
        <v>-6.8899835325872669E-2</v>
      </c>
      <c r="AN17" s="581">
        <f>IF(M17="","",DEGREES(ATAN2(-AM17,AL17)))</f>
        <v>-77.206013288085686</v>
      </c>
      <c r="AO17" s="582">
        <f t="shared" si="94"/>
        <v>18.127694962236486</v>
      </c>
      <c r="AP17" s="585">
        <f>IF(M17="","",DEGREES(ATAN2(AK17,AL17)))</f>
        <v>-17.706064718398927</v>
      </c>
      <c r="AQ17" s="586">
        <f t="shared" si="9"/>
        <v>0.40349069364126222</v>
      </c>
      <c r="AS17" s="52">
        <f t="shared" si="116"/>
        <v>358.66200000000003</v>
      </c>
      <c r="AT17" s="72">
        <f t="shared" si="10"/>
        <v>-1.8169763161362695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1.1439999999999999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0.15896976079007319</v>
      </c>
      <c r="C18" s="708">
        <v>5.8409547309947421</v>
      </c>
      <c r="D18" s="709">
        <v>-2.5473076826799708</v>
      </c>
      <c r="E18" s="710">
        <v>-0.92310657172516808</v>
      </c>
      <c r="F18" s="708">
        <v>0.3844145621229153</v>
      </c>
      <c r="G18" s="711">
        <v>9.985072140687945E-3</v>
      </c>
      <c r="H18" s="710">
        <v>0.314</v>
      </c>
      <c r="I18" s="708">
        <v>0.52</v>
      </c>
      <c r="J18" s="570">
        <v>1.151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1.151</v>
      </c>
      <c r="N18" s="632">
        <f t="shared" si="2"/>
        <v>0.15896976079007319</v>
      </c>
      <c r="O18" s="629">
        <f t="shared" si="3"/>
        <v>5.8409547309947421</v>
      </c>
      <c r="P18" s="633">
        <f t="shared" si="4"/>
        <v>-2.5473076826799708</v>
      </c>
      <c r="Q18" s="585">
        <f t="shared" si="113"/>
        <v>88.440999999999988</v>
      </c>
      <c r="R18" s="629">
        <f>IF(M18="","",SQRT(N18^2+O18^2))</f>
        <v>5.8431176228427502</v>
      </c>
      <c r="S18" s="634">
        <f>IF(M18="","",P18)</f>
        <v>-2.5473076826799708</v>
      </c>
      <c r="T18" s="635">
        <f>IF(M18="","",X18*COS(RADIANS(W18)))</f>
        <v>5.8409547309947421</v>
      </c>
      <c r="U18" s="629">
        <f>IF(M18="","",X18*SIN(RADIANS(W18)))</f>
        <v>-0.15896976079007619</v>
      </c>
      <c r="V18" s="636">
        <f>IF(M18="","",Y18)</f>
        <v>-2.5473076826799708</v>
      </c>
      <c r="W18" s="585">
        <f t="shared" si="224"/>
        <v>358.44099999999997</v>
      </c>
      <c r="X18" s="629">
        <f>IF(M18="","",R18)</f>
        <v>5.8431176228427502</v>
      </c>
      <c r="Y18" s="630">
        <f t="shared" si="223"/>
        <v>-2.5473076826799708</v>
      </c>
      <c r="Z18" s="632">
        <f t="shared" si="6"/>
        <v>0.92310657172516808</v>
      </c>
      <c r="AA18" s="629">
        <f t="shared" si="7"/>
        <v>-0.3844145621229153</v>
      </c>
      <c r="AB18" s="629">
        <f t="shared" si="8"/>
        <v>-9.985072140687945E-3</v>
      </c>
      <c r="AC18" s="636">
        <f>IF(M18="","",SQRT(Z18^2+AA18^2+AB18^2))</f>
        <v>1</v>
      </c>
      <c r="AD18" s="637">
        <f>IF(M18="","",Z18*(1/SQRT(Z18^2+AA18^2+AB18^2)))</f>
        <v>0.92310657172516808</v>
      </c>
      <c r="AE18" s="629">
        <f>IF(M18="","",AA18*(1/SQRT(Z18^2+AA18^2+AB18^2)))</f>
        <v>-0.3844145621229153</v>
      </c>
      <c r="AF18" s="633">
        <f>IF(M18="","",AB18*(1/SQRT(Z18^2+AA18^2+AB18^2)))</f>
        <v>-9.985072140687945E-3</v>
      </c>
      <c r="AG18" s="602">
        <f>IF(M18="","",DEGREES(ATAN2(-AF18,AE18)))</f>
        <v>-88.512091016523456</v>
      </c>
      <c r="AH18" s="603">
        <f>IF(M18="","",DEGREES(ACOS(AD18)))</f>
        <v>22.615447809123154</v>
      </c>
      <c r="AI18" s="585">
        <f>IF(M18="","",DEGREES(-ACOS(-AF18)))</f>
        <v>-89.427888001183149</v>
      </c>
      <c r="AJ18" s="586">
        <f>IF(M18="","",DEGREES(ATAN2(-AE18,AD18)))</f>
        <v>67.391410159278379</v>
      </c>
      <c r="AK18" s="635">
        <f>IF(M18="","",(COS(RADIANS((90-$Q$8)-W18))*AD18)+(-SIN(RADIANS((90-$Q$8)-W18))*AE18))</f>
        <v>0.93322338181212905</v>
      </c>
      <c r="AL18" s="629">
        <f>IF(M18="","",(SIN(RADIANS((90-$Q$8)-W18))*AD18)+(COS(RADIANS((90-$Q$8)-W18))*AE18))</f>
        <v>-0.35915792901379606</v>
      </c>
      <c r="AM18" s="634">
        <f>IF(M18="","",AF18)</f>
        <v>-9.985072140687945E-3</v>
      </c>
      <c r="AN18" s="581">
        <f>IF(M18="","",DEGREES(ATAN2(-AM18,AL18)))</f>
        <v>-88.407510684141002</v>
      </c>
      <c r="AO18" s="582">
        <f t="shared" si="94"/>
        <v>21.057010337174582</v>
      </c>
      <c r="AP18" s="585">
        <f>IF(M18="","",DEGREES(ATAN2(AK18,AL18)))</f>
        <v>-21.049589840721588</v>
      </c>
      <c r="AQ18" s="586">
        <f t="shared" si="9"/>
        <v>0.3901498384251062</v>
      </c>
      <c r="AS18" s="52">
        <f t="shared" si="116"/>
        <v>358.44099999999997</v>
      </c>
      <c r="AT18" s="72">
        <f t="shared" si="10"/>
        <v>-2.5462250437910821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0.27278503766568574</v>
      </c>
      <c r="C19" s="708">
        <v>5.909325068900781</v>
      </c>
      <c r="D19" s="709">
        <v>-3.3173100050069753</v>
      </c>
      <c r="E19" s="710">
        <v>-0.73558896294884757</v>
      </c>
      <c r="F19" s="708">
        <v>0.67742813462965779</v>
      </c>
      <c r="G19" s="711">
        <v>1.4578093198414931E-7</v>
      </c>
      <c r="H19" s="710">
        <v>0.314</v>
      </c>
      <c r="I19" s="708">
        <v>0.52</v>
      </c>
      <c r="J19" s="570">
        <v>1.1579999999999999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1.1579999999999999</v>
      </c>
      <c r="N19" s="632">
        <f t="shared" si="2"/>
        <v>0.27278503766568574</v>
      </c>
      <c r="O19" s="629">
        <f t="shared" si="3"/>
        <v>5.909325068900781</v>
      </c>
      <c r="P19" s="633">
        <f t="shared" si="4"/>
        <v>-3.3173100050069753</v>
      </c>
      <c r="Q19" s="585">
        <f t="shared" si="113"/>
        <v>87.357000381601921</v>
      </c>
      <c r="R19" s="629">
        <f>IF(M19="","",SQRT(N19^2+O19^2))</f>
        <v>5.915617841503412</v>
      </c>
      <c r="S19" s="634">
        <f>IF(M19="","",P19)</f>
        <v>-3.3173100050069753</v>
      </c>
      <c r="T19" s="635">
        <f>IF(M19="","",X19*COS(RADIANS(W19)))</f>
        <v>5.909325068900781</v>
      </c>
      <c r="U19" s="629">
        <f>IF(M19="","",X19*SIN(RADIANS(W19)))</f>
        <v>-0.27278503766569079</v>
      </c>
      <c r="V19" s="636">
        <f>IF(M19="","",Y19)</f>
        <v>-3.3173100050069753</v>
      </c>
      <c r="W19" s="585">
        <f t="shared" si="224"/>
        <v>357.35700038160189</v>
      </c>
      <c r="X19" s="629">
        <f>IF(M19="","",R19)</f>
        <v>5.915617841503412</v>
      </c>
      <c r="Y19" s="630">
        <f t="shared" si="223"/>
        <v>-3.3173100050069753</v>
      </c>
      <c r="Z19" s="632">
        <f t="shared" si="6"/>
        <v>0.73558896294884757</v>
      </c>
      <c r="AA19" s="629">
        <f t="shared" si="7"/>
        <v>-0.67742813462965779</v>
      </c>
      <c r="AB19" s="629">
        <f t="shared" si="8"/>
        <v>-1.4578093198414931E-7</v>
      </c>
      <c r="AC19" s="636">
        <f>IF(M19="","",SQRT(Z19^2+AA19^2+AB19^2))</f>
        <v>1</v>
      </c>
      <c r="AD19" s="637">
        <f>IF(M19="","",Z19*(1/SQRT(Z19^2+AA19^2+AB19^2)))</f>
        <v>0.73558896294884757</v>
      </c>
      <c r="AE19" s="629">
        <f>IF(M19="","",AA19*(1/SQRT(Z19^2+AA19^2+AB19^2)))</f>
        <v>-0.67742813462965779</v>
      </c>
      <c r="AF19" s="633">
        <f>IF(M19="","",AB19*(1/SQRT(Z19^2+AA19^2+AB19^2)))</f>
        <v>-1.4578093198414931E-7</v>
      </c>
      <c r="AG19" s="602">
        <f>IF(M19="","",DEGREES(ATAN2(-AF19,AE19)))</f>
        <v>-89.999987670083797</v>
      </c>
      <c r="AH19" s="603">
        <f>IF(M19="","",DEGREES(ACOS(AD19)))</f>
        <v>42.642993843113381</v>
      </c>
      <c r="AI19" s="585">
        <f>IF(M19="","",DEGREES(-ACOS(-AF19)))</f>
        <v>-89.999991647367864</v>
      </c>
      <c r="AJ19" s="586">
        <f>IF(M19="","",DEGREES(ATAN2(-AE19,AD19)))</f>
        <v>47.35700615688728</v>
      </c>
      <c r="AK19" s="635">
        <f>IF(M19="","",(COS(RADIANS((90-$Q$8)-W19))*AD19)+(-SIN(RADIANS((90-$Q$8)-W19))*AE19))</f>
        <v>0.76604450791050793</v>
      </c>
      <c r="AL19" s="629">
        <f>IF(M19="","",(SIN(RADIANS((90-$Q$8)-W19))*AD19)+(COS(RADIANS((90-$Q$8)-W19))*AE19))</f>
        <v>-0.64278753247097642</v>
      </c>
      <c r="AM19" s="634">
        <f>IF(M19="","",AF19)</f>
        <v>-1.4578093198414931E-7</v>
      </c>
      <c r="AN19" s="581">
        <f>IF(M19="","",DEGREES(ATAN2(-AM19,AL19)))</f>
        <v>-89.999987005609611</v>
      </c>
      <c r="AO19" s="582">
        <f t="shared" si="94"/>
        <v>39.999994224715316</v>
      </c>
      <c r="AP19" s="585">
        <f>IF(M19="","",DEGREES(ATAN2(AK19,AL19)))</f>
        <v>-39.999994224714598</v>
      </c>
      <c r="AQ19" s="586">
        <f t="shared" si="9"/>
        <v>0.38536841220789181</v>
      </c>
      <c r="AS19" s="52">
        <f t="shared" si="116"/>
        <v>357.35700038160189</v>
      </c>
      <c r="AT19" s="72">
        <f t="shared" si="10"/>
        <v>-3.3154745886053099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1.1579999999999999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1.0554178796553206</v>
      </c>
      <c r="C20" s="708">
        <v>2.3234213370165699</v>
      </c>
      <c r="D20" s="709">
        <v>-0.1943</v>
      </c>
      <c r="E20" s="710">
        <v>-5.4962854683100468E-17</v>
      </c>
      <c r="F20" s="708">
        <v>5.6718183937030644E-17</v>
      </c>
      <c r="G20" s="711">
        <v>1</v>
      </c>
      <c r="H20" s="710">
        <v>0.25700000000000001</v>
      </c>
      <c r="I20" s="708">
        <v>0.41499999999999992</v>
      </c>
      <c r="J20" s="570">
        <v>1.212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0</v>
      </c>
      <c r="M20" s="168">
        <f t="shared" si="1"/>
        <v>1.212</v>
      </c>
      <c r="N20" s="632">
        <f t="shared" si="2"/>
        <v>1.0554178796553206</v>
      </c>
      <c r="O20" s="629">
        <f t="shared" si="3"/>
        <v>2.3234213370165699</v>
      </c>
      <c r="P20" s="633">
        <f t="shared" si="4"/>
        <v>-0.1943</v>
      </c>
      <c r="Q20" s="585">
        <f t="shared" si="113"/>
        <v>65.570000000000007</v>
      </c>
      <c r="R20" s="629">
        <f>IF(M20="","",SQRT(N20^2+O20^2))</f>
        <v>2.5518999999999994</v>
      </c>
      <c r="S20" s="634">
        <f>IF(M20="","",P20)</f>
        <v>-0.1943</v>
      </c>
      <c r="T20" s="635">
        <f>IF(M20="","",X20*COS(RADIANS(W20)))</f>
        <v>2.3234213370165691</v>
      </c>
      <c r="U20" s="629">
        <f>IF(M20="","",X20*SIN(RADIANS(W20)))</f>
        <v>-1.0554178796553215</v>
      </c>
      <c r="V20" s="636">
        <f>IF(M20="","",Y20)</f>
        <v>-0.1943</v>
      </c>
      <c r="W20" s="585">
        <f t="shared" si="224"/>
        <v>335.57</v>
      </c>
      <c r="X20" s="629">
        <f>IF(M20="","",R20)</f>
        <v>2.5518999999999994</v>
      </c>
      <c r="Y20" s="630">
        <f t="shared" si="223"/>
        <v>-0.1943</v>
      </c>
      <c r="Z20" s="632">
        <f t="shared" si="6"/>
        <v>5.4962854683100468E-17</v>
      </c>
      <c r="AA20" s="629">
        <f t="shared" si="7"/>
        <v>-5.6718183937030644E-17</v>
      </c>
      <c r="AB20" s="629">
        <f t="shared" si="8"/>
        <v>-1</v>
      </c>
      <c r="AC20" s="636">
        <f>IF(M20="","",SQRT(Z20^2+AA20^2+AB20^2))</f>
        <v>1</v>
      </c>
      <c r="AD20" s="637">
        <f>IF(M20="","",Z20*(1/SQRT(Z20^2+AA20^2+AB20^2)))</f>
        <v>5.4962854683100468E-17</v>
      </c>
      <c r="AE20" s="629">
        <f>IF(M20="","",AA20*(1/SQRT(Z20^2+AA20^2+AB20^2)))</f>
        <v>-5.6718183937030644E-17</v>
      </c>
      <c r="AF20" s="633">
        <f>IF(M20="","",AB20*(1/SQRT(Z20^2+AA20^2+AB20^2)))</f>
        <v>-1</v>
      </c>
      <c r="AG20" s="602">
        <f>IF(M20="","",DEGREES(ATAN2(-AF20,AE20)))</f>
        <v>-3.2497125612385554E-15</v>
      </c>
      <c r="AH20" s="603">
        <f>IF(M20="","",DEGREES(ACOS(AD20)))</f>
        <v>90</v>
      </c>
      <c r="AI20" s="585">
        <f>IF(M20="","",DEGREES(-ACOS(-AF20)))</f>
        <v>0</v>
      </c>
      <c r="AJ20" s="586">
        <f>IF(M20="","",DEGREES(ATAN2(-AE20,AD20)))</f>
        <v>44.099536692178205</v>
      </c>
      <c r="AK20" s="635">
        <f>IF(M20="","",(COS(RADIANS((90-$Q$8)-W20))*AD20)+(-SIN(RADIANS((90-$Q$8)-W20))*AE20))</f>
        <v>7.349945324768923E-17</v>
      </c>
      <c r="AL20" s="629">
        <f>IF(M20="","",(SIN(RADIANS((90-$Q$8)-W20))*AD20)+(COS(RADIANS((90-$Q$8)-W20))*AE20))</f>
        <v>-2.8908444377399586E-17</v>
      </c>
      <c r="AM20" s="634">
        <f>IF(M20="","",AF20)</f>
        <v>-1</v>
      </c>
      <c r="AN20" s="581">
        <f>IF(M20="","",DEGREES(ATAN2(-AM20,AL20)))</f>
        <v>-1.6563318551136911E-15</v>
      </c>
      <c r="AO20" s="582">
        <f t="shared" si="94"/>
        <v>0</v>
      </c>
      <c r="AP20" s="585">
        <f>IF(M20="","",DEGREES(ATAN2(AK20,AL20)))</f>
        <v>-21.470463307821767</v>
      </c>
      <c r="AQ20" s="586">
        <f t="shared" si="9"/>
        <v>0.8932724329462447</v>
      </c>
      <c r="AS20" s="52">
        <f t="shared" si="116"/>
        <v>335.57</v>
      </c>
      <c r="AT20" s="72">
        <f t="shared" si="10"/>
        <v>-0.17733472222222221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1.212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5.2119999999999997</v>
      </c>
      <c r="II20" s="734" cm="1">
        <f t="array" ref="II20">IFERROR(ROUND(VALUE(IF($IH20&lt;1,$IH20+LARGE((IF($M$9:$M$150="",0,$M$9:$M$150)-MOD(IF($M$9:$M$150="",0,$M$9:$M$150),1)),1),$IH20)),4),"")</f>
        <v>5.2119999999999997</v>
      </c>
      <c r="IJ20" s="533" t="str">
        <f t="shared" si="112"/>
        <v>CPS-32193r1</v>
      </c>
      <c r="IK20" s="533" t="str">
        <f t="shared" si="66"/>
        <v>CPS-32193r1</v>
      </c>
      <c r="IL20" s="727">
        <f t="shared" si="225"/>
        <v>144.17497949773957</v>
      </c>
      <c r="IM20" s="759">
        <v>7.67482507859988E-4</v>
      </c>
      <c r="IN20" s="5">
        <f t="shared" si="226"/>
        <v>0</v>
      </c>
      <c r="IO20" s="771">
        <v>0</v>
      </c>
      <c r="IP20" s="9">
        <f t="shared" si="227"/>
        <v>-2.8786</v>
      </c>
      <c r="IQ20" s="5">
        <f t="shared" si="228"/>
        <v>-0.14470000000000025</v>
      </c>
      <c r="IR20" s="5">
        <f t="shared" si="71"/>
        <v>0.25700000000000001</v>
      </c>
      <c r="IS20" s="5">
        <f t="shared" si="229"/>
        <v>0.25700000000000001</v>
      </c>
      <c r="IT20" s="727">
        <f t="shared" si="230"/>
        <v>9.6744701120944438E-16</v>
      </c>
      <c r="IU20" s="9">
        <f t="shared" si="231"/>
        <v>-2.5518999999999994</v>
      </c>
      <c r="IV20" s="5">
        <f t="shared" si="232"/>
        <v>-0.1943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1.6563318551136911E-15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1.1090080785693468</v>
      </c>
      <c r="C21" s="708">
        <v>3.1265386358828073</v>
      </c>
      <c r="D21" s="709">
        <v>-0.12279999999999956</v>
      </c>
      <c r="E21" s="710">
        <v>2.186429091455459E-2</v>
      </c>
      <c r="F21" s="708">
        <v>6.1640263593681396E-2</v>
      </c>
      <c r="G21" s="711">
        <v>0.99785892323860359</v>
      </c>
      <c r="H21" s="710">
        <v>0.25700000000000001</v>
      </c>
      <c r="I21" s="708">
        <v>0.41499999999999992</v>
      </c>
      <c r="J21" s="570">
        <v>1.2190000000000001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1.2190000000000001</v>
      </c>
      <c r="N21" s="632">
        <f t="shared" si="2"/>
        <v>1.1090080785693468</v>
      </c>
      <c r="O21" s="629">
        <f t="shared" si="3"/>
        <v>3.1265386358828073</v>
      </c>
      <c r="P21" s="633">
        <f t="shared" si="4"/>
        <v>-0.12279999999999956</v>
      </c>
      <c r="Q21" s="585">
        <f t="shared" si="113"/>
        <v>70.47</v>
      </c>
      <c r="R21" s="629">
        <f>IF(M21="","",SQRT(N21^2+O21^2))</f>
        <v>3.3174000000000001</v>
      </c>
      <c r="S21" s="634">
        <f>IF(M21="","",P21)</f>
        <v>-0.12279999999999956</v>
      </c>
      <c r="T21" s="635">
        <f>IF(M21="","",X21*COS(RADIANS(W21)))</f>
        <v>3.1265386358828078</v>
      </c>
      <c r="U21" s="629">
        <f>IF(M21="","",X21*SIN(RADIANS(W21)))</f>
        <v>-1.109008078569345</v>
      </c>
      <c r="V21" s="636">
        <f>IF(M21="","",Y21)</f>
        <v>-0.12279999999999956</v>
      </c>
      <c r="W21" s="585">
        <f t="shared" si="224"/>
        <v>340.47</v>
      </c>
      <c r="X21" s="629">
        <f>IF(M21="","",R21)</f>
        <v>3.3174000000000001</v>
      </c>
      <c r="Y21" s="630">
        <f t="shared" si="223"/>
        <v>-0.12279999999999956</v>
      </c>
      <c r="Z21" s="632">
        <f t="shared" si="6"/>
        <v>-2.186429091455459E-2</v>
      </c>
      <c r="AA21" s="629">
        <f t="shared" si="7"/>
        <v>-6.1640263593681396E-2</v>
      </c>
      <c r="AB21" s="629">
        <f t="shared" si="8"/>
        <v>-0.99785892323860359</v>
      </c>
      <c r="AC21" s="636">
        <f>IF(M21="","",SQRT(Z21^2+AA21^2+AB21^2))</f>
        <v>1</v>
      </c>
      <c r="AD21" s="637">
        <f>IF(M21="","",Z21*(1/SQRT(Z21^2+AA21^2+AB21^2)))</f>
        <v>-2.186429091455459E-2</v>
      </c>
      <c r="AE21" s="629">
        <f>IF(M21="","",AA21*(1/SQRT(Z21^2+AA21^2+AB21^2)))</f>
        <v>-6.1640263593681396E-2</v>
      </c>
      <c r="AF21" s="633">
        <f>IF(M21="","",AB21*(1/SQRT(Z21^2+AA21^2+AB21^2)))</f>
        <v>-0.99785892323860359</v>
      </c>
      <c r="AG21" s="602">
        <f>IF(M21="","",DEGREES(ATAN2(-AF21,AE21)))</f>
        <v>-3.5348133418250782</v>
      </c>
      <c r="AH21" s="603">
        <f>IF(M21="","",DEGREES(ACOS(AD21)))</f>
        <v>91.252831423736282</v>
      </c>
      <c r="AI21" s="585">
        <f>IF(M21="","",DEGREES(-ACOS(-AF21)))</f>
        <v>-3.7499999999999196</v>
      </c>
      <c r="AJ21" s="586">
        <f>IF(M21="","",DEGREES(ATAN2(-AE21,AD21)))</f>
        <v>-19.529999999999919</v>
      </c>
      <c r="AK21" s="635">
        <f>IF(M21="","",(COS(RADIANS((90-$Q$8)-W21))*AD21)+(-SIN(RADIANS((90-$Q$8)-W21))*AE21))</f>
        <v>5.2041704279304213E-17</v>
      </c>
      <c r="AL21" s="629">
        <f>IF(M21="","",(SIN(RADIANS((90-$Q$8)-W21))*AD21)+(COS(RADIANS((90-$Q$8)-W21))*AE21))</f>
        <v>-6.5403129230143089E-2</v>
      </c>
      <c r="AM21" s="634">
        <f>IF(M21="","",AF21)</f>
        <v>-0.99785892323860359</v>
      </c>
      <c r="AN21" s="581">
        <f>IF(M21="","",DEGREES(ATAN2(-AM21,AL21)))</f>
        <v>-3.7500000000000013</v>
      </c>
      <c r="AO21" s="582">
        <f>IF(ROUND(IF(M21="",0,DEGREES(ACOS(AK21))),4)=90,0,IF(M21="","",DEGREES(ACOS(AK21))))</f>
        <v>0</v>
      </c>
      <c r="AP21" s="585">
        <f>IF(M21="","",DEGREES(ATAN2(AK21,AL21)))</f>
        <v>-89.999999999999957</v>
      </c>
      <c r="AQ21" s="586">
        <f t="shared" si="9"/>
        <v>0.68716986941173264</v>
      </c>
      <c r="AS21" s="52">
        <f t="shared" si="116"/>
        <v>340.47</v>
      </c>
      <c r="AT21" s="72">
        <f t="shared" si="10"/>
        <v>-0.10923749999999958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1.2190000000000001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5.2190000000000003</v>
      </c>
      <c r="II21" s="734" cm="1">
        <f t="array" ref="II21">IFERROR(ROUND(VALUE(IF($IH21&lt;1,$IH21+LARGE((IF($M$9:$M$150="",0,$M$9:$M$150)-MOD(IF($M$9:$M$150="",0,$M$9:$M$150),1)),1),$IH21)),4),"")</f>
        <v>5.2190000000000003</v>
      </c>
      <c r="IJ21" s="533" t="str">
        <f t="shared" si="112"/>
        <v>CPS-32193r1</v>
      </c>
      <c r="IK21" s="533" t="str">
        <f t="shared" si="66"/>
        <v>CPS-32193r1</v>
      </c>
      <c r="IL21" s="727">
        <f t="shared" si="225"/>
        <v>143.50797949773954</v>
      </c>
      <c r="IM21" s="759">
        <v>7.7047723467449098E-4</v>
      </c>
      <c r="IN21" s="5">
        <f t="shared" si="226"/>
        <v>0</v>
      </c>
      <c r="IO21" s="771">
        <v>0</v>
      </c>
      <c r="IP21" s="9">
        <f t="shared" si="227"/>
        <v>-3.6432000000000007</v>
      </c>
      <c r="IQ21" s="5">
        <f t="shared" si="228"/>
        <v>-0.18089999999999973</v>
      </c>
      <c r="IR21" s="5">
        <f t="shared" si="71"/>
        <v>0.25700000000000001</v>
      </c>
      <c r="IS21" s="5">
        <f t="shared" si="229"/>
        <v>0.25700000000000001</v>
      </c>
      <c r="IT21" s="727">
        <f t="shared" si="230"/>
        <v>9.3800000000000061</v>
      </c>
      <c r="IU21" s="9">
        <f t="shared" si="231"/>
        <v>-3.3174000000000001</v>
      </c>
      <c r="IV21" s="5">
        <f t="shared" si="232"/>
        <v>-0.12279999999999956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3.7500000000000013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1.1609066247612592</v>
      </c>
      <c r="C22" s="708">
        <v>3.9013959412885977</v>
      </c>
      <c r="D22" s="709">
        <v>-0.25345214916192416</v>
      </c>
      <c r="E22" s="710">
        <v>-0.81608751248585643</v>
      </c>
      <c r="F22" s="708">
        <v>0.42962950511344505</v>
      </c>
      <c r="G22" s="711">
        <v>0.38654839321955992</v>
      </c>
      <c r="H22" s="710">
        <v>0.26600000000000001</v>
      </c>
      <c r="I22" s="708">
        <v>0.52</v>
      </c>
      <c r="J22" s="570">
        <v>1.2230000000000001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1.2230000000000001</v>
      </c>
      <c r="N22" s="632">
        <f t="shared" si="2"/>
        <v>1.1609066247612592</v>
      </c>
      <c r="O22" s="629">
        <f t="shared" si="3"/>
        <v>3.9013959412885977</v>
      </c>
      <c r="P22" s="633">
        <f t="shared" si="4"/>
        <v>-0.25345214916192416</v>
      </c>
      <c r="Q22" s="585">
        <f t="shared" si="113"/>
        <v>73.429002392556043</v>
      </c>
      <c r="R22" s="629">
        <f t="shared" si="79"/>
        <v>4.0704538422782441</v>
      </c>
      <c r="S22" s="634">
        <f t="shared" si="80"/>
        <v>-0.25345214916192416</v>
      </c>
      <c r="T22" s="635">
        <f t="shared" si="81"/>
        <v>3.9013959412885986</v>
      </c>
      <c r="U22" s="629">
        <f t="shared" si="82"/>
        <v>-1.1609066247612552</v>
      </c>
      <c r="V22" s="636">
        <f t="shared" si="114"/>
        <v>-0.25345214916192416</v>
      </c>
      <c r="W22" s="585">
        <f t="shared" si="224"/>
        <v>343.42900239255607</v>
      </c>
      <c r="X22" s="629">
        <f t="shared" si="83"/>
        <v>4.0704538422782441</v>
      </c>
      <c r="Y22" s="630">
        <f t="shared" si="223"/>
        <v>-0.25345214916192416</v>
      </c>
      <c r="Z22" s="632">
        <f t="shared" si="6"/>
        <v>0.81608751248585643</v>
      </c>
      <c r="AA22" s="629">
        <f t="shared" si="7"/>
        <v>-0.42962950511344505</v>
      </c>
      <c r="AB22" s="629">
        <f t="shared" si="8"/>
        <v>-0.38654839321955992</v>
      </c>
      <c r="AC22" s="636">
        <f t="shared" si="84"/>
        <v>1</v>
      </c>
      <c r="AD22" s="637">
        <f t="shared" si="115"/>
        <v>0.81608751248585643</v>
      </c>
      <c r="AE22" s="629">
        <f t="shared" si="85"/>
        <v>-0.42962950511344505</v>
      </c>
      <c r="AF22" s="633">
        <f t="shared" si="86"/>
        <v>-0.38654839321955992</v>
      </c>
      <c r="AG22" s="602">
        <f t="shared" si="87"/>
        <v>-48.021494832397501</v>
      </c>
      <c r="AH22" s="603">
        <f t="shared" si="88"/>
        <v>35.304964993304921</v>
      </c>
      <c r="AI22" s="585">
        <f t="shared" si="89"/>
        <v>-67.260099902602647</v>
      </c>
      <c r="AJ22" s="586">
        <f t="shared" si="90"/>
        <v>62.235425209707849</v>
      </c>
      <c r="AK22" s="635">
        <f t="shared" si="211"/>
        <v>0.90472472857388864</v>
      </c>
      <c r="AL22" s="629">
        <f t="shared" si="91"/>
        <v>-0.17903492733620438</v>
      </c>
      <c r="AM22" s="634">
        <f t="shared" si="92"/>
        <v>-0.38654839321955992</v>
      </c>
      <c r="AN22" s="581">
        <f t="shared" si="93"/>
        <v>-24.851828399205377</v>
      </c>
      <c r="AO22" s="582">
        <f t="shared" si="94"/>
        <v>25.213765890039959</v>
      </c>
      <c r="AP22" s="585">
        <f t="shared" si="95"/>
        <v>-11.193577182848243</v>
      </c>
      <c r="AQ22" s="586">
        <f t="shared" si="9"/>
        <v>0.56004910373592343</v>
      </c>
      <c r="AS22" s="52">
        <f t="shared" si="116"/>
        <v>343.42900239255607</v>
      </c>
      <c r="AT22" s="72">
        <f t="shared" si="10"/>
        <v>-0.24194451193453254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1.2230000000000001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1.123</v>
      </c>
      <c r="II22" s="734" cm="1">
        <f t="array" ref="II22">IFERROR(ROUND(VALUE(IF($IH22&lt;1,$IH22+LARGE((IF($M$9:$M$150="",0,$M$9:$M$150)-MOD(IF($M$9:$M$150="",0,$M$9:$M$150),1)),1),$IH22)),4),"")</f>
        <v>1.123</v>
      </c>
      <c r="IJ22" s="533">
        <f t="shared" si="112"/>
        <v>1613</v>
      </c>
      <c r="IK22" s="533">
        <f t="shared" si="66"/>
        <v>1313</v>
      </c>
      <c r="IL22" s="727">
        <f t="shared" si="225"/>
        <v>16.346997607443939</v>
      </c>
      <c r="IM22" s="759">
        <v>1.66306609716412E-2</v>
      </c>
      <c r="IN22" s="5">
        <f t="shared" si="226"/>
        <v>0.36</v>
      </c>
      <c r="IO22" s="771">
        <v>180</v>
      </c>
      <c r="IP22" s="9">
        <f t="shared" si="227"/>
        <v>-4.0524122220752625</v>
      </c>
      <c r="IQ22" s="5">
        <f t="shared" si="228"/>
        <v>-0.29530089062748627</v>
      </c>
      <c r="IR22" s="5">
        <f t="shared" si="71"/>
        <v>0.314</v>
      </c>
      <c r="IS22" s="5">
        <f t="shared" si="229"/>
        <v>0.30277092471322431</v>
      </c>
      <c r="IT22" s="727">
        <f t="shared" si="230"/>
        <v>29.760178080361662</v>
      </c>
      <c r="IU22" s="9">
        <f t="shared" si="231"/>
        <v>-4.0704538422782441</v>
      </c>
      <c r="IV22" s="5">
        <f t="shared" si="232"/>
        <v>-0.25345214916192416</v>
      </c>
      <c r="IW22" s="5">
        <f t="shared" si="76"/>
        <v>0.26600000000000001</v>
      </c>
      <c r="IX22" s="5">
        <f t="shared" si="233"/>
        <v>0.24065677780065439</v>
      </c>
      <c r="IY22" s="762">
        <f t="shared" si="234"/>
        <v>24.851828399205377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1.233730715492507</v>
      </c>
      <c r="C23" s="708">
        <v>4.5876877405104333</v>
      </c>
      <c r="D23" s="709">
        <v>-0.6093282809016457</v>
      </c>
      <c r="E23" s="710">
        <v>-0.79917051202992195</v>
      </c>
      <c r="F23" s="708">
        <v>0.50641618784784803</v>
      </c>
      <c r="G23" s="711">
        <v>0.32383504657075901</v>
      </c>
      <c r="H23" s="710">
        <v>0.26600000000000001</v>
      </c>
      <c r="I23" s="708">
        <v>0.52</v>
      </c>
      <c r="J23" s="570">
        <v>1.23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1.23</v>
      </c>
      <c r="N23" s="632">
        <f t="shared" si="2"/>
        <v>1.233730715492507</v>
      </c>
      <c r="O23" s="629">
        <f t="shared" si="3"/>
        <v>4.5876877405104333</v>
      </c>
      <c r="P23" s="633">
        <f t="shared" si="4"/>
        <v>-0.6093282809016457</v>
      </c>
      <c r="Q23" s="585">
        <f t="shared" si="113"/>
        <v>74.948002173239601</v>
      </c>
      <c r="R23" s="629">
        <f t="shared" si="79"/>
        <v>4.7506810335760683</v>
      </c>
      <c r="S23" s="634">
        <f t="shared" si="80"/>
        <v>-0.6093282809016457</v>
      </c>
      <c r="T23" s="635">
        <f t="shared" si="81"/>
        <v>4.5876877405104333</v>
      </c>
      <c r="U23" s="629">
        <f t="shared" si="82"/>
        <v>-1.2337307154925063</v>
      </c>
      <c r="V23" s="636">
        <f t="shared" si="114"/>
        <v>-0.6093282809016457</v>
      </c>
      <c r="W23" s="585">
        <f t="shared" si="224"/>
        <v>344.94800217323962</v>
      </c>
      <c r="X23" s="629">
        <f t="shared" si="83"/>
        <v>4.7506810335760683</v>
      </c>
      <c r="Y23" s="630">
        <f t="shared" si="223"/>
        <v>-0.6093282809016457</v>
      </c>
      <c r="Z23" s="632">
        <f t="shared" si="6"/>
        <v>0.79917051202992195</v>
      </c>
      <c r="AA23" s="629">
        <f t="shared" si="7"/>
        <v>-0.50641618784784803</v>
      </c>
      <c r="AB23" s="629">
        <f t="shared" si="8"/>
        <v>-0.32383504657075901</v>
      </c>
      <c r="AC23" s="636">
        <f t="shared" si="84"/>
        <v>1</v>
      </c>
      <c r="AD23" s="637">
        <f t="shared" si="115"/>
        <v>0.79917051202992195</v>
      </c>
      <c r="AE23" s="629">
        <f t="shared" si="85"/>
        <v>-0.50641618784784803</v>
      </c>
      <c r="AF23" s="633">
        <f t="shared" si="86"/>
        <v>-0.32383504657075901</v>
      </c>
      <c r="AG23" s="602">
        <f t="shared" si="87"/>
        <v>-57.402538862997346</v>
      </c>
      <c r="AH23" s="603">
        <f t="shared" si="88"/>
        <v>36.949035067232266</v>
      </c>
      <c r="AI23" s="585">
        <f t="shared" si="89"/>
        <v>-71.104988425433291</v>
      </c>
      <c r="AJ23" s="586">
        <f t="shared" si="90"/>
        <v>57.638494074454613</v>
      </c>
      <c r="AK23" s="635">
        <f t="shared" si="211"/>
        <v>0.90326543416818139</v>
      </c>
      <c r="AL23" s="629">
        <f t="shared" si="91"/>
        <v>-0.28150029848915126</v>
      </c>
      <c r="AM23" s="634">
        <f t="shared" si="92"/>
        <v>-0.32383504657075901</v>
      </c>
      <c r="AN23" s="581">
        <f t="shared" si="93"/>
        <v>-40.999474675553607</v>
      </c>
      <c r="AO23" s="582">
        <f t="shared" si="94"/>
        <v>25.409329900721982</v>
      </c>
      <c r="AP23" s="585">
        <f t="shared" si="95"/>
        <v>-17.309508098784999</v>
      </c>
      <c r="AQ23" s="586">
        <f t="shared" si="9"/>
        <v>0.47986242663432732</v>
      </c>
      <c r="AS23" s="52">
        <f t="shared" si="116"/>
        <v>344.94800217323962</v>
      </c>
      <c r="AT23" s="72">
        <f t="shared" si="10"/>
        <v>-0.59887550463306205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1.23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1.1299999999999999</v>
      </c>
      <c r="II23" s="734" cm="1">
        <f t="array" ref="II23">IFERROR(ROUND(VALUE(IF($IH23&lt;1,$IH23+LARGE((IF($M$9:$M$150="",0,$M$9:$M$150)-MOD(IF($M$9:$M$150="",0,$M$9:$M$150),1)),1),$IH23)),4),"")</f>
        <v>1.1299999999999999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14.211997826760353</v>
      </c>
      <c r="IM23" s="759">
        <v>1.2658753929195E-2</v>
      </c>
      <c r="IN23" s="5">
        <f t="shared" si="226"/>
        <v>0.34</v>
      </c>
      <c r="IO23" s="771">
        <v>170</v>
      </c>
      <c r="IP23" s="9">
        <f t="shared" si="227"/>
        <v>-4.7196142343565306</v>
      </c>
      <c r="IQ23" s="5">
        <f t="shared" si="228"/>
        <v>-0.64790195407229323</v>
      </c>
      <c r="IR23" s="5">
        <f t="shared" si="71"/>
        <v>0.314</v>
      </c>
      <c r="IS23" s="5">
        <f t="shared" si="229"/>
        <v>0.30228256410729581</v>
      </c>
      <c r="IT23" s="727">
        <f t="shared" si="230"/>
        <v>47.608532102257129</v>
      </c>
      <c r="IU23" s="9">
        <f t="shared" si="231"/>
        <v>-4.7506810335760683</v>
      </c>
      <c r="IV23" s="5">
        <f t="shared" si="232"/>
        <v>-0.6093282809016457</v>
      </c>
      <c r="IW23" s="5">
        <f t="shared" si="76"/>
        <v>0.26600000000000001</v>
      </c>
      <c r="IX23" s="5">
        <f t="shared" si="233"/>
        <v>0.24026860548873627</v>
      </c>
      <c r="IY23" s="762">
        <f t="shared" si="234"/>
        <v>40.999474675553607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35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8</v>
      </c>
      <c r="JG23" s="801">
        <v>20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130</v>
      </c>
    </row>
    <row r="24" spans="1:269" ht="15" customHeight="1" x14ac:dyDescent="0.25">
      <c r="A24" s="79"/>
      <c r="B24" s="707">
        <v>1.3115917629353593</v>
      </c>
      <c r="C24" s="708">
        <v>5.1440797868041281</v>
      </c>
      <c r="D24" s="709">
        <v>-1.1364426186436376</v>
      </c>
      <c r="E24" s="710">
        <v>-0.77501890466562751</v>
      </c>
      <c r="F24" s="708">
        <v>0.58021460705402172</v>
      </c>
      <c r="G24" s="711">
        <v>0.25039310528055325</v>
      </c>
      <c r="H24" s="710">
        <v>0.26600000000000001</v>
      </c>
      <c r="I24" s="708">
        <v>0.52</v>
      </c>
      <c r="J24" s="570">
        <v>1.2370000000000001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1.2370000000000001</v>
      </c>
      <c r="N24" s="632">
        <f t="shared" si="2"/>
        <v>1.3115917629353593</v>
      </c>
      <c r="O24" s="629">
        <f t="shared" si="3"/>
        <v>5.1440797868041281</v>
      </c>
      <c r="P24" s="633">
        <f t="shared" si="4"/>
        <v>-1.1364426186436376</v>
      </c>
      <c r="Q24" s="585">
        <f t="shared" si="113"/>
        <v>75.6960020652418</v>
      </c>
      <c r="R24" s="629">
        <f t="shared" si="79"/>
        <v>5.3086561204891289</v>
      </c>
      <c r="S24" s="634">
        <f t="shared" si="80"/>
        <v>-1.1364426186436376</v>
      </c>
      <c r="T24" s="635">
        <f t="shared" si="81"/>
        <v>5.1440797868041281</v>
      </c>
      <c r="U24" s="629">
        <f t="shared" si="82"/>
        <v>-1.3115917629353586</v>
      </c>
      <c r="V24" s="636">
        <f t="shared" si="114"/>
        <v>-1.1364426186436376</v>
      </c>
      <c r="W24" s="585">
        <f t="shared" si="224"/>
        <v>345.69600206524183</v>
      </c>
      <c r="X24" s="629">
        <f t="shared" si="83"/>
        <v>5.3086561204891289</v>
      </c>
      <c r="Y24" s="630">
        <f t="shared" si="223"/>
        <v>-1.1364426186436376</v>
      </c>
      <c r="Z24" s="632">
        <f t="shared" si="6"/>
        <v>0.77501890466562751</v>
      </c>
      <c r="AA24" s="629">
        <f t="shared" si="7"/>
        <v>-0.58021460705402172</v>
      </c>
      <c r="AB24" s="629">
        <f t="shared" si="8"/>
        <v>-0.25039310528055325</v>
      </c>
      <c r="AC24" s="636">
        <f t="shared" si="84"/>
        <v>1</v>
      </c>
      <c r="AD24" s="637">
        <f t="shared" si="115"/>
        <v>0.77501890466562751</v>
      </c>
      <c r="AE24" s="629">
        <f t="shared" si="85"/>
        <v>-0.58021460705402172</v>
      </c>
      <c r="AF24" s="633">
        <f t="shared" si="86"/>
        <v>-0.25039310528055325</v>
      </c>
      <c r="AG24" s="602">
        <f t="shared" si="87"/>
        <v>-66.657263026399249</v>
      </c>
      <c r="AH24" s="603">
        <f t="shared" si="88"/>
        <v>39.193253432519754</v>
      </c>
      <c r="AI24" s="585">
        <f t="shared" si="89"/>
        <v>-75.499224657226961</v>
      </c>
      <c r="AJ24" s="586">
        <f t="shared" si="90"/>
        <v>53.17979414049239</v>
      </c>
      <c r="AK24" s="635">
        <f>IF(M24="","",(COS(RADIANS((90-$Q$8)-W24))*AD24)+(-SIN(RADIANS((90-$Q$8)-W24))*AE24))</f>
        <v>0.89434381761968629</v>
      </c>
      <c r="AL24" s="629">
        <f t="shared" si="91"/>
        <v>-0.37074577369594808</v>
      </c>
      <c r="AM24" s="634">
        <f t="shared" si="92"/>
        <v>-0.25039310528055325</v>
      </c>
      <c r="AN24" s="581">
        <f t="shared" si="93"/>
        <v>-55.96581996713612</v>
      </c>
      <c r="AO24" s="582">
        <f t="shared" si="94"/>
        <v>26.575730755382398</v>
      </c>
      <c r="AP24" s="585">
        <f t="shared" si="95"/>
        <v>-22.516207924749423</v>
      </c>
      <c r="AQ24" s="586">
        <f t="shared" si="9"/>
        <v>0.42942769186425689</v>
      </c>
      <c r="AS24" s="52">
        <f t="shared" si="116"/>
        <v>345.69600206524183</v>
      </c>
      <c r="AT24" s="72">
        <f t="shared" si="10"/>
        <v>-1.1265092867444999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1.2370000000000001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1.137</v>
      </c>
      <c r="II24" s="734" cm="1">
        <f t="array" ref="II24">IFERROR(ROUND(VALUE(IF($IH24&lt;1,$IH24+LARGE((IF($M$9:$M$150="",0,$M$9:$M$150)-MOD(IF($M$9:$M$150="",0,$M$9:$M$150),1)),1),$IH24)),4),"")</f>
        <v>1.137</v>
      </c>
      <c r="IJ24" s="533">
        <f t="shared" si="112"/>
        <v>1613</v>
      </c>
      <c r="IK24" s="533">
        <f t="shared" si="66"/>
        <v>1313</v>
      </c>
      <c r="IL24" s="727">
        <f t="shared" si="225"/>
        <v>13.393997934758204</v>
      </c>
      <c r="IM24" s="759">
        <v>9.2506542069696902E-3</v>
      </c>
      <c r="IN24" s="5">
        <f t="shared" si="226"/>
        <v>0.32</v>
      </c>
      <c r="IO24" s="771">
        <v>160</v>
      </c>
      <c r="IP24" s="9">
        <f t="shared" si="227"/>
        <v>-5.2658158817006999</v>
      </c>
      <c r="IQ24" s="5">
        <f t="shared" si="228"/>
        <v>-1.1684035239050281</v>
      </c>
      <c r="IR24" s="5">
        <f t="shared" si="71"/>
        <v>0.314</v>
      </c>
      <c r="IS24" s="5">
        <f t="shared" si="229"/>
        <v>0.30034167497836489</v>
      </c>
      <c r="IT24" s="727">
        <f t="shared" si="230"/>
        <v>63.049187319713532</v>
      </c>
      <c r="IU24" s="9">
        <f t="shared" si="231"/>
        <v>-5.3086561204891289</v>
      </c>
      <c r="IV24" s="5">
        <f t="shared" si="232"/>
        <v>-1.1364426186436376</v>
      </c>
      <c r="IW24" s="5">
        <f t="shared" si="76"/>
        <v>0.26600000000000001</v>
      </c>
      <c r="IX24" s="5">
        <f t="shared" si="233"/>
        <v>0.23789545548683658</v>
      </c>
      <c r="IY24" s="762">
        <f t="shared" si="234"/>
        <v>55.96581996713612</v>
      </c>
      <c r="JA24" s="798" t="str">
        <v>CPS-32193r1</v>
      </c>
      <c r="JB24" s="856" cm="1">
        <f t="array" ref="JB24">IF($JA24="","",COUNT(IF(IF($II$9:$II$150&lt;&gt;"",$IK$9:$IK$150,"")=$JA24,$IG$9:$IG$150,"")))</f>
        <v>13</v>
      </c>
      <c r="JC24" s="5"/>
      <c r="JD24" s="5"/>
      <c r="JE24" s="10"/>
      <c r="JF24" s="247">
        <v>6</v>
      </c>
      <c r="JG24" s="803" t="str">
        <v/>
      </c>
      <c r="JH24" s="787">
        <v>0</v>
      </c>
      <c r="JI24" s="803" t="str">
        <v/>
      </c>
    </row>
    <row r="25" spans="1:269" ht="15" customHeight="1" x14ac:dyDescent="0.25">
      <c r="A25" s="79"/>
      <c r="B25" s="707">
        <v>1.3761657709989839</v>
      </c>
      <c r="C25" s="708">
        <v>5.5338992301043124</v>
      </c>
      <c r="D25" s="709">
        <v>-1.7957267050160139</v>
      </c>
      <c r="E25" s="710">
        <v>-0.75385056985170851</v>
      </c>
      <c r="F25" s="708">
        <v>0.63773297270887208</v>
      </c>
      <c r="G25" s="711">
        <v>0.1581327728655875</v>
      </c>
      <c r="H25" s="710">
        <v>0.26600000000000001</v>
      </c>
      <c r="I25" s="708">
        <v>0.52</v>
      </c>
      <c r="J25" s="570">
        <v>1.244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1.244</v>
      </c>
      <c r="N25" s="632">
        <f t="shared" si="2"/>
        <v>1.3761657709989839</v>
      </c>
      <c r="O25" s="629">
        <f t="shared" si="3"/>
        <v>5.5338992301043124</v>
      </c>
      <c r="P25" s="633">
        <f t="shared" si="4"/>
        <v>-1.7957267050160139</v>
      </c>
      <c r="Q25" s="585">
        <f t="shared" si="113"/>
        <v>76.035002016296247</v>
      </c>
      <c r="R25" s="629">
        <f>IF(M25="","",SQRT(N25^2+O25^2))</f>
        <v>5.7024444686659006</v>
      </c>
      <c r="S25" s="634">
        <f>IF(M25="","",P25)</f>
        <v>-1.7957267050160139</v>
      </c>
      <c r="T25" s="635">
        <f>IF(M25="","",X25*COS(RADIANS(W25)))</f>
        <v>5.5338992301043115</v>
      </c>
      <c r="U25" s="629">
        <f>IF(M25="","",X25*SIN(RADIANS(W25)))</f>
        <v>-1.3761657709989865</v>
      </c>
      <c r="V25" s="636">
        <f>IF(M25="","",Y25)</f>
        <v>-1.7957267050160139</v>
      </c>
      <c r="W25" s="585">
        <f t="shared" si="224"/>
        <v>346.03500201629623</v>
      </c>
      <c r="X25" s="629">
        <f>IF(M25="","",R25)</f>
        <v>5.7024444686659006</v>
      </c>
      <c r="Y25" s="630">
        <f t="shared" si="223"/>
        <v>-1.7957267050160139</v>
      </c>
      <c r="Z25" s="632">
        <f t="shared" si="6"/>
        <v>0.75385056985170851</v>
      </c>
      <c r="AA25" s="629">
        <f t="shared" si="7"/>
        <v>-0.63773297270887208</v>
      </c>
      <c r="AB25" s="629">
        <f t="shared" si="8"/>
        <v>-0.1581327728655875</v>
      </c>
      <c r="AC25" s="636">
        <f>IF(M25="","",SQRT(Z25^2+AA25^2+AB25^2))</f>
        <v>1</v>
      </c>
      <c r="AD25" s="637">
        <f>IF(M25="","",Z25*(1/SQRT(Z25^2+AA25^2+AB25^2)))</f>
        <v>0.75385056985170851</v>
      </c>
      <c r="AE25" s="629">
        <f>IF(M25="","",AA25*(1/SQRT(Z25^2+AA25^2+AB25^2)))</f>
        <v>-0.63773297270887208</v>
      </c>
      <c r="AF25" s="633">
        <f>IF(M25="","",AB25*(1/SQRT(Z25^2+AA25^2+AB25^2)))</f>
        <v>-0.1581327728655875</v>
      </c>
      <c r="AG25" s="602">
        <f>IF(M25="","",DEGREES(ATAN2(-AF25,AE25)))</f>
        <v>-76.073774383859202</v>
      </c>
      <c r="AH25" s="603">
        <f>IF(M25="","",DEGREES(ACOS(AD25)))</f>
        <v>41.074963790948978</v>
      </c>
      <c r="AI25" s="585">
        <f>IF(M25="","",DEGREES(-ACOS(-AF25)))</f>
        <v>-80.901467731913513</v>
      </c>
      <c r="AJ25" s="586">
        <f>IF(M25="","",DEGREES(ATAN2(-AE25,AD25)))</f>
        <v>49.769869127232688</v>
      </c>
      <c r="AK25" s="635">
        <f>IF(M25="","",(COS(RADIANS((90-$Q$8)-W25))*AD25)+(-SIN(RADIANS((90-$Q$8)-W25))*AE25))</f>
        <v>0.88547278345995983</v>
      </c>
      <c r="AL25" s="629">
        <f>IF(M25="","",(SIN(RADIANS((90-$Q$8)-W25))*AD25)+(COS(RADIANS((90-$Q$8)-W25))*AE25))</f>
        <v>-0.43695763627325673</v>
      </c>
      <c r="AM25" s="634">
        <f>IF(M25="","",AF25)</f>
        <v>-0.1581327728655875</v>
      </c>
      <c r="AN25" s="581">
        <f>IF(M25="","",DEGREES(ATAN2(-AM25,AL25)))</f>
        <v>-70.105064475220672</v>
      </c>
      <c r="AO25" s="582">
        <f>IF(ROUND(IF(M25="",0,DEGREES(ACOS(AK25))),4)=90,0,IF(M25="","",DEGREES(ACOS(AK25))))</f>
        <v>27.690241549181945</v>
      </c>
      <c r="AP25" s="585">
        <f>IF(M25="","",DEGREES(ATAN2(AK25,AL25)))</f>
        <v>-26.26513288906353</v>
      </c>
      <c r="AQ25" s="586">
        <f t="shared" si="9"/>
        <v>0.3997741054985377</v>
      </c>
      <c r="AS25" s="52">
        <f t="shared" si="116"/>
        <v>346.03500201629623</v>
      </c>
      <c r="AT25" s="72">
        <f t="shared" si="10"/>
        <v>-1.786028789749553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1.244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1.1439999999999999</v>
      </c>
      <c r="II25" s="734" cm="1">
        <f t="array" ref="II25">IFERROR(ROUND(VALUE(IF($IH25&lt;1,$IH25+LARGE((IF($M$9:$M$150="",0,$M$9:$M$150)-MOD(IF($M$9:$M$150="",0,$M$9:$M$150),1)),1),$IH25)),4),"")</f>
        <v>1.1439999999999999</v>
      </c>
      <c r="IJ25" s="533">
        <f t="shared" si="112"/>
        <v>1613</v>
      </c>
      <c r="IK25" s="533">
        <f t="shared" si="66"/>
        <v>1313</v>
      </c>
      <c r="IL25" s="727">
        <f t="shared" si="225"/>
        <v>12.626997983703802</v>
      </c>
      <c r="IM25" s="759">
        <v>6.1676053257951101E-3</v>
      </c>
      <c r="IN25" s="5">
        <f t="shared" si="226"/>
        <v>0.28000000000000003</v>
      </c>
      <c r="IO25" s="771">
        <v>140</v>
      </c>
      <c r="IP25" s="9">
        <f t="shared" si="227"/>
        <v>-5.6499170401497922</v>
      </c>
      <c r="IQ25" s="5">
        <f t="shared" si="228"/>
        <v>-1.8179054828029362</v>
      </c>
      <c r="IR25" s="5">
        <f t="shared" si="71"/>
        <v>0.314</v>
      </c>
      <c r="IS25" s="5">
        <f t="shared" si="229"/>
        <v>0.2984147511309081</v>
      </c>
      <c r="IT25" s="727">
        <f t="shared" si="230"/>
        <v>77.206013288085686</v>
      </c>
      <c r="IU25" s="9">
        <f t="shared" si="231"/>
        <v>-5.7024444686659006</v>
      </c>
      <c r="IV25" s="5">
        <f t="shared" si="232"/>
        <v>-1.7957267050160139</v>
      </c>
      <c r="IW25" s="5">
        <f t="shared" si="76"/>
        <v>0.26600000000000001</v>
      </c>
      <c r="IX25" s="5">
        <f t="shared" si="233"/>
        <v>0.23553576040034932</v>
      </c>
      <c r="IY25" s="762">
        <f t="shared" si="234"/>
        <v>70.105064475220672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1.4124010500470787</v>
      </c>
      <c r="C26" s="708">
        <v>5.7321256058479397</v>
      </c>
      <c r="D26" s="709">
        <v>-2.5370976841862989</v>
      </c>
      <c r="E26" s="710">
        <v>-0.71402851325435179</v>
      </c>
      <c r="F26" s="708">
        <v>0.6970705417921671</v>
      </c>
      <c r="G26" s="711">
        <v>6.5237581387990407E-2</v>
      </c>
      <c r="H26" s="710">
        <v>0.26600000000000001</v>
      </c>
      <c r="I26" s="708">
        <v>0.52</v>
      </c>
      <c r="J26" s="570">
        <v>1.2509999999999999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1.2509999999999999</v>
      </c>
      <c r="N26" s="632">
        <f t="shared" si="2"/>
        <v>1.4124010500470787</v>
      </c>
      <c r="O26" s="629">
        <f t="shared" si="3"/>
        <v>5.7321256058479397</v>
      </c>
      <c r="P26" s="633">
        <f t="shared" si="4"/>
        <v>-2.5370976841862989</v>
      </c>
      <c r="Q26" s="585">
        <f t="shared" si="113"/>
        <v>76.15800199853723</v>
      </c>
      <c r="R26" s="629">
        <f>IF(M26="","",SQRT(N26^2+O26^2))</f>
        <v>5.9035701645183911</v>
      </c>
      <c r="S26" s="634">
        <f>IF(M26="","",P26)</f>
        <v>-2.5370976841862989</v>
      </c>
      <c r="T26" s="635">
        <f>IF(M26="","",X26*COS(RADIANS(W26)))</f>
        <v>5.7321256058479397</v>
      </c>
      <c r="U26" s="629">
        <f>IF(M26="","",X26*SIN(RADIANS(W26)))</f>
        <v>-1.4124010500470801</v>
      </c>
      <c r="V26" s="636">
        <f>IF(M26="","",Y26)</f>
        <v>-2.5370976841862989</v>
      </c>
      <c r="W26" s="585">
        <f t="shared" si="224"/>
        <v>346.1580019985372</v>
      </c>
      <c r="X26" s="629">
        <f>IF(M26="","",R26)</f>
        <v>5.9035701645183911</v>
      </c>
      <c r="Y26" s="630">
        <f t="shared" si="223"/>
        <v>-2.5370976841862989</v>
      </c>
      <c r="Z26" s="632">
        <f t="shared" si="6"/>
        <v>0.71402851325435179</v>
      </c>
      <c r="AA26" s="629">
        <f t="shared" si="7"/>
        <v>-0.6970705417921671</v>
      </c>
      <c r="AB26" s="629">
        <f t="shared" si="8"/>
        <v>-6.5237581387990407E-2</v>
      </c>
      <c r="AC26" s="636">
        <f>IF(M26="","",SQRT(Z26^2+AA26^2+AB26^2))</f>
        <v>1</v>
      </c>
      <c r="AD26" s="637">
        <f>IF(M26="","",Z26*(1/SQRT(Z26^2+AA26^2+AB26^2)))</f>
        <v>0.71402851325435179</v>
      </c>
      <c r="AE26" s="629">
        <f>IF(M26="","",AA26*(1/SQRT(Z26^2+AA26^2+AB26^2)))</f>
        <v>-0.6970705417921671</v>
      </c>
      <c r="AF26" s="633">
        <f>IF(M26="","",AB26*(1/SQRT(Z26^2+AA26^2+AB26^2)))</f>
        <v>-6.5237581387990407E-2</v>
      </c>
      <c r="AG26" s="602">
        <f>IF(M26="","",DEGREES(ATAN2(-AF26,AE26)))</f>
        <v>-84.653364448851818</v>
      </c>
      <c r="AH26" s="603">
        <f>IF(M26="","",DEGREES(ACOS(AD26)))</f>
        <v>44.436361226395711</v>
      </c>
      <c r="AI26" s="585">
        <f>IF(M26="","",DEGREES(-ACOS(-AF26)))</f>
        <v>-86.259505493127023</v>
      </c>
      <c r="AJ26" s="586">
        <f>IF(M26="","",DEGREES(ATAN2(-AE26,AD26)))</f>
        <v>45.688522481877271</v>
      </c>
      <c r="AK26" s="635">
        <f>IF(M26="","",(COS(RADIANS((90-$Q$8)-W26))*AD26)+(-SIN(RADIANS((90-$Q$8)-W26))*AE26))</f>
        <v>0.86006334265854578</v>
      </c>
      <c r="AL26" s="629">
        <f>IF(M26="","",(SIN(RADIANS((90-$Q$8)-W26))*AD26)+(COS(RADIANS((90-$Q$8)-W26))*AE26))</f>
        <v>-0.50599911520639473</v>
      </c>
      <c r="AM26" s="634">
        <f>IF(M26="","",AF26)</f>
        <v>-6.5237581387990407E-2</v>
      </c>
      <c r="AN26" s="581">
        <f>IF(M26="","",DEGREES(ATAN2(-AM26,AL26)))</f>
        <v>-82.653482241159736</v>
      </c>
      <c r="AO26" s="582">
        <f t="shared" si="94"/>
        <v>30.676304255469699</v>
      </c>
      <c r="AP26" s="585">
        <f>IF(M26="","",DEGREES(ATAN2(AK26,AL26)))</f>
        <v>-30.469479516659959</v>
      </c>
      <c r="AQ26" s="586">
        <f t="shared" si="9"/>
        <v>0.38615482679633117</v>
      </c>
      <c r="AS26" s="52">
        <f t="shared" si="116"/>
        <v>346.1580019985372</v>
      </c>
      <c r="AT26" s="72">
        <f t="shared" si="10"/>
        <v>-2.527485185574172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1.2509999999999999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1.151</v>
      </c>
      <c r="II26" s="734" cm="1">
        <f t="array" ref="II26">IFERROR(ROUND(VALUE(IF($IH26&lt;1,$IH26+LARGE((IF($M$9:$M$150="",0,$M$9:$M$150)-MOD(IF($M$9:$M$150="",0,$M$9:$M$150),1)),1),$IH26)),4),"")</f>
        <v>1.151</v>
      </c>
      <c r="IJ26" s="533">
        <f t="shared" si="112"/>
        <v>1613</v>
      </c>
      <c r="IK26" s="533">
        <f t="shared" si="66"/>
        <v>1313</v>
      </c>
      <c r="IL26" s="727">
        <f t="shared" si="225"/>
        <v>12.282998001462772</v>
      </c>
      <c r="IM26" s="759">
        <v>3.1377666851243398E-3</v>
      </c>
      <c r="IN26" s="5">
        <f t="shared" si="226"/>
        <v>0.22</v>
      </c>
      <c r="IO26" s="771">
        <v>110</v>
      </c>
      <c r="IP26" s="9">
        <f t="shared" si="227"/>
        <v>-5.8431176228427502</v>
      </c>
      <c r="IQ26" s="5">
        <f t="shared" si="228"/>
        <v>-2.5473076826799708</v>
      </c>
      <c r="IR26" s="5">
        <f t="shared" si="71"/>
        <v>0.314</v>
      </c>
      <c r="IS26" s="5">
        <f t="shared" si="229"/>
        <v>0.2930321418890085</v>
      </c>
      <c r="IT26" s="727">
        <f t="shared" si="230"/>
        <v>88.407510684141002</v>
      </c>
      <c r="IU26" s="9">
        <f t="shared" si="231"/>
        <v>-5.9035701645183911</v>
      </c>
      <c r="IV26" s="5">
        <f t="shared" si="232"/>
        <v>-2.5370976841862989</v>
      </c>
      <c r="IW26" s="5">
        <f t="shared" si="76"/>
        <v>0.26600000000000001</v>
      </c>
      <c r="IX26" s="5">
        <f t="shared" si="233"/>
        <v>0.22877684914717319</v>
      </c>
      <c r="IY26" s="762">
        <f t="shared" si="234"/>
        <v>82.653482241159736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1.653066906096526</v>
      </c>
      <c r="C27" s="708">
        <v>5.6636886886115647</v>
      </c>
      <c r="D27" s="709">
        <v>-3.357400000000005</v>
      </c>
      <c r="E27" s="710">
        <v>0.28018061480640505</v>
      </c>
      <c r="F27" s="708">
        <v>0.95994730224458336</v>
      </c>
      <c r="G27" s="711">
        <v>2.2679489666592373E-7</v>
      </c>
      <c r="H27" s="710">
        <v>0.25700000000000001</v>
      </c>
      <c r="I27" s="708">
        <v>0.41499999999999992</v>
      </c>
      <c r="J27" s="570">
        <v>1.258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1.258</v>
      </c>
      <c r="N27" s="632">
        <f t="shared" si="2"/>
        <v>1.653066906096526</v>
      </c>
      <c r="O27" s="629">
        <f t="shared" si="3"/>
        <v>5.6636886886115647</v>
      </c>
      <c r="P27" s="633">
        <f t="shared" si="4"/>
        <v>-3.357400000000005</v>
      </c>
      <c r="Q27" s="585">
        <f t="shared" si="113"/>
        <v>73.729002349241355</v>
      </c>
      <c r="R27" s="629">
        <f t="shared" si="79"/>
        <v>5.8999999794523834</v>
      </c>
      <c r="S27" s="634">
        <f t="shared" si="80"/>
        <v>-3.357400000000005</v>
      </c>
      <c r="T27" s="635">
        <f t="shared" si="81"/>
        <v>5.6636886886115638</v>
      </c>
      <c r="U27" s="629">
        <f t="shared" si="82"/>
        <v>-1.6530669060965271</v>
      </c>
      <c r="V27" s="636">
        <f t="shared" si="114"/>
        <v>-3.357400000000005</v>
      </c>
      <c r="W27" s="585">
        <f t="shared" si="224"/>
        <v>343.72900234924134</v>
      </c>
      <c r="X27" s="629">
        <f t="shared" si="83"/>
        <v>5.8999999794523834</v>
      </c>
      <c r="Y27" s="630">
        <f t="shared" si="223"/>
        <v>-3.357400000000005</v>
      </c>
      <c r="Z27" s="632">
        <f t="shared" si="6"/>
        <v>-0.28018061480640505</v>
      </c>
      <c r="AA27" s="629">
        <f t="shared" si="7"/>
        <v>-0.95994730224458336</v>
      </c>
      <c r="AB27" s="629">
        <f t="shared" si="8"/>
        <v>-2.2679489666592373E-7</v>
      </c>
      <c r="AC27" s="636">
        <f t="shared" si="84"/>
        <v>1</v>
      </c>
      <c r="AD27" s="637">
        <f t="shared" si="115"/>
        <v>-0.28018061480640505</v>
      </c>
      <c r="AE27" s="629">
        <f t="shared" si="85"/>
        <v>-0.95994730224458336</v>
      </c>
      <c r="AF27" s="633">
        <f t="shared" si="86"/>
        <v>-2.2679489666592373E-7</v>
      </c>
      <c r="AG27" s="602">
        <f t="shared" si="87"/>
        <v>-89.999986463433601</v>
      </c>
      <c r="AH27" s="603">
        <f t="shared" si="88"/>
        <v>106.27098465636777</v>
      </c>
      <c r="AI27" s="585">
        <f t="shared" si="89"/>
        <v>-89.999987005609611</v>
      </c>
      <c r="AJ27" s="586">
        <f t="shared" si="90"/>
        <v>-16.270984656368206</v>
      </c>
      <c r="AK27" s="635">
        <f t="shared" si="211"/>
        <v>2.2679489763977045E-7</v>
      </c>
      <c r="AL27" s="629">
        <f t="shared" si="91"/>
        <v>-0.9999999999999486</v>
      </c>
      <c r="AM27" s="634">
        <f t="shared" si="92"/>
        <v>-2.2679489666592373E-7</v>
      </c>
      <c r="AN27" s="581">
        <f t="shared" si="93"/>
        <v>-89.999987005609611</v>
      </c>
      <c r="AO27" s="582">
        <f t="shared" si="94"/>
        <v>0</v>
      </c>
      <c r="AP27" s="585">
        <f t="shared" si="95"/>
        <v>-89.999987005609555</v>
      </c>
      <c r="AQ27" s="586">
        <f t="shared" si="9"/>
        <v>0.38638848822256738</v>
      </c>
      <c r="AS27" s="52">
        <f t="shared" si="116"/>
        <v>343.72900234924134</v>
      </c>
      <c r="AT27" s="72">
        <f t="shared" si="10"/>
        <v>-3.346100696075867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1.258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1.1579999999999999</v>
      </c>
      <c r="II27" s="734" cm="1">
        <f t="array" ref="II27">IFERROR(ROUND(VALUE(IF($IH27&lt;1,$IH27+LARGE((IF($M$9:$M$150="",0,$M$9:$M$150)-MOD(IF($M$9:$M$150="",0,$M$9:$M$150),1)),1),$IH27)),4),"")</f>
        <v>1.1579999999999999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13.627998032360551</v>
      </c>
      <c r="IM27" s="759">
        <v>1.5446111461503599E-4</v>
      </c>
      <c r="IN27" s="5">
        <f t="shared" si="226"/>
        <v>0</v>
      </c>
      <c r="IO27" s="771">
        <v>0</v>
      </c>
      <c r="IP27" s="9">
        <f t="shared" si="227"/>
        <v>-5.915617841503412</v>
      </c>
      <c r="IQ27" s="5">
        <f t="shared" si="228"/>
        <v>-3.3173100050069753</v>
      </c>
      <c r="IR27" s="5">
        <f t="shared" si="71"/>
        <v>0.314</v>
      </c>
      <c r="IS27" s="5">
        <f t="shared" si="229"/>
        <v>0.24053797548389949</v>
      </c>
      <c r="IT27" s="727">
        <f t="shared" si="230"/>
        <v>89.999987005609611</v>
      </c>
      <c r="IU27" s="9">
        <f t="shared" si="231"/>
        <v>-5.8999999794523834</v>
      </c>
      <c r="IV27" s="5">
        <f t="shared" si="232"/>
        <v>-3.357400000000005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89.999987005609611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2.6584012715256917</v>
      </c>
      <c r="C28" s="708">
        <v>1.7931113357975323</v>
      </c>
      <c r="D28" s="709">
        <v>-0.13160039690679703</v>
      </c>
      <c r="E28" s="710">
        <v>-0.51090286270542684</v>
      </c>
      <c r="F28" s="708">
        <v>0.82009766272568829</v>
      </c>
      <c r="G28" s="711">
        <v>0.25771707058567778</v>
      </c>
      <c r="H28" s="710">
        <v>0.314</v>
      </c>
      <c r="I28" s="708">
        <v>0.52</v>
      </c>
      <c r="J28" s="570">
        <v>2.1150000000000002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2.1150000000000002</v>
      </c>
      <c r="N28" s="632">
        <f t="shared" si="2"/>
        <v>2.6584012715256917</v>
      </c>
      <c r="O28" s="629">
        <f t="shared" si="3"/>
        <v>1.7931113357975323</v>
      </c>
      <c r="P28" s="633">
        <f t="shared" si="4"/>
        <v>-0.13160039690679703</v>
      </c>
      <c r="Q28" s="585">
        <f t="shared" si="113"/>
        <v>33.99995610783688</v>
      </c>
      <c r="R28" s="629">
        <f t="shared" si="79"/>
        <v>3.206609671134768</v>
      </c>
      <c r="S28" s="634">
        <f t="shared" si="80"/>
        <v>-0.13160039690679703</v>
      </c>
      <c r="T28" s="635">
        <f t="shared" si="81"/>
        <v>1.7931113357975299</v>
      </c>
      <c r="U28" s="629">
        <f t="shared" si="82"/>
        <v>-2.6584012715256935</v>
      </c>
      <c r="V28" s="636">
        <f t="shared" si="114"/>
        <v>-0.13160039690679703</v>
      </c>
      <c r="W28" s="585">
        <f t="shared" si="224"/>
        <v>303.99995610783685</v>
      </c>
      <c r="X28" s="629">
        <f t="shared" si="83"/>
        <v>3.206609671134768</v>
      </c>
      <c r="Y28" s="630">
        <f t="shared" si="223"/>
        <v>-0.13160039690679703</v>
      </c>
      <c r="Z28" s="632">
        <f t="shared" si="6"/>
        <v>0.51090286270542684</v>
      </c>
      <c r="AA28" s="629">
        <f t="shared" si="7"/>
        <v>-0.82009766272568829</v>
      </c>
      <c r="AB28" s="629">
        <f t="shared" si="8"/>
        <v>-0.25771707058567778</v>
      </c>
      <c r="AC28" s="636">
        <f t="shared" si="84"/>
        <v>1</v>
      </c>
      <c r="AD28" s="637">
        <f t="shared" si="115"/>
        <v>0.51090286270542684</v>
      </c>
      <c r="AE28" s="629">
        <f t="shared" si="85"/>
        <v>-0.82009766272568829</v>
      </c>
      <c r="AF28" s="633">
        <f t="shared" si="86"/>
        <v>-0.25771707058567778</v>
      </c>
      <c r="AG28" s="602">
        <f t="shared" si="87"/>
        <v>-72.554586168980379</v>
      </c>
      <c r="AH28" s="603">
        <f t="shared" si="88"/>
        <v>59.276012295987108</v>
      </c>
      <c r="AI28" s="585">
        <f t="shared" si="89"/>
        <v>-75.065355800086891</v>
      </c>
      <c r="AJ28" s="586">
        <f t="shared" si="90"/>
        <v>31.922001207569785</v>
      </c>
      <c r="AK28" s="635">
        <f t="shared" si="211"/>
        <v>0.96558505759075242</v>
      </c>
      <c r="AL28" s="629">
        <f t="shared" si="91"/>
        <v>-3.5034384341674996E-2</v>
      </c>
      <c r="AM28" s="634">
        <f t="shared" si="92"/>
        <v>-0.25771707058567778</v>
      </c>
      <c r="AN28" s="581">
        <f t="shared" si="93"/>
        <v>-7.741406312871745</v>
      </c>
      <c r="AO28" s="582">
        <f t="shared" si="94"/>
        <v>15.075252880828049</v>
      </c>
      <c r="AP28" s="585">
        <f t="shared" si="95"/>
        <v>-2.0779549002670374</v>
      </c>
      <c r="AQ28" s="586">
        <f t="shared" si="9"/>
        <v>0.71090961343776826</v>
      </c>
      <c r="AS28" s="52">
        <f t="shared" si="116"/>
        <v>303.99995610783685</v>
      </c>
      <c r="AT28" s="72">
        <f t="shared" si="10"/>
        <v>-9.2711477537239295E-2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3.2801803953943525</v>
      </c>
      <c r="C29" s="708">
        <v>2.200863626656973</v>
      </c>
      <c r="D29" s="709">
        <v>-0.26040078536876859</v>
      </c>
      <c r="E29" s="710">
        <v>-0.43737308717852735</v>
      </c>
      <c r="F29" s="708">
        <v>0.86795721159631933</v>
      </c>
      <c r="G29" s="711">
        <v>0.23527656374969969</v>
      </c>
      <c r="H29" s="710">
        <v>0.314</v>
      </c>
      <c r="I29" s="708">
        <v>0.52</v>
      </c>
      <c r="J29" s="570">
        <v>2.1219999999999999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2.1219999999999999</v>
      </c>
      <c r="N29" s="632">
        <f t="shared" si="2"/>
        <v>3.2801803953943525</v>
      </c>
      <c r="O29" s="629">
        <f t="shared" si="3"/>
        <v>2.200863626656973</v>
      </c>
      <c r="P29" s="633">
        <f t="shared" si="4"/>
        <v>-0.26040078536876859</v>
      </c>
      <c r="Q29" s="585">
        <f t="shared" si="113"/>
        <v>33.859956107836872</v>
      </c>
      <c r="R29" s="629">
        <f>IF(M29="","",SQRT(N29^2+O29^2))</f>
        <v>3.9501119135375311</v>
      </c>
      <c r="S29" s="634">
        <f>IF(M29="","",P29)</f>
        <v>-0.26040078536876859</v>
      </c>
      <c r="T29" s="635">
        <f>IF(M29="","",X29*COS(RADIANS(W29)))</f>
        <v>2.2008636266569743</v>
      </c>
      <c r="U29" s="629">
        <f>IF(M29="","",X29*SIN(RADIANS(W29)))</f>
        <v>-3.280180395394352</v>
      </c>
      <c r="V29" s="636">
        <f>IF(M29="","",Y29)</f>
        <v>-0.26040078536876859</v>
      </c>
      <c r="W29" s="585">
        <f t="shared" si="224"/>
        <v>303.85995610783687</v>
      </c>
      <c r="X29" s="629">
        <f>IF(M29="","",R29)</f>
        <v>3.9501119135375311</v>
      </c>
      <c r="Y29" s="630">
        <f t="shared" si="223"/>
        <v>-0.26040078536876859</v>
      </c>
      <c r="Z29" s="632">
        <f t="shared" si="6"/>
        <v>0.43737308717852735</v>
      </c>
      <c r="AA29" s="629">
        <f t="shared" si="7"/>
        <v>-0.86795721159631933</v>
      </c>
      <c r="AB29" s="629">
        <f t="shared" si="8"/>
        <v>-0.23527656374969969</v>
      </c>
      <c r="AC29" s="636">
        <f>IF(M29="","",SQRT(Z29^2+AA29^2+AB29^2))</f>
        <v>1</v>
      </c>
      <c r="AD29" s="637">
        <f>IF(M29="","",Z29*(1/SQRT(Z29^2+AA29^2+AB29^2)))</f>
        <v>0.43737308717852735</v>
      </c>
      <c r="AE29" s="629">
        <f>IF(M29="","",AA29*(1/SQRT(Z29^2+AA29^2+AB29^2)))</f>
        <v>-0.86795721159631933</v>
      </c>
      <c r="AF29" s="633">
        <f>IF(M29="","",AB29*(1/SQRT(Z29^2+AA29^2+AB29^2)))</f>
        <v>-0.23527656374969969</v>
      </c>
      <c r="AG29" s="602">
        <f>IF(M29="","",DEGREES(ATAN2(-AF29,AE29)))</f>
        <v>-74.833336115684062</v>
      </c>
      <c r="AH29" s="603">
        <f>IF(M29="","",DEGREES(ACOS(AD29)))</f>
        <v>64.063606493803519</v>
      </c>
      <c r="AI29" s="585">
        <f>IF(M29="","",DEGREES(-ACOS(-AF29)))</f>
        <v>-76.392074184503329</v>
      </c>
      <c r="AJ29" s="586">
        <f>IF(M29="","",DEGREES(ATAN2(-AE29,AD29)))</f>
        <v>26.744032396249427</v>
      </c>
      <c r="AK29" s="635">
        <f>IF(M29="","",(COS(RADIANS((90-$Q$8)-W29))*AD29)+(-SIN(RADIANS((90-$Q$8)-W29))*AE29))</f>
        <v>0.96444223144997943</v>
      </c>
      <c r="AL29" s="629">
        <f>IF(M29="","",(SIN(RADIANS((90-$Q$8)-W29))*AD29)+(COS(RADIANS((90-$Q$8)-W29))*AE29))</f>
        <v>-0.12039983698459861</v>
      </c>
      <c r="AM29" s="634">
        <f>IF(M29="","",AF29)</f>
        <v>-0.23527656374969969</v>
      </c>
      <c r="AN29" s="581">
        <f>IF(M29="","",DEGREES(ATAN2(-AM29,AL29)))</f>
        <v>-27.100528128537988</v>
      </c>
      <c r="AO29" s="582">
        <f t="shared" si="94"/>
        <v>15.324991080072859</v>
      </c>
      <c r="AP29" s="585">
        <f>IF(M29="","",DEGREES(ATAN2(AK29,AL29)))</f>
        <v>-7.115923711587457</v>
      </c>
      <c r="AQ29" s="586">
        <f t="shared" si="9"/>
        <v>0.57711011359018449</v>
      </c>
      <c r="AS29" s="52">
        <f t="shared" si="116"/>
        <v>303.85995610783687</v>
      </c>
      <c r="AT29" s="72">
        <f t="shared" si="10"/>
        <v>-0.22141464377698863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2.1219999999999999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35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130</v>
      </c>
    </row>
    <row r="30" spans="1:269" ht="15" customHeight="1" x14ac:dyDescent="0.25">
      <c r="A30" s="79"/>
      <c r="B30" s="707">
        <v>3.8726089208285845</v>
      </c>
      <c r="C30" s="708">
        <v>2.5387961414419973</v>
      </c>
      <c r="D30" s="709">
        <v>-0.58640176858773418</v>
      </c>
      <c r="E30" s="710">
        <v>-0.36798494181704661</v>
      </c>
      <c r="F30" s="708">
        <v>0.91014530054641429</v>
      </c>
      <c r="G30" s="711">
        <v>0.19032239618390182</v>
      </c>
      <c r="H30" s="710">
        <v>0.314</v>
      </c>
      <c r="I30" s="708">
        <v>0.52</v>
      </c>
      <c r="J30" s="570">
        <v>2.129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2.129</v>
      </c>
      <c r="N30" s="632">
        <f t="shared" si="2"/>
        <v>3.8726089208285845</v>
      </c>
      <c r="O30" s="629">
        <f t="shared" si="3"/>
        <v>2.5387961414419973</v>
      </c>
      <c r="P30" s="633">
        <f t="shared" si="4"/>
        <v>-0.58640176858773418</v>
      </c>
      <c r="Q30" s="585">
        <f t="shared" si="113"/>
        <v>33.24795610783687</v>
      </c>
      <c r="R30" s="629">
        <f>IF(M30="","",SQRT(N30^2+O30^2))</f>
        <v>4.6306139659317216</v>
      </c>
      <c r="S30" s="634">
        <f>IF(M30="","",P30)</f>
        <v>-0.58640176858773418</v>
      </c>
      <c r="T30" s="635">
        <f>IF(M30="","",X30*COS(RADIANS(W30)))</f>
        <v>2.5387961414419995</v>
      </c>
      <c r="U30" s="629">
        <f>IF(M30="","",X30*SIN(RADIANS(W30)))</f>
        <v>-3.8726089208285832</v>
      </c>
      <c r="V30" s="636">
        <f>IF(M30="","",Y30)</f>
        <v>-0.58640176858773418</v>
      </c>
      <c r="W30" s="585">
        <f t="shared" si="224"/>
        <v>303.2479561078369</v>
      </c>
      <c r="X30" s="629">
        <f>IF(M30="","",R30)</f>
        <v>4.6306139659317216</v>
      </c>
      <c r="Y30" s="630">
        <f t="shared" si="223"/>
        <v>-0.58640176858773418</v>
      </c>
      <c r="Z30" s="632">
        <f t="shared" si="6"/>
        <v>0.36798494181704661</v>
      </c>
      <c r="AA30" s="629">
        <f t="shared" si="7"/>
        <v>-0.91014530054641429</v>
      </c>
      <c r="AB30" s="629">
        <f t="shared" si="8"/>
        <v>-0.19032239618390182</v>
      </c>
      <c r="AC30" s="636">
        <f>IF(M30="","",SQRT(Z30^2+AA30^2+AB30^2))</f>
        <v>1</v>
      </c>
      <c r="AD30" s="637">
        <f>IF(M30="","",Z30*(1/SQRT(Z30^2+AA30^2+AB30^2)))</f>
        <v>0.36798494181704661</v>
      </c>
      <c r="AE30" s="629">
        <f>IF(M30="","",AA30*(1/SQRT(Z30^2+AA30^2+AB30^2)))</f>
        <v>-0.91014530054641429</v>
      </c>
      <c r="AF30" s="633">
        <f>IF(M30="","",AB30*(1/SQRT(Z30^2+AA30^2+AB30^2)))</f>
        <v>-0.19032239618390182</v>
      </c>
      <c r="AG30" s="602">
        <f>IF(M30="","",DEGREES(ATAN2(-AF30,AE30)))</f>
        <v>-78.188953690983453</v>
      </c>
      <c r="AH30" s="603">
        <f>IF(M30="","",DEGREES(ACOS(AD30)))</f>
        <v>68.408603009302368</v>
      </c>
      <c r="AI30" s="585">
        <f>IF(M30="","",DEGREES(-ACOS(-AF30)))</f>
        <v>-79.028400535959776</v>
      </c>
      <c r="AJ30" s="586">
        <f>IF(M30="","",DEGREES(ATAN2(-AE30,AD30)))</f>
        <v>22.014197637629366</v>
      </c>
      <c r="AK30" s="635">
        <f>IF(M30="","",(COS(RADIANS((90-$Q$8)-W30))*AD30)+(-SIN(RADIANS((90-$Q$8)-W30))*AE30))</f>
        <v>0.9629123898785128</v>
      </c>
      <c r="AL30" s="629">
        <f>IF(M30="","",(SIN(RADIANS((90-$Q$8)-W30))*AD30)+(COS(RADIANS((90-$Q$8)-W30))*AE30))</f>
        <v>-0.19125144425407326</v>
      </c>
      <c r="AM30" s="634">
        <f>IF(M30="","",AF30)</f>
        <v>-0.19032239618390182</v>
      </c>
      <c r="AN30" s="581">
        <f>IF(M30="","",DEGREES(ATAN2(-AM30,AL30)))</f>
        <v>-45.139502299577664</v>
      </c>
      <c r="AO30" s="582">
        <f>IF(ROUND(IF(M30="",0,DEGREES(ACOS(AK30))),4)=90,0,IF(M30="","",DEGREES(ACOS(AK30))))</f>
        <v>15.653213937466559</v>
      </c>
      <c r="AP30" s="585">
        <f>IF(M30="","",DEGREES(ATAN2(AK30,AL30)))</f>
        <v>-11.233758470207539</v>
      </c>
      <c r="AQ30" s="586">
        <f t="shared" si="9"/>
        <v>0.49230416221526585</v>
      </c>
      <c r="AS30" s="52">
        <f t="shared" si="116"/>
        <v>303.2479561078369</v>
      </c>
      <c r="AT30" s="72">
        <f t="shared" si="10"/>
        <v>-0.54699062699595424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13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4.3498029154799331</v>
      </c>
      <c r="C31" s="708">
        <v>2.8436082257962418</v>
      </c>
      <c r="D31" s="709">
        <v>-1.0852032729730716</v>
      </c>
      <c r="E31" s="710">
        <v>-0.3109050020871526</v>
      </c>
      <c r="F31" s="708">
        <v>0.93975205444589449</v>
      </c>
      <c r="G31" s="711">
        <v>0.14214132348444067</v>
      </c>
      <c r="H31" s="710">
        <v>0.314</v>
      </c>
      <c r="I31" s="708">
        <v>0.52</v>
      </c>
      <c r="J31" s="570">
        <v>2.1360000000000001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2.1360000000000001</v>
      </c>
      <c r="N31" s="632">
        <f t="shared" si="2"/>
        <v>4.3498029154799331</v>
      </c>
      <c r="O31" s="629">
        <f t="shared" si="3"/>
        <v>2.8436082257962418</v>
      </c>
      <c r="P31" s="633">
        <f t="shared" si="4"/>
        <v>-1.0852032729730716</v>
      </c>
      <c r="Q31" s="585">
        <f t="shared" si="113"/>
        <v>33.173956107836858</v>
      </c>
      <c r="R31" s="629">
        <f>IF(M31="","",SQRT(N31^2+O31^2))</f>
        <v>5.1968156735960704</v>
      </c>
      <c r="S31" s="634">
        <f>IF(M31="","",P31)</f>
        <v>-1.0852032729730716</v>
      </c>
      <c r="T31" s="635">
        <f>IF(M31="","",X31*COS(RADIANS(W31)))</f>
        <v>2.8436082257962387</v>
      </c>
      <c r="U31" s="629">
        <f>IF(M31="","",X31*SIN(RADIANS(W31)))</f>
        <v>-4.3498029154799358</v>
      </c>
      <c r="V31" s="636">
        <f>IF(M31="","",Y31)</f>
        <v>-1.0852032729730716</v>
      </c>
      <c r="W31" s="585">
        <f t="shared" si="224"/>
        <v>303.17395610783683</v>
      </c>
      <c r="X31" s="629">
        <f>IF(M31="","",R31)</f>
        <v>5.1968156735960704</v>
      </c>
      <c r="Y31" s="630">
        <f t="shared" si="223"/>
        <v>-1.0852032729730716</v>
      </c>
      <c r="Z31" s="632">
        <f t="shared" si="6"/>
        <v>0.3109050020871526</v>
      </c>
      <c r="AA31" s="629">
        <f t="shared" si="7"/>
        <v>-0.93975205444589449</v>
      </c>
      <c r="AB31" s="629">
        <f t="shared" si="8"/>
        <v>-0.14214132348444067</v>
      </c>
      <c r="AC31" s="636">
        <f>IF(M31="","",SQRT(Z31^2+AA31^2+AB31^2))</f>
        <v>1</v>
      </c>
      <c r="AD31" s="637">
        <f>IF(M31="","",Z31*(1/SQRT(Z31^2+AA31^2+AB31^2)))</f>
        <v>0.3109050020871526</v>
      </c>
      <c r="AE31" s="629">
        <f>IF(M31="","",AA31*(1/SQRT(Z31^2+AA31^2+AB31^2)))</f>
        <v>-0.93975205444589449</v>
      </c>
      <c r="AF31" s="633">
        <f>IF(M31="","",AB31*(1/SQRT(Z31^2+AA31^2+AB31^2)))</f>
        <v>-0.14214132348444067</v>
      </c>
      <c r="AG31" s="602">
        <f>IF(M31="","",DEGREES(ATAN2(-AF31,AE31)))</f>
        <v>-81.398975520882416</v>
      </c>
      <c r="AH31" s="603">
        <f>IF(M31="","",DEGREES(ACOS(AD31)))</f>
        <v>71.886221425413325</v>
      </c>
      <c r="AI31" s="585">
        <f>IF(M31="","",DEGREES(-ACOS(-AF31)))</f>
        <v>-81.828225589140345</v>
      </c>
      <c r="AJ31" s="586">
        <f>IF(M31="","",DEGREES(ATAN2(-AE31,AD31)))</f>
        <v>18.306139965924945</v>
      </c>
      <c r="AK31" s="635">
        <f>IF(M31="","",(COS(RADIANS((90-$Q$8)-W31))*AD31)+(-SIN(RADIANS((90-$Q$8)-W31))*AE31))</f>
        <v>0.95670667576186141</v>
      </c>
      <c r="AL31" s="629">
        <f>IF(M31="","",(SIN(RADIANS((90-$Q$8)-W31))*AD31)+(COS(RADIANS((90-$Q$8)-W31))*AE31))</f>
        <v>-0.25398460723197486</v>
      </c>
      <c r="AM31" s="634">
        <f>IF(M31="","",AF31)</f>
        <v>-0.14214132348444067</v>
      </c>
      <c r="AN31" s="581">
        <f>IF(M31="","",DEGREES(ATAN2(-AM31,AL31)))</f>
        <v>-60.766641626200787</v>
      </c>
      <c r="AO31" s="582">
        <f t="shared" si="94"/>
        <v>16.92105829158838</v>
      </c>
      <c r="AP31" s="585">
        <f>IF(M31="","",DEGREES(ATAN2(AK31,AL31)))</f>
        <v>-14.867816141911876</v>
      </c>
      <c r="AQ31" s="586">
        <f t="shared" si="9"/>
        <v>0.43866902943274805</v>
      </c>
      <c r="AS31" s="52">
        <f t="shared" si="116"/>
        <v>303.17395610783683</v>
      </c>
      <c r="AT31" s="72">
        <f t="shared" si="10"/>
        <v>-1.0457407424924028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2.1360000000000001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4.7170598613977841</v>
      </c>
      <c r="C32" s="708">
        <v>3.0296888103337523</v>
      </c>
      <c r="D32" s="709">
        <v>-1.719005184519637</v>
      </c>
      <c r="E32" s="710">
        <v>-0.26103237990343292</v>
      </c>
      <c r="F32" s="708">
        <v>0.96201978615453743</v>
      </c>
      <c r="G32" s="711">
        <v>7.987507551876287E-2</v>
      </c>
      <c r="H32" s="710">
        <v>0.314</v>
      </c>
      <c r="I32" s="708">
        <v>0.52</v>
      </c>
      <c r="J32" s="570">
        <v>2.1429999999999998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2.1429999999999998</v>
      </c>
      <c r="N32" s="632">
        <f t="shared" si="2"/>
        <v>4.7170598613977841</v>
      </c>
      <c r="O32" s="629">
        <f t="shared" si="3"/>
        <v>3.0296888103337523</v>
      </c>
      <c r="P32" s="633">
        <f t="shared" si="4"/>
        <v>-1.719005184519637</v>
      </c>
      <c r="Q32" s="585">
        <f t="shared" si="113"/>
        <v>32.711956107836869</v>
      </c>
      <c r="R32" s="629">
        <f t="shared" si="79"/>
        <v>5.6062169083501958</v>
      </c>
      <c r="S32" s="634">
        <f t="shared" si="80"/>
        <v>-1.719005184519637</v>
      </c>
      <c r="T32" s="635">
        <f t="shared" si="81"/>
        <v>3.0296888103337483</v>
      </c>
      <c r="U32" s="629">
        <f t="shared" si="82"/>
        <v>-4.7170598613977868</v>
      </c>
      <c r="V32" s="636">
        <f t="shared" si="114"/>
        <v>-1.719005184519637</v>
      </c>
      <c r="W32" s="585">
        <f t="shared" si="224"/>
        <v>302.71195610783684</v>
      </c>
      <c r="X32" s="629">
        <f t="shared" si="83"/>
        <v>5.6062169083501958</v>
      </c>
      <c r="Y32" s="630">
        <f t="shared" si="223"/>
        <v>-1.719005184519637</v>
      </c>
      <c r="Z32" s="632">
        <f t="shared" si="6"/>
        <v>0.26103237990343292</v>
      </c>
      <c r="AA32" s="629">
        <f t="shared" si="7"/>
        <v>-0.96201978615453743</v>
      </c>
      <c r="AB32" s="629">
        <f t="shared" si="8"/>
        <v>-7.987507551876287E-2</v>
      </c>
      <c r="AC32" s="636">
        <f t="shared" si="84"/>
        <v>1</v>
      </c>
      <c r="AD32" s="637">
        <f t="shared" si="115"/>
        <v>0.26103237990343292</v>
      </c>
      <c r="AE32" s="629">
        <f t="shared" si="85"/>
        <v>-0.96201978615453743</v>
      </c>
      <c r="AF32" s="633">
        <f t="shared" si="86"/>
        <v>-7.987507551876287E-2</v>
      </c>
      <c r="AG32" s="602">
        <f t="shared" si="87"/>
        <v>-85.25370302804231</v>
      </c>
      <c r="AH32" s="603">
        <f t="shared" si="88"/>
        <v>74.868671273365734</v>
      </c>
      <c r="AI32" s="585">
        <f t="shared" si="89"/>
        <v>-85.41861488865014</v>
      </c>
      <c r="AJ32" s="586">
        <f t="shared" si="90"/>
        <v>15.180995840819435</v>
      </c>
      <c r="AK32" s="635">
        <f t="shared" si="211"/>
        <v>0.95050760375171084</v>
      </c>
      <c r="AL32" s="629">
        <f t="shared" si="91"/>
        <v>-0.30025866768680087</v>
      </c>
      <c r="AM32" s="634">
        <f t="shared" si="92"/>
        <v>-7.987507551876287E-2</v>
      </c>
      <c r="AN32" s="581">
        <f t="shared" si="93"/>
        <v>-75.103132643528511</v>
      </c>
      <c r="AO32" s="582">
        <f t="shared" si="94"/>
        <v>18.101498904696122</v>
      </c>
      <c r="AP32" s="585">
        <f t="shared" si="95"/>
        <v>-17.530960267017385</v>
      </c>
      <c r="AQ32" s="586">
        <f t="shared" si="9"/>
        <v>0.40663577471493012</v>
      </c>
      <c r="AS32" s="52">
        <f t="shared" si="116"/>
        <v>302.71195610783684</v>
      </c>
      <c r="AT32" s="72">
        <f t="shared" si="10"/>
        <v>-1.6792218207056349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2.1429999999999998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4.9175668855510422</v>
      </c>
      <c r="C33" s="708">
        <v>3.1276443548508723</v>
      </c>
      <c r="D33" s="709">
        <v>-2.4403073599669973</v>
      </c>
      <c r="E33" s="710">
        <v>-0.21421417854388228</v>
      </c>
      <c r="F33" s="708">
        <v>0.97665676314891836</v>
      </c>
      <c r="G33" s="711">
        <v>1.5932755764378886E-2</v>
      </c>
      <c r="H33" s="710">
        <v>0.314</v>
      </c>
      <c r="I33" s="708">
        <v>0.52</v>
      </c>
      <c r="J33" s="570">
        <v>2.15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2.15</v>
      </c>
      <c r="N33" s="632">
        <f t="shared" si="2"/>
        <v>4.9175668855510422</v>
      </c>
      <c r="O33" s="629">
        <f t="shared" si="3"/>
        <v>3.1276443548508723</v>
      </c>
      <c r="P33" s="633">
        <f t="shared" si="4"/>
        <v>-2.4403073599669973</v>
      </c>
      <c r="Q33" s="585">
        <f t="shared" si="113"/>
        <v>32.456956107836874</v>
      </c>
      <c r="R33" s="629">
        <f t="shared" si="79"/>
        <v>5.8279175769994129</v>
      </c>
      <c r="S33" s="634">
        <f t="shared" si="80"/>
        <v>-2.4403073599669973</v>
      </c>
      <c r="T33" s="635">
        <f t="shared" si="81"/>
        <v>3.1276443548508719</v>
      </c>
      <c r="U33" s="629">
        <f t="shared" si="82"/>
        <v>-4.917566885551043</v>
      </c>
      <c r="V33" s="636">
        <f t="shared" si="114"/>
        <v>-2.4403073599669973</v>
      </c>
      <c r="W33" s="585">
        <f t="shared" si="224"/>
        <v>302.45695610783685</v>
      </c>
      <c r="X33" s="629">
        <f t="shared" si="83"/>
        <v>5.8279175769994129</v>
      </c>
      <c r="Y33" s="630">
        <f t="shared" si="223"/>
        <v>-2.4403073599669973</v>
      </c>
      <c r="Z33" s="632">
        <f t="shared" si="6"/>
        <v>0.21421417854388228</v>
      </c>
      <c r="AA33" s="629">
        <f t="shared" si="7"/>
        <v>-0.97665676314891836</v>
      </c>
      <c r="AB33" s="629">
        <f t="shared" si="8"/>
        <v>-1.5932755764378886E-2</v>
      </c>
      <c r="AC33" s="636">
        <f t="shared" si="84"/>
        <v>1</v>
      </c>
      <c r="AD33" s="637">
        <f t="shared" si="115"/>
        <v>0.21421417854388228</v>
      </c>
      <c r="AE33" s="629">
        <f t="shared" si="85"/>
        <v>-0.97665676314891836</v>
      </c>
      <c r="AF33" s="633">
        <f t="shared" si="86"/>
        <v>-1.5932755764378886E-2</v>
      </c>
      <c r="AG33" s="602">
        <f t="shared" si="87"/>
        <v>-89.065384353670709</v>
      </c>
      <c r="AH33" s="603">
        <f t="shared" si="88"/>
        <v>77.630571018903154</v>
      </c>
      <c r="AI33" s="585">
        <f t="shared" si="89"/>
        <v>-89.087081711446899</v>
      </c>
      <c r="AJ33" s="586">
        <f t="shared" si="90"/>
        <v>12.371024150914673</v>
      </c>
      <c r="AK33" s="635">
        <f t="shared" si="211"/>
        <v>0.93905938973147052</v>
      </c>
      <c r="AL33" s="629">
        <f t="shared" si="91"/>
        <v>-0.34338551199913908</v>
      </c>
      <c r="AM33" s="634">
        <f t="shared" si="92"/>
        <v>-1.5932755764378886E-2</v>
      </c>
      <c r="AN33" s="581">
        <f t="shared" si="93"/>
        <v>-87.343436544299195</v>
      </c>
      <c r="AO33" s="582">
        <f t="shared" si="94"/>
        <v>20.105811532543026</v>
      </c>
      <c r="AP33" s="585">
        <f t="shared" si="95"/>
        <v>-20.085931956922195</v>
      </c>
      <c r="AQ33" s="586">
        <f t="shared" si="9"/>
        <v>0.39116737364561127</v>
      </c>
      <c r="AS33" s="52">
        <f t="shared" si="116"/>
        <v>302.45695610783685</v>
      </c>
      <c r="AT33" s="72">
        <f t="shared" si="10"/>
        <v>-2.4003469128196619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2.15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5.0515943259678702</v>
      </c>
      <c r="C34" s="708">
        <v>3.078299727536606</v>
      </c>
      <c r="D34" s="709">
        <v>-3.2139999999999995</v>
      </c>
      <c r="E34" s="710">
        <v>0.15027800572468797</v>
      </c>
      <c r="F34" s="708">
        <v>0.98864377861562935</v>
      </c>
      <c r="G34" s="711">
        <v>1.4578093193243024E-7</v>
      </c>
      <c r="H34" s="710">
        <v>0.314</v>
      </c>
      <c r="I34" s="708">
        <v>0.52</v>
      </c>
      <c r="J34" s="570">
        <v>2.157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2.157</v>
      </c>
      <c r="N34" s="632">
        <f t="shared" si="2"/>
        <v>5.0515943259678702</v>
      </c>
      <c r="O34" s="629">
        <f t="shared" si="3"/>
        <v>3.078299727536606</v>
      </c>
      <c r="P34" s="633">
        <f t="shared" si="4"/>
        <v>-3.2139999999999995</v>
      </c>
      <c r="Q34" s="585">
        <f t="shared" si="113"/>
        <v>31.356956489428331</v>
      </c>
      <c r="R34" s="629">
        <f>IF(M34="","",SQRT(N34^2+O34^2))</f>
        <v>5.9156178415025025</v>
      </c>
      <c r="S34" s="634">
        <f>IF(M34="","",P34)</f>
        <v>-3.2139999999999995</v>
      </c>
      <c r="T34" s="635">
        <f>IF(M34="","",X34*COS(RADIANS(W34)))</f>
        <v>3.0782997275366064</v>
      </c>
      <c r="U34" s="629">
        <f>IF(M34="","",X34*SIN(RADIANS(W34)))</f>
        <v>-5.0515943259678702</v>
      </c>
      <c r="V34" s="636">
        <f>IF(M34="","",Y34)</f>
        <v>-3.2139999999999995</v>
      </c>
      <c r="W34" s="585">
        <f t="shared" si="224"/>
        <v>301.35695648942834</v>
      </c>
      <c r="X34" s="629">
        <f>IF(M34="","",R34)</f>
        <v>5.9156178415025025</v>
      </c>
      <c r="Y34" s="630">
        <f t="shared" si="223"/>
        <v>-3.2139999999999995</v>
      </c>
      <c r="Z34" s="632">
        <f t="shared" si="6"/>
        <v>-0.15027800572468797</v>
      </c>
      <c r="AA34" s="629">
        <f t="shared" si="7"/>
        <v>-0.98864377861562935</v>
      </c>
      <c r="AB34" s="629">
        <f t="shared" si="8"/>
        <v>-1.4578093193243024E-7</v>
      </c>
      <c r="AC34" s="636">
        <f>IF(M34="","",SQRT(Z34^2+AA34^2+AB34^2))</f>
        <v>1</v>
      </c>
      <c r="AD34" s="637">
        <f>IF(M34="","",Z34*(1/SQRT(Z34^2+AA34^2+AB34^2)))</f>
        <v>-0.15027800572468797</v>
      </c>
      <c r="AE34" s="629">
        <f>IF(M34="","",AA34*(1/SQRT(Z34^2+AA34^2+AB34^2)))</f>
        <v>-0.98864377861562935</v>
      </c>
      <c r="AF34" s="633">
        <f>IF(M34="","",AB34*(1/SQRT(Z34^2+AA34^2+AB34^2)))</f>
        <v>-1.4578093193243024E-7</v>
      </c>
      <c r="AG34" s="602">
        <f>IF(M34="","",DEGREES(ATAN2(-AF34,AE34)))</f>
        <v>-89.999991551423975</v>
      </c>
      <c r="AH34" s="603">
        <f>IF(M34="","",DEGREES(ACOS(AD34)))</f>
        <v>98.643037735275769</v>
      </c>
      <c r="AI34" s="585">
        <f>IF(M34="","",DEGREES(-ACOS(-AF34)))</f>
        <v>-89.999991647367864</v>
      </c>
      <c r="AJ34" s="586">
        <f>IF(M34="","",DEGREES(ATAN2(-AE34,AD34)))</f>
        <v>-8.6430377352758523</v>
      </c>
      <c r="AK34" s="635">
        <f>IF(M34="","",(COS(RADIANS((90-$Q$8)-W34))*AD34)+(-SIN(RADIANS((90-$Q$8)-W34))*AE34))</f>
        <v>0.76604450791062484</v>
      </c>
      <c r="AL34" s="629">
        <f>IF(M34="","",(SIN(RADIANS((90-$Q$8)-W34))*AD34)+(COS(RADIANS((90-$Q$8)-W34))*AE34))</f>
        <v>-0.6427875324708372</v>
      </c>
      <c r="AM34" s="634">
        <f>IF(M34="","",AF34)</f>
        <v>-1.4578093193243024E-7</v>
      </c>
      <c r="AN34" s="581">
        <f>IF(M34="","",DEGREES(ATAN2(-AM34,AL34)))</f>
        <v>-89.999987005609626</v>
      </c>
      <c r="AO34" s="582">
        <f t="shared" si="94"/>
        <v>39.999994224704899</v>
      </c>
      <c r="AP34" s="585">
        <f>IF(M34="","",DEGREES(ATAN2(AK34,AL34)))</f>
        <v>-39.999994224704182</v>
      </c>
      <c r="AQ34" s="586">
        <f t="shared" si="9"/>
        <v>0.38536841220795115</v>
      </c>
      <c r="AS34" s="52">
        <f t="shared" si="116"/>
        <v>301.35695648942834</v>
      </c>
      <c r="AT34" s="72">
        <f t="shared" si="10"/>
        <v>-3.1732756642287692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3.7905348513312678</v>
      </c>
      <c r="C35" s="708">
        <v>1.1672765794468727</v>
      </c>
      <c r="D35" s="709">
        <v>-0.21843328128069553</v>
      </c>
      <c r="E35" s="710">
        <v>-0.11080065033908908</v>
      </c>
      <c r="F35" s="708">
        <v>0.9127302624057454</v>
      </c>
      <c r="G35" s="711">
        <v>0.39325142590100592</v>
      </c>
      <c r="H35" s="710">
        <v>0.26600000000000001</v>
      </c>
      <c r="I35" s="708">
        <v>0.52</v>
      </c>
      <c r="J35" s="570">
        <v>2.222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2.222</v>
      </c>
      <c r="N35" s="632">
        <f t="shared" si="2"/>
        <v>3.7905348513312678</v>
      </c>
      <c r="O35" s="629">
        <f t="shared" si="3"/>
        <v>1.1672765794468727</v>
      </c>
      <c r="P35" s="633">
        <f t="shared" si="4"/>
        <v>-0.21843328128069553</v>
      </c>
      <c r="Q35" s="585">
        <f t="shared" si="113"/>
        <v>17.115958545584515</v>
      </c>
      <c r="R35" s="629">
        <f>IF(M35="","",SQRT(N35^2+O35^2))</f>
        <v>3.9661932721543143</v>
      </c>
      <c r="S35" s="634">
        <f>IF(M35="","",P35)</f>
        <v>-0.21843328128069553</v>
      </c>
      <c r="T35" s="635">
        <f>IF(M35="","",X35*COS(RADIANS(W35)))</f>
        <v>1.167276579446872</v>
      </c>
      <c r="U35" s="629">
        <f>IF(M35="","",X35*SIN(RADIANS(W35)))</f>
        <v>-3.7905348513312678</v>
      </c>
      <c r="V35" s="636">
        <f>IF(M35="","",Y35)</f>
        <v>-0.21843328128069553</v>
      </c>
      <c r="W35" s="585">
        <f t="shared" si="224"/>
        <v>287.11595854558453</v>
      </c>
      <c r="X35" s="629">
        <f>IF(M35="","",R35)</f>
        <v>3.9661932721543143</v>
      </c>
      <c r="Y35" s="630">
        <f t="shared" si="223"/>
        <v>-0.21843328128069553</v>
      </c>
      <c r="Z35" s="632">
        <f t="shared" si="6"/>
        <v>0.11080065033908908</v>
      </c>
      <c r="AA35" s="629">
        <f t="shared" si="7"/>
        <v>-0.9127302624057454</v>
      </c>
      <c r="AB35" s="629">
        <f t="shared" si="8"/>
        <v>-0.39325142590100592</v>
      </c>
      <c r="AC35" s="636">
        <f>IF(M35="","",SQRT(Z35^2+AA35^2+AB35^2))</f>
        <v>1</v>
      </c>
      <c r="AD35" s="637">
        <f>IF(M35="","",Z35*(1/SQRT(Z35^2+AA35^2+AB35^2)))</f>
        <v>0.11080065033908908</v>
      </c>
      <c r="AE35" s="629">
        <f>IF(M35="","",AA35*(1/SQRT(Z35^2+AA35^2+AB35^2)))</f>
        <v>-0.9127302624057454</v>
      </c>
      <c r="AF35" s="633">
        <f>IF(M35="","",AB35*(1/SQRT(Z35^2+AA35^2+AB35^2)))</f>
        <v>-0.39325142590100592</v>
      </c>
      <c r="AG35" s="602">
        <f>IF(M35="","",DEGREES(ATAN2(-AF35,AE35)))</f>
        <v>-66.691121856916752</v>
      </c>
      <c r="AH35" s="603">
        <f>IF(M35="","",DEGREES(ACOS(AD35)))</f>
        <v>83.638528401529626</v>
      </c>
      <c r="AI35" s="585">
        <f>IF(M35="","",DEGREES(-ACOS(-AF35)))</f>
        <v>-66.843035488152282</v>
      </c>
      <c r="AJ35" s="586">
        <f>IF(M35="","",DEGREES(ATAN2(-AE35,AD35)))</f>
        <v>6.9215385170729675</v>
      </c>
      <c r="AK35" s="635">
        <f>IF(M35="","",(COS(RADIANS((90-$Q$8)-W35))*AD35)+(-SIN(RADIANS((90-$Q$8)-W35))*AE35))</f>
        <v>0.90491577877457774</v>
      </c>
      <c r="AL35" s="629">
        <f>IF(M35="","",(SIN(RADIANS((90-$Q$8)-W35))*AD35)+(COS(RADIANS((90-$Q$8)-W35))*AE35))</f>
        <v>-0.16272906732242226</v>
      </c>
      <c r="AM35" s="634">
        <f>IF(M35="","",AF35)</f>
        <v>-0.39325142590100592</v>
      </c>
      <c r="AN35" s="581">
        <f>IF(M35="","",DEGREES(ATAN2(-AM35,AL35)))</f>
        <v>-22.479974201501303</v>
      </c>
      <c r="AO35" s="582">
        <f t="shared" si="94"/>
        <v>25.188057734901406</v>
      </c>
      <c r="AP35" s="585">
        <f>IF(M35="","",DEGREES(ATAN2(AK35,AL35)))</f>
        <v>-10.194420028511537</v>
      </c>
      <c r="AQ35" s="586">
        <f t="shared" si="9"/>
        <v>0.57477031566016146</v>
      </c>
      <c r="AS35" s="52">
        <f t="shared" si="116"/>
        <v>287.11595854558453</v>
      </c>
      <c r="AT35" s="72">
        <f t="shared" si="10"/>
        <v>-0.16781936360401811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2.222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2.1219999999999999</v>
      </c>
      <c r="II35" s="734" cm="1">
        <f t="array" ref="II35">IFERROR(ROUND(VALUE(IF($IH35&lt;1,$IH35+LARGE((IF($M$9:$M$150="",0,$M$9:$M$150)-MOD(IF($M$9:$M$150="",0,$M$9:$M$150),1)),1),$IH35)),4),"")</f>
        <v>2.1219999999999999</v>
      </c>
      <c r="IJ35" s="533">
        <f t="shared" si="112"/>
        <v>1613</v>
      </c>
      <c r="IK35" s="533">
        <f t="shared" si="66"/>
        <v>1313</v>
      </c>
      <c r="IL35" s="727">
        <f t="shared" si="225"/>
        <v>16.743997562252332</v>
      </c>
      <c r="IM35" s="759">
        <v>1.72596086990899E-2</v>
      </c>
      <c r="IN35" s="5">
        <f t="shared" si="226"/>
        <v>0.36</v>
      </c>
      <c r="IO35" s="771">
        <v>180</v>
      </c>
      <c r="IP35" s="9">
        <f t="shared" si="227"/>
        <v>-3.9501119135375311</v>
      </c>
      <c r="IQ35" s="5">
        <f t="shared" si="228"/>
        <v>-0.26040078536876859</v>
      </c>
      <c r="IR35" s="5">
        <f t="shared" si="71"/>
        <v>0.314</v>
      </c>
      <c r="IS35" s="5">
        <f t="shared" si="229"/>
        <v>0.30283486067529353</v>
      </c>
      <c r="IT35" s="727">
        <f t="shared" si="230"/>
        <v>27.100528128537988</v>
      </c>
      <c r="IU35" s="9">
        <f t="shared" si="231"/>
        <v>-3.9661932721543143</v>
      </c>
      <c r="IV35" s="5">
        <f t="shared" si="232"/>
        <v>-0.21843328128069553</v>
      </c>
      <c r="IW35" s="5">
        <f t="shared" si="76"/>
        <v>0.26600000000000001</v>
      </c>
      <c r="IX35" s="5">
        <f t="shared" si="233"/>
        <v>0.24070759715403769</v>
      </c>
      <c r="IY35" s="762">
        <f t="shared" si="234"/>
        <v>22.479974201501303</v>
      </c>
    </row>
    <row r="36" spans="1:267" ht="15" customHeight="1" x14ac:dyDescent="0.25">
      <c r="A36" s="79"/>
      <c r="B36" s="707">
        <v>4.4115880885976795</v>
      </c>
      <c r="C36" s="708">
        <v>1.5008784488318445</v>
      </c>
      <c r="D36" s="709">
        <v>-0.54711742987843259</v>
      </c>
      <c r="E36" s="710">
        <v>-3.7052395103026194E-2</v>
      </c>
      <c r="F36" s="708">
        <v>0.94172992315035764</v>
      </c>
      <c r="G36" s="711">
        <v>0.33432300528134606</v>
      </c>
      <c r="H36" s="710">
        <v>0.26600000000000001</v>
      </c>
      <c r="I36" s="708">
        <v>0.52</v>
      </c>
      <c r="J36" s="570">
        <v>2.2290000000000001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2.2290000000000001</v>
      </c>
      <c r="N36" s="632">
        <f t="shared" si="2"/>
        <v>4.4115880885976795</v>
      </c>
      <c r="O36" s="629">
        <f t="shared" si="3"/>
        <v>1.5008784488318445</v>
      </c>
      <c r="P36" s="633">
        <f t="shared" si="4"/>
        <v>-0.54711742987843259</v>
      </c>
      <c r="Q36" s="585">
        <f t="shared" si="113"/>
        <v>18.788958304033233</v>
      </c>
      <c r="R36" s="629">
        <f>IF(M36="","",SQRT(N36^2+O36^2))</f>
        <v>4.6599083233068876</v>
      </c>
      <c r="S36" s="634">
        <f>IF(M36="","",P36)</f>
        <v>-0.54711742987843259</v>
      </c>
      <c r="T36" s="635">
        <f>IF(M36="","",X36*COS(RADIANS(W36)))</f>
        <v>1.500878448831845</v>
      </c>
      <c r="U36" s="629">
        <f>IF(M36="","",X36*SIN(RADIANS(W36)))</f>
        <v>-4.4115880885976795</v>
      </c>
      <c r="V36" s="636">
        <f>IF(M36="","",Y36)</f>
        <v>-0.54711742987843259</v>
      </c>
      <c r="W36" s="585">
        <f t="shared" si="224"/>
        <v>288.78895830403326</v>
      </c>
      <c r="X36" s="629">
        <f>IF(M36="","",R36)</f>
        <v>4.6599083233068876</v>
      </c>
      <c r="Y36" s="630">
        <f t="shared" si="223"/>
        <v>-0.54711742987843259</v>
      </c>
      <c r="Z36" s="632">
        <f t="shared" si="6"/>
        <v>3.7052395103026194E-2</v>
      </c>
      <c r="AA36" s="629">
        <f t="shared" si="7"/>
        <v>-0.94172992315035764</v>
      </c>
      <c r="AB36" s="629">
        <f t="shared" si="8"/>
        <v>-0.33432300528134606</v>
      </c>
      <c r="AC36" s="636">
        <f>IF(M36="","",SQRT(Z36^2+AA36^2+AB36^2))</f>
        <v>1</v>
      </c>
      <c r="AD36" s="637">
        <f>IF(M36="","",Z36*(1/SQRT(Z36^2+AA36^2+AB36^2)))</f>
        <v>3.7052395103026194E-2</v>
      </c>
      <c r="AE36" s="629">
        <f>IF(M36="","",AA36*(1/SQRT(Z36^2+AA36^2+AB36^2)))</f>
        <v>-0.94172992315035764</v>
      </c>
      <c r="AF36" s="633">
        <f>IF(M36="","",AB36*(1/SQRT(Z36^2+AA36^2+AB36^2)))</f>
        <v>-0.33432300528134606</v>
      </c>
      <c r="AG36" s="602">
        <f>IF(M36="","",DEGREES(ATAN2(-AF36,AE36)))</f>
        <v>-70.454657735265727</v>
      </c>
      <c r="AH36" s="603">
        <f>IF(M36="","",DEGREES(ACOS(AD36)))</f>
        <v>87.876568081087683</v>
      </c>
      <c r="AI36" s="585">
        <f>IF(M36="","",DEGREES(-ACOS(-AF36)))</f>
        <v>-70.468624488171159</v>
      </c>
      <c r="AJ36" s="586">
        <f>IF(M36="","",DEGREES(ATAN2(-AE36,AD36)))</f>
        <v>2.2531421822789728</v>
      </c>
      <c r="AK36" s="635">
        <f>IF(M36="","",(COS(RADIANS((90-$Q$8)-W36))*AD36)+(-SIN(RADIANS((90-$Q$8)-W36))*AE36))</f>
        <v>0.90348036073511262</v>
      </c>
      <c r="AL36" s="629">
        <f>IF(M36="","",(SIN(RADIANS((90-$Q$8)-W36))*AD36)+(COS(RADIANS((90-$Q$8)-W36))*AE36))</f>
        <v>-0.26823751770697596</v>
      </c>
      <c r="AM36" s="634">
        <f>IF(M36="","",AF36)</f>
        <v>-0.33432300528134606</v>
      </c>
      <c r="AN36" s="581">
        <f>IF(M36="","",DEGREES(ATAN2(-AM36,AL36)))</f>
        <v>-38.741132403300476</v>
      </c>
      <c r="AO36" s="582">
        <f t="shared" si="94"/>
        <v>25.380615392674819</v>
      </c>
      <c r="AP36" s="585">
        <f>IF(M36="","",DEGREES(ATAN2(AK36,AL36)))</f>
        <v>-16.535816121754262</v>
      </c>
      <c r="AQ36" s="586">
        <f t="shared" si="9"/>
        <v>0.48920945950129602</v>
      </c>
      <c r="AS36" s="52">
        <f t="shared" si="116"/>
        <v>288.78895830403326</v>
      </c>
      <c r="AT36" s="72">
        <f t="shared" si="10"/>
        <v>-0.49766531758956678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2.2290000000000001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2.129</v>
      </c>
      <c r="II36" s="734" cm="1">
        <f t="array" ref="II36">IFERROR(ROUND(VALUE(IF($IH36&lt;1,$IH36+LARGE((IF($M$9:$M$150="",0,$M$9:$M$150)-MOD(IF($M$9:$M$150="",0,$M$9:$M$150),1)),1),$IH36)),4),"")</f>
        <v>2.129</v>
      </c>
      <c r="IJ36" s="533">
        <f t="shared" si="112"/>
        <v>1613</v>
      </c>
      <c r="IK36" s="533">
        <f t="shared" si="66"/>
        <v>1313</v>
      </c>
      <c r="IL36" s="727">
        <f t="shared" si="225"/>
        <v>14.458997803803641</v>
      </c>
      <c r="IM36" s="759">
        <v>1.31849284317552E-2</v>
      </c>
      <c r="IN36" s="5">
        <f t="shared" si="226"/>
        <v>0.34</v>
      </c>
      <c r="IO36" s="771">
        <v>170</v>
      </c>
      <c r="IP36" s="9">
        <f t="shared" si="227"/>
        <v>-4.6306139659317216</v>
      </c>
      <c r="IQ36" s="5">
        <f t="shared" si="228"/>
        <v>-0.58640176858773418</v>
      </c>
      <c r="IR36" s="5">
        <f t="shared" si="71"/>
        <v>0.314</v>
      </c>
      <c r="IS36" s="5">
        <f t="shared" si="229"/>
        <v>0.30235449042185303</v>
      </c>
      <c r="IT36" s="727">
        <f t="shared" si="230"/>
        <v>45.139502299577664</v>
      </c>
      <c r="IU36" s="9">
        <f t="shared" si="231"/>
        <v>-4.6599083233068876</v>
      </c>
      <c r="IV36" s="5">
        <f t="shared" si="232"/>
        <v>-0.54711742987843259</v>
      </c>
      <c r="IW36" s="5">
        <f t="shared" si="76"/>
        <v>0.26600000000000001</v>
      </c>
      <c r="IX36" s="5">
        <f t="shared" si="233"/>
        <v>0.24032577595553997</v>
      </c>
      <c r="IY36" s="762">
        <f t="shared" si="234"/>
        <v>38.741132403300476</v>
      </c>
    </row>
    <row r="37" spans="1:267" ht="15" customHeight="1" x14ac:dyDescent="0.25">
      <c r="A37" s="79"/>
      <c r="B37" s="707">
        <v>4.934009435766213</v>
      </c>
      <c r="C37" s="708">
        <v>1.7588585873609723</v>
      </c>
      <c r="D37" s="709">
        <v>-1.0520393324638515</v>
      </c>
      <c r="E37" s="710">
        <v>3.9460930264904756E-2</v>
      </c>
      <c r="F37" s="708">
        <v>0.96373941657787832</v>
      </c>
      <c r="G37" s="711">
        <v>0.26391129554598319</v>
      </c>
      <c r="H37" s="710">
        <v>0.26600000000000001</v>
      </c>
      <c r="I37" s="708">
        <v>0.52</v>
      </c>
      <c r="J37" s="570">
        <v>2.2360000000000002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2.2360000000000002</v>
      </c>
      <c r="N37" s="632">
        <f t="shared" si="2"/>
        <v>4.934009435766213</v>
      </c>
      <c r="O37" s="629">
        <f t="shared" si="3"/>
        <v>1.7588585873609723</v>
      </c>
      <c r="P37" s="633">
        <f t="shared" si="4"/>
        <v>-1.0520393324638515</v>
      </c>
      <c r="Q37" s="585">
        <f t="shared" si="113"/>
        <v>19.619958184051686</v>
      </c>
      <c r="R37" s="629">
        <f t="shared" si="79"/>
        <v>5.238132552977584</v>
      </c>
      <c r="S37" s="634">
        <f t="shared" si="80"/>
        <v>-1.0520393324638515</v>
      </c>
      <c r="T37" s="635">
        <f t="shared" si="81"/>
        <v>1.7588585873609741</v>
      </c>
      <c r="U37" s="629">
        <f t="shared" si="82"/>
        <v>-4.9340094357662121</v>
      </c>
      <c r="V37" s="636">
        <f t="shared" si="114"/>
        <v>-1.0520393324638515</v>
      </c>
      <c r="W37" s="585">
        <f t="shared" si="224"/>
        <v>289.61995818405171</v>
      </c>
      <c r="X37" s="629">
        <f t="shared" si="83"/>
        <v>5.238132552977584</v>
      </c>
      <c r="Y37" s="630">
        <f t="shared" si="223"/>
        <v>-1.0520393324638515</v>
      </c>
      <c r="Z37" s="632">
        <f t="shared" si="6"/>
        <v>-3.9460930264904756E-2</v>
      </c>
      <c r="AA37" s="629">
        <f t="shared" si="7"/>
        <v>-0.96373941657787832</v>
      </c>
      <c r="AB37" s="629">
        <f t="shared" si="8"/>
        <v>-0.26391129554598319</v>
      </c>
      <c r="AC37" s="636">
        <f t="shared" si="84"/>
        <v>1</v>
      </c>
      <c r="AD37" s="637">
        <f t="shared" si="115"/>
        <v>-3.9460930264904756E-2</v>
      </c>
      <c r="AE37" s="629">
        <f t="shared" si="85"/>
        <v>-0.96373941657787832</v>
      </c>
      <c r="AF37" s="633">
        <f t="shared" si="86"/>
        <v>-0.26391129554598319</v>
      </c>
      <c r="AG37" s="602">
        <f t="shared" si="87"/>
        <v>-74.68550785074568</v>
      </c>
      <c r="AH37" s="603">
        <f t="shared" si="88"/>
        <v>92.261531948737442</v>
      </c>
      <c r="AI37" s="585">
        <f t="shared" si="89"/>
        <v>-74.697728157808314</v>
      </c>
      <c r="AJ37" s="586">
        <f t="shared" si="90"/>
        <v>-2.3447027948939185</v>
      </c>
      <c r="AK37" s="635">
        <f t="shared" si="211"/>
        <v>0.89453505262860189</v>
      </c>
      <c r="AL37" s="629">
        <f t="shared" si="91"/>
        <v>-0.3607739842366483</v>
      </c>
      <c r="AM37" s="634">
        <f t="shared" si="92"/>
        <v>-0.26391129554598319</v>
      </c>
      <c r="AN37" s="581">
        <f t="shared" si="93"/>
        <v>-53.813999515512414</v>
      </c>
      <c r="AO37" s="582">
        <f t="shared" si="94"/>
        <v>26.551228906311447</v>
      </c>
      <c r="AP37" s="585">
        <f t="shared" si="95"/>
        <v>-21.964660978945624</v>
      </c>
      <c r="AQ37" s="586">
        <f t="shared" si="9"/>
        <v>0.43520906821852295</v>
      </c>
      <c r="AS37" s="52">
        <f t="shared" si="116"/>
        <v>289.61995818405171</v>
      </c>
      <c r="AT37" s="72">
        <f t="shared" si="10"/>
        <v>-1.0031643034249986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2.2360000000000002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2.1360000000000001</v>
      </c>
      <c r="II37" s="734" cm="1">
        <f t="array" ref="II37">IFERROR(ROUND(VALUE(IF($IH37&lt;1,$IH37+LARGE((IF($M$9:$M$150="",0,$M$9:$M$150)-MOD(IF($M$9:$M$150="",0,$M$9:$M$150),1)),1),$IH37)),4),"")</f>
        <v>2.1360000000000001</v>
      </c>
      <c r="IJ37" s="533">
        <f t="shared" si="112"/>
        <v>1613</v>
      </c>
      <c r="IK37" s="533">
        <f t="shared" si="66"/>
        <v>1313</v>
      </c>
      <c r="IL37" s="727">
        <f t="shared" si="225"/>
        <v>13.553997923785118</v>
      </c>
      <c r="IM37" s="759">
        <v>9.7149688815885097E-3</v>
      </c>
      <c r="IN37" s="5">
        <f t="shared" si="226"/>
        <v>0.32</v>
      </c>
      <c r="IO37" s="771">
        <v>160</v>
      </c>
      <c r="IP37" s="9">
        <f t="shared" si="227"/>
        <v>-5.1968156735960704</v>
      </c>
      <c r="IQ37" s="5">
        <f t="shared" si="228"/>
        <v>-1.0852032729730716</v>
      </c>
      <c r="IR37" s="5">
        <f t="shared" si="71"/>
        <v>0.314</v>
      </c>
      <c r="IS37" s="5">
        <f t="shared" si="229"/>
        <v>0.30040589618922448</v>
      </c>
      <c r="IT37" s="727">
        <f t="shared" si="230"/>
        <v>60.766641626200787</v>
      </c>
      <c r="IU37" s="9">
        <f t="shared" si="231"/>
        <v>-5.238132552977584</v>
      </c>
      <c r="IV37" s="5">
        <f t="shared" si="232"/>
        <v>-1.0520393324638515</v>
      </c>
      <c r="IW37" s="5">
        <f t="shared" si="76"/>
        <v>0.26600000000000001</v>
      </c>
      <c r="IX37" s="5">
        <f t="shared" si="233"/>
        <v>0.23794632399920815</v>
      </c>
      <c r="IY37" s="762">
        <f t="shared" si="234"/>
        <v>53.813999515512414</v>
      </c>
    </row>
    <row r="38" spans="1:267" ht="15" customHeight="1" x14ac:dyDescent="0.25">
      <c r="A38" s="79"/>
      <c r="B38" s="707">
        <v>5.3162778664440102</v>
      </c>
      <c r="C38" s="708">
        <v>1.935277741719905</v>
      </c>
      <c r="D38" s="709">
        <v>-1.695222141940723</v>
      </c>
      <c r="E38" s="710">
        <v>0.10191338948323568</v>
      </c>
      <c r="F38" s="708">
        <v>0.97955851275221384</v>
      </c>
      <c r="G38" s="711">
        <v>0.17343235320640002</v>
      </c>
      <c r="H38" s="710">
        <v>0.26600000000000001</v>
      </c>
      <c r="I38" s="708">
        <v>0.52</v>
      </c>
      <c r="J38" s="570">
        <v>2.2429999999999999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2.2429999999999999</v>
      </c>
      <c r="N38" s="632">
        <f t="shared" si="2"/>
        <v>5.3162778664440102</v>
      </c>
      <c r="O38" s="629">
        <f t="shared" si="3"/>
        <v>1.935277741719905</v>
      </c>
      <c r="P38" s="633">
        <f t="shared" si="4"/>
        <v>-1.695222141940723</v>
      </c>
      <c r="Q38" s="585">
        <f t="shared" si="113"/>
        <v>20.002958128753338</v>
      </c>
      <c r="R38" s="629">
        <f t="shared" si="79"/>
        <v>5.6575710592832129</v>
      </c>
      <c r="S38" s="634">
        <f t="shared" si="80"/>
        <v>-1.695222141940723</v>
      </c>
      <c r="T38" s="635">
        <f t="shared" si="81"/>
        <v>1.9352777417199052</v>
      </c>
      <c r="U38" s="629">
        <f t="shared" si="82"/>
        <v>-5.3162778664440102</v>
      </c>
      <c r="V38" s="636">
        <f t="shared" si="114"/>
        <v>-1.695222141940723</v>
      </c>
      <c r="W38" s="585">
        <f t="shared" si="224"/>
        <v>290.00295812875333</v>
      </c>
      <c r="X38" s="629">
        <f t="shared" si="83"/>
        <v>5.6575710592832129</v>
      </c>
      <c r="Y38" s="630">
        <f t="shared" si="223"/>
        <v>-1.695222141940723</v>
      </c>
      <c r="Z38" s="632">
        <f t="shared" si="6"/>
        <v>-0.10191338948323568</v>
      </c>
      <c r="AA38" s="629">
        <f t="shared" si="7"/>
        <v>-0.97955851275221384</v>
      </c>
      <c r="AB38" s="629">
        <f t="shared" si="8"/>
        <v>-0.17343235320640002</v>
      </c>
      <c r="AC38" s="636">
        <f t="shared" si="84"/>
        <v>1</v>
      </c>
      <c r="AD38" s="637">
        <f t="shared" si="115"/>
        <v>-0.10191338948323568</v>
      </c>
      <c r="AE38" s="629">
        <f t="shared" si="85"/>
        <v>-0.97955851275221384</v>
      </c>
      <c r="AF38" s="633">
        <f t="shared" si="86"/>
        <v>-0.17343235320640002</v>
      </c>
      <c r="AG38" s="602">
        <f t="shared" si="87"/>
        <v>-79.959742044029881</v>
      </c>
      <c r="AH38" s="603">
        <f t="shared" si="88"/>
        <v>95.849362628056852</v>
      </c>
      <c r="AI38" s="585">
        <f t="shared" si="89"/>
        <v>-80.012556351074252</v>
      </c>
      <c r="AJ38" s="586">
        <f t="shared" si="90"/>
        <v>-5.9396904470480294</v>
      </c>
      <c r="AK38" s="635">
        <f t="shared" si="211"/>
        <v>0.88560523119899803</v>
      </c>
      <c r="AL38" s="629">
        <f t="shared" si="91"/>
        <v>-0.43084172654730191</v>
      </c>
      <c r="AM38" s="634">
        <f t="shared" si="92"/>
        <v>-0.17343235320640002</v>
      </c>
      <c r="AN38" s="581">
        <f t="shared" si="93"/>
        <v>-68.073090911829269</v>
      </c>
      <c r="AO38" s="582">
        <f t="shared" si="94"/>
        <v>27.673906491053785</v>
      </c>
      <c r="AP38" s="585">
        <f t="shared" si="95"/>
        <v>-25.942648575801371</v>
      </c>
      <c r="AQ38" s="586">
        <f t="shared" si="9"/>
        <v>0.40294483684892196</v>
      </c>
      <c r="AS38" s="52">
        <f t="shared" si="116"/>
        <v>290.00295812875333</v>
      </c>
      <c r="AT38" s="72">
        <f t="shared" si="10"/>
        <v>-1.6466130850856906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2.2429999999999999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2.1429999999999998</v>
      </c>
      <c r="II38" s="734" cm="1">
        <f t="array" ref="II38">IFERROR(ROUND(VALUE(IF($IH38&lt;1,$IH38+LARGE((IF($M$9:$M$150="",0,$M$9:$M$150)-MOD(IF($M$9:$M$150="",0,$M$9:$M$150),1)),1),$IH38)),4),"")</f>
        <v>2.1429999999999998</v>
      </c>
      <c r="IJ38" s="533">
        <f t="shared" si="112"/>
        <v>1613</v>
      </c>
      <c r="IK38" s="533">
        <f t="shared" si="66"/>
        <v>1313</v>
      </c>
      <c r="IL38" s="727">
        <f t="shared" si="225"/>
        <v>12.708997979083506</v>
      </c>
      <c r="IM38" s="759">
        <v>6.5880601505777401E-3</v>
      </c>
      <c r="IN38" s="5">
        <f t="shared" si="226"/>
        <v>0.3</v>
      </c>
      <c r="IO38" s="771">
        <v>150</v>
      </c>
      <c r="IP38" s="9">
        <f t="shared" si="227"/>
        <v>-5.6062169083501958</v>
      </c>
      <c r="IQ38" s="5">
        <f t="shared" si="228"/>
        <v>-1.719005184519637</v>
      </c>
      <c r="IR38" s="5">
        <f t="shared" si="71"/>
        <v>0.314</v>
      </c>
      <c r="IS38" s="5">
        <f t="shared" si="229"/>
        <v>0.29845938757803719</v>
      </c>
      <c r="IT38" s="727">
        <f t="shared" si="230"/>
        <v>75.103132643528511</v>
      </c>
      <c r="IU38" s="9">
        <f t="shared" si="231"/>
        <v>-5.6575710592832129</v>
      </c>
      <c r="IV38" s="5">
        <f t="shared" si="232"/>
        <v>-1.695222141940723</v>
      </c>
      <c r="IW38" s="5">
        <f t="shared" si="76"/>
        <v>0.26600000000000001</v>
      </c>
      <c r="IX38" s="5">
        <f t="shared" si="233"/>
        <v>0.23557099149893349</v>
      </c>
      <c r="IY38" s="762">
        <f t="shared" si="234"/>
        <v>68.073090911829269</v>
      </c>
    </row>
    <row r="39" spans="1:267" ht="15" customHeight="1" x14ac:dyDescent="0.25">
      <c r="A39" s="79"/>
      <c r="B39" s="707">
        <v>5.5268797344322182</v>
      </c>
      <c r="C39" s="708">
        <v>2.0279074964823782</v>
      </c>
      <c r="D39" s="709">
        <v>-2.4283273551666436</v>
      </c>
      <c r="E39" s="710">
        <v>0.16032792827938722</v>
      </c>
      <c r="F39" s="708">
        <v>0.98409832074937886</v>
      </c>
      <c r="G39" s="711">
        <v>7.6455545985182588E-2</v>
      </c>
      <c r="H39" s="710">
        <v>0.26600000000000001</v>
      </c>
      <c r="I39" s="708">
        <v>0.52</v>
      </c>
      <c r="J39" s="570">
        <v>2.25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2.25</v>
      </c>
      <c r="N39" s="632">
        <f t="shared" si="2"/>
        <v>5.5268797344322182</v>
      </c>
      <c r="O39" s="629">
        <f t="shared" si="3"/>
        <v>2.0279074964823782</v>
      </c>
      <c r="P39" s="633">
        <f t="shared" si="4"/>
        <v>-2.4283273551666436</v>
      </c>
      <c r="Q39" s="585">
        <f t="shared" si="113"/>
        <v>20.148958107673558</v>
      </c>
      <c r="R39" s="629">
        <f t="shared" si="79"/>
        <v>5.8871732107325476</v>
      </c>
      <c r="S39" s="634">
        <f t="shared" si="80"/>
        <v>-2.4283273551666436</v>
      </c>
      <c r="T39" s="635">
        <f t="shared" si="81"/>
        <v>2.0279074964823764</v>
      </c>
      <c r="U39" s="629">
        <f t="shared" si="82"/>
        <v>-5.5268797344322191</v>
      </c>
      <c r="V39" s="636">
        <f t="shared" si="114"/>
        <v>-2.4283273551666436</v>
      </c>
      <c r="W39" s="585">
        <f t="shared" si="224"/>
        <v>290.14895810767354</v>
      </c>
      <c r="X39" s="629">
        <f t="shared" si="83"/>
        <v>5.8871732107325476</v>
      </c>
      <c r="Y39" s="630">
        <f t="shared" si="223"/>
        <v>-2.4283273551666436</v>
      </c>
      <c r="Z39" s="632">
        <f t="shared" si="6"/>
        <v>-0.16032792827938722</v>
      </c>
      <c r="AA39" s="629">
        <f t="shared" si="7"/>
        <v>-0.98409832074937886</v>
      </c>
      <c r="AB39" s="629">
        <f t="shared" si="8"/>
        <v>-7.6455545985182588E-2</v>
      </c>
      <c r="AC39" s="636">
        <f t="shared" si="84"/>
        <v>1</v>
      </c>
      <c r="AD39" s="637">
        <f t="shared" si="115"/>
        <v>-0.16032792827938722</v>
      </c>
      <c r="AE39" s="629">
        <f t="shared" si="85"/>
        <v>-0.98409832074937886</v>
      </c>
      <c r="AF39" s="633">
        <f t="shared" si="86"/>
        <v>-7.6455545985182588E-2</v>
      </c>
      <c r="AG39" s="602">
        <f t="shared" si="87"/>
        <v>-85.557559407942549</v>
      </c>
      <c r="AH39" s="603">
        <f t="shared" si="88"/>
        <v>99.225930856910878</v>
      </c>
      <c r="AI39" s="585">
        <f t="shared" si="89"/>
        <v>-85.615140885328657</v>
      </c>
      <c r="AJ39" s="586">
        <f t="shared" si="90"/>
        <v>-9.2532521040359921</v>
      </c>
      <c r="AK39" s="635">
        <f t="shared" si="211"/>
        <v>0.86864487843885563</v>
      </c>
      <c r="AL39" s="629">
        <f t="shared" si="91"/>
        <v>-0.48950038268631957</v>
      </c>
      <c r="AM39" s="634">
        <f t="shared" si="92"/>
        <v>-7.6455545985182588E-2</v>
      </c>
      <c r="AN39" s="581">
        <f t="shared" si="93"/>
        <v>-81.122641713394458</v>
      </c>
      <c r="AO39" s="582">
        <f t="shared" si="94"/>
        <v>29.698454525090167</v>
      </c>
      <c r="AP39" s="585">
        <f t="shared" si="95"/>
        <v>-29.402210211709534</v>
      </c>
      <c r="AQ39" s="586">
        <f t="shared" si="9"/>
        <v>0.38723031244678585</v>
      </c>
      <c r="AS39" s="52">
        <f t="shared" si="116"/>
        <v>290.14895810767354</v>
      </c>
      <c r="AT39" s="72">
        <f t="shared" si="10"/>
        <v>-2.3798196871858615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>Gage</v>
      </c>
      <c r="IG39" s="847">
        <f t="shared" si="210"/>
        <v>2.25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2.15</v>
      </c>
      <c r="II39" s="734" cm="1">
        <f t="array" ref="II39">IFERROR(ROUND(VALUE(IF($IH39&lt;1,$IH39+LARGE((IF($M$9:$M$150="",0,$M$9:$M$150)-MOD(IF($M$9:$M$150="",0,$M$9:$M$150),1)),1),$IH39)),4),"")</f>
        <v>2.15</v>
      </c>
      <c r="IJ39" s="533">
        <f t="shared" si="112"/>
        <v>1613</v>
      </c>
      <c r="IK39" s="533">
        <f t="shared" si="66"/>
        <v>1313</v>
      </c>
      <c r="IL39" s="727">
        <f t="shared" si="225"/>
        <v>12.307998000163309</v>
      </c>
      <c r="IM39" s="759">
        <v>3.5939975349893898E-3</v>
      </c>
      <c r="IN39" s="5">
        <f t="shared" si="226"/>
        <v>0.24</v>
      </c>
      <c r="IO39" s="771">
        <v>120</v>
      </c>
      <c r="IP39" s="9">
        <f t="shared" si="227"/>
        <v>-5.8279175769994129</v>
      </c>
      <c r="IQ39" s="5">
        <f t="shared" si="228"/>
        <v>-2.4403073599669973</v>
      </c>
      <c r="IR39" s="5">
        <f t="shared" si="71"/>
        <v>0.314</v>
      </c>
      <c r="IS39" s="5">
        <f t="shared" si="229"/>
        <v>0.29486464837568177</v>
      </c>
      <c r="IT39" s="727">
        <f t="shared" si="230"/>
        <v>87.343436544299195</v>
      </c>
      <c r="IU39" s="9">
        <f t="shared" si="231"/>
        <v>-5.8871732107325476</v>
      </c>
      <c r="IV39" s="5">
        <f t="shared" si="232"/>
        <v>-2.4283273551666436</v>
      </c>
      <c r="IW39" s="5">
        <f t="shared" si="76"/>
        <v>0.26600000000000001</v>
      </c>
      <c r="IX39" s="5">
        <f t="shared" si="233"/>
        <v>0.23105953766473561</v>
      </c>
      <c r="IY39" s="762">
        <f t="shared" si="234"/>
        <v>81.122641713394458</v>
      </c>
    </row>
    <row r="40" spans="1:267" ht="15" customHeight="1" x14ac:dyDescent="0.25">
      <c r="A40" s="79"/>
      <c r="B40" s="707">
        <v>5.6197953589875462</v>
      </c>
      <c r="C40" s="708">
        <v>1.7966356347881987</v>
      </c>
      <c r="D40" s="709">
        <v>-3.25410000000001</v>
      </c>
      <c r="E40" s="710">
        <v>0.95250762600109973</v>
      </c>
      <c r="F40" s="708">
        <v>0.30451473266444412</v>
      </c>
      <c r="G40" s="711">
        <v>2.2679489677719276E-7</v>
      </c>
      <c r="H40" s="710">
        <v>0.25700000000000001</v>
      </c>
      <c r="I40" s="708">
        <v>0.41499999999999992</v>
      </c>
      <c r="J40" s="570">
        <v>2.2570000000000001</v>
      </c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CPS-32193r1</v>
      </c>
      <c r="L40" s="320"/>
      <c r="M40" s="168">
        <f t="shared" si="1"/>
        <v>2.2570000000000001</v>
      </c>
      <c r="N40" s="632">
        <f t="shared" si="2"/>
        <v>5.6197953589875462</v>
      </c>
      <c r="O40" s="629">
        <f t="shared" si="3"/>
        <v>1.7966356347881987</v>
      </c>
      <c r="P40" s="633">
        <f t="shared" si="4"/>
        <v>-3.25410000000001</v>
      </c>
      <c r="Q40" s="585">
        <f t="shared" si="113"/>
        <v>17.728958457078175</v>
      </c>
      <c r="R40" s="629">
        <f t="shared" si="79"/>
        <v>5.8999999560244714</v>
      </c>
      <c r="S40" s="634">
        <f t="shared" si="80"/>
        <v>-3.25410000000001</v>
      </c>
      <c r="T40" s="635">
        <f t="shared" si="81"/>
        <v>1.7966356347881998</v>
      </c>
      <c r="U40" s="629">
        <f t="shared" si="82"/>
        <v>-5.6197953589875462</v>
      </c>
      <c r="V40" s="636">
        <f t="shared" si="114"/>
        <v>-3.25410000000001</v>
      </c>
      <c r="W40" s="585">
        <f t="shared" si="224"/>
        <v>287.72895845707819</v>
      </c>
      <c r="X40" s="629">
        <f t="shared" si="83"/>
        <v>5.8999999560244714</v>
      </c>
      <c r="Y40" s="630">
        <f t="shared" si="223"/>
        <v>-3.25410000000001</v>
      </c>
      <c r="Z40" s="632">
        <f t="shared" si="6"/>
        <v>-0.95250762600109973</v>
      </c>
      <c r="AA40" s="629">
        <f t="shared" si="7"/>
        <v>-0.30451473266444412</v>
      </c>
      <c r="AB40" s="629">
        <f t="shared" si="8"/>
        <v>-2.2679489677719276E-7</v>
      </c>
      <c r="AC40" s="636">
        <f t="shared" si="84"/>
        <v>1</v>
      </c>
      <c r="AD40" s="637">
        <f t="shared" si="115"/>
        <v>-0.95250762600109973</v>
      </c>
      <c r="AE40" s="629">
        <f t="shared" si="85"/>
        <v>-0.30451473266444412</v>
      </c>
      <c r="AF40" s="633">
        <f t="shared" si="86"/>
        <v>-2.2679489677719276E-7</v>
      </c>
      <c r="AG40" s="602">
        <f t="shared" si="87"/>
        <v>-89.999957327547719</v>
      </c>
      <c r="AH40" s="603">
        <f t="shared" si="88"/>
        <v>162.27102854852674</v>
      </c>
      <c r="AI40" s="585">
        <f t="shared" si="89"/>
        <v>-89.999987005609597</v>
      </c>
      <c r="AJ40" s="586">
        <f t="shared" si="90"/>
        <v>-72.271028548531334</v>
      </c>
      <c r="AK40" s="635">
        <f t="shared" si="211"/>
        <v>2.2679489825039312E-7</v>
      </c>
      <c r="AL40" s="629">
        <f t="shared" si="91"/>
        <v>-0.9999999999999486</v>
      </c>
      <c r="AM40" s="634">
        <f t="shared" si="92"/>
        <v>-2.2679489677719276E-7</v>
      </c>
      <c r="AN40" s="581">
        <f t="shared" si="93"/>
        <v>-89.999987005609611</v>
      </c>
      <c r="AO40" s="582">
        <f t="shared" si="94"/>
        <v>0</v>
      </c>
      <c r="AP40" s="585">
        <f t="shared" si="95"/>
        <v>-89.999987005609512</v>
      </c>
      <c r="AQ40" s="586">
        <f t="shared" si="9"/>
        <v>0.3863884897568049</v>
      </c>
      <c r="AS40" s="52">
        <f t="shared" si="116"/>
        <v>287.72895845707819</v>
      </c>
      <c r="AT40" s="72">
        <f t="shared" si="10"/>
        <v>-3.2039117767063141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>Gage</v>
      </c>
      <c r="IG40" s="847">
        <f t="shared" si="210"/>
        <v>2.2570000000000001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2.157</v>
      </c>
      <c r="II40" s="734" cm="1">
        <f t="array" ref="II40">IFERROR(ROUND(VALUE(IF($IH40&lt;1,$IH40+LARGE((IF($M$9:$M$150="",0,$M$9:$M$150)-MOD(IF($M$9:$M$150="",0,$M$9:$M$150),1)),1),$IH40)),4),"")</f>
        <v>2.157</v>
      </c>
      <c r="IJ40" s="533">
        <f t="shared" si="112"/>
        <v>1613</v>
      </c>
      <c r="IK40" s="533" t="str">
        <f t="shared" si="66"/>
        <v>CPS-32193r1</v>
      </c>
      <c r="IL40" s="727">
        <f t="shared" si="225"/>
        <v>13.627998032350149</v>
      </c>
      <c r="IM40" s="759">
        <v>1.5416195907735E-4</v>
      </c>
      <c r="IN40" s="5">
        <f t="shared" si="226"/>
        <v>0</v>
      </c>
      <c r="IO40" s="771">
        <v>0</v>
      </c>
      <c r="IP40" s="9">
        <f t="shared" si="227"/>
        <v>-5.9156178415025025</v>
      </c>
      <c r="IQ40" s="5">
        <f t="shared" si="228"/>
        <v>-3.2139999999999995</v>
      </c>
      <c r="IR40" s="5">
        <f t="shared" si="71"/>
        <v>0.314</v>
      </c>
      <c r="IS40" s="5">
        <f t="shared" si="229"/>
        <v>0.24053797548393621</v>
      </c>
      <c r="IT40" s="727">
        <f t="shared" si="230"/>
        <v>89.999987005609626</v>
      </c>
      <c r="IU40" s="9">
        <f t="shared" si="231"/>
        <v>-5.8999999560244714</v>
      </c>
      <c r="IV40" s="5">
        <f t="shared" si="232"/>
        <v>-3.25410000000001</v>
      </c>
      <c r="IW40" s="5">
        <f t="shared" si="76"/>
        <v>0.25700000000000001</v>
      </c>
      <c r="IX40" s="5">
        <f t="shared" si="233"/>
        <v>0.25700000000000001</v>
      </c>
      <c r="IY40" s="762">
        <f t="shared" si="234"/>
        <v>89.999987005609611</v>
      </c>
    </row>
    <row r="41" spans="1:267" ht="15" customHeight="1" x14ac:dyDescent="0.25">
      <c r="A41" s="79"/>
      <c r="B41" s="707">
        <v>0.83889545818694056</v>
      </c>
      <c r="C41" s="708">
        <v>-0.24054998286679607</v>
      </c>
      <c r="D41" s="709">
        <v>-0.63340191034016158</v>
      </c>
      <c r="E41" s="710">
        <v>0.20185354387626059</v>
      </c>
      <c r="F41" s="708">
        <v>0.94697157464841875</v>
      </c>
      <c r="G41" s="711">
        <v>0.24999996726497567</v>
      </c>
      <c r="H41" s="710">
        <v>0.314</v>
      </c>
      <c r="I41" s="708">
        <v>0.52</v>
      </c>
      <c r="J41" s="570">
        <v>3.1030000000000002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3.1030000000000002</v>
      </c>
      <c r="N41" s="632">
        <f t="shared" ref="N41:N72" si="240">IF(M41="","",B41)</f>
        <v>0.83889545818694056</v>
      </c>
      <c r="O41" s="629">
        <f t="shared" ref="O41:O72" si="241">IF(M41="","",C41)</f>
        <v>-0.24054998286679607</v>
      </c>
      <c r="P41" s="633">
        <f t="shared" ref="P41:P72" si="242">IF(M41="","",D41)</f>
        <v>-0.63340191034016158</v>
      </c>
      <c r="Q41" s="585">
        <f t="shared" si="113"/>
        <v>343.99996332694263</v>
      </c>
      <c r="R41" s="629">
        <f t="shared" si="79"/>
        <v>0.87270263207113841</v>
      </c>
      <c r="S41" s="634">
        <f t="shared" si="80"/>
        <v>-0.63340191034016158</v>
      </c>
      <c r="T41" s="635">
        <f t="shared" si="81"/>
        <v>-0.24054998286679607</v>
      </c>
      <c r="U41" s="629">
        <f t="shared" si="82"/>
        <v>-0.83889545818694056</v>
      </c>
      <c r="V41" s="636">
        <f t="shared" si="114"/>
        <v>-0.63340191034016158</v>
      </c>
      <c r="W41" s="585">
        <f t="shared" si="224"/>
        <v>253.99996332694263</v>
      </c>
      <c r="X41" s="629">
        <f t="shared" si="83"/>
        <v>0.87270263207113841</v>
      </c>
      <c r="Y41" s="630">
        <f t="shared" si="223"/>
        <v>-0.63340191034016158</v>
      </c>
      <c r="Z41" s="632">
        <f t="shared" ref="Z41:Z72" si="243">IF(M41="","",-E41)</f>
        <v>-0.20185354387626059</v>
      </c>
      <c r="AA41" s="629">
        <f t="shared" ref="AA41:AA72" si="244">IF(M41="","",-F41)</f>
        <v>-0.94697157464841875</v>
      </c>
      <c r="AB41" s="629">
        <f t="shared" ref="AB41:AB72" si="245">IF(M41="","",-G41)</f>
        <v>-0.24999996726497567</v>
      </c>
      <c r="AC41" s="636">
        <f t="shared" si="84"/>
        <v>1</v>
      </c>
      <c r="AD41" s="637">
        <f t="shared" si="115"/>
        <v>-0.20185354387626059</v>
      </c>
      <c r="AE41" s="629">
        <f t="shared" si="85"/>
        <v>-0.94697157464841875</v>
      </c>
      <c r="AF41" s="633">
        <f t="shared" si="86"/>
        <v>-0.24999996726497567</v>
      </c>
      <c r="AG41" s="602">
        <f t="shared" si="87"/>
        <v>-75.2113522756256</v>
      </c>
      <c r="AH41" s="603">
        <f t="shared" si="88"/>
        <v>101.64537020065387</v>
      </c>
      <c r="AI41" s="585">
        <f t="shared" si="89"/>
        <v>-75.522489751159455</v>
      </c>
      <c r="AJ41" s="586">
        <f t="shared" si="90"/>
        <v>-12.032907027970776</v>
      </c>
      <c r="AK41" s="635">
        <f t="shared" si="211"/>
        <v>0.96592583607220739</v>
      </c>
      <c r="AL41" s="629">
        <f t="shared" si="91"/>
        <v>6.698727920820724E-2</v>
      </c>
      <c r="AM41" s="634">
        <f t="shared" si="92"/>
        <v>-0.24999996726497567</v>
      </c>
      <c r="AN41" s="581">
        <f t="shared" si="93"/>
        <v>14.999997834268274</v>
      </c>
      <c r="AO41" s="582">
        <f t="shared" si="94"/>
        <v>14.999997834268255</v>
      </c>
      <c r="AP41" s="585">
        <f t="shared" si="95"/>
        <v>3.9671296450865734</v>
      </c>
      <c r="AQ41" s="586">
        <f t="shared" ref="AQ41:AQ72" si="246">IF(M41="","",DEGREES(ATAN(($AS$5*SIN(RADIANS(90)))/(($X41*2*PI())-($AS$5*COS(RADIANS(90)))))))</f>
        <v>2.6104527564904569</v>
      </c>
      <c r="AS41" s="52">
        <f t="shared" si="116"/>
        <v>253.99996332694263</v>
      </c>
      <c r="AT41" s="72">
        <f t="shared" ref="AT41:AT72" si="247">IF(M41="","",Y41+(((AS41-$AS$9)*$AS$6)*-1))</f>
        <v>-0.55979077376164954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3.1030000000000002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1.5670532553412975</v>
      </c>
      <c r="C42" s="708">
        <v>-0.44934637569548558</v>
      </c>
      <c r="D42" s="709">
        <v>-0.43040129809031497</v>
      </c>
      <c r="E42" s="710">
        <v>0.20185354387626053</v>
      </c>
      <c r="F42" s="708">
        <v>0.94697157464841875</v>
      </c>
      <c r="G42" s="711">
        <v>0.24999996726497567</v>
      </c>
      <c r="H42" s="710">
        <v>0.314</v>
      </c>
      <c r="I42" s="708">
        <v>0.52</v>
      </c>
      <c r="J42" s="570">
        <v>3.1059999999999999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3.1059999999999999</v>
      </c>
      <c r="N42" s="632">
        <f t="shared" si="240"/>
        <v>1.5670532553412975</v>
      </c>
      <c r="O42" s="629">
        <f t="shared" si="241"/>
        <v>-0.44934637569548558</v>
      </c>
      <c r="P42" s="633">
        <f t="shared" si="242"/>
        <v>-0.43040129809031497</v>
      </c>
      <c r="Q42" s="585">
        <f t="shared" si="113"/>
        <v>343.99996332694269</v>
      </c>
      <c r="R42" s="629">
        <f t="shared" ref="R42:R47" si="385">IF(M42="","",SQRT(N42^2+O42^2))</f>
        <v>1.6302049166980286</v>
      </c>
      <c r="S42" s="634">
        <f t="shared" ref="S42:S47" si="386">IF(M42="","",P42)</f>
        <v>-0.43040129809031497</v>
      </c>
      <c r="T42" s="635">
        <f t="shared" ref="T42:T47" si="387">IF(M42="","",X42*COS(RADIANS(W42)))</f>
        <v>-0.44934637569548491</v>
      </c>
      <c r="U42" s="629">
        <f t="shared" ref="U42:U47" si="388">IF(M42="","",X42*SIN(RADIANS(W42)))</f>
        <v>-1.5670532553412977</v>
      </c>
      <c r="V42" s="636">
        <f t="shared" ref="V42:V47" si="389">IF(M42="","",Y42)</f>
        <v>-0.43040129809031497</v>
      </c>
      <c r="W42" s="585">
        <f t="shared" si="224"/>
        <v>253.99996332694269</v>
      </c>
      <c r="X42" s="629">
        <f t="shared" ref="X42:X47" si="390">IF(M42="","",R42)</f>
        <v>1.6302049166980286</v>
      </c>
      <c r="Y42" s="630">
        <f t="shared" si="223"/>
        <v>-0.43040129809031497</v>
      </c>
      <c r="Z42" s="632">
        <f t="shared" si="243"/>
        <v>-0.20185354387626053</v>
      </c>
      <c r="AA42" s="629">
        <f t="shared" si="244"/>
        <v>-0.94697157464841875</v>
      </c>
      <c r="AB42" s="629">
        <f t="shared" si="245"/>
        <v>-0.24999996726497567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-0.20185354387626053</v>
      </c>
      <c r="AE42" s="629">
        <f t="shared" ref="AE42:AE47" si="393">IF(M42="","",AA42*(1/SQRT(Z42^2+AA42^2+AB42^2)))</f>
        <v>-0.94697157464841875</v>
      </c>
      <c r="AF42" s="633">
        <f t="shared" ref="AF42:AF47" si="394">IF(M42="","",AB42*(1/SQRT(Z42^2+AA42^2+AB42^2)))</f>
        <v>-0.24999996726497567</v>
      </c>
      <c r="AG42" s="602">
        <f t="shared" ref="AG42:AG47" si="395">IF(M42="","",DEGREES(ATAN2(-AF42,AE42)))</f>
        <v>-75.2113522756256</v>
      </c>
      <c r="AH42" s="603">
        <f t="shared" ref="AH42:AH47" si="396">IF(M42="","",DEGREES(ACOS(AD42)))</f>
        <v>101.64537020065387</v>
      </c>
      <c r="AI42" s="585">
        <f t="shared" ref="AI42:AI47" si="397">IF(M42="","",DEGREES(-ACOS(-AF42)))</f>
        <v>-75.522489751159455</v>
      </c>
      <c r="AJ42" s="586">
        <f t="shared" ref="AJ42:AJ47" si="398">IF(M42="","",DEGREES(ATAN2(-AE42,AD42)))</f>
        <v>-12.032907027970774</v>
      </c>
      <c r="AK42" s="635">
        <f t="shared" ref="AK42:AK47" si="399">IF(M42="","",(COS(RADIANS((90-$Q$8)-W42))*AD42)+(-SIN(RADIANS((90-$Q$8)-W42))*AE42))</f>
        <v>0.96592583607220739</v>
      </c>
      <c r="AL42" s="629">
        <f t="shared" ref="AL42:AL47" si="400">IF(M42="","",(SIN(RADIANS((90-$Q$8)-W42))*AD42)+(COS(RADIANS((90-$Q$8)-W42))*AE42))</f>
        <v>6.6987279208206463E-2</v>
      </c>
      <c r="AM42" s="634">
        <f t="shared" ref="AM42:AM47" si="401">IF(M42="","",AF42)</f>
        <v>-0.24999996726497567</v>
      </c>
      <c r="AN42" s="581">
        <f t="shared" ref="AN42:AN47" si="402">IF(M42="","",DEGREES(ATAN2(-AM42,AL42)))</f>
        <v>14.999997834268109</v>
      </c>
      <c r="AO42" s="582">
        <f t="shared" si="94"/>
        <v>14.999997834268255</v>
      </c>
      <c r="AP42" s="585">
        <f t="shared" ref="AP42:AP47" si="403">IF(M42="","",DEGREES(ATAN2(AK42,AL42)))</f>
        <v>3.9671296450865272</v>
      </c>
      <c r="AQ42" s="586">
        <f t="shared" si="246"/>
        <v>1.3981519034738918</v>
      </c>
      <c r="AS42" s="52">
        <f t="shared" si="116"/>
        <v>253.99996332694269</v>
      </c>
      <c r="AT42" s="72">
        <f t="shared" si="247"/>
        <v>-0.35679016151180293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3.1059999999999999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2.2470517051195054</v>
      </c>
      <c r="C43" s="708">
        <v>-0.64433326452322992</v>
      </c>
      <c r="D43" s="709">
        <v>-0.24090072655659145</v>
      </c>
      <c r="E43" s="710">
        <v>0.20185354387626059</v>
      </c>
      <c r="F43" s="708">
        <v>0.94697157464841875</v>
      </c>
      <c r="G43" s="711">
        <v>0.24999996726497567</v>
      </c>
      <c r="H43" s="710">
        <v>0.314</v>
      </c>
      <c r="I43" s="708">
        <v>0.52</v>
      </c>
      <c r="J43" s="570">
        <v>3.109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3.109</v>
      </c>
      <c r="N43" s="632">
        <f t="shared" si="240"/>
        <v>2.2470517051195054</v>
      </c>
      <c r="O43" s="629">
        <f t="shared" si="241"/>
        <v>-0.64433326452322992</v>
      </c>
      <c r="P43" s="633">
        <f t="shared" si="242"/>
        <v>-0.24090072655659145</v>
      </c>
      <c r="Q43" s="585">
        <f t="shared" si="113"/>
        <v>343.99996332694263</v>
      </c>
      <c r="R43" s="629">
        <f t="shared" si="385"/>
        <v>2.3376070502228639</v>
      </c>
      <c r="S43" s="634">
        <f t="shared" si="386"/>
        <v>-0.24090072655659145</v>
      </c>
      <c r="T43" s="635">
        <f t="shared" si="387"/>
        <v>-0.6443332645232297</v>
      </c>
      <c r="U43" s="629">
        <f t="shared" si="388"/>
        <v>-2.2470517051195054</v>
      </c>
      <c r="V43" s="636">
        <f t="shared" si="389"/>
        <v>-0.24090072655659145</v>
      </c>
      <c r="W43" s="585">
        <f t="shared" si="224"/>
        <v>253.99996332694263</v>
      </c>
      <c r="X43" s="629">
        <f t="shared" si="390"/>
        <v>2.3376070502228639</v>
      </c>
      <c r="Y43" s="630">
        <f t="shared" si="223"/>
        <v>-0.24090072655659145</v>
      </c>
      <c r="Z43" s="632">
        <f t="shared" si="243"/>
        <v>-0.20185354387626059</v>
      </c>
      <c r="AA43" s="629">
        <f t="shared" si="244"/>
        <v>-0.94697157464841875</v>
      </c>
      <c r="AB43" s="629">
        <f t="shared" si="245"/>
        <v>-0.24999996726497567</v>
      </c>
      <c r="AC43" s="636">
        <f t="shared" si="391"/>
        <v>1</v>
      </c>
      <c r="AD43" s="637">
        <f t="shared" si="392"/>
        <v>-0.20185354387626059</v>
      </c>
      <c r="AE43" s="629">
        <f t="shared" si="393"/>
        <v>-0.94697157464841875</v>
      </c>
      <c r="AF43" s="633">
        <f t="shared" si="394"/>
        <v>-0.24999996726497567</v>
      </c>
      <c r="AG43" s="602">
        <f t="shared" si="395"/>
        <v>-75.2113522756256</v>
      </c>
      <c r="AH43" s="603">
        <f t="shared" si="396"/>
        <v>101.64537020065387</v>
      </c>
      <c r="AI43" s="585">
        <f t="shared" si="397"/>
        <v>-75.522489751159455</v>
      </c>
      <c r="AJ43" s="586">
        <f t="shared" si="398"/>
        <v>-12.032907027970776</v>
      </c>
      <c r="AK43" s="635">
        <f t="shared" si="399"/>
        <v>0.96592583607220739</v>
      </c>
      <c r="AL43" s="629">
        <f t="shared" si="400"/>
        <v>6.698727920820724E-2</v>
      </c>
      <c r="AM43" s="634">
        <f t="shared" si="401"/>
        <v>-0.24999996726497567</v>
      </c>
      <c r="AN43" s="581">
        <f t="shared" si="402"/>
        <v>14.999997834268274</v>
      </c>
      <c r="AO43" s="582">
        <f t="shared" si="94"/>
        <v>14.999997834268255</v>
      </c>
      <c r="AP43" s="585">
        <f t="shared" si="403"/>
        <v>3.9671296450865734</v>
      </c>
      <c r="AQ43" s="586">
        <f t="shared" si="246"/>
        <v>0.97514529219655988</v>
      </c>
      <c r="AS43" s="52">
        <f t="shared" ref="AS43:AS74" si="406">IF(G43="","",IF(AND(W43&lt;(AS42+180),W43&gt;(AS42-180)),W43,IF(W43&gt;(AS42+180),W43-360,IF(W43&lt;(AS42-180),W43+360,"Error"))))</f>
        <v>253.99996332694263</v>
      </c>
      <c r="AT43" s="72">
        <f t="shared" si="247"/>
        <v>-0.16728958997807938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2.9784778012973927</v>
      </c>
      <c r="C44" s="708">
        <v>-0.85406682928012756</v>
      </c>
      <c r="D44" s="709">
        <v>-0.13010039238278343</v>
      </c>
      <c r="E44" s="710">
        <v>0.28730232767519198</v>
      </c>
      <c r="F44" s="708">
        <v>0.92222688772739647</v>
      </c>
      <c r="G44" s="711">
        <v>0.25875652661344961</v>
      </c>
      <c r="H44" s="710">
        <v>0.314</v>
      </c>
      <c r="I44" s="708">
        <v>0.52</v>
      </c>
      <c r="J44" s="570">
        <v>3.1139999999999999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3.1139999999999999</v>
      </c>
      <c r="N44" s="632">
        <f t="shared" si="240"/>
        <v>2.9784778012973927</v>
      </c>
      <c r="O44" s="629">
        <f t="shared" si="241"/>
        <v>-0.85406682928012756</v>
      </c>
      <c r="P44" s="633">
        <f t="shared" si="242"/>
        <v>-0.13010039238278343</v>
      </c>
      <c r="Q44" s="585">
        <f t="shared" si="113"/>
        <v>343.99996332694263</v>
      </c>
      <c r="R44" s="629">
        <f t="shared" si="385"/>
        <v>3.0985093451041847</v>
      </c>
      <c r="S44" s="634">
        <f t="shared" si="386"/>
        <v>-0.13010039238278343</v>
      </c>
      <c r="T44" s="635">
        <f t="shared" si="387"/>
        <v>-0.85406682928012778</v>
      </c>
      <c r="U44" s="629">
        <f t="shared" si="388"/>
        <v>-2.9784778012973931</v>
      </c>
      <c r="V44" s="636">
        <f t="shared" si="389"/>
        <v>-0.13010039238278343</v>
      </c>
      <c r="W44" s="585">
        <f t="shared" si="224"/>
        <v>253.99996332694263</v>
      </c>
      <c r="X44" s="629">
        <f t="shared" si="390"/>
        <v>3.0985093451041847</v>
      </c>
      <c r="Y44" s="630">
        <f t="shared" si="223"/>
        <v>-0.13010039238278343</v>
      </c>
      <c r="Z44" s="632">
        <f t="shared" si="243"/>
        <v>-0.28730232767519198</v>
      </c>
      <c r="AA44" s="629">
        <f t="shared" si="244"/>
        <v>-0.92222688772739647</v>
      </c>
      <c r="AB44" s="629">
        <f t="shared" si="245"/>
        <v>-0.25875652661344961</v>
      </c>
      <c r="AC44" s="636">
        <f t="shared" si="391"/>
        <v>1</v>
      </c>
      <c r="AD44" s="637">
        <f t="shared" si="392"/>
        <v>-0.28730232767519198</v>
      </c>
      <c r="AE44" s="629">
        <f t="shared" si="393"/>
        <v>-0.92222688772739647</v>
      </c>
      <c r="AF44" s="633">
        <f t="shared" si="394"/>
        <v>-0.25875652661344961</v>
      </c>
      <c r="AG44" s="602">
        <f t="shared" si="395"/>
        <v>-74.327051633368555</v>
      </c>
      <c r="AH44" s="603">
        <f t="shared" si="396"/>
        <v>106.69651904644664</v>
      </c>
      <c r="AI44" s="585">
        <f t="shared" si="397"/>
        <v>-75.003708374297133</v>
      </c>
      <c r="AJ44" s="586">
        <f t="shared" si="398"/>
        <v>-17.303434122957857</v>
      </c>
      <c r="AK44" s="635">
        <f t="shared" si="399"/>
        <v>0.96569265012088401</v>
      </c>
      <c r="AL44" s="629">
        <f t="shared" si="400"/>
        <v>-2.1971923844922914E-2</v>
      </c>
      <c r="AM44" s="634">
        <f t="shared" si="401"/>
        <v>-0.25875652661344961</v>
      </c>
      <c r="AN44" s="581">
        <f t="shared" si="402"/>
        <v>-4.8535426837310149</v>
      </c>
      <c r="AO44" s="582">
        <f t="shared" si="94"/>
        <v>15.051532634236834</v>
      </c>
      <c r="AP44" s="585">
        <f t="shared" si="403"/>
        <v>-1.3033974499005072</v>
      </c>
      <c r="AQ44" s="586">
        <f t="shared" si="246"/>
        <v>0.73570904044773522</v>
      </c>
      <c r="AS44" s="52">
        <f t="shared" si="406"/>
        <v>253.99996332694263</v>
      </c>
      <c r="AT44" s="72">
        <f t="shared" si="247"/>
        <v>-5.648925580427136E-2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3.1139999999999999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3.6963137474485528</v>
      </c>
      <c r="C45" s="708">
        <v>-1.0640239109238601</v>
      </c>
      <c r="D45" s="709">
        <v>-0.22950069217408739</v>
      </c>
      <c r="E45" s="710">
        <v>0.37157964276685207</v>
      </c>
      <c r="F45" s="708">
        <v>0.89684625865214329</v>
      </c>
      <c r="G45" s="711">
        <v>0.23999032776949913</v>
      </c>
      <c r="H45" s="710">
        <v>0.314</v>
      </c>
      <c r="I45" s="708">
        <v>0.52</v>
      </c>
      <c r="J45" s="570">
        <v>3.121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3.121</v>
      </c>
      <c r="N45" s="632">
        <f t="shared" si="240"/>
        <v>3.6963137474485528</v>
      </c>
      <c r="O45" s="629">
        <f t="shared" si="241"/>
        <v>-1.0640239109238601</v>
      </c>
      <c r="P45" s="633">
        <f t="shared" si="242"/>
        <v>-0.22950069217408739</v>
      </c>
      <c r="Q45" s="585">
        <f t="shared" si="113"/>
        <v>343.94096332694266</v>
      </c>
      <c r="R45" s="629">
        <f t="shared" si="385"/>
        <v>3.8464116007773881</v>
      </c>
      <c r="S45" s="634">
        <f t="shared" si="386"/>
        <v>-0.22950069217408739</v>
      </c>
      <c r="T45" s="635">
        <f t="shared" si="387"/>
        <v>-1.0640239109238607</v>
      </c>
      <c r="U45" s="629">
        <f t="shared" si="388"/>
        <v>-3.6963137474485523</v>
      </c>
      <c r="V45" s="636">
        <f t="shared" si="389"/>
        <v>-0.22950069217408739</v>
      </c>
      <c r="W45" s="585">
        <f t="shared" si="224"/>
        <v>253.94096332694266</v>
      </c>
      <c r="X45" s="629">
        <f t="shared" si="390"/>
        <v>3.8464116007773881</v>
      </c>
      <c r="Y45" s="630">
        <f t="shared" si="223"/>
        <v>-0.22950069217408739</v>
      </c>
      <c r="Z45" s="632">
        <f t="shared" si="243"/>
        <v>-0.37157964276685207</v>
      </c>
      <c r="AA45" s="629">
        <f t="shared" si="244"/>
        <v>-0.89684625865214329</v>
      </c>
      <c r="AB45" s="629">
        <f t="shared" si="245"/>
        <v>-0.23999032776949913</v>
      </c>
      <c r="AC45" s="636">
        <f t="shared" si="391"/>
        <v>1</v>
      </c>
      <c r="AD45" s="637">
        <f t="shared" si="392"/>
        <v>-0.37157964276685207</v>
      </c>
      <c r="AE45" s="629">
        <f t="shared" si="393"/>
        <v>-0.89684625865214329</v>
      </c>
      <c r="AF45" s="633">
        <f t="shared" si="394"/>
        <v>-0.23999032776949913</v>
      </c>
      <c r="AG45" s="602">
        <f t="shared" si="395"/>
        <v>-75.019010316442774</v>
      </c>
      <c r="AH45" s="603">
        <f t="shared" si="396"/>
        <v>111.81307097322065</v>
      </c>
      <c r="AI45" s="585">
        <f t="shared" si="397"/>
        <v>-76.114030499320833</v>
      </c>
      <c r="AJ45" s="586">
        <f t="shared" si="398"/>
        <v>-22.505112491033664</v>
      </c>
      <c r="AK45" s="635">
        <f t="shared" si="399"/>
        <v>0.96463799640431003</v>
      </c>
      <c r="AL45" s="629">
        <f t="shared" si="400"/>
        <v>-0.10898705643408682</v>
      </c>
      <c r="AM45" s="634">
        <f t="shared" si="401"/>
        <v>-0.23999032776949913</v>
      </c>
      <c r="AN45" s="581">
        <f t="shared" si="402"/>
        <v>-24.424273152921419</v>
      </c>
      <c r="AO45" s="582">
        <f t="shared" si="94"/>
        <v>15.282494021633299</v>
      </c>
      <c r="AP45" s="585">
        <f t="shared" si="403"/>
        <v>-6.4460758179763031</v>
      </c>
      <c r="AQ45" s="586">
        <f t="shared" si="246"/>
        <v>0.59266806542056327</v>
      </c>
      <c r="AS45" s="52">
        <f t="shared" si="406"/>
        <v>253.94096332694266</v>
      </c>
      <c r="AT45" s="72">
        <f t="shared" si="247"/>
        <v>-0.15584858337335311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3.121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4.3486015805656351</v>
      </c>
      <c r="C46" s="708">
        <v>-1.3015856558148369</v>
      </c>
      <c r="D46" s="709">
        <v>-0.52860159426240805</v>
      </c>
      <c r="E46" s="710">
        <v>0.450723065692055</v>
      </c>
      <c r="F46" s="708">
        <v>0.8704515618798957</v>
      </c>
      <c r="G46" s="711">
        <v>0.19789592333852071</v>
      </c>
      <c r="H46" s="710">
        <v>0.314</v>
      </c>
      <c r="I46" s="708">
        <v>0.52</v>
      </c>
      <c r="J46" s="570">
        <v>3.1280000000000001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3.1280000000000001</v>
      </c>
      <c r="N46" s="632">
        <f t="shared" si="240"/>
        <v>4.3486015805656351</v>
      </c>
      <c r="O46" s="629">
        <f t="shared" si="241"/>
        <v>-1.3015856558148369</v>
      </c>
      <c r="P46" s="633">
        <f t="shared" si="242"/>
        <v>-0.52860159426240805</v>
      </c>
      <c r="Q46" s="585">
        <f t="shared" si="113"/>
        <v>343.33696332694262</v>
      </c>
      <c r="R46" s="629">
        <f t="shared" si="385"/>
        <v>4.5392136902684896</v>
      </c>
      <c r="S46" s="634">
        <f t="shared" si="386"/>
        <v>-0.52860159426240805</v>
      </c>
      <c r="T46" s="635">
        <f t="shared" si="387"/>
        <v>-1.301585655814838</v>
      </c>
      <c r="U46" s="629">
        <f t="shared" si="388"/>
        <v>-4.3486015805656351</v>
      </c>
      <c r="V46" s="636">
        <f t="shared" si="389"/>
        <v>-0.52860159426240805</v>
      </c>
      <c r="W46" s="585">
        <f t="shared" si="224"/>
        <v>253.33696332694262</v>
      </c>
      <c r="X46" s="629">
        <f t="shared" si="390"/>
        <v>4.5392136902684896</v>
      </c>
      <c r="Y46" s="630">
        <f t="shared" si="223"/>
        <v>-0.52860159426240805</v>
      </c>
      <c r="Z46" s="632">
        <f t="shared" si="243"/>
        <v>-0.450723065692055</v>
      </c>
      <c r="AA46" s="629">
        <f t="shared" si="244"/>
        <v>-0.8704515618798957</v>
      </c>
      <c r="AB46" s="629">
        <f t="shared" si="245"/>
        <v>-0.19789592333852071</v>
      </c>
      <c r="AC46" s="636">
        <f t="shared" si="391"/>
        <v>1</v>
      </c>
      <c r="AD46" s="637">
        <f t="shared" si="392"/>
        <v>-0.450723065692055</v>
      </c>
      <c r="AE46" s="629">
        <f t="shared" si="393"/>
        <v>-0.8704515618798957</v>
      </c>
      <c r="AF46" s="633">
        <f t="shared" si="394"/>
        <v>-0.19789592333852071</v>
      </c>
      <c r="AG46" s="602">
        <f t="shared" si="395"/>
        <v>-77.191601622242729</v>
      </c>
      <c r="AH46" s="603">
        <f t="shared" si="396"/>
        <v>116.79008456283685</v>
      </c>
      <c r="AI46" s="585">
        <f t="shared" si="397"/>
        <v>-78.586054744274122</v>
      </c>
      <c r="AJ46" s="586">
        <f t="shared" si="398"/>
        <v>-27.375289551843821</v>
      </c>
      <c r="AK46" s="635">
        <f t="shared" si="399"/>
        <v>0.96314075810513655</v>
      </c>
      <c r="AL46" s="629">
        <f t="shared" si="400"/>
        <v>-0.1822006685022238</v>
      </c>
      <c r="AM46" s="634">
        <f t="shared" si="401"/>
        <v>-0.19789592333852071</v>
      </c>
      <c r="AN46" s="581">
        <f t="shared" si="402"/>
        <v>-42.63543981409056</v>
      </c>
      <c r="AO46" s="582">
        <f t="shared" si="94"/>
        <v>15.604645862915417</v>
      </c>
      <c r="AP46" s="585">
        <f t="shared" si="403"/>
        <v>-10.71225287878646</v>
      </c>
      <c r="AQ46" s="586">
        <f t="shared" si="246"/>
        <v>0.50221655172183999</v>
      </c>
      <c r="AS46" s="52">
        <f t="shared" si="406"/>
        <v>253.33696332694262</v>
      </c>
      <c r="AT46" s="72">
        <f t="shared" si="247"/>
        <v>-0.45453004101722932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3.1280000000000001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4.9070477520535034</v>
      </c>
      <c r="C47" s="708">
        <v>-1.4776978261760729</v>
      </c>
      <c r="D47" s="709">
        <v>-1.0046030298827382</v>
      </c>
      <c r="E47" s="710">
        <v>0.50405860448748019</v>
      </c>
      <c r="F47" s="708">
        <v>0.85242457041200914</v>
      </c>
      <c r="G47" s="711">
        <v>0.13891463205881452</v>
      </c>
      <c r="H47" s="710">
        <v>0.314</v>
      </c>
      <c r="I47" s="708">
        <v>0.52</v>
      </c>
      <c r="J47" s="570">
        <v>3.1349999999999998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3.1349999999999998</v>
      </c>
      <c r="N47" s="632">
        <f t="shared" si="240"/>
        <v>4.9070477520535034</v>
      </c>
      <c r="O47" s="629">
        <f t="shared" si="241"/>
        <v>-1.4776978261760729</v>
      </c>
      <c r="P47" s="633">
        <f t="shared" si="242"/>
        <v>-1.0046030298827382</v>
      </c>
      <c r="Q47" s="585">
        <f t="shared" si="113"/>
        <v>343.24096332694268</v>
      </c>
      <c r="R47" s="629">
        <f t="shared" si="385"/>
        <v>5.1247154561418169</v>
      </c>
      <c r="S47" s="634">
        <f t="shared" si="386"/>
        <v>-1.0046030298827382</v>
      </c>
      <c r="T47" s="635">
        <f t="shared" si="387"/>
        <v>-1.4776978261760709</v>
      </c>
      <c r="U47" s="629">
        <f t="shared" si="388"/>
        <v>-4.9070477520535034</v>
      </c>
      <c r="V47" s="636">
        <f t="shared" si="389"/>
        <v>-1.0046030298827382</v>
      </c>
      <c r="W47" s="585">
        <f t="shared" si="224"/>
        <v>253.24096332694268</v>
      </c>
      <c r="X47" s="629">
        <f t="shared" si="390"/>
        <v>5.1247154561418169</v>
      </c>
      <c r="Y47" s="630">
        <f t="shared" si="223"/>
        <v>-1.0046030298827382</v>
      </c>
      <c r="Z47" s="632">
        <f t="shared" si="243"/>
        <v>-0.50405860448748019</v>
      </c>
      <c r="AA47" s="629">
        <f t="shared" si="244"/>
        <v>-0.85242457041200914</v>
      </c>
      <c r="AB47" s="629">
        <f t="shared" si="245"/>
        <v>-0.13891463205881452</v>
      </c>
      <c r="AC47" s="636">
        <f t="shared" si="391"/>
        <v>1</v>
      </c>
      <c r="AD47" s="637">
        <f t="shared" si="392"/>
        <v>-0.50405860448748019</v>
      </c>
      <c r="AE47" s="629">
        <f t="shared" si="393"/>
        <v>-0.85242457041200914</v>
      </c>
      <c r="AF47" s="633">
        <f t="shared" si="394"/>
        <v>-0.13891463205881452</v>
      </c>
      <c r="AG47" s="602">
        <f t="shared" si="395"/>
        <v>-80.74420688648182</v>
      </c>
      <c r="AH47" s="603">
        <f t="shared" si="396"/>
        <v>120.26888035219457</v>
      </c>
      <c r="AI47" s="585">
        <f t="shared" si="397"/>
        <v>-82.014954441331938</v>
      </c>
      <c r="AJ47" s="586">
        <f t="shared" si="398"/>
        <v>-30.596818736426204</v>
      </c>
      <c r="AK47" s="635">
        <f t="shared" si="399"/>
        <v>0.96156253324195307</v>
      </c>
      <c r="AL47" s="629">
        <f t="shared" si="400"/>
        <v>-0.23685484935986045</v>
      </c>
      <c r="AM47" s="634">
        <f t="shared" si="401"/>
        <v>-0.13891463205881452</v>
      </c>
      <c r="AN47" s="581">
        <f t="shared" si="402"/>
        <v>-59.608509662953267</v>
      </c>
      <c r="AO47" s="582">
        <f t="shared" si="94"/>
        <v>15.937346517223752</v>
      </c>
      <c r="AP47" s="585">
        <f t="shared" si="403"/>
        <v>-13.837782063368882</v>
      </c>
      <c r="AQ47" s="586">
        <f t="shared" si="246"/>
        <v>0.44484046870866423</v>
      </c>
      <c r="AS47" s="52">
        <f t="shared" si="406"/>
        <v>253.24096332694268</v>
      </c>
      <c r="AT47" s="72">
        <f t="shared" si="247"/>
        <v>-0.93046480997089287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3.1349999999999998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5.3091156877852503</v>
      </c>
      <c r="C48" s="708">
        <v>-1.6470041554903709</v>
      </c>
      <c r="D48" s="709">
        <v>-1.6219048916651531</v>
      </c>
      <c r="E48" s="710">
        <v>0.5649806210648799</v>
      </c>
      <c r="F48" s="708">
        <v>0.82008540136478869</v>
      </c>
      <c r="G48" s="711">
        <v>9.0867113355141638E-2</v>
      </c>
      <c r="H48" s="710">
        <v>0.314</v>
      </c>
      <c r="I48" s="708">
        <v>0.52</v>
      </c>
      <c r="J48" s="570">
        <v>3.1419999999999999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3.1419999999999999</v>
      </c>
      <c r="N48" s="632">
        <f t="shared" si="240"/>
        <v>5.3091156877852503</v>
      </c>
      <c r="O48" s="629">
        <f t="shared" si="241"/>
        <v>-1.6470041554903709</v>
      </c>
      <c r="P48" s="633">
        <f t="shared" si="242"/>
        <v>-1.6219048916651531</v>
      </c>
      <c r="Q48" s="585">
        <f t="shared" si="113"/>
        <v>342.76496332694268</v>
      </c>
      <c r="R48" s="629">
        <f t="shared" si="79"/>
        <v>5.5587167650897635</v>
      </c>
      <c r="S48" s="634">
        <f t="shared" si="80"/>
        <v>-1.6219048916651531</v>
      </c>
      <c r="T48" s="635">
        <f t="shared" si="81"/>
        <v>-1.6470041554903716</v>
      </c>
      <c r="U48" s="629">
        <f t="shared" si="82"/>
        <v>-5.3091156877852503</v>
      </c>
      <c r="V48" s="636">
        <f t="shared" si="114"/>
        <v>-1.6219048916651531</v>
      </c>
      <c r="W48" s="585">
        <f t="shared" si="224"/>
        <v>252.76496332694268</v>
      </c>
      <c r="X48" s="629">
        <f t="shared" si="83"/>
        <v>5.5587167650897635</v>
      </c>
      <c r="Y48" s="630">
        <f t="shared" si="223"/>
        <v>-1.6219048916651531</v>
      </c>
      <c r="Z48" s="632">
        <f t="shared" si="243"/>
        <v>-0.5649806210648799</v>
      </c>
      <c r="AA48" s="629">
        <f t="shared" si="244"/>
        <v>-0.82008540136478869</v>
      </c>
      <c r="AB48" s="629">
        <f t="shared" si="245"/>
        <v>-9.0867113355141638E-2</v>
      </c>
      <c r="AC48" s="636">
        <f t="shared" si="84"/>
        <v>1</v>
      </c>
      <c r="AD48" s="637">
        <f t="shared" si="115"/>
        <v>-0.5649806210648799</v>
      </c>
      <c r="AE48" s="629">
        <f t="shared" si="85"/>
        <v>-0.82008540136478869</v>
      </c>
      <c r="AF48" s="633">
        <f t="shared" si="86"/>
        <v>-9.0867113355141638E-2</v>
      </c>
      <c r="AG48" s="602">
        <f t="shared" si="87"/>
        <v>-83.677302884871636</v>
      </c>
      <c r="AH48" s="603">
        <f t="shared" si="88"/>
        <v>124.40094561258037</v>
      </c>
      <c r="AI48" s="585">
        <f t="shared" si="89"/>
        <v>-84.786506562186958</v>
      </c>
      <c r="AJ48" s="586">
        <f t="shared" si="90"/>
        <v>-34.564083440923518</v>
      </c>
      <c r="AK48" s="635">
        <f t="shared" si="211"/>
        <v>0.9506607232738753</v>
      </c>
      <c r="AL48" s="629">
        <f t="shared" si="91"/>
        <v>-0.29662662883648205</v>
      </c>
      <c r="AM48" s="634">
        <f t="shared" si="92"/>
        <v>-9.0867113355141638E-2</v>
      </c>
      <c r="AN48" s="581">
        <f t="shared" si="93"/>
        <v>-72.968341110441941</v>
      </c>
      <c r="AO48" s="582">
        <f t="shared" si="94"/>
        <v>18.073241133576641</v>
      </c>
      <c r="AP48" s="585">
        <f t="shared" si="95"/>
        <v>-17.329046767866174</v>
      </c>
      <c r="AQ48" s="586">
        <f t="shared" si="246"/>
        <v>0.41011042568968092</v>
      </c>
      <c r="AS48" s="52">
        <f t="shared" si="406"/>
        <v>252.76496332694268</v>
      </c>
      <c r="AT48" s="72">
        <f t="shared" si="247"/>
        <v>-1.5474361161977521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3.1419999999999999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5.5391963416559049</v>
      </c>
      <c r="C49" s="708">
        <v>-1.748525483996453</v>
      </c>
      <c r="D49" s="709">
        <v>-2.3339070390636305</v>
      </c>
      <c r="E49" s="710">
        <v>0.60927349724655355</v>
      </c>
      <c r="F49" s="708">
        <v>0.79247704067620361</v>
      </c>
      <c r="G49" s="711">
        <v>2.7675721382483032E-2</v>
      </c>
      <c r="H49" s="710">
        <v>0.314</v>
      </c>
      <c r="I49" s="708">
        <v>0.52</v>
      </c>
      <c r="J49" s="570">
        <v>3.149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3.149</v>
      </c>
      <c r="N49" s="632">
        <f t="shared" si="240"/>
        <v>5.5391963416559049</v>
      </c>
      <c r="O49" s="629">
        <f t="shared" si="241"/>
        <v>-1.748525483996453</v>
      </c>
      <c r="P49" s="633">
        <f t="shared" si="242"/>
        <v>-2.3339070390636305</v>
      </c>
      <c r="Q49" s="585">
        <f t="shared" si="113"/>
        <v>342.48096332694263</v>
      </c>
      <c r="R49" s="629">
        <f t="shared" si="79"/>
        <v>5.8086175187904381</v>
      </c>
      <c r="S49" s="634">
        <f t="shared" si="80"/>
        <v>-2.3339070390636305</v>
      </c>
      <c r="T49" s="635">
        <f t="shared" si="81"/>
        <v>-1.7485254839964552</v>
      </c>
      <c r="U49" s="629">
        <f t="shared" si="82"/>
        <v>-5.539196341655904</v>
      </c>
      <c r="V49" s="636">
        <f t="shared" si="114"/>
        <v>-2.3339070390636305</v>
      </c>
      <c r="W49" s="585">
        <f t="shared" si="224"/>
        <v>252.48096332694263</v>
      </c>
      <c r="X49" s="629">
        <f t="shared" si="83"/>
        <v>5.8086175187904381</v>
      </c>
      <c r="Y49" s="630">
        <f t="shared" si="223"/>
        <v>-2.3339070390636305</v>
      </c>
      <c r="Z49" s="632">
        <f t="shared" si="243"/>
        <v>-0.60927349724655355</v>
      </c>
      <c r="AA49" s="629">
        <f t="shared" si="244"/>
        <v>-0.79247704067620361</v>
      </c>
      <c r="AB49" s="629">
        <f t="shared" si="245"/>
        <v>-2.7675721382483032E-2</v>
      </c>
      <c r="AC49" s="636">
        <f t="shared" si="84"/>
        <v>1</v>
      </c>
      <c r="AD49" s="637">
        <f t="shared" si="115"/>
        <v>-0.60927349724655355</v>
      </c>
      <c r="AE49" s="629">
        <f t="shared" si="85"/>
        <v>-0.79247704067620361</v>
      </c>
      <c r="AF49" s="633">
        <f t="shared" si="86"/>
        <v>-2.7675721382483032E-2</v>
      </c>
      <c r="AG49" s="602">
        <f t="shared" si="87"/>
        <v>-87.999869057542909</v>
      </c>
      <c r="AH49" s="603">
        <f t="shared" si="88"/>
        <v>127.53699060487133</v>
      </c>
      <c r="AI49" s="585">
        <f t="shared" si="89"/>
        <v>-88.414095473096992</v>
      </c>
      <c r="AJ49" s="586">
        <f t="shared" si="90"/>
        <v>-37.553861967868855</v>
      </c>
      <c r="AK49" s="635">
        <f t="shared" si="211"/>
        <v>0.9391246959491828</v>
      </c>
      <c r="AL49" s="629">
        <f t="shared" si="91"/>
        <v>-0.34246001212450239</v>
      </c>
      <c r="AM49" s="634">
        <f t="shared" si="92"/>
        <v>-2.7675721382483032E-2</v>
      </c>
      <c r="AN49" s="581">
        <f t="shared" si="93"/>
        <v>-85.379713317319116</v>
      </c>
      <c r="AO49" s="582">
        <f t="shared" si="94"/>
        <v>20.09492371208669</v>
      </c>
      <c r="AP49" s="585">
        <f t="shared" si="95"/>
        <v>-20.034825294811487</v>
      </c>
      <c r="AQ49" s="586">
        <f t="shared" si="246"/>
        <v>0.39246704904993718</v>
      </c>
      <c r="AS49" s="52">
        <f t="shared" si="406"/>
        <v>252.48096332694263</v>
      </c>
      <c r="AT49" s="72">
        <f t="shared" si="247"/>
        <v>-2.2592410413740072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3.149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5.6052168806963429</v>
      </c>
      <c r="C50" s="708">
        <v>-1.8910521322956224</v>
      </c>
      <c r="D50" s="709">
        <v>-3.1107999999999989</v>
      </c>
      <c r="E50" s="710">
        <v>0.85394184735594203</v>
      </c>
      <c r="F50" s="708">
        <v>0.52036844767366519</v>
      </c>
      <c r="G50" s="711">
        <v>1.4578093209021014E-7</v>
      </c>
      <c r="H50" s="710">
        <v>0.314</v>
      </c>
      <c r="I50" s="708">
        <v>0.52</v>
      </c>
      <c r="J50" s="570">
        <v>3.1560000000000001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3.1560000000000001</v>
      </c>
      <c r="N50" s="632">
        <f t="shared" si="240"/>
        <v>5.6052168806963429</v>
      </c>
      <c r="O50" s="629">
        <f t="shared" si="241"/>
        <v>-1.8910521322956224</v>
      </c>
      <c r="P50" s="633">
        <f t="shared" si="242"/>
        <v>-3.1107999999999989</v>
      </c>
      <c r="Q50" s="585">
        <f t="shared" si="113"/>
        <v>341.35696370853441</v>
      </c>
      <c r="R50" s="629">
        <f t="shared" si="79"/>
        <v>5.9156178415025309</v>
      </c>
      <c r="S50" s="634">
        <f t="shared" si="80"/>
        <v>-3.1107999999999989</v>
      </c>
      <c r="T50" s="635">
        <f t="shared" si="81"/>
        <v>-1.8910521322956249</v>
      </c>
      <c r="U50" s="629">
        <f t="shared" si="82"/>
        <v>-5.6052168806963421</v>
      </c>
      <c r="V50" s="636">
        <f t="shared" si="114"/>
        <v>-3.1107999999999989</v>
      </c>
      <c r="W50" s="585">
        <f t="shared" si="224"/>
        <v>251.35696370853441</v>
      </c>
      <c r="X50" s="629">
        <f t="shared" si="83"/>
        <v>5.9156178415025309</v>
      </c>
      <c r="Y50" s="630">
        <f t="shared" si="223"/>
        <v>-3.1107999999999989</v>
      </c>
      <c r="Z50" s="632">
        <f t="shared" si="243"/>
        <v>-0.85394184735594203</v>
      </c>
      <c r="AA50" s="629">
        <f t="shared" si="244"/>
        <v>-0.52036844767366519</v>
      </c>
      <c r="AB50" s="629">
        <f t="shared" si="245"/>
        <v>-1.4578093209021014E-7</v>
      </c>
      <c r="AC50" s="636">
        <f t="shared" si="84"/>
        <v>1</v>
      </c>
      <c r="AD50" s="637">
        <f t="shared" si="115"/>
        <v>-0.85394184735594203</v>
      </c>
      <c r="AE50" s="629">
        <f t="shared" si="85"/>
        <v>-0.52036844767366519</v>
      </c>
      <c r="AF50" s="633">
        <f t="shared" si="86"/>
        <v>-1.4578093209021014E-7</v>
      </c>
      <c r="AG50" s="602">
        <f t="shared" si="87"/>
        <v>-89.999983948619146</v>
      </c>
      <c r="AH50" s="603">
        <f t="shared" si="88"/>
        <v>148.64303051616909</v>
      </c>
      <c r="AI50" s="585">
        <f t="shared" si="89"/>
        <v>-89.999991647367864</v>
      </c>
      <c r="AJ50" s="586">
        <f t="shared" si="90"/>
        <v>-58.643030516170079</v>
      </c>
      <c r="AK50" s="635">
        <f t="shared" si="211"/>
        <v>0.76604450791062129</v>
      </c>
      <c r="AL50" s="629">
        <f t="shared" si="91"/>
        <v>-0.64278753247084142</v>
      </c>
      <c r="AM50" s="634">
        <f t="shared" si="92"/>
        <v>-1.4578093209021014E-7</v>
      </c>
      <c r="AN50" s="581">
        <f t="shared" si="93"/>
        <v>-89.999987005609611</v>
      </c>
      <c r="AO50" s="582">
        <f t="shared" si="94"/>
        <v>39.999994224705219</v>
      </c>
      <c r="AP50" s="585">
        <f t="shared" si="95"/>
        <v>-39.999994224704494</v>
      </c>
      <c r="AQ50" s="586">
        <f t="shared" si="246"/>
        <v>0.38536841220794921</v>
      </c>
      <c r="AS50" s="52">
        <f t="shared" si="406"/>
        <v>251.35696370853441</v>
      </c>
      <c r="AT50" s="72">
        <f t="shared" si="247"/>
        <v>-3.0353534470198142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3.1560000000000001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1.7192876307292166</v>
      </c>
      <c r="C51" s="708">
        <v>-1.5666288784589404</v>
      </c>
      <c r="D51" s="709">
        <v>-0.25179999999999975</v>
      </c>
      <c r="E51" s="710">
        <v>2.6743636912253287E-18</v>
      </c>
      <c r="F51" s="708">
        <v>5.3074249275301433E-17</v>
      </c>
      <c r="G51" s="711">
        <v>1</v>
      </c>
      <c r="H51" s="710">
        <v>0.25700000000000001</v>
      </c>
      <c r="I51" s="708">
        <v>0.41499999999999992</v>
      </c>
      <c r="J51" s="570">
        <v>3.2090000000000001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CPS-32193r1</v>
      </c>
      <c r="L51" s="320"/>
      <c r="M51" s="168">
        <f t="shared" si="239"/>
        <v>3.2090000000000001</v>
      </c>
      <c r="N51" s="632">
        <f t="shared" si="240"/>
        <v>1.7192876307292166</v>
      </c>
      <c r="O51" s="629">
        <f t="shared" si="241"/>
        <v>-1.5666288784589404</v>
      </c>
      <c r="P51" s="633">
        <f t="shared" si="242"/>
        <v>-0.25179999999999975</v>
      </c>
      <c r="Q51" s="585">
        <f t="shared" si="113"/>
        <v>317.65996332694266</v>
      </c>
      <c r="R51" s="629">
        <f t="shared" si="79"/>
        <v>2.3260000000000001</v>
      </c>
      <c r="S51" s="634">
        <f t="shared" si="80"/>
        <v>-0.25179999999999975</v>
      </c>
      <c r="T51" s="635">
        <f t="shared" si="81"/>
        <v>-1.5666288784589402</v>
      </c>
      <c r="U51" s="629">
        <f t="shared" si="82"/>
        <v>-1.7192876307292169</v>
      </c>
      <c r="V51" s="636">
        <f t="shared" si="114"/>
        <v>-0.25179999999999975</v>
      </c>
      <c r="W51" s="585">
        <f t="shared" si="224"/>
        <v>227.65996332694266</v>
      </c>
      <c r="X51" s="629">
        <f t="shared" si="83"/>
        <v>2.3260000000000001</v>
      </c>
      <c r="Y51" s="630">
        <f t="shared" si="223"/>
        <v>-0.25179999999999975</v>
      </c>
      <c r="Z51" s="632">
        <f t="shared" si="243"/>
        <v>-2.6743636912253287E-18</v>
      </c>
      <c r="AA51" s="629">
        <f t="shared" si="244"/>
        <v>-5.3074249275301433E-17</v>
      </c>
      <c r="AB51" s="629">
        <f t="shared" si="245"/>
        <v>-1</v>
      </c>
      <c r="AC51" s="636">
        <f t="shared" si="84"/>
        <v>1</v>
      </c>
      <c r="AD51" s="637">
        <f t="shared" si="115"/>
        <v>-2.6743636912253287E-18</v>
      </c>
      <c r="AE51" s="629">
        <f t="shared" si="85"/>
        <v>-5.3074249275301433E-17</v>
      </c>
      <c r="AF51" s="633">
        <f t="shared" si="86"/>
        <v>-1</v>
      </c>
      <c r="AG51" s="602">
        <f t="shared" si="87"/>
        <v>-3.0409304843000404E-15</v>
      </c>
      <c r="AH51" s="603">
        <f t="shared" si="88"/>
        <v>90</v>
      </c>
      <c r="AI51" s="585">
        <f t="shared" si="89"/>
        <v>0</v>
      </c>
      <c r="AJ51" s="586">
        <f t="shared" si="90"/>
        <v>-2.8846430256803255</v>
      </c>
      <c r="AK51" s="635">
        <f t="shared" si="211"/>
        <v>4.1031657643783534E-17</v>
      </c>
      <c r="AL51" s="629">
        <f t="shared" si="91"/>
        <v>3.3770271368366575E-17</v>
      </c>
      <c r="AM51" s="634">
        <f t="shared" si="92"/>
        <v>-1</v>
      </c>
      <c r="AN51" s="581">
        <f t="shared" si="93"/>
        <v>1.934894022418888E-15</v>
      </c>
      <c r="AO51" s="582">
        <f t="shared" si="94"/>
        <v>0</v>
      </c>
      <c r="AP51" s="585">
        <f t="shared" si="95"/>
        <v>39.455393647377008</v>
      </c>
      <c r="AQ51" s="586">
        <f t="shared" si="246"/>
        <v>0.98001045058471092</v>
      </c>
      <c r="AS51" s="52">
        <f t="shared" si="406"/>
        <v>227.65996332694266</v>
      </c>
      <c r="AT51" s="72">
        <f t="shared" si="247"/>
        <v>-0.15989719675482103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3.2090000000000001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3.109</v>
      </c>
      <c r="II51" s="734" cm="1">
        <f t="array" ref="II51">IFERROR(ROUND(VALUE(IF($IH51&lt;1,$IH51+LARGE((IF($M$9:$M$150="",0,$M$9:$M$150)-MOD(IF($M$9:$M$150="",0,$M$9:$M$150),1)),1),$IH51)),4),"")</f>
        <v>3.109</v>
      </c>
      <c r="IJ51" s="533">
        <f t="shared" si="112"/>
        <v>1613</v>
      </c>
      <c r="IK51" s="533" t="str">
        <f t="shared" si="382"/>
        <v>CPS-32193r1</v>
      </c>
      <c r="IL51" s="727">
        <f t="shared" si="225"/>
        <v>26.339999999999975</v>
      </c>
      <c r="IM51" s="759">
        <v>4.70548179091268E-2</v>
      </c>
      <c r="IN51" s="5">
        <f t="shared" si="226"/>
        <v>0.74</v>
      </c>
      <c r="IO51" s="771">
        <v>370</v>
      </c>
      <c r="IP51" s="9">
        <f t="shared" si="227"/>
        <v>-2.3376070502228639</v>
      </c>
      <c r="IQ51" s="5">
        <f t="shared" si="228"/>
        <v>-0.24090072655659145</v>
      </c>
      <c r="IR51" s="5">
        <f t="shared" si="383"/>
        <v>0.314</v>
      </c>
      <c r="IS51" s="5">
        <f t="shared" si="229"/>
        <v>0.30330071252667312</v>
      </c>
      <c r="IT51" s="727">
        <f t="shared" si="230"/>
        <v>-14.999997834268274</v>
      </c>
      <c r="IU51" s="9">
        <f t="shared" si="231"/>
        <v>-2.3260000000000001</v>
      </c>
      <c r="IV51" s="5">
        <f t="shared" si="232"/>
        <v>-0.25179999999999975</v>
      </c>
      <c r="IW51" s="5">
        <f t="shared" si="384"/>
        <v>0.25700000000000001</v>
      </c>
      <c r="IX51" s="5">
        <f t="shared" si="233"/>
        <v>0.25700000000000001</v>
      </c>
      <c r="IY51" s="762">
        <f t="shared" si="234"/>
        <v>-1.934894022418888E-15</v>
      </c>
    </row>
    <row r="52" spans="1:259" ht="15" customHeight="1" x14ac:dyDescent="0.25">
      <c r="A52" s="79"/>
      <c r="B52" s="707">
        <v>2.4810649648746308</v>
      </c>
      <c r="C52" s="708">
        <v>-1.8560762080452526</v>
      </c>
      <c r="D52" s="709">
        <v>-0.13340000000000027</v>
      </c>
      <c r="E52" s="710">
        <v>4.6959962788067237E-17</v>
      </c>
      <c r="F52" s="708">
        <v>6.3971148053834063E-18</v>
      </c>
      <c r="G52" s="711">
        <v>1</v>
      </c>
      <c r="H52" s="710">
        <v>0.25700000000000001</v>
      </c>
      <c r="I52" s="708">
        <v>0.41499999999999992</v>
      </c>
      <c r="J52" s="570">
        <v>3.214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CPS-32193r1</v>
      </c>
      <c r="L52" s="320"/>
      <c r="M52" s="168">
        <f t="shared" si="239"/>
        <v>3.214</v>
      </c>
      <c r="N52" s="632">
        <f t="shared" si="240"/>
        <v>2.4810649648746308</v>
      </c>
      <c r="O52" s="629">
        <f t="shared" si="241"/>
        <v>-1.8560762080452526</v>
      </c>
      <c r="P52" s="633">
        <f t="shared" si="242"/>
        <v>-0.13340000000000027</v>
      </c>
      <c r="Q52" s="585">
        <f t="shared" si="113"/>
        <v>323.19996332694262</v>
      </c>
      <c r="R52" s="629">
        <f t="shared" si="79"/>
        <v>3.0984999999999996</v>
      </c>
      <c r="S52" s="634">
        <f t="shared" si="80"/>
        <v>-0.13340000000000027</v>
      </c>
      <c r="T52" s="635">
        <f t="shared" si="81"/>
        <v>-1.8560762080452531</v>
      </c>
      <c r="U52" s="629">
        <f t="shared" si="82"/>
        <v>-2.4810649648746304</v>
      </c>
      <c r="V52" s="636">
        <f t="shared" si="114"/>
        <v>-0.13340000000000027</v>
      </c>
      <c r="W52" s="585">
        <f t="shared" si="224"/>
        <v>233.19996332694262</v>
      </c>
      <c r="X52" s="629">
        <f t="shared" si="83"/>
        <v>3.0984999999999996</v>
      </c>
      <c r="Y52" s="630">
        <f t="shared" si="223"/>
        <v>-0.13340000000000027</v>
      </c>
      <c r="Z52" s="632">
        <f t="shared" si="243"/>
        <v>-4.6959962788067237E-17</v>
      </c>
      <c r="AA52" s="629">
        <f t="shared" si="244"/>
        <v>-6.3971148053834063E-18</v>
      </c>
      <c r="AB52" s="629">
        <f t="shared" si="245"/>
        <v>-1</v>
      </c>
      <c r="AC52" s="636">
        <f t="shared" si="84"/>
        <v>1</v>
      </c>
      <c r="AD52" s="637">
        <f t="shared" si="115"/>
        <v>-4.6959962788067237E-17</v>
      </c>
      <c r="AE52" s="629">
        <f t="shared" si="85"/>
        <v>-6.3971148053834063E-18</v>
      </c>
      <c r="AF52" s="633">
        <f t="shared" si="86"/>
        <v>-1</v>
      </c>
      <c r="AG52" s="602">
        <f t="shared" si="87"/>
        <v>-3.6652767940912216E-16</v>
      </c>
      <c r="AH52" s="603">
        <f t="shared" si="88"/>
        <v>90</v>
      </c>
      <c r="AI52" s="585">
        <f t="shared" si="89"/>
        <v>0</v>
      </c>
      <c r="AJ52" s="586">
        <f t="shared" si="90"/>
        <v>-82.242639733099935</v>
      </c>
      <c r="AK52" s="635">
        <f t="shared" si="211"/>
        <v>3.3252518018892884E-17</v>
      </c>
      <c r="AL52" s="629">
        <f t="shared" si="91"/>
        <v>-3.3770271368366568E-17</v>
      </c>
      <c r="AM52" s="634">
        <f t="shared" si="92"/>
        <v>-1</v>
      </c>
      <c r="AN52" s="581">
        <f t="shared" si="93"/>
        <v>-1.9348940224188876E-15</v>
      </c>
      <c r="AO52" s="582">
        <f t="shared" si="94"/>
        <v>0</v>
      </c>
      <c r="AP52" s="585">
        <f t="shared" si="95"/>
        <v>-45.442603060042551</v>
      </c>
      <c r="AQ52" s="586">
        <f t="shared" si="246"/>
        <v>0.73571125910899882</v>
      </c>
      <c r="AS52" s="52">
        <f t="shared" si="406"/>
        <v>233.19996332694262</v>
      </c>
      <c r="AT52" s="72">
        <f t="shared" si="247"/>
        <v>-4.5344418977043749E-2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3.214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3.1139999999999999</v>
      </c>
      <c r="II52" s="734" cm="1">
        <f t="array" ref="II52">IFERROR(ROUND(VALUE(IF($IH52&lt;1,$IH52+LARGE((IF($M$9:$M$150="",0,$M$9:$M$150)-MOD(IF($M$9:$M$150="",0,$M$9:$M$150),1)),1),$IH52)),4),"")</f>
        <v>3.1139999999999999</v>
      </c>
      <c r="IJ52" s="533">
        <f t="shared" si="112"/>
        <v>1613</v>
      </c>
      <c r="IK52" s="533" t="str">
        <f t="shared" si="382"/>
        <v>CPS-32193r1</v>
      </c>
      <c r="IL52" s="727">
        <f t="shared" si="225"/>
        <v>20.800000000000011</v>
      </c>
      <c r="IM52" s="759">
        <v>4.9521369500215802E-2</v>
      </c>
      <c r="IN52" s="5">
        <f t="shared" si="226"/>
        <v>0.84</v>
      </c>
      <c r="IO52" s="771">
        <v>420</v>
      </c>
      <c r="IP52" s="9">
        <f t="shared" si="227"/>
        <v>-3.0985093451041847</v>
      </c>
      <c r="IQ52" s="5">
        <f t="shared" si="228"/>
        <v>-0.13010039238278343</v>
      </c>
      <c r="IR52" s="5">
        <f t="shared" si="383"/>
        <v>0.314</v>
      </c>
      <c r="IS52" s="5">
        <f t="shared" si="229"/>
        <v>0.30322749213795758</v>
      </c>
      <c r="IT52" s="727">
        <f t="shared" si="230"/>
        <v>4.8535426837310149</v>
      </c>
      <c r="IU52" s="9">
        <f t="shared" si="231"/>
        <v>-3.0984999999999996</v>
      </c>
      <c r="IV52" s="5">
        <f t="shared" si="232"/>
        <v>-0.13340000000000027</v>
      </c>
      <c r="IW52" s="5">
        <f t="shared" si="384"/>
        <v>0.25700000000000001</v>
      </c>
      <c r="IX52" s="5">
        <f t="shared" si="233"/>
        <v>0.25700000000000001</v>
      </c>
      <c r="IY52" s="762">
        <f t="shared" si="234"/>
        <v>1.9348940224188876E-15</v>
      </c>
    </row>
    <row r="53" spans="1:259" ht="15" customHeight="1" x14ac:dyDescent="0.25">
      <c r="A53" s="79"/>
      <c r="B53" s="707">
        <v>3.2293156577686455</v>
      </c>
      <c r="C53" s="708">
        <v>-2.1154623529799315</v>
      </c>
      <c r="D53" s="709">
        <v>-0.18751260946419177</v>
      </c>
      <c r="E53" s="710">
        <v>0.61822049943652357</v>
      </c>
      <c r="F53" s="708">
        <v>0.67702819803025605</v>
      </c>
      <c r="G53" s="711">
        <v>0.39929466957168341</v>
      </c>
      <c r="H53" s="710">
        <v>0.26600000000000001</v>
      </c>
      <c r="I53" s="708">
        <v>0.52</v>
      </c>
      <c r="J53" s="570">
        <v>3.2210000000000001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3.2210000000000001</v>
      </c>
      <c r="N53" s="632">
        <f t="shared" si="240"/>
        <v>3.2293156577686455</v>
      </c>
      <c r="O53" s="629">
        <f t="shared" si="241"/>
        <v>-2.1154623529799315</v>
      </c>
      <c r="P53" s="633">
        <f t="shared" si="242"/>
        <v>-0.18751260946419177</v>
      </c>
      <c r="Q53" s="585">
        <f t="shared" si="113"/>
        <v>326.77196581435771</v>
      </c>
      <c r="R53" s="629">
        <f t="shared" ref="R53:R58" si="410">IF(M53="","",SQRT(N53^2+O53^2))</f>
        <v>3.8605259466017223</v>
      </c>
      <c r="S53" s="634">
        <f t="shared" ref="S53:S58" si="411">IF(M53="","",P53)</f>
        <v>-0.18751260946419177</v>
      </c>
      <c r="T53" s="635">
        <f t="shared" ref="T53:T58" si="412">IF(M53="","",X53*COS(RADIANS(W53)))</f>
        <v>-2.1154623529799323</v>
      </c>
      <c r="U53" s="629">
        <f t="shared" ref="U53:U58" si="413">IF(M53="","",X53*SIN(RADIANS(W53)))</f>
        <v>-3.2293156577686442</v>
      </c>
      <c r="V53" s="636">
        <f t="shared" ref="V53:V58" si="414">IF(M53="","",Y53)</f>
        <v>-0.18751260946419177</v>
      </c>
      <c r="W53" s="585">
        <f t="shared" si="224"/>
        <v>236.77196581435771</v>
      </c>
      <c r="X53" s="629">
        <f t="shared" ref="X53:X58" si="415">IF(M53="","",R53)</f>
        <v>3.8605259466017223</v>
      </c>
      <c r="Y53" s="630">
        <f t="shared" si="223"/>
        <v>-0.18751260946419177</v>
      </c>
      <c r="Z53" s="632">
        <f t="shared" si="243"/>
        <v>-0.61822049943652357</v>
      </c>
      <c r="AA53" s="629">
        <f t="shared" si="244"/>
        <v>-0.67702819803025605</v>
      </c>
      <c r="AB53" s="629">
        <f t="shared" si="245"/>
        <v>-0.39929466957168341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-0.61822049943652357</v>
      </c>
      <c r="AE53" s="629">
        <f t="shared" ref="AE53:AE58" si="418">IF(M53="","",AA53*(1/SQRT(Z53^2+AA53^2+AB53^2)))</f>
        <v>-0.67702819803025605</v>
      </c>
      <c r="AF53" s="633">
        <f t="shared" ref="AF53:AF58" si="419">IF(M53="","",AB53*(1/SQRT(Z53^2+AA53^2+AB53^2)))</f>
        <v>-0.39929466957168341</v>
      </c>
      <c r="AG53" s="602">
        <f t="shared" ref="AG53:AG58" si="420">IF(M53="","",DEGREES(ATAN2(-AF53,AE53)))</f>
        <v>-59.46893598737595</v>
      </c>
      <c r="AH53" s="603">
        <f t="shared" ref="AH53:AH58" si="421">IF(M53="","",DEGREES(ACOS(AD53)))</f>
        <v>128.1863020470168</v>
      </c>
      <c r="AI53" s="585">
        <f t="shared" ref="AI53:AI58" si="422">IF(M53="","",DEGREES(-ACOS(-AF53)))</f>
        <v>-66.465907728944515</v>
      </c>
      <c r="AJ53" s="586">
        <f t="shared" ref="AJ53:AJ58" si="423">IF(M53="","",DEGREES(ATAN2(-AE53,AD53)))</f>
        <v>-42.400406153797974</v>
      </c>
      <c r="AK53" s="635">
        <f t="shared" ref="AK53:AK58" si="424">IF(M53="","",(COS(RADIANS((90-$Q$8)-W53))*AD53)+(-SIN(RADIANS((90-$Q$8)-W53))*AE53))</f>
        <v>0.90509946089708126</v>
      </c>
      <c r="AL53" s="629">
        <f t="shared" ref="AL53:AL58" si="425">IF(M53="","",(SIN(RADIANS((90-$Q$8)-W53))*AD53)+(COS(RADIANS((90-$Q$8)-W53))*AE53))</f>
        <v>-0.14614627171246275</v>
      </c>
      <c r="AM53" s="634">
        <f t="shared" ref="AM53:AM58" si="426">IF(M53="","",AF53)</f>
        <v>-0.39929466957168341</v>
      </c>
      <c r="AN53" s="581">
        <f t="shared" ref="AN53:AN58" si="427">IF(M53="","",DEGREES(ATAN2(-AM53,AL53)))</f>
        <v>-20.103185432494087</v>
      </c>
      <c r="AO53" s="582">
        <f t="shared" si="94"/>
        <v>25.163317898276233</v>
      </c>
      <c r="AP53" s="585">
        <f t="shared" ref="AP53:AP58" si="428">IF(M53="","",DEGREES(ATAN2(AK53,AL53)))</f>
        <v>-9.1723719681556695</v>
      </c>
      <c r="AQ53" s="586">
        <f t="shared" si="246"/>
        <v>0.59050138431879384</v>
      </c>
      <c r="AS53" s="52">
        <f t="shared" si="406"/>
        <v>236.77196581435771</v>
      </c>
      <c r="AT53" s="72">
        <f t="shared" si="247"/>
        <v>-0.10193758572416239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3.2210000000000001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3.121</v>
      </c>
      <c r="II53" s="734" cm="1">
        <f t="array" ref="II53">IFERROR(ROUND(VALUE(IF($IH53&lt;1,$IH53+LARGE((IF($M$9:$M$150="",0,$M$9:$M$150)-MOD(IF($M$9:$M$150="",0,$M$9:$M$150),1)),1),$IH53)),4),"")</f>
        <v>3.121</v>
      </c>
      <c r="IJ53" s="533">
        <f t="shared" si="112"/>
        <v>1613</v>
      </c>
      <c r="IK53" s="533">
        <f t="shared" si="382"/>
        <v>1313</v>
      </c>
      <c r="IL53" s="727">
        <f t="shared" si="225"/>
        <v>17.168997512584951</v>
      </c>
      <c r="IM53" s="759">
        <v>1.7915083830442598E-2</v>
      </c>
      <c r="IN53" s="5">
        <f t="shared" si="226"/>
        <v>0.36</v>
      </c>
      <c r="IO53" s="771">
        <v>180</v>
      </c>
      <c r="IP53" s="9">
        <f t="shared" si="227"/>
        <v>-3.8464116007773881</v>
      </c>
      <c r="IQ53" s="5">
        <f t="shared" si="228"/>
        <v>-0.22950069217408739</v>
      </c>
      <c r="IR53" s="5">
        <f t="shared" si="383"/>
        <v>0.314</v>
      </c>
      <c r="IS53" s="5">
        <f t="shared" si="229"/>
        <v>0.30289633087095336</v>
      </c>
      <c r="IT53" s="727">
        <f t="shared" si="230"/>
        <v>24.424273152921419</v>
      </c>
      <c r="IU53" s="9">
        <f t="shared" si="231"/>
        <v>-3.8605259466017223</v>
      </c>
      <c r="IV53" s="5">
        <f t="shared" si="232"/>
        <v>-0.18751260946419177</v>
      </c>
      <c r="IW53" s="5">
        <f t="shared" si="384"/>
        <v>0.26600000000000001</v>
      </c>
      <c r="IX53" s="5">
        <f t="shared" si="233"/>
        <v>0.24075645659862363</v>
      </c>
      <c r="IY53" s="762">
        <f t="shared" si="234"/>
        <v>20.103185432494087</v>
      </c>
    </row>
    <row r="54" spans="1:259" ht="15" customHeight="1" x14ac:dyDescent="0.25">
      <c r="A54" s="79"/>
      <c r="B54" s="707">
        <v>3.8984857076790873</v>
      </c>
      <c r="C54" s="708">
        <v>-2.378341748021191</v>
      </c>
      <c r="D54" s="709">
        <v>-0.48867904448539623</v>
      </c>
      <c r="E54" s="710">
        <v>0.68785390470570484</v>
      </c>
      <c r="F54" s="708">
        <v>0.63895214798922184</v>
      </c>
      <c r="G54" s="711">
        <v>0.34437938144011299</v>
      </c>
      <c r="H54" s="710">
        <v>0.26600000000000001</v>
      </c>
      <c r="I54" s="708">
        <v>0.52</v>
      </c>
      <c r="J54" s="570">
        <v>3.2280000000000002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3.2280000000000002</v>
      </c>
      <c r="N54" s="632">
        <f t="shared" si="240"/>
        <v>3.8984857076790873</v>
      </c>
      <c r="O54" s="629">
        <f t="shared" si="241"/>
        <v>-2.378341748021191</v>
      </c>
      <c r="P54" s="633">
        <f t="shared" si="242"/>
        <v>-0.48867904448539623</v>
      </c>
      <c r="Q54" s="585">
        <f t="shared" si="113"/>
        <v>328.61396554840587</v>
      </c>
      <c r="R54" s="629">
        <f t="shared" si="410"/>
        <v>4.5666946781407018</v>
      </c>
      <c r="S54" s="634">
        <f t="shared" si="411"/>
        <v>-0.48867904448539623</v>
      </c>
      <c r="T54" s="635">
        <f t="shared" si="412"/>
        <v>-2.378341748021191</v>
      </c>
      <c r="U54" s="629">
        <f t="shared" si="413"/>
        <v>-3.8984857076790869</v>
      </c>
      <c r="V54" s="636">
        <f t="shared" si="414"/>
        <v>-0.48867904448539623</v>
      </c>
      <c r="W54" s="585">
        <f t="shared" si="224"/>
        <v>238.61396554840587</v>
      </c>
      <c r="X54" s="629">
        <f t="shared" si="415"/>
        <v>4.5666946781407018</v>
      </c>
      <c r="Y54" s="630">
        <f t="shared" si="223"/>
        <v>-0.48867904448539623</v>
      </c>
      <c r="Z54" s="632">
        <f t="shared" si="243"/>
        <v>-0.68785390470570484</v>
      </c>
      <c r="AA54" s="629">
        <f t="shared" si="244"/>
        <v>-0.63895214798922184</v>
      </c>
      <c r="AB54" s="629">
        <f t="shared" si="245"/>
        <v>-0.34437938144011299</v>
      </c>
      <c r="AC54" s="636">
        <f t="shared" si="416"/>
        <v>1</v>
      </c>
      <c r="AD54" s="637">
        <f t="shared" si="417"/>
        <v>-0.68785390470570484</v>
      </c>
      <c r="AE54" s="629">
        <f t="shared" si="418"/>
        <v>-0.63895214798922184</v>
      </c>
      <c r="AF54" s="633">
        <f t="shared" si="419"/>
        <v>-0.34437938144011299</v>
      </c>
      <c r="AG54" s="602">
        <f t="shared" si="420"/>
        <v>-61.676432263431956</v>
      </c>
      <c r="AH54" s="603">
        <f t="shared" si="421"/>
        <v>133.46046600299425</v>
      </c>
      <c r="AI54" s="585">
        <f t="shared" si="422"/>
        <v>-69.856084485597151</v>
      </c>
      <c r="AJ54" s="586">
        <f t="shared" si="423"/>
        <v>-47.110780694190744</v>
      </c>
      <c r="AK54" s="635">
        <f t="shared" si="424"/>
        <v>0.90369463381949588</v>
      </c>
      <c r="AL54" s="629">
        <f t="shared" si="425"/>
        <v>-0.25443830380815802</v>
      </c>
      <c r="AM54" s="634">
        <f t="shared" si="426"/>
        <v>-0.34437938144011299</v>
      </c>
      <c r="AN54" s="581">
        <f t="shared" si="427"/>
        <v>-36.458152982782565</v>
      </c>
      <c r="AO54" s="582">
        <f t="shared" si="94"/>
        <v>25.351957964119865</v>
      </c>
      <c r="AP54" s="585">
        <f t="shared" si="428"/>
        <v>-15.724746242596623</v>
      </c>
      <c r="AQ54" s="586">
        <f t="shared" si="246"/>
        <v>0.49919451775622098</v>
      </c>
      <c r="AS54" s="52">
        <f t="shared" si="406"/>
        <v>238.61396554840587</v>
      </c>
      <c r="AT54" s="72">
        <f t="shared" si="247"/>
        <v>-0.40438318722734473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3.2280000000000002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3.1280000000000001</v>
      </c>
      <c r="II54" s="734" cm="1">
        <f t="array" ref="II54">IFERROR(ROUND(VALUE(IF($IH54&lt;1,$IH54+LARGE((IF($M$9:$M$150="",0,$M$9:$M$150)-MOD(IF($M$9:$M$150="",0,$M$9:$M$150),1)),1),$IH54)),4),"")</f>
        <v>3.1280000000000001</v>
      </c>
      <c r="IJ54" s="533">
        <f t="shared" si="112"/>
        <v>1613</v>
      </c>
      <c r="IK54" s="533">
        <f t="shared" si="382"/>
        <v>1313</v>
      </c>
      <c r="IL54" s="727">
        <f t="shared" si="225"/>
        <v>14.722997778536751</v>
      </c>
      <c r="IM54" s="759">
        <v>1.3719349758649401E-2</v>
      </c>
      <c r="IN54" s="5">
        <f t="shared" si="226"/>
        <v>0.34</v>
      </c>
      <c r="IO54" s="771">
        <v>170</v>
      </c>
      <c r="IP54" s="9">
        <f t="shared" si="227"/>
        <v>-4.5392136902684896</v>
      </c>
      <c r="IQ54" s="5">
        <f t="shared" si="228"/>
        <v>-0.52860159426240805</v>
      </c>
      <c r="IR54" s="5">
        <f t="shared" si="383"/>
        <v>0.314</v>
      </c>
      <c r="IS54" s="5">
        <f t="shared" si="229"/>
        <v>0.30242619804501286</v>
      </c>
      <c r="IT54" s="727">
        <f t="shared" si="230"/>
        <v>42.63543981409056</v>
      </c>
      <c r="IU54" s="9">
        <f t="shared" si="231"/>
        <v>-4.5666946781407018</v>
      </c>
      <c r="IV54" s="5">
        <f t="shared" si="232"/>
        <v>-0.48867904448539623</v>
      </c>
      <c r="IW54" s="5">
        <f t="shared" si="384"/>
        <v>0.26600000000000001</v>
      </c>
      <c r="IX54" s="5">
        <f t="shared" si="233"/>
        <v>0.24038277259598592</v>
      </c>
      <c r="IY54" s="762">
        <f t="shared" si="234"/>
        <v>36.458152982782565</v>
      </c>
    </row>
    <row r="55" spans="1:259" ht="15" customHeight="1" x14ac:dyDescent="0.25">
      <c r="A55" s="79"/>
      <c r="B55" s="707">
        <v>4.4512152049401355</v>
      </c>
      <c r="C55" s="708">
        <v>-2.6182039517816409</v>
      </c>
      <c r="D55" s="709">
        <v>-0.97069325800399531</v>
      </c>
      <c r="E55" s="710">
        <v>0.75074905610072906</v>
      </c>
      <c r="F55" s="708">
        <v>0.6051249602329094</v>
      </c>
      <c r="G55" s="711">
        <v>0.26495214146517909</v>
      </c>
      <c r="H55" s="710">
        <v>0.26600000000000001</v>
      </c>
      <c r="I55" s="708">
        <v>0.52</v>
      </c>
      <c r="J55" s="570">
        <v>3.2349999999999999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3.2349999999999999</v>
      </c>
      <c r="N55" s="632">
        <f t="shared" si="240"/>
        <v>4.4512152049401355</v>
      </c>
      <c r="O55" s="629">
        <f t="shared" si="241"/>
        <v>-2.6182039517816409</v>
      </c>
      <c r="P55" s="633">
        <f t="shared" si="242"/>
        <v>-0.97069325800399531</v>
      </c>
      <c r="Q55" s="585">
        <f t="shared" si="113"/>
        <v>329.5359654152856</v>
      </c>
      <c r="R55" s="629">
        <f t="shared" si="410"/>
        <v>5.164136784963703</v>
      </c>
      <c r="S55" s="634">
        <f t="shared" si="411"/>
        <v>-0.97069325800399531</v>
      </c>
      <c r="T55" s="635">
        <f t="shared" si="412"/>
        <v>-2.6182039517816404</v>
      </c>
      <c r="U55" s="629">
        <f t="shared" si="413"/>
        <v>-4.4512152049401355</v>
      </c>
      <c r="V55" s="636">
        <f t="shared" si="414"/>
        <v>-0.97069325800399531</v>
      </c>
      <c r="W55" s="585">
        <f t="shared" si="224"/>
        <v>239.5359654152856</v>
      </c>
      <c r="X55" s="629">
        <f t="shared" si="415"/>
        <v>5.164136784963703</v>
      </c>
      <c r="Y55" s="630">
        <f t="shared" si="223"/>
        <v>-0.97069325800399531</v>
      </c>
      <c r="Z55" s="632">
        <f t="shared" si="243"/>
        <v>-0.75074905610072906</v>
      </c>
      <c r="AA55" s="629">
        <f t="shared" si="244"/>
        <v>-0.6051249602329094</v>
      </c>
      <c r="AB55" s="629">
        <f t="shared" si="245"/>
        <v>-0.26495214146517909</v>
      </c>
      <c r="AC55" s="636">
        <f t="shared" si="416"/>
        <v>1</v>
      </c>
      <c r="AD55" s="637">
        <f t="shared" si="417"/>
        <v>-0.75074905610072906</v>
      </c>
      <c r="AE55" s="629">
        <f t="shared" si="418"/>
        <v>-0.6051249602329094</v>
      </c>
      <c r="AF55" s="633">
        <f t="shared" si="419"/>
        <v>-0.26495214146517909</v>
      </c>
      <c r="AG55" s="602">
        <f t="shared" si="420"/>
        <v>-66.353937415246122</v>
      </c>
      <c r="AH55" s="603">
        <f t="shared" si="421"/>
        <v>138.65530516172791</v>
      </c>
      <c r="AI55" s="585">
        <f t="shared" si="422"/>
        <v>-74.63589094386046</v>
      </c>
      <c r="AJ55" s="586">
        <f t="shared" si="423"/>
        <v>-51.130203947509592</v>
      </c>
      <c r="AK55" s="635">
        <f t="shared" si="424"/>
        <v>0.9022138187591664</v>
      </c>
      <c r="AL55" s="629">
        <f t="shared" si="425"/>
        <v>-0.34030954728455381</v>
      </c>
      <c r="AM55" s="634">
        <f t="shared" si="426"/>
        <v>-0.26495214146517909</v>
      </c>
      <c r="AN55" s="581">
        <f t="shared" si="427"/>
        <v>-52.097024246959705</v>
      </c>
      <c r="AO55" s="582">
        <f>IF(ROUND(IF(M55="",0,DEGREES(ACOS(AK55))),4)=90,0,IF(M55="","",DEGREES(ACOS(AK55))))</f>
        <v>25.549392912956851</v>
      </c>
      <c r="AP55" s="585">
        <f t="shared" si="428"/>
        <v>-20.666169362795177</v>
      </c>
      <c r="AQ55" s="586">
        <f t="shared" si="246"/>
        <v>0.44144483716911753</v>
      </c>
      <c r="AS55" s="52">
        <f t="shared" si="406"/>
        <v>239.5359654152856</v>
      </c>
      <c r="AT55" s="72">
        <f t="shared" si="247"/>
        <v>-0.88703767843127701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3.2349999999999999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3.1349999999999998</v>
      </c>
      <c r="II55" s="734" cm="1">
        <f t="array" ref="II55">IFERROR(ROUND(VALUE(IF($IH55&lt;1,$IH55+LARGE((IF($M$9:$M$150="",0,$M$9:$M$150)-MOD(IF($M$9:$M$150="",0,$M$9:$M$150),1)),1),$IH55)),4),"")</f>
        <v>3.1349999999999998</v>
      </c>
      <c r="IJ55" s="533">
        <f t="shared" si="112"/>
        <v>1613</v>
      </c>
      <c r="IK55" s="533">
        <f t="shared" si="382"/>
        <v>1313</v>
      </c>
      <c r="IL55" s="727">
        <f t="shared" si="225"/>
        <v>13.704997911657074</v>
      </c>
      <c r="IM55" s="759">
        <v>1.02055502128513E-2</v>
      </c>
      <c r="IN55" s="5">
        <f t="shared" si="226"/>
        <v>0.32</v>
      </c>
      <c r="IO55" s="771">
        <v>160</v>
      </c>
      <c r="IP55" s="9">
        <f t="shared" si="227"/>
        <v>-5.1247154561418169</v>
      </c>
      <c r="IQ55" s="5">
        <f t="shared" si="228"/>
        <v>-1.0046030298827382</v>
      </c>
      <c r="IR55" s="5">
        <f t="shared" si="383"/>
        <v>0.314</v>
      </c>
      <c r="IS55" s="5">
        <f t="shared" si="229"/>
        <v>0.30193063543797327</v>
      </c>
      <c r="IT55" s="727">
        <f t="shared" si="230"/>
        <v>59.608509662953267</v>
      </c>
      <c r="IU55" s="9">
        <f t="shared" si="231"/>
        <v>-5.164136784963703</v>
      </c>
      <c r="IV55" s="5">
        <f t="shared" si="232"/>
        <v>-0.97069325800399531</v>
      </c>
      <c r="IW55" s="5">
        <f t="shared" si="384"/>
        <v>0.26600000000000001</v>
      </c>
      <c r="IX55" s="5">
        <f t="shared" si="233"/>
        <v>0.23998887578993827</v>
      </c>
      <c r="IY55" s="762">
        <f t="shared" si="234"/>
        <v>52.097024246959705</v>
      </c>
    </row>
    <row r="56" spans="1:259" ht="15" customHeight="1" x14ac:dyDescent="0.25">
      <c r="A56" s="79"/>
      <c r="B56" s="707">
        <v>4.8557279316844069</v>
      </c>
      <c r="C56" s="708">
        <v>-2.8073029926245288</v>
      </c>
      <c r="D56" s="709">
        <v>-1.5965569142522915</v>
      </c>
      <c r="E56" s="710">
        <v>0.81047679050109234</v>
      </c>
      <c r="F56" s="708">
        <v>0.55455350954721705</v>
      </c>
      <c r="G56" s="711">
        <v>0.1886737318969266</v>
      </c>
      <c r="H56" s="710">
        <v>0.26600000000000001</v>
      </c>
      <c r="I56" s="708">
        <v>0.52</v>
      </c>
      <c r="J56" s="570">
        <v>3.242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3.242</v>
      </c>
      <c r="N56" s="632">
        <f t="shared" si="240"/>
        <v>4.8557279316844069</v>
      </c>
      <c r="O56" s="629">
        <f t="shared" si="241"/>
        <v>-2.8073029926245288</v>
      </c>
      <c r="P56" s="633">
        <f t="shared" si="242"/>
        <v>-1.5965569142522915</v>
      </c>
      <c r="Q56" s="585">
        <f t="shared" si="113"/>
        <v>329.96596535320128</v>
      </c>
      <c r="R56" s="629">
        <f t="shared" si="410"/>
        <v>5.6088362285717315</v>
      </c>
      <c r="S56" s="634">
        <f t="shared" si="411"/>
        <v>-1.5965569142522915</v>
      </c>
      <c r="T56" s="635">
        <f t="shared" si="412"/>
        <v>-2.807302992624527</v>
      </c>
      <c r="U56" s="629">
        <f t="shared" si="413"/>
        <v>-4.8557279316844077</v>
      </c>
      <c r="V56" s="636">
        <f t="shared" si="414"/>
        <v>-1.5965569142522915</v>
      </c>
      <c r="W56" s="585">
        <f t="shared" si="224"/>
        <v>239.96596535320128</v>
      </c>
      <c r="X56" s="629">
        <f t="shared" si="415"/>
        <v>5.6088362285717315</v>
      </c>
      <c r="Y56" s="630">
        <f t="shared" si="223"/>
        <v>-1.5965569142522915</v>
      </c>
      <c r="Z56" s="632">
        <f t="shared" si="243"/>
        <v>-0.81047679050109234</v>
      </c>
      <c r="AA56" s="629">
        <f t="shared" si="244"/>
        <v>-0.55455350954721705</v>
      </c>
      <c r="AB56" s="629">
        <f t="shared" si="245"/>
        <v>-0.1886737318969266</v>
      </c>
      <c r="AC56" s="636">
        <f t="shared" si="416"/>
        <v>1</v>
      </c>
      <c r="AD56" s="637">
        <f t="shared" si="417"/>
        <v>-0.81047679050109234</v>
      </c>
      <c r="AE56" s="629">
        <f t="shared" si="418"/>
        <v>-0.55455350954721705</v>
      </c>
      <c r="AF56" s="633">
        <f t="shared" si="419"/>
        <v>-0.1886737318969266</v>
      </c>
      <c r="AG56" s="602">
        <f t="shared" si="420"/>
        <v>-71.210341103097505</v>
      </c>
      <c r="AH56" s="603">
        <f t="shared" si="421"/>
        <v>144.14254132507463</v>
      </c>
      <c r="AI56" s="585">
        <f t="shared" si="422"/>
        <v>-79.124605176566348</v>
      </c>
      <c r="AJ56" s="586">
        <f t="shared" si="423"/>
        <v>-55.618848347170378</v>
      </c>
      <c r="AK56" s="635">
        <f t="shared" si="424"/>
        <v>0.88574789544417876</v>
      </c>
      <c r="AL56" s="629">
        <f t="shared" si="425"/>
        <v>-0.42409066083597619</v>
      </c>
      <c r="AM56" s="634">
        <f t="shared" si="426"/>
        <v>-0.1886737318969266</v>
      </c>
      <c r="AN56" s="581">
        <f t="shared" si="427"/>
        <v>-66.016192714037757</v>
      </c>
      <c r="AO56" s="582">
        <f t="shared" ref="AO56:AO119" si="461">IF(ROUND(IF(M56="",0,DEGREES(ACOS(AK56))),4)=90,0,IF(M56="","",DEGREES(ACOS(AK56))))</f>
        <v>27.656301469610987</v>
      </c>
      <c r="AP56" s="585">
        <f t="shared" si="428"/>
        <v>-25.584813700371665</v>
      </c>
      <c r="AQ56" s="586">
        <f t="shared" si="246"/>
        <v>0.40644588263685133</v>
      </c>
      <c r="AS56" s="52">
        <f t="shared" si="406"/>
        <v>239.96596535320128</v>
      </c>
      <c r="AT56" s="72">
        <f t="shared" si="247"/>
        <v>-1.5131999457475702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3.242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3.1419999999999999</v>
      </c>
      <c r="II56" s="734" cm="1">
        <f t="array" ref="II56">IFERROR(ROUND(VALUE(IF($IH56&lt;1,$IH56+LARGE((IF($M$9:$M$150="",0,$M$9:$M$150)-MOD(IF($M$9:$M$150="",0,$M$9:$M$150),1)),1),$IH56)),4),"")</f>
        <v>3.1419999999999999</v>
      </c>
      <c r="IJ56" s="533">
        <f t="shared" si="112"/>
        <v>1613</v>
      </c>
      <c r="IK56" s="533">
        <f t="shared" si="382"/>
        <v>1313</v>
      </c>
      <c r="IL56" s="727">
        <f t="shared" si="225"/>
        <v>12.798997973741393</v>
      </c>
      <c r="IM56" s="759">
        <v>7.0128674425339998E-3</v>
      </c>
      <c r="IN56" s="5">
        <f t="shared" si="226"/>
        <v>0.3</v>
      </c>
      <c r="IO56" s="771">
        <v>150</v>
      </c>
      <c r="IP56" s="9">
        <f t="shared" si="227"/>
        <v>-5.5587167650897635</v>
      </c>
      <c r="IQ56" s="5">
        <f t="shared" si="228"/>
        <v>-1.6219048916651531</v>
      </c>
      <c r="IR56" s="5">
        <f t="shared" si="383"/>
        <v>0.314</v>
      </c>
      <c r="IS56" s="5">
        <f t="shared" si="229"/>
        <v>0.29850746710799686</v>
      </c>
      <c r="IT56" s="727">
        <f t="shared" si="230"/>
        <v>72.968341110441941</v>
      </c>
      <c r="IU56" s="9">
        <f t="shared" si="231"/>
        <v>-5.6088362285717315</v>
      </c>
      <c r="IV56" s="5">
        <f t="shared" si="232"/>
        <v>-1.5965569142522915</v>
      </c>
      <c r="IW56" s="5">
        <f t="shared" si="384"/>
        <v>0.26600000000000001</v>
      </c>
      <c r="IX56" s="5">
        <f t="shared" si="233"/>
        <v>0.23560894018815159</v>
      </c>
      <c r="IY56" s="762">
        <f t="shared" si="234"/>
        <v>66.016192714037757</v>
      </c>
    </row>
    <row r="57" spans="1:259" ht="15" customHeight="1" x14ac:dyDescent="0.25">
      <c r="A57" s="79"/>
      <c r="B57" s="707">
        <v>5.0880552899626261</v>
      </c>
      <c r="C57" s="708">
        <v>-2.9212770335725322</v>
      </c>
      <c r="D57" s="709">
        <v>-2.320045372987829</v>
      </c>
      <c r="E57" s="710">
        <v>0.85447355781771051</v>
      </c>
      <c r="F57" s="708">
        <v>0.51111379864566442</v>
      </c>
      <c r="G57" s="711">
        <v>9.2938817640118507E-2</v>
      </c>
      <c r="H57" s="710">
        <v>0.26600000000000001</v>
      </c>
      <c r="I57" s="708">
        <v>0.52</v>
      </c>
      <c r="J57" s="570">
        <v>3.2490000000000001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3.2490000000000001</v>
      </c>
      <c r="N57" s="632">
        <f t="shared" si="240"/>
        <v>5.0880552899626261</v>
      </c>
      <c r="O57" s="629">
        <f t="shared" si="241"/>
        <v>-2.9212770335725322</v>
      </c>
      <c r="P57" s="633">
        <f t="shared" si="242"/>
        <v>-2.320045372987829</v>
      </c>
      <c r="Q57" s="585">
        <f t="shared" si="113"/>
        <v>330.1379653283675</v>
      </c>
      <c r="R57" s="629">
        <f t="shared" si="410"/>
        <v>5.8670406629403038</v>
      </c>
      <c r="S57" s="634">
        <f t="shared" si="411"/>
        <v>-2.320045372987829</v>
      </c>
      <c r="T57" s="635">
        <f t="shared" si="412"/>
        <v>-2.9212770335725362</v>
      </c>
      <c r="U57" s="629">
        <f t="shared" si="413"/>
        <v>-5.0880552899626244</v>
      </c>
      <c r="V57" s="636">
        <f t="shared" si="414"/>
        <v>-2.320045372987829</v>
      </c>
      <c r="W57" s="585">
        <f t="shared" si="224"/>
        <v>240.1379653283675</v>
      </c>
      <c r="X57" s="629">
        <f t="shared" si="415"/>
        <v>5.8670406629403038</v>
      </c>
      <c r="Y57" s="630">
        <f t="shared" si="223"/>
        <v>-2.320045372987829</v>
      </c>
      <c r="Z57" s="632">
        <f t="shared" si="243"/>
        <v>-0.85447355781771051</v>
      </c>
      <c r="AA57" s="629">
        <f t="shared" si="244"/>
        <v>-0.51111379864566442</v>
      </c>
      <c r="AB57" s="629">
        <f t="shared" si="245"/>
        <v>-9.2938817640118507E-2</v>
      </c>
      <c r="AC57" s="636">
        <f t="shared" si="416"/>
        <v>1</v>
      </c>
      <c r="AD57" s="637">
        <f t="shared" si="417"/>
        <v>-0.85447355781771051</v>
      </c>
      <c r="AE57" s="629">
        <f t="shared" si="418"/>
        <v>-0.51111379864566442</v>
      </c>
      <c r="AF57" s="633">
        <f t="shared" si="419"/>
        <v>-9.2938817640118507E-2</v>
      </c>
      <c r="AG57" s="602">
        <f t="shared" si="420"/>
        <v>-79.694173006548979</v>
      </c>
      <c r="AH57" s="603">
        <f t="shared" si="421"/>
        <v>148.70162429801087</v>
      </c>
      <c r="AI57" s="585">
        <f t="shared" si="422"/>
        <v>-84.667302151352686</v>
      </c>
      <c r="AJ57" s="586">
        <f t="shared" si="423"/>
        <v>-59.113730618998105</v>
      </c>
      <c r="AK57" s="635">
        <f t="shared" si="424"/>
        <v>0.86870528772943589</v>
      </c>
      <c r="AL57" s="629">
        <f t="shared" si="425"/>
        <v>-0.4865321153290656</v>
      </c>
      <c r="AM57" s="634">
        <f t="shared" si="426"/>
        <v>-9.2938817640118507E-2</v>
      </c>
      <c r="AN57" s="581">
        <f t="shared" si="427"/>
        <v>-79.185472937051685</v>
      </c>
      <c r="AO57" s="582">
        <f t="shared" si="461"/>
        <v>29.691467602911821</v>
      </c>
      <c r="AP57" s="585">
        <f t="shared" si="428"/>
        <v>-29.25169594736558</v>
      </c>
      <c r="AQ57" s="586">
        <f t="shared" si="246"/>
        <v>0.38855903924525714</v>
      </c>
      <c r="AS57" s="52">
        <f t="shared" si="406"/>
        <v>240.1379653283675</v>
      </c>
      <c r="AT57" s="72">
        <f t="shared" si="247"/>
        <v>-2.2368078489103063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3.2490000000000001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3.149</v>
      </c>
      <c r="II57" s="734" cm="1">
        <f t="array" ref="II57">IFERROR(ROUND(VALUE(IF($IH57&lt;1,$IH57+LARGE((IF($M$9:$M$150="",0,$M$9:$M$150)-MOD(IF($M$9:$M$150="",0,$M$9:$M$150),1)),1),$IH57)),4),"")</f>
        <v>3.149</v>
      </c>
      <c r="IJ57" s="533">
        <f t="shared" si="112"/>
        <v>1613</v>
      </c>
      <c r="IK57" s="533">
        <f t="shared" si="382"/>
        <v>1313</v>
      </c>
      <c r="IL57" s="727">
        <f t="shared" si="225"/>
        <v>12.342997998575129</v>
      </c>
      <c r="IM57" s="759">
        <v>4.0022176421394299E-3</v>
      </c>
      <c r="IN57" s="5">
        <f t="shared" si="226"/>
        <v>0.26</v>
      </c>
      <c r="IO57" s="771">
        <v>130</v>
      </c>
      <c r="IP57" s="9">
        <f t="shared" si="227"/>
        <v>-5.8086175187904381</v>
      </c>
      <c r="IQ57" s="5">
        <f t="shared" si="228"/>
        <v>-2.3339070390636305</v>
      </c>
      <c r="IR57" s="5">
        <f t="shared" si="383"/>
        <v>0.314</v>
      </c>
      <c r="IS57" s="5">
        <f t="shared" si="229"/>
        <v>0.29488515452804342</v>
      </c>
      <c r="IT57" s="727">
        <f t="shared" si="230"/>
        <v>85.379713317319116</v>
      </c>
      <c r="IU57" s="9">
        <f t="shared" si="231"/>
        <v>-5.8670406629403038</v>
      </c>
      <c r="IV57" s="5">
        <f t="shared" si="232"/>
        <v>-2.320045372987829</v>
      </c>
      <c r="IW57" s="5">
        <f t="shared" si="384"/>
        <v>0.26600000000000001</v>
      </c>
      <c r="IX57" s="5">
        <f t="shared" si="233"/>
        <v>0.23107560653602996</v>
      </c>
      <c r="IY57" s="762">
        <f t="shared" si="234"/>
        <v>79.185472937051685</v>
      </c>
    </row>
    <row r="58" spans="1:259" ht="15" customHeight="1" x14ac:dyDescent="0.25">
      <c r="A58" s="79"/>
      <c r="B58" s="707">
        <v>4.9886379471911972</v>
      </c>
      <c r="C58" s="708">
        <v>-3.1501572400042179</v>
      </c>
      <c r="D58" s="709">
        <v>-3.150900000000016</v>
      </c>
      <c r="E58" s="710">
        <v>0.84553198620391967</v>
      </c>
      <c r="F58" s="708">
        <v>-0.5339247702682498</v>
      </c>
      <c r="G58" s="711">
        <v>2.2679489676580927E-7</v>
      </c>
      <c r="H58" s="710">
        <v>0.25700000000000001</v>
      </c>
      <c r="I58" s="708">
        <v>0.41499999999999992</v>
      </c>
      <c r="J58" s="570">
        <v>3.2559999999999998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CPS-32193r1</v>
      </c>
      <c r="L58" s="320"/>
      <c r="M58" s="168">
        <f t="shared" si="239"/>
        <v>3.2559999999999998</v>
      </c>
      <c r="N58" s="632">
        <f t="shared" si="240"/>
        <v>4.9886379471911972</v>
      </c>
      <c r="O58" s="629">
        <f t="shared" si="241"/>
        <v>-3.1501572400042179</v>
      </c>
      <c r="P58" s="633">
        <f t="shared" si="242"/>
        <v>-3.150900000000016</v>
      </c>
      <c r="Q58" s="585">
        <f t="shared" si="113"/>
        <v>327.72896567618392</v>
      </c>
      <c r="R58" s="629">
        <f t="shared" si="410"/>
        <v>5.8999999326192363</v>
      </c>
      <c r="S58" s="634">
        <f t="shared" si="411"/>
        <v>-3.150900000000016</v>
      </c>
      <c r="T58" s="635">
        <f t="shared" si="412"/>
        <v>-3.1501572400042175</v>
      </c>
      <c r="U58" s="629">
        <f t="shared" si="413"/>
        <v>-4.9886379471911972</v>
      </c>
      <c r="V58" s="636">
        <f t="shared" si="414"/>
        <v>-3.150900000000016</v>
      </c>
      <c r="W58" s="585">
        <f t="shared" si="224"/>
        <v>237.72896567618392</v>
      </c>
      <c r="X58" s="629">
        <f t="shared" si="415"/>
        <v>5.8999999326192363</v>
      </c>
      <c r="Y58" s="630">
        <f t="shared" si="223"/>
        <v>-3.150900000000016</v>
      </c>
      <c r="Z58" s="632">
        <f t="shared" si="243"/>
        <v>-0.84553198620391967</v>
      </c>
      <c r="AA58" s="629">
        <f t="shared" si="244"/>
        <v>0.5339247702682498</v>
      </c>
      <c r="AB58" s="629">
        <f t="shared" si="245"/>
        <v>-2.2679489676580927E-7</v>
      </c>
      <c r="AC58" s="636">
        <f t="shared" si="416"/>
        <v>1</v>
      </c>
      <c r="AD58" s="637">
        <f t="shared" si="417"/>
        <v>-0.84553198620391967</v>
      </c>
      <c r="AE58" s="629">
        <f t="shared" si="418"/>
        <v>0.5339247702682498</v>
      </c>
      <c r="AF58" s="633">
        <f t="shared" si="419"/>
        <v>-2.2679489676580927E-7</v>
      </c>
      <c r="AG58" s="602">
        <f t="shared" si="420"/>
        <v>89.999975662506927</v>
      </c>
      <c r="AH58" s="603">
        <f t="shared" si="421"/>
        <v>147.72897867057213</v>
      </c>
      <c r="AI58" s="585">
        <f t="shared" si="422"/>
        <v>-89.999987005609597</v>
      </c>
      <c r="AJ58" s="586">
        <f t="shared" si="423"/>
        <v>-122.27102132942554</v>
      </c>
      <c r="AK58" s="635">
        <f t="shared" si="424"/>
        <v>2.2679489924959384E-7</v>
      </c>
      <c r="AL58" s="629">
        <f t="shared" si="425"/>
        <v>-0.99999999999994871</v>
      </c>
      <c r="AM58" s="634">
        <f t="shared" si="426"/>
        <v>-2.2679489676580927E-7</v>
      </c>
      <c r="AN58" s="581">
        <f t="shared" si="427"/>
        <v>-89.999987005609611</v>
      </c>
      <c r="AO58" s="582">
        <f t="shared" si="461"/>
        <v>0</v>
      </c>
      <c r="AP58" s="585">
        <f t="shared" si="428"/>
        <v>-89.999987005609469</v>
      </c>
      <c r="AQ58" s="586">
        <f t="shared" si="246"/>
        <v>0.38638849128955732</v>
      </c>
      <c r="AS58" s="52">
        <f t="shared" si="406"/>
        <v>237.72896567618392</v>
      </c>
      <c r="AT58" s="72">
        <f t="shared" si="247"/>
        <v>-3.0659895594973658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>Gage</v>
      </c>
      <c r="IG58" s="847">
        <f t="shared" si="210"/>
        <v>3.2559999999999998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3.1560000000000001</v>
      </c>
      <c r="II58" s="734" cm="1">
        <f t="array" ref="II58">IFERROR(ROUND(VALUE(IF($IH58&lt;1,$IH58+LARGE((IF($M$9:$M$150="",0,$M$9:$M$150)-MOD(IF($M$9:$M$150="",0,$M$9:$M$150),1)),1),$IH58)),4),"")</f>
        <v>3.1560000000000001</v>
      </c>
      <c r="IJ58" s="533">
        <f t="shared" si="112"/>
        <v>1613</v>
      </c>
      <c r="IK58" s="533" t="str">
        <f t="shared" si="382"/>
        <v>CPS-32193r1</v>
      </c>
      <c r="IL58" s="727">
        <f t="shared" si="225"/>
        <v>13.62799803235049</v>
      </c>
      <c r="IM58" s="759">
        <v>1.5418536433604201E-4</v>
      </c>
      <c r="IN58" s="5">
        <f t="shared" si="226"/>
        <v>0</v>
      </c>
      <c r="IO58" s="771">
        <v>0</v>
      </c>
      <c r="IP58" s="9">
        <f t="shared" si="227"/>
        <v>-5.9156178415025309</v>
      </c>
      <c r="IQ58" s="5">
        <f t="shared" si="228"/>
        <v>-3.1107999999999989</v>
      </c>
      <c r="IR58" s="5">
        <f t="shared" si="383"/>
        <v>0.314</v>
      </c>
      <c r="IS58" s="5">
        <f t="shared" si="229"/>
        <v>0.24053797548393507</v>
      </c>
      <c r="IT58" s="727">
        <f t="shared" si="230"/>
        <v>89.999987005609611</v>
      </c>
      <c r="IU58" s="9">
        <f t="shared" si="231"/>
        <v>-5.8999999326192363</v>
      </c>
      <c r="IV58" s="5">
        <f t="shared" si="232"/>
        <v>-3.150900000000016</v>
      </c>
      <c r="IW58" s="5">
        <f t="shared" si="384"/>
        <v>0.25700000000000001</v>
      </c>
      <c r="IX58" s="5">
        <f t="shared" si="233"/>
        <v>0.25700000000000001</v>
      </c>
      <c r="IY58" s="762">
        <f t="shared" si="234"/>
        <v>89.999987005609611</v>
      </c>
    </row>
    <row r="59" spans="1:259" ht="15" customHeight="1" x14ac:dyDescent="0.25">
      <c r="A59" s="79"/>
      <c r="B59" s="707">
        <v>0.82426701505513789</v>
      </c>
      <c r="C59" s="708">
        <v>-2.8745660523370891</v>
      </c>
      <c r="D59" s="709">
        <v>-0.132800400526008</v>
      </c>
      <c r="E59" s="710">
        <v>0.93000200427738955</v>
      </c>
      <c r="F59" s="708">
        <v>0.26051336174394507</v>
      </c>
      <c r="G59" s="711">
        <v>0.25928567332752295</v>
      </c>
      <c r="H59" s="710">
        <v>0.314</v>
      </c>
      <c r="I59" s="708">
        <v>0.52</v>
      </c>
      <c r="J59" s="570">
        <v>4.1130000000000004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4.1130000000000004</v>
      </c>
      <c r="N59" s="632">
        <f t="shared" si="240"/>
        <v>0.82426701505513789</v>
      </c>
      <c r="O59" s="629">
        <f t="shared" si="241"/>
        <v>-2.8745660523370891</v>
      </c>
      <c r="P59" s="633">
        <f t="shared" si="242"/>
        <v>-0.132800400526008</v>
      </c>
      <c r="Q59" s="585">
        <f t="shared" si="113"/>
        <v>285.99997170110538</v>
      </c>
      <c r="R59" s="629">
        <f t="shared" si="79"/>
        <v>2.9904090190736023</v>
      </c>
      <c r="S59" s="634">
        <f t="shared" si="80"/>
        <v>-0.132800400526008</v>
      </c>
      <c r="T59" s="635">
        <f t="shared" si="81"/>
        <v>-2.8745660523370891</v>
      </c>
      <c r="U59" s="629">
        <f t="shared" si="82"/>
        <v>-0.824267015055138</v>
      </c>
      <c r="V59" s="636">
        <f t="shared" si="114"/>
        <v>-0.132800400526008</v>
      </c>
      <c r="W59" s="585">
        <f t="shared" si="224"/>
        <v>195.99997170110538</v>
      </c>
      <c r="X59" s="629">
        <f t="shared" si="83"/>
        <v>2.9904090190736023</v>
      </c>
      <c r="Y59" s="630">
        <f t="shared" si="223"/>
        <v>-0.132800400526008</v>
      </c>
      <c r="Z59" s="632">
        <f t="shared" si="243"/>
        <v>-0.93000200427738955</v>
      </c>
      <c r="AA59" s="629">
        <f t="shared" si="244"/>
        <v>-0.26051336174394507</v>
      </c>
      <c r="AB59" s="629">
        <f t="shared" si="245"/>
        <v>-0.25928567332752295</v>
      </c>
      <c r="AC59" s="636">
        <f t="shared" si="84"/>
        <v>1</v>
      </c>
      <c r="AD59" s="637">
        <f t="shared" si="115"/>
        <v>-0.93000200427738955</v>
      </c>
      <c r="AE59" s="629">
        <f t="shared" si="85"/>
        <v>-0.26051336174394507</v>
      </c>
      <c r="AF59" s="633">
        <f t="shared" si="86"/>
        <v>-0.25928567332752295</v>
      </c>
      <c r="AG59" s="602">
        <f t="shared" si="87"/>
        <v>-45.135323902655415</v>
      </c>
      <c r="AH59" s="603">
        <f t="shared" si="88"/>
        <v>158.43512741695312</v>
      </c>
      <c r="AI59" s="585">
        <f t="shared" si="89"/>
        <v>-74.97231924147988</v>
      </c>
      <c r="AJ59" s="586">
        <f t="shared" si="90"/>
        <v>-74.351309530012216</v>
      </c>
      <c r="AK59" s="635">
        <f t="shared" si="211"/>
        <v>0.96578252096851824</v>
      </c>
      <c r="AL59" s="629">
        <f t="shared" si="91"/>
        <v>-5.9213004303835803E-3</v>
      </c>
      <c r="AM59" s="634">
        <f t="shared" si="92"/>
        <v>-0.25928567332752295</v>
      </c>
      <c r="AN59" s="581">
        <f t="shared" si="93"/>
        <v>-1.3082348871302192</v>
      </c>
      <c r="AO59" s="582">
        <f t="shared" si="461"/>
        <v>15.03169134858326</v>
      </c>
      <c r="AP59" s="585">
        <f t="shared" si="95"/>
        <v>-0.35128123111758081</v>
      </c>
      <c r="AQ59" s="586">
        <f t="shared" si="246"/>
        <v>0.76230111039860049</v>
      </c>
      <c r="AS59" s="52">
        <f t="shared" si="406"/>
        <v>195.99997170110538</v>
      </c>
      <c r="AT59" s="72">
        <f t="shared" si="247"/>
        <v>-1.8911491985108955E-2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4.1130000000000004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1.0313536283546711</v>
      </c>
      <c r="C60" s="708">
        <v>-3.5967642449269945</v>
      </c>
      <c r="D60" s="709">
        <v>-0.20280061164664467</v>
      </c>
      <c r="E60" s="710">
        <v>0.95425555672956919</v>
      </c>
      <c r="F60" s="708">
        <v>0.17245628827437551</v>
      </c>
      <c r="G60" s="711">
        <v>0.24424406049147956</v>
      </c>
      <c r="H60" s="710">
        <v>0.314</v>
      </c>
      <c r="I60" s="708">
        <v>0.52</v>
      </c>
      <c r="J60" s="570">
        <v>4.12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4.12</v>
      </c>
      <c r="N60" s="632">
        <f t="shared" si="240"/>
        <v>1.0313536283546711</v>
      </c>
      <c r="O60" s="629">
        <f t="shared" si="241"/>
        <v>-3.5967642449269945</v>
      </c>
      <c r="P60" s="633">
        <f t="shared" si="242"/>
        <v>-0.20280061164664467</v>
      </c>
      <c r="Q60" s="585">
        <f t="shared" si="113"/>
        <v>285.99997170110538</v>
      </c>
      <c r="R60" s="629">
        <f t="shared" si="79"/>
        <v>3.7417112850012355</v>
      </c>
      <c r="S60" s="634">
        <f t="shared" si="80"/>
        <v>-0.20280061164664467</v>
      </c>
      <c r="T60" s="635">
        <f t="shared" si="81"/>
        <v>-3.5967642449269941</v>
      </c>
      <c r="U60" s="629">
        <f t="shared" si="82"/>
        <v>-1.0313536283546714</v>
      </c>
      <c r="V60" s="636">
        <f t="shared" si="114"/>
        <v>-0.20280061164664467</v>
      </c>
      <c r="W60" s="585">
        <f t="shared" si="224"/>
        <v>195.99997170110538</v>
      </c>
      <c r="X60" s="629">
        <f t="shared" si="83"/>
        <v>3.7417112850012355</v>
      </c>
      <c r="Y60" s="630">
        <f t="shared" si="223"/>
        <v>-0.20280061164664467</v>
      </c>
      <c r="Z60" s="632">
        <f t="shared" si="243"/>
        <v>-0.95425555672956919</v>
      </c>
      <c r="AA60" s="629">
        <f t="shared" si="244"/>
        <v>-0.17245628827437551</v>
      </c>
      <c r="AB60" s="629">
        <f t="shared" si="245"/>
        <v>-0.24424406049147956</v>
      </c>
      <c r="AC60" s="636">
        <f t="shared" si="84"/>
        <v>1</v>
      </c>
      <c r="AD60" s="637">
        <f t="shared" si="115"/>
        <v>-0.95425555672956919</v>
      </c>
      <c r="AE60" s="629">
        <f t="shared" si="85"/>
        <v>-0.17245628827437551</v>
      </c>
      <c r="AF60" s="633">
        <f t="shared" si="86"/>
        <v>-0.24424406049147956</v>
      </c>
      <c r="AG60" s="602">
        <f t="shared" si="87"/>
        <v>-35.225219741335486</v>
      </c>
      <c r="AH60" s="603">
        <f t="shared" si="88"/>
        <v>162.60291794054882</v>
      </c>
      <c r="AI60" s="585">
        <f t="shared" si="89"/>
        <v>-75.862835534755064</v>
      </c>
      <c r="AJ60" s="586">
        <f t="shared" si="90"/>
        <v>-79.755885530302237</v>
      </c>
      <c r="AK60" s="635">
        <f t="shared" si="211"/>
        <v>0.96482475814832447</v>
      </c>
      <c r="AL60" s="629">
        <f t="shared" si="91"/>
        <v>-9.7252377753253544E-2</v>
      </c>
      <c r="AM60" s="634">
        <f t="shared" si="92"/>
        <v>-0.24424406049147956</v>
      </c>
      <c r="AN60" s="581">
        <f t="shared" si="93"/>
        <v>-21.711311762660156</v>
      </c>
      <c r="AO60" s="582">
        <f t="shared" si="461"/>
        <v>15.241843596804678</v>
      </c>
      <c r="AP60" s="585">
        <f t="shared" si="95"/>
        <v>-5.7558572314076146</v>
      </c>
      <c r="AQ60" s="586">
        <f t="shared" si="246"/>
        <v>0.6092508306626192</v>
      </c>
      <c r="AS60" s="52">
        <f t="shared" si="406"/>
        <v>195.99997170110538</v>
      </c>
      <c r="AT60" s="72">
        <f t="shared" si="247"/>
        <v>-8.8911703105745629E-2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1.1825291206572213</v>
      </c>
      <c r="C61" s="708">
        <v>-4.2855562751274077</v>
      </c>
      <c r="D61" s="709">
        <v>-0.47430143049311463</v>
      </c>
      <c r="E61" s="710">
        <v>0.97462616052336037</v>
      </c>
      <c r="F61" s="708">
        <v>8.9672692319225436E-2</v>
      </c>
      <c r="G61" s="711">
        <v>0.20509182205957077</v>
      </c>
      <c r="H61" s="710">
        <v>0.314</v>
      </c>
      <c r="I61" s="708">
        <v>0.52</v>
      </c>
      <c r="J61" s="570">
        <v>4.1269999999999998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4.1269999999999998</v>
      </c>
      <c r="N61" s="632">
        <f t="shared" si="240"/>
        <v>1.1825291206572213</v>
      </c>
      <c r="O61" s="629">
        <f t="shared" si="241"/>
        <v>-4.2855562751274077</v>
      </c>
      <c r="P61" s="633">
        <f t="shared" si="242"/>
        <v>-0.47430143049311463</v>
      </c>
      <c r="Q61" s="585">
        <f t="shared" si="113"/>
        <v>285.42597170110537</v>
      </c>
      <c r="R61" s="629">
        <f t="shared" si="79"/>
        <v>4.4457134082716401</v>
      </c>
      <c r="S61" s="634">
        <f t="shared" si="80"/>
        <v>-0.47430143049311463</v>
      </c>
      <c r="T61" s="635">
        <f t="shared" si="81"/>
        <v>-4.2855562751274077</v>
      </c>
      <c r="U61" s="629">
        <f t="shared" si="82"/>
        <v>-1.1825291206572206</v>
      </c>
      <c r="V61" s="636">
        <f t="shared" si="114"/>
        <v>-0.47430143049311463</v>
      </c>
      <c r="W61" s="585">
        <f t="shared" si="224"/>
        <v>195.42597170110537</v>
      </c>
      <c r="X61" s="629">
        <f t="shared" si="83"/>
        <v>4.4457134082716401</v>
      </c>
      <c r="Y61" s="630">
        <f t="shared" si="223"/>
        <v>-0.47430143049311463</v>
      </c>
      <c r="Z61" s="632">
        <f t="shared" si="243"/>
        <v>-0.97462616052336037</v>
      </c>
      <c r="AA61" s="629">
        <f t="shared" si="244"/>
        <v>-8.9672692319225436E-2</v>
      </c>
      <c r="AB61" s="629">
        <f t="shared" si="245"/>
        <v>-0.20509182205957077</v>
      </c>
      <c r="AC61" s="636">
        <f t="shared" si="84"/>
        <v>1</v>
      </c>
      <c r="AD61" s="637">
        <f t="shared" si="115"/>
        <v>-0.97462616052336037</v>
      </c>
      <c r="AE61" s="629">
        <f t="shared" si="85"/>
        <v>-8.9672692319225436E-2</v>
      </c>
      <c r="AF61" s="633">
        <f t="shared" si="86"/>
        <v>-0.20509182205957077</v>
      </c>
      <c r="AG61" s="602">
        <f t="shared" si="87"/>
        <v>-23.616484535125402</v>
      </c>
      <c r="AH61" s="603">
        <f t="shared" si="88"/>
        <v>167.06539007232331</v>
      </c>
      <c r="AI61" s="585">
        <f t="shared" si="89"/>
        <v>-78.165125723920596</v>
      </c>
      <c r="AJ61" s="586">
        <f t="shared" si="90"/>
        <v>-84.743172013417578</v>
      </c>
      <c r="AK61" s="635">
        <f t="shared" si="211"/>
        <v>0.96336750366337365</v>
      </c>
      <c r="AL61" s="629">
        <f t="shared" si="91"/>
        <v>-0.17280161286771972</v>
      </c>
      <c r="AM61" s="634">
        <f t="shared" si="92"/>
        <v>-0.20509182205957077</v>
      </c>
      <c r="AN61" s="581">
        <f t="shared" si="93"/>
        <v>-40.116058032017918</v>
      </c>
      <c r="AO61" s="582">
        <f t="shared" si="461"/>
        <v>15.556276606679248</v>
      </c>
      <c r="AP61" s="585">
        <f t="shared" si="95"/>
        <v>-10.169143714522933</v>
      </c>
      <c r="AQ61" s="586">
        <f t="shared" si="246"/>
        <v>0.51277839036069872</v>
      </c>
      <c r="AS61" s="52">
        <f t="shared" si="406"/>
        <v>195.42597170110537</v>
      </c>
      <c r="AT61" s="72">
        <f t="shared" si="247"/>
        <v>-0.36001391084110446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4.1269999999999998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1.2916385098036998</v>
      </c>
      <c r="C62" s="708">
        <v>-4.8814202969234364</v>
      </c>
      <c r="D62" s="709">
        <v>-0.92700279584043166</v>
      </c>
      <c r="E62" s="710">
        <v>0.98869349654271588</v>
      </c>
      <c r="F62" s="708">
        <v>2.3382112746645048E-2</v>
      </c>
      <c r="G62" s="711">
        <v>0.14811632826141102</v>
      </c>
      <c r="H62" s="710">
        <v>0.314</v>
      </c>
      <c r="I62" s="708">
        <v>0.52</v>
      </c>
      <c r="J62" s="570">
        <v>4.1340000000000003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4.1340000000000003</v>
      </c>
      <c r="N62" s="632">
        <f t="shared" si="240"/>
        <v>1.2916385098036998</v>
      </c>
      <c r="O62" s="629">
        <f t="shared" si="241"/>
        <v>-4.8814202969234364</v>
      </c>
      <c r="P62" s="633">
        <f t="shared" si="242"/>
        <v>-0.92700279584043166</v>
      </c>
      <c r="Q62" s="585">
        <f t="shared" si="113"/>
        <v>284.82097170110535</v>
      </c>
      <c r="R62" s="629">
        <f t="shared" si="79"/>
        <v>5.0494152290363301</v>
      </c>
      <c r="S62" s="634">
        <f t="shared" si="80"/>
        <v>-0.92700279584043166</v>
      </c>
      <c r="T62" s="635">
        <f t="shared" si="81"/>
        <v>-4.8814202969234373</v>
      </c>
      <c r="U62" s="629">
        <f t="shared" si="82"/>
        <v>-1.2916385098036982</v>
      </c>
      <c r="V62" s="636">
        <f t="shared" si="114"/>
        <v>-0.92700279584043166</v>
      </c>
      <c r="W62" s="585">
        <f t="shared" si="224"/>
        <v>194.82097170110535</v>
      </c>
      <c r="X62" s="629">
        <f t="shared" si="83"/>
        <v>5.0494152290363301</v>
      </c>
      <c r="Y62" s="630">
        <f t="shared" si="223"/>
        <v>-0.92700279584043166</v>
      </c>
      <c r="Z62" s="632">
        <f t="shared" si="243"/>
        <v>-0.98869349654271588</v>
      </c>
      <c r="AA62" s="629">
        <f t="shared" si="244"/>
        <v>-2.3382112746645048E-2</v>
      </c>
      <c r="AB62" s="629">
        <f t="shared" si="245"/>
        <v>-0.14811632826141102</v>
      </c>
      <c r="AC62" s="636">
        <f t="shared" si="84"/>
        <v>1</v>
      </c>
      <c r="AD62" s="637">
        <f t="shared" si="115"/>
        <v>-0.98869349654271588</v>
      </c>
      <c r="AE62" s="629">
        <f t="shared" si="85"/>
        <v>-2.3382112746645048E-2</v>
      </c>
      <c r="AF62" s="633">
        <f t="shared" si="86"/>
        <v>-0.14811632826141102</v>
      </c>
      <c r="AG62" s="602">
        <f t="shared" si="87"/>
        <v>-8.9708618171778269</v>
      </c>
      <c r="AH62" s="603">
        <f t="shared" si="88"/>
        <v>171.37593865607511</v>
      </c>
      <c r="AI62" s="585">
        <f t="shared" si="89"/>
        <v>-81.482219229185958</v>
      </c>
      <c r="AJ62" s="586">
        <f t="shared" si="90"/>
        <v>-88.645235655666824</v>
      </c>
      <c r="AK62" s="635">
        <f t="shared" si="211"/>
        <v>0.96178062576382595</v>
      </c>
      <c r="AL62" s="629">
        <f t="shared" si="91"/>
        <v>-0.23030323751024773</v>
      </c>
      <c r="AM62" s="634">
        <f t="shared" si="92"/>
        <v>-0.14811632826141102</v>
      </c>
      <c r="AN62" s="581">
        <f t="shared" si="93"/>
        <v>-57.253465444971674</v>
      </c>
      <c r="AO62" s="582">
        <f t="shared" si="461"/>
        <v>15.891775341922465</v>
      </c>
      <c r="AP62" s="585">
        <f t="shared" si="95"/>
        <v>-13.466207356772177</v>
      </c>
      <c r="AQ62" s="586">
        <f t="shared" si="246"/>
        <v>0.45147395208694563</v>
      </c>
      <c r="AS62" s="52">
        <f t="shared" si="406"/>
        <v>194.82097170110535</v>
      </c>
      <c r="AT62" s="72">
        <f t="shared" si="247"/>
        <v>-0.81229513729953262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4.1340000000000003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1.4086765871809517</v>
      </c>
      <c r="C63" s="708">
        <v>-5.3241118053856606</v>
      </c>
      <c r="D63" s="709">
        <v>-1.5267046045410873</v>
      </c>
      <c r="E63" s="710">
        <v>0.99402127582091937</v>
      </c>
      <c r="F63" s="708">
        <v>-3.9604524072622688E-2</v>
      </c>
      <c r="G63" s="711">
        <v>0.10175060141509168</v>
      </c>
      <c r="H63" s="710">
        <v>0.314</v>
      </c>
      <c r="I63" s="708">
        <v>0.52</v>
      </c>
      <c r="J63" s="570">
        <v>4.141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4.141</v>
      </c>
      <c r="N63" s="632">
        <f t="shared" si="240"/>
        <v>1.4086765871809517</v>
      </c>
      <c r="O63" s="629">
        <f t="shared" si="241"/>
        <v>-5.3241118053856606</v>
      </c>
      <c r="P63" s="633">
        <f t="shared" si="242"/>
        <v>-1.5267046045410873</v>
      </c>
      <c r="Q63" s="585">
        <f t="shared" si="113"/>
        <v>284.81997170110537</v>
      </c>
      <c r="R63" s="629">
        <f t="shared" si="79"/>
        <v>5.5073166100668969</v>
      </c>
      <c r="S63" s="634">
        <f t="shared" si="80"/>
        <v>-1.5267046045410873</v>
      </c>
      <c r="T63" s="635">
        <f t="shared" si="81"/>
        <v>-5.3241118053856606</v>
      </c>
      <c r="U63" s="629">
        <f t="shared" si="82"/>
        <v>-1.4086765871809515</v>
      </c>
      <c r="V63" s="636">
        <f t="shared" si="114"/>
        <v>-1.5267046045410873</v>
      </c>
      <c r="W63" s="585">
        <f t="shared" si="224"/>
        <v>194.81997170110537</v>
      </c>
      <c r="X63" s="629">
        <f t="shared" si="83"/>
        <v>5.5073166100668969</v>
      </c>
      <c r="Y63" s="630">
        <f t="shared" si="223"/>
        <v>-1.5267046045410873</v>
      </c>
      <c r="Z63" s="632">
        <f t="shared" si="243"/>
        <v>-0.99402127582091937</v>
      </c>
      <c r="AA63" s="629">
        <f t="shared" si="244"/>
        <v>3.9604524072622688E-2</v>
      </c>
      <c r="AB63" s="629">
        <f t="shared" si="245"/>
        <v>-0.10175060141509168</v>
      </c>
      <c r="AC63" s="636">
        <f t="shared" si="84"/>
        <v>1</v>
      </c>
      <c r="AD63" s="637">
        <f t="shared" si="115"/>
        <v>-0.99402127582091937</v>
      </c>
      <c r="AE63" s="629">
        <f t="shared" si="85"/>
        <v>3.9604524072622688E-2</v>
      </c>
      <c r="AF63" s="633">
        <f t="shared" si="86"/>
        <v>-0.10175060141509168</v>
      </c>
      <c r="AG63" s="602">
        <f t="shared" si="87"/>
        <v>21.267547537046518</v>
      </c>
      <c r="AH63" s="603">
        <f t="shared" si="88"/>
        <v>173.73157398736419</v>
      </c>
      <c r="AI63" s="585">
        <f t="shared" si="89"/>
        <v>-84.160013180315289</v>
      </c>
      <c r="AJ63" s="586">
        <f t="shared" si="90"/>
        <v>-92.281613632554851</v>
      </c>
      <c r="AK63" s="635">
        <f t="shared" si="211"/>
        <v>0.95082429690409931</v>
      </c>
      <c r="AL63" s="629">
        <f t="shared" si="91"/>
        <v>-0.29254054681102293</v>
      </c>
      <c r="AM63" s="634">
        <f t="shared" si="92"/>
        <v>-0.10175060141509168</v>
      </c>
      <c r="AN63" s="581">
        <f t="shared" si="93"/>
        <v>-70.821451878266515</v>
      </c>
      <c r="AO63" s="582">
        <f t="shared" si="461"/>
        <v>18.043006830709128</v>
      </c>
      <c r="AP63" s="585">
        <f t="shared" si="95"/>
        <v>-17.101585333660228</v>
      </c>
      <c r="AQ63" s="586">
        <f t="shared" si="246"/>
        <v>0.41393788120928521</v>
      </c>
      <c r="AS63" s="52">
        <f t="shared" si="406"/>
        <v>194.81997170110537</v>
      </c>
      <c r="AT63" s="72">
        <f t="shared" si="247"/>
        <v>-1.4119962515557438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4.141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1.4492319240686942</v>
      </c>
      <c r="C64" s="708">
        <v>-5.6005494104991689</v>
      </c>
      <c r="D64" s="709">
        <v>-2.2283067205730691</v>
      </c>
      <c r="E64" s="710">
        <v>0.99469939076110359</v>
      </c>
      <c r="F64" s="708">
        <v>-9.4917381911716031E-2</v>
      </c>
      <c r="G64" s="711">
        <v>3.9545070875076249E-2</v>
      </c>
      <c r="H64" s="710">
        <v>0.314</v>
      </c>
      <c r="I64" s="708">
        <v>0.52</v>
      </c>
      <c r="J64" s="570">
        <v>4.1479999999999997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4.1479999999999997</v>
      </c>
      <c r="N64" s="632">
        <f t="shared" si="240"/>
        <v>1.4492319240686942</v>
      </c>
      <c r="O64" s="629">
        <f t="shared" si="241"/>
        <v>-5.6005494104991689</v>
      </c>
      <c r="P64" s="633">
        <f t="shared" si="242"/>
        <v>-2.2283067205730691</v>
      </c>
      <c r="Q64" s="585">
        <f t="shared" si="113"/>
        <v>284.50797170110536</v>
      </c>
      <c r="R64" s="629">
        <f t="shared" si="79"/>
        <v>5.7850174476126206</v>
      </c>
      <c r="S64" s="634">
        <f t="shared" si="80"/>
        <v>-2.2283067205730691</v>
      </c>
      <c r="T64" s="635">
        <f t="shared" si="81"/>
        <v>-5.6005494104991698</v>
      </c>
      <c r="U64" s="629">
        <f t="shared" si="82"/>
        <v>-1.4492319240686937</v>
      </c>
      <c r="V64" s="636">
        <f t="shared" si="114"/>
        <v>-2.2283067205730691</v>
      </c>
      <c r="W64" s="585">
        <f t="shared" si="224"/>
        <v>194.50797170110536</v>
      </c>
      <c r="X64" s="629">
        <f t="shared" si="83"/>
        <v>5.7850174476126206</v>
      </c>
      <c r="Y64" s="630">
        <f t="shared" si="223"/>
        <v>-2.2283067205730691</v>
      </c>
      <c r="Z64" s="632">
        <f t="shared" si="243"/>
        <v>-0.99469939076110359</v>
      </c>
      <c r="AA64" s="629">
        <f t="shared" si="244"/>
        <v>9.4917381911716031E-2</v>
      </c>
      <c r="AB64" s="629">
        <f t="shared" si="245"/>
        <v>-3.9545070875076249E-2</v>
      </c>
      <c r="AC64" s="636">
        <f t="shared" si="84"/>
        <v>1</v>
      </c>
      <c r="AD64" s="637">
        <f t="shared" si="115"/>
        <v>-0.99469939076110359</v>
      </c>
      <c r="AE64" s="629">
        <f t="shared" si="85"/>
        <v>9.4917381911716031E-2</v>
      </c>
      <c r="AF64" s="633">
        <f t="shared" si="86"/>
        <v>-3.9545070875076249E-2</v>
      </c>
      <c r="AG64" s="602">
        <f t="shared" si="87"/>
        <v>67.382109259045848</v>
      </c>
      <c r="AH64" s="603">
        <f t="shared" si="88"/>
        <v>174.09809048305357</v>
      </c>
      <c r="AI64" s="585">
        <f t="shared" si="89"/>
        <v>-87.733643383527152</v>
      </c>
      <c r="AJ64" s="586">
        <f t="shared" si="90"/>
        <v>-95.450841266594651</v>
      </c>
      <c r="AK64" s="635">
        <f t="shared" si="211"/>
        <v>0.93920300772433052</v>
      </c>
      <c r="AL64" s="629">
        <f t="shared" si="91"/>
        <v>-0.34107755371917481</v>
      </c>
      <c r="AM64" s="634">
        <f t="shared" si="92"/>
        <v>-3.9545070875076249E-2</v>
      </c>
      <c r="AN64" s="581">
        <f t="shared" si="93"/>
        <v>-83.386564836074285</v>
      </c>
      <c r="AO64" s="582">
        <f t="shared" si="461"/>
        <v>20.081860149956665</v>
      </c>
      <c r="AP64" s="585">
        <f t="shared" si="95"/>
        <v>-19.958812967700016</v>
      </c>
      <c r="AQ64" s="586">
        <f t="shared" si="246"/>
        <v>0.39406807426353513</v>
      </c>
      <c r="AS64" s="52">
        <f t="shared" si="406"/>
        <v>194.50797170110536</v>
      </c>
      <c r="AT64" s="72">
        <f t="shared" si="247"/>
        <v>-2.1133817009210589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4.1479999999999997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1.4184621186368129</v>
      </c>
      <c r="C65" s="708">
        <v>-5.6891527909484942</v>
      </c>
      <c r="D65" s="709">
        <v>-2.9791089849926982</v>
      </c>
      <c r="E65" s="710">
        <v>0.95785351789820128</v>
      </c>
      <c r="F65" s="708">
        <v>-0.28687768638087402</v>
      </c>
      <c r="G65" s="711">
        <v>1.4759109281972674E-2</v>
      </c>
      <c r="H65" s="710">
        <v>0.314</v>
      </c>
      <c r="I65" s="708">
        <v>0.52</v>
      </c>
      <c r="J65" s="570">
        <v>4.1550000000000002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4.1550000000000002</v>
      </c>
      <c r="N65" s="632">
        <f t="shared" si="240"/>
        <v>1.4184621186368129</v>
      </c>
      <c r="O65" s="629">
        <f t="shared" si="241"/>
        <v>-5.6891527909484942</v>
      </c>
      <c r="P65" s="633">
        <f t="shared" si="242"/>
        <v>-2.9791089849926982</v>
      </c>
      <c r="Q65" s="585">
        <f t="shared" si="113"/>
        <v>283.99997170110538</v>
      </c>
      <c r="R65" s="629">
        <f t="shared" si="79"/>
        <v>5.8633176837661356</v>
      </c>
      <c r="S65" s="634">
        <f t="shared" si="80"/>
        <v>-2.9791089849926982</v>
      </c>
      <c r="T65" s="635">
        <f t="shared" si="81"/>
        <v>-5.6891527909484951</v>
      </c>
      <c r="U65" s="629">
        <f t="shared" si="82"/>
        <v>-1.4184621186368123</v>
      </c>
      <c r="V65" s="636">
        <f t="shared" si="114"/>
        <v>-2.9791089849926982</v>
      </c>
      <c r="W65" s="585">
        <f t="shared" si="224"/>
        <v>193.99997170110538</v>
      </c>
      <c r="X65" s="629">
        <f t="shared" si="83"/>
        <v>5.8633176837661356</v>
      </c>
      <c r="Y65" s="630">
        <f t="shared" si="223"/>
        <v>-2.9791089849926982</v>
      </c>
      <c r="Z65" s="632">
        <f t="shared" si="243"/>
        <v>-0.95785351789820128</v>
      </c>
      <c r="AA65" s="629">
        <f t="shared" si="244"/>
        <v>0.28687768638087402</v>
      </c>
      <c r="AB65" s="629">
        <f t="shared" si="245"/>
        <v>-1.4759109281972674E-2</v>
      </c>
      <c r="AC65" s="636">
        <f t="shared" si="84"/>
        <v>1</v>
      </c>
      <c r="AD65" s="637">
        <f t="shared" si="115"/>
        <v>-0.95785351789820128</v>
      </c>
      <c r="AE65" s="629">
        <f t="shared" si="85"/>
        <v>0.28687768638087402</v>
      </c>
      <c r="AF65" s="633">
        <f t="shared" si="86"/>
        <v>-1.4759109281972674E-2</v>
      </c>
      <c r="AG65" s="602">
        <f t="shared" si="87"/>
        <v>87.054878057775497</v>
      </c>
      <c r="AH65" s="603">
        <f t="shared" si="88"/>
        <v>163.30618668816399</v>
      </c>
      <c r="AI65" s="585">
        <f t="shared" si="89"/>
        <v>-89.154334624809863</v>
      </c>
      <c r="AJ65" s="586">
        <f t="shared" si="90"/>
        <v>-106.67298876846969</v>
      </c>
      <c r="AK65" s="635">
        <f t="shared" si="211"/>
        <v>0.85999943305443927</v>
      </c>
      <c r="AL65" s="629">
        <f t="shared" si="91"/>
        <v>-0.51008150705475108</v>
      </c>
      <c r="AM65" s="634">
        <f t="shared" si="92"/>
        <v>-1.4759109281972674E-2</v>
      </c>
      <c r="AN65" s="581">
        <f t="shared" si="93"/>
        <v>-88.342620183072427</v>
      </c>
      <c r="AO65" s="582">
        <f t="shared" si="461"/>
        <v>30.683480765525449</v>
      </c>
      <c r="AP65" s="585">
        <f t="shared" si="95"/>
        <v>-30.672960469575063</v>
      </c>
      <c r="AQ65" s="586">
        <f t="shared" si="246"/>
        <v>0.38880575158356173</v>
      </c>
      <c r="AS65" s="52">
        <f t="shared" si="406"/>
        <v>193.99997170110538</v>
      </c>
      <c r="AT65" s="72">
        <f t="shared" si="247"/>
        <v>-2.8638311875629103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4.1550000000000002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1.3666100859793804</v>
      </c>
      <c r="C66" s="708">
        <v>-5.755598259051828</v>
      </c>
      <c r="D66" s="709">
        <v>-3.7302999999999997</v>
      </c>
      <c r="E66" s="710">
        <v>0.89381777233944781</v>
      </c>
      <c r="F66" s="708">
        <v>-0.44843036231964256</v>
      </c>
      <c r="G66" s="711">
        <v>1.4578093191087413E-7</v>
      </c>
      <c r="H66" s="710">
        <v>0.314</v>
      </c>
      <c r="I66" s="708">
        <v>0.52</v>
      </c>
      <c r="J66" s="570">
        <v>4.1619999999999999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4.1619999999999999</v>
      </c>
      <c r="N66" s="632">
        <f t="shared" si="240"/>
        <v>1.3666100859793804</v>
      </c>
      <c r="O66" s="629">
        <f t="shared" si="241"/>
        <v>-5.755598259051828</v>
      </c>
      <c r="P66" s="633">
        <f t="shared" si="242"/>
        <v>-3.7302999999999997</v>
      </c>
      <c r="Q66" s="585">
        <f t="shared" si="113"/>
        <v>283.35697208269517</v>
      </c>
      <c r="R66" s="629">
        <f t="shared" si="79"/>
        <v>5.9156178415023568</v>
      </c>
      <c r="S66" s="634">
        <f t="shared" si="80"/>
        <v>-3.7302999999999997</v>
      </c>
      <c r="T66" s="635">
        <f t="shared" si="81"/>
        <v>-5.7555982590518271</v>
      </c>
      <c r="U66" s="629">
        <f t="shared" si="82"/>
        <v>-1.3666100859793837</v>
      </c>
      <c r="V66" s="636">
        <f t="shared" si="114"/>
        <v>-3.7302999999999997</v>
      </c>
      <c r="W66" s="585">
        <f t="shared" si="224"/>
        <v>193.35697208269517</v>
      </c>
      <c r="X66" s="629">
        <f t="shared" si="83"/>
        <v>5.9156178415023568</v>
      </c>
      <c r="Y66" s="630">
        <f t="shared" si="223"/>
        <v>-3.7302999999999997</v>
      </c>
      <c r="Z66" s="632">
        <f t="shared" si="243"/>
        <v>-0.89381777233944781</v>
      </c>
      <c r="AA66" s="629">
        <f t="shared" si="244"/>
        <v>0.44843036231964256</v>
      </c>
      <c r="AB66" s="629">
        <f t="shared" si="245"/>
        <v>-1.4578093191087413E-7</v>
      </c>
      <c r="AC66" s="636">
        <f t="shared" si="84"/>
        <v>1</v>
      </c>
      <c r="AD66" s="637">
        <f t="shared" si="115"/>
        <v>-0.89381777233944781</v>
      </c>
      <c r="AE66" s="629">
        <f t="shared" si="85"/>
        <v>0.44843036231964256</v>
      </c>
      <c r="AF66" s="633">
        <f t="shared" si="86"/>
        <v>-1.4578093191087413E-7</v>
      </c>
      <c r="AG66" s="602">
        <f t="shared" si="87"/>
        <v>89.999981373624905</v>
      </c>
      <c r="AH66" s="603">
        <f t="shared" si="88"/>
        <v>153.35697785799144</v>
      </c>
      <c r="AI66" s="585">
        <f t="shared" si="89"/>
        <v>-89.999991647367864</v>
      </c>
      <c r="AJ66" s="586">
        <f t="shared" si="90"/>
        <v>-116.64302214200735</v>
      </c>
      <c r="AK66" s="635">
        <f t="shared" si="211"/>
        <v>0.76604450791064349</v>
      </c>
      <c r="AL66" s="629">
        <f t="shared" si="91"/>
        <v>-0.64278753247081499</v>
      </c>
      <c r="AM66" s="634">
        <f t="shared" si="92"/>
        <v>-1.4578093191087413E-7</v>
      </c>
      <c r="AN66" s="581">
        <f t="shared" si="93"/>
        <v>-89.999987005609626</v>
      </c>
      <c r="AO66" s="582">
        <f t="shared" si="461"/>
        <v>39.999994224703229</v>
      </c>
      <c r="AP66" s="585">
        <f t="shared" si="95"/>
        <v>-39.999994224702519</v>
      </c>
      <c r="AQ66" s="586">
        <f t="shared" si="246"/>
        <v>0.38536841220796053</v>
      </c>
      <c r="AS66" s="52">
        <f t="shared" si="406"/>
        <v>193.35697208269517</v>
      </c>
      <c r="AT66" s="72">
        <f t="shared" si="247"/>
        <v>-3.6145756750574267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4.1619999999999999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3.2774463991382723E-2</v>
      </c>
      <c r="C67" s="708">
        <v>-4.471241202131961</v>
      </c>
      <c r="D67" s="709">
        <v>-0.43382624773895501</v>
      </c>
      <c r="E67" s="710">
        <v>0.90564400342105678</v>
      </c>
      <c r="F67" s="708">
        <v>-0.2336046512376187</v>
      </c>
      <c r="G67" s="711">
        <v>0.35388953924583805</v>
      </c>
      <c r="H67" s="710">
        <v>0.26600000000000001</v>
      </c>
      <c r="I67" s="708">
        <v>0.52</v>
      </c>
      <c r="J67" s="570">
        <v>4.2270000000000003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4.2270000000000003</v>
      </c>
      <c r="N67" s="632">
        <f t="shared" si="240"/>
        <v>3.2774463991382723E-2</v>
      </c>
      <c r="O67" s="629">
        <f t="shared" si="241"/>
        <v>-4.471241202131961</v>
      </c>
      <c r="P67" s="633">
        <f t="shared" si="242"/>
        <v>-0.43382624773895501</v>
      </c>
      <c r="Q67" s="585">
        <f t="shared" si="113"/>
        <v>270.41997395057871</v>
      </c>
      <c r="R67" s="629">
        <f>IF(M67="","",SQRT(N67^2+O67^2))</f>
        <v>4.4713613199038598</v>
      </c>
      <c r="S67" s="634">
        <f>IF(M67="","",P67)</f>
        <v>-0.43382624773895501</v>
      </c>
      <c r="T67" s="635">
        <f>IF(M67="","",X67*COS(RADIANS(W67)))</f>
        <v>-4.471241202131961</v>
      </c>
      <c r="U67" s="629">
        <f>IF(M67="","",X67*SIN(RADIANS(W67)))</f>
        <v>-3.2774463991381245E-2</v>
      </c>
      <c r="V67" s="636">
        <f>IF(M67="","",Y67)</f>
        <v>-0.43382624773895501</v>
      </c>
      <c r="W67" s="585">
        <f t="shared" si="224"/>
        <v>180.41997395057871</v>
      </c>
      <c r="X67" s="629">
        <f>IF(M67="","",R67)</f>
        <v>4.4713613199038598</v>
      </c>
      <c r="Y67" s="630">
        <f t="shared" si="223"/>
        <v>-0.43382624773895501</v>
      </c>
      <c r="Z67" s="632">
        <f t="shared" si="243"/>
        <v>-0.90564400342105678</v>
      </c>
      <c r="AA67" s="629">
        <f t="shared" si="244"/>
        <v>0.2336046512376187</v>
      </c>
      <c r="AB67" s="629">
        <f t="shared" si="245"/>
        <v>-0.35388953924583805</v>
      </c>
      <c r="AC67" s="636">
        <f>IF(M67="","",SQRT(Z67^2+AA67^2+AB67^2))</f>
        <v>1</v>
      </c>
      <c r="AD67" s="637">
        <f>IF(M67="","",Z67*(1/SQRT(Z67^2+AA67^2+AB67^2)))</f>
        <v>-0.90564400342105678</v>
      </c>
      <c r="AE67" s="629">
        <f>IF(M67="","",AA67*(1/SQRT(Z67^2+AA67^2+AB67^2)))</f>
        <v>0.2336046512376187</v>
      </c>
      <c r="AF67" s="633">
        <f>IF(M67="","",AB67*(1/SQRT(Z67^2+AA67^2+AB67^2)))</f>
        <v>-0.35388953924583805</v>
      </c>
      <c r="AG67" s="602">
        <f>IF(M67="","",DEGREES(ATAN2(-AF67,AE67)))</f>
        <v>33.429046362995479</v>
      </c>
      <c r="AH67" s="603">
        <f>IF(M67="","",DEGREES(ACOS(AD67)))</f>
        <v>154.91015963429041</v>
      </c>
      <c r="AI67" s="585">
        <f>IF(M67="","",DEGREES(-ACOS(-AF67)))</f>
        <v>-69.274597848247979</v>
      </c>
      <c r="AJ67" s="586">
        <f>IF(M67="","",DEGREES(ATAN2(-AE67,AD67)))</f>
        <v>-104.46377339185028</v>
      </c>
      <c r="AK67" s="635">
        <f>IF(M67="","",(COS(RADIANS((90-$Q$8)-W67))*AD67)+(-SIN(RADIANS((90-$Q$8)-W67))*AE67))</f>
        <v>0.9039073843883999</v>
      </c>
      <c r="AL67" s="629">
        <f>IF(M67="","",(SIN(RADIANS((90-$Q$8)-W67))*AD67)+(COS(RADIANS((90-$Q$8)-W67))*AE67))</f>
        <v>-0.24023662181376518</v>
      </c>
      <c r="AM67" s="634">
        <f>IF(M67="","",AF67)</f>
        <v>-0.35388953924583805</v>
      </c>
      <c r="AN67" s="581">
        <f>IF(M67="","",DEGREES(ATAN2(-AM67,AL67)))</f>
        <v>-34.170478682810447</v>
      </c>
      <c r="AO67" s="582">
        <f t="shared" si="461"/>
        <v>25.323474199237538</v>
      </c>
      <c r="AP67" s="585">
        <f>IF(M67="","",DEGREES(ATAN2(AK67,AL67)))</f>
        <v>-14.883747342428981</v>
      </c>
      <c r="AQ67" s="586">
        <f t="shared" si="246"/>
        <v>0.50983722822398836</v>
      </c>
      <c r="AS67" s="52">
        <f t="shared" si="406"/>
        <v>180.41997395057871</v>
      </c>
      <c r="AT67" s="72">
        <f t="shared" si="247"/>
        <v>-0.30911789631574577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4.2270000000000003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4.1269999999999998</v>
      </c>
      <c r="II67" s="734" cm="1">
        <f t="array" ref="II67">IFERROR(ROUND(VALUE(IF($IH67&lt;1,$IH67+LARGE((IF($M$9:$M$150="",0,$M$9:$M$150)-MOD(IF($M$9:$M$150="",0,$M$9:$M$150),1)),1),$IH67)),4),"")</f>
        <v>4.1269999999999998</v>
      </c>
      <c r="IJ67" s="533">
        <f t="shared" si="112"/>
        <v>1613</v>
      </c>
      <c r="IK67" s="533">
        <f t="shared" si="382"/>
        <v>1313</v>
      </c>
      <c r="IL67" s="727">
        <f t="shared" si="225"/>
        <v>15.00599775052666</v>
      </c>
      <c r="IM67" s="759">
        <v>1.42698327348337E-2</v>
      </c>
      <c r="IN67" s="5">
        <f t="shared" si="226"/>
        <v>0.36</v>
      </c>
      <c r="IO67" s="771">
        <v>180</v>
      </c>
      <c r="IP67" s="9">
        <f t="shared" si="227"/>
        <v>-4.4457134082716401</v>
      </c>
      <c r="IQ67" s="5">
        <f t="shared" si="228"/>
        <v>-0.47430143049311463</v>
      </c>
      <c r="IR67" s="5">
        <f t="shared" si="383"/>
        <v>0.314</v>
      </c>
      <c r="IS67" s="5">
        <f t="shared" si="229"/>
        <v>0.3024973961502993</v>
      </c>
      <c r="IT67" s="727">
        <f t="shared" si="230"/>
        <v>40.116058032017918</v>
      </c>
      <c r="IU67" s="9">
        <f t="shared" si="231"/>
        <v>-4.4713613199038598</v>
      </c>
      <c r="IV67" s="5">
        <f t="shared" si="232"/>
        <v>-0.43382624773895501</v>
      </c>
      <c r="IW67" s="5">
        <f t="shared" si="384"/>
        <v>0.26600000000000001</v>
      </c>
      <c r="IX67" s="5">
        <f t="shared" si="233"/>
        <v>0.24043936424731438</v>
      </c>
      <c r="IY67" s="762">
        <f t="shared" si="234"/>
        <v>34.170478682810447</v>
      </c>
    </row>
    <row r="68" spans="1:259" ht="15" customHeight="1" x14ac:dyDescent="0.25">
      <c r="A68" s="79"/>
      <c r="B68" s="707">
        <v>0.12801801763248322</v>
      </c>
      <c r="C68" s="708">
        <v>-5.0856287552533903</v>
      </c>
      <c r="D68" s="709">
        <v>-0.89201894113356939</v>
      </c>
      <c r="E68" s="710">
        <v>0.91042665236836062</v>
      </c>
      <c r="F68" s="708">
        <v>-0.3067766255765122</v>
      </c>
      <c r="G68" s="711">
        <v>0.27750930192919454</v>
      </c>
      <c r="H68" s="710">
        <v>0.26600000000000001</v>
      </c>
      <c r="I68" s="708">
        <v>0.52</v>
      </c>
      <c r="J68" s="570">
        <v>4.234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4.234</v>
      </c>
      <c r="N68" s="632">
        <f t="shared" si="240"/>
        <v>0.12801801763248322</v>
      </c>
      <c r="O68" s="629">
        <f t="shared" si="241"/>
        <v>-5.0856287552533903</v>
      </c>
      <c r="P68" s="633">
        <f t="shared" si="242"/>
        <v>-0.89201894113356939</v>
      </c>
      <c r="Q68" s="585">
        <f t="shared" si="113"/>
        <v>271.44197380302023</v>
      </c>
      <c r="R68" s="629">
        <f>IF(M68="","",SQRT(N68^2+O68^2))</f>
        <v>5.0872397672115577</v>
      </c>
      <c r="S68" s="634">
        <f>IF(M68="","",P68)</f>
        <v>-0.89201894113356939</v>
      </c>
      <c r="T68" s="635">
        <f>IF(M68="","",X68*COS(RADIANS(W68)))</f>
        <v>-5.0856287552533912</v>
      </c>
      <c r="U68" s="629">
        <f>IF(M68="","",X68*SIN(RADIANS(W68)))</f>
        <v>-0.12801801763248485</v>
      </c>
      <c r="V68" s="636">
        <f>IF(M68="","",Y68)</f>
        <v>-0.89201894113356939</v>
      </c>
      <c r="W68" s="585">
        <f t="shared" si="224"/>
        <v>181.44197380302023</v>
      </c>
      <c r="X68" s="629">
        <f>IF(M68="","",R68)</f>
        <v>5.0872397672115577</v>
      </c>
      <c r="Y68" s="630">
        <f t="shared" si="223"/>
        <v>-0.89201894113356939</v>
      </c>
      <c r="Z68" s="632">
        <f t="shared" si="243"/>
        <v>-0.91042665236836062</v>
      </c>
      <c r="AA68" s="629">
        <f t="shared" si="244"/>
        <v>0.3067766255765122</v>
      </c>
      <c r="AB68" s="629">
        <f t="shared" si="245"/>
        <v>-0.27750930192919454</v>
      </c>
      <c r="AC68" s="636">
        <f>IF(M68="","",SQRT(Z68^2+AA68^2+AB68^2))</f>
        <v>1</v>
      </c>
      <c r="AD68" s="637">
        <f>IF(M68="","",Z68*(1/SQRT(Z68^2+AA68^2+AB68^2)))</f>
        <v>-0.91042665236836062</v>
      </c>
      <c r="AE68" s="629">
        <f>IF(M68="","",AA68*(1/SQRT(Z68^2+AA68^2+AB68^2)))</f>
        <v>0.3067766255765122</v>
      </c>
      <c r="AF68" s="633">
        <f>IF(M68="","",AB68*(1/SQRT(Z68^2+AA68^2+AB68^2)))</f>
        <v>-0.27750930192919454</v>
      </c>
      <c r="AG68" s="602">
        <f>IF(M68="","",DEGREES(ATAN2(-AF68,AE68)))</f>
        <v>47.867592153199816</v>
      </c>
      <c r="AH68" s="603">
        <f>IF(M68="","",DEGREES(ACOS(AD68)))</f>
        <v>155.56437846099107</v>
      </c>
      <c r="AI68" s="585">
        <f>IF(M68="","",DEGREES(-ACOS(-AF68)))</f>
        <v>-73.888391847461151</v>
      </c>
      <c r="AJ68" s="586">
        <f>IF(M68="","",DEGREES(ATAN2(-AE68,AD68)))</f>
        <v>-108.62171655890675</v>
      </c>
      <c r="AK68" s="635">
        <f>IF(M68="","",(COS(RADIANS((90-$Q$8)-W68))*AD68)+(-SIN(RADIANS((90-$Q$8)-W68))*AE68))</f>
        <v>0.90241845036678325</v>
      </c>
      <c r="AL68" s="629">
        <f>IF(M68="","",(SIN(RADIANS((90-$Q$8)-W68))*AD68)+(COS(RADIANS((90-$Q$8)-W68))*AE68))</f>
        <v>-0.32958993883367377</v>
      </c>
      <c r="AM68" s="634">
        <f>IF(M68="","",AF68)</f>
        <v>-0.27750930192919454</v>
      </c>
      <c r="AN68" s="581">
        <f>IF(M68="","",DEGREES(ATAN2(-AM68,AL68)))</f>
        <v>-49.90317339524605</v>
      </c>
      <c r="AO68" s="582">
        <f t="shared" si="461"/>
        <v>25.522194557695201</v>
      </c>
      <c r="AP68" s="585">
        <f>IF(M68="","",DEGREES(ATAN2(AK68,AL68)))</f>
        <v>-20.063690361926991</v>
      </c>
      <c r="AQ68" s="586">
        <f t="shared" si="246"/>
        <v>0.44811729984987247</v>
      </c>
      <c r="AS68" s="52">
        <f t="shared" si="406"/>
        <v>181.44197380302023</v>
      </c>
      <c r="AT68" s="72">
        <f t="shared" si="247"/>
        <v>-0.76802031183011121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4.234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4.1340000000000003</v>
      </c>
      <c r="II68" s="734" cm="1">
        <f t="array" ref="II68">IFERROR(ROUND(VALUE(IF($IH68&lt;1,$IH68+LARGE((IF($M$9:$M$150="",0,$M$9:$M$150)-MOD(IF($M$9:$M$150="",0,$M$9:$M$150),1)),1),$IH68)),4),"")</f>
        <v>4.1340000000000003</v>
      </c>
      <c r="IJ68" s="533">
        <f t="shared" si="112"/>
        <v>1613</v>
      </c>
      <c r="IK68" s="533">
        <f t="shared" si="382"/>
        <v>1313</v>
      </c>
      <c r="IL68" s="727">
        <f t="shared" si="225"/>
        <v>13.378997898085117</v>
      </c>
      <c r="IM68" s="759">
        <v>1.06854609837804E-2</v>
      </c>
      <c r="IN68" s="5">
        <f t="shared" si="226"/>
        <v>0.34</v>
      </c>
      <c r="IO68" s="771">
        <v>170</v>
      </c>
      <c r="IP68" s="9">
        <f t="shared" si="227"/>
        <v>-5.0494152290363301</v>
      </c>
      <c r="IQ68" s="5">
        <f t="shared" si="228"/>
        <v>-0.92700279584043166</v>
      </c>
      <c r="IR68" s="5">
        <f t="shared" si="383"/>
        <v>0.314</v>
      </c>
      <c r="IS68" s="5">
        <f t="shared" si="229"/>
        <v>0.30199911648984135</v>
      </c>
      <c r="IT68" s="727">
        <f t="shared" si="230"/>
        <v>57.253465444971674</v>
      </c>
      <c r="IU68" s="9">
        <f t="shared" si="231"/>
        <v>-5.0872397672115577</v>
      </c>
      <c r="IV68" s="5">
        <f t="shared" si="232"/>
        <v>-0.89201894113356939</v>
      </c>
      <c r="IW68" s="5">
        <f t="shared" si="384"/>
        <v>0.26600000000000001</v>
      </c>
      <c r="IX68" s="5">
        <f t="shared" si="233"/>
        <v>0.24004330779756436</v>
      </c>
      <c r="IY68" s="762">
        <f t="shared" si="234"/>
        <v>49.90317339524605</v>
      </c>
    </row>
    <row r="69" spans="1:259" ht="15" customHeight="1" x14ac:dyDescent="0.25">
      <c r="A69" s="79"/>
      <c r="B69" s="707">
        <v>0.18653880615282756</v>
      </c>
      <c r="C69" s="708">
        <v>-5.5530221744340373</v>
      </c>
      <c r="D69" s="709">
        <v>-1.4998527283524803</v>
      </c>
      <c r="E69" s="710">
        <v>0.89939313143945776</v>
      </c>
      <c r="F69" s="708">
        <v>-0.38678885099547355</v>
      </c>
      <c r="G69" s="711">
        <v>0.2036820558250724</v>
      </c>
      <c r="H69" s="710">
        <v>0.26600000000000001</v>
      </c>
      <c r="I69" s="708">
        <v>0.52</v>
      </c>
      <c r="J69" s="570">
        <v>4.2409999999999997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4.2409999999999997</v>
      </c>
      <c r="N69" s="632">
        <f t="shared" si="240"/>
        <v>0.18653880615282756</v>
      </c>
      <c r="O69" s="629">
        <f t="shared" si="241"/>
        <v>-5.5530221744340373</v>
      </c>
      <c r="P69" s="633">
        <f t="shared" si="242"/>
        <v>-1.4998527283524803</v>
      </c>
      <c r="Q69" s="585">
        <f t="shared" si="113"/>
        <v>271.92397373342806</v>
      </c>
      <c r="R69" s="629">
        <f t="shared" si="79"/>
        <v>5.5561544251358823</v>
      </c>
      <c r="S69" s="634">
        <f t="shared" si="80"/>
        <v>-1.4998527283524803</v>
      </c>
      <c r="T69" s="635">
        <f t="shared" si="81"/>
        <v>-5.5530221744340373</v>
      </c>
      <c r="U69" s="629">
        <f t="shared" si="82"/>
        <v>-0.18653880615283044</v>
      </c>
      <c r="V69" s="636">
        <f t="shared" si="114"/>
        <v>-1.4998527283524803</v>
      </c>
      <c r="W69" s="585">
        <f t="shared" si="224"/>
        <v>181.92397373342806</v>
      </c>
      <c r="X69" s="629">
        <f t="shared" si="83"/>
        <v>5.5561544251358823</v>
      </c>
      <c r="Y69" s="630">
        <f t="shared" si="223"/>
        <v>-1.4998527283524803</v>
      </c>
      <c r="Z69" s="632">
        <f t="shared" si="243"/>
        <v>-0.89939313143945776</v>
      </c>
      <c r="AA69" s="629">
        <f t="shared" si="244"/>
        <v>0.38678885099547355</v>
      </c>
      <c r="AB69" s="629">
        <f t="shared" si="245"/>
        <v>-0.2036820558250724</v>
      </c>
      <c r="AC69" s="636">
        <f t="shared" si="84"/>
        <v>1</v>
      </c>
      <c r="AD69" s="637">
        <f t="shared" si="115"/>
        <v>-0.89939313143945776</v>
      </c>
      <c r="AE69" s="629">
        <f t="shared" si="85"/>
        <v>0.38678885099547355</v>
      </c>
      <c r="AF69" s="633">
        <f t="shared" si="86"/>
        <v>-0.2036820558250724</v>
      </c>
      <c r="AG69" s="602">
        <f t="shared" si="87"/>
        <v>62.228819697967822</v>
      </c>
      <c r="AH69" s="603">
        <f t="shared" si="88"/>
        <v>154.07841137665542</v>
      </c>
      <c r="AI69" s="585">
        <f t="shared" si="89"/>
        <v>-78.247641275822488</v>
      </c>
      <c r="AJ69" s="586">
        <f t="shared" si="90"/>
        <v>-113.27038244285012</v>
      </c>
      <c r="AK69" s="635">
        <f t="shared" si="211"/>
        <v>0.88590029997207587</v>
      </c>
      <c r="AL69" s="629">
        <f t="shared" si="91"/>
        <v>-0.41676645575700833</v>
      </c>
      <c r="AM69" s="634">
        <f t="shared" si="92"/>
        <v>-0.2036820558250724</v>
      </c>
      <c r="AN69" s="581">
        <f t="shared" si="93"/>
        <v>-63.954320309471214</v>
      </c>
      <c r="AO69" s="582">
        <f t="shared" si="461"/>
        <v>27.637483069029621</v>
      </c>
      <c r="AP69" s="585">
        <f t="shared" si="95"/>
        <v>-25.194356176278177</v>
      </c>
      <c r="AQ69" s="586">
        <f t="shared" si="246"/>
        <v>0.41029955045691513</v>
      </c>
      <c r="AS69" s="52">
        <f t="shared" si="406"/>
        <v>181.92397373342806</v>
      </c>
      <c r="AT69" s="72">
        <f t="shared" si="247"/>
        <v>-1.3761888212229165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4.2409999999999997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4.141</v>
      </c>
      <c r="II69" s="734" cm="1">
        <f t="array" ref="II69">IFERROR(ROUND(VALUE(IF($IH69&lt;1,$IH69+LARGE((IF($M$9:$M$150="",0,$M$9:$M$150)-MOD(IF($M$9:$M$150="",0,$M$9:$M$150),1)),1),$IH69)),4),"")</f>
        <v>4.141</v>
      </c>
      <c r="IJ69" s="533">
        <f t="shared" si="112"/>
        <v>1613</v>
      </c>
      <c r="IK69" s="533">
        <f t="shared" si="382"/>
        <v>1313</v>
      </c>
      <c r="IL69" s="727">
        <f t="shared" si="225"/>
        <v>12.895997967677317</v>
      </c>
      <c r="IM69" s="759">
        <v>7.4418725317912304E-3</v>
      </c>
      <c r="IN69" s="5">
        <f t="shared" si="226"/>
        <v>0.3</v>
      </c>
      <c r="IO69" s="771">
        <v>150</v>
      </c>
      <c r="IP69" s="9">
        <f t="shared" si="227"/>
        <v>-5.5073166100668969</v>
      </c>
      <c r="IQ69" s="5">
        <f t="shared" si="228"/>
        <v>-1.5267046045410873</v>
      </c>
      <c r="IR69" s="5">
        <f t="shared" si="383"/>
        <v>0.314</v>
      </c>
      <c r="IS69" s="5">
        <f t="shared" si="229"/>
        <v>0.29855882922788718</v>
      </c>
      <c r="IT69" s="727">
        <f t="shared" si="230"/>
        <v>70.821451878266515</v>
      </c>
      <c r="IU69" s="9">
        <f t="shared" si="231"/>
        <v>-5.5561544251358823</v>
      </c>
      <c r="IV69" s="5">
        <f t="shared" si="232"/>
        <v>-1.4998527283524803</v>
      </c>
      <c r="IW69" s="5">
        <f t="shared" si="384"/>
        <v>0.26600000000000001</v>
      </c>
      <c r="IX69" s="5">
        <f t="shared" si="233"/>
        <v>0.2356494797925722</v>
      </c>
      <c r="IY69" s="762">
        <f t="shared" si="234"/>
        <v>63.954320309471214</v>
      </c>
    </row>
    <row r="70" spans="1:259" ht="15" customHeight="1" x14ac:dyDescent="0.25">
      <c r="A70" s="79"/>
      <c r="B70" s="707">
        <v>0.21653534351895859</v>
      </c>
      <c r="C70" s="708">
        <v>-5.8385269457463203</v>
      </c>
      <c r="D70" s="709">
        <v>-2.2125882082322166</v>
      </c>
      <c r="E70" s="710">
        <v>0.88607960885339332</v>
      </c>
      <c r="F70" s="708">
        <v>-0.45041259586035159</v>
      </c>
      <c r="G70" s="711">
        <v>0.10950534354339567</v>
      </c>
      <c r="H70" s="710">
        <v>0.26600000000000001</v>
      </c>
      <c r="I70" s="708">
        <v>0.52</v>
      </c>
      <c r="J70" s="570">
        <v>4.2480000000000002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4.2480000000000002</v>
      </c>
      <c r="N70" s="632">
        <f t="shared" si="240"/>
        <v>0.21653534351895859</v>
      </c>
      <c r="O70" s="629">
        <f t="shared" si="241"/>
        <v>-5.8385269457463203</v>
      </c>
      <c r="P70" s="633">
        <f t="shared" si="242"/>
        <v>-2.2125882082322166</v>
      </c>
      <c r="Q70" s="585">
        <f t="shared" si="113"/>
        <v>272.12397370455159</v>
      </c>
      <c r="R70" s="629">
        <f t="shared" si="79"/>
        <v>5.842540924221133</v>
      </c>
      <c r="S70" s="634">
        <f t="shared" si="80"/>
        <v>-2.2125882082322166</v>
      </c>
      <c r="T70" s="635">
        <f t="shared" si="81"/>
        <v>-5.8385269457463203</v>
      </c>
      <c r="U70" s="629">
        <f t="shared" si="82"/>
        <v>-0.21653534351895612</v>
      </c>
      <c r="V70" s="636">
        <f t="shared" si="114"/>
        <v>-2.2125882082322166</v>
      </c>
      <c r="W70" s="585">
        <f t="shared" si="224"/>
        <v>182.12397370455159</v>
      </c>
      <c r="X70" s="629">
        <f t="shared" si="83"/>
        <v>5.842540924221133</v>
      </c>
      <c r="Y70" s="630">
        <f t="shared" si="223"/>
        <v>-2.2125882082322166</v>
      </c>
      <c r="Z70" s="632">
        <f t="shared" si="243"/>
        <v>-0.88607960885339332</v>
      </c>
      <c r="AA70" s="629">
        <f t="shared" si="244"/>
        <v>0.45041259586035159</v>
      </c>
      <c r="AB70" s="629">
        <f t="shared" si="245"/>
        <v>-0.10950534354339567</v>
      </c>
      <c r="AC70" s="636">
        <f t="shared" si="84"/>
        <v>1</v>
      </c>
      <c r="AD70" s="637">
        <f t="shared" si="115"/>
        <v>-0.88607960885339332</v>
      </c>
      <c r="AE70" s="629">
        <f t="shared" si="85"/>
        <v>0.45041259586035159</v>
      </c>
      <c r="AF70" s="633">
        <f t="shared" si="86"/>
        <v>-0.10950534354339567</v>
      </c>
      <c r="AG70" s="602">
        <f t="shared" si="87"/>
        <v>76.335235814230842</v>
      </c>
      <c r="AH70" s="603">
        <f t="shared" si="88"/>
        <v>152.38467251580985</v>
      </c>
      <c r="AI70" s="585">
        <f t="shared" si="89"/>
        <v>-83.713198413232945</v>
      </c>
      <c r="AJ70" s="586">
        <f t="shared" si="90"/>
        <v>-116.9451726490132</v>
      </c>
      <c r="AK70" s="635">
        <f t="shared" si="211"/>
        <v>0.86877772736759618</v>
      </c>
      <c r="AL70" s="629">
        <f t="shared" si="91"/>
        <v>-0.48294289534626933</v>
      </c>
      <c r="AM70" s="634">
        <f t="shared" si="92"/>
        <v>-0.10950534354339567</v>
      </c>
      <c r="AN70" s="581">
        <f t="shared" si="93"/>
        <v>-77.224437124434871</v>
      </c>
      <c r="AO70" s="582">
        <f t="shared" si="461"/>
        <v>29.683087283213577</v>
      </c>
      <c r="AP70" s="585">
        <f t="shared" si="95"/>
        <v>-29.069146353564769</v>
      </c>
      <c r="AQ70" s="586">
        <f t="shared" si="246"/>
        <v>0.3901883476834655</v>
      </c>
      <c r="AS70" s="52">
        <f t="shared" si="406"/>
        <v>182.12397370455159</v>
      </c>
      <c r="AT70" s="72">
        <f t="shared" si="247"/>
        <v>-2.0890631899714887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4.2480000000000002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4.1479999999999997</v>
      </c>
      <c r="II70" s="734" cm="1">
        <f t="array" ref="II70">IFERROR(ROUND(VALUE(IF($IH70&lt;1,$IH70+LARGE((IF($M$9:$M$150="",0,$M$9:$M$150)-MOD(IF($M$9:$M$150="",0,$M$9:$M$150),1)),1),$IH70)),4),"")</f>
        <v>4.1479999999999997</v>
      </c>
      <c r="IJ70" s="533">
        <f t="shared" si="112"/>
        <v>1613</v>
      </c>
      <c r="IK70" s="533">
        <f t="shared" si="382"/>
        <v>1313</v>
      </c>
      <c r="IL70" s="727">
        <f t="shared" si="225"/>
        <v>12.383997996553774</v>
      </c>
      <c r="IM70" s="759">
        <v>4.4158870081261199E-3</v>
      </c>
      <c r="IN70" s="5">
        <f t="shared" si="226"/>
        <v>0.26</v>
      </c>
      <c r="IO70" s="771">
        <v>130</v>
      </c>
      <c r="IP70" s="9">
        <f t="shared" si="227"/>
        <v>-5.7850174476126206</v>
      </c>
      <c r="IQ70" s="5">
        <f t="shared" si="228"/>
        <v>-2.2283067205730691</v>
      </c>
      <c r="IR70" s="5">
        <f t="shared" si="383"/>
        <v>0.314</v>
      </c>
      <c r="IS70" s="5">
        <f t="shared" si="229"/>
        <v>0.29490974442543977</v>
      </c>
      <c r="IT70" s="727">
        <f t="shared" si="230"/>
        <v>83.386564836074285</v>
      </c>
      <c r="IU70" s="9">
        <f t="shared" si="231"/>
        <v>-5.842540924221133</v>
      </c>
      <c r="IV70" s="5">
        <f t="shared" si="232"/>
        <v>-2.2125882082322166</v>
      </c>
      <c r="IW70" s="5">
        <f t="shared" si="384"/>
        <v>0.26600000000000001</v>
      </c>
      <c r="IX70" s="5">
        <f t="shared" si="233"/>
        <v>0.23109487547978058</v>
      </c>
      <c r="IY70" s="762">
        <f t="shared" si="234"/>
        <v>77.224437124434871</v>
      </c>
    </row>
    <row r="71" spans="1:259" ht="15" customHeight="1" x14ac:dyDescent="0.25">
      <c r="A71" s="79"/>
      <c r="B71" s="707">
        <v>0.22388006649172909</v>
      </c>
      <c r="C71" s="708">
        <v>-5.9112080973488927</v>
      </c>
      <c r="D71" s="709">
        <v>-2.9776390132215784</v>
      </c>
      <c r="E71" s="710">
        <v>0.83484537232012013</v>
      </c>
      <c r="F71" s="708">
        <v>-0.54945387655765332</v>
      </c>
      <c r="G71" s="711">
        <v>3.3669598326196259E-2</v>
      </c>
      <c r="H71" s="710">
        <v>0.26600000000000001</v>
      </c>
      <c r="I71" s="708">
        <v>0.52</v>
      </c>
      <c r="J71" s="570">
        <v>4.2549999999999999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4.2549999999999999</v>
      </c>
      <c r="N71" s="632">
        <f t="shared" si="240"/>
        <v>0.22388006649172909</v>
      </c>
      <c r="O71" s="629">
        <f t="shared" si="241"/>
        <v>-5.9112080973488927</v>
      </c>
      <c r="P71" s="633">
        <f t="shared" si="242"/>
        <v>-2.9776390132215784</v>
      </c>
      <c r="Q71" s="585">
        <f t="shared" si="113"/>
        <v>272.1689736980544</v>
      </c>
      <c r="R71" s="629">
        <f t="shared" si="79"/>
        <v>5.9154461754237486</v>
      </c>
      <c r="S71" s="634">
        <f t="shared" si="80"/>
        <v>-2.9776390132215784</v>
      </c>
      <c r="T71" s="635">
        <f t="shared" si="81"/>
        <v>-5.9112080973488927</v>
      </c>
      <c r="U71" s="629">
        <f t="shared" si="82"/>
        <v>-0.2238800664917279</v>
      </c>
      <c r="V71" s="636">
        <f t="shared" si="114"/>
        <v>-2.9776390132215784</v>
      </c>
      <c r="W71" s="585">
        <f t="shared" si="224"/>
        <v>182.1689736980544</v>
      </c>
      <c r="X71" s="629">
        <f t="shared" si="83"/>
        <v>5.9154461754237486</v>
      </c>
      <c r="Y71" s="630">
        <f t="shared" si="223"/>
        <v>-2.9776390132215784</v>
      </c>
      <c r="Z71" s="632">
        <f t="shared" si="243"/>
        <v>-0.83484537232012013</v>
      </c>
      <c r="AA71" s="629">
        <f t="shared" si="244"/>
        <v>0.54945387655765332</v>
      </c>
      <c r="AB71" s="629">
        <f t="shared" si="245"/>
        <v>-3.3669598326196259E-2</v>
      </c>
      <c r="AC71" s="636">
        <f t="shared" si="84"/>
        <v>1</v>
      </c>
      <c r="AD71" s="637">
        <f t="shared" si="115"/>
        <v>-0.83484537232012013</v>
      </c>
      <c r="AE71" s="629">
        <f t="shared" si="85"/>
        <v>0.54945387655765332</v>
      </c>
      <c r="AF71" s="633">
        <f t="shared" si="86"/>
        <v>-3.3669598326196259E-2</v>
      </c>
      <c r="AG71" s="602">
        <f t="shared" si="87"/>
        <v>86.493396901621026</v>
      </c>
      <c r="AH71" s="603">
        <f t="shared" si="88"/>
        <v>146.59974073562032</v>
      </c>
      <c r="AI71" s="585">
        <f t="shared" si="89"/>
        <v>-88.070509442302907</v>
      </c>
      <c r="AJ71" s="586">
        <f t="shared" si="90"/>
        <v>-123.35093250938121</v>
      </c>
      <c r="AK71" s="635">
        <f t="shared" si="211"/>
        <v>0.81345224210925748</v>
      </c>
      <c r="AL71" s="629">
        <f t="shared" si="91"/>
        <v>-0.58065635961037665</v>
      </c>
      <c r="AM71" s="634">
        <f t="shared" si="92"/>
        <v>-3.3669598326196259E-2</v>
      </c>
      <c r="AN71" s="581">
        <f t="shared" si="93"/>
        <v>-86.681396670670836</v>
      </c>
      <c r="AO71" s="582">
        <f t="shared" si="461"/>
        <v>35.565390677055731</v>
      </c>
      <c r="AP71" s="585">
        <f t="shared" si="95"/>
        <v>-35.519906207435604</v>
      </c>
      <c r="AQ71" s="586">
        <f t="shared" si="246"/>
        <v>0.38537959525095666</v>
      </c>
      <c r="AS71" s="52">
        <f t="shared" si="406"/>
        <v>182.1689736980544</v>
      </c>
      <c r="AT71" s="72">
        <f t="shared" si="247"/>
        <v>-2.8541452449563383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>Gage</v>
      </c>
      <c r="IG71" s="847">
        <f t="shared" si="210"/>
        <v>4.2549999999999999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4.1550000000000002</v>
      </c>
      <c r="II71" s="734" cm="1">
        <f t="array" ref="II71">IFERROR(ROUND(VALUE(IF($IH71&lt;1,$IH71+LARGE((IF($M$9:$M$150="",0,$M$9:$M$150)-MOD(IF($M$9:$M$150="",0,$M$9:$M$150),1)),1),$IH71)),4),"")</f>
        <v>4.1550000000000002</v>
      </c>
      <c r="IJ71" s="533">
        <f t="shared" si="112"/>
        <v>1613</v>
      </c>
      <c r="IK71" s="533">
        <f t="shared" si="382"/>
        <v>1313</v>
      </c>
      <c r="IL71" s="727">
        <f t="shared" si="225"/>
        <v>11.830998003050979</v>
      </c>
      <c r="IM71" s="759">
        <v>1.32843272800032E-3</v>
      </c>
      <c r="IN71" s="5">
        <f t="shared" si="226"/>
        <v>0</v>
      </c>
      <c r="IO71" s="771">
        <v>0</v>
      </c>
      <c r="IP71" s="9">
        <f t="shared" si="227"/>
        <v>-5.8633176837661356</v>
      </c>
      <c r="IQ71" s="5">
        <f t="shared" si="228"/>
        <v>-2.9791089849926982</v>
      </c>
      <c r="IR71" s="5">
        <f t="shared" si="383"/>
        <v>0.314</v>
      </c>
      <c r="IS71" s="5">
        <f t="shared" si="229"/>
        <v>0.27003982197909399</v>
      </c>
      <c r="IT71" s="727">
        <f t="shared" si="230"/>
        <v>88.342620183072427</v>
      </c>
      <c r="IU71" s="9">
        <f t="shared" si="231"/>
        <v>-5.9154461754237486</v>
      </c>
      <c r="IV71" s="5">
        <f t="shared" si="232"/>
        <v>-2.9776390132215784</v>
      </c>
      <c r="IW71" s="5">
        <f t="shared" si="384"/>
        <v>0.26600000000000001</v>
      </c>
      <c r="IX71" s="5">
        <f t="shared" si="233"/>
        <v>0.21637829640106251</v>
      </c>
      <c r="IY71" s="762">
        <f t="shared" si="234"/>
        <v>86.681396670670836</v>
      </c>
    </row>
    <row r="72" spans="1:259" ht="15" customHeight="1" x14ac:dyDescent="0.25">
      <c r="A72" s="79"/>
      <c r="B72" s="707">
        <v>-2.7908637827181681E-2</v>
      </c>
      <c r="C72" s="708">
        <v>-5.8999340649480985</v>
      </c>
      <c r="D72" s="709">
        <v>-3.7703999999999835</v>
      </c>
      <c r="E72" s="710">
        <v>-4.7300507468483024E-3</v>
      </c>
      <c r="F72" s="708">
        <v>-0.99998881324736877</v>
      </c>
      <c r="G72" s="711">
        <v>2.2679489680849475E-7</v>
      </c>
      <c r="H72" s="710">
        <v>0.25700000000000001</v>
      </c>
      <c r="I72" s="708">
        <v>0.41499999999999992</v>
      </c>
      <c r="J72" s="570">
        <v>4.2619999999999996</v>
      </c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CPS-32193r1</v>
      </c>
      <c r="L72" s="320"/>
      <c r="M72" s="168">
        <f t="shared" si="239"/>
        <v>4.2619999999999996</v>
      </c>
      <c r="N72" s="632">
        <f t="shared" si="240"/>
        <v>-2.7908637827181681E-2</v>
      </c>
      <c r="O72" s="629">
        <f t="shared" si="241"/>
        <v>-5.8999340649480985</v>
      </c>
      <c r="P72" s="633">
        <f t="shared" si="242"/>
        <v>-3.7703999999999835</v>
      </c>
      <c r="Q72" s="585">
        <f t="shared" si="113"/>
        <v>269.72897405034695</v>
      </c>
      <c r="R72" s="629">
        <f t="shared" si="79"/>
        <v>5.9000000731186741</v>
      </c>
      <c r="S72" s="634">
        <f t="shared" si="80"/>
        <v>-3.7703999999999835</v>
      </c>
      <c r="T72" s="635">
        <f t="shared" si="81"/>
        <v>-5.8999340649480985</v>
      </c>
      <c r="U72" s="629">
        <f t="shared" si="82"/>
        <v>2.7908637827179058E-2</v>
      </c>
      <c r="V72" s="636">
        <f t="shared" si="114"/>
        <v>-3.7703999999999835</v>
      </c>
      <c r="W72" s="585">
        <f t="shared" si="224"/>
        <v>179.72897405034695</v>
      </c>
      <c r="X72" s="629">
        <f t="shared" si="83"/>
        <v>5.9000000731186741</v>
      </c>
      <c r="Y72" s="630">
        <f t="shared" si="223"/>
        <v>-3.7703999999999835</v>
      </c>
      <c r="Z72" s="632">
        <f t="shared" si="243"/>
        <v>4.7300507468483024E-3</v>
      </c>
      <c r="AA72" s="629">
        <f t="shared" si="244"/>
        <v>0.99998881324736877</v>
      </c>
      <c r="AB72" s="629">
        <f t="shared" si="245"/>
        <v>-2.2679489680849475E-7</v>
      </c>
      <c r="AC72" s="636">
        <f t="shared" si="84"/>
        <v>1</v>
      </c>
      <c r="AD72" s="637">
        <f t="shared" si="115"/>
        <v>4.7300507468483024E-3</v>
      </c>
      <c r="AE72" s="629">
        <f t="shared" si="85"/>
        <v>0.99998881324736877</v>
      </c>
      <c r="AF72" s="633">
        <f t="shared" si="86"/>
        <v>-2.2679489680849475E-7</v>
      </c>
      <c r="AG72" s="602">
        <f t="shared" si="87"/>
        <v>89.999987005464234</v>
      </c>
      <c r="AH72" s="603">
        <f t="shared" si="88"/>
        <v>89.728987044737181</v>
      </c>
      <c r="AI72" s="585">
        <f t="shared" si="89"/>
        <v>-89.999987005609597</v>
      </c>
      <c r="AJ72" s="586">
        <f t="shared" si="90"/>
        <v>179.72898704473718</v>
      </c>
      <c r="AK72" s="635">
        <f t="shared" si="211"/>
        <v>2.2679489344694381E-7</v>
      </c>
      <c r="AL72" s="629">
        <f t="shared" si="91"/>
        <v>-0.9999999999999486</v>
      </c>
      <c r="AM72" s="634">
        <f t="shared" si="92"/>
        <v>-2.2679489680849475E-7</v>
      </c>
      <c r="AN72" s="581">
        <f t="shared" si="93"/>
        <v>-89.999987005609611</v>
      </c>
      <c r="AO72" s="582">
        <f t="shared" si="461"/>
        <v>0</v>
      </c>
      <c r="AP72" s="585">
        <f t="shared" si="95"/>
        <v>-89.999987005609796</v>
      </c>
      <c r="AQ72" s="586">
        <f t="shared" si="246"/>
        <v>0.38638848208858795</v>
      </c>
      <c r="AS72" s="52">
        <f t="shared" si="406"/>
        <v>179.72897405034695</v>
      </c>
      <c r="AT72" s="72">
        <f t="shared" si="247"/>
        <v>-3.6452117875349468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>Gage</v>
      </c>
      <c r="IG72" s="847">
        <f t="shared" si="210"/>
        <v>4.2619999999999996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4.1619999999999999</v>
      </c>
      <c r="II72" s="734" cm="1">
        <f t="array" ref="II72">IFERROR(ROUND(VALUE(IF($IH72&lt;1,$IH72+LARGE((IF($M$9:$M$150="",0,$M$9:$M$150)-MOD(IF($M$9:$M$150="",0,$M$9:$M$150),1)),1),$IH72)),4),"")</f>
        <v>4.1619999999999999</v>
      </c>
      <c r="IJ72" s="533">
        <f t="shared" si="112"/>
        <v>1613</v>
      </c>
      <c r="IK72" s="533" t="str">
        <f t="shared" si="382"/>
        <v>CPS-32193r1</v>
      </c>
      <c r="IL72" s="727">
        <f t="shared" si="225"/>
        <v>13.627998032348216</v>
      </c>
      <c r="IM72" s="759">
        <v>1.5404486474409899E-4</v>
      </c>
      <c r="IN72" s="5">
        <f t="shared" si="226"/>
        <v>0</v>
      </c>
      <c r="IO72" s="771">
        <v>0</v>
      </c>
      <c r="IP72" s="9">
        <f t="shared" si="227"/>
        <v>-5.9156178415023568</v>
      </c>
      <c r="IQ72" s="5">
        <f t="shared" si="228"/>
        <v>-3.7302999999999997</v>
      </c>
      <c r="IR72" s="5">
        <f t="shared" si="383"/>
        <v>0.314</v>
      </c>
      <c r="IS72" s="5">
        <f t="shared" si="229"/>
        <v>0.2405379754839421</v>
      </c>
      <c r="IT72" s="727">
        <f t="shared" si="230"/>
        <v>89.999987005609626</v>
      </c>
      <c r="IU72" s="9">
        <f t="shared" si="231"/>
        <v>-5.9000000731186741</v>
      </c>
      <c r="IV72" s="5">
        <f t="shared" si="232"/>
        <v>-3.7703999999999835</v>
      </c>
      <c r="IW72" s="5">
        <f t="shared" si="384"/>
        <v>0.25700000000000001</v>
      </c>
      <c r="IX72" s="5">
        <f t="shared" si="233"/>
        <v>0.25700000000000001</v>
      </c>
      <c r="IY72" s="762">
        <f t="shared" si="234"/>
        <v>89.999987005609611</v>
      </c>
    </row>
    <row r="73" spans="1:259" ht="15" customHeight="1" x14ac:dyDescent="0.25">
      <c r="A73" s="79"/>
      <c r="B73" s="707">
        <v>-0.37567793734975519</v>
      </c>
      <c r="C73" s="708">
        <v>-0.48084547765165009</v>
      </c>
      <c r="D73" s="709">
        <v>-0.70370212236560126</v>
      </c>
      <c r="E73" s="710">
        <v>0.7994549620209217</v>
      </c>
      <c r="F73" s="708">
        <v>-0.52583748981611222</v>
      </c>
      <c r="G73" s="711">
        <v>0.29045946017304541</v>
      </c>
      <c r="H73" s="710">
        <v>0.314</v>
      </c>
      <c r="I73" s="708">
        <v>0.52</v>
      </c>
      <c r="J73" s="570">
        <v>5.1020000000000003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5.1020000000000003</v>
      </c>
      <c r="N73" s="632">
        <f t="shared" ref="N73:N104" si="465">IF(M73="","",B73)</f>
        <v>-0.37567793734975519</v>
      </c>
      <c r="O73" s="629">
        <f t="shared" ref="O73:O104" si="466">IF(M73="","",C73)</f>
        <v>-0.48084547765165009</v>
      </c>
      <c r="P73" s="633">
        <f t="shared" ref="P73:P104" si="467">IF(M73="","",D73)</f>
        <v>-0.70370212236560126</v>
      </c>
      <c r="Q73" s="585">
        <f t="shared" si="113"/>
        <v>231.99997949773956</v>
      </c>
      <c r="R73" s="629">
        <f>IF(M73="","",SQRT(N73^2+O73^2))</f>
        <v>0.61020184036875058</v>
      </c>
      <c r="S73" s="634">
        <f>IF(M73="","",P73)</f>
        <v>-0.70370212236560126</v>
      </c>
      <c r="T73" s="635">
        <f>IF(M73="","",X73*COS(RADIANS(W73)))</f>
        <v>-0.4808454776516502</v>
      </c>
      <c r="U73" s="629">
        <f>IF(M73="","",X73*SIN(RADIANS(W73)))</f>
        <v>0.37567793734975519</v>
      </c>
      <c r="V73" s="636">
        <f>IF(M73="","",Y73)</f>
        <v>-0.70370212236560126</v>
      </c>
      <c r="W73" s="585">
        <f t="shared" si="224"/>
        <v>141.99997949773956</v>
      </c>
      <c r="X73" s="629">
        <f>IF(M73="","",R73)</f>
        <v>0.61020184036875058</v>
      </c>
      <c r="Y73" s="630">
        <f t="shared" si="223"/>
        <v>-0.70370212236560126</v>
      </c>
      <c r="Z73" s="632">
        <f t="shared" ref="Z73:Z104" si="468">IF(M73="","",-E73)</f>
        <v>-0.7994549620209217</v>
      </c>
      <c r="AA73" s="629">
        <f t="shared" ref="AA73:AA104" si="469">IF(M73="","",-F73)</f>
        <v>0.52583748981611222</v>
      </c>
      <c r="AB73" s="629">
        <f t="shared" ref="AB73:AB104" si="470">IF(M73="","",-G73)</f>
        <v>-0.29045946017304541</v>
      </c>
      <c r="AC73" s="636">
        <f>IF(M73="","",SQRT(Z73^2+AA73^2+AB73^2))</f>
        <v>1</v>
      </c>
      <c r="AD73" s="637">
        <f>IF(M73="","",Z73*(1/SQRT(Z73^2+AA73^2+AB73^2)))</f>
        <v>-0.7994549620209217</v>
      </c>
      <c r="AE73" s="629">
        <f>IF(M73="","",AA73*(1/SQRT(Z73^2+AA73^2+AB73^2)))</f>
        <v>0.52583748981611222</v>
      </c>
      <c r="AF73" s="633">
        <f>IF(M73="","",AB73*(1/SQRT(Z73^2+AA73^2+AB73^2)))</f>
        <v>-0.29045946017304541</v>
      </c>
      <c r="AG73" s="602">
        <f>IF(M73="","",DEGREES(ATAN2(-AF73,AE73)))</f>
        <v>61.084838914487563</v>
      </c>
      <c r="AH73" s="603">
        <f>IF(M73="","",DEGREES(ACOS(AD73)))</f>
        <v>143.07808653549645</v>
      </c>
      <c r="AI73" s="585">
        <f>IF(M73="","",DEGREES(-ACOS(-AF73)))</f>
        <v>-73.114534769632428</v>
      </c>
      <c r="AJ73" s="586">
        <f>IF(M73="","",DEGREES(ATAN2(-AE73,AD73)))</f>
        <v>-123.3347185534777</v>
      </c>
      <c r="AK73" s="635">
        <f>IF(M73="","",(COS(RADIANS((90-$Q$8)-W73))*AD73)+(-SIN(RADIANS((90-$Q$8)-W73))*AE73))</f>
        <v>0.95371696400905348</v>
      </c>
      <c r="AL73" s="629">
        <f>IF(M73="","",(SIN(RADIANS((90-$Q$8)-W73))*AD73)+(COS(RADIANS((90-$Q$8)-W73))*AE73))</f>
        <v>7.7828366019961903E-2</v>
      </c>
      <c r="AM73" s="634">
        <f>IF(M73="","",AF73)</f>
        <v>-0.29045946017304541</v>
      </c>
      <c r="AN73" s="581">
        <f>IF(M73="","",DEGREES(ATAN2(-AM73,AL73)))</f>
        <v>14.999997834268331</v>
      </c>
      <c r="AO73" s="582">
        <f t="shared" si="461"/>
        <v>17.499997473312952</v>
      </c>
      <c r="AP73" s="585">
        <f>IF(M73="","",DEGREES(ATAN2(AK73,AL73)))</f>
        <v>4.6653019487827256</v>
      </c>
      <c r="AQ73" s="586">
        <f t="shared" ref="AQ73:AQ104" si="471">IF(M73="","",DEGREES(ATAN(($AS$5*SIN(RADIANS(90)))/(($X73*2*PI())-($AS$5*COS(RADIANS(90)))))))</f>
        <v>3.7307391016610647</v>
      </c>
      <c r="AS73" s="52">
        <f t="shared" si="406"/>
        <v>141.99997949773956</v>
      </c>
      <c r="AT73" s="72">
        <f t="shared" ref="AT73:AT104" si="472">IF(M73="","",Y73+(((AS73-$AS$9)*$AS$6)*-1))</f>
        <v>-0.55231321923903154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5.1020000000000003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-0.85127807927483778</v>
      </c>
      <c r="C74" s="708">
        <v>-1.0895854505882285</v>
      </c>
      <c r="D74" s="709">
        <v>-0.4967014980517182</v>
      </c>
      <c r="E74" s="710">
        <v>0.80240123924886197</v>
      </c>
      <c r="F74" s="708">
        <v>-0.54189691604529522</v>
      </c>
      <c r="G74" s="711">
        <v>0.24999996726497564</v>
      </c>
      <c r="H74" s="710">
        <v>0.314</v>
      </c>
      <c r="I74" s="708">
        <v>0.52</v>
      </c>
      <c r="J74" s="570">
        <v>5.1050000000000004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5.1050000000000004</v>
      </c>
      <c r="N74" s="632">
        <f t="shared" si="465"/>
        <v>-0.85127807927483778</v>
      </c>
      <c r="O74" s="629">
        <f t="shared" si="466"/>
        <v>-1.0895854505882285</v>
      </c>
      <c r="P74" s="633">
        <f t="shared" si="467"/>
        <v>-0.4967014980517182</v>
      </c>
      <c r="Q74" s="585">
        <f t="shared" ref="Q74:Q129" si="520">IF(M74="","",IF(DEGREES(ATAN2(N74,O74))&lt;0,DEGREES(ATAN2(N74,O74))+360,IF(DEGREES(ATAN2(N74,O74))&gt;360,DEGREES(ATAN2(N74,O74))-360,DEGREES(ATAN2(N74,O74)))))</f>
        <v>231.99997949773959</v>
      </c>
      <c r="R74" s="629">
        <f>IF(M74="","",SQRT(N74^2+O74^2))</f>
        <v>1.3827041702357774</v>
      </c>
      <c r="S74" s="634">
        <f>IF(M74="","",P74)</f>
        <v>-0.4967014980517182</v>
      </c>
      <c r="T74" s="635">
        <f>IF(M74="","",X74*COS(RADIANS(W74)))</f>
        <v>-1.0895854505882279</v>
      </c>
      <c r="U74" s="629">
        <f>IF(M74="","",X74*SIN(RADIANS(W74)))</f>
        <v>0.85127807927483845</v>
      </c>
      <c r="V74" s="636">
        <f>IF(M74="","",Y74)</f>
        <v>-0.4967014980517182</v>
      </c>
      <c r="W74" s="585">
        <f t="shared" si="224"/>
        <v>141.99997949773956</v>
      </c>
      <c r="X74" s="629">
        <f>IF(M74="","",R74)</f>
        <v>1.3827041702357774</v>
      </c>
      <c r="Y74" s="630">
        <f t="shared" si="223"/>
        <v>-0.4967014980517182</v>
      </c>
      <c r="Z74" s="632">
        <f t="shared" si="468"/>
        <v>-0.80240123924886197</v>
      </c>
      <c r="AA74" s="629">
        <f t="shared" si="469"/>
        <v>0.54189691604529522</v>
      </c>
      <c r="AB74" s="629">
        <f t="shared" si="470"/>
        <v>-0.24999996726497564</v>
      </c>
      <c r="AC74" s="636">
        <f>IF(M74="","",SQRT(Z74^2+AA74^2+AB74^2))</f>
        <v>1</v>
      </c>
      <c r="AD74" s="637">
        <f>IF(M74="","",Z74*(1/SQRT(Z74^2+AA74^2+AB74^2)))</f>
        <v>-0.80240123924886197</v>
      </c>
      <c r="AE74" s="629">
        <f>IF(M74="","",AA74*(1/SQRT(Z74^2+AA74^2+AB74^2)))</f>
        <v>0.54189691604529522</v>
      </c>
      <c r="AF74" s="633">
        <f>IF(M74="","",AB74*(1/SQRT(Z74^2+AA74^2+AB74^2)))</f>
        <v>-0.24999996726497564</v>
      </c>
      <c r="AG74" s="602">
        <f>IF(M74="","",DEGREES(ATAN2(-AF74,AE74)))</f>
        <v>65.234125837354625</v>
      </c>
      <c r="AH74" s="603">
        <f>IF(M74="","",DEGREES(ACOS(AD74)))</f>
        <v>143.36001950406509</v>
      </c>
      <c r="AI74" s="585">
        <f>IF(M74="","",DEGREES(-ACOS(-AF74)))</f>
        <v>-75.522489751159469</v>
      </c>
      <c r="AJ74" s="586">
        <f>IF(M74="","",DEGREES(ATAN2(-AE74,AD74)))</f>
        <v>-124.03289085717384</v>
      </c>
      <c r="AK74" s="635">
        <f>IF(M74="","",(COS(RADIANS((90-$Q$8)-W74))*AD74)+(-SIN(RADIANS((90-$Q$8)-W74))*AE74))</f>
        <v>0.96592583607220739</v>
      </c>
      <c r="AL74" s="629">
        <f>IF(M74="","",(SIN(RADIANS((90-$Q$8)-W74))*AD74)+(COS(RADIANS((90-$Q$8)-W74))*AE74))</f>
        <v>6.6987279208207795E-2</v>
      </c>
      <c r="AM74" s="634">
        <f>IF(M74="","",AF74)</f>
        <v>-0.24999996726497564</v>
      </c>
      <c r="AN74" s="581">
        <f>IF(M74="","",DEGREES(ATAN2(-AM74,AL74)))</f>
        <v>14.999997834268395</v>
      </c>
      <c r="AO74" s="582">
        <f t="shared" si="461"/>
        <v>14.999997834268255</v>
      </c>
      <c r="AP74" s="585">
        <f>IF(M74="","",DEGREES(ATAN2(AK74,AL74)))</f>
        <v>3.9671296450866067</v>
      </c>
      <c r="AQ74" s="586">
        <f t="shared" si="471"/>
        <v>1.6482901718384932</v>
      </c>
      <c r="AS74" s="52">
        <f t="shared" si="406"/>
        <v>141.99997949773956</v>
      </c>
      <c r="AT74" s="72">
        <f t="shared" si="472"/>
        <v>-0.34531259492514843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5.1050000000000004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-1.2960950404927953</v>
      </c>
      <c r="C75" s="708">
        <v>-1.6589247780272931</v>
      </c>
      <c r="D75" s="709">
        <v>-0.30310091415235713</v>
      </c>
      <c r="E75" s="710">
        <v>0.80240123924886186</v>
      </c>
      <c r="F75" s="708">
        <v>-0.54189691604529544</v>
      </c>
      <c r="G75" s="711">
        <v>0.24999996726497567</v>
      </c>
      <c r="H75" s="710">
        <v>0.314</v>
      </c>
      <c r="I75" s="708">
        <v>0.52</v>
      </c>
      <c r="J75" s="570">
        <v>5.1079999999999997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5.1079999999999997</v>
      </c>
      <c r="N75" s="632">
        <f t="shared" si="465"/>
        <v>-1.2960950404927953</v>
      </c>
      <c r="O75" s="629">
        <f t="shared" si="466"/>
        <v>-1.6589247780272931</v>
      </c>
      <c r="P75" s="633">
        <f t="shared" si="467"/>
        <v>-0.30310091415235713</v>
      </c>
      <c r="Q75" s="585">
        <f t="shared" si="520"/>
        <v>231.99997949773959</v>
      </c>
      <c r="R75" s="629">
        <f>IF(M75="","",SQRT(N75^2+O75^2))</f>
        <v>2.1052063493023492</v>
      </c>
      <c r="S75" s="634">
        <f>IF(M75="","",P75)</f>
        <v>-0.30310091415235713</v>
      </c>
      <c r="T75" s="635">
        <f>IF(M75="","",X75*COS(RADIANS(W75)))</f>
        <v>-1.6589247780272922</v>
      </c>
      <c r="U75" s="629">
        <f>IF(M75="","",X75*SIN(RADIANS(W75)))</f>
        <v>1.2960950404927964</v>
      </c>
      <c r="V75" s="636">
        <f>IF(M75="","",Y75)</f>
        <v>-0.30310091415235713</v>
      </c>
      <c r="W75" s="585">
        <f t="shared" si="224"/>
        <v>141.99997949773956</v>
      </c>
      <c r="X75" s="629">
        <f>IF(M75="","",R75)</f>
        <v>2.1052063493023492</v>
      </c>
      <c r="Y75" s="630">
        <f t="shared" si="223"/>
        <v>-0.30310091415235713</v>
      </c>
      <c r="Z75" s="632">
        <f t="shared" si="468"/>
        <v>-0.80240123924886186</v>
      </c>
      <c r="AA75" s="629">
        <f t="shared" si="469"/>
        <v>0.54189691604529544</v>
      </c>
      <c r="AB75" s="629">
        <f t="shared" si="470"/>
        <v>-0.24999996726497567</v>
      </c>
      <c r="AC75" s="636">
        <f>IF(M75="","",SQRT(Z75^2+AA75^2+AB75^2))</f>
        <v>1</v>
      </c>
      <c r="AD75" s="637">
        <f>IF(M75="","",Z75*(1/SQRT(Z75^2+AA75^2+AB75^2)))</f>
        <v>-0.80240123924886186</v>
      </c>
      <c r="AE75" s="629">
        <f>IF(M75="","",AA75*(1/SQRT(Z75^2+AA75^2+AB75^2)))</f>
        <v>0.54189691604529544</v>
      </c>
      <c r="AF75" s="633">
        <f>IF(M75="","",AB75*(1/SQRT(Z75^2+AA75^2+AB75^2)))</f>
        <v>-0.24999996726497567</v>
      </c>
      <c r="AG75" s="602">
        <f>IF(M75="","",DEGREES(ATAN2(-AF75,AE75)))</f>
        <v>65.234125837354625</v>
      </c>
      <c r="AH75" s="603">
        <f>IF(M75="","",DEGREES(ACOS(AD75)))</f>
        <v>143.36001950406506</v>
      </c>
      <c r="AI75" s="585">
        <f>IF(M75="","",DEGREES(-ACOS(-AF75)))</f>
        <v>-75.522489751159455</v>
      </c>
      <c r="AJ75" s="586">
        <f>IF(M75="","",DEGREES(ATAN2(-AE75,AD75)))</f>
        <v>-124.03289085717384</v>
      </c>
      <c r="AK75" s="635">
        <f>IF(M75="","",(COS(RADIANS((90-$Q$8)-W75))*AD75)+(-SIN(RADIANS((90-$Q$8)-W75))*AE75))</f>
        <v>0.96592583607220739</v>
      </c>
      <c r="AL75" s="629">
        <f>IF(M75="","",(SIN(RADIANS((90-$Q$8)-W75))*AD75)+(COS(RADIANS((90-$Q$8)-W75))*AE75))</f>
        <v>6.6987279208207517E-2</v>
      </c>
      <c r="AM75" s="634">
        <f>IF(M75="","",AF75)</f>
        <v>-0.24999996726497567</v>
      </c>
      <c r="AN75" s="581">
        <f>IF(M75="","",DEGREES(ATAN2(-AM75,AL75)))</f>
        <v>14.999997834268335</v>
      </c>
      <c r="AO75" s="582">
        <f t="shared" si="461"/>
        <v>14.999997834268255</v>
      </c>
      <c r="AP75" s="585">
        <f>IF(M75="","",DEGREES(ATAN2(AK75,AL75)))</f>
        <v>3.9671296450865903</v>
      </c>
      <c r="AQ75" s="586">
        <f t="shared" si="471"/>
        <v>1.0827704558471207</v>
      </c>
      <c r="AS75" s="52">
        <f t="shared" ref="AS75:AS106" si="543">IF(G75="","",IF(AND(W75&lt;(AS74+180),W75&gt;(AS74-180)),W75,IF(W75&gt;(AS74+180),W75-360,IF(W75&lt;(AS74-180),W75+360,"Error"))))</f>
        <v>141.99997949773956</v>
      </c>
      <c r="AT75" s="72">
        <f t="shared" si="472"/>
        <v>-0.15171201102578738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5.1079999999999997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-1.7746503677657626</v>
      </c>
      <c r="C76" s="708">
        <v>-2.2714472129316325</v>
      </c>
      <c r="D76" s="709">
        <v>-0.13970042133647073</v>
      </c>
      <c r="E76" s="710">
        <v>0.76740984195536843</v>
      </c>
      <c r="F76" s="708">
        <v>-0.58656404837653853</v>
      </c>
      <c r="G76" s="711">
        <v>0.25889138962538372</v>
      </c>
      <c r="H76" s="710">
        <v>0.314</v>
      </c>
      <c r="I76" s="708">
        <v>0.52</v>
      </c>
      <c r="J76" s="570">
        <v>5.1120000000000001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5.1120000000000001</v>
      </c>
      <c r="N76" s="632">
        <f t="shared" si="465"/>
        <v>-1.7746503677657626</v>
      </c>
      <c r="O76" s="629">
        <f t="shared" si="466"/>
        <v>-2.2714472129316325</v>
      </c>
      <c r="P76" s="633">
        <f t="shared" si="467"/>
        <v>-0.13970042133647073</v>
      </c>
      <c r="Q76" s="585">
        <f t="shared" si="520"/>
        <v>231.99997949773959</v>
      </c>
      <c r="R76" s="629">
        <f t="shared" si="79"/>
        <v>2.8825086936462201</v>
      </c>
      <c r="S76" s="634">
        <f t="shared" si="80"/>
        <v>-0.13970042133647073</v>
      </c>
      <c r="T76" s="635">
        <f t="shared" si="81"/>
        <v>-2.2714472129316317</v>
      </c>
      <c r="U76" s="629">
        <f t="shared" si="82"/>
        <v>1.7746503677657641</v>
      </c>
      <c r="V76" s="636">
        <f t="shared" si="114"/>
        <v>-0.13970042133647073</v>
      </c>
      <c r="W76" s="585">
        <f t="shared" si="224"/>
        <v>141.99997949773956</v>
      </c>
      <c r="X76" s="629">
        <f t="shared" si="83"/>
        <v>2.8825086936462201</v>
      </c>
      <c r="Y76" s="630">
        <f t="shared" ref="Y76:Y129" si="644">IF(M76="","",S76)</f>
        <v>-0.13970042133647073</v>
      </c>
      <c r="Z76" s="632">
        <f t="shared" si="468"/>
        <v>-0.76740984195536843</v>
      </c>
      <c r="AA76" s="629">
        <f t="shared" si="469"/>
        <v>0.58656404837653853</v>
      </c>
      <c r="AB76" s="629">
        <f t="shared" si="470"/>
        <v>-0.25889138962538372</v>
      </c>
      <c r="AC76" s="636">
        <f t="shared" si="84"/>
        <v>1</v>
      </c>
      <c r="AD76" s="637">
        <f t="shared" si="115"/>
        <v>-0.76740984195536843</v>
      </c>
      <c r="AE76" s="629">
        <f t="shared" si="85"/>
        <v>0.58656404837653853</v>
      </c>
      <c r="AF76" s="633">
        <f t="shared" si="86"/>
        <v>-0.25889138962538372</v>
      </c>
      <c r="AG76" s="602">
        <f t="shared" si="87"/>
        <v>66.184806738444621</v>
      </c>
      <c r="AH76" s="603">
        <f t="shared" si="88"/>
        <v>140.12186128341884</v>
      </c>
      <c r="AI76" s="585">
        <f t="shared" si="89"/>
        <v>-74.995708700072925</v>
      </c>
      <c r="AJ76" s="586">
        <f t="shared" si="90"/>
        <v>-127.39222094359194</v>
      </c>
      <c r="AK76" s="635">
        <f t="shared" si="211"/>
        <v>0.96585209161458441</v>
      </c>
      <c r="AL76" s="629">
        <f t="shared" si="91"/>
        <v>1.0246243290603307E-2</v>
      </c>
      <c r="AM76" s="634">
        <f t="shared" si="92"/>
        <v>-0.25889138962538372</v>
      </c>
      <c r="AN76" s="581">
        <f t="shared" si="93"/>
        <v>2.2664340597540784</v>
      </c>
      <c r="AO76" s="582">
        <f t="shared" si="461"/>
        <v>15.016314263916982</v>
      </c>
      <c r="AP76" s="585">
        <f t="shared" si="95"/>
        <v>0.60779955866850865</v>
      </c>
      <c r="AQ76" s="586">
        <f t="shared" si="471"/>
        <v>0.79083260455316029</v>
      </c>
      <c r="AS76" s="52">
        <f t="shared" si="543"/>
        <v>141.99997949773956</v>
      </c>
      <c r="AT76" s="72">
        <f t="shared" si="472"/>
        <v>1.1688481790099015E-2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5.1120000000000001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-2.2384913346607234</v>
      </c>
      <c r="C77" s="708">
        <v>-2.8651361392881594</v>
      </c>
      <c r="D77" s="709">
        <v>-0.1801005431832382</v>
      </c>
      <c r="E77" s="710">
        <v>0.70792708238088453</v>
      </c>
      <c r="F77" s="708">
        <v>-0.66131779172742589</v>
      </c>
      <c r="G77" s="711">
        <v>0.24798795207922808</v>
      </c>
      <c r="H77" s="710">
        <v>0.314</v>
      </c>
      <c r="I77" s="708">
        <v>0.52</v>
      </c>
      <c r="J77" s="570">
        <v>5.1189999999999998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5.1189999999999998</v>
      </c>
      <c r="N77" s="632">
        <f t="shared" si="465"/>
        <v>-2.2384913346607234</v>
      </c>
      <c r="O77" s="629">
        <f t="shared" si="466"/>
        <v>-2.8651361392881594</v>
      </c>
      <c r="P77" s="633">
        <f t="shared" si="467"/>
        <v>-0.1801005431832382</v>
      </c>
      <c r="Q77" s="585">
        <f t="shared" si="520"/>
        <v>231.99997949773959</v>
      </c>
      <c r="R77" s="629">
        <f t="shared" si="79"/>
        <v>3.6359109659074718</v>
      </c>
      <c r="S77" s="634">
        <f t="shared" si="80"/>
        <v>-0.1801005431832382</v>
      </c>
      <c r="T77" s="635">
        <f t="shared" si="81"/>
        <v>-2.865136139288158</v>
      </c>
      <c r="U77" s="629">
        <f t="shared" si="82"/>
        <v>2.2384913346607247</v>
      </c>
      <c r="V77" s="636">
        <f t="shared" si="114"/>
        <v>-0.1801005431832382</v>
      </c>
      <c r="W77" s="585">
        <f t="shared" si="224"/>
        <v>141.99997949773956</v>
      </c>
      <c r="X77" s="629">
        <f t="shared" si="83"/>
        <v>3.6359109659074718</v>
      </c>
      <c r="Y77" s="630">
        <f t="shared" si="644"/>
        <v>-0.1801005431832382</v>
      </c>
      <c r="Z77" s="632">
        <f t="shared" si="468"/>
        <v>-0.70792708238088453</v>
      </c>
      <c r="AA77" s="629">
        <f t="shared" si="469"/>
        <v>0.66131779172742589</v>
      </c>
      <c r="AB77" s="629">
        <f t="shared" si="470"/>
        <v>-0.24798795207922808</v>
      </c>
      <c r="AC77" s="636">
        <f t="shared" si="84"/>
        <v>1</v>
      </c>
      <c r="AD77" s="637">
        <f t="shared" si="115"/>
        <v>-0.70792708238088453</v>
      </c>
      <c r="AE77" s="629">
        <f t="shared" si="85"/>
        <v>0.66131779172742589</v>
      </c>
      <c r="AF77" s="633">
        <f t="shared" si="86"/>
        <v>-0.24798795207922808</v>
      </c>
      <c r="AG77" s="602">
        <f t="shared" si="87"/>
        <v>69.444427222523842</v>
      </c>
      <c r="AH77" s="603">
        <f t="shared" si="88"/>
        <v>135.06650636317562</v>
      </c>
      <c r="AI77" s="585">
        <f t="shared" si="89"/>
        <v>-75.641518562381933</v>
      </c>
      <c r="AJ77" s="586">
        <f t="shared" si="90"/>
        <v>-133.05039628957311</v>
      </c>
      <c r="AK77" s="635">
        <f t="shared" si="211"/>
        <v>0.96500207151618023</v>
      </c>
      <c r="AL77" s="629">
        <f t="shared" si="91"/>
        <v>-8.5281754162491563E-2</v>
      </c>
      <c r="AM77" s="634">
        <f t="shared" si="92"/>
        <v>-0.24798795207922808</v>
      </c>
      <c r="AN77" s="581">
        <f t="shared" si="93"/>
        <v>-18.977824476445008</v>
      </c>
      <c r="AO77" s="582">
        <f t="shared" si="461"/>
        <v>15.203151506398019</v>
      </c>
      <c r="AP77" s="585">
        <f t="shared" si="95"/>
        <v>-5.0503757873126895</v>
      </c>
      <c r="AQ77" s="586">
        <f t="shared" si="471"/>
        <v>0.62697784872842199</v>
      </c>
      <c r="AS77" s="52">
        <f t="shared" si="543"/>
        <v>141.99997949773956</v>
      </c>
      <c r="AT77" s="72">
        <f t="shared" si="472"/>
        <v>-2.8711640056668458E-2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5.1189999999999998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-2.7071783656547579</v>
      </c>
      <c r="C78" s="708">
        <v>-3.4050946319911781</v>
      </c>
      <c r="D78" s="709">
        <v>-0.42380127818465518</v>
      </c>
      <c r="E78" s="710">
        <v>0.65282502015970778</v>
      </c>
      <c r="F78" s="708">
        <v>-0.72725233468210437</v>
      </c>
      <c r="G78" s="711">
        <v>0.21195172741194085</v>
      </c>
      <c r="H78" s="710">
        <v>0.314</v>
      </c>
      <c r="I78" s="708">
        <v>0.52</v>
      </c>
      <c r="J78" s="570">
        <v>5.1260000000000003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5.1260000000000003</v>
      </c>
      <c r="N78" s="632">
        <f t="shared" si="465"/>
        <v>-2.7071783656547579</v>
      </c>
      <c r="O78" s="629">
        <f t="shared" si="466"/>
        <v>-3.4050946319911781</v>
      </c>
      <c r="P78" s="633">
        <f t="shared" si="467"/>
        <v>-0.42380127818465518</v>
      </c>
      <c r="Q78" s="585">
        <f t="shared" si="520"/>
        <v>231.5139794977396</v>
      </c>
      <c r="R78" s="629">
        <f>IF(M78="","",SQRT(N78^2+O78^2))</f>
        <v>4.3501131199411702</v>
      </c>
      <c r="S78" s="634">
        <f>IF(M78="","",P78)</f>
        <v>-0.42380127818465518</v>
      </c>
      <c r="T78" s="635">
        <f>IF(M78="","",X78*COS(RADIANS(W78)))</f>
        <v>-3.4050946319911768</v>
      </c>
      <c r="U78" s="629">
        <f>IF(M78="","",X78*SIN(RADIANS(W78)))</f>
        <v>2.7071783656547592</v>
      </c>
      <c r="V78" s="636">
        <f>IF(M78="","",Y78)</f>
        <v>-0.42380127818465518</v>
      </c>
      <c r="W78" s="585">
        <f t="shared" si="224"/>
        <v>141.51397949773957</v>
      </c>
      <c r="X78" s="629">
        <f>IF(M78="","",R78)</f>
        <v>4.3501131199411702</v>
      </c>
      <c r="Y78" s="630">
        <f t="shared" si="644"/>
        <v>-0.42380127818465518</v>
      </c>
      <c r="Z78" s="632">
        <f t="shared" si="468"/>
        <v>-0.65282502015970778</v>
      </c>
      <c r="AA78" s="629">
        <f t="shared" si="469"/>
        <v>0.72725233468210437</v>
      </c>
      <c r="AB78" s="629">
        <f t="shared" si="470"/>
        <v>-0.21195172741194085</v>
      </c>
      <c r="AC78" s="636">
        <f>IF(M78="","",SQRT(Z78^2+AA78^2+AB78^2))</f>
        <v>1</v>
      </c>
      <c r="AD78" s="637">
        <f>IF(M78="","",Z78*(1/SQRT(Z78^2+AA78^2+AB78^2)))</f>
        <v>-0.65282502015970778</v>
      </c>
      <c r="AE78" s="629">
        <f>IF(M78="","",AA78*(1/SQRT(Z78^2+AA78^2+AB78^2)))</f>
        <v>0.72725233468210437</v>
      </c>
      <c r="AF78" s="633">
        <f>IF(M78="","",AB78*(1/SQRT(Z78^2+AA78^2+AB78^2)))</f>
        <v>-0.21195172741194085</v>
      </c>
      <c r="AG78" s="602">
        <f>IF(M78="","",DEGREES(ATAN2(-AF78,AE78)))</f>
        <v>73.751669971333726</v>
      </c>
      <c r="AH78" s="603">
        <f>IF(M78="","",DEGREES(ACOS(AD78)))</f>
        <v>130.75493647736113</v>
      </c>
      <c r="AI78" s="585">
        <f>IF(M78="","",DEGREES(-ACOS(-AF78)))</f>
        <v>-77.76324697440559</v>
      </c>
      <c r="AJ78" s="586">
        <f>IF(M78="","",DEGREES(ATAN2(-AE78,AD78)))</f>
        <v>-138.08696029707639</v>
      </c>
      <c r="AK78" s="635">
        <f>IF(M78="","",(COS(RADIANS((90-$Q$8)-W78))*AD78)+(-SIN(RADIANS((90-$Q$8)-W78))*AE78))</f>
        <v>0.96359166831398357</v>
      </c>
      <c r="AL78" s="629">
        <f>IF(M78="","",(SIN(RADIANS((90-$Q$8)-W78))*AD78)+(COS(RADIANS((90-$Q$8)-W78))*AE78))</f>
        <v>-0.16299558890647436</v>
      </c>
      <c r="AM78" s="634">
        <f>IF(M78="","",AF78)</f>
        <v>-0.21195172741194085</v>
      </c>
      <c r="AN78" s="581">
        <f>IF(M78="","",DEGREES(ATAN2(-AM78,AL78)))</f>
        <v>-37.561084448400557</v>
      </c>
      <c r="AO78" s="582">
        <f t="shared" si="461"/>
        <v>15.50831328808987</v>
      </c>
      <c r="AP78" s="585">
        <f>IF(M78="","",DEGREES(ATAN2(AK78,AL78)))</f>
        <v>-9.6009397948159414</v>
      </c>
      <c r="AQ78" s="586">
        <f t="shared" si="471"/>
        <v>0.52404684616674768</v>
      </c>
      <c r="AS78" s="52">
        <f t="shared" si="543"/>
        <v>141.51397949773957</v>
      </c>
      <c r="AT78" s="72">
        <f t="shared" si="472"/>
        <v>-0.27207487505808547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5.1260000000000003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-3.134961343411244</v>
      </c>
      <c r="C79" s="708">
        <v>-3.8579789589604454</v>
      </c>
      <c r="D79" s="709">
        <v>-0.85240257084615423</v>
      </c>
      <c r="E79" s="710">
        <v>0.60573901174277989</v>
      </c>
      <c r="F79" s="708">
        <v>-0.78000816860363853</v>
      </c>
      <c r="G79" s="711">
        <v>0.15705892704484664</v>
      </c>
      <c r="H79" s="710">
        <v>0.314</v>
      </c>
      <c r="I79" s="708">
        <v>0.52</v>
      </c>
      <c r="J79" s="570">
        <v>5.133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5.133</v>
      </c>
      <c r="N79" s="632">
        <f t="shared" si="465"/>
        <v>-3.134961343411244</v>
      </c>
      <c r="O79" s="629">
        <f t="shared" si="466"/>
        <v>-3.8579789589604454</v>
      </c>
      <c r="P79" s="633">
        <f t="shared" si="467"/>
        <v>-0.85240257084615423</v>
      </c>
      <c r="Q79" s="585">
        <f t="shared" si="520"/>
        <v>230.90297949773961</v>
      </c>
      <c r="R79" s="629">
        <f>IF(M79="","",SQRT(N79^2+O79^2))</f>
        <v>4.9711149928828195</v>
      </c>
      <c r="S79" s="634">
        <f>IF(M79="","",P79)</f>
        <v>-0.85240257084615423</v>
      </c>
      <c r="T79" s="635">
        <f>IF(M79="","",X79*COS(RADIANS(W79)))</f>
        <v>-3.8579789589604454</v>
      </c>
      <c r="U79" s="629">
        <f>IF(M79="","",X79*SIN(RADIANS(W79)))</f>
        <v>3.1349613434112444</v>
      </c>
      <c r="V79" s="636">
        <f>IF(M79="","",Y79)</f>
        <v>-0.85240257084615423</v>
      </c>
      <c r="W79" s="585">
        <f t="shared" ref="W79:W129" si="645">IF(M79="","",IF(Q79-$Q$8&lt;0,360+Q79-$Q$8,Q79-$Q$8))</f>
        <v>140.90297949773958</v>
      </c>
      <c r="X79" s="629">
        <f>IF(M79="","",R79)</f>
        <v>4.9711149928828195</v>
      </c>
      <c r="Y79" s="630">
        <f t="shared" si="644"/>
        <v>-0.85240257084615423</v>
      </c>
      <c r="Z79" s="632">
        <f t="shared" si="468"/>
        <v>-0.60573901174277989</v>
      </c>
      <c r="AA79" s="629">
        <f t="shared" si="469"/>
        <v>0.78000816860363853</v>
      </c>
      <c r="AB79" s="629">
        <f t="shared" si="470"/>
        <v>-0.15705892704484664</v>
      </c>
      <c r="AC79" s="636">
        <f>IF(M79="","",SQRT(Z79^2+AA79^2+AB79^2))</f>
        <v>1</v>
      </c>
      <c r="AD79" s="637">
        <f>IF(M79="","",Z79*(1/SQRT(Z79^2+AA79^2+AB79^2)))</f>
        <v>-0.60573901174277989</v>
      </c>
      <c r="AE79" s="629">
        <f>IF(M79="","",AA79*(1/SQRT(Z79^2+AA79^2+AB79^2)))</f>
        <v>0.78000816860363853</v>
      </c>
      <c r="AF79" s="633">
        <f>IF(M79="","",AB79*(1/SQRT(Z79^2+AA79^2+AB79^2)))</f>
        <v>-0.15705892704484664</v>
      </c>
      <c r="AG79" s="602">
        <f>IF(M79="","",DEGREES(ATAN2(-AF79,AE79)))</f>
        <v>78.615410240815123</v>
      </c>
      <c r="AH79" s="603">
        <f>IF(M79="","",DEGREES(ACOS(AD79)))</f>
        <v>127.28203937089533</v>
      </c>
      <c r="AI79" s="585">
        <f>IF(M79="","",DEGREES(-ACOS(-AF79)))</f>
        <v>-80.963773156123125</v>
      </c>
      <c r="AJ79" s="586">
        <f>IF(M79="","",DEGREES(ATAN2(-AE79,AD79)))</f>
        <v>-142.16778916916883</v>
      </c>
      <c r="AK79" s="635">
        <f>IF(M79="","",(COS(RADIANS((90-$Q$8)-W79))*AD79)+(-SIN(RADIANS((90-$Q$8)-W79))*AE79))</f>
        <v>0.96200225198759026</v>
      </c>
      <c r="AL79" s="629">
        <f>IF(M79="","",(SIN(RADIANS((90-$Q$8)-W79))*AD79)+(COS(RADIANS((90-$Q$8)-W79))*AE79))</f>
        <v>-0.22334762279085668</v>
      </c>
      <c r="AM79" s="634">
        <f>IF(M79="","",AF79)</f>
        <v>-0.15705892704484664</v>
      </c>
      <c r="AN79" s="581">
        <f>IF(M79="","",DEGREES(ATAN2(-AM79,AL79)))</f>
        <v>-54.884962533652313</v>
      </c>
      <c r="AO79" s="582">
        <f t="shared" si="461"/>
        <v>15.845334993365931</v>
      </c>
      <c r="AP79" s="585">
        <f>IF(M79="","",DEGREES(ATAN2(AK79,AL79)))</f>
        <v>-13.070768666908425</v>
      </c>
      <c r="AQ79" s="586">
        <f t="shared" si="471"/>
        <v>0.45858483548280199</v>
      </c>
      <c r="AS79" s="52">
        <f t="shared" si="543"/>
        <v>140.90297949773958</v>
      </c>
      <c r="AT79" s="72">
        <f t="shared" si="472"/>
        <v>-0.7002518621640289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5.133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-3.4398270435166962</v>
      </c>
      <c r="C80" s="708">
        <v>-4.2302889402777879</v>
      </c>
      <c r="D80" s="709">
        <v>-1.433704324052242</v>
      </c>
      <c r="E80" s="710">
        <v>0.56789473804455748</v>
      </c>
      <c r="F80" s="708">
        <v>-0.81680233678193859</v>
      </c>
      <c r="G80" s="711">
        <v>0.10163419271518837</v>
      </c>
      <c r="H80" s="710">
        <v>0.314</v>
      </c>
      <c r="I80" s="708">
        <v>0.52</v>
      </c>
      <c r="J80" s="570">
        <v>5.14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5.14</v>
      </c>
      <c r="N80" s="632">
        <f t="shared" si="465"/>
        <v>-3.4398270435166962</v>
      </c>
      <c r="O80" s="629">
        <f t="shared" si="466"/>
        <v>-4.2302889402777879</v>
      </c>
      <c r="P80" s="633">
        <f t="shared" si="467"/>
        <v>-1.433704324052242</v>
      </c>
      <c r="Q80" s="585">
        <f t="shared" si="520"/>
        <v>230.8839794977396</v>
      </c>
      <c r="R80" s="629">
        <f t="shared" si="79"/>
        <v>5.4523164441863958</v>
      </c>
      <c r="S80" s="634">
        <f t="shared" si="80"/>
        <v>-1.433704324052242</v>
      </c>
      <c r="T80" s="635">
        <f t="shared" si="81"/>
        <v>-4.230288940277787</v>
      </c>
      <c r="U80" s="629">
        <f t="shared" si="82"/>
        <v>3.4398270435166975</v>
      </c>
      <c r="V80" s="636">
        <f t="shared" si="114"/>
        <v>-1.433704324052242</v>
      </c>
      <c r="W80" s="585">
        <f t="shared" si="645"/>
        <v>140.88397949773957</v>
      </c>
      <c r="X80" s="629">
        <f t="shared" si="83"/>
        <v>5.4523164441863958</v>
      </c>
      <c r="Y80" s="630">
        <f t="shared" si="644"/>
        <v>-1.433704324052242</v>
      </c>
      <c r="Z80" s="632">
        <f t="shared" si="468"/>
        <v>-0.56789473804455748</v>
      </c>
      <c r="AA80" s="629">
        <f t="shared" si="469"/>
        <v>0.81680233678193859</v>
      </c>
      <c r="AB80" s="629">
        <f t="shared" si="470"/>
        <v>-0.10163419271518837</v>
      </c>
      <c r="AC80" s="636">
        <f t="shared" si="84"/>
        <v>1</v>
      </c>
      <c r="AD80" s="637">
        <f t="shared" si="115"/>
        <v>-0.56789473804455748</v>
      </c>
      <c r="AE80" s="629">
        <f t="shared" si="85"/>
        <v>0.81680233678193859</v>
      </c>
      <c r="AF80" s="633">
        <f t="shared" si="86"/>
        <v>-0.10163419271518837</v>
      </c>
      <c r="AG80" s="602">
        <f t="shared" si="87"/>
        <v>82.907178119826256</v>
      </c>
      <c r="AH80" s="603">
        <f t="shared" si="88"/>
        <v>124.60354952805174</v>
      </c>
      <c r="AI80" s="585">
        <f t="shared" si="89"/>
        <v>-84.166717664300094</v>
      </c>
      <c r="AJ80" s="586">
        <f t="shared" si="90"/>
        <v>-145.19043137142856</v>
      </c>
      <c r="AK80" s="635">
        <f t="shared" si="211"/>
        <v>0.9559272008908013</v>
      </c>
      <c r="AL80" s="629">
        <f t="shared" si="91"/>
        <v>-0.27545176976779379</v>
      </c>
      <c r="AM80" s="634">
        <f t="shared" si="92"/>
        <v>-0.10163419271518837</v>
      </c>
      <c r="AN80" s="581">
        <f t="shared" si="93"/>
        <v>-69.747314174019792</v>
      </c>
      <c r="AO80" s="582">
        <f t="shared" si="461"/>
        <v>17.073833494080365</v>
      </c>
      <c r="AP80" s="585">
        <f t="shared" si="95"/>
        <v>-16.074410869168123</v>
      </c>
      <c r="AQ80" s="586">
        <f t="shared" si="471"/>
        <v>0.41811332629741216</v>
      </c>
      <c r="AS80" s="52">
        <f t="shared" si="543"/>
        <v>140.88397949773957</v>
      </c>
      <c r="AT80" s="72">
        <f t="shared" si="472"/>
        <v>-1.2815404209256722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5.14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-3.65900343947632</v>
      </c>
      <c r="C81" s="708">
        <v>-4.4450418513792247</v>
      </c>
      <c r="D81" s="709">
        <v>-2.1238064054001193</v>
      </c>
      <c r="E81" s="710">
        <v>0.52306181125623663</v>
      </c>
      <c r="F81" s="708">
        <v>-0.85117609103444347</v>
      </c>
      <c r="G81" s="711">
        <v>4.3653220461609209E-2</v>
      </c>
      <c r="H81" s="710">
        <v>0.314</v>
      </c>
      <c r="I81" s="708">
        <v>0.52</v>
      </c>
      <c r="J81" s="570">
        <v>5.1470000000000002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5.1470000000000002</v>
      </c>
      <c r="N81" s="632">
        <f t="shared" si="465"/>
        <v>-3.65900343947632</v>
      </c>
      <c r="O81" s="629">
        <f t="shared" si="466"/>
        <v>-4.4450418513792247</v>
      </c>
      <c r="P81" s="633">
        <f t="shared" si="467"/>
        <v>-2.1238064054001193</v>
      </c>
      <c r="Q81" s="585">
        <f t="shared" si="520"/>
        <v>230.53997949773958</v>
      </c>
      <c r="R81" s="629">
        <f t="shared" si="79"/>
        <v>5.7573173640691708</v>
      </c>
      <c r="S81" s="634">
        <f t="shared" si="80"/>
        <v>-2.1238064054001193</v>
      </c>
      <c r="T81" s="635">
        <f t="shared" si="81"/>
        <v>-4.4450418513792238</v>
      </c>
      <c r="U81" s="629">
        <f t="shared" si="82"/>
        <v>3.6590034394763205</v>
      </c>
      <c r="V81" s="636">
        <f t="shared" si="114"/>
        <v>-2.1238064054001193</v>
      </c>
      <c r="W81" s="585">
        <f t="shared" si="645"/>
        <v>140.53997949773958</v>
      </c>
      <c r="X81" s="629">
        <f t="shared" si="83"/>
        <v>5.7573173640691708</v>
      </c>
      <c r="Y81" s="630">
        <f t="shared" si="644"/>
        <v>-2.1238064054001193</v>
      </c>
      <c r="Z81" s="632">
        <f t="shared" si="468"/>
        <v>-0.52306181125623663</v>
      </c>
      <c r="AA81" s="629">
        <f t="shared" si="469"/>
        <v>0.85117609103444347</v>
      </c>
      <c r="AB81" s="629">
        <f t="shared" si="470"/>
        <v>-4.3653220461609209E-2</v>
      </c>
      <c r="AC81" s="636">
        <f t="shared" si="84"/>
        <v>1</v>
      </c>
      <c r="AD81" s="637">
        <f t="shared" si="115"/>
        <v>-0.52306181125623663</v>
      </c>
      <c r="AE81" s="629">
        <f t="shared" si="85"/>
        <v>0.85117609103444347</v>
      </c>
      <c r="AF81" s="633">
        <f t="shared" si="86"/>
        <v>-4.3653220461609209E-2</v>
      </c>
      <c r="AG81" s="602">
        <f t="shared" si="87"/>
        <v>87.064114097515073</v>
      </c>
      <c r="AH81" s="603">
        <f t="shared" si="88"/>
        <v>121.53785675116396</v>
      </c>
      <c r="AI81" s="585">
        <f t="shared" si="89"/>
        <v>-87.49805965816671</v>
      </c>
      <c r="AJ81" s="586">
        <f t="shared" si="90"/>
        <v>-148.42858589282767</v>
      </c>
      <c r="AK81" s="635">
        <f t="shared" si="211"/>
        <v>0.94479556060857761</v>
      </c>
      <c r="AL81" s="629">
        <f t="shared" si="91"/>
        <v>-0.32473950329095103</v>
      </c>
      <c r="AM81" s="634">
        <f t="shared" si="92"/>
        <v>-4.3653220461609209E-2</v>
      </c>
      <c r="AN81" s="581">
        <f t="shared" si="93"/>
        <v>-82.343890552690098</v>
      </c>
      <c r="AO81" s="582">
        <f t="shared" si="461"/>
        <v>19.126833676321876</v>
      </c>
      <c r="AP81" s="585">
        <f t="shared" si="95"/>
        <v>-18.968565390567271</v>
      </c>
      <c r="AQ81" s="586">
        <f t="shared" si="471"/>
        <v>0.39596398709343722</v>
      </c>
      <c r="AS81" s="52">
        <f t="shared" si="543"/>
        <v>140.53997949773958</v>
      </c>
      <c r="AT81" s="72">
        <f t="shared" si="472"/>
        <v>-1.9714036133846606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5.1470000000000002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-3.7688695660049638</v>
      </c>
      <c r="C82" s="708">
        <v>-4.491560581268633</v>
      </c>
      <c r="D82" s="709">
        <v>-2.8709086586605146</v>
      </c>
      <c r="E82" s="710">
        <v>0.33092337648227044</v>
      </c>
      <c r="F82" s="708">
        <v>-0.94354220233690467</v>
      </c>
      <c r="G82" s="711">
        <v>1.4759109281972729E-2</v>
      </c>
      <c r="H82" s="710">
        <v>0.314</v>
      </c>
      <c r="I82" s="708">
        <v>0.52</v>
      </c>
      <c r="J82" s="570">
        <v>5.1539999999999999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5.1539999999999999</v>
      </c>
      <c r="N82" s="632">
        <f t="shared" si="465"/>
        <v>-3.7688695660049638</v>
      </c>
      <c r="O82" s="629">
        <f t="shared" si="466"/>
        <v>-4.491560581268633</v>
      </c>
      <c r="P82" s="633">
        <f t="shared" si="467"/>
        <v>-2.8709086586605146</v>
      </c>
      <c r="Q82" s="585">
        <f t="shared" si="520"/>
        <v>229.99997949773959</v>
      </c>
      <c r="R82" s="629">
        <f t="shared" si="79"/>
        <v>5.8633176837661347</v>
      </c>
      <c r="S82" s="634">
        <f t="shared" si="80"/>
        <v>-2.8709086586605146</v>
      </c>
      <c r="T82" s="635">
        <f t="shared" si="81"/>
        <v>-4.4915605812686312</v>
      </c>
      <c r="U82" s="629">
        <f t="shared" si="82"/>
        <v>3.7688695660049669</v>
      </c>
      <c r="V82" s="636">
        <f t="shared" si="114"/>
        <v>-2.8709086586605146</v>
      </c>
      <c r="W82" s="585">
        <f t="shared" si="645"/>
        <v>139.99997949773956</v>
      </c>
      <c r="X82" s="629">
        <f t="shared" si="83"/>
        <v>5.8633176837661347</v>
      </c>
      <c r="Y82" s="630">
        <f t="shared" si="644"/>
        <v>-2.8709086586605146</v>
      </c>
      <c r="Z82" s="632">
        <f t="shared" si="468"/>
        <v>-0.33092337648227044</v>
      </c>
      <c r="AA82" s="629">
        <f t="shared" si="469"/>
        <v>0.94354220233690467</v>
      </c>
      <c r="AB82" s="629">
        <f t="shared" si="470"/>
        <v>-1.4759109281972729E-2</v>
      </c>
      <c r="AC82" s="636">
        <f t="shared" si="84"/>
        <v>1</v>
      </c>
      <c r="AD82" s="637">
        <f t="shared" si="115"/>
        <v>-0.33092337648227044</v>
      </c>
      <c r="AE82" s="629">
        <f t="shared" si="85"/>
        <v>0.94354220233690467</v>
      </c>
      <c r="AF82" s="633">
        <f t="shared" si="86"/>
        <v>-1.4759109281972729E-2</v>
      </c>
      <c r="AG82" s="602">
        <f t="shared" si="87"/>
        <v>89.103839012788782</v>
      </c>
      <c r="AH82" s="603">
        <f t="shared" si="88"/>
        <v>109.32483025984507</v>
      </c>
      <c r="AI82" s="585">
        <f t="shared" si="89"/>
        <v>-89.154334624809863</v>
      </c>
      <c r="AJ82" s="586">
        <f t="shared" si="90"/>
        <v>-160.67298097183547</v>
      </c>
      <c r="AK82" s="635">
        <f t="shared" si="211"/>
        <v>0.85999943305443949</v>
      </c>
      <c r="AL82" s="629">
        <f t="shared" si="91"/>
        <v>-0.51008150705475042</v>
      </c>
      <c r="AM82" s="634">
        <f t="shared" si="92"/>
        <v>-1.4759109281972729E-2</v>
      </c>
      <c r="AN82" s="581">
        <f t="shared" si="93"/>
        <v>-88.342620183072427</v>
      </c>
      <c r="AO82" s="582">
        <f t="shared" si="461"/>
        <v>30.683480765525424</v>
      </c>
      <c r="AP82" s="585">
        <f t="shared" si="95"/>
        <v>-30.67296046957502</v>
      </c>
      <c r="AQ82" s="586">
        <f t="shared" si="471"/>
        <v>0.38880575158356173</v>
      </c>
      <c r="AS82" s="52">
        <f t="shared" si="543"/>
        <v>139.99997949773956</v>
      </c>
      <c r="AT82" s="72">
        <f t="shared" si="472"/>
        <v>-2.7181308666450561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5.1539999999999999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-3.8531029692863847</v>
      </c>
      <c r="C83" s="708">
        <v>-4.4886670576884837</v>
      </c>
      <c r="D83" s="709">
        <v>-3.6269999999999998</v>
      </c>
      <c r="E83" s="710">
        <v>0.16258524860250734</v>
      </c>
      <c r="F83" s="708">
        <v>-0.98669450030738481</v>
      </c>
      <c r="G83" s="711">
        <v>1.4578093217284673E-7</v>
      </c>
      <c r="H83" s="710">
        <v>0.314</v>
      </c>
      <c r="I83" s="708">
        <v>0.52</v>
      </c>
      <c r="J83" s="570">
        <v>5.1609999999999996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5.1609999999999996</v>
      </c>
      <c r="N83" s="632">
        <f t="shared" si="465"/>
        <v>-3.8531029692863847</v>
      </c>
      <c r="O83" s="629">
        <f t="shared" si="466"/>
        <v>-4.4886670576884837</v>
      </c>
      <c r="P83" s="633">
        <f t="shared" si="467"/>
        <v>-3.6269999999999998</v>
      </c>
      <c r="Q83" s="585">
        <f t="shared" si="520"/>
        <v>229.35697949772776</v>
      </c>
      <c r="R83" s="629">
        <f t="shared" si="79"/>
        <v>5.9156178415023852</v>
      </c>
      <c r="S83" s="634">
        <f t="shared" si="80"/>
        <v>-3.6269999999999998</v>
      </c>
      <c r="T83" s="635">
        <f t="shared" si="81"/>
        <v>-4.4886670576884837</v>
      </c>
      <c r="U83" s="629">
        <f t="shared" si="82"/>
        <v>3.8531029692863843</v>
      </c>
      <c r="V83" s="636">
        <f t="shared" si="114"/>
        <v>-3.6269999999999998</v>
      </c>
      <c r="W83" s="585">
        <f t="shared" si="645"/>
        <v>139.35697949772776</v>
      </c>
      <c r="X83" s="629">
        <f t="shared" si="83"/>
        <v>5.9156178415023852</v>
      </c>
      <c r="Y83" s="630">
        <f t="shared" si="644"/>
        <v>-3.6269999999999998</v>
      </c>
      <c r="Z83" s="632">
        <f t="shared" si="468"/>
        <v>-0.16258524860250734</v>
      </c>
      <c r="AA83" s="629">
        <f t="shared" si="469"/>
        <v>0.98669450030738481</v>
      </c>
      <c r="AB83" s="629">
        <f t="shared" si="470"/>
        <v>-1.4578093217284673E-7</v>
      </c>
      <c r="AC83" s="636">
        <f t="shared" si="84"/>
        <v>1</v>
      </c>
      <c r="AD83" s="637">
        <f t="shared" si="115"/>
        <v>-0.16258524860250734</v>
      </c>
      <c r="AE83" s="629">
        <f t="shared" si="85"/>
        <v>0.98669450030738481</v>
      </c>
      <c r="AF83" s="633">
        <f t="shared" si="86"/>
        <v>-1.4578093217284673E-7</v>
      </c>
      <c r="AG83" s="602">
        <f t="shared" si="87"/>
        <v>89.999991534733255</v>
      </c>
      <c r="AH83" s="603">
        <f t="shared" si="88"/>
        <v>99.356985273024833</v>
      </c>
      <c r="AI83" s="585">
        <f t="shared" si="89"/>
        <v>-89.99999164736785</v>
      </c>
      <c r="AJ83" s="586">
        <f t="shared" si="90"/>
        <v>-170.64301472697505</v>
      </c>
      <c r="AK83" s="635">
        <f t="shared" si="211"/>
        <v>0.76604450791063994</v>
      </c>
      <c r="AL83" s="629">
        <f t="shared" si="91"/>
        <v>-0.64278753247081921</v>
      </c>
      <c r="AM83" s="634">
        <f t="shared" si="92"/>
        <v>-1.4578093217284673E-7</v>
      </c>
      <c r="AN83" s="581">
        <f t="shared" si="93"/>
        <v>-89.999987005609597</v>
      </c>
      <c r="AO83" s="582">
        <f t="shared" si="461"/>
        <v>39.999994224703549</v>
      </c>
      <c r="AP83" s="585">
        <f t="shared" si="95"/>
        <v>-39.999994224702839</v>
      </c>
      <c r="AQ83" s="586">
        <f t="shared" si="471"/>
        <v>0.3853684122079587</v>
      </c>
      <c r="AS83" s="52">
        <f t="shared" si="543"/>
        <v>139.35697949772776</v>
      </c>
      <c r="AT83" s="72">
        <f t="shared" si="472"/>
        <v>-3.4737756802067552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5.1609999999999996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-2.4993222611096799</v>
      </c>
      <c r="C84" s="708">
        <v>-1.4281898316125898</v>
      </c>
      <c r="D84" s="709">
        <v>-0.14470000000000025</v>
      </c>
      <c r="E84" s="710">
        <v>-2.7041167945222187E-18</v>
      </c>
      <c r="F84" s="708">
        <v>-2.9300791360522398E-17</v>
      </c>
      <c r="G84" s="711">
        <v>1</v>
      </c>
      <c r="H84" s="710">
        <v>0.25700000000000001</v>
      </c>
      <c r="I84" s="708">
        <v>0.41499999999999992</v>
      </c>
      <c r="J84" s="570">
        <v>5.2119999999999997</v>
      </c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CPS-32193r1</v>
      </c>
      <c r="L84" s="320"/>
      <c r="M84" s="168">
        <f t="shared" si="464"/>
        <v>5.2119999999999997</v>
      </c>
      <c r="N84" s="632">
        <f t="shared" si="465"/>
        <v>-2.4993222611096799</v>
      </c>
      <c r="O84" s="629">
        <f t="shared" si="466"/>
        <v>-1.4281898316125898</v>
      </c>
      <c r="P84" s="633">
        <f t="shared" si="467"/>
        <v>-0.14470000000000025</v>
      </c>
      <c r="Q84" s="585">
        <f t="shared" si="520"/>
        <v>209.74497949773959</v>
      </c>
      <c r="R84" s="629">
        <f t="shared" si="79"/>
        <v>2.8786</v>
      </c>
      <c r="S84" s="634">
        <f t="shared" si="80"/>
        <v>-0.14470000000000025</v>
      </c>
      <c r="T84" s="635">
        <f t="shared" si="81"/>
        <v>-1.4281898316125892</v>
      </c>
      <c r="U84" s="629">
        <f t="shared" si="82"/>
        <v>2.4993222611096804</v>
      </c>
      <c r="V84" s="636">
        <f t="shared" si="114"/>
        <v>-0.14470000000000025</v>
      </c>
      <c r="W84" s="585">
        <f t="shared" si="645"/>
        <v>119.74497949773958</v>
      </c>
      <c r="X84" s="629">
        <f t="shared" si="83"/>
        <v>2.8786</v>
      </c>
      <c r="Y84" s="630">
        <f t="shared" si="644"/>
        <v>-0.14470000000000025</v>
      </c>
      <c r="Z84" s="632">
        <f t="shared" si="468"/>
        <v>2.7041167945222187E-18</v>
      </c>
      <c r="AA84" s="629">
        <f t="shared" si="469"/>
        <v>2.9300791360522398E-17</v>
      </c>
      <c r="AB84" s="629">
        <f t="shared" si="470"/>
        <v>-1</v>
      </c>
      <c r="AC84" s="636">
        <f t="shared" si="84"/>
        <v>1</v>
      </c>
      <c r="AD84" s="637">
        <f t="shared" si="115"/>
        <v>2.7041167945222187E-18</v>
      </c>
      <c r="AE84" s="629">
        <f t="shared" si="85"/>
        <v>2.9300791360522398E-17</v>
      </c>
      <c r="AF84" s="633">
        <f t="shared" si="86"/>
        <v>-1</v>
      </c>
      <c r="AG84" s="602">
        <f t="shared" si="87"/>
        <v>1.6788116813513188E-15</v>
      </c>
      <c r="AH84" s="603">
        <f t="shared" si="88"/>
        <v>90</v>
      </c>
      <c r="AI84" s="585">
        <f t="shared" si="89"/>
        <v>0</v>
      </c>
      <c r="AJ84" s="586">
        <f t="shared" si="90"/>
        <v>174.72721240279876</v>
      </c>
      <c r="AK84" s="635">
        <f t="shared" si="211"/>
        <v>2.40985645821074E-17</v>
      </c>
      <c r="AL84" s="629">
        <f t="shared" si="91"/>
        <v>-1.6885135684183293E-17</v>
      </c>
      <c r="AM84" s="634">
        <f t="shared" si="92"/>
        <v>-1</v>
      </c>
      <c r="AN84" s="581">
        <f t="shared" si="93"/>
        <v>-9.6744701120944438E-16</v>
      </c>
      <c r="AO84" s="582">
        <f t="shared" si="461"/>
        <v>0</v>
      </c>
      <c r="AP84" s="585">
        <f t="shared" si="95"/>
        <v>-35.017767094940844</v>
      </c>
      <c r="AQ84" s="586">
        <f t="shared" si="471"/>
        <v>0.79190629627590836</v>
      </c>
      <c r="AS84" s="52">
        <f t="shared" si="543"/>
        <v>119.74497949773958</v>
      </c>
      <c r="AT84" s="72">
        <f t="shared" si="472"/>
        <v>2.2143764237680608E-2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5.2119999999999997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5.1120000000000001</v>
      </c>
      <c r="II84" s="734" cm="1">
        <f t="array" ref="II84">IFERROR(ROUND(VALUE(IF($IH84&lt;1,$IH84+LARGE((IF($M$9:$M$150="",0,$M$9:$M$150)-MOD(IF($M$9:$M$150="",0,$M$9:$M$150),1)),1),$IH84)),4),"")</f>
        <v>5.1120000000000001</v>
      </c>
      <c r="IJ84" s="533">
        <f t="shared" si="542"/>
        <v>1613</v>
      </c>
      <c r="IK84" s="533" t="str">
        <f t="shared" si="517"/>
        <v>CPS-32193r1</v>
      </c>
      <c r="IL84" s="727">
        <f t="shared" si="647"/>
        <v>22.254999999999981</v>
      </c>
      <c r="IM84" s="759">
        <v>5.0630470833780999E-2</v>
      </c>
      <c r="IN84" s="5">
        <f t="shared" si="648"/>
        <v>0.82</v>
      </c>
      <c r="IO84" s="771">
        <v>410</v>
      </c>
      <c r="IP84" s="9">
        <f t="shared" si="649"/>
        <v>-2.8825086936462201</v>
      </c>
      <c r="IQ84" s="5">
        <f t="shared" si="650"/>
        <v>-0.13970042133647073</v>
      </c>
      <c r="IR84" s="5">
        <f t="shared" si="518"/>
        <v>0.314</v>
      </c>
      <c r="IS84" s="5">
        <f t="shared" si="651"/>
        <v>0.30327755676697948</v>
      </c>
      <c r="IT84" s="727">
        <f t="shared" si="652"/>
        <v>-2.2664340597540784</v>
      </c>
      <c r="IU84" s="9">
        <f t="shared" si="653"/>
        <v>-2.8786</v>
      </c>
      <c r="IV84" s="5">
        <f t="shared" si="654"/>
        <v>-0.14470000000000025</v>
      </c>
      <c r="IW84" s="5">
        <f t="shared" si="519"/>
        <v>0.25700000000000001</v>
      </c>
      <c r="IX84" s="5">
        <f t="shared" si="655"/>
        <v>0.25700000000000001</v>
      </c>
      <c r="IY84" s="762">
        <f t="shared" si="656"/>
        <v>9.6744701120944438E-16</v>
      </c>
    </row>
    <row r="85" spans="1:259" ht="15" customHeight="1" x14ac:dyDescent="0.25">
      <c r="A85" s="79"/>
      <c r="B85" s="707">
        <v>-3.0211324386924532</v>
      </c>
      <c r="C85" s="708">
        <v>-2.0360906236904577</v>
      </c>
      <c r="D85" s="709">
        <v>-0.18089999999999973</v>
      </c>
      <c r="E85" s="710">
        <v>-0.13515286535355819</v>
      </c>
      <c r="F85" s="708">
        <v>-9.1086202771824942E-2</v>
      </c>
      <c r="G85" s="711">
        <v>0.98662911301630118</v>
      </c>
      <c r="H85" s="710">
        <v>0.25700000000000001</v>
      </c>
      <c r="I85" s="708">
        <v>0.41499999999999992</v>
      </c>
      <c r="J85" s="570">
        <v>5.2190000000000003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CPS-32193r1</v>
      </c>
      <c r="L85" s="320"/>
      <c r="M85" s="168">
        <f t="shared" si="464"/>
        <v>5.2190000000000003</v>
      </c>
      <c r="N85" s="632">
        <f t="shared" si="465"/>
        <v>-3.0211324386924532</v>
      </c>
      <c r="O85" s="629">
        <f t="shared" si="466"/>
        <v>-2.0360906236904577</v>
      </c>
      <c r="P85" s="633">
        <f t="shared" si="467"/>
        <v>-0.18089999999999973</v>
      </c>
      <c r="Q85" s="585">
        <f t="shared" si="520"/>
        <v>213.9779794977396</v>
      </c>
      <c r="R85" s="629">
        <f t="shared" si="79"/>
        <v>3.6432000000000007</v>
      </c>
      <c r="S85" s="634">
        <f t="shared" si="80"/>
        <v>-0.18089999999999973</v>
      </c>
      <c r="T85" s="635">
        <f t="shared" si="81"/>
        <v>-2.0360906236904559</v>
      </c>
      <c r="U85" s="629">
        <f t="shared" si="82"/>
        <v>3.0211324386924541</v>
      </c>
      <c r="V85" s="636">
        <f t="shared" si="114"/>
        <v>-0.18089999999999973</v>
      </c>
      <c r="W85" s="585">
        <f t="shared" si="645"/>
        <v>123.97797949773958</v>
      </c>
      <c r="X85" s="629">
        <f t="shared" si="83"/>
        <v>3.6432000000000007</v>
      </c>
      <c r="Y85" s="630">
        <f t="shared" si="644"/>
        <v>-0.18089999999999973</v>
      </c>
      <c r="Z85" s="632">
        <f t="shared" si="468"/>
        <v>0.13515286535355819</v>
      </c>
      <c r="AA85" s="629">
        <f t="shared" si="469"/>
        <v>9.1086202771824942E-2</v>
      </c>
      <c r="AB85" s="629">
        <f t="shared" si="470"/>
        <v>-0.98662911301630118</v>
      </c>
      <c r="AC85" s="636">
        <f t="shared" si="84"/>
        <v>1</v>
      </c>
      <c r="AD85" s="637">
        <f t="shared" si="115"/>
        <v>0.13515286535355819</v>
      </c>
      <c r="AE85" s="629">
        <f t="shared" si="85"/>
        <v>9.1086202771824942E-2</v>
      </c>
      <c r="AF85" s="633">
        <f t="shared" si="86"/>
        <v>-0.98662911301630118</v>
      </c>
      <c r="AG85" s="602">
        <f t="shared" si="87"/>
        <v>5.2746299025158319</v>
      </c>
      <c r="AH85" s="603">
        <f t="shared" si="88"/>
        <v>82.232540558919069</v>
      </c>
      <c r="AI85" s="585">
        <f t="shared" si="89"/>
        <v>-9.379999999999951</v>
      </c>
      <c r="AJ85" s="586">
        <f t="shared" si="90"/>
        <v>123.9779794977396</v>
      </c>
      <c r="AK85" s="635">
        <f t="shared" si="211"/>
        <v>2.7755575615628914E-17</v>
      </c>
      <c r="AL85" s="629">
        <f t="shared" si="91"/>
        <v>-0.16298157364765822</v>
      </c>
      <c r="AM85" s="634">
        <f t="shared" si="92"/>
        <v>-0.98662911301630118</v>
      </c>
      <c r="AN85" s="581">
        <f t="shared" si="93"/>
        <v>-9.3800000000000061</v>
      </c>
      <c r="AO85" s="582">
        <f t="shared" si="461"/>
        <v>0</v>
      </c>
      <c r="AP85" s="585">
        <f t="shared" si="95"/>
        <v>-90</v>
      </c>
      <c r="AQ85" s="586">
        <f t="shared" si="471"/>
        <v>0.62572353955302196</v>
      </c>
      <c r="AS85" s="52">
        <f t="shared" si="543"/>
        <v>123.97797949773958</v>
      </c>
      <c r="AT85" s="72">
        <f t="shared" si="472"/>
        <v>-1.6995819095652204E-2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Nose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5.2190000000000003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5.1189999999999998</v>
      </c>
      <c r="II85" s="734" cm="1">
        <f t="array" ref="II85">IFERROR(ROUND(VALUE(IF($IH85&lt;1,$IH85+LARGE((IF($M$9:$M$150="",0,$M$9:$M$150)-MOD(IF($M$9:$M$150="",0,$M$9:$M$150),1)),1),$IH85)),4),"")</f>
        <v>5.1189999999999998</v>
      </c>
      <c r="IJ85" s="533">
        <f t="shared" si="542"/>
        <v>1613</v>
      </c>
      <c r="IK85" s="533" t="str">
        <f t="shared" si="517"/>
        <v>CPS-32193r1</v>
      </c>
      <c r="IL85" s="727">
        <f t="shared" si="647"/>
        <v>18.021999999999977</v>
      </c>
      <c r="IM85" s="759">
        <v>4.3330072698491602E-2</v>
      </c>
      <c r="IN85" s="5">
        <f t="shared" si="648"/>
        <v>0.9</v>
      </c>
      <c r="IO85" s="771">
        <v>450</v>
      </c>
      <c r="IP85" s="9">
        <f t="shared" si="649"/>
        <v>-3.6359109659074718</v>
      </c>
      <c r="IQ85" s="5">
        <f t="shared" si="650"/>
        <v>-0.1801005431832382</v>
      </c>
      <c r="IR85" s="5">
        <f t="shared" si="518"/>
        <v>0.314</v>
      </c>
      <c r="IS85" s="5">
        <f t="shared" si="651"/>
        <v>0.30301065045608061</v>
      </c>
      <c r="IT85" s="727">
        <f t="shared" si="652"/>
        <v>18.977824476445008</v>
      </c>
      <c r="IU85" s="9">
        <f t="shared" si="653"/>
        <v>-3.6432000000000007</v>
      </c>
      <c r="IV85" s="5">
        <f t="shared" si="654"/>
        <v>-0.18089999999999973</v>
      </c>
      <c r="IW85" s="5">
        <f t="shared" si="519"/>
        <v>0.25700000000000001</v>
      </c>
      <c r="IX85" s="5">
        <f t="shared" si="655"/>
        <v>0.25700000000000001</v>
      </c>
      <c r="IY85" s="762">
        <f t="shared" si="656"/>
        <v>9.3800000000000061</v>
      </c>
    </row>
    <row r="86" spans="1:259" ht="15" customHeight="1" x14ac:dyDescent="0.25">
      <c r="A86" s="79"/>
      <c r="B86" s="707">
        <v>-3.5292413314071718</v>
      </c>
      <c r="C86" s="708">
        <v>-2.5836746638583006</v>
      </c>
      <c r="D86" s="709">
        <v>-0.38284959014779441</v>
      </c>
      <c r="E86" s="710">
        <v>0.3520905615505468</v>
      </c>
      <c r="F86" s="708">
        <v>-0.86274194235696744</v>
      </c>
      <c r="G86" s="711">
        <v>0.36291676368714043</v>
      </c>
      <c r="H86" s="710">
        <v>0.26600000000000001</v>
      </c>
      <c r="I86" s="708">
        <v>0.52</v>
      </c>
      <c r="J86" s="570">
        <v>5.226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5.226</v>
      </c>
      <c r="N86" s="632">
        <f t="shared" si="465"/>
        <v>-3.5292413314071718</v>
      </c>
      <c r="O86" s="629">
        <f t="shared" si="466"/>
        <v>-2.5836746638583006</v>
      </c>
      <c r="P86" s="633">
        <f t="shared" si="467"/>
        <v>-0.38284959014779441</v>
      </c>
      <c r="Q86" s="585">
        <f t="shared" si="520"/>
        <v>216.20698177796635</v>
      </c>
      <c r="R86" s="629">
        <f t="shared" si="79"/>
        <v>4.373890618657029</v>
      </c>
      <c r="S86" s="634">
        <f t="shared" si="80"/>
        <v>-0.38284959014779441</v>
      </c>
      <c r="T86" s="635">
        <f t="shared" si="81"/>
        <v>-2.5836746638582997</v>
      </c>
      <c r="U86" s="629">
        <f t="shared" si="82"/>
        <v>3.5292413314071727</v>
      </c>
      <c r="V86" s="636">
        <f t="shared" si="114"/>
        <v>-0.38284959014779441</v>
      </c>
      <c r="W86" s="585">
        <f t="shared" si="645"/>
        <v>126.20698177796633</v>
      </c>
      <c r="X86" s="629">
        <f t="shared" si="83"/>
        <v>4.373890618657029</v>
      </c>
      <c r="Y86" s="630">
        <f t="shared" si="644"/>
        <v>-0.38284959014779441</v>
      </c>
      <c r="Z86" s="632">
        <f t="shared" si="468"/>
        <v>-0.3520905615505468</v>
      </c>
      <c r="AA86" s="629">
        <f t="shared" si="469"/>
        <v>0.86274194235696744</v>
      </c>
      <c r="AB86" s="629">
        <f t="shared" si="470"/>
        <v>-0.36291676368714043</v>
      </c>
      <c r="AC86" s="636">
        <f t="shared" si="84"/>
        <v>1</v>
      </c>
      <c r="AD86" s="637">
        <f t="shared" si="115"/>
        <v>-0.3520905615505468</v>
      </c>
      <c r="AE86" s="629">
        <f t="shared" si="85"/>
        <v>0.86274194235696744</v>
      </c>
      <c r="AF86" s="633">
        <f t="shared" si="86"/>
        <v>-0.36291676368714043</v>
      </c>
      <c r="AG86" s="602">
        <f t="shared" si="87"/>
        <v>67.185697461894733</v>
      </c>
      <c r="AH86" s="603">
        <f t="shared" si="88"/>
        <v>110.61523662240799</v>
      </c>
      <c r="AI86" s="585">
        <f t="shared" si="89"/>
        <v>-68.720567108657804</v>
      </c>
      <c r="AJ86" s="586">
        <f t="shared" si="90"/>
        <v>-157.79931134701766</v>
      </c>
      <c r="AK86" s="635">
        <f t="shared" si="211"/>
        <v>0.90411771334618007</v>
      </c>
      <c r="AL86" s="629">
        <f t="shared" si="91"/>
        <v>-0.22552734434770155</v>
      </c>
      <c r="AM86" s="634">
        <f t="shared" si="92"/>
        <v>-0.36291676368714043</v>
      </c>
      <c r="AN86" s="581">
        <f t="shared" si="93"/>
        <v>-31.85805564910126</v>
      </c>
      <c r="AO86" s="582">
        <f t="shared" si="461"/>
        <v>25.29528520165135</v>
      </c>
      <c r="AP86" s="585">
        <f t="shared" si="95"/>
        <v>-14.006293124984005</v>
      </c>
      <c r="AQ86" s="586">
        <f t="shared" si="471"/>
        <v>0.52119816177168232</v>
      </c>
      <c r="AS86" s="52">
        <f t="shared" si="543"/>
        <v>126.20698177796633</v>
      </c>
      <c r="AT86" s="72">
        <f t="shared" si="472"/>
        <v>-0.22049332749360437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5.226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5.1260000000000003</v>
      </c>
      <c r="II86" s="734" cm="1">
        <f t="array" ref="II86">IFERROR(ROUND(VALUE(IF($IH86&lt;1,$IH86+LARGE((IF($M$9:$M$150="",0,$M$9:$M$150)-MOD(IF($M$9:$M$150="",0,$M$9:$M$150),1)),1),$IH86)),4),"")</f>
        <v>5.1260000000000003</v>
      </c>
      <c r="IJ86" s="533">
        <f t="shared" si="542"/>
        <v>1613</v>
      </c>
      <c r="IK86" s="533">
        <f t="shared" si="517"/>
        <v>1313</v>
      </c>
      <c r="IL86" s="727">
        <f t="shared" si="647"/>
        <v>15.306997719773236</v>
      </c>
      <c r="IM86" s="759">
        <v>1.4833401926512099E-2</v>
      </c>
      <c r="IN86" s="5">
        <f t="shared" si="648"/>
        <v>0.36</v>
      </c>
      <c r="IO86" s="771">
        <v>180</v>
      </c>
      <c r="IP86" s="9">
        <f t="shared" si="649"/>
        <v>-4.3501131199411702</v>
      </c>
      <c r="IQ86" s="5">
        <f t="shared" si="650"/>
        <v>-0.42380127818465518</v>
      </c>
      <c r="IR86" s="5">
        <f t="shared" si="518"/>
        <v>0.314</v>
      </c>
      <c r="IS86" s="5">
        <f t="shared" si="651"/>
        <v>0.30256778385059085</v>
      </c>
      <c r="IT86" s="727">
        <f t="shared" si="652"/>
        <v>37.561084448400557</v>
      </c>
      <c r="IU86" s="9">
        <f t="shared" si="653"/>
        <v>-4.373890618657029</v>
      </c>
      <c r="IV86" s="5">
        <f t="shared" si="654"/>
        <v>-0.38284959014779441</v>
      </c>
      <c r="IW86" s="5">
        <f t="shared" si="519"/>
        <v>0.26600000000000001</v>
      </c>
      <c r="IX86" s="5">
        <f t="shared" si="655"/>
        <v>0.2404953117500839</v>
      </c>
      <c r="IY86" s="762">
        <f t="shared" si="656"/>
        <v>31.85805564910126</v>
      </c>
    </row>
    <row r="87" spans="1:259" ht="15" customHeight="1" x14ac:dyDescent="0.25">
      <c r="A87" s="79"/>
      <c r="B87" s="707">
        <v>-3.981223611986997</v>
      </c>
      <c r="C87" s="708">
        <v>-3.0369425997697839</v>
      </c>
      <c r="D87" s="709">
        <v>-0.81641846140757623</v>
      </c>
      <c r="E87" s="710">
        <v>0.29430539028222547</v>
      </c>
      <c r="F87" s="708">
        <v>-0.91076079045917746</v>
      </c>
      <c r="G87" s="711">
        <v>0.28965344778372859</v>
      </c>
      <c r="H87" s="710">
        <v>0.26600000000000001</v>
      </c>
      <c r="I87" s="708">
        <v>0.52</v>
      </c>
      <c r="J87" s="570">
        <v>5.2329999999999997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5.2329999999999997</v>
      </c>
      <c r="N87" s="632">
        <f t="shared" si="465"/>
        <v>-3.981223611986997</v>
      </c>
      <c r="O87" s="629">
        <f t="shared" si="466"/>
        <v>-3.0369425997697839</v>
      </c>
      <c r="P87" s="633">
        <f t="shared" si="467"/>
        <v>-0.81641846140757623</v>
      </c>
      <c r="Q87" s="585">
        <f t="shared" si="520"/>
        <v>217.33698161481453</v>
      </c>
      <c r="R87" s="629">
        <f t="shared" si="79"/>
        <v>5.007310835462409</v>
      </c>
      <c r="S87" s="634">
        <f t="shared" si="80"/>
        <v>-0.81641846140757623</v>
      </c>
      <c r="T87" s="635">
        <f t="shared" si="81"/>
        <v>-3.0369425997697816</v>
      </c>
      <c r="U87" s="629">
        <f t="shared" si="82"/>
        <v>3.9812236119869993</v>
      </c>
      <c r="V87" s="636">
        <f t="shared" si="114"/>
        <v>-0.81641846140757623</v>
      </c>
      <c r="W87" s="585">
        <f t="shared" si="645"/>
        <v>127.33698161481452</v>
      </c>
      <c r="X87" s="629">
        <f t="shared" si="83"/>
        <v>5.007310835462409</v>
      </c>
      <c r="Y87" s="630">
        <f t="shared" si="644"/>
        <v>-0.81641846140757623</v>
      </c>
      <c r="Z87" s="632">
        <f t="shared" si="468"/>
        <v>-0.29430539028222547</v>
      </c>
      <c r="AA87" s="629">
        <f t="shared" si="469"/>
        <v>0.91076079045917746</v>
      </c>
      <c r="AB87" s="629">
        <f t="shared" si="470"/>
        <v>-0.28965344778372859</v>
      </c>
      <c r="AC87" s="636">
        <f t="shared" si="84"/>
        <v>1</v>
      </c>
      <c r="AD87" s="637">
        <f t="shared" si="115"/>
        <v>-0.29430539028222547</v>
      </c>
      <c r="AE87" s="629">
        <f t="shared" si="85"/>
        <v>0.91076079045917746</v>
      </c>
      <c r="AF87" s="633">
        <f t="shared" si="86"/>
        <v>-0.28965344778372859</v>
      </c>
      <c r="AG87" s="602">
        <f t="shared" si="87"/>
        <v>72.357535403925283</v>
      </c>
      <c r="AH87" s="603">
        <f t="shared" si="88"/>
        <v>107.1158902152717</v>
      </c>
      <c r="AI87" s="585">
        <f t="shared" si="89"/>
        <v>-73.162790411931567</v>
      </c>
      <c r="AJ87" s="586">
        <f t="shared" si="90"/>
        <v>-162.09215770854365</v>
      </c>
      <c r="AK87" s="635">
        <f t="shared" si="211"/>
        <v>0.90262639757226082</v>
      </c>
      <c r="AL87" s="629">
        <f t="shared" si="91"/>
        <v>-0.31838100853022239</v>
      </c>
      <c r="AM87" s="634">
        <f t="shared" si="92"/>
        <v>-0.28965344778372859</v>
      </c>
      <c r="AN87" s="581">
        <f t="shared" si="93"/>
        <v>-47.705019221532936</v>
      </c>
      <c r="AO87" s="582">
        <f t="shared" si="461"/>
        <v>25.494527783346236</v>
      </c>
      <c r="AP87" s="585">
        <f t="shared" si="95"/>
        <v>-19.429139323358218</v>
      </c>
      <c r="AQ87" s="586">
        <f t="shared" si="471"/>
        <v>0.45527004959421308</v>
      </c>
      <c r="AS87" s="52">
        <f t="shared" si="543"/>
        <v>127.33698161481452</v>
      </c>
      <c r="AT87" s="72">
        <f t="shared" si="472"/>
        <v>-0.65484692086230856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5.2329999999999997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5.133</v>
      </c>
      <c r="II87" s="734" cm="1">
        <f t="array" ref="II87">IFERROR(ROUND(VALUE(IF($IH87&lt;1,$IH87+LARGE((IF($M$9:$M$150="",0,$M$9:$M$150)-MOD(IF($M$9:$M$150="",0,$M$9:$M$150),1)),1),$IH87)),4),"")</f>
        <v>5.133</v>
      </c>
      <c r="IJ87" s="533">
        <f t="shared" si="542"/>
        <v>1613</v>
      </c>
      <c r="IK87" s="533">
        <f t="shared" si="517"/>
        <v>1313</v>
      </c>
      <c r="IL87" s="727">
        <f t="shared" si="647"/>
        <v>13.56599788292506</v>
      </c>
      <c r="IM87" s="759">
        <v>1.11585470204663E-2</v>
      </c>
      <c r="IN87" s="5">
        <f t="shared" si="648"/>
        <v>0.34</v>
      </c>
      <c r="IO87" s="771">
        <v>170</v>
      </c>
      <c r="IP87" s="9">
        <f t="shared" si="649"/>
        <v>-4.9711149928828195</v>
      </c>
      <c r="IQ87" s="5">
        <f t="shared" si="650"/>
        <v>-0.85240257084615423</v>
      </c>
      <c r="IR87" s="5">
        <f t="shared" si="518"/>
        <v>0.314</v>
      </c>
      <c r="IS87" s="5">
        <f t="shared" si="651"/>
        <v>0.30206870712410333</v>
      </c>
      <c r="IT87" s="727">
        <f t="shared" si="652"/>
        <v>54.884962533652313</v>
      </c>
      <c r="IU87" s="9">
        <f t="shared" si="653"/>
        <v>-5.007310835462409</v>
      </c>
      <c r="IV87" s="5">
        <f t="shared" si="654"/>
        <v>-0.81641846140757623</v>
      </c>
      <c r="IW87" s="5">
        <f t="shared" si="519"/>
        <v>0.26600000000000001</v>
      </c>
      <c r="IX87" s="5">
        <f t="shared" si="655"/>
        <v>0.24009862175422139</v>
      </c>
      <c r="IY87" s="762">
        <f t="shared" si="656"/>
        <v>47.705019221532936</v>
      </c>
    </row>
    <row r="88" spans="1:259" ht="15" customHeight="1" x14ac:dyDescent="0.25">
      <c r="A88" s="79"/>
      <c r="B88" s="707">
        <v>-4.3408689906593905</v>
      </c>
      <c r="C88" s="708">
        <v>-3.3764743748193364</v>
      </c>
      <c r="D88" s="709">
        <v>-1.405728596018752</v>
      </c>
      <c r="E88" s="710">
        <v>0.23530751886180312</v>
      </c>
      <c r="F88" s="708">
        <v>-0.94932936142698732</v>
      </c>
      <c r="G88" s="711">
        <v>0.20833659088055223</v>
      </c>
      <c r="H88" s="710">
        <v>0.26600000000000001</v>
      </c>
      <c r="I88" s="708">
        <v>0.52</v>
      </c>
      <c r="J88" s="570">
        <v>5.24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5.24</v>
      </c>
      <c r="N88" s="632">
        <f t="shared" si="465"/>
        <v>-4.3408689906593905</v>
      </c>
      <c r="O88" s="629">
        <f t="shared" si="466"/>
        <v>-3.3764743748193364</v>
      </c>
      <c r="P88" s="633">
        <f t="shared" si="467"/>
        <v>-1.405728596018752</v>
      </c>
      <c r="Q88" s="585">
        <f t="shared" si="520"/>
        <v>217.87698153684823</v>
      </c>
      <c r="R88" s="629">
        <f t="shared" si="79"/>
        <v>5.4994293156544805</v>
      </c>
      <c r="S88" s="634">
        <f t="shared" si="80"/>
        <v>-1.405728596018752</v>
      </c>
      <c r="T88" s="635">
        <f t="shared" si="81"/>
        <v>-3.3764743748193369</v>
      </c>
      <c r="U88" s="629">
        <f t="shared" si="82"/>
        <v>4.3408689906593905</v>
      </c>
      <c r="V88" s="636">
        <f t="shared" si="114"/>
        <v>-1.405728596018752</v>
      </c>
      <c r="W88" s="585">
        <f t="shared" si="645"/>
        <v>127.87698153684822</v>
      </c>
      <c r="X88" s="629">
        <f t="shared" si="83"/>
        <v>5.4994293156544805</v>
      </c>
      <c r="Y88" s="630">
        <f t="shared" si="644"/>
        <v>-1.405728596018752</v>
      </c>
      <c r="Z88" s="632">
        <f t="shared" si="468"/>
        <v>-0.23530751886180312</v>
      </c>
      <c r="AA88" s="629">
        <f t="shared" si="469"/>
        <v>0.94932936142698732</v>
      </c>
      <c r="AB88" s="629">
        <f t="shared" si="470"/>
        <v>-0.20833659088055223</v>
      </c>
      <c r="AC88" s="636">
        <f t="shared" si="84"/>
        <v>1</v>
      </c>
      <c r="AD88" s="637">
        <f t="shared" si="115"/>
        <v>-0.23530751886180312</v>
      </c>
      <c r="AE88" s="629">
        <f t="shared" si="85"/>
        <v>0.94932936142698732</v>
      </c>
      <c r="AF88" s="633">
        <f t="shared" si="86"/>
        <v>-0.20833659088055223</v>
      </c>
      <c r="AG88" s="602">
        <f t="shared" si="87"/>
        <v>77.622282215702825</v>
      </c>
      <c r="AH88" s="603">
        <f t="shared" si="88"/>
        <v>103.60975064539055</v>
      </c>
      <c r="AI88" s="585">
        <f t="shared" si="89"/>
        <v>-77.975109988424379</v>
      </c>
      <c r="AJ88" s="586">
        <f t="shared" si="90"/>
        <v>-166.07883152263574</v>
      </c>
      <c r="AK88" s="635">
        <f t="shared" si="211"/>
        <v>0.89380623196447184</v>
      </c>
      <c r="AL88" s="629">
        <f t="shared" si="91"/>
        <v>-0.39712250578598801</v>
      </c>
      <c r="AM88" s="634">
        <f t="shared" si="92"/>
        <v>-0.20833659088055223</v>
      </c>
      <c r="AN88" s="581">
        <f t="shared" si="93"/>
        <v>-62.317803581991299</v>
      </c>
      <c r="AO88" s="582">
        <f t="shared" si="461"/>
        <v>26.644496613583108</v>
      </c>
      <c r="AP88" s="585">
        <f t="shared" si="95"/>
        <v>-23.955813059484012</v>
      </c>
      <c r="AQ88" s="586">
        <f t="shared" si="471"/>
        <v>0.41453153118675545</v>
      </c>
      <c r="AS88" s="52">
        <f t="shared" si="543"/>
        <v>127.87698153684822</v>
      </c>
      <c r="AT88" s="72">
        <f t="shared" si="472"/>
        <v>-1.2445320554193411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5.24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5.14</v>
      </c>
      <c r="II88" s="734" cm="1">
        <f t="array" ref="II88">IFERROR(ROUND(VALUE(IF($IH88&lt;1,$IH88+LARGE((IF($M$9:$M$150="",0,$M$9:$M$150)-MOD(IF($M$9:$M$150="",0,$M$9:$M$150),1)),1),$IH88)),4),"")</f>
        <v>5.14</v>
      </c>
      <c r="IJ88" s="533">
        <f t="shared" si="542"/>
        <v>1613</v>
      </c>
      <c r="IK88" s="533">
        <f t="shared" si="517"/>
        <v>1313</v>
      </c>
      <c r="IL88" s="727">
        <f t="shared" si="647"/>
        <v>13.006997960891354</v>
      </c>
      <c r="IM88" s="759">
        <v>7.9191952215754008E-3</v>
      </c>
      <c r="IN88" s="5">
        <f t="shared" si="648"/>
        <v>0.3</v>
      </c>
      <c r="IO88" s="771">
        <v>150</v>
      </c>
      <c r="IP88" s="9">
        <f t="shared" si="649"/>
        <v>-5.4523164441863958</v>
      </c>
      <c r="IQ88" s="5">
        <f t="shared" si="650"/>
        <v>-1.433704324052242</v>
      </c>
      <c r="IR88" s="5">
        <f t="shared" si="518"/>
        <v>0.314</v>
      </c>
      <c r="IS88" s="5">
        <f t="shared" si="651"/>
        <v>0.30016114107971159</v>
      </c>
      <c r="IT88" s="727">
        <f t="shared" si="652"/>
        <v>69.747314174019792</v>
      </c>
      <c r="IU88" s="9">
        <f t="shared" si="653"/>
        <v>-5.4994293156544805</v>
      </c>
      <c r="IV88" s="5">
        <f t="shared" si="654"/>
        <v>-1.405728596018752</v>
      </c>
      <c r="IW88" s="5">
        <f t="shared" si="519"/>
        <v>0.26600000000000001</v>
      </c>
      <c r="IX88" s="5">
        <f t="shared" si="655"/>
        <v>0.23775245770254952</v>
      </c>
      <c r="IY88" s="762">
        <f t="shared" si="656"/>
        <v>62.317803581991299</v>
      </c>
    </row>
    <row r="89" spans="1:259" ht="15" customHeight="1" x14ac:dyDescent="0.25">
      <c r="A89" s="79"/>
      <c r="B89" s="707">
        <v>-4.5743845460287282</v>
      </c>
      <c r="C89" s="708">
        <v>-3.587675812104608</v>
      </c>
      <c r="D89" s="709">
        <v>-2.1065028666905645</v>
      </c>
      <c r="E89" s="710">
        <v>0.17516410018005701</v>
      </c>
      <c r="F89" s="708">
        <v>-0.97734776931003542</v>
      </c>
      <c r="G89" s="711">
        <v>0.11878078898883</v>
      </c>
      <c r="H89" s="710">
        <v>0.26600000000000001</v>
      </c>
      <c r="I89" s="708">
        <v>0.52</v>
      </c>
      <c r="J89" s="570">
        <v>5.2469999999999999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5.2469999999999999</v>
      </c>
      <c r="N89" s="632">
        <f t="shared" si="465"/>
        <v>-4.5743845460287282</v>
      </c>
      <c r="O89" s="629">
        <f t="shared" si="466"/>
        <v>-3.587675812104608</v>
      </c>
      <c r="P89" s="633">
        <f t="shared" si="467"/>
        <v>-2.1065028666905645</v>
      </c>
      <c r="Q89" s="585">
        <f t="shared" si="520"/>
        <v>218.10698150364033</v>
      </c>
      <c r="R89" s="629">
        <f t="shared" si="79"/>
        <v>5.8134681307896505</v>
      </c>
      <c r="S89" s="634">
        <f t="shared" si="80"/>
        <v>-2.1065028666905645</v>
      </c>
      <c r="T89" s="635">
        <f t="shared" si="81"/>
        <v>-3.5876758121046075</v>
      </c>
      <c r="U89" s="629">
        <f t="shared" si="82"/>
        <v>4.5743845460287282</v>
      </c>
      <c r="V89" s="636">
        <f t="shared" si="114"/>
        <v>-2.1065028666905645</v>
      </c>
      <c r="W89" s="585">
        <f t="shared" si="645"/>
        <v>128.10698150364033</v>
      </c>
      <c r="X89" s="629">
        <f t="shared" si="83"/>
        <v>5.8134681307896505</v>
      </c>
      <c r="Y89" s="630">
        <f t="shared" si="644"/>
        <v>-2.1065028666905645</v>
      </c>
      <c r="Z89" s="632">
        <f t="shared" si="468"/>
        <v>-0.17516410018005701</v>
      </c>
      <c r="AA89" s="629">
        <f t="shared" si="469"/>
        <v>0.97734776931003542</v>
      </c>
      <c r="AB89" s="629">
        <f t="shared" si="470"/>
        <v>-0.11878078898883</v>
      </c>
      <c r="AC89" s="636">
        <f t="shared" si="84"/>
        <v>1</v>
      </c>
      <c r="AD89" s="637">
        <f t="shared" si="115"/>
        <v>-0.17516410018005701</v>
      </c>
      <c r="AE89" s="629">
        <f t="shared" si="85"/>
        <v>0.97734776931003542</v>
      </c>
      <c r="AF89" s="633">
        <f t="shared" si="86"/>
        <v>-0.11878078898883</v>
      </c>
      <c r="AG89" s="602">
        <f t="shared" si="87"/>
        <v>83.070609576176849</v>
      </c>
      <c r="AH89" s="603">
        <f t="shared" si="88"/>
        <v>100.08820786251609</v>
      </c>
      <c r="AI89" s="585">
        <f t="shared" si="89"/>
        <v>-83.178256320496843</v>
      </c>
      <c r="AJ89" s="586">
        <f t="shared" si="90"/>
        <v>-169.8391026192761</v>
      </c>
      <c r="AK89" s="635">
        <f t="shared" si="211"/>
        <v>0.87713502898310469</v>
      </c>
      <c r="AL89" s="629">
        <f t="shared" si="91"/>
        <v>-0.46532275368608322</v>
      </c>
      <c r="AM89" s="634">
        <f t="shared" si="92"/>
        <v>-0.11878078898883</v>
      </c>
      <c r="AN89" s="581">
        <f t="shared" si="93"/>
        <v>-75.68017232001111</v>
      </c>
      <c r="AO89" s="582">
        <f t="shared" si="461"/>
        <v>28.701328462890707</v>
      </c>
      <c r="AP89" s="585">
        <f t="shared" si="95"/>
        <v>-27.946084122916421</v>
      </c>
      <c r="AQ89" s="586">
        <f t="shared" si="471"/>
        <v>0.39213959461803549</v>
      </c>
      <c r="AS89" s="52">
        <f t="shared" si="543"/>
        <v>128.10698150364033</v>
      </c>
      <c r="AT89" s="72">
        <f t="shared" si="472"/>
        <v>-1.9454660482903148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5.2469999999999999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5.1470000000000002</v>
      </c>
      <c r="II89" s="734" cm="1">
        <f t="array" ref="II89">IFERROR(ROUND(VALUE(IF($IH89&lt;1,$IH89+LARGE((IF($M$9:$M$150="",0,$M$9:$M$150)-MOD(IF($M$9:$M$150="",0,$M$9:$M$150),1)),1),$IH89)),4),"")</f>
        <v>5.1470000000000002</v>
      </c>
      <c r="IJ89" s="533">
        <f t="shared" si="542"/>
        <v>1613</v>
      </c>
      <c r="IK89" s="533">
        <f t="shared" si="517"/>
        <v>1313</v>
      </c>
      <c r="IL89" s="727">
        <f t="shared" si="647"/>
        <v>12.432997994099253</v>
      </c>
      <c r="IM89" s="759">
        <v>4.8785446938729498E-3</v>
      </c>
      <c r="IN89" s="5">
        <f t="shared" si="648"/>
        <v>0.26</v>
      </c>
      <c r="IO89" s="771">
        <v>130</v>
      </c>
      <c r="IP89" s="9">
        <f t="shared" si="649"/>
        <v>-5.7573173640691708</v>
      </c>
      <c r="IQ89" s="5">
        <f t="shared" si="650"/>
        <v>-2.1238064054001193</v>
      </c>
      <c r="IR89" s="5">
        <f t="shared" si="518"/>
        <v>0.314</v>
      </c>
      <c r="IS89" s="5">
        <f t="shared" si="651"/>
        <v>0.29666580603109338</v>
      </c>
      <c r="IT89" s="727">
        <f t="shared" si="652"/>
        <v>82.343890552690098</v>
      </c>
      <c r="IU89" s="9">
        <f t="shared" si="653"/>
        <v>-5.8134681307896505</v>
      </c>
      <c r="IV89" s="5">
        <f t="shared" si="654"/>
        <v>-2.1065028666905645</v>
      </c>
      <c r="IW89" s="5">
        <f t="shared" si="519"/>
        <v>0.26600000000000001</v>
      </c>
      <c r="IX89" s="5">
        <f t="shared" si="655"/>
        <v>0.23331791770950586</v>
      </c>
      <c r="IY89" s="762">
        <f t="shared" si="656"/>
        <v>75.68017232001111</v>
      </c>
    </row>
    <row r="90" spans="1:259" ht="15" customHeight="1" x14ac:dyDescent="0.25">
      <c r="A90" s="79"/>
      <c r="B90" s="707">
        <v>-4.650673909227109</v>
      </c>
      <c r="C90" s="708">
        <v>-3.655644354196629</v>
      </c>
      <c r="D90" s="709">
        <v>-2.8694397980038553</v>
      </c>
      <c r="E90" s="710">
        <v>4.6192409888498397E-2</v>
      </c>
      <c r="F90" s="708">
        <v>-0.99836497305206251</v>
      </c>
      <c r="G90" s="711">
        <v>3.3669598326196801E-2</v>
      </c>
      <c r="H90" s="710">
        <v>0.26600000000000001</v>
      </c>
      <c r="I90" s="708">
        <v>0.52</v>
      </c>
      <c r="J90" s="570">
        <v>5.2539999999999996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5.2539999999999996</v>
      </c>
      <c r="N90" s="632">
        <f t="shared" si="465"/>
        <v>-4.650673909227109</v>
      </c>
      <c r="O90" s="629">
        <f t="shared" si="466"/>
        <v>-3.655644354196629</v>
      </c>
      <c r="P90" s="633">
        <f t="shared" si="467"/>
        <v>-2.8694397980038553</v>
      </c>
      <c r="Q90" s="585">
        <f t="shared" si="520"/>
        <v>218.16898149468864</v>
      </c>
      <c r="R90" s="629">
        <f t="shared" si="79"/>
        <v>5.9154461754237477</v>
      </c>
      <c r="S90" s="634">
        <f t="shared" si="80"/>
        <v>-2.8694397980038553</v>
      </c>
      <c r="T90" s="635">
        <f t="shared" si="81"/>
        <v>-3.655644354196629</v>
      </c>
      <c r="U90" s="629">
        <f t="shared" si="82"/>
        <v>4.6506739092271081</v>
      </c>
      <c r="V90" s="636">
        <f t="shared" si="114"/>
        <v>-2.8694397980038553</v>
      </c>
      <c r="W90" s="585">
        <f t="shared" si="645"/>
        <v>128.16898149468864</v>
      </c>
      <c r="X90" s="629">
        <f t="shared" si="83"/>
        <v>5.9154461754237477</v>
      </c>
      <c r="Y90" s="630">
        <f t="shared" si="644"/>
        <v>-2.8694397980038553</v>
      </c>
      <c r="Z90" s="632">
        <f t="shared" si="468"/>
        <v>-4.6192409888498397E-2</v>
      </c>
      <c r="AA90" s="629">
        <f t="shared" si="469"/>
        <v>0.99836497305206251</v>
      </c>
      <c r="AB90" s="629">
        <f t="shared" si="470"/>
        <v>-3.3669598326196801E-2</v>
      </c>
      <c r="AC90" s="636">
        <f t="shared" si="84"/>
        <v>1</v>
      </c>
      <c r="AD90" s="637">
        <f t="shared" si="115"/>
        <v>-4.6192409888498397E-2</v>
      </c>
      <c r="AE90" s="629">
        <f t="shared" si="85"/>
        <v>0.99836497305206251</v>
      </c>
      <c r="AF90" s="633">
        <f t="shared" si="86"/>
        <v>-3.3669598326196801E-2</v>
      </c>
      <c r="AG90" s="602">
        <f t="shared" si="87"/>
        <v>88.068446846798949</v>
      </c>
      <c r="AH90" s="603">
        <f t="shared" si="88"/>
        <v>92.647572239895325</v>
      </c>
      <c r="AI90" s="585">
        <f t="shared" si="89"/>
        <v>-88.070509442302878</v>
      </c>
      <c r="AJ90" s="586">
        <f t="shared" si="90"/>
        <v>-177.35092471274697</v>
      </c>
      <c r="AK90" s="635">
        <f t="shared" si="211"/>
        <v>0.81345224210925715</v>
      </c>
      <c r="AL90" s="629">
        <f t="shared" si="91"/>
        <v>-0.58065635961037654</v>
      </c>
      <c r="AM90" s="634">
        <f t="shared" si="92"/>
        <v>-3.3669598326196801E-2</v>
      </c>
      <c r="AN90" s="581">
        <f t="shared" si="93"/>
        <v>-86.681396670670779</v>
      </c>
      <c r="AO90" s="582">
        <f t="shared" si="461"/>
        <v>35.565390677055767</v>
      </c>
      <c r="AP90" s="585">
        <f t="shared" si="95"/>
        <v>-35.519906207435611</v>
      </c>
      <c r="AQ90" s="586">
        <f t="shared" si="471"/>
        <v>0.38537959525095677</v>
      </c>
      <c r="AS90" s="52">
        <f t="shared" si="543"/>
        <v>128.16898149468864</v>
      </c>
      <c r="AT90" s="72">
        <f t="shared" si="472"/>
        <v>-2.7084460351529445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>Gage</v>
      </c>
      <c r="IG90" s="847">
        <f t="shared" si="643"/>
        <v>5.2539999999999996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5.1539999999999999</v>
      </c>
      <c r="II90" s="734" cm="1">
        <f t="array" ref="II90">IFERROR(ROUND(VALUE(IF($IH90&lt;1,$IH90+LARGE((IF($M$9:$M$150="",0,$M$9:$M$150)-MOD(IF($M$9:$M$150="",0,$M$9:$M$150),1)),1),$IH90)),4),"")</f>
        <v>5.1539999999999999</v>
      </c>
      <c r="IJ90" s="533">
        <f t="shared" si="542"/>
        <v>1613</v>
      </c>
      <c r="IK90" s="533">
        <f t="shared" si="517"/>
        <v>1313</v>
      </c>
      <c r="IL90" s="727">
        <f t="shared" si="647"/>
        <v>11.830998003050922</v>
      </c>
      <c r="IM90" s="759">
        <v>1.3283741585789299E-3</v>
      </c>
      <c r="IN90" s="5">
        <f t="shared" si="648"/>
        <v>0</v>
      </c>
      <c r="IO90" s="771">
        <v>0</v>
      </c>
      <c r="IP90" s="9">
        <f t="shared" si="649"/>
        <v>-5.8633176837661347</v>
      </c>
      <c r="IQ90" s="5">
        <f t="shared" si="650"/>
        <v>-2.8709086586605146</v>
      </c>
      <c r="IR90" s="5">
        <f t="shared" si="518"/>
        <v>0.314</v>
      </c>
      <c r="IS90" s="5">
        <f t="shared" si="651"/>
        <v>0.27003982197909404</v>
      </c>
      <c r="IT90" s="727">
        <f t="shared" si="652"/>
        <v>88.342620183072427</v>
      </c>
      <c r="IU90" s="9">
        <f t="shared" si="653"/>
        <v>-5.9154461754237477</v>
      </c>
      <c r="IV90" s="5">
        <f t="shared" si="654"/>
        <v>-2.8694397980038553</v>
      </c>
      <c r="IW90" s="5">
        <f t="shared" si="519"/>
        <v>0.26600000000000001</v>
      </c>
      <c r="IX90" s="5">
        <f t="shared" si="655"/>
        <v>0.2163782964010624</v>
      </c>
      <c r="IY90" s="762">
        <f t="shared" si="656"/>
        <v>86.681396670670779</v>
      </c>
    </row>
    <row r="91" spans="1:259" ht="15" customHeight="1" x14ac:dyDescent="0.25">
      <c r="A91" s="79"/>
      <c r="B91" s="707">
        <v>-4.7895507221145133</v>
      </c>
      <c r="C91" s="708">
        <v>-3.4453163086490814</v>
      </c>
      <c r="D91" s="709">
        <v>-3.6670999999999885</v>
      </c>
      <c r="E91" s="710">
        <v>-0.81178811871114354</v>
      </c>
      <c r="F91" s="708">
        <v>-0.58395209591144603</v>
      </c>
      <c r="G91" s="711">
        <v>2.267948968082237E-7</v>
      </c>
      <c r="H91" s="710">
        <v>0.25700000000000001</v>
      </c>
      <c r="I91" s="708">
        <v>0.41499999999999992</v>
      </c>
      <c r="J91" s="570">
        <v>5.2610000000000001</v>
      </c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CPS-32193r1</v>
      </c>
      <c r="L91" s="320"/>
      <c r="M91" s="168">
        <f t="shared" si="464"/>
        <v>5.2610000000000001</v>
      </c>
      <c r="N91" s="632">
        <f t="shared" si="465"/>
        <v>-4.7895507221145133</v>
      </c>
      <c r="O91" s="629">
        <f t="shared" si="466"/>
        <v>-3.4453163086490814</v>
      </c>
      <c r="P91" s="633">
        <f t="shared" si="467"/>
        <v>-3.6670999999999885</v>
      </c>
      <c r="Q91" s="585">
        <f t="shared" si="520"/>
        <v>215.7289818469811</v>
      </c>
      <c r="R91" s="629">
        <f t="shared" si="79"/>
        <v>5.9000000496907612</v>
      </c>
      <c r="S91" s="634">
        <f t="shared" si="80"/>
        <v>-3.6670999999999885</v>
      </c>
      <c r="T91" s="635">
        <f t="shared" si="81"/>
        <v>-3.4453163086490783</v>
      </c>
      <c r="U91" s="629">
        <f t="shared" si="82"/>
        <v>4.789550722114515</v>
      </c>
      <c r="V91" s="636">
        <f t="shared" si="114"/>
        <v>-3.6670999999999885</v>
      </c>
      <c r="W91" s="585">
        <f t="shared" si="645"/>
        <v>125.72898184698109</v>
      </c>
      <c r="X91" s="629">
        <f t="shared" si="83"/>
        <v>5.9000000496907612</v>
      </c>
      <c r="Y91" s="630">
        <f t="shared" si="644"/>
        <v>-3.6670999999999885</v>
      </c>
      <c r="Z91" s="632">
        <f t="shared" si="468"/>
        <v>0.81178811871114354</v>
      </c>
      <c r="AA91" s="629">
        <f t="shared" si="469"/>
        <v>0.58395209591144603</v>
      </c>
      <c r="AB91" s="629">
        <f t="shared" si="470"/>
        <v>-2.267948968082237E-7</v>
      </c>
      <c r="AC91" s="636">
        <f t="shared" si="84"/>
        <v>0.99999999999999978</v>
      </c>
      <c r="AD91" s="637">
        <f t="shared" si="115"/>
        <v>0.81178811871114376</v>
      </c>
      <c r="AE91" s="629">
        <f t="shared" si="85"/>
        <v>0.58395209591144615</v>
      </c>
      <c r="AF91" s="633">
        <f t="shared" si="86"/>
        <v>-2.2679489680822376E-7</v>
      </c>
      <c r="AG91" s="602">
        <f t="shared" si="87"/>
        <v>89.999977747506179</v>
      </c>
      <c r="AH91" s="603">
        <f t="shared" si="88"/>
        <v>35.728994841373435</v>
      </c>
      <c r="AI91" s="585">
        <f t="shared" si="89"/>
        <v>-89.999987005609597</v>
      </c>
      <c r="AJ91" s="586">
        <f t="shared" si="90"/>
        <v>125.7289948413714</v>
      </c>
      <c r="AK91" s="635">
        <f t="shared" si="211"/>
        <v>2.267948949752352E-7</v>
      </c>
      <c r="AL91" s="629">
        <f t="shared" si="91"/>
        <v>-0.99999999999994871</v>
      </c>
      <c r="AM91" s="634">
        <f t="shared" si="92"/>
        <v>-2.2679489680822376E-7</v>
      </c>
      <c r="AN91" s="581">
        <f t="shared" si="93"/>
        <v>-89.999987005609611</v>
      </c>
      <c r="AO91" s="582">
        <f t="shared" si="461"/>
        <v>0</v>
      </c>
      <c r="AP91" s="585">
        <f t="shared" si="95"/>
        <v>-89.999987005609711</v>
      </c>
      <c r="AQ91" s="586">
        <f t="shared" si="471"/>
        <v>0.38638848362282546</v>
      </c>
      <c r="AS91" s="52">
        <f t="shared" si="543"/>
        <v>125.72898184698109</v>
      </c>
      <c r="AT91" s="72">
        <f t="shared" si="472"/>
        <v>-3.5044117929492811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>Gage</v>
      </c>
      <c r="IG91" s="847">
        <f t="shared" si="643"/>
        <v>5.2610000000000001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5.1609999999999996</v>
      </c>
      <c r="II91" s="734" cm="1">
        <f t="array" ref="II91">IFERROR(ROUND(VALUE(IF($IH91&lt;1,$IH91+LARGE((IF($M$9:$M$150="",0,$M$9:$M$150)-MOD(IF($M$9:$M$150="",0,$M$9:$M$150),1)),1),$IH91)),4),"")</f>
        <v>5.1609999999999996</v>
      </c>
      <c r="IJ91" s="533">
        <f t="shared" si="542"/>
        <v>1613</v>
      </c>
      <c r="IK91" s="533" t="str">
        <f t="shared" si="517"/>
        <v>CPS-32193r1</v>
      </c>
      <c r="IL91" s="727">
        <f t="shared" si="647"/>
        <v>13.627997650746678</v>
      </c>
      <c r="IM91" s="759">
        <v>1.5406829268153801E-4</v>
      </c>
      <c r="IN91" s="5">
        <f t="shared" si="648"/>
        <v>0</v>
      </c>
      <c r="IO91" s="771">
        <v>0</v>
      </c>
      <c r="IP91" s="9">
        <f t="shared" si="649"/>
        <v>-5.9156178415023852</v>
      </c>
      <c r="IQ91" s="5">
        <f t="shared" si="650"/>
        <v>-3.6269999999999998</v>
      </c>
      <c r="IR91" s="5">
        <f t="shared" si="518"/>
        <v>0.314</v>
      </c>
      <c r="IS91" s="5">
        <f t="shared" si="651"/>
        <v>0.24053797548394099</v>
      </c>
      <c r="IT91" s="727">
        <f t="shared" si="652"/>
        <v>89.999987005609597</v>
      </c>
      <c r="IU91" s="9">
        <f t="shared" si="653"/>
        <v>-5.9000000496907612</v>
      </c>
      <c r="IV91" s="5">
        <f t="shared" si="654"/>
        <v>-3.6670999999999885</v>
      </c>
      <c r="IW91" s="5">
        <f t="shared" si="519"/>
        <v>0.25700000000000001</v>
      </c>
      <c r="IX91" s="5">
        <f t="shared" si="655"/>
        <v>0.25700000000000001</v>
      </c>
      <c r="IY91" s="762">
        <f t="shared" si="656"/>
        <v>89.999987005609611</v>
      </c>
    </row>
    <row r="92" spans="1:259" ht="15" customHeight="1" x14ac:dyDescent="0.25">
      <c r="A92" s="79"/>
      <c r="B92" s="707">
        <v>-3.510076253150447</v>
      </c>
      <c r="C92" s="708">
        <v>-0.36892302179272241</v>
      </c>
      <c r="D92" s="709">
        <v>-0.16170048768867096</v>
      </c>
      <c r="E92" s="710">
        <v>2.8261429226159429E-2</v>
      </c>
      <c r="F92" s="708">
        <v>-0.9675138470294895</v>
      </c>
      <c r="G92" s="711">
        <v>0.25123345204071124</v>
      </c>
      <c r="H92" s="710">
        <v>0.314</v>
      </c>
      <c r="I92" s="708">
        <v>0.52</v>
      </c>
      <c r="J92" s="570">
        <v>6.1180000000000003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6.1180000000000003</v>
      </c>
      <c r="N92" s="632">
        <f t="shared" si="465"/>
        <v>-3.510076253150447</v>
      </c>
      <c r="O92" s="629">
        <f t="shared" si="466"/>
        <v>-0.36892302179272241</v>
      </c>
      <c r="P92" s="633">
        <f t="shared" si="467"/>
        <v>-0.16170048768867096</v>
      </c>
      <c r="Q92" s="585">
        <f t="shared" si="520"/>
        <v>185.99998613931692</v>
      </c>
      <c r="R92" s="629">
        <f t="shared" si="79"/>
        <v>3.5294106447025055</v>
      </c>
      <c r="S92" s="634">
        <f t="shared" si="80"/>
        <v>-0.16170048768867096</v>
      </c>
      <c r="T92" s="635">
        <f t="shared" si="81"/>
        <v>-0.36892302179272085</v>
      </c>
      <c r="U92" s="629">
        <f t="shared" si="82"/>
        <v>3.5100762531504475</v>
      </c>
      <c r="V92" s="636">
        <f t="shared" si="114"/>
        <v>-0.16170048768867096</v>
      </c>
      <c r="W92" s="585">
        <f t="shared" si="645"/>
        <v>95.999986139316903</v>
      </c>
      <c r="X92" s="629">
        <f t="shared" si="83"/>
        <v>3.5294106447025055</v>
      </c>
      <c r="Y92" s="630">
        <f t="shared" si="644"/>
        <v>-0.16170048768867096</v>
      </c>
      <c r="Z92" s="632">
        <f t="shared" si="468"/>
        <v>-2.8261429226159429E-2</v>
      </c>
      <c r="AA92" s="629">
        <f t="shared" si="469"/>
        <v>0.9675138470294895</v>
      </c>
      <c r="AB92" s="629">
        <f t="shared" si="470"/>
        <v>-0.25123345204071124</v>
      </c>
      <c r="AC92" s="636">
        <f t="shared" si="84"/>
        <v>1</v>
      </c>
      <c r="AD92" s="637">
        <f t="shared" si="115"/>
        <v>-2.8261429226159429E-2</v>
      </c>
      <c r="AE92" s="629">
        <f t="shared" si="85"/>
        <v>0.9675138470294895</v>
      </c>
      <c r="AF92" s="633">
        <f t="shared" si="86"/>
        <v>-0.25123345204071124</v>
      </c>
      <c r="AG92" s="602">
        <f t="shared" si="87"/>
        <v>75.443543799862653</v>
      </c>
      <c r="AH92" s="603">
        <f t="shared" si="88"/>
        <v>91.619476248015161</v>
      </c>
      <c r="AI92" s="585">
        <f t="shared" si="89"/>
        <v>-75.449486475856673</v>
      </c>
      <c r="AJ92" s="586">
        <f t="shared" si="90"/>
        <v>-178.32684533028683</v>
      </c>
      <c r="AK92" s="635">
        <f t="shared" si="211"/>
        <v>0.96516784637563013</v>
      </c>
      <c r="AL92" s="629">
        <f t="shared" si="91"/>
        <v>-7.3025891972202522E-2</v>
      </c>
      <c r="AM92" s="634">
        <f t="shared" si="92"/>
        <v>-0.25123345204071124</v>
      </c>
      <c r="AN92" s="581">
        <f t="shared" si="93"/>
        <v>-16.207534341171748</v>
      </c>
      <c r="AO92" s="582">
        <f t="shared" si="461"/>
        <v>15.166890098769063</v>
      </c>
      <c r="AP92" s="585">
        <f t="shared" si="95"/>
        <v>-4.3268314696037615</v>
      </c>
      <c r="AQ92" s="586">
        <f t="shared" si="471"/>
        <v>0.64589538905427124</v>
      </c>
      <c r="AS92" s="52">
        <f t="shared" si="543"/>
        <v>95.999986139316903</v>
      </c>
      <c r="AT92" s="73">
        <f t="shared" si="472"/>
        <v>2.1632855270136753E-2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6.1180000000000003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-4.2322951720504536</v>
      </c>
      <c r="C93" s="708">
        <v>-0.41520287026935021</v>
      </c>
      <c r="D93" s="709">
        <v>-0.37710113733703043</v>
      </c>
      <c r="E93" s="710">
        <v>-5.8036061263859469E-2</v>
      </c>
      <c r="F93" s="708">
        <v>-0.97413270052498857</v>
      </c>
      <c r="G93" s="711">
        <v>0.2183971093235226</v>
      </c>
      <c r="H93" s="710">
        <v>0.314</v>
      </c>
      <c r="I93" s="708">
        <v>0.52</v>
      </c>
      <c r="J93" s="570">
        <v>6.125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6.125</v>
      </c>
      <c r="N93" s="632">
        <f t="shared" si="465"/>
        <v>-4.2322951720504536</v>
      </c>
      <c r="O93" s="629">
        <f t="shared" si="466"/>
        <v>-0.41520287026935021</v>
      </c>
      <c r="P93" s="633">
        <f t="shared" si="467"/>
        <v>-0.37710113733703043</v>
      </c>
      <c r="Q93" s="585">
        <f t="shared" si="520"/>
        <v>185.60298613931693</v>
      </c>
      <c r="R93" s="629">
        <f t="shared" si="79"/>
        <v>4.2526128258802833</v>
      </c>
      <c r="S93" s="634">
        <f t="shared" si="80"/>
        <v>-0.37710113733703043</v>
      </c>
      <c r="T93" s="635">
        <f t="shared" si="81"/>
        <v>-0.4152028702693496</v>
      </c>
      <c r="U93" s="629">
        <f t="shared" si="82"/>
        <v>4.2322951720504545</v>
      </c>
      <c r="V93" s="636">
        <f t="shared" si="114"/>
        <v>-0.37710113733703043</v>
      </c>
      <c r="W93" s="585">
        <f t="shared" si="645"/>
        <v>95.602986139316911</v>
      </c>
      <c r="X93" s="629">
        <f t="shared" si="83"/>
        <v>4.2526128258802833</v>
      </c>
      <c r="Y93" s="630">
        <f t="shared" si="644"/>
        <v>-0.37710113733703043</v>
      </c>
      <c r="Z93" s="632">
        <f t="shared" si="468"/>
        <v>5.8036061263859469E-2</v>
      </c>
      <c r="AA93" s="629">
        <f t="shared" si="469"/>
        <v>0.97413270052498857</v>
      </c>
      <c r="AB93" s="629">
        <f t="shared" si="470"/>
        <v>-0.2183971093235226</v>
      </c>
      <c r="AC93" s="636">
        <f t="shared" si="84"/>
        <v>1</v>
      </c>
      <c r="AD93" s="637">
        <f t="shared" si="115"/>
        <v>5.8036061263859469E-2</v>
      </c>
      <c r="AE93" s="629">
        <f t="shared" si="85"/>
        <v>0.97413270052498857</v>
      </c>
      <c r="AF93" s="633">
        <f t="shared" si="86"/>
        <v>-0.2183971093235226</v>
      </c>
      <c r="AG93" s="602">
        <f t="shared" si="87"/>
        <v>77.363444701228858</v>
      </c>
      <c r="AH93" s="603">
        <f t="shared" si="88"/>
        <v>86.672909135273628</v>
      </c>
      <c r="AI93" s="585">
        <f t="shared" si="89"/>
        <v>-77.38509505686055</v>
      </c>
      <c r="AJ93" s="586">
        <f t="shared" si="90"/>
        <v>176.59051020151969</v>
      </c>
      <c r="AK93" s="635">
        <f t="shared" si="211"/>
        <v>0.96381226177204837</v>
      </c>
      <c r="AL93" s="629">
        <f t="shared" si="91"/>
        <v>-0.15286800416365171</v>
      </c>
      <c r="AM93" s="634">
        <f t="shared" si="92"/>
        <v>-0.2183971093235226</v>
      </c>
      <c r="AN93" s="581">
        <f t="shared" si="93"/>
        <v>-34.990264310338993</v>
      </c>
      <c r="AO93" s="582">
        <f t="shared" si="461"/>
        <v>15.460972398796196</v>
      </c>
      <c r="AP93" s="585">
        <f t="shared" si="95"/>
        <v>-9.0124759377972516</v>
      </c>
      <c r="AQ93" s="586">
        <f t="shared" si="471"/>
        <v>0.53606105376818114</v>
      </c>
      <c r="AS93" s="52">
        <f t="shared" si="543"/>
        <v>95.602986139316911</v>
      </c>
      <c r="AT93" s="73">
        <f t="shared" si="472"/>
        <v>-0.19349209993377828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6.125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-4.8715034433686988</v>
      </c>
      <c r="C94" s="708">
        <v>-0.42508639085088085</v>
      </c>
      <c r="D94" s="709">
        <v>-0.78090235520150342</v>
      </c>
      <c r="E94" s="710">
        <v>-0.13147678920390343</v>
      </c>
      <c r="F94" s="708">
        <v>-0.97735566933113827</v>
      </c>
      <c r="G94" s="711">
        <v>0.16580033029796776</v>
      </c>
      <c r="H94" s="710">
        <v>0.314</v>
      </c>
      <c r="I94" s="708">
        <v>0.52</v>
      </c>
      <c r="J94" s="570">
        <v>6.1319999999999997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6.1319999999999997</v>
      </c>
      <c r="N94" s="632">
        <f t="shared" si="465"/>
        <v>-4.8715034433686988</v>
      </c>
      <c r="O94" s="629">
        <f t="shared" si="466"/>
        <v>-0.42508639085088085</v>
      </c>
      <c r="P94" s="633">
        <f t="shared" si="467"/>
        <v>-0.78090235520150342</v>
      </c>
      <c r="Q94" s="585">
        <f t="shared" si="520"/>
        <v>184.98698613931694</v>
      </c>
      <c r="R94" s="629">
        <f t="shared" si="79"/>
        <v>4.8900147482844787</v>
      </c>
      <c r="S94" s="634">
        <f t="shared" si="80"/>
        <v>-0.78090235520150342</v>
      </c>
      <c r="T94" s="635">
        <f t="shared" si="81"/>
        <v>-0.42508639085088129</v>
      </c>
      <c r="U94" s="629">
        <f t="shared" si="82"/>
        <v>4.8715034433686979</v>
      </c>
      <c r="V94" s="636">
        <f t="shared" si="114"/>
        <v>-0.78090235520150342</v>
      </c>
      <c r="W94" s="585">
        <f t="shared" si="645"/>
        <v>94.986986139316926</v>
      </c>
      <c r="X94" s="629">
        <f t="shared" si="83"/>
        <v>4.8900147482844787</v>
      </c>
      <c r="Y94" s="630">
        <f t="shared" si="644"/>
        <v>-0.78090235520150342</v>
      </c>
      <c r="Z94" s="632">
        <f t="shared" si="468"/>
        <v>0.13147678920390343</v>
      </c>
      <c r="AA94" s="629">
        <f t="shared" si="469"/>
        <v>0.97735566933113827</v>
      </c>
      <c r="AB94" s="629">
        <f t="shared" si="470"/>
        <v>-0.16580033029796776</v>
      </c>
      <c r="AC94" s="636">
        <f t="shared" si="84"/>
        <v>1</v>
      </c>
      <c r="AD94" s="637">
        <f t="shared" si="115"/>
        <v>0.13147678920390343</v>
      </c>
      <c r="AE94" s="629">
        <f t="shared" si="85"/>
        <v>0.97735566933113827</v>
      </c>
      <c r="AF94" s="633">
        <f t="shared" si="86"/>
        <v>-0.16580033029796776</v>
      </c>
      <c r="AG94" s="602">
        <f t="shared" si="87"/>
        <v>80.371905293437081</v>
      </c>
      <c r="AH94" s="603">
        <f t="shared" si="88"/>
        <v>82.445061350739408</v>
      </c>
      <c r="AI94" s="585">
        <f t="shared" si="89"/>
        <v>-80.456269571517026</v>
      </c>
      <c r="AJ94" s="586">
        <f t="shared" si="90"/>
        <v>172.3383964205176</v>
      </c>
      <c r="AK94" s="635">
        <f t="shared" si="211"/>
        <v>0.96222665103207095</v>
      </c>
      <c r="AL94" s="629">
        <f t="shared" si="91"/>
        <v>-0.21594009010994247</v>
      </c>
      <c r="AM94" s="634">
        <f t="shared" si="92"/>
        <v>-0.16580033029796776</v>
      </c>
      <c r="AN94" s="581">
        <f t="shared" si="93"/>
        <v>-52.482690648353866</v>
      </c>
      <c r="AO94" s="582">
        <f t="shared" si="461"/>
        <v>15.798178104184203</v>
      </c>
      <c r="AP94" s="585">
        <f t="shared" si="95"/>
        <v>-12.648589718799323</v>
      </c>
      <c r="AQ94" s="586">
        <f t="shared" si="471"/>
        <v>0.46619007108788058</v>
      </c>
      <c r="AS94" s="52">
        <f t="shared" si="543"/>
        <v>94.986986139316926</v>
      </c>
      <c r="AT94" s="73">
        <f t="shared" si="472"/>
        <v>-0.59686554002047343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6.1319999999999997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-5.3770634270113922</v>
      </c>
      <c r="C95" s="708">
        <v>-0.42223848607819375</v>
      </c>
      <c r="D95" s="709">
        <v>-1.3428040498970153</v>
      </c>
      <c r="E95" s="710">
        <v>-0.19510118860230213</v>
      </c>
      <c r="F95" s="708">
        <v>-0.9743747203491635</v>
      </c>
      <c r="G95" s="711">
        <v>0.11193493891747233</v>
      </c>
      <c r="H95" s="710">
        <v>0.314</v>
      </c>
      <c r="I95" s="708">
        <v>0.52</v>
      </c>
      <c r="J95" s="570">
        <v>6.1390000000000002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6.1390000000000002</v>
      </c>
      <c r="N95" s="632">
        <f t="shared" si="465"/>
        <v>-5.3770634270113922</v>
      </c>
      <c r="O95" s="629">
        <f t="shared" si="466"/>
        <v>-0.42223848607819375</v>
      </c>
      <c r="P95" s="633">
        <f t="shared" si="467"/>
        <v>-1.3428040498970153</v>
      </c>
      <c r="Q95" s="585">
        <f t="shared" si="520"/>
        <v>184.48998613931693</v>
      </c>
      <c r="R95" s="629">
        <f t="shared" si="79"/>
        <v>5.3936162671466628</v>
      </c>
      <c r="S95" s="634">
        <f t="shared" si="80"/>
        <v>-1.3428040498970153</v>
      </c>
      <c r="T95" s="635">
        <f t="shared" si="81"/>
        <v>-0.42223848607819309</v>
      </c>
      <c r="U95" s="629">
        <f t="shared" si="82"/>
        <v>5.3770634270113922</v>
      </c>
      <c r="V95" s="636">
        <f t="shared" si="114"/>
        <v>-1.3428040498970153</v>
      </c>
      <c r="W95" s="585">
        <f t="shared" si="645"/>
        <v>94.489986139316912</v>
      </c>
      <c r="X95" s="629">
        <f t="shared" si="83"/>
        <v>5.3936162671466628</v>
      </c>
      <c r="Y95" s="630">
        <f t="shared" si="644"/>
        <v>-1.3428040498970153</v>
      </c>
      <c r="Z95" s="632">
        <f t="shared" si="468"/>
        <v>0.19510118860230213</v>
      </c>
      <c r="AA95" s="629">
        <f t="shared" si="469"/>
        <v>0.9743747203491635</v>
      </c>
      <c r="AB95" s="629">
        <f t="shared" si="470"/>
        <v>-0.11193493891747233</v>
      </c>
      <c r="AC95" s="636">
        <f t="shared" si="84"/>
        <v>1</v>
      </c>
      <c r="AD95" s="637">
        <f t="shared" si="115"/>
        <v>0.19510118860230213</v>
      </c>
      <c r="AE95" s="629">
        <f t="shared" si="85"/>
        <v>0.9743747203491635</v>
      </c>
      <c r="AF95" s="633">
        <f t="shared" si="86"/>
        <v>-0.11193493891747233</v>
      </c>
      <c r="AG95" s="602">
        <f t="shared" si="87"/>
        <v>83.446660768339825</v>
      </c>
      <c r="AH95" s="603">
        <f t="shared" si="88"/>
        <v>78.749365192133283</v>
      </c>
      <c r="AI95" s="585">
        <f t="shared" si="89"/>
        <v>-83.573131633176786</v>
      </c>
      <c r="AJ95" s="586">
        <f t="shared" si="90"/>
        <v>168.67727601115152</v>
      </c>
      <c r="AK95" s="635">
        <f t="shared" si="211"/>
        <v>0.95611092578051615</v>
      </c>
      <c r="AL95" s="629">
        <f t="shared" si="91"/>
        <v>-0.27078121621092177</v>
      </c>
      <c r="AM95" s="634">
        <f t="shared" si="92"/>
        <v>-0.11193493891747233</v>
      </c>
      <c r="AN95" s="581">
        <f t="shared" si="93"/>
        <v>-67.540885855671632</v>
      </c>
      <c r="AO95" s="582">
        <f t="shared" si="461"/>
        <v>17.037943607782047</v>
      </c>
      <c r="AP95" s="585">
        <f t="shared" si="95"/>
        <v>-15.812710128165408</v>
      </c>
      <c r="AQ95" s="586">
        <f t="shared" si="471"/>
        <v>0.4226636019307205</v>
      </c>
      <c r="AS95" s="52">
        <f t="shared" si="543"/>
        <v>94.489986139316912</v>
      </c>
      <c r="AT95" s="73">
        <f t="shared" si="472"/>
        <v>-1.1584220958270965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6.1390000000000002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-5.7072666319613949</v>
      </c>
      <c r="C96" s="708">
        <v>-0.45678833139575276</v>
      </c>
      <c r="D96" s="709">
        <v>-2.0205060938463801</v>
      </c>
      <c r="E96" s="710">
        <v>-0.24626304286967413</v>
      </c>
      <c r="F96" s="708">
        <v>-0.96763316582956937</v>
      </c>
      <c r="G96" s="711">
        <v>5.514136472027447E-2</v>
      </c>
      <c r="H96" s="710">
        <v>0.314</v>
      </c>
      <c r="I96" s="708">
        <v>0.52</v>
      </c>
      <c r="J96" s="570">
        <v>6.1459999999999999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6.1459999999999999</v>
      </c>
      <c r="N96" s="632">
        <f t="shared" si="465"/>
        <v>-5.7072666319613949</v>
      </c>
      <c r="O96" s="629">
        <f t="shared" si="466"/>
        <v>-0.45678833139575276</v>
      </c>
      <c r="P96" s="633">
        <f t="shared" si="467"/>
        <v>-2.0205060938463801</v>
      </c>
      <c r="Q96" s="585">
        <f t="shared" si="520"/>
        <v>184.57598613931691</v>
      </c>
      <c r="R96" s="629">
        <f t="shared" si="79"/>
        <v>5.7255172681600817</v>
      </c>
      <c r="S96" s="634">
        <f t="shared" si="80"/>
        <v>-2.0205060938463801</v>
      </c>
      <c r="T96" s="635">
        <f t="shared" si="81"/>
        <v>-0.45678833139575009</v>
      </c>
      <c r="U96" s="629">
        <f t="shared" si="82"/>
        <v>5.7072666319613949</v>
      </c>
      <c r="V96" s="636">
        <f t="shared" si="114"/>
        <v>-2.0205060938463801</v>
      </c>
      <c r="W96" s="585">
        <f t="shared" si="645"/>
        <v>94.575986139316896</v>
      </c>
      <c r="X96" s="629">
        <f t="shared" si="83"/>
        <v>5.7255172681600817</v>
      </c>
      <c r="Y96" s="630">
        <f t="shared" si="644"/>
        <v>-2.0205060938463801</v>
      </c>
      <c r="Z96" s="632">
        <f t="shared" si="468"/>
        <v>0.24626304286967413</v>
      </c>
      <c r="AA96" s="629">
        <f t="shared" si="469"/>
        <v>0.96763316582956937</v>
      </c>
      <c r="AB96" s="629">
        <f t="shared" si="470"/>
        <v>-5.514136472027447E-2</v>
      </c>
      <c r="AC96" s="636">
        <f t="shared" si="84"/>
        <v>1</v>
      </c>
      <c r="AD96" s="637">
        <f t="shared" si="115"/>
        <v>0.24626304286967413</v>
      </c>
      <c r="AE96" s="629">
        <f t="shared" si="85"/>
        <v>0.96763316582956937</v>
      </c>
      <c r="AF96" s="633">
        <f t="shared" si="86"/>
        <v>-5.514136472027447E-2</v>
      </c>
      <c r="AG96" s="602">
        <f t="shared" si="87"/>
        <v>86.738480715314182</v>
      </c>
      <c r="AH96" s="603">
        <f t="shared" si="88"/>
        <v>75.743512079481135</v>
      </c>
      <c r="AI96" s="585">
        <f t="shared" si="89"/>
        <v>-86.839029283939894</v>
      </c>
      <c r="AJ96" s="586">
        <f t="shared" si="90"/>
        <v>165.72132780295323</v>
      </c>
      <c r="AK96" s="635">
        <f t="shared" si="211"/>
        <v>0.94490159430082932</v>
      </c>
      <c r="AL96" s="629">
        <f t="shared" si="91"/>
        <v>-0.32267693903428685</v>
      </c>
      <c r="AM96" s="634">
        <f t="shared" si="92"/>
        <v>-5.514136472027447E-2</v>
      </c>
      <c r="AN96" s="581">
        <f t="shared" si="93"/>
        <v>-80.30255587334949</v>
      </c>
      <c r="AO96" s="582">
        <f t="shared" si="461"/>
        <v>19.108283616696511</v>
      </c>
      <c r="AP96" s="585">
        <f t="shared" si="95"/>
        <v>-18.854658336363684</v>
      </c>
      <c r="AQ96" s="586">
        <f t="shared" si="471"/>
        <v>0.3981631400979449</v>
      </c>
      <c r="AS96" s="52">
        <f t="shared" si="543"/>
        <v>94.575986139316896</v>
      </c>
      <c r="AT96" s="73">
        <f t="shared" si="472"/>
        <v>-1.8361838619986834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6.1459999999999999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-5.846541117832242</v>
      </c>
      <c r="C97" s="708">
        <v>-0.40882855998738399</v>
      </c>
      <c r="D97" s="709">
        <v>-2.7628083326299313</v>
      </c>
      <c r="E97" s="710">
        <v>-0.44807642606177428</v>
      </c>
      <c r="F97" s="708">
        <v>-0.89344081485334648</v>
      </c>
      <c r="G97" s="711">
        <v>3.1480577534339929E-2</v>
      </c>
      <c r="H97" s="710">
        <v>0.314</v>
      </c>
      <c r="I97" s="708">
        <v>0.52</v>
      </c>
      <c r="J97" s="570">
        <v>6.1529999999999996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6.1529999999999996</v>
      </c>
      <c r="N97" s="632">
        <f t="shared" si="465"/>
        <v>-5.846541117832242</v>
      </c>
      <c r="O97" s="629">
        <f t="shared" si="466"/>
        <v>-0.40882855998738399</v>
      </c>
      <c r="P97" s="633">
        <f t="shared" si="467"/>
        <v>-2.7628083326299313</v>
      </c>
      <c r="Q97" s="585">
        <f t="shared" si="520"/>
        <v>183.99998613931692</v>
      </c>
      <c r="R97" s="629">
        <f t="shared" si="79"/>
        <v>5.8608176762261115</v>
      </c>
      <c r="S97" s="634">
        <f t="shared" si="80"/>
        <v>-2.7628083326299313</v>
      </c>
      <c r="T97" s="635">
        <f t="shared" si="81"/>
        <v>-0.4088285599873821</v>
      </c>
      <c r="U97" s="629">
        <f t="shared" si="82"/>
        <v>5.846541117832242</v>
      </c>
      <c r="V97" s="636">
        <f t="shared" si="114"/>
        <v>-2.7628083326299313</v>
      </c>
      <c r="W97" s="585">
        <f t="shared" si="645"/>
        <v>93.999986139316903</v>
      </c>
      <c r="X97" s="629">
        <f t="shared" si="83"/>
        <v>5.8608176762261115</v>
      </c>
      <c r="Y97" s="630">
        <f t="shared" si="644"/>
        <v>-2.7628083326299313</v>
      </c>
      <c r="Z97" s="632">
        <f t="shared" si="468"/>
        <v>0.44807642606177428</v>
      </c>
      <c r="AA97" s="629">
        <f t="shared" si="469"/>
        <v>0.89344081485334648</v>
      </c>
      <c r="AB97" s="629">
        <f t="shared" si="470"/>
        <v>-3.1480577534339929E-2</v>
      </c>
      <c r="AC97" s="636">
        <f t="shared" si="84"/>
        <v>1</v>
      </c>
      <c r="AD97" s="637">
        <f t="shared" si="115"/>
        <v>0.44807642606177428</v>
      </c>
      <c r="AE97" s="629">
        <f t="shared" si="85"/>
        <v>0.89344081485334648</v>
      </c>
      <c r="AF97" s="633">
        <f t="shared" si="86"/>
        <v>-3.1480577534339929E-2</v>
      </c>
      <c r="AG97" s="602">
        <f t="shared" si="87"/>
        <v>87.982005847711321</v>
      </c>
      <c r="AH97" s="603">
        <f t="shared" si="88"/>
        <v>63.379663735335434</v>
      </c>
      <c r="AI97" s="585">
        <f t="shared" si="89"/>
        <v>-88.195997717848286</v>
      </c>
      <c r="AJ97" s="586">
        <f t="shared" si="90"/>
        <v>153.36542259051936</v>
      </c>
      <c r="AK97" s="635">
        <f t="shared" si="211"/>
        <v>0.8600083296916482</v>
      </c>
      <c r="AL97" s="629">
        <f t="shared" si="91"/>
        <v>-0.50930800710285895</v>
      </c>
      <c r="AM97" s="634">
        <f t="shared" si="92"/>
        <v>-3.1480577534339929E-2</v>
      </c>
      <c r="AN97" s="581">
        <f t="shared" si="93"/>
        <v>-86.463019595092348</v>
      </c>
      <c r="AO97" s="582">
        <f t="shared" si="461"/>
        <v>30.682481838895967</v>
      </c>
      <c r="AP97" s="585">
        <f t="shared" si="95"/>
        <v>-30.634563548797566</v>
      </c>
      <c r="AQ97" s="586">
        <f t="shared" si="471"/>
        <v>0.38897159660812375</v>
      </c>
      <c r="AS97" s="52">
        <f t="shared" si="543"/>
        <v>93.999986139316903</v>
      </c>
      <c r="AT97" s="73">
        <f t="shared" si="472"/>
        <v>-2.5780861007822349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6.1529999999999996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-5.9054670524586426</v>
      </c>
      <c r="C98" s="708">
        <v>-0.34640054709416079</v>
      </c>
      <c r="D98" s="709">
        <v>-3.5238000000000009</v>
      </c>
      <c r="E98" s="710">
        <v>-0.59682732263892047</v>
      </c>
      <c r="F98" s="708">
        <v>-0.80236970714978817</v>
      </c>
      <c r="G98" s="711">
        <v>1.4578093171151555E-7</v>
      </c>
      <c r="H98" s="710">
        <v>0.314</v>
      </c>
      <c r="I98" s="708">
        <v>0.52</v>
      </c>
      <c r="J98" s="570">
        <v>6.16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6.16</v>
      </c>
      <c r="N98" s="632">
        <f t="shared" si="465"/>
        <v>-5.9054670524586426</v>
      </c>
      <c r="O98" s="629">
        <f t="shared" si="466"/>
        <v>-0.34640054709416079</v>
      </c>
      <c r="P98" s="633">
        <f t="shared" si="467"/>
        <v>-3.5238000000000009</v>
      </c>
      <c r="Q98" s="585">
        <f t="shared" si="520"/>
        <v>183.35698652090736</v>
      </c>
      <c r="R98" s="629">
        <f t="shared" si="79"/>
        <v>5.9156178415024154</v>
      </c>
      <c r="S98" s="634">
        <f t="shared" si="80"/>
        <v>-3.5238000000000009</v>
      </c>
      <c r="T98" s="635">
        <f t="shared" si="81"/>
        <v>-0.34640054709415907</v>
      </c>
      <c r="U98" s="629">
        <f t="shared" si="82"/>
        <v>5.9054670524586417</v>
      </c>
      <c r="V98" s="636">
        <f t="shared" si="114"/>
        <v>-3.5238000000000009</v>
      </c>
      <c r="W98" s="585">
        <f t="shared" si="645"/>
        <v>93.356986520907341</v>
      </c>
      <c r="X98" s="629">
        <f t="shared" si="83"/>
        <v>5.9156178415024154</v>
      </c>
      <c r="Y98" s="630">
        <f t="shared" si="644"/>
        <v>-3.5238000000000009</v>
      </c>
      <c r="Z98" s="632">
        <f t="shared" si="468"/>
        <v>0.59682732263892047</v>
      </c>
      <c r="AA98" s="629">
        <f t="shared" si="469"/>
        <v>0.80236970714978817</v>
      </c>
      <c r="AB98" s="629">
        <f t="shared" si="470"/>
        <v>-1.4578093171151555E-7</v>
      </c>
      <c r="AC98" s="636">
        <f t="shared" si="84"/>
        <v>1</v>
      </c>
      <c r="AD98" s="637">
        <f t="shared" si="115"/>
        <v>0.59682732263892047</v>
      </c>
      <c r="AE98" s="629">
        <f t="shared" si="85"/>
        <v>0.80236970714978817</v>
      </c>
      <c r="AF98" s="633">
        <f t="shared" si="86"/>
        <v>-1.4578093171151555E-7</v>
      </c>
      <c r="AG98" s="602">
        <f t="shared" si="87"/>
        <v>89.99998959004553</v>
      </c>
      <c r="AH98" s="603">
        <f t="shared" si="88"/>
        <v>53.356992296204638</v>
      </c>
      <c r="AI98" s="585">
        <f t="shared" si="89"/>
        <v>-89.999991647367878</v>
      </c>
      <c r="AJ98" s="586">
        <f t="shared" si="90"/>
        <v>143.3569922962042</v>
      </c>
      <c r="AK98" s="635">
        <f t="shared" si="211"/>
        <v>0.76604450791063616</v>
      </c>
      <c r="AL98" s="629">
        <f t="shared" si="91"/>
        <v>-0.64278753247082365</v>
      </c>
      <c r="AM98" s="634">
        <f t="shared" si="92"/>
        <v>-1.4578093171151555E-7</v>
      </c>
      <c r="AN98" s="581">
        <f t="shared" si="93"/>
        <v>-89.999987005609626</v>
      </c>
      <c r="AO98" s="582">
        <f t="shared" si="461"/>
        <v>39.99999422470389</v>
      </c>
      <c r="AP98" s="585">
        <f t="shared" si="95"/>
        <v>-39.999994224703165</v>
      </c>
      <c r="AQ98" s="586">
        <f t="shared" si="471"/>
        <v>0.38536841220795681</v>
      </c>
      <c r="AS98" s="52">
        <f t="shared" si="543"/>
        <v>93.356986520907341</v>
      </c>
      <c r="AT98" s="73">
        <f t="shared" si="472"/>
        <v>-3.3386312406395198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6.16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-4.209201746644907</v>
      </c>
      <c r="C99" s="708">
        <v>0.74431785166289899</v>
      </c>
      <c r="D99" s="709">
        <v>-0.33576411741953471</v>
      </c>
      <c r="E99" s="710">
        <v>-0.36470793482310937</v>
      </c>
      <c r="F99" s="708">
        <v>-0.85386292227627836</v>
      </c>
      <c r="G99" s="711">
        <v>0.37135728381018318</v>
      </c>
      <c r="H99" s="710">
        <v>0.26600000000000001</v>
      </c>
      <c r="I99" s="708">
        <v>0.52</v>
      </c>
      <c r="J99" s="570">
        <v>6.2249999999999996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6.2249999999999996</v>
      </c>
      <c r="N99" s="632">
        <f t="shared" si="465"/>
        <v>-4.209201746644907</v>
      </c>
      <c r="O99" s="629">
        <f t="shared" si="466"/>
        <v>0.74431785166289899</v>
      </c>
      <c r="P99" s="633">
        <f t="shared" si="467"/>
        <v>-0.33576411741953471</v>
      </c>
      <c r="Q99" s="585">
        <f t="shared" si="520"/>
        <v>169.97198845347347</v>
      </c>
      <c r="R99" s="629">
        <f t="shared" si="79"/>
        <v>4.2745044634744049</v>
      </c>
      <c r="S99" s="634">
        <f t="shared" si="80"/>
        <v>-0.33576411741953471</v>
      </c>
      <c r="T99" s="635">
        <f t="shared" si="81"/>
        <v>0.74431785166289943</v>
      </c>
      <c r="U99" s="629">
        <f t="shared" si="82"/>
        <v>4.209201746644907</v>
      </c>
      <c r="V99" s="636">
        <f t="shared" si="114"/>
        <v>-0.33576411741953471</v>
      </c>
      <c r="W99" s="585">
        <f t="shared" si="645"/>
        <v>79.971988453473458</v>
      </c>
      <c r="X99" s="629">
        <f t="shared" si="83"/>
        <v>4.2745044634744049</v>
      </c>
      <c r="Y99" s="630">
        <f t="shared" si="644"/>
        <v>-0.33576411741953471</v>
      </c>
      <c r="Z99" s="632">
        <f t="shared" si="468"/>
        <v>0.36470793482310937</v>
      </c>
      <c r="AA99" s="629">
        <f t="shared" si="469"/>
        <v>0.85386292227627836</v>
      </c>
      <c r="AB99" s="629">
        <f t="shared" si="470"/>
        <v>-0.37135728381018318</v>
      </c>
      <c r="AC99" s="636">
        <f t="shared" si="84"/>
        <v>1</v>
      </c>
      <c r="AD99" s="637">
        <f t="shared" si="115"/>
        <v>0.36470793482310937</v>
      </c>
      <c r="AE99" s="629">
        <f t="shared" si="85"/>
        <v>0.85386292227627836</v>
      </c>
      <c r="AF99" s="633">
        <f t="shared" si="86"/>
        <v>-0.37135728381018318</v>
      </c>
      <c r="AG99" s="602">
        <f t="shared" si="87"/>
        <v>66.495083849694566</v>
      </c>
      <c r="AH99" s="603">
        <f t="shared" si="88"/>
        <v>68.610390376905215</v>
      </c>
      <c r="AI99" s="585">
        <f t="shared" si="89"/>
        <v>-68.200651134115319</v>
      </c>
      <c r="AJ99" s="586">
        <f t="shared" si="90"/>
        <v>156.87136218174214</v>
      </c>
      <c r="AK99" s="635">
        <f t="shared" si="211"/>
        <v>0.90432469152941164</v>
      </c>
      <c r="AL99" s="629">
        <f t="shared" si="91"/>
        <v>-0.21045336787839139</v>
      </c>
      <c r="AM99" s="634">
        <f t="shared" si="92"/>
        <v>-0.37135728381018318</v>
      </c>
      <c r="AN99" s="581">
        <f t="shared" si="93"/>
        <v>-29.540834584910588</v>
      </c>
      <c r="AO99" s="582">
        <f t="shared" si="461"/>
        <v>25.267516608601802</v>
      </c>
      <c r="AP99" s="585">
        <f t="shared" si="95"/>
        <v>-13.100626271731343</v>
      </c>
      <c r="AQ99" s="586">
        <f t="shared" si="471"/>
        <v>0.53331580578715043</v>
      </c>
      <c r="AS99" s="52">
        <f t="shared" si="543"/>
        <v>79.971988453473458</v>
      </c>
      <c r="AT99" s="73">
        <f t="shared" si="472"/>
        <v>-0.1413002205122246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Nose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6.2249999999999996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6.125</v>
      </c>
      <c r="II99" s="734" cm="1">
        <f t="array" ref="II99">IFERROR(ROUND(VALUE(IF($IH99&lt;1,$IH99+LARGE((IF($M$9:$M$150="",0,$M$9:$M$150)-MOD(IF($M$9:$M$150="",0,$M$9:$M$150),1)),1),$IH99)),4),"")</f>
        <v>6.125</v>
      </c>
      <c r="IJ99" s="533">
        <f t="shared" si="542"/>
        <v>1613</v>
      </c>
      <c r="IK99" s="533">
        <f t="shared" si="517"/>
        <v>1313</v>
      </c>
      <c r="IL99" s="727">
        <f t="shared" si="647"/>
        <v>15.630997685843454</v>
      </c>
      <c r="IM99" s="759">
        <v>1.5414188540176401E-2</v>
      </c>
      <c r="IN99" s="5">
        <f t="shared" si="648"/>
        <v>0.36</v>
      </c>
      <c r="IO99" s="771">
        <v>180</v>
      </c>
      <c r="IP99" s="9">
        <f t="shared" si="649"/>
        <v>-4.2526128258802833</v>
      </c>
      <c r="IQ99" s="5">
        <f t="shared" si="650"/>
        <v>-0.37710113733703043</v>
      </c>
      <c r="IR99" s="5">
        <f t="shared" si="518"/>
        <v>0.314</v>
      </c>
      <c r="IS99" s="5">
        <f t="shared" si="651"/>
        <v>0.30263705019642317</v>
      </c>
      <c r="IT99" s="727">
        <f t="shared" si="652"/>
        <v>34.990264310338993</v>
      </c>
      <c r="IU99" s="9">
        <f t="shared" si="653"/>
        <v>-4.2745044634744049</v>
      </c>
      <c r="IV99" s="5">
        <f t="shared" si="654"/>
        <v>-0.33576411741953471</v>
      </c>
      <c r="IW99" s="5">
        <f t="shared" si="519"/>
        <v>0.26600000000000001</v>
      </c>
      <c r="IX99" s="5">
        <f t="shared" si="655"/>
        <v>0.2405503679468235</v>
      </c>
      <c r="IY99" s="762">
        <f t="shared" si="656"/>
        <v>29.540834584910588</v>
      </c>
    </row>
    <row r="100" spans="1:259" ht="15" customHeight="1" x14ac:dyDescent="0.25">
      <c r="A100" s="79"/>
      <c r="B100" s="707">
        <v>-4.8668271166946662</v>
      </c>
      <c r="C100" s="708">
        <v>0.75168620090221239</v>
      </c>
      <c r="D100" s="709">
        <v>-0.74398131176684201</v>
      </c>
      <c r="E100" s="710">
        <v>-0.44081077029961302</v>
      </c>
      <c r="F100" s="708">
        <v>-0.84545846025491422</v>
      </c>
      <c r="G100" s="711">
        <v>0.30147281265688186</v>
      </c>
      <c r="H100" s="710">
        <v>0.26600000000000001</v>
      </c>
      <c r="I100" s="708">
        <v>0.52</v>
      </c>
      <c r="J100" s="570">
        <v>6.2320000000000002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6.2320000000000002</v>
      </c>
      <c r="N100" s="632">
        <f t="shared" si="465"/>
        <v>-4.8668271166946662</v>
      </c>
      <c r="O100" s="629">
        <f t="shared" si="466"/>
        <v>0.75168620090221239</v>
      </c>
      <c r="P100" s="633">
        <f t="shared" si="467"/>
        <v>-0.74398131176684201</v>
      </c>
      <c r="Q100" s="585">
        <f t="shared" si="520"/>
        <v>171.2199882732846</v>
      </c>
      <c r="R100" s="629">
        <f t="shared" si="79"/>
        <v>4.9245343260476231</v>
      </c>
      <c r="S100" s="634">
        <f t="shared" si="80"/>
        <v>-0.74398131176684201</v>
      </c>
      <c r="T100" s="635">
        <f t="shared" si="81"/>
        <v>0.75168620090221383</v>
      </c>
      <c r="U100" s="629">
        <f t="shared" si="82"/>
        <v>4.8668271166946662</v>
      </c>
      <c r="V100" s="636">
        <f t="shared" si="114"/>
        <v>-0.74398131176684201</v>
      </c>
      <c r="W100" s="585">
        <f t="shared" si="645"/>
        <v>81.219988273284585</v>
      </c>
      <c r="X100" s="629">
        <f t="shared" si="83"/>
        <v>4.9245343260476231</v>
      </c>
      <c r="Y100" s="630">
        <f t="shared" si="644"/>
        <v>-0.74398131176684201</v>
      </c>
      <c r="Z100" s="632">
        <f t="shared" si="468"/>
        <v>0.44081077029961302</v>
      </c>
      <c r="AA100" s="629">
        <f t="shared" si="469"/>
        <v>0.84545846025491422</v>
      </c>
      <c r="AB100" s="629">
        <f t="shared" si="470"/>
        <v>-0.30147281265688186</v>
      </c>
      <c r="AC100" s="636">
        <f t="shared" si="84"/>
        <v>1</v>
      </c>
      <c r="AD100" s="637">
        <f t="shared" si="115"/>
        <v>0.44081077029961302</v>
      </c>
      <c r="AE100" s="629">
        <f t="shared" si="85"/>
        <v>0.84545846025491422</v>
      </c>
      <c r="AF100" s="633">
        <f t="shared" si="86"/>
        <v>-0.30147281265688186</v>
      </c>
      <c r="AG100" s="602">
        <f t="shared" si="87"/>
        <v>70.374828264076967</v>
      </c>
      <c r="AH100" s="603">
        <f t="shared" si="88"/>
        <v>63.844377083562044</v>
      </c>
      <c r="AI100" s="585">
        <f t="shared" si="89"/>
        <v>-72.453914843952845</v>
      </c>
      <c r="AJ100" s="586">
        <f t="shared" si="90"/>
        <v>152.4630642999625</v>
      </c>
      <c r="AK100" s="635">
        <f t="shared" si="211"/>
        <v>0.90283694645686063</v>
      </c>
      <c r="AL100" s="629">
        <f t="shared" si="91"/>
        <v>-0.30659352788537519</v>
      </c>
      <c r="AM100" s="634">
        <f t="shared" si="92"/>
        <v>-0.30147281265688186</v>
      </c>
      <c r="AN100" s="581">
        <f t="shared" si="93"/>
        <v>-45.482494122266573</v>
      </c>
      <c r="AO100" s="582">
        <f t="shared" si="461"/>
        <v>25.466486289876318</v>
      </c>
      <c r="AP100" s="585">
        <f t="shared" si="95"/>
        <v>-18.756923973322095</v>
      </c>
      <c r="AQ100" s="586">
        <f t="shared" si="471"/>
        <v>0.46292235468174325</v>
      </c>
      <c r="AS100" s="52">
        <f t="shared" si="543"/>
        <v>81.219988273284585</v>
      </c>
      <c r="AT100" s="73">
        <f t="shared" si="472"/>
        <v>-0.55038408140106743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6.2320000000000002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6.1319999999999997</v>
      </c>
      <c r="II100" s="734" cm="1">
        <f t="array" ref="II100">IFERROR(ROUND(VALUE(IF($IH100&lt;1,$IH100+LARGE((IF($M$9:$M$150="",0,$M$9:$M$150)-MOD(IF($M$9:$M$150="",0,$M$9:$M$150),1)),1),$IH100)),4),"")</f>
        <v>6.1319999999999997</v>
      </c>
      <c r="IJ100" s="533">
        <f t="shared" si="542"/>
        <v>1613</v>
      </c>
      <c r="IK100" s="533">
        <f t="shared" si="517"/>
        <v>1313</v>
      </c>
      <c r="IL100" s="727">
        <f t="shared" si="647"/>
        <v>13.766997866032341</v>
      </c>
      <c r="IM100" s="759">
        <v>1.16484361781107E-2</v>
      </c>
      <c r="IN100" s="5">
        <f t="shared" si="648"/>
        <v>0.34</v>
      </c>
      <c r="IO100" s="771">
        <v>170</v>
      </c>
      <c r="IP100" s="9">
        <f t="shared" si="649"/>
        <v>-4.8900147482844787</v>
      </c>
      <c r="IQ100" s="5">
        <f t="shared" si="650"/>
        <v>-0.78090235520150342</v>
      </c>
      <c r="IR100" s="5">
        <f t="shared" si="518"/>
        <v>0.314</v>
      </c>
      <c r="IS100" s="5">
        <f t="shared" si="651"/>
        <v>0.30213916842407029</v>
      </c>
      <c r="IT100" s="727">
        <f t="shared" si="652"/>
        <v>52.482690648353866</v>
      </c>
      <c r="IU100" s="9">
        <f t="shared" si="653"/>
        <v>-4.9245343260476231</v>
      </c>
      <c r="IV100" s="5">
        <f t="shared" si="654"/>
        <v>-0.74398131176684201</v>
      </c>
      <c r="IW100" s="5">
        <f t="shared" si="519"/>
        <v>0.26600000000000001</v>
      </c>
      <c r="IX100" s="5">
        <f t="shared" si="655"/>
        <v>0.24015462775752494</v>
      </c>
      <c r="IY100" s="762">
        <f t="shared" si="656"/>
        <v>45.482494122266573</v>
      </c>
    </row>
    <row r="101" spans="1:259" ht="15" customHeight="1" x14ac:dyDescent="0.25">
      <c r="A101" s="79"/>
      <c r="B101" s="707">
        <v>-5.3840694221706089</v>
      </c>
      <c r="C101" s="708">
        <v>0.77355542228530971</v>
      </c>
      <c r="D101" s="709">
        <v>-1.3134440563654475</v>
      </c>
      <c r="E101" s="710">
        <v>-0.51211150442214337</v>
      </c>
      <c r="F101" s="708">
        <v>-0.82958029223506946</v>
      </c>
      <c r="G101" s="711">
        <v>0.22257211364783791</v>
      </c>
      <c r="H101" s="710">
        <v>0.26600000000000001</v>
      </c>
      <c r="I101" s="708">
        <v>0.52</v>
      </c>
      <c r="J101" s="570">
        <v>6.2389999999999999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1313</v>
      </c>
      <c r="L101" s="320"/>
      <c r="M101" s="168">
        <f t="shared" si="464"/>
        <v>6.2389999999999999</v>
      </c>
      <c r="N101" s="632">
        <f t="shared" si="465"/>
        <v>-5.3840694221706089</v>
      </c>
      <c r="O101" s="629">
        <f t="shared" si="466"/>
        <v>0.77355542228530971</v>
      </c>
      <c r="P101" s="633">
        <f t="shared" si="467"/>
        <v>-1.3134440563654475</v>
      </c>
      <c r="Q101" s="585">
        <f t="shared" si="520"/>
        <v>171.82398818607777</v>
      </c>
      <c r="R101" s="629">
        <f t="shared" si="79"/>
        <v>5.4393558013885759</v>
      </c>
      <c r="S101" s="634">
        <f t="shared" si="80"/>
        <v>-1.3134440563654475</v>
      </c>
      <c r="T101" s="635">
        <f t="shared" si="81"/>
        <v>0.77355542228531204</v>
      </c>
      <c r="U101" s="629">
        <f t="shared" si="82"/>
        <v>5.384069422170608</v>
      </c>
      <c r="V101" s="636">
        <f t="shared" si="114"/>
        <v>-1.3134440563654475</v>
      </c>
      <c r="W101" s="585">
        <f t="shared" si="645"/>
        <v>81.823988186077756</v>
      </c>
      <c r="X101" s="629">
        <f t="shared" si="83"/>
        <v>5.4393558013885759</v>
      </c>
      <c r="Y101" s="630">
        <f t="shared" si="644"/>
        <v>-1.3134440563654475</v>
      </c>
      <c r="Z101" s="632">
        <f t="shared" si="468"/>
        <v>0.51211150442214337</v>
      </c>
      <c r="AA101" s="629">
        <f t="shared" si="469"/>
        <v>0.82958029223506946</v>
      </c>
      <c r="AB101" s="629">
        <f t="shared" si="470"/>
        <v>-0.22257211364783791</v>
      </c>
      <c r="AC101" s="636">
        <f t="shared" si="84"/>
        <v>1</v>
      </c>
      <c r="AD101" s="637">
        <f t="shared" si="115"/>
        <v>0.51211150442214337</v>
      </c>
      <c r="AE101" s="629">
        <f t="shared" si="85"/>
        <v>0.82958029223506946</v>
      </c>
      <c r="AF101" s="633">
        <f t="shared" si="86"/>
        <v>-0.22257211364783791</v>
      </c>
      <c r="AG101" s="602">
        <f t="shared" si="87"/>
        <v>74.981523955742432</v>
      </c>
      <c r="AH101" s="603">
        <f t="shared" si="88"/>
        <v>59.195421380781838</v>
      </c>
      <c r="AI101" s="585">
        <f t="shared" si="89"/>
        <v>-77.139849332891245</v>
      </c>
      <c r="AJ101" s="586">
        <f t="shared" si="90"/>
        <v>148.31238686235019</v>
      </c>
      <c r="AK101" s="635">
        <f t="shared" si="211"/>
        <v>0.89397801748458439</v>
      </c>
      <c r="AL101" s="629">
        <f t="shared" si="91"/>
        <v>-0.38892796052825296</v>
      </c>
      <c r="AM101" s="634">
        <f t="shared" si="92"/>
        <v>-0.22257211364783791</v>
      </c>
      <c r="AN101" s="581">
        <f t="shared" si="93"/>
        <v>-60.218754356457275</v>
      </c>
      <c r="AO101" s="582">
        <f t="shared" si="461"/>
        <v>26.622540382512248</v>
      </c>
      <c r="AP101" s="585">
        <f t="shared" si="95"/>
        <v>-23.511601323727568</v>
      </c>
      <c r="AQ101" s="586">
        <f t="shared" si="471"/>
        <v>0.41910955169570707</v>
      </c>
      <c r="AS101" s="52">
        <f t="shared" si="543"/>
        <v>81.823988186077756</v>
      </c>
      <c r="AT101" s="73">
        <f t="shared" si="472"/>
        <v>-1.1202662703835571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Taper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6.2389999999999999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6.1390000000000002</v>
      </c>
      <c r="II101" s="734" cm="1">
        <f t="array" ref="II101">IFERROR(ROUND(VALUE(IF($IH101&lt;1,$IH101+LARGE((IF($M$9:$M$150="",0,$M$9:$M$150)-MOD(IF($M$9:$M$150="",0,$M$9:$M$150),1)),1),$IH101)),4),"")</f>
        <v>6.1390000000000002</v>
      </c>
      <c r="IJ101" s="533">
        <f t="shared" si="542"/>
        <v>1613</v>
      </c>
      <c r="IK101" s="533">
        <f t="shared" si="517"/>
        <v>1313</v>
      </c>
      <c r="IL101" s="727">
        <f t="shared" si="647"/>
        <v>12.665997953239156</v>
      </c>
      <c r="IM101" s="759">
        <v>8.3597562224267501E-3</v>
      </c>
      <c r="IN101" s="5">
        <f t="shared" si="648"/>
        <v>0.32</v>
      </c>
      <c r="IO101" s="771">
        <v>160</v>
      </c>
      <c r="IP101" s="9">
        <f t="shared" si="649"/>
        <v>-5.3936162671466628</v>
      </c>
      <c r="IQ101" s="5">
        <f t="shared" si="650"/>
        <v>-1.3428040498970153</v>
      </c>
      <c r="IR101" s="5">
        <f t="shared" si="518"/>
        <v>0.314</v>
      </c>
      <c r="IS101" s="5">
        <f t="shared" si="651"/>
        <v>0.3002188306950821</v>
      </c>
      <c r="IT101" s="727">
        <f t="shared" si="652"/>
        <v>67.540885855671632</v>
      </c>
      <c r="IU101" s="9">
        <f t="shared" si="653"/>
        <v>-5.4393558013885759</v>
      </c>
      <c r="IV101" s="5">
        <f t="shared" si="654"/>
        <v>-1.3134440563654475</v>
      </c>
      <c r="IW101" s="5">
        <f t="shared" si="519"/>
        <v>0.26600000000000001</v>
      </c>
      <c r="IX101" s="5">
        <f t="shared" si="655"/>
        <v>0.23779815265089946</v>
      </c>
      <c r="IY101" s="762">
        <f t="shared" si="656"/>
        <v>60.218754356457275</v>
      </c>
    </row>
    <row r="102" spans="1:259" ht="15" customHeight="1" x14ac:dyDescent="0.25">
      <c r="A102" s="79"/>
      <c r="B102" s="707">
        <v>-5.7255974179424935</v>
      </c>
      <c r="C102" s="708">
        <v>0.79591951714858078</v>
      </c>
      <c r="D102" s="709">
        <v>-2.0014399414940049</v>
      </c>
      <c r="E102" s="710">
        <v>-0.57713067301157595</v>
      </c>
      <c r="F102" s="708">
        <v>-0.80544137640166258</v>
      </c>
      <c r="G102" s="711">
        <v>0.13484945476122978</v>
      </c>
      <c r="H102" s="710">
        <v>0.26600000000000001</v>
      </c>
      <c r="I102" s="708">
        <v>0.52</v>
      </c>
      <c r="J102" s="570">
        <v>6.2460000000000004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1313</v>
      </c>
      <c r="L102" s="320"/>
      <c r="M102" s="168">
        <f t="shared" si="464"/>
        <v>6.2460000000000004</v>
      </c>
      <c r="N102" s="632">
        <f t="shared" si="465"/>
        <v>-5.7255974179424935</v>
      </c>
      <c r="O102" s="629">
        <f t="shared" si="466"/>
        <v>0.79591951714858078</v>
      </c>
      <c r="P102" s="633">
        <f t="shared" si="467"/>
        <v>-2.0014399414940049</v>
      </c>
      <c r="Q102" s="585">
        <f t="shared" si="520"/>
        <v>172.08598814824967</v>
      </c>
      <c r="R102" s="629">
        <f t="shared" si="79"/>
        <v>5.7806533947407521</v>
      </c>
      <c r="S102" s="634">
        <f t="shared" si="80"/>
        <v>-2.0014399414940049</v>
      </c>
      <c r="T102" s="635">
        <f t="shared" si="81"/>
        <v>0.795919517148583</v>
      </c>
      <c r="U102" s="629">
        <f t="shared" si="82"/>
        <v>5.7255974179424935</v>
      </c>
      <c r="V102" s="636">
        <f t="shared" si="114"/>
        <v>-2.0014399414940049</v>
      </c>
      <c r="W102" s="585">
        <f t="shared" si="645"/>
        <v>82.085988148249655</v>
      </c>
      <c r="X102" s="629">
        <f t="shared" si="83"/>
        <v>5.7806533947407521</v>
      </c>
      <c r="Y102" s="630">
        <f t="shared" si="644"/>
        <v>-2.0014399414940049</v>
      </c>
      <c r="Z102" s="632">
        <f t="shared" si="468"/>
        <v>0.57713067301157595</v>
      </c>
      <c r="AA102" s="629">
        <f t="shared" si="469"/>
        <v>0.80544137640166258</v>
      </c>
      <c r="AB102" s="629">
        <f t="shared" si="470"/>
        <v>-0.13484945476122978</v>
      </c>
      <c r="AC102" s="636">
        <f t="shared" si="84"/>
        <v>1</v>
      </c>
      <c r="AD102" s="637">
        <f t="shared" si="115"/>
        <v>0.57713067301157595</v>
      </c>
      <c r="AE102" s="629">
        <f t="shared" si="85"/>
        <v>0.80544137640166258</v>
      </c>
      <c r="AF102" s="633">
        <f t="shared" si="86"/>
        <v>-0.13484945476122978</v>
      </c>
      <c r="AG102" s="602">
        <f t="shared" si="87"/>
        <v>80.4955164813869</v>
      </c>
      <c r="AH102" s="603">
        <f t="shared" si="88"/>
        <v>54.751018511819929</v>
      </c>
      <c r="AI102" s="585">
        <f t="shared" si="89"/>
        <v>-82.250085319951111</v>
      </c>
      <c r="AJ102" s="586">
        <f t="shared" si="90"/>
        <v>144.37690146819361</v>
      </c>
      <c r="AK102" s="635">
        <f t="shared" si="211"/>
        <v>0.87723346918498957</v>
      </c>
      <c r="AL102" s="629">
        <f t="shared" si="91"/>
        <v>-0.46073535255314108</v>
      </c>
      <c r="AM102" s="634">
        <f t="shared" si="92"/>
        <v>-0.13484945476122978</v>
      </c>
      <c r="AN102" s="581">
        <f t="shared" si="93"/>
        <v>-73.686138034177574</v>
      </c>
      <c r="AO102" s="582">
        <f t="shared" si="461"/>
        <v>28.689581796041598</v>
      </c>
      <c r="AP102" s="585">
        <f t="shared" si="95"/>
        <v>-27.70908668005605</v>
      </c>
      <c r="AQ102" s="586">
        <f t="shared" si="471"/>
        <v>0.39436556305924836</v>
      </c>
      <c r="AS102" s="52">
        <f t="shared" si="543"/>
        <v>82.085988148249655</v>
      </c>
      <c r="AT102" s="73">
        <f t="shared" si="472"/>
        <v>-1.8084440999302895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Taper</v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6.2460000000000004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6.1459999999999999</v>
      </c>
      <c r="II102" s="734" cm="1">
        <f t="array" ref="II102">IFERROR(ROUND(VALUE(IF($IH102&lt;1,$IH102+LARGE((IF($M$9:$M$150="",0,$M$9:$M$150)-MOD(IF($M$9:$M$150="",0,$M$9:$M$150),1)),1),$IH102)),4),"")</f>
        <v>6.1459999999999999</v>
      </c>
      <c r="IJ102" s="533">
        <f t="shared" si="542"/>
        <v>1613</v>
      </c>
      <c r="IK102" s="533">
        <f t="shared" si="517"/>
        <v>1313</v>
      </c>
      <c r="IL102" s="727">
        <f t="shared" si="647"/>
        <v>12.489997991067241</v>
      </c>
      <c r="IM102" s="759">
        <v>5.2955436700372702E-3</v>
      </c>
      <c r="IN102" s="5">
        <f t="shared" si="648"/>
        <v>0.28000000000000003</v>
      </c>
      <c r="IO102" s="771">
        <v>140</v>
      </c>
      <c r="IP102" s="9">
        <f t="shared" si="649"/>
        <v>-5.7255172681600817</v>
      </c>
      <c r="IQ102" s="5">
        <f t="shared" si="650"/>
        <v>-2.0205060938463801</v>
      </c>
      <c r="IR102" s="5">
        <f t="shared" si="518"/>
        <v>0.314</v>
      </c>
      <c r="IS102" s="5">
        <f t="shared" si="651"/>
        <v>0.2966991006104604</v>
      </c>
      <c r="IT102" s="727">
        <f t="shared" si="652"/>
        <v>80.30255587334949</v>
      </c>
      <c r="IU102" s="9">
        <f t="shared" si="653"/>
        <v>-5.7806533947407521</v>
      </c>
      <c r="IV102" s="5">
        <f t="shared" si="654"/>
        <v>-2.0014399414940049</v>
      </c>
      <c r="IW102" s="5">
        <f t="shared" si="519"/>
        <v>0.26600000000000001</v>
      </c>
      <c r="IX102" s="5">
        <f t="shared" si="655"/>
        <v>0.23334410280320725</v>
      </c>
      <c r="IY102" s="762">
        <f t="shared" si="656"/>
        <v>73.686138034177574</v>
      </c>
    </row>
    <row r="103" spans="1:259" ht="15" customHeight="1" x14ac:dyDescent="0.25">
      <c r="A103" s="79"/>
      <c r="B103" s="707">
        <v>-5.8573103315719024</v>
      </c>
      <c r="C103" s="708">
        <v>0.805685925404381</v>
      </c>
      <c r="D103" s="709">
        <v>-2.7596491942201169</v>
      </c>
      <c r="E103" s="710">
        <v>-0.68467533174576456</v>
      </c>
      <c r="F103" s="708">
        <v>-0.72694158279594923</v>
      </c>
      <c r="G103" s="711">
        <v>5.2684203523896647E-2</v>
      </c>
      <c r="H103" s="710">
        <v>0.26600000000000001</v>
      </c>
      <c r="I103" s="708">
        <v>0.52</v>
      </c>
      <c r="J103" s="570">
        <v>6.2530000000000001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1313</v>
      </c>
      <c r="L103" s="320"/>
      <c r="M103" s="168">
        <f t="shared" si="464"/>
        <v>6.2530000000000001</v>
      </c>
      <c r="N103" s="632">
        <f t="shared" si="465"/>
        <v>-5.8573103315719024</v>
      </c>
      <c r="O103" s="629">
        <f t="shared" si="466"/>
        <v>0.805685925404381</v>
      </c>
      <c r="P103" s="633">
        <f t="shared" si="467"/>
        <v>-2.7596491942201169</v>
      </c>
      <c r="Q103" s="585">
        <f t="shared" si="520"/>
        <v>172.16798813641034</v>
      </c>
      <c r="R103" s="629">
        <f t="shared" si="79"/>
        <v>5.9124626113603176</v>
      </c>
      <c r="S103" s="634">
        <f t="shared" si="80"/>
        <v>-2.7596491942201169</v>
      </c>
      <c r="T103" s="635">
        <f t="shared" si="81"/>
        <v>0.80568592540438255</v>
      </c>
      <c r="U103" s="629">
        <f t="shared" si="82"/>
        <v>5.8573103315719024</v>
      </c>
      <c r="V103" s="636">
        <f t="shared" si="114"/>
        <v>-2.7596491942201169</v>
      </c>
      <c r="W103" s="585">
        <f t="shared" si="645"/>
        <v>82.16798813641033</v>
      </c>
      <c r="X103" s="629">
        <f t="shared" si="83"/>
        <v>5.9124626113603176</v>
      </c>
      <c r="Y103" s="630">
        <f t="shared" si="644"/>
        <v>-2.7596491942201169</v>
      </c>
      <c r="Z103" s="632">
        <f t="shared" si="468"/>
        <v>0.68467533174576456</v>
      </c>
      <c r="AA103" s="629">
        <f t="shared" si="469"/>
        <v>0.72694158279594923</v>
      </c>
      <c r="AB103" s="629">
        <f t="shared" si="470"/>
        <v>-5.2684203523896647E-2</v>
      </c>
      <c r="AC103" s="636">
        <f t="shared" si="84"/>
        <v>1</v>
      </c>
      <c r="AD103" s="637">
        <f t="shared" si="115"/>
        <v>0.68467533174576456</v>
      </c>
      <c r="AE103" s="629">
        <f t="shared" si="85"/>
        <v>0.72694158279594923</v>
      </c>
      <c r="AF103" s="633">
        <f t="shared" si="86"/>
        <v>-5.2684203523896647E-2</v>
      </c>
      <c r="AG103" s="602">
        <f t="shared" si="87"/>
        <v>85.854805681379872</v>
      </c>
      <c r="AH103" s="603">
        <f t="shared" si="88"/>
        <v>46.789920821305572</v>
      </c>
      <c r="AI103" s="585">
        <f t="shared" si="89"/>
        <v>-86.980019335029255</v>
      </c>
      <c r="AJ103" s="586">
        <f t="shared" si="90"/>
        <v>136.7150223132725</v>
      </c>
      <c r="AK103" s="635">
        <f t="shared" si="211"/>
        <v>0.81346065721885685</v>
      </c>
      <c r="AL103" s="629">
        <f t="shared" si="91"/>
        <v>-0.57922891317346903</v>
      </c>
      <c r="AM103" s="634">
        <f t="shared" si="92"/>
        <v>-5.2684203523896647E-2</v>
      </c>
      <c r="AN103" s="581">
        <f t="shared" si="93"/>
        <v>-84.802919323104987</v>
      </c>
      <c r="AO103" s="582">
        <f t="shared" si="461"/>
        <v>35.564561707225813</v>
      </c>
      <c r="AP103" s="585">
        <f t="shared" si="95"/>
        <v>-35.452965823137838</v>
      </c>
      <c r="AQ103" s="586">
        <f t="shared" si="471"/>
        <v>0.38557406075237866</v>
      </c>
      <c r="AS103" s="52">
        <f t="shared" si="543"/>
        <v>82.16798813641033</v>
      </c>
      <c r="AT103" s="73">
        <f t="shared" si="472"/>
        <v>-2.5667102970926239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>Taper</v>
      </c>
      <c r="IF103" s="533" t="str">
        <f>IFERROR(IF((((($IW103*COS(RADIANS(180-$IY103)))*COS(RADIANS($IY103)))-(($IX103*SIN(RADIANS(180-$IY103)))*SIN(RADIANS($IY103))))+$IU103)&lt;(((Settings!$C$19+$IF$8)/2)*-1),"Gage",""),"")</f>
        <v>Gage</v>
      </c>
      <c r="IG103" s="847">
        <f t="shared" si="643"/>
        <v>6.2530000000000001</v>
      </c>
      <c r="IH103" s="731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6.1529999999999996</v>
      </c>
      <c r="II103" s="734" cm="1">
        <f t="array" ref="II103">IFERROR(ROUND(VALUE(IF($IH103&lt;1,$IH103+LARGE((IF($M$9:$M$150="",0,$M$9:$M$150)-MOD(IF($M$9:$M$150="",0,$M$9:$M$150),1)),1),$IH103)),4),"")</f>
        <v>6.1529999999999996</v>
      </c>
      <c r="IJ103" s="533">
        <f t="shared" si="542"/>
        <v>1613</v>
      </c>
      <c r="IK103" s="533">
        <f t="shared" si="517"/>
        <v>1313</v>
      </c>
      <c r="IL103" s="727">
        <f t="shared" si="647"/>
        <v>11.831998002906573</v>
      </c>
      <c r="IM103" s="759">
        <v>1.7364567137240199E-3</v>
      </c>
      <c r="IN103" s="5">
        <f t="shared" si="648"/>
        <v>0.12</v>
      </c>
      <c r="IO103" s="771">
        <v>60</v>
      </c>
      <c r="IP103" s="9">
        <f t="shared" si="649"/>
        <v>-5.8608176762261115</v>
      </c>
      <c r="IQ103" s="5">
        <f t="shared" si="650"/>
        <v>-2.7628083326299313</v>
      </c>
      <c r="IR103" s="5">
        <f t="shared" si="518"/>
        <v>0.314</v>
      </c>
      <c r="IS103" s="5">
        <f t="shared" si="651"/>
        <v>0.27004261552317754</v>
      </c>
      <c r="IT103" s="727">
        <f t="shared" si="652"/>
        <v>86.463019595092348</v>
      </c>
      <c r="IU103" s="9">
        <f t="shared" si="653"/>
        <v>-5.9124626113603176</v>
      </c>
      <c r="IV103" s="5">
        <f t="shared" si="654"/>
        <v>-2.7596491942201169</v>
      </c>
      <c r="IW103" s="5">
        <f t="shared" si="519"/>
        <v>0.26600000000000001</v>
      </c>
      <c r="IX103" s="5">
        <f t="shared" si="655"/>
        <v>0.21638053482021596</v>
      </c>
      <c r="IY103" s="762">
        <f t="shared" si="656"/>
        <v>84.802919323104987</v>
      </c>
    </row>
    <row r="104" spans="1:259" ht="15" customHeight="1" x14ac:dyDescent="0.25">
      <c r="A104" s="79"/>
      <c r="B104" s="707">
        <v>-5.8054547443364051</v>
      </c>
      <c r="C104" s="708">
        <v>1.0519959703493003</v>
      </c>
      <c r="D104" s="709">
        <v>-3.5638999999999932</v>
      </c>
      <c r="E104" s="710">
        <v>-0.98397541645069642</v>
      </c>
      <c r="F104" s="708">
        <v>0.17830417779913954</v>
      </c>
      <c r="G104" s="711">
        <v>2.2679489684478482E-7</v>
      </c>
      <c r="H104" s="710">
        <v>0.25700000000000001</v>
      </c>
      <c r="I104" s="708">
        <v>0.41499999999999992</v>
      </c>
      <c r="J104" s="570">
        <v>6.26</v>
      </c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CPS-32193r1</v>
      </c>
      <c r="L104" s="320"/>
      <c r="M104" s="168">
        <f t="shared" si="464"/>
        <v>6.26</v>
      </c>
      <c r="N104" s="632">
        <f t="shared" si="465"/>
        <v>-5.8054547443364051</v>
      </c>
      <c r="O104" s="629">
        <f t="shared" si="466"/>
        <v>1.0519959703493003</v>
      </c>
      <c r="P104" s="633">
        <f t="shared" si="467"/>
        <v>-3.5638999999999932</v>
      </c>
      <c r="Q104" s="585">
        <f t="shared" si="520"/>
        <v>169.72898848855837</v>
      </c>
      <c r="R104" s="629">
        <f t="shared" si="79"/>
        <v>5.9000000262855288</v>
      </c>
      <c r="S104" s="634">
        <f t="shared" si="80"/>
        <v>-3.5638999999999932</v>
      </c>
      <c r="T104" s="635">
        <f t="shared" si="81"/>
        <v>1.0519959703493023</v>
      </c>
      <c r="U104" s="629">
        <f t="shared" si="82"/>
        <v>5.8054547443364051</v>
      </c>
      <c r="V104" s="636">
        <f t="shared" si="114"/>
        <v>-3.5638999999999932</v>
      </c>
      <c r="W104" s="585">
        <f t="shared" si="645"/>
        <v>79.728988488558358</v>
      </c>
      <c r="X104" s="629">
        <f t="shared" si="83"/>
        <v>5.9000000262855288</v>
      </c>
      <c r="Y104" s="630">
        <f t="shared" si="644"/>
        <v>-3.5638999999999932</v>
      </c>
      <c r="Z104" s="632">
        <f t="shared" si="468"/>
        <v>0.98397541645069642</v>
      </c>
      <c r="AA104" s="629">
        <f t="shared" si="469"/>
        <v>-0.17830417779913954</v>
      </c>
      <c r="AB104" s="629">
        <f t="shared" si="470"/>
        <v>-2.2679489684478482E-7</v>
      </c>
      <c r="AC104" s="636">
        <f t="shared" si="84"/>
        <v>1</v>
      </c>
      <c r="AD104" s="637">
        <f t="shared" si="115"/>
        <v>0.98397541645069642</v>
      </c>
      <c r="AE104" s="629">
        <f t="shared" si="85"/>
        <v>-0.17830417779913954</v>
      </c>
      <c r="AF104" s="633">
        <f t="shared" si="86"/>
        <v>-2.2679489684478482E-7</v>
      </c>
      <c r="AG104" s="602">
        <f t="shared" si="87"/>
        <v>-89.999927122344715</v>
      </c>
      <c r="AH104" s="603">
        <f t="shared" si="88"/>
        <v>10.270998517059402</v>
      </c>
      <c r="AI104" s="585">
        <f t="shared" si="89"/>
        <v>-89.999987005609597</v>
      </c>
      <c r="AJ104" s="586">
        <f t="shared" si="90"/>
        <v>79.729001482948718</v>
      </c>
      <c r="AK104" s="635">
        <f t="shared" si="211"/>
        <v>2.2679489586341361E-7</v>
      </c>
      <c r="AL104" s="629">
        <f t="shared" si="91"/>
        <v>-0.9999999999999486</v>
      </c>
      <c r="AM104" s="634">
        <f t="shared" si="92"/>
        <v>-2.2679489684478482E-7</v>
      </c>
      <c r="AN104" s="581">
        <f t="shared" si="93"/>
        <v>-89.999987005609597</v>
      </c>
      <c r="AO104" s="582">
        <f t="shared" si="461"/>
        <v>0</v>
      </c>
      <c r="AP104" s="585">
        <f t="shared" si="95"/>
        <v>-89.999987005609654</v>
      </c>
      <c r="AQ104" s="586">
        <f t="shared" si="471"/>
        <v>0.38638848515557767</v>
      </c>
      <c r="AS104" s="52">
        <f t="shared" si="543"/>
        <v>79.728988488558358</v>
      </c>
      <c r="AT104" s="73">
        <f t="shared" si="472"/>
        <v>-3.3692673531170474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>Taper</v>
      </c>
      <c r="IF104" s="533" t="str">
        <f>IFERROR(IF((((($IW104*COS(RADIANS(180-$IY104)))*COS(RADIANS($IY104)))-(($IX104*SIN(RADIANS(180-$IY104)))*SIN(RADIANS($IY104))))+$IU104)&lt;(((Settings!$C$19+$IF$8)/2)*-1),"Gage",""),"")</f>
        <v>Gage</v>
      </c>
      <c r="IG104" s="847">
        <f t="shared" si="643"/>
        <v>6.26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6.16</v>
      </c>
      <c r="II104" s="734" cm="1">
        <f t="array" ref="II104">IFERROR(ROUND(VALUE(IF($IH104&lt;1,$IH104+LARGE((IF($M$9:$M$150="",0,$M$9:$M$150)-MOD(IF($M$9:$M$150="",0,$M$9:$M$150),1)),1),$IH104)),4),"")</f>
        <v>6.16</v>
      </c>
      <c r="IJ104" s="533">
        <f t="shared" si="542"/>
        <v>1613</v>
      </c>
      <c r="IK104" s="533" t="str">
        <f t="shared" si="517"/>
        <v>CPS-32193r1</v>
      </c>
      <c r="IL104" s="727">
        <f t="shared" si="647"/>
        <v>13.627998032348984</v>
      </c>
      <c r="IM104" s="759">
        <v>1.54091697942005E-4</v>
      </c>
      <c r="IN104" s="5">
        <f t="shared" si="648"/>
        <v>0</v>
      </c>
      <c r="IO104" s="771">
        <v>0</v>
      </c>
      <c r="IP104" s="9">
        <f t="shared" si="649"/>
        <v>-5.9156178415024154</v>
      </c>
      <c r="IQ104" s="5">
        <f t="shared" si="650"/>
        <v>-3.5238000000000009</v>
      </c>
      <c r="IR104" s="5">
        <f t="shared" si="518"/>
        <v>0.314</v>
      </c>
      <c r="IS104" s="5">
        <f t="shared" si="651"/>
        <v>0.24053797548393976</v>
      </c>
      <c r="IT104" s="727">
        <f t="shared" si="652"/>
        <v>89.999987005609626</v>
      </c>
      <c r="IU104" s="9">
        <f t="shared" si="653"/>
        <v>-5.9000000262855288</v>
      </c>
      <c r="IV104" s="5">
        <f t="shared" si="654"/>
        <v>-3.5638999999999932</v>
      </c>
      <c r="IW104" s="5">
        <f t="shared" si="519"/>
        <v>0.25700000000000001</v>
      </c>
      <c r="IX104" s="5">
        <f t="shared" si="655"/>
        <v>0.25700000000000001</v>
      </c>
      <c r="IY104" s="762">
        <f t="shared" si="656"/>
        <v>89.999987005609597</v>
      </c>
    </row>
    <row r="105" spans="1:259" ht="15" customHeight="1" x14ac:dyDescent="0.25">
      <c r="A105" s="79"/>
      <c r="B105" s="707">
        <v>-1.919099880388258</v>
      </c>
      <c r="C105" s="708">
        <v>1.8533183734039216</v>
      </c>
      <c r="D105" s="709">
        <v>-0.16630050156231285</v>
      </c>
      <c r="E105" s="710">
        <v>-0.64017856296491726</v>
      </c>
      <c r="F105" s="708">
        <v>-0.72457967901449671</v>
      </c>
      <c r="G105" s="711">
        <v>0.25525613857343837</v>
      </c>
      <c r="H105" s="710">
        <v>0.314</v>
      </c>
      <c r="I105" s="708">
        <v>0.52</v>
      </c>
      <c r="J105" s="570">
        <v>7.1109999999999998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7.1109999999999998</v>
      </c>
      <c r="N105" s="632">
        <f t="shared" ref="N105:N136" si="661">IF(M105="","",B105)</f>
        <v>-1.919099880388258</v>
      </c>
      <c r="O105" s="629">
        <f t="shared" ref="O105:O136" si="662">IF(M105="","",C105)</f>
        <v>1.8533183734039216</v>
      </c>
      <c r="P105" s="633">
        <f t="shared" ref="P105:P136" si="663">IF(M105="","",D105)</f>
        <v>-0.16630050156231285</v>
      </c>
      <c r="Q105" s="585">
        <f t="shared" si="520"/>
        <v>135.99899335856705</v>
      </c>
      <c r="R105" s="629">
        <f t="shared" si="79"/>
        <v>2.667908046410667</v>
      </c>
      <c r="S105" s="634">
        <f t="shared" si="80"/>
        <v>-0.16630050156231285</v>
      </c>
      <c r="T105" s="635">
        <f t="shared" si="81"/>
        <v>1.8533183734039227</v>
      </c>
      <c r="U105" s="629">
        <f t="shared" si="82"/>
        <v>1.9190998803882564</v>
      </c>
      <c r="V105" s="636">
        <f t="shared" si="114"/>
        <v>-0.16630050156231285</v>
      </c>
      <c r="W105" s="585">
        <f t="shared" si="645"/>
        <v>45.998993358567034</v>
      </c>
      <c r="X105" s="629">
        <f t="shared" si="83"/>
        <v>2.667908046410667</v>
      </c>
      <c r="Y105" s="630">
        <f t="shared" si="644"/>
        <v>-0.16630050156231285</v>
      </c>
      <c r="Z105" s="632">
        <f t="shared" ref="Z105:Z136" si="664">IF(M105="","",-E105)</f>
        <v>0.64017856296491726</v>
      </c>
      <c r="AA105" s="629">
        <f t="shared" ref="AA105:AA136" si="665">IF(M105="","",-F105)</f>
        <v>0.72457967901449671</v>
      </c>
      <c r="AB105" s="629">
        <f t="shared" ref="AB105:AB136" si="666">IF(M105="","",-G105)</f>
        <v>-0.25525613857343837</v>
      </c>
      <c r="AC105" s="636">
        <f t="shared" si="84"/>
        <v>1</v>
      </c>
      <c r="AD105" s="637">
        <f t="shared" si="115"/>
        <v>0.64017856296491726</v>
      </c>
      <c r="AE105" s="629">
        <f t="shared" si="85"/>
        <v>0.72457967901449671</v>
      </c>
      <c r="AF105" s="633">
        <f t="shared" si="86"/>
        <v>-0.25525613857343837</v>
      </c>
      <c r="AG105" s="602">
        <f t="shared" si="87"/>
        <v>70.593573487797769</v>
      </c>
      <c r="AH105" s="603">
        <f t="shared" si="88"/>
        <v>50.194864221363112</v>
      </c>
      <c r="AI105" s="585">
        <f t="shared" si="89"/>
        <v>-75.211236910380308</v>
      </c>
      <c r="AJ105" s="586">
        <f t="shared" si="90"/>
        <v>138.53885155325193</v>
      </c>
      <c r="AK105" s="635">
        <f t="shared" si="211"/>
        <v>0.96592364635569239</v>
      </c>
      <c r="AL105" s="629">
        <f t="shared" si="91"/>
        <v>4.284638994712503E-2</v>
      </c>
      <c r="AM105" s="634">
        <f t="shared" si="92"/>
        <v>-0.25525613857343837</v>
      </c>
      <c r="AN105" s="581">
        <f t="shared" si="93"/>
        <v>9.528636676415303</v>
      </c>
      <c r="AO105" s="582">
        <f t="shared" si="461"/>
        <v>15.000482572752805</v>
      </c>
      <c r="AP105" s="585">
        <f t="shared" si="95"/>
        <v>2.5398581946848795</v>
      </c>
      <c r="AQ105" s="586">
        <f t="shared" ref="AQ105:AQ136" si="667">IF(M105="","",DEGREES(ATAN(($AS$5*SIN(RADIANS(90)))/(($X105*2*PI())-($AS$5*COS(RADIANS(90)))))))</f>
        <v>0.85443635765436821</v>
      </c>
      <c r="AS105" s="52">
        <f t="shared" si="543"/>
        <v>45.998993358567034</v>
      </c>
      <c r="AT105" s="73">
        <f t="shared" ref="AT105:AT136" si="668">IF(M105="","",Y105+(((AS105-$AS$9)*$AS$6)*-1))</f>
        <v>5.1755753049793379E-2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7.1109999999999998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-2.4617318137363022</v>
      </c>
      <c r="C106" s="708">
        <v>2.3772673305797363</v>
      </c>
      <c r="D106" s="709">
        <v>-0.147400444559741</v>
      </c>
      <c r="E106" s="710">
        <v>-0.71415482904029282</v>
      </c>
      <c r="F106" s="708">
        <v>-0.6523025613787532</v>
      </c>
      <c r="G106" s="711">
        <v>0.2539374895070598</v>
      </c>
      <c r="H106" s="710">
        <v>0.314</v>
      </c>
      <c r="I106" s="708">
        <v>0.52</v>
      </c>
      <c r="J106" s="570">
        <v>7.117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7.117</v>
      </c>
      <c r="N106" s="632">
        <f t="shared" si="661"/>
        <v>-2.4617318137363022</v>
      </c>
      <c r="O106" s="629">
        <f t="shared" si="662"/>
        <v>2.3772673305797363</v>
      </c>
      <c r="P106" s="633">
        <f t="shared" si="663"/>
        <v>-0.147400444559741</v>
      </c>
      <c r="Q106" s="585">
        <f t="shared" si="520"/>
        <v>135.9999933584227</v>
      </c>
      <c r="R106" s="629">
        <f t="shared" ref="R106:R129" si="716">IF(M106="","",SQRT(N106^2+O106^2))</f>
        <v>3.4222103213863302</v>
      </c>
      <c r="S106" s="634">
        <f t="shared" ref="S106:S129" si="717">IF(M106="","",P106)</f>
        <v>-0.147400444559741</v>
      </c>
      <c r="T106" s="635">
        <f t="shared" ref="T106:T129" si="718">IF(M106="","",X106*COS(RADIANS(W106)))</f>
        <v>2.3772673305797363</v>
      </c>
      <c r="U106" s="629">
        <f t="shared" ref="U106:U129" si="719">IF(M106="","",X106*SIN(RADIANS(W106)))</f>
        <v>2.4617318137363022</v>
      </c>
      <c r="V106" s="636">
        <f t="shared" ref="V106:V129" si="720">IF(M106="","",Y106)</f>
        <v>-0.147400444559741</v>
      </c>
      <c r="W106" s="585">
        <f t="shared" si="645"/>
        <v>45.999993358422685</v>
      </c>
      <c r="X106" s="629">
        <f t="shared" ref="X106:X129" si="721">IF(M106="","",R106)</f>
        <v>3.4222103213863302</v>
      </c>
      <c r="Y106" s="630">
        <f t="shared" si="644"/>
        <v>-0.147400444559741</v>
      </c>
      <c r="Z106" s="632">
        <f t="shared" si="664"/>
        <v>0.71415482904029282</v>
      </c>
      <c r="AA106" s="629">
        <f t="shared" si="665"/>
        <v>0.6523025613787532</v>
      </c>
      <c r="AB106" s="629">
        <f t="shared" si="666"/>
        <v>-0.2539374895070598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0.71415482904029282</v>
      </c>
      <c r="AE106" s="629">
        <f t="shared" ref="AE106:AE129" si="724">IF(M106="","",AA106*(1/SQRT(Z106^2+AA106^2+AB106^2)))</f>
        <v>0.6523025613787532</v>
      </c>
      <c r="AF106" s="633">
        <f t="shared" ref="AF106:AF129" si="725">IF(M106="","",AB106*(1/SQRT(Z106^2+AA106^2+AB106^2)))</f>
        <v>-0.2539374895070598</v>
      </c>
      <c r="AG106" s="602">
        <f t="shared" ref="AG106:AG129" si="726">IF(M106="","",DEGREES(ATAN2(-AF106,AE106)))</f>
        <v>68.729334048383947</v>
      </c>
      <c r="AH106" s="603">
        <f t="shared" ref="AH106:AH129" si="727">IF(M106="","",DEGREES(ACOS(AD106)))</f>
        <v>44.426022909563763</v>
      </c>
      <c r="AI106" s="585">
        <f t="shared" ref="AI106:AI129" si="728">IF(M106="","",DEGREES(-ACOS(-AF106)))</f>
        <v>-75.289364457984504</v>
      </c>
      <c r="AJ106" s="586">
        <f t="shared" ref="AJ106:AJ129" si="729">IF(M106="","",DEGREES(ATAN2(-AE106,AD106)))</f>
        <v>132.40829348362459</v>
      </c>
      <c r="AK106" s="635">
        <f t="shared" ref="AK106:AK129" si="730">IF(M106="","",(COS(RADIANS((90-$Q$8)-W106))*AD106)+(-SIN(RADIANS((90-$Q$8)-W106))*AE106))</f>
        <v>0.96532083108286137</v>
      </c>
      <c r="AL106" s="629">
        <f t="shared" ref="AL106:AL129" si="731">IF(M106="","",(SIN(RADIANS((90-$Q$8)-W106))*AD106)+(COS(RADIANS((90-$Q$8)-W106))*AE106))</f>
        <v>-6.0592445901660741E-2</v>
      </c>
      <c r="AM106" s="634">
        <f t="shared" ref="AM106:AM129" si="732">IF(M106="","",AF106)</f>
        <v>-0.2539374895070598</v>
      </c>
      <c r="AN106" s="581">
        <f t="shared" ref="AN106:AN129" si="733">IF(M106="","",DEGREES(ATAN2(-AM106,AL106)))</f>
        <v>-13.420495906228808</v>
      </c>
      <c r="AO106" s="582">
        <f t="shared" si="461"/>
        <v>15.133351118257698</v>
      </c>
      <c r="AP106" s="585">
        <f t="shared" ref="AP106:AP129" si="734">IF(M106="","",DEGREES(ATAN2(AK106,AL106)))</f>
        <v>-3.5916998747981017</v>
      </c>
      <c r="AQ106" s="586">
        <f t="shared" si="667"/>
        <v>0.66612618834946247</v>
      </c>
      <c r="AS106" s="52">
        <f t="shared" si="543"/>
        <v>45.999993358422685</v>
      </c>
      <c r="AT106" s="73">
        <f t="shared" si="668"/>
        <v>7.0655115608021041E-2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7.117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-2.971988940255557</v>
      </c>
      <c r="C107" s="708">
        <v>2.9012560522765907</v>
      </c>
      <c r="D107" s="709">
        <v>-0.33420100795023971</v>
      </c>
      <c r="E107" s="710">
        <v>-0.77527940017831154</v>
      </c>
      <c r="F107" s="708">
        <v>-0.59038799889056237</v>
      </c>
      <c r="G107" s="711">
        <v>0.22446349909318225</v>
      </c>
      <c r="H107" s="710">
        <v>0.314</v>
      </c>
      <c r="I107" s="708">
        <v>0.52</v>
      </c>
      <c r="J107" s="570">
        <v>7.1239999999999997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7.1239999999999997</v>
      </c>
      <c r="N107" s="632">
        <f t="shared" si="661"/>
        <v>-2.971988940255557</v>
      </c>
      <c r="O107" s="629">
        <f t="shared" si="662"/>
        <v>2.9012560522765907</v>
      </c>
      <c r="P107" s="633">
        <f t="shared" si="663"/>
        <v>-0.33420100795023971</v>
      </c>
      <c r="Q107" s="585">
        <f t="shared" si="520"/>
        <v>135.6899933584227</v>
      </c>
      <c r="R107" s="629">
        <f t="shared" si="716"/>
        <v>4.1533125263905788</v>
      </c>
      <c r="S107" s="634">
        <f t="shared" si="717"/>
        <v>-0.33420100795023971</v>
      </c>
      <c r="T107" s="635">
        <f t="shared" si="718"/>
        <v>2.9012560522765911</v>
      </c>
      <c r="U107" s="629">
        <f t="shared" si="719"/>
        <v>2.9719889402555557</v>
      </c>
      <c r="V107" s="636">
        <f t="shared" si="720"/>
        <v>-0.33420100795023971</v>
      </c>
      <c r="W107" s="585">
        <f t="shared" si="645"/>
        <v>45.689993358422683</v>
      </c>
      <c r="X107" s="629">
        <f t="shared" si="721"/>
        <v>4.1533125263905788</v>
      </c>
      <c r="Y107" s="630">
        <f t="shared" si="644"/>
        <v>-0.33420100795023971</v>
      </c>
      <c r="Z107" s="632">
        <f t="shared" si="664"/>
        <v>0.77527940017831154</v>
      </c>
      <c r="AA107" s="629">
        <f t="shared" si="665"/>
        <v>0.59038799889056237</v>
      </c>
      <c r="AB107" s="629">
        <f t="shared" si="666"/>
        <v>-0.22446349909318225</v>
      </c>
      <c r="AC107" s="636">
        <f t="shared" si="722"/>
        <v>1</v>
      </c>
      <c r="AD107" s="637">
        <f t="shared" si="723"/>
        <v>0.77527940017831154</v>
      </c>
      <c r="AE107" s="629">
        <f t="shared" si="724"/>
        <v>0.59038799889056237</v>
      </c>
      <c r="AF107" s="633">
        <f t="shared" si="725"/>
        <v>-0.22446349909318225</v>
      </c>
      <c r="AG107" s="602">
        <f t="shared" si="726"/>
        <v>69.183367524359213</v>
      </c>
      <c r="AH107" s="603">
        <f t="shared" si="727"/>
        <v>39.169629172899704</v>
      </c>
      <c r="AI107" s="585">
        <f t="shared" si="728"/>
        <v>-77.028668005065143</v>
      </c>
      <c r="AJ107" s="586">
        <f t="shared" si="729"/>
        <v>127.28986784629744</v>
      </c>
      <c r="AK107" s="635">
        <f t="shared" si="730"/>
        <v>0.96402826170527467</v>
      </c>
      <c r="AL107" s="629">
        <f t="shared" si="731"/>
        <v>-0.14235746628944934</v>
      </c>
      <c r="AM107" s="634">
        <f t="shared" si="732"/>
        <v>-0.22446349909318225</v>
      </c>
      <c r="AN107" s="581">
        <f t="shared" si="733"/>
        <v>-32.38336456732484</v>
      </c>
      <c r="AO107" s="582">
        <f t="shared" si="461"/>
        <v>15.414479875710056</v>
      </c>
      <c r="AP107" s="585">
        <f t="shared" si="734"/>
        <v>-8.4001255121252658</v>
      </c>
      <c r="AQ107" s="586">
        <f t="shared" si="667"/>
        <v>0.54887680125207627</v>
      </c>
      <c r="AS107" s="52">
        <f t="shared" ref="AS107:AS138" si="737">IF(G107="","",IF(AND(W107&lt;(AS106+180),W107&gt;(AS106-180)),W107,IF(W107&gt;(AS106+180),W107-360,IF(W107&lt;(AS106-180),W107+360,"Error"))))</f>
        <v>45.689993358422683</v>
      </c>
      <c r="AT107" s="73">
        <f t="shared" si="668"/>
        <v>-0.11593017000469991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7.1239999999999997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-3.4027629125042727</v>
      </c>
      <c r="C108" s="708">
        <v>3.3941038732858715</v>
      </c>
      <c r="D108" s="709">
        <v>-0.71270214950968347</v>
      </c>
      <c r="E108" s="710">
        <v>-0.82704713635304894</v>
      </c>
      <c r="F108" s="708">
        <v>-0.53444288666753959</v>
      </c>
      <c r="G108" s="711">
        <v>0.17425221703234928</v>
      </c>
      <c r="H108" s="710">
        <v>0.314</v>
      </c>
      <c r="I108" s="708">
        <v>0.52</v>
      </c>
      <c r="J108" s="570">
        <v>7.1310000000000002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7.1310000000000002</v>
      </c>
      <c r="N108" s="632">
        <f t="shared" si="661"/>
        <v>-3.4027629125042727</v>
      </c>
      <c r="O108" s="629">
        <f t="shared" si="662"/>
        <v>3.3941038732858715</v>
      </c>
      <c r="P108" s="633">
        <f t="shared" si="663"/>
        <v>-0.71270214950968347</v>
      </c>
      <c r="Q108" s="585">
        <f t="shared" si="520"/>
        <v>135.07299335842268</v>
      </c>
      <c r="R108" s="629">
        <f t="shared" si="716"/>
        <v>4.8061144952413191</v>
      </c>
      <c r="S108" s="634">
        <f t="shared" si="717"/>
        <v>-0.71270214950968347</v>
      </c>
      <c r="T108" s="635">
        <f t="shared" si="718"/>
        <v>3.3941038732858728</v>
      </c>
      <c r="U108" s="629">
        <f t="shared" si="719"/>
        <v>3.4027629125042713</v>
      </c>
      <c r="V108" s="636">
        <f t="shared" si="720"/>
        <v>-0.71270214950968347</v>
      </c>
      <c r="W108" s="585">
        <f t="shared" si="645"/>
        <v>45.072993358422664</v>
      </c>
      <c r="X108" s="629">
        <f t="shared" si="721"/>
        <v>4.8061144952413191</v>
      </c>
      <c r="Y108" s="630">
        <f t="shared" si="644"/>
        <v>-0.71270214950968347</v>
      </c>
      <c r="Z108" s="632">
        <f t="shared" si="664"/>
        <v>0.82704713635304894</v>
      </c>
      <c r="AA108" s="629">
        <f t="shared" si="665"/>
        <v>0.53444288666753959</v>
      </c>
      <c r="AB108" s="629">
        <f t="shared" si="666"/>
        <v>-0.17425221703234928</v>
      </c>
      <c r="AC108" s="636">
        <f t="shared" si="722"/>
        <v>1</v>
      </c>
      <c r="AD108" s="637">
        <f t="shared" si="723"/>
        <v>0.82704713635304894</v>
      </c>
      <c r="AE108" s="629">
        <f t="shared" si="724"/>
        <v>0.53444288666753959</v>
      </c>
      <c r="AF108" s="633">
        <f t="shared" si="725"/>
        <v>-0.17425221703234928</v>
      </c>
      <c r="AG108" s="602">
        <f t="shared" si="726"/>
        <v>71.941721706704399</v>
      </c>
      <c r="AH108" s="603">
        <f t="shared" si="727"/>
        <v>34.20340833408271</v>
      </c>
      <c r="AI108" s="585">
        <f t="shared" si="728"/>
        <v>-79.964855292753342</v>
      </c>
      <c r="AJ108" s="586">
        <f t="shared" si="729"/>
        <v>122.87079010589193</v>
      </c>
      <c r="AK108" s="635">
        <f t="shared" si="730"/>
        <v>0.96245445818444697</v>
      </c>
      <c r="AL108" s="629">
        <f t="shared" si="731"/>
        <v>-0.20812876009863246</v>
      </c>
      <c r="AM108" s="634">
        <f t="shared" si="732"/>
        <v>-0.17425221703234928</v>
      </c>
      <c r="AN108" s="581">
        <f t="shared" si="733"/>
        <v>-50.062826559956825</v>
      </c>
      <c r="AO108" s="582">
        <f t="shared" si="461"/>
        <v>15.750164276598655</v>
      </c>
      <c r="AP108" s="585">
        <f t="shared" si="734"/>
        <v>-12.202203252530762</v>
      </c>
      <c r="AQ108" s="586">
        <f t="shared" si="667"/>
        <v>0.47432797400925669</v>
      </c>
      <c r="AS108" s="52">
        <f t="shared" si="737"/>
        <v>45.072993358422664</v>
      </c>
      <c r="AT108" s="73">
        <f t="shared" si="668"/>
        <v>-0.49400283934192141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7.1310000000000002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-3.7445957999976809</v>
      </c>
      <c r="C109" s="708">
        <v>3.7949966677104725</v>
      </c>
      <c r="D109" s="709">
        <v>-1.2544037832818109</v>
      </c>
      <c r="E109" s="710">
        <v>-0.86728802728875465</v>
      </c>
      <c r="F109" s="708">
        <v>-0.48258529304774089</v>
      </c>
      <c r="G109" s="711">
        <v>0.12215937399809493</v>
      </c>
      <c r="H109" s="710">
        <v>0.314</v>
      </c>
      <c r="I109" s="708">
        <v>0.52</v>
      </c>
      <c r="J109" s="570">
        <v>7.1379999999999999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1613</v>
      </c>
      <c r="L109" s="320"/>
      <c r="M109" s="168">
        <f t="shared" si="660"/>
        <v>7.1379999999999999</v>
      </c>
      <c r="N109" s="632">
        <f t="shared" si="661"/>
        <v>-3.7445957999976809</v>
      </c>
      <c r="O109" s="629">
        <f t="shared" si="662"/>
        <v>3.7949966677104725</v>
      </c>
      <c r="P109" s="633">
        <f t="shared" si="663"/>
        <v>-1.2544037832818109</v>
      </c>
      <c r="Q109" s="585">
        <f t="shared" si="520"/>
        <v>134.61699335842269</v>
      </c>
      <c r="R109" s="629">
        <f t="shared" si="716"/>
        <v>5.3314160795508974</v>
      </c>
      <c r="S109" s="634">
        <f t="shared" si="717"/>
        <v>-1.2544037832818109</v>
      </c>
      <c r="T109" s="635">
        <f t="shared" si="718"/>
        <v>3.7949966677104734</v>
      </c>
      <c r="U109" s="629">
        <f t="shared" si="719"/>
        <v>3.74459579999768</v>
      </c>
      <c r="V109" s="636">
        <f t="shared" si="720"/>
        <v>-1.2544037832818109</v>
      </c>
      <c r="W109" s="585">
        <f t="shared" si="645"/>
        <v>44.616993358422675</v>
      </c>
      <c r="X109" s="629">
        <f t="shared" si="721"/>
        <v>5.3314160795508974</v>
      </c>
      <c r="Y109" s="630">
        <f t="shared" si="644"/>
        <v>-1.2544037832818109</v>
      </c>
      <c r="Z109" s="632">
        <f t="shared" si="664"/>
        <v>0.86728802728875465</v>
      </c>
      <c r="AA109" s="629">
        <f t="shared" si="665"/>
        <v>0.48258529304774089</v>
      </c>
      <c r="AB109" s="629">
        <f t="shared" si="666"/>
        <v>-0.12215937399809493</v>
      </c>
      <c r="AC109" s="636">
        <f t="shared" si="722"/>
        <v>1</v>
      </c>
      <c r="AD109" s="637">
        <f t="shared" si="723"/>
        <v>0.86728802728875465</v>
      </c>
      <c r="AE109" s="629">
        <f t="shared" si="724"/>
        <v>0.48258529304774089</v>
      </c>
      <c r="AF109" s="633">
        <f t="shared" si="725"/>
        <v>-0.12215937399809493</v>
      </c>
      <c r="AG109" s="602">
        <f t="shared" si="726"/>
        <v>75.794809107863443</v>
      </c>
      <c r="AH109" s="603">
        <f t="shared" si="727"/>
        <v>29.854996039432578</v>
      </c>
      <c r="AI109" s="585">
        <f t="shared" si="728"/>
        <v>-82.983257375757219</v>
      </c>
      <c r="AJ109" s="586">
        <f t="shared" si="729"/>
        <v>119.09288625561776</v>
      </c>
      <c r="AK109" s="635">
        <f t="shared" si="730"/>
        <v>0.9563016577431922</v>
      </c>
      <c r="AL109" s="629">
        <f t="shared" si="731"/>
        <v>-0.26563927936586507</v>
      </c>
      <c r="AM109" s="634">
        <f t="shared" si="732"/>
        <v>-0.12215937399809493</v>
      </c>
      <c r="AN109" s="581">
        <f t="shared" si="733"/>
        <v>-65.303746427583974</v>
      </c>
      <c r="AO109" s="582">
        <f t="shared" si="461"/>
        <v>17.000607144405102</v>
      </c>
      <c r="AP109" s="585">
        <f t="shared" si="734"/>
        <v>-15.524107102804933</v>
      </c>
      <c r="AQ109" s="586">
        <f t="shared" si="667"/>
        <v>0.4275945216773443</v>
      </c>
      <c r="AS109" s="52">
        <f t="shared" si="737"/>
        <v>44.616993358422675</v>
      </c>
      <c r="AT109" s="73">
        <f t="shared" si="668"/>
        <v>-1.0353878064473823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7.1379999999999999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2"/>
        <v>1613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-3.9828721742600357</v>
      </c>
      <c r="C110" s="708">
        <v>4.0632020139824503</v>
      </c>
      <c r="D110" s="709">
        <v>-1.91840578591185</v>
      </c>
      <c r="E110" s="710">
        <v>-0.89898471005424863</v>
      </c>
      <c r="F110" s="708">
        <v>-0.43288833571256735</v>
      </c>
      <c r="G110" s="711">
        <v>6.6589638027866202E-2</v>
      </c>
      <c r="H110" s="710">
        <v>0.314</v>
      </c>
      <c r="I110" s="708">
        <v>0.52</v>
      </c>
      <c r="J110" s="570">
        <v>7.1449999999999996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1613</v>
      </c>
      <c r="L110" s="320"/>
      <c r="M110" s="168">
        <f t="shared" si="660"/>
        <v>7.1449999999999996</v>
      </c>
      <c r="N110" s="632">
        <f t="shared" si="661"/>
        <v>-3.9828721742600357</v>
      </c>
      <c r="O110" s="629">
        <f t="shared" si="662"/>
        <v>4.0632020139824503</v>
      </c>
      <c r="P110" s="633">
        <f t="shared" si="663"/>
        <v>-1.91840578591185</v>
      </c>
      <c r="Q110" s="585">
        <f t="shared" si="520"/>
        <v>134.42799335842267</v>
      </c>
      <c r="R110" s="629">
        <f t="shared" si="716"/>
        <v>5.6897171601869543</v>
      </c>
      <c r="S110" s="634">
        <f t="shared" si="717"/>
        <v>-1.91840578591185</v>
      </c>
      <c r="T110" s="635">
        <f t="shared" si="718"/>
        <v>4.0632020139824521</v>
      </c>
      <c r="U110" s="629">
        <f t="shared" si="719"/>
        <v>3.982872174260033</v>
      </c>
      <c r="V110" s="636">
        <f t="shared" si="720"/>
        <v>-1.91840578591185</v>
      </c>
      <c r="W110" s="585">
        <f t="shared" si="645"/>
        <v>44.427993358422654</v>
      </c>
      <c r="X110" s="629">
        <f t="shared" si="721"/>
        <v>5.6897171601869543</v>
      </c>
      <c r="Y110" s="630">
        <f t="shared" si="644"/>
        <v>-1.91840578591185</v>
      </c>
      <c r="Z110" s="632">
        <f t="shared" si="664"/>
        <v>0.89898471005424863</v>
      </c>
      <c r="AA110" s="629">
        <f t="shared" si="665"/>
        <v>0.43288833571256735</v>
      </c>
      <c r="AB110" s="629">
        <f t="shared" si="666"/>
        <v>-6.6589638027866202E-2</v>
      </c>
      <c r="AC110" s="636">
        <f t="shared" si="722"/>
        <v>1</v>
      </c>
      <c r="AD110" s="637">
        <f t="shared" si="723"/>
        <v>0.89898471005424863</v>
      </c>
      <c r="AE110" s="629">
        <f t="shared" si="724"/>
        <v>0.43288833571256735</v>
      </c>
      <c r="AF110" s="633">
        <f t="shared" si="725"/>
        <v>-6.6589638027866202E-2</v>
      </c>
      <c r="AG110" s="602">
        <f t="shared" si="726"/>
        <v>81.254945485638231</v>
      </c>
      <c r="AH110" s="603">
        <f t="shared" si="727"/>
        <v>25.975068833565523</v>
      </c>
      <c r="AI110" s="585">
        <f t="shared" si="728"/>
        <v>-86.181869515631476</v>
      </c>
      <c r="AJ110" s="586">
        <f t="shared" si="729"/>
        <v>115.71222228775609</v>
      </c>
      <c r="AK110" s="635">
        <f t="shared" si="730"/>
        <v>0.94501980325617785</v>
      </c>
      <c r="AL110" s="629">
        <f t="shared" si="731"/>
        <v>-0.3201615085561863</v>
      </c>
      <c r="AM110" s="634">
        <f t="shared" si="732"/>
        <v>-6.6589638027866202E-2</v>
      </c>
      <c r="AN110" s="581">
        <f t="shared" si="733"/>
        <v>-78.250694990011851</v>
      </c>
      <c r="AO110" s="582">
        <f t="shared" si="461"/>
        <v>19.087583099207741</v>
      </c>
      <c r="AP110" s="585">
        <f t="shared" si="734"/>
        <v>-18.71577107066658</v>
      </c>
      <c r="AQ110" s="586">
        <f t="shared" si="667"/>
        <v>0.40066832968044352</v>
      </c>
      <c r="AS110" s="52">
        <f t="shared" si="737"/>
        <v>44.427993358422654</v>
      </c>
      <c r="AT110" s="73">
        <f t="shared" si="668"/>
        <v>-1.6992585590774212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7.1449999999999996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2"/>
        <v>1613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-4.0666113432655653</v>
      </c>
      <c r="C111" s="708">
        <v>4.2111002972305807</v>
      </c>
      <c r="D111" s="709">
        <v>-2.6549080072025508</v>
      </c>
      <c r="E111" s="710">
        <v>-0.94972982121257388</v>
      </c>
      <c r="F111" s="708">
        <v>-0.31217449802346048</v>
      </c>
      <c r="G111" s="711">
        <v>2.3671702163829727E-2</v>
      </c>
      <c r="H111" s="710">
        <v>0.314</v>
      </c>
      <c r="I111" s="708">
        <v>0.52</v>
      </c>
      <c r="J111" s="570">
        <v>7.1520000000000001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1613</v>
      </c>
      <c r="L111" s="320"/>
      <c r="M111" s="168">
        <f t="shared" si="660"/>
        <v>7.1520000000000001</v>
      </c>
      <c r="N111" s="632">
        <f t="shared" si="661"/>
        <v>-4.0666113432655653</v>
      </c>
      <c r="O111" s="629">
        <f t="shared" si="662"/>
        <v>4.2111002972305807</v>
      </c>
      <c r="P111" s="633">
        <f t="shared" si="663"/>
        <v>-2.6549080072025508</v>
      </c>
      <c r="Q111" s="585">
        <f t="shared" si="520"/>
        <v>133.9999933584227</v>
      </c>
      <c r="R111" s="629">
        <f t="shared" si="716"/>
        <v>5.8541176560188513</v>
      </c>
      <c r="S111" s="634">
        <f t="shared" si="717"/>
        <v>-2.6549080072025508</v>
      </c>
      <c r="T111" s="635">
        <f t="shared" si="718"/>
        <v>4.2111002972305807</v>
      </c>
      <c r="U111" s="629">
        <f t="shared" si="719"/>
        <v>4.0666113432655644</v>
      </c>
      <c r="V111" s="636">
        <f t="shared" si="720"/>
        <v>-2.6549080072025508</v>
      </c>
      <c r="W111" s="585">
        <f t="shared" si="645"/>
        <v>43.999993358422685</v>
      </c>
      <c r="X111" s="629">
        <f t="shared" si="721"/>
        <v>5.8541176560188513</v>
      </c>
      <c r="Y111" s="630">
        <f t="shared" si="644"/>
        <v>-2.6549080072025508</v>
      </c>
      <c r="Z111" s="632">
        <f t="shared" si="664"/>
        <v>0.94972982121257388</v>
      </c>
      <c r="AA111" s="629">
        <f t="shared" si="665"/>
        <v>0.31217449802346048</v>
      </c>
      <c r="AB111" s="629">
        <f t="shared" si="666"/>
        <v>-2.3671702163829727E-2</v>
      </c>
      <c r="AC111" s="636">
        <f t="shared" si="722"/>
        <v>1</v>
      </c>
      <c r="AD111" s="637">
        <f t="shared" si="723"/>
        <v>0.94972982121257388</v>
      </c>
      <c r="AE111" s="629">
        <f t="shared" si="724"/>
        <v>0.31217449802346048</v>
      </c>
      <c r="AF111" s="633">
        <f t="shared" si="725"/>
        <v>-2.3671702163829727E-2</v>
      </c>
      <c r="AG111" s="602">
        <f t="shared" si="726"/>
        <v>85.663649538621797</v>
      </c>
      <c r="AH111" s="603">
        <f t="shared" si="727"/>
        <v>18.244383271666695</v>
      </c>
      <c r="AI111" s="585">
        <f t="shared" si="728"/>
        <v>-88.643584674232812</v>
      </c>
      <c r="AJ111" s="586">
        <f t="shared" si="729"/>
        <v>108.19560200431425</v>
      </c>
      <c r="AK111" s="635">
        <f t="shared" si="730"/>
        <v>0.90003313850726729</v>
      </c>
      <c r="AL111" s="629">
        <f t="shared" si="731"/>
        <v>-0.43517812457133609</v>
      </c>
      <c r="AM111" s="634">
        <f t="shared" si="732"/>
        <v>-2.3671702163829727E-2</v>
      </c>
      <c r="AN111" s="581">
        <f t="shared" si="733"/>
        <v>-86.886439757820881</v>
      </c>
      <c r="AO111" s="582">
        <f t="shared" si="461"/>
        <v>25.837576512479536</v>
      </c>
      <c r="AP111" s="585">
        <f t="shared" si="734"/>
        <v>-25.804391354108439</v>
      </c>
      <c r="AQ111" s="586">
        <f t="shared" si="667"/>
        <v>0.38941675973933454</v>
      </c>
      <c r="AS111" s="52">
        <f t="shared" si="737"/>
        <v>43.999993358422685</v>
      </c>
      <c r="AT111" s="73">
        <f t="shared" si="668"/>
        <v>-2.4354635581459001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7.1520000000000001</v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>
        <f t="shared" si="542"/>
        <v>1613</v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>
        <v>-4.0613198068648959</v>
      </c>
      <c r="C112" s="708">
        <v>4.3011877281826383</v>
      </c>
      <c r="D112" s="709">
        <v>-3.4205000000000001</v>
      </c>
      <c r="E112" s="710">
        <v>-0.99828405622575511</v>
      </c>
      <c r="F112" s="708">
        <v>-5.8557177915539674E-2</v>
      </c>
      <c r="G112" s="711">
        <v>1.4578093313693044E-7</v>
      </c>
      <c r="H112" s="710">
        <v>0.314</v>
      </c>
      <c r="I112" s="708">
        <v>0.52</v>
      </c>
      <c r="J112" s="570">
        <v>7.1589999999999998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1613</v>
      </c>
      <c r="L112" s="320"/>
      <c r="M112" s="168">
        <f t="shared" si="660"/>
        <v>7.1589999999999998</v>
      </c>
      <c r="N112" s="632">
        <f t="shared" si="661"/>
        <v>-4.0613198068648959</v>
      </c>
      <c r="O112" s="629">
        <f t="shared" si="662"/>
        <v>4.3011877281826383</v>
      </c>
      <c r="P112" s="633">
        <f t="shared" si="663"/>
        <v>-3.4205000000000001</v>
      </c>
      <c r="Q112" s="585">
        <f t="shared" si="520"/>
        <v>133.35699374001348</v>
      </c>
      <c r="R112" s="629">
        <f t="shared" si="716"/>
        <v>5.9156178415024447</v>
      </c>
      <c r="S112" s="634">
        <f t="shared" si="717"/>
        <v>-3.4205000000000001</v>
      </c>
      <c r="T112" s="635">
        <f t="shared" si="718"/>
        <v>4.3011877281826383</v>
      </c>
      <c r="U112" s="629">
        <f t="shared" si="719"/>
        <v>4.0613198068648959</v>
      </c>
      <c r="V112" s="636">
        <f t="shared" si="720"/>
        <v>-3.4205000000000001</v>
      </c>
      <c r="W112" s="585">
        <f t="shared" si="645"/>
        <v>43.356993740013465</v>
      </c>
      <c r="X112" s="629">
        <f t="shared" si="721"/>
        <v>5.9156178415024447</v>
      </c>
      <c r="Y112" s="630">
        <f t="shared" si="644"/>
        <v>-3.4205000000000001</v>
      </c>
      <c r="Z112" s="632">
        <f t="shared" si="664"/>
        <v>0.99828405622575511</v>
      </c>
      <c r="AA112" s="629">
        <f t="shared" si="665"/>
        <v>5.8557177915539674E-2</v>
      </c>
      <c r="AB112" s="629">
        <f t="shared" si="666"/>
        <v>-1.4578093313693044E-7</v>
      </c>
      <c r="AC112" s="636">
        <f t="shared" si="722"/>
        <v>1</v>
      </c>
      <c r="AD112" s="637">
        <f t="shared" si="723"/>
        <v>0.99828405622575511</v>
      </c>
      <c r="AE112" s="629">
        <f t="shared" si="724"/>
        <v>5.8557177915539674E-2</v>
      </c>
      <c r="AF112" s="633">
        <f t="shared" si="725"/>
        <v>-1.4578093313693044E-7</v>
      </c>
      <c r="AG112" s="602">
        <f t="shared" si="726"/>
        <v>89.999857359379334</v>
      </c>
      <c r="AH112" s="603">
        <f t="shared" si="727"/>
        <v>3.356999515320338</v>
      </c>
      <c r="AI112" s="585">
        <f t="shared" si="728"/>
        <v>-89.999991647367793</v>
      </c>
      <c r="AJ112" s="586">
        <f t="shared" si="729"/>
        <v>93.356999515309951</v>
      </c>
      <c r="AK112" s="635">
        <f t="shared" si="730"/>
        <v>0.76604450791063217</v>
      </c>
      <c r="AL112" s="629">
        <f t="shared" si="731"/>
        <v>-0.6427875324708282</v>
      </c>
      <c r="AM112" s="634">
        <f t="shared" si="732"/>
        <v>-1.4578093313693044E-7</v>
      </c>
      <c r="AN112" s="581">
        <f t="shared" si="733"/>
        <v>-89.999987005609512</v>
      </c>
      <c r="AO112" s="582">
        <f t="shared" si="461"/>
        <v>39.999994224704245</v>
      </c>
      <c r="AP112" s="585">
        <f t="shared" si="734"/>
        <v>-39.999994224703521</v>
      </c>
      <c r="AQ112" s="586">
        <f t="shared" si="667"/>
        <v>0.38536841220795487</v>
      </c>
      <c r="AS112" s="52">
        <f t="shared" si="737"/>
        <v>43.356993740013465</v>
      </c>
      <c r="AT112" s="73">
        <f t="shared" si="668"/>
        <v>-3.2006090234305651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7.1589999999999998</v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>
        <f t="shared" si="542"/>
        <v>1613</v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>
        <v>-2.068512261267383</v>
      </c>
      <c r="C113" s="708">
        <v>3.6245775415282866</v>
      </c>
      <c r="D113" s="709">
        <v>-0.29256155006630202</v>
      </c>
      <c r="E113" s="710">
        <v>-0.88220534278545115</v>
      </c>
      <c r="F113" s="708">
        <v>-0.27905492500285473</v>
      </c>
      <c r="G113" s="711">
        <v>0.37926518689757949</v>
      </c>
      <c r="H113" s="710">
        <v>0.26600000000000001</v>
      </c>
      <c r="I113" s="708">
        <v>0.52</v>
      </c>
      <c r="J113" s="570">
        <v>7.2240000000000002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1313</v>
      </c>
      <c r="L113" s="320"/>
      <c r="M113" s="168">
        <f t="shared" si="660"/>
        <v>7.2240000000000002</v>
      </c>
      <c r="N113" s="632">
        <f t="shared" si="661"/>
        <v>-2.068512261267383</v>
      </c>
      <c r="O113" s="629">
        <f t="shared" si="662"/>
        <v>3.6245775415282866</v>
      </c>
      <c r="P113" s="633">
        <f t="shared" si="663"/>
        <v>-0.29256155006630202</v>
      </c>
      <c r="Q113" s="585">
        <f t="shared" si="520"/>
        <v>119.71299570997419</v>
      </c>
      <c r="R113" s="629">
        <f t="shared" si="716"/>
        <v>4.1732847170501968</v>
      </c>
      <c r="S113" s="634">
        <f t="shared" si="717"/>
        <v>-0.29256155006630202</v>
      </c>
      <c r="T113" s="635">
        <f t="shared" si="718"/>
        <v>3.624577541528287</v>
      </c>
      <c r="U113" s="629">
        <f t="shared" si="719"/>
        <v>2.0685122612673821</v>
      </c>
      <c r="V113" s="636">
        <f t="shared" si="720"/>
        <v>-0.29256155006630202</v>
      </c>
      <c r="W113" s="585">
        <f t="shared" si="645"/>
        <v>29.71299570997418</v>
      </c>
      <c r="X113" s="629">
        <f t="shared" si="721"/>
        <v>4.1732847170501968</v>
      </c>
      <c r="Y113" s="630">
        <f t="shared" si="644"/>
        <v>-0.29256155006630202</v>
      </c>
      <c r="Z113" s="632">
        <f t="shared" si="664"/>
        <v>0.88220534278545115</v>
      </c>
      <c r="AA113" s="629">
        <f t="shared" si="665"/>
        <v>0.27905492500285473</v>
      </c>
      <c r="AB113" s="629">
        <f t="shared" si="666"/>
        <v>-0.37926518689757949</v>
      </c>
      <c r="AC113" s="636">
        <f t="shared" si="722"/>
        <v>1</v>
      </c>
      <c r="AD113" s="637">
        <f t="shared" si="723"/>
        <v>0.88220534278545115</v>
      </c>
      <c r="AE113" s="629">
        <f t="shared" si="724"/>
        <v>0.27905492500285473</v>
      </c>
      <c r="AF113" s="633">
        <f t="shared" si="725"/>
        <v>-0.37926518689757949</v>
      </c>
      <c r="AG113" s="602">
        <f t="shared" si="726"/>
        <v>36.344811524892989</v>
      </c>
      <c r="AH113" s="603">
        <f t="shared" si="727"/>
        <v>28.09045228044905</v>
      </c>
      <c r="AI113" s="585">
        <f t="shared" si="728"/>
        <v>-67.711825927180129</v>
      </c>
      <c r="AJ113" s="586">
        <f t="shared" si="729"/>
        <v>107.55295264613224</v>
      </c>
      <c r="AK113" s="635">
        <f t="shared" si="730"/>
        <v>0.90452735970529297</v>
      </c>
      <c r="AL113" s="629">
        <f t="shared" si="731"/>
        <v>-0.19490555033686405</v>
      </c>
      <c r="AM113" s="634">
        <f t="shared" si="732"/>
        <v>-0.37926518689757949</v>
      </c>
      <c r="AN113" s="581">
        <f t="shared" si="733"/>
        <v>-27.198771488300601</v>
      </c>
      <c r="AO113" s="582">
        <f t="shared" si="461"/>
        <v>25.240298598361253</v>
      </c>
      <c r="AP113" s="585">
        <f t="shared" si="734"/>
        <v>-12.160043063841954</v>
      </c>
      <c r="AQ113" s="586">
        <f t="shared" si="667"/>
        <v>0.54625018768325706</v>
      </c>
      <c r="AS113" s="52">
        <f t="shared" si="737"/>
        <v>29.71299570997418</v>
      </c>
      <c r="AT113" s="73">
        <f t="shared" si="668"/>
        <v>-6.3195574864895188E-2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Nose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7.2240000000000002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0.124</v>
      </c>
      <c r="II113" s="734" cm="1">
        <f t="array" ref="II113">IFERROR(ROUND(VALUE(IF($IH113&lt;1,$IH113+LARGE((IF($M$9:$M$150="",0,$M$9:$M$150)-MOD(IF($M$9:$M$150="",0,$M$9:$M$150),1)),1),$IH113)),4),"")</f>
        <v>7.1239999999999997</v>
      </c>
      <c r="IJ113" s="533">
        <f t="shared" si="542"/>
        <v>1613</v>
      </c>
      <c r="IK113" s="533">
        <f t="shared" si="713"/>
        <v>1313</v>
      </c>
      <c r="IL113" s="727">
        <f t="shared" si="647"/>
        <v>15.976997648448503</v>
      </c>
      <c r="IM113" s="759">
        <v>1.6010779673158702E-2</v>
      </c>
      <c r="IN113" s="5">
        <f t="shared" si="648"/>
        <v>0.36</v>
      </c>
      <c r="IO113" s="771">
        <v>180</v>
      </c>
      <c r="IP113" s="9">
        <f t="shared" si="649"/>
        <v>-4.1533125263905788</v>
      </c>
      <c r="IQ113" s="5">
        <f t="shared" si="650"/>
        <v>-0.33420100795023971</v>
      </c>
      <c r="IR113" s="5">
        <f t="shared" si="714"/>
        <v>0.314</v>
      </c>
      <c r="IS113" s="5">
        <f t="shared" si="651"/>
        <v>0.30270487417545627</v>
      </c>
      <c r="IT113" s="727">
        <f t="shared" si="652"/>
        <v>32.38336456732484</v>
      </c>
      <c r="IU113" s="9">
        <f t="shared" si="653"/>
        <v>-4.1732847170501968</v>
      </c>
      <c r="IV113" s="5">
        <f t="shared" si="654"/>
        <v>-0.29256155006630202</v>
      </c>
      <c r="IW113" s="5">
        <f t="shared" si="715"/>
        <v>0.26600000000000001</v>
      </c>
      <c r="IX113" s="5">
        <f t="shared" si="655"/>
        <v>0.24060427768160794</v>
      </c>
      <c r="IY113" s="762">
        <f t="shared" si="656"/>
        <v>27.198771488300601</v>
      </c>
    </row>
    <row r="114" spans="1:259" ht="15" customHeight="1" x14ac:dyDescent="0.25">
      <c r="A114" s="79"/>
      <c r="B114" s="707">
        <v>-2.4988173445637889</v>
      </c>
      <c r="C114" s="708">
        <v>4.1438091201476643</v>
      </c>
      <c r="D114" s="709">
        <v>-0.67492107082844177</v>
      </c>
      <c r="E114" s="710">
        <v>-0.92531601744342884</v>
      </c>
      <c r="F114" s="708">
        <v>-0.21428777451579464</v>
      </c>
      <c r="G114" s="711">
        <v>0.31284343936816089</v>
      </c>
      <c r="H114" s="710">
        <v>0.26600000000000001</v>
      </c>
      <c r="I114" s="708">
        <v>0.52</v>
      </c>
      <c r="J114" s="570">
        <v>7.2309999999999999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1313</v>
      </c>
      <c r="L114" s="320"/>
      <c r="M114" s="168">
        <f t="shared" si="660"/>
        <v>7.2309999999999999</v>
      </c>
      <c r="N114" s="632">
        <f t="shared" si="661"/>
        <v>-2.4988173445637889</v>
      </c>
      <c r="O114" s="629">
        <f t="shared" si="662"/>
        <v>4.1438091201476643</v>
      </c>
      <c r="P114" s="633">
        <f t="shared" si="663"/>
        <v>-0.67492107082844177</v>
      </c>
      <c r="Q114" s="585">
        <f t="shared" si="520"/>
        <v>121.09099551101563</v>
      </c>
      <c r="R114" s="629">
        <f t="shared" si="716"/>
        <v>4.8389298554237987</v>
      </c>
      <c r="S114" s="634">
        <f t="shared" si="717"/>
        <v>-0.67492107082844177</v>
      </c>
      <c r="T114" s="635">
        <f t="shared" si="718"/>
        <v>4.1438091201476652</v>
      </c>
      <c r="U114" s="629">
        <f t="shared" si="719"/>
        <v>2.4988173445637867</v>
      </c>
      <c r="V114" s="636">
        <f t="shared" si="720"/>
        <v>-0.67492107082844177</v>
      </c>
      <c r="W114" s="585">
        <f t="shared" si="645"/>
        <v>31.09099551101562</v>
      </c>
      <c r="X114" s="629">
        <f t="shared" si="721"/>
        <v>4.8389298554237987</v>
      </c>
      <c r="Y114" s="630">
        <f t="shared" si="644"/>
        <v>-0.67492107082844177</v>
      </c>
      <c r="Z114" s="632">
        <f t="shared" si="664"/>
        <v>0.92531601744342884</v>
      </c>
      <c r="AA114" s="629">
        <f t="shared" si="665"/>
        <v>0.21428777451579464</v>
      </c>
      <c r="AB114" s="629">
        <f t="shared" si="666"/>
        <v>-0.31284343936816089</v>
      </c>
      <c r="AC114" s="636">
        <f t="shared" si="722"/>
        <v>1</v>
      </c>
      <c r="AD114" s="637">
        <f t="shared" si="723"/>
        <v>0.92531601744342884</v>
      </c>
      <c r="AE114" s="629">
        <f t="shared" si="724"/>
        <v>0.21428777451579464</v>
      </c>
      <c r="AF114" s="633">
        <f t="shared" si="725"/>
        <v>-0.31284343936816089</v>
      </c>
      <c r="AG114" s="602">
        <f t="shared" si="726"/>
        <v>34.409899134574232</v>
      </c>
      <c r="AH114" s="603">
        <f t="shared" si="727"/>
        <v>22.283943945189577</v>
      </c>
      <c r="AI114" s="585">
        <f t="shared" si="728"/>
        <v>-71.769326819054541</v>
      </c>
      <c r="AJ114" s="586">
        <f t="shared" si="729"/>
        <v>103.03889548943901</v>
      </c>
      <c r="AK114" s="635">
        <f t="shared" si="730"/>
        <v>0.90305069309712616</v>
      </c>
      <c r="AL114" s="629">
        <f t="shared" si="731"/>
        <v>-0.29432707680588949</v>
      </c>
      <c r="AM114" s="634">
        <f t="shared" si="732"/>
        <v>-0.31284343936816089</v>
      </c>
      <c r="AN114" s="581">
        <f t="shared" si="733"/>
        <v>-43.253240737757267</v>
      </c>
      <c r="AO114" s="582">
        <f t="shared" si="461"/>
        <v>25.437989403401286</v>
      </c>
      <c r="AP114" s="585">
        <f t="shared" si="734"/>
        <v>-18.05210002157661</v>
      </c>
      <c r="AQ114" s="586">
        <f t="shared" si="667"/>
        <v>0.47111144890384349</v>
      </c>
      <c r="AS114" s="52">
        <f t="shared" si="737"/>
        <v>31.09099551101562</v>
      </c>
      <c r="AT114" s="73">
        <f t="shared" si="668"/>
        <v>-0.44651203993331373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Taper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7.2309999999999999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0.13100000000000001</v>
      </c>
      <c r="II114" s="734" cm="1">
        <f t="array" ref="II114">IFERROR(ROUND(VALUE(IF($IH114&lt;1,$IH114+LARGE((IF($M$9:$M$150="",0,$M$9:$M$150)-MOD(IF($M$9:$M$150="",0,$M$9:$M$150),1)),1),$IH114)),4),"")</f>
        <v>7.1310000000000002</v>
      </c>
      <c r="IJ114" s="533">
        <f t="shared" si="542"/>
        <v>1613</v>
      </c>
      <c r="IK114" s="533">
        <f t="shared" si="713"/>
        <v>1313</v>
      </c>
      <c r="IL114" s="727">
        <f t="shared" si="647"/>
        <v>13.981997847407044</v>
      </c>
      <c r="IM114" s="759">
        <v>1.21550203130107E-2</v>
      </c>
      <c r="IN114" s="5">
        <f t="shared" si="648"/>
        <v>0.34</v>
      </c>
      <c r="IO114" s="771">
        <v>170</v>
      </c>
      <c r="IP114" s="9">
        <f t="shared" si="649"/>
        <v>-4.8061144952413191</v>
      </c>
      <c r="IQ114" s="5">
        <f t="shared" si="650"/>
        <v>-0.71270214950968347</v>
      </c>
      <c r="IR114" s="5">
        <f t="shared" si="714"/>
        <v>0.314</v>
      </c>
      <c r="IS114" s="5">
        <f t="shared" si="651"/>
        <v>0.30221069986991633</v>
      </c>
      <c r="IT114" s="727">
        <f t="shared" si="652"/>
        <v>50.062826559956825</v>
      </c>
      <c r="IU114" s="9">
        <f t="shared" si="653"/>
        <v>-4.8389298554237987</v>
      </c>
      <c r="IV114" s="5">
        <f t="shared" si="654"/>
        <v>-0.67492107082844177</v>
      </c>
      <c r="IW114" s="5">
        <f t="shared" si="715"/>
        <v>0.26600000000000001</v>
      </c>
      <c r="IX114" s="5">
        <f t="shared" si="655"/>
        <v>0.24021148436383558</v>
      </c>
      <c r="IY114" s="762">
        <f t="shared" si="656"/>
        <v>43.253240737757267</v>
      </c>
    </row>
    <row r="115" spans="1:259" ht="15" customHeight="1" x14ac:dyDescent="0.25">
      <c r="A115" s="79"/>
      <c r="B115" s="707">
        <v>-2.8298982984674712</v>
      </c>
      <c r="C115" s="708">
        <v>4.5705693049928051</v>
      </c>
      <c r="D115" s="709">
        <v>-1.2237096339097591</v>
      </c>
      <c r="E115" s="710">
        <v>-0.9603339955884771</v>
      </c>
      <c r="F115" s="708">
        <v>-0.14751990402085483</v>
      </c>
      <c r="G115" s="711">
        <v>0.23663578519477732</v>
      </c>
      <c r="H115" s="710">
        <v>0.26600000000000001</v>
      </c>
      <c r="I115" s="708">
        <v>0.52</v>
      </c>
      <c r="J115" s="570">
        <v>7.2380000000000004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1313</v>
      </c>
      <c r="L115" s="320"/>
      <c r="M115" s="168">
        <f t="shared" si="660"/>
        <v>7.2380000000000004</v>
      </c>
      <c r="N115" s="632">
        <f t="shared" si="661"/>
        <v>-2.8298982984674712</v>
      </c>
      <c r="O115" s="629">
        <f t="shared" si="662"/>
        <v>4.5705693049928051</v>
      </c>
      <c r="P115" s="633">
        <f t="shared" si="663"/>
        <v>-1.2237096339097591</v>
      </c>
      <c r="Q115" s="585">
        <f t="shared" si="520"/>
        <v>121.7639954138465</v>
      </c>
      <c r="R115" s="629">
        <f t="shared" si="716"/>
        <v>5.3757258255431424</v>
      </c>
      <c r="S115" s="634">
        <f t="shared" si="717"/>
        <v>-1.2237096339097591</v>
      </c>
      <c r="T115" s="635">
        <f t="shared" si="718"/>
        <v>4.5705693049928051</v>
      </c>
      <c r="U115" s="629">
        <f t="shared" si="719"/>
        <v>2.8298982984674712</v>
      </c>
      <c r="V115" s="636">
        <f t="shared" si="720"/>
        <v>-1.2237096339097591</v>
      </c>
      <c r="W115" s="585">
        <f t="shared" si="645"/>
        <v>31.763995413846487</v>
      </c>
      <c r="X115" s="629">
        <f t="shared" si="721"/>
        <v>5.3757258255431424</v>
      </c>
      <c r="Y115" s="630">
        <f t="shared" si="644"/>
        <v>-1.2237096339097591</v>
      </c>
      <c r="Z115" s="632">
        <f t="shared" si="664"/>
        <v>0.9603339955884771</v>
      </c>
      <c r="AA115" s="629">
        <f t="shared" si="665"/>
        <v>0.14751990402085483</v>
      </c>
      <c r="AB115" s="629">
        <f t="shared" si="666"/>
        <v>-0.23663578519477732</v>
      </c>
      <c r="AC115" s="636">
        <f t="shared" si="722"/>
        <v>1</v>
      </c>
      <c r="AD115" s="637">
        <f t="shared" si="723"/>
        <v>0.9603339955884771</v>
      </c>
      <c r="AE115" s="629">
        <f t="shared" si="724"/>
        <v>0.14751990402085483</v>
      </c>
      <c r="AF115" s="633">
        <f t="shared" si="725"/>
        <v>-0.23663578519477732</v>
      </c>
      <c r="AG115" s="602">
        <f t="shared" si="726"/>
        <v>31.939614945500747</v>
      </c>
      <c r="AH115" s="603">
        <f t="shared" si="727"/>
        <v>16.191719584071247</v>
      </c>
      <c r="AI115" s="585">
        <f t="shared" si="728"/>
        <v>-76.311933652499235</v>
      </c>
      <c r="AJ115" s="586">
        <f t="shared" si="729"/>
        <v>98.733118821857346</v>
      </c>
      <c r="AK115" s="635">
        <f t="shared" si="730"/>
        <v>0.89415635472272936</v>
      </c>
      <c r="AL115" s="629">
        <f t="shared" si="731"/>
        <v>-0.38011566459988488</v>
      </c>
      <c r="AM115" s="634">
        <f t="shared" si="732"/>
        <v>-0.23663578519477732</v>
      </c>
      <c r="AN115" s="581">
        <f t="shared" si="733"/>
        <v>-58.096238787900383</v>
      </c>
      <c r="AO115" s="582">
        <f t="shared" si="461"/>
        <v>26.59972899187424</v>
      </c>
      <c r="AP115" s="585">
        <f t="shared" si="734"/>
        <v>-23.030876591989148</v>
      </c>
      <c r="AQ115" s="586">
        <f t="shared" si="667"/>
        <v>0.42407017716138196</v>
      </c>
      <c r="AS115" s="52">
        <f t="shared" si="737"/>
        <v>31.763995413846487</v>
      </c>
      <c r="AT115" s="73">
        <f t="shared" si="668"/>
        <v>-0.99576796405826351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7.2380000000000004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0.13800000000000001</v>
      </c>
      <c r="II115" s="734" cm="1">
        <f t="array" ref="II115">IFERROR(ROUND(VALUE(IF($IH115&lt;1,$IH115+LARGE((IF($M$9:$M$150="",0,$M$9:$M$150)-MOD(IF($M$9:$M$150="",0,$M$9:$M$150),1)),1),$IH115)),4),"")</f>
        <v>7.1379999999999999</v>
      </c>
      <c r="IJ115" s="533">
        <f t="shared" si="542"/>
        <v>1613</v>
      </c>
      <c r="IK115" s="533">
        <f t="shared" si="713"/>
        <v>1313</v>
      </c>
      <c r="IL115" s="727">
        <f t="shared" si="647"/>
        <v>12.852997944576188</v>
      </c>
      <c r="IM115" s="759">
        <v>8.8050206062132794E-3</v>
      </c>
      <c r="IN115" s="5">
        <f t="shared" si="648"/>
        <v>0.32</v>
      </c>
      <c r="IO115" s="771">
        <v>160</v>
      </c>
      <c r="IP115" s="9">
        <f t="shared" si="649"/>
        <v>-5.3314160795508974</v>
      </c>
      <c r="IQ115" s="5">
        <f t="shared" si="650"/>
        <v>-1.2544037832818109</v>
      </c>
      <c r="IR115" s="5">
        <f t="shared" si="714"/>
        <v>0.314</v>
      </c>
      <c r="IS115" s="5">
        <f t="shared" si="651"/>
        <v>0.30027872053136234</v>
      </c>
      <c r="IT115" s="727">
        <f t="shared" si="652"/>
        <v>65.303746427583974</v>
      </c>
      <c r="IU115" s="9">
        <f t="shared" si="653"/>
        <v>-5.3757258255431424</v>
      </c>
      <c r="IV115" s="5">
        <f t="shared" si="654"/>
        <v>-1.2237096339097591</v>
      </c>
      <c r="IW115" s="5">
        <f t="shared" si="715"/>
        <v>0.26600000000000001</v>
      </c>
      <c r="IX115" s="5">
        <f t="shared" si="655"/>
        <v>0.23784559035624603</v>
      </c>
      <c r="IY115" s="762">
        <f t="shared" si="656"/>
        <v>58.096238787900383</v>
      </c>
    </row>
    <row r="116" spans="1:259" ht="15" customHeight="1" x14ac:dyDescent="0.25">
      <c r="A116" s="79"/>
      <c r="B116" s="707">
        <v>-3.0490961213790206</v>
      </c>
      <c r="C116" s="708">
        <v>4.8676566008199593</v>
      </c>
      <c r="D116" s="709">
        <v>-1.8976285032984799</v>
      </c>
      <c r="E116" s="710">
        <v>-0.98535349098791425</v>
      </c>
      <c r="F116" s="708">
        <v>-7.9665740112567426E-2</v>
      </c>
      <c r="G116" s="711">
        <v>0.15077091115413324</v>
      </c>
      <c r="H116" s="710">
        <v>0.26600000000000001</v>
      </c>
      <c r="I116" s="708">
        <v>0.52</v>
      </c>
      <c r="J116" s="570">
        <v>7.2450000000000001</v>
      </c>
      <c r="K116" s="865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1313</v>
      </c>
      <c r="L116" s="320"/>
      <c r="M116" s="168">
        <f t="shared" si="660"/>
        <v>7.2450000000000001</v>
      </c>
      <c r="N116" s="632">
        <f t="shared" si="661"/>
        <v>-3.0490961213790206</v>
      </c>
      <c r="O116" s="629">
        <f t="shared" si="662"/>
        <v>4.8676566008199593</v>
      </c>
      <c r="P116" s="633">
        <f t="shared" si="663"/>
        <v>-1.8976285032984799</v>
      </c>
      <c r="Q116" s="585">
        <f t="shared" si="520"/>
        <v>122.06299537067622</v>
      </c>
      <c r="R116" s="629">
        <f t="shared" si="716"/>
        <v>5.7437851579698469</v>
      </c>
      <c r="S116" s="634">
        <f t="shared" si="717"/>
        <v>-1.8976285032984799</v>
      </c>
      <c r="T116" s="635">
        <f t="shared" si="718"/>
        <v>4.8676566008199593</v>
      </c>
      <c r="U116" s="629">
        <f t="shared" si="719"/>
        <v>3.0490961213790189</v>
      </c>
      <c r="V116" s="636">
        <f t="shared" si="720"/>
        <v>-1.8976285032984799</v>
      </c>
      <c r="W116" s="585">
        <f t="shared" si="645"/>
        <v>32.062995370676205</v>
      </c>
      <c r="X116" s="629">
        <f t="shared" si="721"/>
        <v>5.7437851579698469</v>
      </c>
      <c r="Y116" s="630">
        <f t="shared" si="644"/>
        <v>-1.8976285032984799</v>
      </c>
      <c r="Z116" s="632">
        <f t="shared" si="664"/>
        <v>0.98535349098791425</v>
      </c>
      <c r="AA116" s="629">
        <f t="shared" si="665"/>
        <v>7.9665740112567426E-2</v>
      </c>
      <c r="AB116" s="629">
        <f t="shared" si="666"/>
        <v>-0.15077091115413324</v>
      </c>
      <c r="AC116" s="636">
        <f t="shared" si="722"/>
        <v>1</v>
      </c>
      <c r="AD116" s="637">
        <f t="shared" si="723"/>
        <v>0.98535349098791425</v>
      </c>
      <c r="AE116" s="629">
        <f t="shared" si="724"/>
        <v>7.9665740112567426E-2</v>
      </c>
      <c r="AF116" s="633">
        <f t="shared" si="725"/>
        <v>-0.15077091115413324</v>
      </c>
      <c r="AG116" s="602">
        <f t="shared" si="726"/>
        <v>27.851494842192995</v>
      </c>
      <c r="AH116" s="603">
        <f t="shared" si="727"/>
        <v>9.818297691043222</v>
      </c>
      <c r="AI116" s="585">
        <f t="shared" si="728"/>
        <v>-81.32839538067951</v>
      </c>
      <c r="AJ116" s="586">
        <f t="shared" si="729"/>
        <v>94.622304506449467</v>
      </c>
      <c r="AK116" s="635">
        <f t="shared" si="730"/>
        <v>0.87734321273142291</v>
      </c>
      <c r="AL116" s="629">
        <f t="shared" si="731"/>
        <v>-0.45556231124167634</v>
      </c>
      <c r="AM116" s="634">
        <f t="shared" si="732"/>
        <v>-0.15077091115413324</v>
      </c>
      <c r="AN116" s="581">
        <f t="shared" si="733"/>
        <v>-71.687747704017411</v>
      </c>
      <c r="AO116" s="582">
        <f t="shared" si="461"/>
        <v>28.676481134457912</v>
      </c>
      <c r="AP116" s="585">
        <f t="shared" si="734"/>
        <v>-27.440690864226763</v>
      </c>
      <c r="AQ116" s="586">
        <f t="shared" si="667"/>
        <v>0.3968968379790912</v>
      </c>
      <c r="AS116" s="52">
        <f t="shared" si="737"/>
        <v>32.062995370676205</v>
      </c>
      <c r="AT116" s="73">
        <f t="shared" si="668"/>
        <v>-1.6698944723058939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Taper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7.2450000000000001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0.14499999999999999</v>
      </c>
      <c r="II116" s="734" cm="1">
        <f t="array" ref="II116">IFERROR(ROUND(VALUE(IF($IH116&lt;1,$IH116+LARGE((IF($M$9:$M$150="",0,$M$9:$M$150)-MOD(IF($M$9:$M$150="",0,$M$9:$M$150),1)),1),$IH116)),4),"")</f>
        <v>7.1449999999999996</v>
      </c>
      <c r="IJ116" s="533">
        <f t="shared" si="542"/>
        <v>1613</v>
      </c>
      <c r="IK116" s="533">
        <f t="shared" si="713"/>
        <v>1313</v>
      </c>
      <c r="IL116" s="727">
        <f t="shared" si="647"/>
        <v>12.364997987746449</v>
      </c>
      <c r="IM116" s="759">
        <v>5.7088751633509001E-3</v>
      </c>
      <c r="IN116" s="5">
        <f t="shared" si="648"/>
        <v>0.28000000000000003</v>
      </c>
      <c r="IO116" s="771">
        <v>140</v>
      </c>
      <c r="IP116" s="9">
        <f t="shared" si="649"/>
        <v>-5.6897171601869543</v>
      </c>
      <c r="IQ116" s="5">
        <f t="shared" si="650"/>
        <v>-1.91840578591185</v>
      </c>
      <c r="IR116" s="5">
        <f t="shared" si="714"/>
        <v>0.314</v>
      </c>
      <c r="IS116" s="5">
        <f t="shared" si="651"/>
        <v>0.29673621822243984</v>
      </c>
      <c r="IT116" s="727">
        <f t="shared" si="652"/>
        <v>78.250694990011851</v>
      </c>
      <c r="IU116" s="9">
        <f t="shared" si="653"/>
        <v>-5.7437851579698469</v>
      </c>
      <c r="IV116" s="5">
        <f t="shared" si="654"/>
        <v>-1.8976285032984799</v>
      </c>
      <c r="IW116" s="5">
        <f t="shared" si="715"/>
        <v>0.26600000000000001</v>
      </c>
      <c r="IX116" s="5">
        <f t="shared" si="655"/>
        <v>0.23337329458655851</v>
      </c>
      <c r="IY116" s="762">
        <f t="shared" si="656"/>
        <v>71.687747704017411</v>
      </c>
    </row>
    <row r="117" spans="1:259" ht="15" customHeight="1" x14ac:dyDescent="0.25">
      <c r="A117" s="79"/>
      <c r="B117" s="707">
        <v>-3.1499571333096013</v>
      </c>
      <c r="C117" s="708">
        <v>5.0090248871860759</v>
      </c>
      <c r="D117" s="709">
        <v>-2.6460299820203965</v>
      </c>
      <c r="E117" s="710">
        <v>-0.9958689291128402</v>
      </c>
      <c r="F117" s="708">
        <v>5.5509106811947352E-2</v>
      </c>
      <c r="G117" s="711">
        <v>7.1859690290070333E-2</v>
      </c>
      <c r="H117" s="710">
        <v>0.26600000000000001</v>
      </c>
      <c r="I117" s="708">
        <v>0.52</v>
      </c>
      <c r="J117" s="570">
        <v>7.2519999999999998</v>
      </c>
      <c r="K117" s="865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1313</v>
      </c>
      <c r="L117" s="320"/>
      <c r="M117" s="168">
        <f t="shared" si="660"/>
        <v>7.2519999999999998</v>
      </c>
      <c r="N117" s="632">
        <f t="shared" si="661"/>
        <v>-3.1499571333096013</v>
      </c>
      <c r="O117" s="629">
        <f t="shared" si="662"/>
        <v>5.0090248871860759</v>
      </c>
      <c r="P117" s="633">
        <f t="shared" si="663"/>
        <v>-2.6460299820203965</v>
      </c>
      <c r="Q117" s="585">
        <f t="shared" si="520"/>
        <v>122.16399535609366</v>
      </c>
      <c r="R117" s="629">
        <f t="shared" si="716"/>
        <v>5.9171412237783816</v>
      </c>
      <c r="S117" s="634">
        <f t="shared" si="717"/>
        <v>-2.6460299820203965</v>
      </c>
      <c r="T117" s="635">
        <f t="shared" si="718"/>
        <v>5.009024887186075</v>
      </c>
      <c r="U117" s="629">
        <f t="shared" si="719"/>
        <v>3.1499571333096021</v>
      </c>
      <c r="V117" s="636">
        <f t="shared" si="720"/>
        <v>-2.6460299820203965</v>
      </c>
      <c r="W117" s="585">
        <f t="shared" si="645"/>
        <v>32.16399535609365</v>
      </c>
      <c r="X117" s="629">
        <f t="shared" si="721"/>
        <v>5.9171412237783816</v>
      </c>
      <c r="Y117" s="630">
        <f t="shared" si="644"/>
        <v>-2.6460299820203965</v>
      </c>
      <c r="Z117" s="632">
        <f t="shared" si="664"/>
        <v>0.9958689291128402</v>
      </c>
      <c r="AA117" s="629">
        <f t="shared" si="665"/>
        <v>-5.5509106811947352E-2</v>
      </c>
      <c r="AB117" s="629">
        <f t="shared" si="666"/>
        <v>-7.1859690290070333E-2</v>
      </c>
      <c r="AC117" s="636">
        <f t="shared" si="722"/>
        <v>1</v>
      </c>
      <c r="AD117" s="637">
        <f t="shared" si="723"/>
        <v>0.9958689291128402</v>
      </c>
      <c r="AE117" s="629">
        <f t="shared" si="724"/>
        <v>-5.5509106811947352E-2</v>
      </c>
      <c r="AF117" s="633">
        <f t="shared" si="725"/>
        <v>-7.1859690290070333E-2</v>
      </c>
      <c r="AG117" s="602">
        <f t="shared" si="726"/>
        <v>-37.684835881320055</v>
      </c>
      <c r="AH117" s="603">
        <f t="shared" si="727"/>
        <v>5.2097703015429069</v>
      </c>
      <c r="AI117" s="585">
        <f t="shared" si="728"/>
        <v>-85.879191310923744</v>
      </c>
      <c r="AJ117" s="586">
        <f t="shared" si="729"/>
        <v>86.809670595003126</v>
      </c>
      <c r="AK117" s="635">
        <f t="shared" si="730"/>
        <v>0.81348082820676404</v>
      </c>
      <c r="AL117" s="629">
        <f t="shared" si="731"/>
        <v>-0.57713527621472982</v>
      </c>
      <c r="AM117" s="634">
        <f t="shared" si="732"/>
        <v>-7.1859690290070333E-2</v>
      </c>
      <c r="AN117" s="581">
        <f t="shared" si="733"/>
        <v>-82.902571913455972</v>
      </c>
      <c r="AO117" s="582">
        <f t="shared" si="461"/>
        <v>35.562574601181389</v>
      </c>
      <c r="AP117" s="585">
        <f t="shared" si="734"/>
        <v>-35.354324761090531</v>
      </c>
      <c r="AQ117" s="586">
        <f t="shared" si="667"/>
        <v>0.3852692011720063</v>
      </c>
      <c r="AS117" s="52">
        <f t="shared" si="737"/>
        <v>32.16399535609365</v>
      </c>
      <c r="AT117" s="73">
        <f t="shared" si="668"/>
        <v>-2.4183660899065726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Taper</v>
      </c>
      <c r="IF117" s="533" t="str">
        <f>IFERROR(IF((((($IW117*COS(RADIANS(180-$IY117)))*COS(RADIANS($IY117)))-(($IX117*SIN(RADIANS(180-$IY117)))*SIN(RADIANS($IY117))))+$IU117)&lt;(((Settings!$C$19+$IF$8)/2)*-1),"Gage",""),"")</f>
        <v>Gage</v>
      </c>
      <c r="IG117" s="847">
        <f t="shared" si="643"/>
        <v>7.2519999999999998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0.152</v>
      </c>
      <c r="II117" s="734" cm="1">
        <f t="array" ref="II117">IFERROR(ROUND(VALUE(IF($IH117&lt;1,$IH117+LARGE((IF($M$9:$M$150="",0,$M$9:$M$150)-MOD(IF($M$9:$M$150="",0,$M$9:$M$150),1)),1),$IH117)),4),"")</f>
        <v>7.1520000000000001</v>
      </c>
      <c r="IJ117" s="533">
        <f t="shared" si="542"/>
        <v>1613</v>
      </c>
      <c r="IK117" s="533">
        <f t="shared" si="713"/>
        <v>1313</v>
      </c>
      <c r="IL117" s="727">
        <f t="shared" si="647"/>
        <v>11.835998002329035</v>
      </c>
      <c r="IM117" s="759">
        <v>2.4372736075479202E-3</v>
      </c>
      <c r="IN117" s="5">
        <f t="shared" si="648"/>
        <v>0.22</v>
      </c>
      <c r="IO117" s="771">
        <v>110</v>
      </c>
      <c r="IP117" s="9">
        <f t="shared" si="649"/>
        <v>-5.8541176560188513</v>
      </c>
      <c r="IQ117" s="5">
        <f t="shared" si="650"/>
        <v>-2.6549080072025508</v>
      </c>
      <c r="IR117" s="5">
        <f t="shared" si="714"/>
        <v>0.314</v>
      </c>
      <c r="IS117" s="5">
        <f t="shared" si="651"/>
        <v>0.28261040549128197</v>
      </c>
      <c r="IT117" s="727">
        <f t="shared" si="652"/>
        <v>86.886439757820881</v>
      </c>
      <c r="IU117" s="9">
        <f t="shared" si="653"/>
        <v>-5.9171412237783816</v>
      </c>
      <c r="IV117" s="5">
        <f t="shared" si="654"/>
        <v>-2.6460299820203965</v>
      </c>
      <c r="IW117" s="5">
        <f t="shared" si="715"/>
        <v>0.26600000000000001</v>
      </c>
      <c r="IX117" s="5">
        <f t="shared" si="655"/>
        <v>0.21638590030299926</v>
      </c>
      <c r="IY117" s="762">
        <f t="shared" si="656"/>
        <v>82.902571913455972</v>
      </c>
    </row>
    <row r="118" spans="1:259" ht="15" customHeight="1" x14ac:dyDescent="0.25">
      <c r="A118" s="79"/>
      <c r="B118" s="707">
        <v>-2.9257993449075612</v>
      </c>
      <c r="C118" s="708">
        <v>5.1234459328715811</v>
      </c>
      <c r="D118" s="709">
        <v>-3.460599999999999</v>
      </c>
      <c r="E118" s="710">
        <v>-0.49589839075622277</v>
      </c>
      <c r="F118" s="708">
        <v>0.86838055370058653</v>
      </c>
      <c r="G118" s="711">
        <v>2.2679489697012661E-7</v>
      </c>
      <c r="H118" s="710">
        <v>0.25700000000000001</v>
      </c>
      <c r="I118" s="708">
        <v>0.41499999999999992</v>
      </c>
      <c r="J118" s="570">
        <v>7.2590000000000003</v>
      </c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CPS-32193r1</v>
      </c>
      <c r="L118" s="320"/>
      <c r="M118" s="168">
        <f t="shared" si="660"/>
        <v>7.2590000000000003</v>
      </c>
      <c r="N118" s="632">
        <f t="shared" si="661"/>
        <v>-2.9257993449075612</v>
      </c>
      <c r="O118" s="629">
        <f t="shared" si="662"/>
        <v>5.1234459328715811</v>
      </c>
      <c r="P118" s="633">
        <f t="shared" si="663"/>
        <v>-3.460599999999999</v>
      </c>
      <c r="Q118" s="585">
        <f t="shared" si="520"/>
        <v>119.72899570766411</v>
      </c>
      <c r="R118" s="629">
        <f t="shared" si="716"/>
        <v>5.9000000028576149</v>
      </c>
      <c r="S118" s="634">
        <f t="shared" si="717"/>
        <v>-3.460599999999999</v>
      </c>
      <c r="T118" s="635">
        <f t="shared" si="718"/>
        <v>5.1234459328715811</v>
      </c>
      <c r="U118" s="629">
        <f t="shared" si="719"/>
        <v>2.9257993449075608</v>
      </c>
      <c r="V118" s="636">
        <f t="shared" si="720"/>
        <v>-3.460599999999999</v>
      </c>
      <c r="W118" s="585">
        <f t="shared" si="645"/>
        <v>29.728995707664097</v>
      </c>
      <c r="X118" s="629">
        <f t="shared" si="721"/>
        <v>5.9000000028576149</v>
      </c>
      <c r="Y118" s="630">
        <f t="shared" si="644"/>
        <v>-3.460599999999999</v>
      </c>
      <c r="Z118" s="632">
        <f t="shared" si="664"/>
        <v>0.49589839075622277</v>
      </c>
      <c r="AA118" s="629">
        <f t="shared" si="665"/>
        <v>-0.86838055370058653</v>
      </c>
      <c r="AB118" s="629">
        <f t="shared" si="666"/>
        <v>-2.2679489697012661E-7</v>
      </c>
      <c r="AC118" s="636">
        <f t="shared" si="722"/>
        <v>1</v>
      </c>
      <c r="AD118" s="637">
        <f t="shared" si="723"/>
        <v>0.49589839075622277</v>
      </c>
      <c r="AE118" s="629">
        <f t="shared" si="724"/>
        <v>-0.86838055370058653</v>
      </c>
      <c r="AF118" s="633">
        <f t="shared" si="725"/>
        <v>-2.2679489697012661E-7</v>
      </c>
      <c r="AG118" s="602">
        <f t="shared" si="726"/>
        <v>-89.999985036064714</v>
      </c>
      <c r="AH118" s="603">
        <f t="shared" si="727"/>
        <v>60.270991297946352</v>
      </c>
      <c r="AI118" s="585">
        <f t="shared" si="728"/>
        <v>-89.999987005609597</v>
      </c>
      <c r="AJ118" s="586">
        <f t="shared" si="729"/>
        <v>29.729008702054486</v>
      </c>
      <c r="AK118" s="635">
        <f t="shared" si="730"/>
        <v>2.2679489630750282E-7</v>
      </c>
      <c r="AL118" s="629">
        <f t="shared" si="731"/>
        <v>-0.99999999999994871</v>
      </c>
      <c r="AM118" s="634">
        <f t="shared" si="732"/>
        <v>-2.2679489697012661E-7</v>
      </c>
      <c r="AN118" s="581">
        <f t="shared" si="733"/>
        <v>-89.999987005609597</v>
      </c>
      <c r="AO118" s="582">
        <f t="shared" si="461"/>
        <v>0</v>
      </c>
      <c r="AP118" s="585">
        <f t="shared" si="734"/>
        <v>-89.999987005609626</v>
      </c>
      <c r="AQ118" s="586">
        <f t="shared" si="667"/>
        <v>0.38638848668981524</v>
      </c>
      <c r="AS118" s="52">
        <f t="shared" si="737"/>
        <v>29.728995707664097</v>
      </c>
      <c r="AT118" s="73">
        <f t="shared" si="668"/>
        <v>-3.2312451359080989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>Gage</v>
      </c>
      <c r="IG118" s="847">
        <f t="shared" si="643"/>
        <v>7.2590000000000003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0.159</v>
      </c>
      <c r="II118" s="734" cm="1">
        <f t="array" ref="II118">IFERROR(ROUND(VALUE(IF($IH118&lt;1,$IH118+LARGE((IF($M$9:$M$150="",0,$M$9:$M$150)-MOD(IF($M$9:$M$150="",0,$M$9:$M$150),1)),1),$IH118)),4),"")</f>
        <v>7.1589999999999998</v>
      </c>
      <c r="IJ118" s="533">
        <f t="shared" si="542"/>
        <v>1613</v>
      </c>
      <c r="IK118" s="533" t="str">
        <f t="shared" si="713"/>
        <v>CPS-32193r1</v>
      </c>
      <c r="IL118" s="727">
        <f t="shared" si="647"/>
        <v>13.627998032349367</v>
      </c>
      <c r="IM118" s="759">
        <v>1.5411512588033201E-4</v>
      </c>
      <c r="IN118" s="5">
        <f t="shared" si="648"/>
        <v>0</v>
      </c>
      <c r="IO118" s="771">
        <v>0</v>
      </c>
      <c r="IP118" s="9">
        <f t="shared" si="649"/>
        <v>-5.9156178415024447</v>
      </c>
      <c r="IQ118" s="5">
        <f t="shared" si="650"/>
        <v>-3.4205000000000001</v>
      </c>
      <c r="IR118" s="5">
        <f t="shared" si="714"/>
        <v>0.314</v>
      </c>
      <c r="IS118" s="5">
        <f t="shared" si="651"/>
        <v>0.24053797548393849</v>
      </c>
      <c r="IT118" s="727">
        <f t="shared" si="652"/>
        <v>89.999987005609512</v>
      </c>
      <c r="IU118" s="9">
        <f t="shared" si="653"/>
        <v>-5.9000000028576149</v>
      </c>
      <c r="IV118" s="5">
        <f t="shared" si="654"/>
        <v>-3.460599999999999</v>
      </c>
      <c r="IW118" s="5">
        <f t="shared" si="715"/>
        <v>0.25700000000000001</v>
      </c>
      <c r="IX118" s="5">
        <f t="shared" si="655"/>
        <v>0.25700000000000001</v>
      </c>
      <c r="IY118" s="762">
        <f t="shared" si="656"/>
        <v>89.999987005609597</v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8.8521302156295611E-2</v>
      </c>
      <c r="G154" s="170">
        <f t="shared" si="929"/>
        <v>-0.33036604714967333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5.6018678339987651E-2</v>
      </c>
      <c r="G157" s="170">
        <f t="shared" si="929"/>
        <v>-0.25268396641901963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0.96546026562843779</v>
      </c>
      <c r="F158" s="170">
        <f t="shared" si="929"/>
        <v>-4.7897357391550696E-2</v>
      </c>
      <c r="G158" s="170">
        <f t="shared" si="929"/>
        <v>-0.25610997373701117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0.9637169232375864</v>
      </c>
      <c r="F159" s="170">
        <f t="shared" si="929"/>
        <v>-0.13532464942753641</v>
      </c>
      <c r="G159" s="170">
        <f t="shared" si="929"/>
        <v>-0.23008027104207437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0.95964964344632309</v>
      </c>
      <c r="F160" s="170">
        <f t="shared" si="929"/>
        <v>-0.21396732848614214</v>
      </c>
      <c r="G160" s="170">
        <f t="shared" si="929"/>
        <v>-0.18245696526536995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0.95225155755706181</v>
      </c>
      <c r="F161" s="170">
        <f t="shared" si="929"/>
        <v>-0.27520093311702826</v>
      </c>
      <c r="G161" s="170">
        <f t="shared" si="929"/>
        <v>-0.13221731180774701</v>
      </c>
      <c r="H161" s="139"/>
      <c r="I161" s="86"/>
      <c r="J161" s="79">
        <f t="shared" si="930"/>
        <v>1.137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0.94302155881300642</v>
      </c>
      <c r="F162" s="170">
        <f t="shared" si="929"/>
        <v>-0.32551981860703216</v>
      </c>
      <c r="G162" s="170">
        <f t="shared" si="929"/>
        <v>-6.8899835325872669E-2</v>
      </c>
      <c r="H162" s="139"/>
      <c r="I162" s="86"/>
      <c r="J162" s="79">
        <f t="shared" si="930"/>
        <v>1.1439999999999999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0.92310657172516808</v>
      </c>
      <c r="F163" s="170">
        <f t="shared" si="929"/>
        <v>-0.3844145621229153</v>
      </c>
      <c r="G163" s="170">
        <f t="shared" si="929"/>
        <v>-9.985072140687945E-3</v>
      </c>
      <c r="H163" s="139"/>
      <c r="I163" s="86"/>
      <c r="J163" s="79">
        <f t="shared" si="930"/>
        <v>1.151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0.73558896294884757</v>
      </c>
      <c r="F164" s="170">
        <f t="shared" si="929"/>
        <v>-0.67742813462965779</v>
      </c>
      <c r="G164" s="170">
        <f t="shared" si="929"/>
        <v>-1.4578093198414931E-7</v>
      </c>
      <c r="H164" s="139"/>
      <c r="I164" s="86"/>
      <c r="J164" s="79">
        <f t="shared" si="930"/>
        <v>1.1579999999999999</v>
      </c>
    </row>
    <row r="165" spans="5:16" x14ac:dyDescent="0.25">
      <c r="E165" s="170">
        <f t="shared" si="929"/>
        <v>5.4962854683100468E-17</v>
      </c>
      <c r="F165" s="170">
        <f t="shared" si="929"/>
        <v>-5.6718183937030644E-17</v>
      </c>
      <c r="G165" s="170">
        <f t="shared" si="929"/>
        <v>-1</v>
      </c>
      <c r="H165" s="139"/>
      <c r="I165" s="86"/>
      <c r="J165" s="79">
        <f t="shared" si="930"/>
        <v>1.212</v>
      </c>
    </row>
    <row r="166" spans="5:16" x14ac:dyDescent="0.25">
      <c r="E166" s="170">
        <f t="shared" si="929"/>
        <v>-2.186429091455459E-2</v>
      </c>
      <c r="F166" s="170">
        <f t="shared" si="929"/>
        <v>-6.1640263593681396E-2</v>
      </c>
      <c r="G166" s="170">
        <f t="shared" si="929"/>
        <v>-0.99785892323860359</v>
      </c>
      <c r="H166" s="139"/>
      <c r="I166" s="86"/>
      <c r="J166" s="79">
        <f t="shared" si="930"/>
        <v>1.2190000000000001</v>
      </c>
    </row>
    <row r="167" spans="5:16" x14ac:dyDescent="0.25">
      <c r="E167" s="170">
        <f t="shared" si="929"/>
        <v>0.81608751248585643</v>
      </c>
      <c r="F167" s="170">
        <f t="shared" si="929"/>
        <v>-0.42962950511344505</v>
      </c>
      <c r="G167" s="170">
        <f t="shared" si="929"/>
        <v>-0.38654839321955992</v>
      </c>
      <c r="H167" s="139"/>
      <c r="I167" s="86"/>
      <c r="J167" s="79">
        <f t="shared" si="930"/>
        <v>1.2230000000000001</v>
      </c>
    </row>
    <row r="168" spans="5:16" x14ac:dyDescent="0.25">
      <c r="E168" s="170">
        <f t="shared" si="929"/>
        <v>0.79917051202992195</v>
      </c>
      <c r="F168" s="170">
        <f t="shared" si="929"/>
        <v>-0.50641618784784803</v>
      </c>
      <c r="G168" s="170">
        <f t="shared" si="929"/>
        <v>-0.32383504657075901</v>
      </c>
      <c r="H168" s="139"/>
      <c r="I168" s="86"/>
      <c r="J168" s="79">
        <f t="shared" si="930"/>
        <v>1.23</v>
      </c>
    </row>
    <row r="169" spans="5:16" x14ac:dyDescent="0.25">
      <c r="E169" s="170">
        <f t="shared" si="929"/>
        <v>0.77501890466562751</v>
      </c>
      <c r="F169" s="170">
        <f t="shared" si="929"/>
        <v>-0.58021460705402172</v>
      </c>
      <c r="G169" s="170">
        <f t="shared" si="929"/>
        <v>-0.25039310528055325</v>
      </c>
      <c r="H169" s="139"/>
      <c r="I169" s="86"/>
      <c r="J169" s="79">
        <f t="shared" si="930"/>
        <v>1.2370000000000001</v>
      </c>
    </row>
    <row r="170" spans="5:16" x14ac:dyDescent="0.25">
      <c r="E170" s="170">
        <f t="shared" si="929"/>
        <v>0.75385056985170851</v>
      </c>
      <c r="F170" s="170">
        <f t="shared" si="929"/>
        <v>-0.63773297270887208</v>
      </c>
      <c r="G170" s="170">
        <f t="shared" si="929"/>
        <v>-0.1581327728655875</v>
      </c>
      <c r="H170" s="139"/>
      <c r="I170" s="86"/>
      <c r="J170" s="79">
        <f t="shared" si="930"/>
        <v>1.244</v>
      </c>
    </row>
    <row r="171" spans="5:16" x14ac:dyDescent="0.25">
      <c r="E171" s="170">
        <f t="shared" si="929"/>
        <v>0.71402851325435179</v>
      </c>
      <c r="F171" s="170">
        <f t="shared" si="929"/>
        <v>-0.6970705417921671</v>
      </c>
      <c r="G171" s="170">
        <f t="shared" si="929"/>
        <v>-6.5237581387990407E-2</v>
      </c>
      <c r="H171" s="139"/>
      <c r="I171" s="86"/>
      <c r="J171" s="79">
        <f t="shared" si="930"/>
        <v>1.2509999999999999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-0.28018061480640505</v>
      </c>
      <c r="F172" s="170">
        <f t="shared" si="929"/>
        <v>-0.95994730224458336</v>
      </c>
      <c r="G172" s="170">
        <f t="shared" si="929"/>
        <v>-2.2679489666592373E-7</v>
      </c>
      <c r="H172" s="139"/>
      <c r="I172" s="86"/>
      <c r="J172" s="79">
        <f t="shared" si="930"/>
        <v>1.258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0.51090286270542684</v>
      </c>
      <c r="F173" s="170">
        <f t="shared" si="929"/>
        <v>-0.82009766272568829</v>
      </c>
      <c r="G173" s="170">
        <f t="shared" si="929"/>
        <v>-0.25771707058567778</v>
      </c>
      <c r="H173" s="139"/>
      <c r="I173" s="86"/>
      <c r="J173" s="79">
        <f t="shared" si="930"/>
        <v>2.1150000000000002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0.43737308717852735</v>
      </c>
      <c r="F174" s="170">
        <f t="shared" si="933"/>
        <v>-0.86795721159631933</v>
      </c>
      <c r="G174" s="170">
        <f t="shared" si="933"/>
        <v>-0.23527656374969969</v>
      </c>
      <c r="H174" s="139"/>
      <c r="I174" s="86"/>
      <c r="J174" s="79">
        <f t="shared" si="930"/>
        <v>2.1219999999999999</v>
      </c>
    </row>
    <row r="175" spans="5:16" x14ac:dyDescent="0.25">
      <c r="E175" s="170">
        <f t="shared" si="933"/>
        <v>0.36798494181704661</v>
      </c>
      <c r="F175" s="170">
        <f t="shared" si="933"/>
        <v>-0.91014530054641429</v>
      </c>
      <c r="G175" s="170">
        <f t="shared" si="933"/>
        <v>-0.19032239618390182</v>
      </c>
      <c r="H175" s="139"/>
      <c r="I175" s="86"/>
      <c r="J175" s="79">
        <f t="shared" si="930"/>
        <v>2.129</v>
      </c>
    </row>
    <row r="176" spans="5:16" x14ac:dyDescent="0.25">
      <c r="E176" s="170">
        <f t="shared" si="933"/>
        <v>0.3109050020871526</v>
      </c>
      <c r="F176" s="170">
        <f t="shared" si="933"/>
        <v>-0.93975205444589449</v>
      </c>
      <c r="G176" s="170">
        <f t="shared" si="933"/>
        <v>-0.14214132348444067</v>
      </c>
      <c r="H176" s="139"/>
      <c r="I176" s="86"/>
      <c r="J176" s="79">
        <f t="shared" si="930"/>
        <v>2.1360000000000001</v>
      </c>
    </row>
    <row r="177" spans="5:10" x14ac:dyDescent="0.25">
      <c r="E177" s="170">
        <f t="shared" si="933"/>
        <v>0.26103237990343292</v>
      </c>
      <c r="F177" s="170">
        <f t="shared" si="933"/>
        <v>-0.96201978615453743</v>
      </c>
      <c r="G177" s="170">
        <f t="shared" si="933"/>
        <v>-7.987507551876287E-2</v>
      </c>
      <c r="H177" s="139"/>
      <c r="I177" s="86"/>
      <c r="J177" s="79">
        <f t="shared" si="930"/>
        <v>2.1429999999999998</v>
      </c>
    </row>
    <row r="178" spans="5:10" x14ac:dyDescent="0.25">
      <c r="E178" s="170">
        <f t="shared" si="933"/>
        <v>0.21421417854388228</v>
      </c>
      <c r="F178" s="170">
        <f t="shared" si="933"/>
        <v>-0.97665676314891836</v>
      </c>
      <c r="G178" s="170">
        <f t="shared" si="933"/>
        <v>-1.5932755764378886E-2</v>
      </c>
      <c r="H178" s="139"/>
      <c r="I178" s="86"/>
      <c r="J178" s="79">
        <f t="shared" si="930"/>
        <v>2.15</v>
      </c>
    </row>
    <row r="179" spans="5:10" x14ac:dyDescent="0.25">
      <c r="E179" s="170">
        <f t="shared" si="933"/>
        <v>-0.15027800572468797</v>
      </c>
      <c r="F179" s="170">
        <f t="shared" si="933"/>
        <v>-0.98864377861562935</v>
      </c>
      <c r="G179" s="170">
        <f t="shared" si="933"/>
        <v>-1.4578093193243024E-7</v>
      </c>
      <c r="H179" s="139"/>
      <c r="I179" s="86"/>
      <c r="J179" s="79">
        <f t="shared" si="930"/>
        <v>2.157</v>
      </c>
    </row>
    <row r="180" spans="5:10" x14ac:dyDescent="0.25">
      <c r="E180" s="170">
        <f t="shared" si="933"/>
        <v>0.11080065033908908</v>
      </c>
      <c r="F180" s="170">
        <f t="shared" si="933"/>
        <v>-0.9127302624057454</v>
      </c>
      <c r="G180" s="170">
        <f t="shared" si="933"/>
        <v>-0.39325142590100592</v>
      </c>
      <c r="H180" s="139"/>
      <c r="I180" s="86"/>
      <c r="J180" s="79">
        <f t="shared" si="930"/>
        <v>2.222</v>
      </c>
    </row>
    <row r="181" spans="5:10" x14ac:dyDescent="0.25">
      <c r="E181" s="170">
        <f t="shared" si="933"/>
        <v>3.7052395103026194E-2</v>
      </c>
      <c r="F181" s="170">
        <f t="shared" si="933"/>
        <v>-0.94172992315035764</v>
      </c>
      <c r="G181" s="170">
        <f t="shared" si="933"/>
        <v>-0.33432300528134606</v>
      </c>
      <c r="H181" s="139"/>
      <c r="I181" s="86"/>
      <c r="J181" s="79">
        <f t="shared" si="930"/>
        <v>2.2290000000000001</v>
      </c>
    </row>
    <row r="182" spans="5:10" x14ac:dyDescent="0.25">
      <c r="E182" s="170">
        <f t="shared" si="933"/>
        <v>-3.9460930264904756E-2</v>
      </c>
      <c r="F182" s="170">
        <f t="shared" si="933"/>
        <v>-0.96373941657787832</v>
      </c>
      <c r="G182" s="170">
        <f t="shared" si="933"/>
        <v>-0.26391129554598319</v>
      </c>
      <c r="H182" s="139"/>
      <c r="I182" s="86"/>
      <c r="J182" s="79">
        <f t="shared" si="930"/>
        <v>2.2360000000000002</v>
      </c>
    </row>
    <row r="183" spans="5:10" x14ac:dyDescent="0.25">
      <c r="E183" s="170">
        <f t="shared" si="933"/>
        <v>-0.10191338948323568</v>
      </c>
      <c r="F183" s="170">
        <f t="shared" si="933"/>
        <v>-0.97955851275221384</v>
      </c>
      <c r="G183" s="170">
        <f t="shared" si="933"/>
        <v>-0.17343235320640002</v>
      </c>
      <c r="H183" s="139"/>
      <c r="I183" s="86"/>
      <c r="J183" s="79">
        <f t="shared" si="930"/>
        <v>2.2429999999999999</v>
      </c>
    </row>
    <row r="184" spans="5:10" x14ac:dyDescent="0.25">
      <c r="E184" s="170">
        <f t="shared" si="933"/>
        <v>-0.16032792827938722</v>
      </c>
      <c r="F184" s="170">
        <f t="shared" si="933"/>
        <v>-0.98409832074937886</v>
      </c>
      <c r="G184" s="170">
        <f t="shared" si="933"/>
        <v>-7.6455545985182588E-2</v>
      </c>
      <c r="H184" s="139"/>
      <c r="I184" s="86"/>
      <c r="J184" s="79">
        <f t="shared" si="930"/>
        <v>2.25</v>
      </c>
    </row>
    <row r="185" spans="5:10" x14ac:dyDescent="0.25">
      <c r="E185" s="170">
        <f t="shared" si="933"/>
        <v>-0.95250762600109973</v>
      </c>
      <c r="F185" s="170">
        <f t="shared" si="933"/>
        <v>-0.30451473266444412</v>
      </c>
      <c r="G185" s="170">
        <f t="shared" si="933"/>
        <v>-2.2679489677719276E-7</v>
      </c>
      <c r="H185" s="139"/>
      <c r="I185" s="86"/>
      <c r="J185" s="79">
        <f t="shared" si="930"/>
        <v>2.2570000000000001</v>
      </c>
    </row>
    <row r="186" spans="5:10" x14ac:dyDescent="0.25">
      <c r="E186" s="170">
        <f t="shared" si="933"/>
        <v>-0.20185354387626059</v>
      </c>
      <c r="F186" s="170">
        <f t="shared" si="933"/>
        <v>-0.94697157464841875</v>
      </c>
      <c r="G186" s="170">
        <f t="shared" si="933"/>
        <v>-0.24999996726497567</v>
      </c>
      <c r="H186" s="139"/>
      <c r="I186" s="86"/>
      <c r="J186" s="79">
        <f t="shared" si="930"/>
        <v>3.1030000000000002</v>
      </c>
    </row>
    <row r="187" spans="5:10" x14ac:dyDescent="0.25">
      <c r="E187" s="170">
        <f t="shared" si="933"/>
        <v>-0.20185354387626053</v>
      </c>
      <c r="F187" s="170">
        <f t="shared" si="933"/>
        <v>-0.94697157464841875</v>
      </c>
      <c r="G187" s="170">
        <f t="shared" si="933"/>
        <v>-0.24999996726497567</v>
      </c>
      <c r="H187" s="139"/>
      <c r="I187" s="86"/>
      <c r="J187" s="79">
        <f t="shared" si="930"/>
        <v>3.1059999999999999</v>
      </c>
    </row>
    <row r="188" spans="5:10" x14ac:dyDescent="0.25">
      <c r="E188" s="170">
        <f t="shared" si="933"/>
        <v>-0.20185354387626059</v>
      </c>
      <c r="F188" s="170">
        <f t="shared" si="933"/>
        <v>-0.94697157464841875</v>
      </c>
      <c r="G188" s="170">
        <f t="shared" si="933"/>
        <v>-0.24999996726497567</v>
      </c>
      <c r="H188" s="139"/>
      <c r="I188" s="86"/>
      <c r="J188" s="79">
        <f t="shared" si="930"/>
        <v>3.109</v>
      </c>
    </row>
    <row r="189" spans="5:10" x14ac:dyDescent="0.25">
      <c r="E189" s="170">
        <f t="shared" si="933"/>
        <v>-0.28730232767519198</v>
      </c>
      <c r="F189" s="170">
        <f t="shared" si="933"/>
        <v>-0.92222688772739647</v>
      </c>
      <c r="G189" s="170">
        <f t="shared" si="933"/>
        <v>-0.25875652661344961</v>
      </c>
      <c r="H189" s="139"/>
      <c r="I189" s="86"/>
      <c r="J189" s="79">
        <f t="shared" si="930"/>
        <v>3.1139999999999999</v>
      </c>
    </row>
    <row r="190" spans="5:10" x14ac:dyDescent="0.25">
      <c r="E190" s="170">
        <f t="shared" si="933"/>
        <v>-0.37157964276685207</v>
      </c>
      <c r="F190" s="170">
        <f t="shared" si="933"/>
        <v>-0.89684625865214329</v>
      </c>
      <c r="G190" s="170">
        <f t="shared" si="933"/>
        <v>-0.23999032776949913</v>
      </c>
      <c r="H190" s="139"/>
      <c r="I190" s="86"/>
      <c r="J190" s="79">
        <f t="shared" si="930"/>
        <v>3.121</v>
      </c>
    </row>
    <row r="191" spans="5:10" x14ac:dyDescent="0.25">
      <c r="E191" s="170">
        <f t="shared" si="933"/>
        <v>-0.450723065692055</v>
      </c>
      <c r="F191" s="170">
        <f t="shared" si="933"/>
        <v>-0.8704515618798957</v>
      </c>
      <c r="G191" s="170">
        <f t="shared" si="933"/>
        <v>-0.19789592333852071</v>
      </c>
      <c r="H191" s="139"/>
      <c r="I191" s="86"/>
      <c r="J191" s="79">
        <f t="shared" si="930"/>
        <v>3.1280000000000001</v>
      </c>
    </row>
    <row r="192" spans="5:10" x14ac:dyDescent="0.25">
      <c r="E192" s="170">
        <f t="shared" si="933"/>
        <v>-0.50405860448748019</v>
      </c>
      <c r="F192" s="170">
        <f t="shared" si="933"/>
        <v>-0.85242457041200914</v>
      </c>
      <c r="G192" s="170">
        <f t="shared" si="933"/>
        <v>-0.13891463205881452</v>
      </c>
      <c r="H192" s="139"/>
      <c r="I192" s="86"/>
      <c r="J192" s="79">
        <f t="shared" si="930"/>
        <v>3.1349999999999998</v>
      </c>
    </row>
    <row r="193" spans="5:10" x14ac:dyDescent="0.25">
      <c r="E193" s="170">
        <f t="shared" si="933"/>
        <v>-0.5649806210648799</v>
      </c>
      <c r="F193" s="170">
        <f t="shared" si="933"/>
        <v>-0.82008540136478869</v>
      </c>
      <c r="G193" s="170">
        <f t="shared" si="933"/>
        <v>-9.0867113355141638E-2</v>
      </c>
      <c r="H193" s="139"/>
      <c r="I193" s="86"/>
      <c r="J193" s="79">
        <f t="shared" si="930"/>
        <v>3.1419999999999999</v>
      </c>
    </row>
    <row r="194" spans="5:10" x14ac:dyDescent="0.25">
      <c r="E194" s="170">
        <f t="shared" ref="E194:G213" si="934">E49*-1</f>
        <v>-0.60927349724655355</v>
      </c>
      <c r="F194" s="170">
        <f t="shared" si="934"/>
        <v>-0.79247704067620361</v>
      </c>
      <c r="G194" s="170">
        <f t="shared" si="934"/>
        <v>-2.7675721382483032E-2</v>
      </c>
      <c r="H194" s="139"/>
      <c r="I194" s="86"/>
      <c r="J194" s="79">
        <f t="shared" si="930"/>
        <v>3.149</v>
      </c>
    </row>
    <row r="195" spans="5:10" x14ac:dyDescent="0.25">
      <c r="E195" s="170">
        <f t="shared" si="934"/>
        <v>-0.85394184735594203</v>
      </c>
      <c r="F195" s="170">
        <f t="shared" si="934"/>
        <v>-0.52036844767366519</v>
      </c>
      <c r="G195" s="170">
        <f t="shared" si="934"/>
        <v>-1.4578093209021014E-7</v>
      </c>
      <c r="H195" s="139"/>
      <c r="I195" s="86"/>
      <c r="J195" s="79">
        <f t="shared" si="930"/>
        <v>3.1560000000000001</v>
      </c>
    </row>
    <row r="196" spans="5:10" x14ac:dyDescent="0.25">
      <c r="E196" s="170">
        <f t="shared" si="934"/>
        <v>-2.6743636912253287E-18</v>
      </c>
      <c r="F196" s="170">
        <f t="shared" si="934"/>
        <v>-5.3074249275301433E-17</v>
      </c>
      <c r="G196" s="170">
        <f t="shared" si="934"/>
        <v>-1</v>
      </c>
      <c r="H196" s="139"/>
      <c r="I196" s="86"/>
      <c r="J196" s="79">
        <f t="shared" si="930"/>
        <v>3.2090000000000001</v>
      </c>
    </row>
    <row r="197" spans="5:10" x14ac:dyDescent="0.25">
      <c r="E197" s="170">
        <f t="shared" si="934"/>
        <v>-4.6959962788067237E-17</v>
      </c>
      <c r="F197" s="170">
        <f t="shared" si="934"/>
        <v>-6.3971148053834063E-18</v>
      </c>
      <c r="G197" s="170">
        <f t="shared" si="934"/>
        <v>-1</v>
      </c>
      <c r="H197" s="139"/>
      <c r="I197" s="86"/>
      <c r="J197" s="79">
        <f t="shared" si="930"/>
        <v>3.214</v>
      </c>
    </row>
    <row r="198" spans="5:10" x14ac:dyDescent="0.25">
      <c r="E198" s="170">
        <f t="shared" si="934"/>
        <v>-0.61822049943652357</v>
      </c>
      <c r="F198" s="170">
        <f t="shared" si="934"/>
        <v>-0.67702819803025605</v>
      </c>
      <c r="G198" s="170">
        <f t="shared" si="934"/>
        <v>-0.39929466957168341</v>
      </c>
      <c r="H198" s="139"/>
      <c r="I198" s="86"/>
      <c r="J198" s="79">
        <f t="shared" si="930"/>
        <v>3.2210000000000001</v>
      </c>
    </row>
    <row r="199" spans="5:10" x14ac:dyDescent="0.25">
      <c r="E199" s="170">
        <f t="shared" si="934"/>
        <v>-0.68785390470570484</v>
      </c>
      <c r="F199" s="170">
        <f t="shared" si="934"/>
        <v>-0.63895214798922184</v>
      </c>
      <c r="G199" s="170">
        <f t="shared" si="934"/>
        <v>-0.34437938144011299</v>
      </c>
      <c r="H199" s="139"/>
      <c r="I199" s="86"/>
      <c r="J199" s="79">
        <f t="shared" si="930"/>
        <v>3.2280000000000002</v>
      </c>
    </row>
    <row r="200" spans="5:10" x14ac:dyDescent="0.25">
      <c r="E200" s="170">
        <f t="shared" si="934"/>
        <v>-0.75074905610072906</v>
      </c>
      <c r="F200" s="170">
        <f t="shared" si="934"/>
        <v>-0.6051249602329094</v>
      </c>
      <c r="G200" s="170">
        <f t="shared" si="934"/>
        <v>-0.26495214146517909</v>
      </c>
      <c r="H200" s="139"/>
      <c r="I200" s="86"/>
      <c r="J200" s="79">
        <f t="shared" si="930"/>
        <v>3.2349999999999999</v>
      </c>
    </row>
    <row r="201" spans="5:10" x14ac:dyDescent="0.25">
      <c r="E201" s="170">
        <f t="shared" si="934"/>
        <v>-0.81047679050109234</v>
      </c>
      <c r="F201" s="170">
        <f t="shared" si="934"/>
        <v>-0.55455350954721705</v>
      </c>
      <c r="G201" s="170">
        <f t="shared" si="934"/>
        <v>-0.1886737318969266</v>
      </c>
      <c r="H201" s="139"/>
      <c r="I201" s="86"/>
      <c r="J201" s="79">
        <f t="shared" si="930"/>
        <v>3.242</v>
      </c>
    </row>
    <row r="202" spans="5:10" x14ac:dyDescent="0.25">
      <c r="E202" s="170">
        <f t="shared" si="934"/>
        <v>-0.85447355781771051</v>
      </c>
      <c r="F202" s="170">
        <f t="shared" si="934"/>
        <v>-0.51111379864566442</v>
      </c>
      <c r="G202" s="170">
        <f t="shared" si="934"/>
        <v>-9.2938817640118507E-2</v>
      </c>
      <c r="H202" s="139"/>
      <c r="I202" s="86"/>
      <c r="J202" s="79">
        <f t="shared" si="930"/>
        <v>3.2490000000000001</v>
      </c>
    </row>
    <row r="203" spans="5:10" x14ac:dyDescent="0.25">
      <c r="E203" s="170">
        <f t="shared" si="934"/>
        <v>-0.84553198620391967</v>
      </c>
      <c r="F203" s="170">
        <f t="shared" si="934"/>
        <v>0.5339247702682498</v>
      </c>
      <c r="G203" s="170">
        <f t="shared" si="934"/>
        <v>-2.2679489676580927E-7</v>
      </c>
      <c r="H203" s="139"/>
      <c r="I203" s="86"/>
      <c r="J203" s="79">
        <f t="shared" si="930"/>
        <v>3.2559999999999998</v>
      </c>
    </row>
    <row r="204" spans="5:10" x14ac:dyDescent="0.25">
      <c r="E204" s="170">
        <f t="shared" si="934"/>
        <v>-0.93000200427738955</v>
      </c>
      <c r="F204" s="170">
        <f t="shared" si="934"/>
        <v>-0.26051336174394507</v>
      </c>
      <c r="G204" s="170">
        <f t="shared" si="934"/>
        <v>-0.25928567332752295</v>
      </c>
      <c r="H204" s="139"/>
      <c r="I204" s="86"/>
      <c r="J204" s="79">
        <f t="shared" si="930"/>
        <v>4.1130000000000004</v>
      </c>
    </row>
    <row r="205" spans="5:10" x14ac:dyDescent="0.25">
      <c r="E205" s="170">
        <f t="shared" si="934"/>
        <v>-0.95425555672956919</v>
      </c>
      <c r="F205" s="170">
        <f t="shared" si="934"/>
        <v>-0.17245628827437551</v>
      </c>
      <c r="G205" s="170">
        <f t="shared" si="934"/>
        <v>-0.24424406049147956</v>
      </c>
      <c r="H205" s="139"/>
      <c r="I205" s="86"/>
      <c r="J205" s="79">
        <f t="shared" si="930"/>
        <v>4.12</v>
      </c>
    </row>
    <row r="206" spans="5:10" x14ac:dyDescent="0.25">
      <c r="E206" s="170">
        <f t="shared" si="934"/>
        <v>-0.97462616052336037</v>
      </c>
      <c r="F206" s="170">
        <f t="shared" si="934"/>
        <v>-8.9672692319225436E-2</v>
      </c>
      <c r="G206" s="170">
        <f t="shared" si="934"/>
        <v>-0.20509182205957077</v>
      </c>
      <c r="H206" s="139"/>
      <c r="I206" s="86"/>
      <c r="J206" s="79">
        <f t="shared" si="930"/>
        <v>4.1269999999999998</v>
      </c>
    </row>
    <row r="207" spans="5:10" x14ac:dyDescent="0.25">
      <c r="E207" s="170">
        <f t="shared" si="934"/>
        <v>-0.98869349654271588</v>
      </c>
      <c r="F207" s="170">
        <f t="shared" si="934"/>
        <v>-2.3382112746645048E-2</v>
      </c>
      <c r="G207" s="170">
        <f t="shared" si="934"/>
        <v>-0.14811632826141102</v>
      </c>
      <c r="H207" s="139"/>
      <c r="I207" s="86"/>
      <c r="J207" s="79">
        <f t="shared" si="930"/>
        <v>4.1340000000000003</v>
      </c>
    </row>
    <row r="208" spans="5:10" x14ac:dyDescent="0.25">
      <c r="E208" s="170">
        <f t="shared" si="934"/>
        <v>-0.99402127582091937</v>
      </c>
      <c r="F208" s="170">
        <f t="shared" si="934"/>
        <v>3.9604524072622688E-2</v>
      </c>
      <c r="G208" s="170">
        <f t="shared" si="934"/>
        <v>-0.10175060141509168</v>
      </c>
      <c r="H208" s="139"/>
      <c r="I208" s="86"/>
      <c r="J208" s="79">
        <f t="shared" si="930"/>
        <v>4.141</v>
      </c>
    </row>
    <row r="209" spans="5:10" x14ac:dyDescent="0.25">
      <c r="E209" s="170">
        <f t="shared" si="934"/>
        <v>-0.99469939076110359</v>
      </c>
      <c r="F209" s="170">
        <f t="shared" si="934"/>
        <v>9.4917381911716031E-2</v>
      </c>
      <c r="G209" s="170">
        <f t="shared" si="934"/>
        <v>-3.9545070875076249E-2</v>
      </c>
      <c r="H209" s="139"/>
      <c r="I209" s="86"/>
      <c r="J209" s="79">
        <f t="shared" si="930"/>
        <v>4.1479999999999997</v>
      </c>
    </row>
    <row r="210" spans="5:10" x14ac:dyDescent="0.25">
      <c r="E210" s="170">
        <f t="shared" si="934"/>
        <v>-0.95785351789820128</v>
      </c>
      <c r="F210" s="170">
        <f t="shared" si="934"/>
        <v>0.28687768638087402</v>
      </c>
      <c r="G210" s="170">
        <f t="shared" si="934"/>
        <v>-1.4759109281972674E-2</v>
      </c>
      <c r="H210" s="139"/>
      <c r="I210" s="86"/>
      <c r="J210" s="79">
        <f t="shared" si="930"/>
        <v>4.1550000000000002</v>
      </c>
    </row>
    <row r="211" spans="5:10" x14ac:dyDescent="0.25">
      <c r="E211" s="170">
        <f t="shared" si="934"/>
        <v>-0.89381777233944781</v>
      </c>
      <c r="F211" s="170">
        <f t="shared" si="934"/>
        <v>0.44843036231964256</v>
      </c>
      <c r="G211" s="170">
        <f t="shared" si="934"/>
        <v>-1.4578093191087413E-7</v>
      </c>
      <c r="H211" s="139"/>
      <c r="I211" s="86"/>
      <c r="J211" s="79">
        <f t="shared" si="930"/>
        <v>4.1619999999999999</v>
      </c>
    </row>
    <row r="212" spans="5:10" x14ac:dyDescent="0.25">
      <c r="E212" s="170">
        <f t="shared" si="934"/>
        <v>-0.90564400342105678</v>
      </c>
      <c r="F212" s="170">
        <f t="shared" si="934"/>
        <v>0.2336046512376187</v>
      </c>
      <c r="G212" s="170">
        <f t="shared" si="934"/>
        <v>-0.35388953924583805</v>
      </c>
      <c r="H212" s="139"/>
      <c r="I212" s="86"/>
      <c r="J212" s="79">
        <f t="shared" si="930"/>
        <v>4.2270000000000003</v>
      </c>
    </row>
    <row r="213" spans="5:10" x14ac:dyDescent="0.25">
      <c r="E213" s="170">
        <f t="shared" si="934"/>
        <v>-0.91042665236836062</v>
      </c>
      <c r="F213" s="170">
        <f t="shared" si="934"/>
        <v>0.3067766255765122</v>
      </c>
      <c r="G213" s="170">
        <f t="shared" si="934"/>
        <v>-0.27750930192919454</v>
      </c>
      <c r="H213" s="139"/>
      <c r="I213" s="86"/>
      <c r="J213" s="79">
        <f t="shared" si="930"/>
        <v>4.234</v>
      </c>
    </row>
    <row r="214" spans="5:10" x14ac:dyDescent="0.25">
      <c r="E214" s="170">
        <f t="shared" ref="E214:G233" si="935">E69*-1</f>
        <v>-0.89939313143945776</v>
      </c>
      <c r="F214" s="170">
        <f t="shared" si="935"/>
        <v>0.38678885099547355</v>
      </c>
      <c r="G214" s="170">
        <f t="shared" si="935"/>
        <v>-0.2036820558250724</v>
      </c>
      <c r="H214" s="139"/>
      <c r="I214" s="86"/>
      <c r="J214" s="79">
        <f t="shared" si="930"/>
        <v>4.2409999999999997</v>
      </c>
    </row>
    <row r="215" spans="5:10" x14ac:dyDescent="0.25">
      <c r="E215" s="170">
        <f t="shared" si="935"/>
        <v>-0.88607960885339332</v>
      </c>
      <c r="F215" s="170">
        <f t="shared" si="935"/>
        <v>0.45041259586035159</v>
      </c>
      <c r="G215" s="170">
        <f t="shared" si="935"/>
        <v>-0.10950534354339567</v>
      </c>
      <c r="H215" s="139"/>
      <c r="I215" s="86"/>
      <c r="J215" s="79">
        <f t="shared" si="930"/>
        <v>4.2480000000000002</v>
      </c>
    </row>
    <row r="216" spans="5:10" x14ac:dyDescent="0.25">
      <c r="E216" s="170">
        <f t="shared" si="935"/>
        <v>-0.83484537232012013</v>
      </c>
      <c r="F216" s="170">
        <f t="shared" si="935"/>
        <v>0.54945387655765332</v>
      </c>
      <c r="G216" s="170">
        <f t="shared" si="935"/>
        <v>-3.3669598326196259E-2</v>
      </c>
      <c r="H216" s="139"/>
      <c r="I216" s="86"/>
      <c r="J216" s="79">
        <f t="shared" si="930"/>
        <v>4.2549999999999999</v>
      </c>
    </row>
    <row r="217" spans="5:10" x14ac:dyDescent="0.25">
      <c r="E217" s="170">
        <f t="shared" si="935"/>
        <v>4.7300507468483024E-3</v>
      </c>
      <c r="F217" s="170">
        <f t="shared" si="935"/>
        <v>0.99998881324736877</v>
      </c>
      <c r="G217" s="170">
        <f t="shared" si="935"/>
        <v>-2.2679489680849475E-7</v>
      </c>
      <c r="H217" s="139"/>
      <c r="I217" s="86"/>
      <c r="J217" s="79">
        <f t="shared" si="930"/>
        <v>4.2619999999999996</v>
      </c>
    </row>
    <row r="218" spans="5:10" x14ac:dyDescent="0.25">
      <c r="E218" s="170">
        <f t="shared" si="935"/>
        <v>-0.7994549620209217</v>
      </c>
      <c r="F218" s="170">
        <f t="shared" si="935"/>
        <v>0.52583748981611222</v>
      </c>
      <c r="G218" s="170">
        <f t="shared" si="935"/>
        <v>-0.29045946017304541</v>
      </c>
      <c r="H218" s="139"/>
      <c r="I218" s="86"/>
      <c r="J218" s="79">
        <f t="shared" si="930"/>
        <v>5.1020000000000003</v>
      </c>
    </row>
    <row r="219" spans="5:10" x14ac:dyDescent="0.25">
      <c r="E219" s="170">
        <f t="shared" si="935"/>
        <v>-0.80240123924886197</v>
      </c>
      <c r="F219" s="170">
        <f t="shared" si="935"/>
        <v>0.54189691604529522</v>
      </c>
      <c r="G219" s="170">
        <f t="shared" si="935"/>
        <v>-0.24999996726497564</v>
      </c>
      <c r="H219" s="139"/>
      <c r="I219" s="86"/>
      <c r="J219" s="79">
        <f t="shared" ref="J219:J282" si="936">J74</f>
        <v>5.1050000000000004</v>
      </c>
    </row>
    <row r="220" spans="5:10" x14ac:dyDescent="0.25">
      <c r="E220" s="170">
        <f t="shared" si="935"/>
        <v>-0.80240123924886186</v>
      </c>
      <c r="F220" s="170">
        <f t="shared" si="935"/>
        <v>0.54189691604529544</v>
      </c>
      <c r="G220" s="170">
        <f t="shared" si="935"/>
        <v>-0.24999996726497567</v>
      </c>
      <c r="H220" s="139"/>
      <c r="I220" s="86"/>
      <c r="J220" s="79">
        <f t="shared" si="936"/>
        <v>5.1079999999999997</v>
      </c>
    </row>
    <row r="221" spans="5:10" x14ac:dyDescent="0.25">
      <c r="E221" s="170">
        <f t="shared" si="935"/>
        <v>-0.76740984195536843</v>
      </c>
      <c r="F221" s="170">
        <f t="shared" si="935"/>
        <v>0.58656404837653853</v>
      </c>
      <c r="G221" s="170">
        <f t="shared" si="935"/>
        <v>-0.25889138962538372</v>
      </c>
      <c r="H221" s="139"/>
      <c r="I221" s="86"/>
      <c r="J221" s="79">
        <f t="shared" si="936"/>
        <v>5.1120000000000001</v>
      </c>
    </row>
    <row r="222" spans="5:10" x14ac:dyDescent="0.25">
      <c r="E222" s="170">
        <f t="shared" si="935"/>
        <v>-0.70792708238088453</v>
      </c>
      <c r="F222" s="170">
        <f t="shared" si="935"/>
        <v>0.66131779172742589</v>
      </c>
      <c r="G222" s="170">
        <f t="shared" si="935"/>
        <v>-0.24798795207922808</v>
      </c>
      <c r="H222" s="139"/>
      <c r="I222" s="86"/>
      <c r="J222" s="79">
        <f t="shared" si="936"/>
        <v>5.1189999999999998</v>
      </c>
    </row>
    <row r="223" spans="5:10" x14ac:dyDescent="0.25">
      <c r="E223" s="170">
        <f t="shared" si="935"/>
        <v>-0.65282502015970778</v>
      </c>
      <c r="F223" s="170">
        <f t="shared" si="935"/>
        <v>0.72725233468210437</v>
      </c>
      <c r="G223" s="170">
        <f t="shared" si="935"/>
        <v>-0.21195172741194085</v>
      </c>
      <c r="H223" s="139"/>
      <c r="I223" s="86"/>
      <c r="J223" s="79">
        <f t="shared" si="936"/>
        <v>5.1260000000000003</v>
      </c>
    </row>
    <row r="224" spans="5:10" x14ac:dyDescent="0.25">
      <c r="E224" s="170">
        <f t="shared" si="935"/>
        <v>-0.60573901174277989</v>
      </c>
      <c r="F224" s="170">
        <f t="shared" si="935"/>
        <v>0.78000816860363853</v>
      </c>
      <c r="G224" s="170">
        <f t="shared" si="935"/>
        <v>-0.15705892704484664</v>
      </c>
      <c r="H224" s="139"/>
      <c r="I224" s="86"/>
      <c r="J224" s="79">
        <f t="shared" si="936"/>
        <v>5.133</v>
      </c>
    </row>
    <row r="225" spans="5:10" x14ac:dyDescent="0.25">
      <c r="E225" s="170">
        <f t="shared" si="935"/>
        <v>-0.56789473804455748</v>
      </c>
      <c r="F225" s="170">
        <f t="shared" si="935"/>
        <v>0.81680233678193859</v>
      </c>
      <c r="G225" s="170">
        <f t="shared" si="935"/>
        <v>-0.10163419271518837</v>
      </c>
      <c r="H225" s="139"/>
      <c r="I225" s="86"/>
      <c r="J225" s="79">
        <f t="shared" si="936"/>
        <v>5.14</v>
      </c>
    </row>
    <row r="226" spans="5:10" x14ac:dyDescent="0.25">
      <c r="E226" s="170">
        <f t="shared" si="935"/>
        <v>-0.52306181125623663</v>
      </c>
      <c r="F226" s="170">
        <f t="shared" si="935"/>
        <v>0.85117609103444347</v>
      </c>
      <c r="G226" s="170">
        <f t="shared" si="935"/>
        <v>-4.3653220461609209E-2</v>
      </c>
      <c r="H226" s="139"/>
      <c r="I226" s="86"/>
      <c r="J226" s="79">
        <f t="shared" si="936"/>
        <v>5.1470000000000002</v>
      </c>
    </row>
    <row r="227" spans="5:10" x14ac:dyDescent="0.25">
      <c r="E227" s="170">
        <f t="shared" si="935"/>
        <v>-0.33092337648227044</v>
      </c>
      <c r="F227" s="170">
        <f t="shared" si="935"/>
        <v>0.94354220233690467</v>
      </c>
      <c r="G227" s="170">
        <f t="shared" si="935"/>
        <v>-1.4759109281972729E-2</v>
      </c>
      <c r="H227" s="139"/>
      <c r="I227" s="86"/>
      <c r="J227" s="79">
        <f t="shared" si="936"/>
        <v>5.1539999999999999</v>
      </c>
    </row>
    <row r="228" spans="5:10" x14ac:dyDescent="0.25">
      <c r="E228" s="170">
        <f t="shared" si="935"/>
        <v>-0.16258524860250734</v>
      </c>
      <c r="F228" s="170">
        <f t="shared" si="935"/>
        <v>0.98669450030738481</v>
      </c>
      <c r="G228" s="170">
        <f t="shared" si="935"/>
        <v>-1.4578093217284673E-7</v>
      </c>
      <c r="H228" s="139"/>
      <c r="I228" s="86"/>
      <c r="J228" s="79">
        <f t="shared" si="936"/>
        <v>5.1609999999999996</v>
      </c>
    </row>
    <row r="229" spans="5:10" x14ac:dyDescent="0.25">
      <c r="E229" s="170">
        <f t="shared" si="935"/>
        <v>2.7041167945222187E-18</v>
      </c>
      <c r="F229" s="170">
        <f t="shared" si="935"/>
        <v>2.9300791360522398E-17</v>
      </c>
      <c r="G229" s="170">
        <f t="shared" si="935"/>
        <v>-1</v>
      </c>
      <c r="H229" s="139"/>
      <c r="I229" s="86"/>
      <c r="J229" s="79">
        <f t="shared" si="936"/>
        <v>5.2119999999999997</v>
      </c>
    </row>
    <row r="230" spans="5:10" x14ac:dyDescent="0.25">
      <c r="E230" s="170">
        <f t="shared" si="935"/>
        <v>0.13515286535355819</v>
      </c>
      <c r="F230" s="170">
        <f t="shared" si="935"/>
        <v>9.1086202771824942E-2</v>
      </c>
      <c r="G230" s="170">
        <f t="shared" si="935"/>
        <v>-0.98662911301630118</v>
      </c>
      <c r="H230" s="139"/>
      <c r="I230" s="86"/>
      <c r="J230" s="79">
        <f t="shared" si="936"/>
        <v>5.2190000000000003</v>
      </c>
    </row>
    <row r="231" spans="5:10" x14ac:dyDescent="0.25">
      <c r="E231" s="170">
        <f t="shared" si="935"/>
        <v>-0.3520905615505468</v>
      </c>
      <c r="F231" s="170">
        <f t="shared" si="935"/>
        <v>0.86274194235696744</v>
      </c>
      <c r="G231" s="170">
        <f t="shared" si="935"/>
        <v>-0.36291676368714043</v>
      </c>
      <c r="H231" s="139"/>
      <c r="I231" s="86"/>
      <c r="J231" s="79">
        <f t="shared" si="936"/>
        <v>5.226</v>
      </c>
    </row>
    <row r="232" spans="5:10" x14ac:dyDescent="0.25">
      <c r="E232" s="170">
        <f t="shared" si="935"/>
        <v>-0.29430539028222547</v>
      </c>
      <c r="F232" s="170">
        <f t="shared" si="935"/>
        <v>0.91076079045917746</v>
      </c>
      <c r="G232" s="170">
        <f t="shared" si="935"/>
        <v>-0.28965344778372859</v>
      </c>
      <c r="H232" s="139"/>
      <c r="I232" s="86"/>
      <c r="J232" s="79">
        <f t="shared" si="936"/>
        <v>5.2329999999999997</v>
      </c>
    </row>
    <row r="233" spans="5:10" x14ac:dyDescent="0.25">
      <c r="E233" s="170">
        <f t="shared" si="935"/>
        <v>-0.23530751886180312</v>
      </c>
      <c r="F233" s="170">
        <f t="shared" si="935"/>
        <v>0.94932936142698732</v>
      </c>
      <c r="G233" s="170">
        <f t="shared" si="935"/>
        <v>-0.20833659088055223</v>
      </c>
      <c r="H233" s="139"/>
      <c r="I233" s="86"/>
      <c r="J233" s="79">
        <f t="shared" si="936"/>
        <v>5.24</v>
      </c>
    </row>
    <row r="234" spans="5:10" x14ac:dyDescent="0.25">
      <c r="E234" s="170">
        <f t="shared" ref="E234:G253" si="937">E89*-1</f>
        <v>-0.17516410018005701</v>
      </c>
      <c r="F234" s="170">
        <f t="shared" si="937"/>
        <v>0.97734776931003542</v>
      </c>
      <c r="G234" s="170">
        <f t="shared" si="937"/>
        <v>-0.11878078898883</v>
      </c>
      <c r="H234" s="139"/>
      <c r="I234" s="86"/>
      <c r="J234" s="79">
        <f t="shared" si="936"/>
        <v>5.2469999999999999</v>
      </c>
    </row>
    <row r="235" spans="5:10" x14ac:dyDescent="0.25">
      <c r="E235" s="170">
        <f t="shared" si="937"/>
        <v>-4.6192409888498397E-2</v>
      </c>
      <c r="F235" s="170">
        <f t="shared" si="937"/>
        <v>0.99836497305206251</v>
      </c>
      <c r="G235" s="170">
        <f t="shared" si="937"/>
        <v>-3.3669598326196801E-2</v>
      </c>
      <c r="H235" s="139"/>
      <c r="I235" s="86"/>
      <c r="J235" s="79">
        <f t="shared" si="936"/>
        <v>5.2539999999999996</v>
      </c>
    </row>
    <row r="236" spans="5:10" x14ac:dyDescent="0.25">
      <c r="E236" s="170">
        <f t="shared" si="937"/>
        <v>0.81178811871114354</v>
      </c>
      <c r="F236" s="170">
        <f t="shared" si="937"/>
        <v>0.58395209591144603</v>
      </c>
      <c r="G236" s="170">
        <f t="shared" si="937"/>
        <v>-2.267948968082237E-7</v>
      </c>
      <c r="H236" s="139"/>
      <c r="I236" s="86"/>
      <c r="J236" s="79">
        <f t="shared" si="936"/>
        <v>5.2610000000000001</v>
      </c>
    </row>
    <row r="237" spans="5:10" x14ac:dyDescent="0.25">
      <c r="E237" s="170">
        <f t="shared" si="937"/>
        <v>-2.8261429226159429E-2</v>
      </c>
      <c r="F237" s="170">
        <f t="shared" si="937"/>
        <v>0.9675138470294895</v>
      </c>
      <c r="G237" s="170">
        <f t="shared" si="937"/>
        <v>-0.25123345204071124</v>
      </c>
      <c r="H237" s="139"/>
      <c r="I237" s="86"/>
      <c r="J237" s="79">
        <f t="shared" si="936"/>
        <v>6.1180000000000003</v>
      </c>
    </row>
    <row r="238" spans="5:10" x14ac:dyDescent="0.25">
      <c r="E238" s="170">
        <f t="shared" si="937"/>
        <v>5.8036061263859469E-2</v>
      </c>
      <c r="F238" s="170">
        <f t="shared" si="937"/>
        <v>0.97413270052498857</v>
      </c>
      <c r="G238" s="170">
        <f t="shared" si="937"/>
        <v>-0.2183971093235226</v>
      </c>
      <c r="H238" s="139"/>
      <c r="I238" s="86"/>
      <c r="J238" s="79">
        <f t="shared" si="936"/>
        <v>6.125</v>
      </c>
    </row>
    <row r="239" spans="5:10" x14ac:dyDescent="0.25">
      <c r="E239" s="170">
        <f t="shared" si="937"/>
        <v>0.13147678920390343</v>
      </c>
      <c r="F239" s="170">
        <f t="shared" si="937"/>
        <v>0.97735566933113827</v>
      </c>
      <c r="G239" s="170">
        <f t="shared" si="937"/>
        <v>-0.16580033029796776</v>
      </c>
      <c r="H239" s="139"/>
      <c r="I239" s="86"/>
      <c r="J239" s="79">
        <f t="shared" si="936"/>
        <v>6.1319999999999997</v>
      </c>
    </row>
    <row r="240" spans="5:10" x14ac:dyDescent="0.25">
      <c r="E240" s="170">
        <f t="shared" si="937"/>
        <v>0.19510118860230213</v>
      </c>
      <c r="F240" s="170">
        <f t="shared" si="937"/>
        <v>0.9743747203491635</v>
      </c>
      <c r="G240" s="170">
        <f t="shared" si="937"/>
        <v>-0.11193493891747233</v>
      </c>
      <c r="H240" s="139"/>
      <c r="I240" s="86"/>
      <c r="J240" s="79">
        <f t="shared" si="936"/>
        <v>6.1390000000000002</v>
      </c>
    </row>
    <row r="241" spans="5:10" x14ac:dyDescent="0.25">
      <c r="E241" s="170">
        <f t="shared" si="937"/>
        <v>0.24626304286967413</v>
      </c>
      <c r="F241" s="170">
        <f t="shared" si="937"/>
        <v>0.96763316582956937</v>
      </c>
      <c r="G241" s="170">
        <f t="shared" si="937"/>
        <v>-5.514136472027447E-2</v>
      </c>
      <c r="H241" s="139"/>
      <c r="I241" s="86"/>
      <c r="J241" s="79">
        <f t="shared" si="936"/>
        <v>6.1459999999999999</v>
      </c>
    </row>
    <row r="242" spans="5:10" x14ac:dyDescent="0.25">
      <c r="E242" s="170">
        <f t="shared" si="937"/>
        <v>0.44807642606177428</v>
      </c>
      <c r="F242" s="170">
        <f t="shared" si="937"/>
        <v>0.89344081485334648</v>
      </c>
      <c r="G242" s="170">
        <f t="shared" si="937"/>
        <v>-3.1480577534339929E-2</v>
      </c>
      <c r="H242" s="139"/>
      <c r="I242" s="86"/>
      <c r="J242" s="79">
        <f t="shared" si="936"/>
        <v>6.1529999999999996</v>
      </c>
    </row>
    <row r="243" spans="5:10" x14ac:dyDescent="0.25">
      <c r="E243" s="170">
        <f t="shared" si="937"/>
        <v>0.59682732263892047</v>
      </c>
      <c r="F243" s="170">
        <f t="shared" si="937"/>
        <v>0.80236970714978817</v>
      </c>
      <c r="G243" s="170">
        <f t="shared" si="937"/>
        <v>-1.4578093171151555E-7</v>
      </c>
      <c r="H243" s="139"/>
      <c r="I243" s="86"/>
      <c r="J243" s="79">
        <f t="shared" si="936"/>
        <v>6.16</v>
      </c>
    </row>
    <row r="244" spans="5:10" x14ac:dyDescent="0.25">
      <c r="E244" s="170">
        <f t="shared" si="937"/>
        <v>0.36470793482310937</v>
      </c>
      <c r="F244" s="170">
        <f t="shared" si="937"/>
        <v>0.85386292227627836</v>
      </c>
      <c r="G244" s="170">
        <f t="shared" si="937"/>
        <v>-0.37135728381018318</v>
      </c>
      <c r="H244" s="139"/>
      <c r="I244" s="86"/>
      <c r="J244" s="79">
        <f t="shared" si="936"/>
        <v>6.2249999999999996</v>
      </c>
    </row>
    <row r="245" spans="5:10" x14ac:dyDescent="0.25">
      <c r="E245" s="170">
        <f t="shared" si="937"/>
        <v>0.44081077029961302</v>
      </c>
      <c r="F245" s="170">
        <f t="shared" si="937"/>
        <v>0.84545846025491422</v>
      </c>
      <c r="G245" s="170">
        <f t="shared" si="937"/>
        <v>-0.30147281265688186</v>
      </c>
      <c r="H245" s="139"/>
      <c r="I245" s="86"/>
      <c r="J245" s="79">
        <f t="shared" si="936"/>
        <v>6.2320000000000002</v>
      </c>
    </row>
    <row r="246" spans="5:10" x14ac:dyDescent="0.25">
      <c r="E246" s="170">
        <f t="shared" si="937"/>
        <v>0.51211150442214337</v>
      </c>
      <c r="F246" s="170">
        <f t="shared" si="937"/>
        <v>0.82958029223506946</v>
      </c>
      <c r="G246" s="170">
        <f t="shared" si="937"/>
        <v>-0.22257211364783791</v>
      </c>
      <c r="H246" s="139"/>
      <c r="I246" s="86"/>
      <c r="J246" s="79">
        <f t="shared" si="936"/>
        <v>6.2389999999999999</v>
      </c>
    </row>
    <row r="247" spans="5:10" x14ac:dyDescent="0.25">
      <c r="E247" s="170">
        <f t="shared" si="937"/>
        <v>0.57713067301157595</v>
      </c>
      <c r="F247" s="170">
        <f t="shared" si="937"/>
        <v>0.80544137640166258</v>
      </c>
      <c r="G247" s="170">
        <f t="shared" si="937"/>
        <v>-0.13484945476122978</v>
      </c>
      <c r="H247" s="139"/>
      <c r="I247" s="86"/>
      <c r="J247" s="79">
        <f t="shared" si="936"/>
        <v>6.2460000000000004</v>
      </c>
    </row>
    <row r="248" spans="5:10" x14ac:dyDescent="0.25">
      <c r="E248" s="170">
        <f t="shared" si="937"/>
        <v>0.68467533174576456</v>
      </c>
      <c r="F248" s="170">
        <f t="shared" si="937"/>
        <v>0.72694158279594923</v>
      </c>
      <c r="G248" s="170">
        <f t="shared" si="937"/>
        <v>-5.2684203523896647E-2</v>
      </c>
      <c r="H248" s="139"/>
      <c r="I248" s="86"/>
      <c r="J248" s="79">
        <f t="shared" si="936"/>
        <v>6.2530000000000001</v>
      </c>
    </row>
    <row r="249" spans="5:10" x14ac:dyDescent="0.25">
      <c r="E249" s="170">
        <f t="shared" si="937"/>
        <v>0.98397541645069642</v>
      </c>
      <c r="F249" s="170">
        <f t="shared" si="937"/>
        <v>-0.17830417779913954</v>
      </c>
      <c r="G249" s="170">
        <f t="shared" si="937"/>
        <v>-2.2679489684478482E-7</v>
      </c>
      <c r="H249" s="139"/>
      <c r="I249" s="86"/>
      <c r="J249" s="79">
        <f t="shared" si="936"/>
        <v>6.26</v>
      </c>
    </row>
    <row r="250" spans="5:10" x14ac:dyDescent="0.25">
      <c r="E250" s="170">
        <f t="shared" si="937"/>
        <v>0.64017856296491726</v>
      </c>
      <c r="F250" s="170">
        <f t="shared" si="937"/>
        <v>0.72457967901449671</v>
      </c>
      <c r="G250" s="170">
        <f t="shared" si="937"/>
        <v>-0.25525613857343837</v>
      </c>
      <c r="H250" s="139"/>
      <c r="I250" s="86"/>
      <c r="J250" s="79">
        <f t="shared" si="936"/>
        <v>7.1109999999999998</v>
      </c>
    </row>
    <row r="251" spans="5:10" x14ac:dyDescent="0.25">
      <c r="E251" s="170">
        <f t="shared" si="937"/>
        <v>0.71415482904029282</v>
      </c>
      <c r="F251" s="170">
        <f t="shared" si="937"/>
        <v>0.6523025613787532</v>
      </c>
      <c r="G251" s="170">
        <f t="shared" si="937"/>
        <v>-0.2539374895070598</v>
      </c>
      <c r="H251" s="139"/>
      <c r="I251" s="86"/>
      <c r="J251" s="79">
        <f t="shared" si="936"/>
        <v>7.117</v>
      </c>
    </row>
    <row r="252" spans="5:10" x14ac:dyDescent="0.25">
      <c r="E252" s="170">
        <f t="shared" si="937"/>
        <v>0.77527940017831154</v>
      </c>
      <c r="F252" s="170">
        <f t="shared" si="937"/>
        <v>0.59038799889056237</v>
      </c>
      <c r="G252" s="170">
        <f t="shared" si="937"/>
        <v>-0.22446349909318225</v>
      </c>
      <c r="H252" s="139"/>
      <c r="I252" s="86"/>
      <c r="J252" s="79">
        <f t="shared" si="936"/>
        <v>7.1239999999999997</v>
      </c>
    </row>
    <row r="253" spans="5:10" x14ac:dyDescent="0.25">
      <c r="E253" s="170">
        <f t="shared" si="937"/>
        <v>0.82704713635304894</v>
      </c>
      <c r="F253" s="170">
        <f t="shared" si="937"/>
        <v>0.53444288666753959</v>
      </c>
      <c r="G253" s="170">
        <f t="shared" si="937"/>
        <v>-0.17425221703234928</v>
      </c>
      <c r="H253" s="139"/>
      <c r="I253" s="86"/>
      <c r="J253" s="79">
        <f t="shared" si="936"/>
        <v>7.1310000000000002</v>
      </c>
    </row>
    <row r="254" spans="5:10" x14ac:dyDescent="0.25">
      <c r="E254" s="170">
        <f t="shared" ref="E254:G273" si="938">E109*-1</f>
        <v>0.86728802728875465</v>
      </c>
      <c r="F254" s="170">
        <f t="shared" si="938"/>
        <v>0.48258529304774089</v>
      </c>
      <c r="G254" s="170">
        <f t="shared" si="938"/>
        <v>-0.12215937399809493</v>
      </c>
      <c r="H254" s="139"/>
      <c r="I254" s="86"/>
      <c r="J254" s="79">
        <f t="shared" si="936"/>
        <v>7.1379999999999999</v>
      </c>
    </row>
    <row r="255" spans="5:10" x14ac:dyDescent="0.25">
      <c r="E255" s="170">
        <f t="shared" si="938"/>
        <v>0.89898471005424863</v>
      </c>
      <c r="F255" s="170">
        <f t="shared" si="938"/>
        <v>0.43288833571256735</v>
      </c>
      <c r="G255" s="170">
        <f t="shared" si="938"/>
        <v>-6.6589638027866202E-2</v>
      </c>
      <c r="H255" s="139"/>
      <c r="I255" s="86"/>
      <c r="J255" s="79">
        <f t="shared" si="936"/>
        <v>7.1449999999999996</v>
      </c>
    </row>
    <row r="256" spans="5:10" x14ac:dyDescent="0.25">
      <c r="E256" s="170">
        <f t="shared" si="938"/>
        <v>0.94972982121257388</v>
      </c>
      <c r="F256" s="170">
        <f t="shared" si="938"/>
        <v>0.31217449802346048</v>
      </c>
      <c r="G256" s="170">
        <f t="shared" si="938"/>
        <v>-2.3671702163829727E-2</v>
      </c>
      <c r="H256" s="139"/>
      <c r="I256" s="86"/>
      <c r="J256" s="79">
        <f t="shared" si="936"/>
        <v>7.1520000000000001</v>
      </c>
    </row>
    <row r="257" spans="5:10" x14ac:dyDescent="0.25">
      <c r="E257" s="170">
        <f t="shared" si="938"/>
        <v>0.99828405622575511</v>
      </c>
      <c r="F257" s="170">
        <f t="shared" si="938"/>
        <v>5.8557177915539674E-2</v>
      </c>
      <c r="G257" s="170">
        <f t="shared" si="938"/>
        <v>-1.4578093313693044E-7</v>
      </c>
      <c r="H257" s="139"/>
      <c r="I257" s="86"/>
      <c r="J257" s="79">
        <f t="shared" si="936"/>
        <v>7.1589999999999998</v>
      </c>
    </row>
    <row r="258" spans="5:10" x14ac:dyDescent="0.25">
      <c r="E258" s="170">
        <f t="shared" si="938"/>
        <v>0.88220534278545115</v>
      </c>
      <c r="F258" s="170">
        <f t="shared" si="938"/>
        <v>0.27905492500285473</v>
      </c>
      <c r="G258" s="170">
        <f t="shared" si="938"/>
        <v>-0.37926518689757949</v>
      </c>
      <c r="H258" s="139"/>
      <c r="I258" s="86"/>
      <c r="J258" s="79">
        <f t="shared" si="936"/>
        <v>7.2240000000000002</v>
      </c>
    </row>
    <row r="259" spans="5:10" x14ac:dyDescent="0.25">
      <c r="E259" s="170">
        <f t="shared" si="938"/>
        <v>0.92531601744342884</v>
      </c>
      <c r="F259" s="170">
        <f t="shared" si="938"/>
        <v>0.21428777451579464</v>
      </c>
      <c r="G259" s="170">
        <f t="shared" si="938"/>
        <v>-0.31284343936816089</v>
      </c>
      <c r="H259" s="139"/>
      <c r="I259" s="86"/>
      <c r="J259" s="79">
        <f t="shared" si="936"/>
        <v>7.2309999999999999</v>
      </c>
    </row>
    <row r="260" spans="5:10" x14ac:dyDescent="0.25">
      <c r="E260" s="170">
        <f t="shared" si="938"/>
        <v>0.9603339955884771</v>
      </c>
      <c r="F260" s="170">
        <f t="shared" si="938"/>
        <v>0.14751990402085483</v>
      </c>
      <c r="G260" s="170">
        <f t="shared" si="938"/>
        <v>-0.23663578519477732</v>
      </c>
      <c r="H260" s="139"/>
      <c r="I260" s="86"/>
      <c r="J260" s="79">
        <f t="shared" si="936"/>
        <v>7.2380000000000004</v>
      </c>
    </row>
    <row r="261" spans="5:10" x14ac:dyDescent="0.25">
      <c r="E261" s="170">
        <f t="shared" si="938"/>
        <v>0.98535349098791425</v>
      </c>
      <c r="F261" s="170">
        <f t="shared" si="938"/>
        <v>7.9665740112567426E-2</v>
      </c>
      <c r="G261" s="170">
        <f t="shared" si="938"/>
        <v>-0.15077091115413324</v>
      </c>
      <c r="H261" s="139"/>
      <c r="I261" s="86"/>
      <c r="J261" s="79">
        <f t="shared" si="936"/>
        <v>7.2450000000000001</v>
      </c>
    </row>
    <row r="262" spans="5:10" x14ac:dyDescent="0.25">
      <c r="E262" s="170">
        <f t="shared" si="938"/>
        <v>0.9958689291128402</v>
      </c>
      <c r="F262" s="170">
        <f t="shared" si="938"/>
        <v>-5.5509106811947352E-2</v>
      </c>
      <c r="G262" s="170">
        <f t="shared" si="938"/>
        <v>-7.1859690290070333E-2</v>
      </c>
      <c r="H262" s="139"/>
      <c r="I262" s="86"/>
      <c r="J262" s="79">
        <f t="shared" si="936"/>
        <v>7.2519999999999998</v>
      </c>
    </row>
    <row r="263" spans="5:10" x14ac:dyDescent="0.25">
      <c r="E263" s="170">
        <f t="shared" si="938"/>
        <v>0.49589839075622277</v>
      </c>
      <c r="F263" s="170">
        <f t="shared" si="938"/>
        <v>-0.86838055370058653</v>
      </c>
      <c r="G263" s="170">
        <f t="shared" si="938"/>
        <v>-2.2679489697012661E-7</v>
      </c>
      <c r="H263" s="139"/>
      <c r="I263" s="86"/>
      <c r="J263" s="79">
        <f t="shared" si="936"/>
        <v>7.2590000000000003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A7F0AABE-249A-483F-935F-6A40063652D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FC558873-80A1-475C-AAED-AABEEAFBC51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1.137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1.1439999999999999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1.1579999999999999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1.212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1.2190000000000001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1.2230000000000001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1.23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1.244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1.2509999999999999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1.258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2.1219999999999999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2.1360000000000001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2.1429999999999998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2.15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2.222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2.2290000000000001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2.2360000000000002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2.2429999999999999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2.25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2.2570000000000001</v>
      </c>
      <c r="N195" s="869" t="str">
        <f>Assy.Model!K40</f>
        <v>CPS-32193r1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3.1030000000000002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3.1059999999999999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3.109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3.1139999999999999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3.121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3.1280000000000001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3.1349999999999998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3.1419999999999999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3.149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3.1560000000000001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3.2090000000000001</v>
      </c>
      <c r="N206" s="869" t="str">
        <f>Assy.Model!K51</f>
        <v>CPS-32193r1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3.214</v>
      </c>
      <c r="N207" s="869" t="str">
        <f>Assy.Model!K52</f>
        <v>CPS-32193r1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3.2210000000000001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3.2280000000000002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3.2349999999999999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3.242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3.2490000000000001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3.2559999999999998</v>
      </c>
      <c r="N213" s="869" t="str">
        <f>Assy.Model!K58</f>
        <v>CPS-32193r1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4.1130000000000004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4.12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4.1269999999999998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4.1340000000000003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4.141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4.1479999999999997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4.1550000000000002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4.1619999999999999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4.2270000000000003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4.234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4.2409999999999997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4.2480000000000002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4.2549999999999999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4.2619999999999996</v>
      </c>
      <c r="N227" s="869" t="str">
        <f>Assy.Model!K72</f>
        <v>CPS-32193r1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5.1020000000000003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5.1050000000000004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5.1079999999999997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5.1120000000000001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5.1189999999999998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5.1260000000000003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5.133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5.14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5.1470000000000002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5.1539999999999999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5.1609999999999996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5.2119999999999997</v>
      </c>
      <c r="N239" s="869" t="str">
        <f>Assy.Model!K84</f>
        <v>CPS-32193r1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5.2190000000000003</v>
      </c>
      <c r="N240" s="869" t="str">
        <f>Assy.Model!K85</f>
        <v>CPS-32193r1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5.226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5.2329999999999997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5.24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5.2469999999999999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5.2539999999999996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5.2610000000000001</v>
      </c>
      <c r="N246" s="869" t="str">
        <f>Assy.Model!K91</f>
        <v>CPS-32193r1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6.1180000000000003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6.125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6.1319999999999997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6.1390000000000002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6.1459999999999999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6.1529999999999996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6.16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6.2249999999999996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6.2320000000000002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6.2389999999999999</v>
      </c>
      <c r="N256" s="869">
        <f>Assy.Model!K101</f>
        <v>1313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6.2460000000000004</v>
      </c>
      <c r="N257" s="869">
        <f>Assy.Model!K102</f>
        <v>1313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6.2530000000000001</v>
      </c>
      <c r="N258" s="869">
        <f>Assy.Model!K103</f>
        <v>1313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6.26</v>
      </c>
      <c r="N259" s="869" t="str">
        <f>Assy.Model!K104</f>
        <v>CPS-32193r1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7.1109999999999998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7.117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7.1239999999999997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7.1310000000000002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7.1379999999999999</v>
      </c>
      <c r="N264" s="869">
        <f>Assy.Model!K109</f>
        <v>1613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7.1449999999999996</v>
      </c>
      <c r="N265" s="869">
        <f>Assy.Model!K110</f>
        <v>1613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7.1520000000000001</v>
      </c>
      <c r="N266" s="869">
        <f>Assy.Model!K111</f>
        <v>1613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7.1589999999999998</v>
      </c>
      <c r="N267" s="869">
        <f>Assy.Model!K112</f>
        <v>1613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7.2240000000000002</v>
      </c>
      <c r="N268" s="869">
        <f>Assy.Model!K113</f>
        <v>1313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7.2309999999999999</v>
      </c>
      <c r="N269" s="869">
        <f>Assy.Model!K114</f>
        <v>1313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7.2380000000000004</v>
      </c>
      <c r="N270" s="869">
        <f>Assy.Model!K115</f>
        <v>1313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7.2450000000000001</v>
      </c>
      <c r="N271" s="869">
        <f>Assy.Model!K116</f>
        <v>1313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7.2519999999999998</v>
      </c>
      <c r="N272" s="869">
        <f>Assy.Model!K117</f>
        <v>1313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7.2590000000000003</v>
      </c>
      <c r="N273" s="869" t="str">
        <f>Assy.Model!K118</f>
        <v>CPS-32193r1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2023-03-28T18:43:42Z</dcterms:modified>
</cp:coreProperties>
</file>