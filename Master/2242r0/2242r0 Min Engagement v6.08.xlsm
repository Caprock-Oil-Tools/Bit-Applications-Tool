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2\"/>
    </mc:Choice>
  </mc:AlternateContent>
  <xr:revisionPtr revIDLastSave="0" documentId="13_ncr:1_{9FA2C90F-EA2C-4CB7-8B62-4538E6AA43D5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86" i="1" l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31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0" i="1" l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89" i="1" l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<sst xmlns="http://schemas.openxmlformats.org/spreadsheetml/2006/main" count="742" uniqueCount="394">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</sst>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4.75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2.375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4.75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26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1.113's θ about Z Axis</v>
      </c>
      <c r="U5" s="1023"/>
      <c r="V5" s="1074"/>
      <c r="W5" s="1023" t="str">
        <f>CONCATENATE("Relative to ",M8,"'s θ about Z Axis")</f>
        <v>Relative to 1.113's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1.113's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88.52510021294917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-0.37230112286018668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0.24810074827185677</v>
      </c>
      <c r="D9" s="704">
        <v>-0.20010060350342018</v>
      </c>
      <c r="E9" s="705">
        <v>-0.9659258360722075</v>
      </c>
      <c r="F9" s="703">
        <v>-6.6987279208207198E-2</v>
      </c>
      <c r="G9" s="706">
        <v>0.24999996726497564</v>
      </c>
      <c r="H9" s="705">
        <v>0.219</v>
      </c>
      <c r="I9" s="703">
        <v>0.42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0.24810074827185677</v>
      </c>
      <c r="P9" s="625">
        <f t="shared" ref="P9:P40" si="4">IF(M9="","",D9)</f>
        <v>-0.20010060350342018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0.24810074827185677</v>
      </c>
      <c r="S9" s="626">
        <f>IF(M9="","",P9)</f>
        <v>-0.20010060350342018</v>
      </c>
      <c r="T9" s="627">
        <f>IF(M9="","",X9*COS(RADIANS(W9)))</f>
        <v>0.24801855167113382</v>
      </c>
      <c r="U9" s="624">
        <f>IF(M9="","",X9*SIN(RADIANS(W9)))</f>
        <v>6.3858687747531083E-3</v>
      </c>
      <c r="V9" s="628">
        <f>IF(M9="","",Y9)</f>
        <v>-0.20010060350342018</v>
      </c>
      <c r="W9" s="583">
        <f t="shared" ref="W9:W14" si="5">IF(M9="","",IF(Q9-$Q$8&lt;0,360+Q9-$Q$8,Q9-$Q$8))</f>
        <v>1.4748997870508305</v>
      </c>
      <c r="X9" s="629">
        <f>IF(M9="","",R9)</f>
        <v>0.24810074827185677</v>
      </c>
      <c r="Y9" s="630">
        <f>IF(M9="","",S9)</f>
        <v>-0.20010060350342018</v>
      </c>
      <c r="Z9" s="623">
        <f t="shared" ref="Z9:Z40" si="6">IF(M9="","",-E9)</f>
        <v>0.9659258360722075</v>
      </c>
      <c r="AA9" s="624">
        <f t="shared" ref="AA9:AA40" si="7">IF(M9="","",-F9)</f>
        <v>6.6987279208207198E-2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0.9659258360722075</v>
      </c>
      <c r="AE9" s="624">
        <f>IF(M9="","",AA9*(1/SQRT(Z9^2+AA9^2+AB9^2)))</f>
        <v>6.6987279208207198E-2</v>
      </c>
      <c r="AF9" s="625">
        <f>IF(M9="","",AB9*(1/SQRT(Z9^2+AA9^2+AB9^2)))</f>
        <v>-0.24999996726497564</v>
      </c>
      <c r="AG9" s="599">
        <f>IF(M9="","",DEGREES(ATAN2(-AF9,AE9)))</f>
        <v>14.999997834268267</v>
      </c>
      <c r="AH9" s="600">
        <f>IF(M9="","",DEGREES(ACOS(AD9)))</f>
        <v>14.99999783426823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0.9659258360722075</v>
      </c>
      <c r="AL9" s="624">
        <f>IF(M9="","",(SIN(RADIANS((90-$Q$8)-W9))*AD9)+(COS(RADIANS((90-$Q$8)-W9))*AE9))</f>
        <v>6.6987279208207198E-2</v>
      </c>
      <c r="AM9" s="626">
        <f>IF(M9="","",AF9)</f>
        <v>-0.24999996726497564</v>
      </c>
      <c r="AN9" s="581">
        <f>IF(M9="","",DEGREES(ATAN2(-AM9,AL9)))</f>
        <v>14.999997834268267</v>
      </c>
      <c r="AO9" s="582">
        <f>IF(ROUND(IF(M9="",0,DEGREES(ACOS(AK9))),4)=90,0,IF(M9="","",DEGREES(ACOS(AK9))))</f>
        <v>14.99999783426823</v>
      </c>
      <c r="AP9" s="781">
        <f>IF(M9="","",DEGREES(ATAN2(AK9,AL9)))</f>
        <v>3.9671296450865712</v>
      </c>
      <c r="AQ9" s="584">
        <f t="shared" ref="AQ9:AQ40" si="9">IF(M9="","",DEGREES(ATAN(($AS$5*SIN(RADIANS(90)))/(($X9*2*PI())-($AS$5*COS(RADIANS(90)))))))</f>
        <v>9.1111303503124219</v>
      </c>
      <c r="AS9" s="51">
        <f>IF(M9="","",W9)</f>
        <v>1.4748997870508305</v>
      </c>
      <c r="AT9" s="71">
        <f t="shared" ref="AT9:AT40" si="10">IF(M9="","",Y9+(((AS9-$AS$9)*$AS$6)*-1))</f>
        <v>-0.20010060350342018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1111</v>
      </c>
      <c r="JB9" s="786" cm="1">
        <f t="array" ref="JB9">IF($JA9="","",COUNT(IF(IF($II$9:$II$150="",$IJ$9:$IJ$150,"")=$JA9,$IG$9:$IG$150,"")))</f>
        <v>26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-2.304996744654222E-16</v>
      </c>
      <c r="C10" s="708">
        <v>0.78930238053597979</v>
      </c>
      <c r="D10" s="709">
        <v>-5.5100166182101194E-2</v>
      </c>
      <c r="E10" s="710">
        <v>-0.96592583607220739</v>
      </c>
      <c r="F10" s="708">
        <v>-6.6987279208207198E-2</v>
      </c>
      <c r="G10" s="711">
        <v>0.24999996726497564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1111</v>
      </c>
      <c r="M10" s="168">
        <f t="shared" si="1"/>
        <v>1.1040000000000001</v>
      </c>
      <c r="N10" s="632">
        <f t="shared" si="2"/>
        <v>-2.304996744654222E-16</v>
      </c>
      <c r="O10" s="629">
        <f t="shared" si="3"/>
        <v>0.78930238053597979</v>
      </c>
      <c r="P10" s="633">
        <f t="shared" si="4"/>
        <v>-5.5100166182101194E-2</v>
      </c>
      <c r="Q10" s="585">
        <f>IF(M10="","",IF(DEGREES(ATAN2(N10,O10))&lt;0,DEGREES(ATAN2(N10,O10))+360,IF(DEGREES(ATAN2(N10,O10))&gt;360,DEGREES(ATAN2(N10,O10))-360,DEGREES(ATAN2(N10,O10)))))</f>
        <v>90.000000000000014</v>
      </c>
      <c r="R10" s="629">
        <f t="shared" ref="R10:R105" si="79">IF(M10="","",SQRT(N10^2+O10^2))</f>
        <v>0.78930238053597979</v>
      </c>
      <c r="S10" s="634">
        <f t="shared" ref="S10:S105" si="80">IF(M10="","",P10)</f>
        <v>-5.5100166182101194E-2</v>
      </c>
      <c r="T10" s="635">
        <f t="shared" ref="T10:T105" si="81">IF(M10="","",X10*COS(RADIANS(W10)))</f>
        <v>0.78904088203960487</v>
      </c>
      <c r="U10" s="629">
        <f t="shared" ref="U10:U105" si="82">IF(M10="","",X10*SIN(RADIANS(W10)))</f>
        <v>2.0315865473247395E-2</v>
      </c>
      <c r="V10" s="636">
        <f>IF(M10="","",Y10)</f>
        <v>-5.5100166182101194E-2</v>
      </c>
      <c r="W10" s="585">
        <f t="shared" si="5"/>
        <v>1.4748997870508447</v>
      </c>
      <c r="X10" s="629">
        <f t="shared" ref="X10:X105" si="83">IF(M10="","",R10)</f>
        <v>0.78930238053597979</v>
      </c>
      <c r="Y10" s="630">
        <f>IF(M10="","",S10)</f>
        <v>-5.5100166182101194E-2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6.6987279208206962E-2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14.999997834268218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3.9671296450865574</v>
      </c>
      <c r="AQ10" s="586">
        <f t="shared" si="9"/>
        <v>2.8858376341006271</v>
      </c>
      <c r="AS10" s="52">
        <f>IF($M10="","",IF(AND($W10&lt;($AS$9+180),$W10&gt;($AS$9-180)),$W10,IF($W10&gt;($AS$9+180),$W10-360,IF($W10&lt;($AS$9-180),$W10+360,"Error"))))</f>
        <v>1.4748997870508447</v>
      </c>
      <c r="AT10" s="72">
        <f t="shared" si="10"/>
        <v>-5.5100166182101201E-2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3.4009850544182607E-3</v>
      </c>
      <c r="C11" s="708">
        <v>1.3712999184383239</v>
      </c>
      <c r="D11" s="709">
        <v>-5.850017643653229E-2</v>
      </c>
      <c r="E11" s="710">
        <v>-0.96504820737680774</v>
      </c>
      <c r="F11" s="708">
        <v>8.8488430829916392E-2</v>
      </c>
      <c r="G11" s="711">
        <v>0.24668148501269624</v>
      </c>
      <c r="H11" s="710">
        <v>0.219</v>
      </c>
      <c r="I11" s="708">
        <v>0.42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3.4009850544182607E-3</v>
      </c>
      <c r="O11" s="629">
        <f t="shared" si="3"/>
        <v>1.3712999184383239</v>
      </c>
      <c r="P11" s="633">
        <f t="shared" si="4"/>
        <v>-5.850017643653229E-2</v>
      </c>
      <c r="Q11" s="585">
        <f t="shared" ref="Q11:Q73" si="113">IF(M11="","",IF(DEGREES(ATAN2(N11,O11))&lt;0,DEGREES(ATAN2(N11,O11))+360,IF(DEGREES(ATAN2(N11,O11))&gt;360,DEGREES(ATAN2(N11,O11))-360,DEGREES(ATAN2(N11,O11)))))</f>
        <v>89.857900020516695</v>
      </c>
      <c r="R11" s="629">
        <f t="shared" si="79"/>
        <v>1.3713041358532738</v>
      </c>
      <c r="S11" s="634">
        <f t="shared" si="80"/>
        <v>-5.850017643653229E-2</v>
      </c>
      <c r="T11" s="635">
        <f t="shared" si="81"/>
        <v>1.3709331402313305</v>
      </c>
      <c r="U11" s="629">
        <f t="shared" si="82"/>
        <v>3.1896050284595266E-2</v>
      </c>
      <c r="V11" s="636">
        <f t="shared" ref="V11:V105" si="114">IF(M11="","",Y11)</f>
        <v>-5.850017643653229E-2</v>
      </c>
      <c r="W11" s="585">
        <f t="shared" si="5"/>
        <v>1.3327998075675254</v>
      </c>
      <c r="X11" s="629">
        <f>IF(M11="","",R11)</f>
        <v>1.3713041358532738</v>
      </c>
      <c r="Y11" s="630">
        <f>IF(M11="","",S11)</f>
        <v>-5.850017643653229E-2</v>
      </c>
      <c r="Z11" s="632">
        <f t="shared" si="6"/>
        <v>0.96504820737680774</v>
      </c>
      <c r="AA11" s="629">
        <f t="shared" si="7"/>
        <v>-8.8488430829916392E-2</v>
      </c>
      <c r="AB11" s="629">
        <f t="shared" si="8"/>
        <v>-0.24668148501269624</v>
      </c>
      <c r="AC11" s="636">
        <f t="shared" si="84"/>
        <v>1</v>
      </c>
      <c r="AD11" s="637">
        <f t="shared" ref="AD11:AD105" si="115">IF(M11="","",Z11*(1/SQRT(Z11^2+AA11^2+AB11^2)))</f>
        <v>0.96504820737680774</v>
      </c>
      <c r="AE11" s="629">
        <f t="shared" si="85"/>
        <v>-8.8488430829916392E-2</v>
      </c>
      <c r="AF11" s="633">
        <f t="shared" si="86"/>
        <v>-0.24668148501269624</v>
      </c>
      <c r="AG11" s="602">
        <f>IF(M11="","",DEGREES(ATAN2(-AF11,AE11)))</f>
        <v>-19.733688533526315</v>
      </c>
      <c r="AH11" s="603">
        <f t="shared" si="88"/>
        <v>15.193068286675851</v>
      </c>
      <c r="AI11" s="585">
        <f t="shared" si="89"/>
        <v>-75.718773934912164</v>
      </c>
      <c r="AJ11" s="586">
        <f t="shared" si="90"/>
        <v>84.761012085736567</v>
      </c>
      <c r="AK11" s="635">
        <f>IF(M11="","",(COS(RADIANS((90-$Q$8)-W11))*AD11)+(-SIN(RADIANS((90-$Q$8)-W11))*AE11))</f>
        <v>0.96526470043202595</v>
      </c>
      <c r="AL11" s="629">
        <f t="shared" si="91"/>
        <v>-8.6094733008484525E-2</v>
      </c>
      <c r="AM11" s="634">
        <f t="shared" si="92"/>
        <v>-0.24668148501269624</v>
      </c>
      <c r="AN11" s="581">
        <f>IF(M11="","",DEGREES(ATAN2(-AM11,AL11)))</f>
        <v>-19.239586648284284</v>
      </c>
      <c r="AO11" s="582">
        <f>IF(ROUND(IF(M11="",0,DEGREES(ACOS(AK11))),4)=90,0,IF(M11="","",DEGREES(ACOS(AK11))))</f>
        <v>15.145665117263421</v>
      </c>
      <c r="AP11" s="585">
        <f t="shared" si="95"/>
        <v>-5.0968879347801366</v>
      </c>
      <c r="AQ11" s="586">
        <f t="shared" si="9"/>
        <v>1.6619852150507544</v>
      </c>
      <c r="AS11" s="52">
        <f t="shared" ref="AS11:AS42" si="116">IF(G11="","",IF(AND(W11&lt;(AS10+180),W11&gt;(AS10-180)),W11,IF(W11&gt;(AS10+180),W11-360,IF(W11&lt;(AS10-180),W11+360,"Error"))))</f>
        <v>1.3327998075675254</v>
      </c>
      <c r="AT11" s="72">
        <f t="shared" si="10"/>
        <v>-5.8401495895224441E-2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4.838691942627317E-2</v>
      </c>
      <c r="C12" s="708">
        <v>1.879282850812432</v>
      </c>
      <c r="D12" s="709">
        <v>-0.37230112286018668</v>
      </c>
      <c r="E12" s="710">
        <v>-0.94962952492765007</v>
      </c>
      <c r="F12" s="708">
        <v>0.2799059826064827</v>
      </c>
      <c r="G12" s="711">
        <v>0.14091276126307814</v>
      </c>
      <c r="H12" s="710">
        <v>0.219</v>
      </c>
      <c r="I12" s="708">
        <v>0.42</v>
      </c>
      <c r="J12" s="570">
        <v>1.113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1111</v>
      </c>
      <c r="L12" s="773" t="s">
        <v>366</v>
      </c>
      <c r="M12" s="168">
        <f t="shared" si="1"/>
        <v>1.113</v>
      </c>
      <c r="N12" s="632">
        <f t="shared" si="2"/>
        <v>4.838691942627317E-2</v>
      </c>
      <c r="O12" s="629">
        <f t="shared" si="3"/>
        <v>1.879282850812432</v>
      </c>
      <c r="P12" s="633">
        <f t="shared" si="4"/>
        <v>-0.37230112286018668</v>
      </c>
      <c r="Q12" s="585">
        <f>IF(M12="","",IF(DEGREES(ATAN2(N12,O12))&lt;0,DEGREES(ATAN2(N12,O12))+360,IF(DEGREES(ATAN2(N12,O12))&gt;360,DEGREES(ATAN2(N12,O12))-360,DEGREES(ATAN2(N12,O12)))))</f>
        <v>88.52510021294917</v>
      </c>
      <c r="R12" s="629">
        <f t="shared" si="79"/>
        <v>1.8799056697954997</v>
      </c>
      <c r="S12" s="634">
        <f t="shared" si="80"/>
        <v>-0.37230112286018668</v>
      </c>
      <c r="T12" s="635">
        <f>IF(M12="","",X12*COS(RADIANS(W12)))</f>
        <v>1.8799056697954997</v>
      </c>
      <c r="U12" s="629">
        <f t="shared" si="82"/>
        <v>0</v>
      </c>
      <c r="V12" s="636">
        <f t="shared" si="114"/>
        <v>-0.37230112286018668</v>
      </c>
      <c r="W12" s="585">
        <f>IF(M12="","",IF(Q12-$Q$8&lt;0,360+Q12-$Q$8,Q12-$Q$8))</f>
        <v>0</v>
      </c>
      <c r="X12" s="629">
        <f t="shared" si="83"/>
        <v>1.8799056697954997</v>
      </c>
      <c r="Y12" s="630">
        <f>IF(M12="","",S12)</f>
        <v>-0.37230112286018668</v>
      </c>
      <c r="Z12" s="632">
        <f t="shared" si="6"/>
        <v>0.94962952492765007</v>
      </c>
      <c r="AA12" s="629">
        <f t="shared" si="7"/>
        <v>-0.2799059826064827</v>
      </c>
      <c r="AB12" s="629">
        <f t="shared" si="8"/>
        <v>-0.14091276126307814</v>
      </c>
      <c r="AC12" s="636">
        <f t="shared" si="84"/>
        <v>1</v>
      </c>
      <c r="AD12" s="637">
        <f t="shared" si="115"/>
        <v>0.94962952492765007</v>
      </c>
      <c r="AE12" s="629">
        <f t="shared" si="85"/>
        <v>-0.2799059826064827</v>
      </c>
      <c r="AF12" s="633">
        <f t="shared" si="86"/>
        <v>-0.14091276126307814</v>
      </c>
      <c r="AG12" s="602">
        <f t="shared" si="87"/>
        <v>-63.277995233666132</v>
      </c>
      <c r="AH12" s="603">
        <f t="shared" si="88"/>
        <v>18.262729811708773</v>
      </c>
      <c r="AI12" s="585">
        <f t="shared" si="89"/>
        <v>-81.899332761157964</v>
      </c>
      <c r="AJ12" s="586">
        <f t="shared" si="90"/>
        <v>73.576970088528626</v>
      </c>
      <c r="AK12" s="635">
        <f t="shared" ref="AK12:AK105" si="211">IF(M12="","",(COS(RADIANS((90-$Q$8)-W12))*AD12)+(-SIN(RADIANS((90-$Q$8)-W12))*AE12))</f>
        <v>0.95651941368133109</v>
      </c>
      <c r="AL12" s="629">
        <f>IF(M12="","",(SIN(RADIANS((90-$Q$8)-W12))*AD12)+(COS(RADIANS((90-$Q$8)-W12))*AE12))</f>
        <v>-0.25537072064733168</v>
      </c>
      <c r="AM12" s="634">
        <f t="shared" si="92"/>
        <v>-0.14091276126307814</v>
      </c>
      <c r="AN12" s="581">
        <f>IF(M12="","",DEGREES(ATAN2(-AM12,AL12)))</f>
        <v>-61.110224103249188</v>
      </c>
      <c r="AO12" s="582">
        <f t="shared" si="94"/>
        <v>16.957883114448776</v>
      </c>
      <c r="AP12" s="585">
        <f t="shared" si="95"/>
        <v>-14.948130124420555</v>
      </c>
      <c r="AQ12" s="586">
        <f t="shared" si="9"/>
        <v>1.2125003633236016</v>
      </c>
      <c r="AS12" s="52">
        <f t="shared" si="116"/>
        <v>0</v>
      </c>
      <c r="AT12" s="72">
        <f>IF(M12="","",Y12+(((AS12-$AS$9)*$AS$6)*-1))</f>
        <v>-0.37127688689695693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1111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9.3204238140838516E-2</v>
      </c>
      <c r="C13" s="708">
        <v>2.1453828436065763</v>
      </c>
      <c r="D13" s="709">
        <v>-0.89560270113774665</v>
      </c>
      <c r="E13" s="710">
        <v>-0.90449086159160252</v>
      </c>
      <c r="F13" s="708">
        <v>0.42455351568190602</v>
      </c>
      <c r="G13" s="711">
        <v>4.0627498315969568E-2</v>
      </c>
      <c r="H13" s="710">
        <v>0.219</v>
      </c>
      <c r="I13" s="708">
        <v>0.42</v>
      </c>
      <c r="J13" s="570">
        <v>1.119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1111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9.3204238140838516E-2</v>
      </c>
      <c r="O13" s="629">
        <f t="shared" si="3"/>
        <v>2.1453828436065763</v>
      </c>
      <c r="P13" s="633">
        <f t="shared" si="4"/>
        <v>-0.89560270113774665</v>
      </c>
      <c r="Q13" s="585">
        <f t="shared" si="113"/>
        <v>87.512400359164957</v>
      </c>
      <c r="R13" s="629">
        <f t="shared" si="79"/>
        <v>2.1474064765779333</v>
      </c>
      <c r="S13" s="634">
        <f t="shared" si="80"/>
        <v>-0.89560270113774665</v>
      </c>
      <c r="T13" s="635">
        <f>IF(M13="","",X13*COS(RADIANS(W13)))</f>
        <v>2.1470710563989273</v>
      </c>
      <c r="U13" s="629">
        <f t="shared" si="82"/>
        <v>-3.7953318996466021E-2</v>
      </c>
      <c r="V13" s="636">
        <f t="shared" si="114"/>
        <v>-0.89560270113774665</v>
      </c>
      <c r="W13" s="585">
        <f t="shared" si="5"/>
        <v>358.98730014621583</v>
      </c>
      <c r="X13" s="629">
        <f t="shared" si="83"/>
        <v>2.1474064765779333</v>
      </c>
      <c r="Y13" s="630">
        <f>IF(M13="","",S13)</f>
        <v>-0.89560270113774665</v>
      </c>
      <c r="Z13" s="632">
        <f t="shared" si="6"/>
        <v>0.90449086159160252</v>
      </c>
      <c r="AA13" s="629">
        <f t="shared" si="7"/>
        <v>-0.42455351568190602</v>
      </c>
      <c r="AB13" s="629">
        <f t="shared" si="8"/>
        <v>-4.0627498315969568E-2</v>
      </c>
      <c r="AC13" s="636">
        <f t="shared" si="84"/>
        <v>1</v>
      </c>
      <c r="AD13" s="637">
        <f>IF(M13="","",Z13*(1/SQRT(Z13^2+AA13^2+AB13^2)))</f>
        <v>0.90449086159160252</v>
      </c>
      <c r="AE13" s="629">
        <f t="shared" si="85"/>
        <v>-0.42455351568190602</v>
      </c>
      <c r="AF13" s="633">
        <f t="shared" si="86"/>
        <v>-4.0627498315969568E-2</v>
      </c>
      <c r="AG13" s="602">
        <f>IF(M13="","",DEGREES(ATAN2(-AF13,AE13)))</f>
        <v>-84.533745798000695</v>
      </c>
      <c r="AH13" s="603">
        <f t="shared" si="88"/>
        <v>25.245202260702094</v>
      </c>
      <c r="AI13" s="585">
        <f t="shared" si="89"/>
        <v>-87.671574967251701</v>
      </c>
      <c r="AJ13" s="586">
        <f t="shared" si="90"/>
        <v>64.855391864797681</v>
      </c>
      <c r="AK13" s="635">
        <f t="shared" si="211"/>
        <v>0.92206547071240574</v>
      </c>
      <c r="AL13" s="629">
        <f t="shared" si="91"/>
        <v>-0.38489566651301199</v>
      </c>
      <c r="AM13" s="634">
        <f t="shared" si="92"/>
        <v>-4.0627498315969568E-2</v>
      </c>
      <c r="AN13" s="581">
        <f t="shared" si="93"/>
        <v>-83.974480581073237</v>
      </c>
      <c r="AO13" s="582">
        <f t="shared" si="94"/>
        <v>22.770067681115602</v>
      </c>
      <c r="AP13" s="585">
        <f t="shared" si="95"/>
        <v>-22.657008494367314</v>
      </c>
      <c r="AQ13" s="586">
        <f t="shared" si="9"/>
        <v>1.0614971236398449</v>
      </c>
      <c r="AS13" s="52">
        <f t="shared" si="116"/>
        <v>-1.01269985378417</v>
      </c>
      <c r="AT13" s="72">
        <f t="shared" si="10"/>
        <v>-0.89387520138716681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1111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0.17562336955729055</v>
      </c>
      <c r="C14" s="708">
        <v>2.2315064900518076</v>
      </c>
      <c r="D14" s="709">
        <v>-1.4331043222426358</v>
      </c>
      <c r="E14" s="710">
        <v>-0.71325051980424337</v>
      </c>
      <c r="F14" s="708">
        <v>0.70090919240580341</v>
      </c>
      <c r="G14" s="711">
        <v>1.4578093202933023E-7</v>
      </c>
      <c r="H14" s="710">
        <v>0.219</v>
      </c>
      <c r="I14" s="708">
        <v>0.42</v>
      </c>
      <c r="J14" s="570">
        <v>1.125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1111</v>
      </c>
      <c r="L14" s="776" t="s">
        <v>367</v>
      </c>
      <c r="M14" s="168">
        <f t="shared" si="1"/>
        <v>1.125</v>
      </c>
      <c r="N14" s="632">
        <f t="shared" si="2"/>
        <v>0.17562336955729055</v>
      </c>
      <c r="O14" s="629">
        <f t="shared" si="3"/>
        <v>2.2315064900518076</v>
      </c>
      <c r="P14" s="633">
        <f t="shared" si="4"/>
        <v>-1.4331043222426358</v>
      </c>
      <c r="Q14" s="585">
        <f t="shared" si="113"/>
        <v>85.500000000000014</v>
      </c>
      <c r="R14" s="629">
        <f t="shared" si="79"/>
        <v>2.2384067510347609</v>
      </c>
      <c r="S14" s="634">
        <f t="shared" si="80"/>
        <v>-1.4331043222426358</v>
      </c>
      <c r="T14" s="635">
        <f t="shared" si="81"/>
        <v>2.2352875570188906</v>
      </c>
      <c r="U14" s="629">
        <f t="shared" si="82"/>
        <v>-0.11812840689061038</v>
      </c>
      <c r="V14" s="636">
        <f t="shared" si="114"/>
        <v>-1.4331043222426358</v>
      </c>
      <c r="W14" s="585">
        <f t="shared" si="5"/>
        <v>356.97489978705084</v>
      </c>
      <c r="X14" s="629">
        <f t="shared" si="83"/>
        <v>2.2384067510347609</v>
      </c>
      <c r="Y14" s="630">
        <f t="shared" ref="Y14:Y75" si="223">IF(M14="","",S14)</f>
        <v>-1.4331043222426358</v>
      </c>
      <c r="Z14" s="632">
        <f t="shared" si="6"/>
        <v>0.71325051980424337</v>
      </c>
      <c r="AA14" s="629">
        <f t="shared" si="7"/>
        <v>-0.70090919240580341</v>
      </c>
      <c r="AB14" s="629">
        <f t="shared" si="8"/>
        <v>-1.4578093202933023E-7</v>
      </c>
      <c r="AC14" s="636">
        <f t="shared" si="84"/>
        <v>1</v>
      </c>
      <c r="AD14" s="637">
        <f>IF(M14="","",Z14*(1/SQRT(Z14^2+AA14^2+AB14^2)))</f>
        <v>0.71325051980424337</v>
      </c>
      <c r="AE14" s="629">
        <f t="shared" si="85"/>
        <v>-0.70090919240580341</v>
      </c>
      <c r="AF14" s="633">
        <f t="shared" si="86"/>
        <v>-1.4578093202933023E-7</v>
      </c>
      <c r="AG14" s="602">
        <f t="shared" si="87"/>
        <v>-89.999988083146533</v>
      </c>
      <c r="AH14" s="603">
        <f t="shared" si="88"/>
        <v>44.499994224715266</v>
      </c>
      <c r="AI14" s="585">
        <f t="shared" si="89"/>
        <v>-89.999991647367864</v>
      </c>
      <c r="AJ14" s="586">
        <f t="shared" si="90"/>
        <v>45.500005775285345</v>
      </c>
      <c r="AK14" s="635">
        <f>IF(M14="","",(COS(RADIANS((90-$Q$8)-W14))*AD14)+(-SIN(RADIANS((90-$Q$8)-W14))*AE14))</f>
        <v>0.76604450791050716</v>
      </c>
      <c r="AL14" s="629">
        <f t="shared" si="91"/>
        <v>-0.64278753247097731</v>
      </c>
      <c r="AM14" s="634">
        <f t="shared" si="92"/>
        <v>-1.4578093202933023E-7</v>
      </c>
      <c r="AN14" s="581">
        <f t="shared" si="93"/>
        <v>-89.999987005609611</v>
      </c>
      <c r="AO14" s="582">
        <f t="shared" si="94"/>
        <v>39.999994224715394</v>
      </c>
      <c r="AP14" s="585">
        <f>IF(M14="","",DEGREES(ATAN2(AK14,AL14)))</f>
        <v>-39.999994224714669</v>
      </c>
      <c r="AQ14" s="586">
        <f t="shared" si="9"/>
        <v>1.018352258802516</v>
      </c>
      <c r="AS14" s="52">
        <f t="shared" si="116"/>
        <v>-3.0251002129491553</v>
      </c>
      <c r="AT14" s="72">
        <f t="shared" si="10"/>
        <v>-1.4299793222426358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1111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1.6556055689250619</v>
      </c>
      <c r="C15" s="708">
        <v>0.72902053457979887</v>
      </c>
      <c r="D15" s="709">
        <v>-0.30140090902514172</v>
      </c>
      <c r="E15" s="710">
        <v>-0.17221752562087275</v>
      </c>
      <c r="F15" s="708">
        <v>0.97131237398995585</v>
      </c>
      <c r="G15" s="711">
        <v>0.16399206079265055</v>
      </c>
      <c r="H15" s="710">
        <v>0.219</v>
      </c>
      <c r="I15" s="708">
        <v>0.42</v>
      </c>
      <c r="J15" s="570">
        <v>2.1120000000000001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1111</v>
      </c>
      <c r="L15" s="873" t="str">
        <f>IF($L14=$JH$22,$JH$29,IF($L14=$JI$22,$JI$29,""))</f>
        <v/>
      </c>
      <c r="M15" s="168">
        <f t="shared" si="1"/>
        <v>2.1120000000000001</v>
      </c>
      <c r="N15" s="632">
        <f t="shared" si="2"/>
        <v>1.6556055689250619</v>
      </c>
      <c r="O15" s="629">
        <f t="shared" si="3"/>
        <v>0.72902053457979887</v>
      </c>
      <c r="P15" s="633">
        <f t="shared" si="4"/>
        <v>-0.30140090902514172</v>
      </c>
      <c r="Q15" s="585">
        <f t="shared" si="113"/>
        <v>23.765557585501238</v>
      </c>
      <c r="R15" s="629">
        <f t="shared" si="79"/>
        <v>1.8090054559604549</v>
      </c>
      <c r="S15" s="634">
        <f t="shared" si="80"/>
        <v>-0.30140090902514172</v>
      </c>
      <c r="T15" s="635">
        <f t="shared" si="81"/>
        <v>0.77139266352068914</v>
      </c>
      <c r="U15" s="629">
        <f t="shared" si="82"/>
        <v>-1.6362927911474616</v>
      </c>
      <c r="V15" s="636">
        <f t="shared" si="114"/>
        <v>-0.30140090902514172</v>
      </c>
      <c r="W15" s="585">
        <f t="shared" ref="W15:W78" si="224">IF(M15="","",IF(Q15-$Q$8&lt;0,360+Q15-$Q$8,Q15-$Q$8))</f>
        <v>295.2404573725521</v>
      </c>
      <c r="X15" s="629">
        <f>IF(M15="","",R15)</f>
        <v>1.8090054559604549</v>
      </c>
      <c r="Y15" s="630">
        <f>IF(M15="","",S15)</f>
        <v>-0.30140090902514172</v>
      </c>
      <c r="Z15" s="632">
        <f t="shared" si="6"/>
        <v>0.17221752562087275</v>
      </c>
      <c r="AA15" s="629">
        <f t="shared" si="7"/>
        <v>-0.97131237398995585</v>
      </c>
      <c r="AB15" s="629">
        <f t="shared" si="8"/>
        <v>-0.16399206079265055</v>
      </c>
      <c r="AC15" s="636">
        <f t="shared" si="84"/>
        <v>1</v>
      </c>
      <c r="AD15" s="637">
        <f t="shared" si="115"/>
        <v>0.17221752562087275</v>
      </c>
      <c r="AE15" s="629">
        <f t="shared" si="85"/>
        <v>-0.97131237398995585</v>
      </c>
      <c r="AF15" s="633">
        <f t="shared" si="86"/>
        <v>-0.16399206079265055</v>
      </c>
      <c r="AG15" s="602">
        <f t="shared" si="87"/>
        <v>-80.416811101553705</v>
      </c>
      <c r="AH15" s="603">
        <f t="shared" si="88"/>
        <v>80.083224220083437</v>
      </c>
      <c r="AI15" s="585">
        <f t="shared" si="89"/>
        <v>-80.561313755626657</v>
      </c>
      <c r="AJ15" s="586">
        <f t="shared" si="90"/>
        <v>10.054279530467294</v>
      </c>
      <c r="AK15" s="635">
        <f t="shared" si="211"/>
        <v>0.95834994992609357</v>
      </c>
      <c r="AL15" s="629">
        <f t="shared" si="91"/>
        <v>-0.23382039576057867</v>
      </c>
      <c r="AM15" s="634">
        <f t="shared" si="92"/>
        <v>-0.16399206079265055</v>
      </c>
      <c r="AN15" s="581">
        <f>IF(M15="","",DEGREES(ATAN2(-AM15,AL15)))</f>
        <v>-54.955751206397409</v>
      </c>
      <c r="AO15" s="582">
        <f t="shared" si="94"/>
        <v>16.594508874984548</v>
      </c>
      <c r="AP15" s="585">
        <f t="shared" si="95"/>
        <v>-13.711278055033944</v>
      </c>
      <c r="AQ15" s="586">
        <f t="shared" si="9"/>
        <v>1.2600067670584767</v>
      </c>
      <c r="AS15" s="52">
        <f t="shared" si="116"/>
        <v>-64.7595426274479</v>
      </c>
      <c r="AT15" s="72">
        <f t="shared" si="10"/>
        <v>-0.25540476845951759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2.1120000000000001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1111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1.9576789343003707</v>
      </c>
      <c r="C16" s="708">
        <v>0.81566718764733359</v>
      </c>
      <c r="D16" s="709">
        <v>-0.8015024173312908</v>
      </c>
      <c r="E16" s="710">
        <v>-7.3746138384056248E-2</v>
      </c>
      <c r="F16" s="708">
        <v>0.99713143877971622</v>
      </c>
      <c r="G16" s="711">
        <v>1.7041152265408466E-2</v>
      </c>
      <c r="H16" s="710">
        <v>0.219</v>
      </c>
      <c r="I16" s="708">
        <v>0.42</v>
      </c>
      <c r="J16" s="570">
        <v>2.1179999999999999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1111</v>
      </c>
      <c r="L16" s="320"/>
      <c r="M16" s="168">
        <f t="shared" si="1"/>
        <v>2.1179999999999999</v>
      </c>
      <c r="N16" s="632">
        <f t="shared" si="2"/>
        <v>1.9576789343003707</v>
      </c>
      <c r="O16" s="629">
        <f t="shared" si="3"/>
        <v>0.81566718764733359</v>
      </c>
      <c r="P16" s="633">
        <f t="shared" si="4"/>
        <v>-0.8015024173312908</v>
      </c>
      <c r="Q16" s="585">
        <f>IF(M16="","",IF(DEGREES(ATAN2(N16,O16))&lt;0,DEGREES(ATAN2(N16,O16))+360,IF(DEGREES(ATAN2(N16,O16))&gt;360,DEGREES(ATAN2(N16,O16))-360,DEGREES(ATAN2(N16,O16)))))</f>
        <v>22.619057751035328</v>
      </c>
      <c r="R16" s="629">
        <f t="shared" si="79"/>
        <v>2.1208063963520916</v>
      </c>
      <c r="S16" s="634">
        <f t="shared" si="80"/>
        <v>-0.8015024173312908</v>
      </c>
      <c r="T16" s="635">
        <f t="shared" si="81"/>
        <v>0.86578568101749365</v>
      </c>
      <c r="U16" s="629">
        <f t="shared" si="82"/>
        <v>-1.9360358791492009</v>
      </c>
      <c r="V16" s="636">
        <f t="shared" si="114"/>
        <v>-0.8015024173312908</v>
      </c>
      <c r="W16" s="585">
        <f>IF(M16="","",IF(Q16-$Q$8&lt;0,360+Q16-$Q$8,Q16-$Q$8))</f>
        <v>294.09395753808616</v>
      </c>
      <c r="X16" s="629">
        <f t="shared" si="83"/>
        <v>2.1208063963520916</v>
      </c>
      <c r="Y16" s="630">
        <f t="shared" si="223"/>
        <v>-0.8015024173312908</v>
      </c>
      <c r="Z16" s="632">
        <f t="shared" si="6"/>
        <v>7.3746138384056248E-2</v>
      </c>
      <c r="AA16" s="629">
        <f t="shared" si="7"/>
        <v>-0.99713143877971622</v>
      </c>
      <c r="AB16" s="629">
        <f t="shared" si="8"/>
        <v>-1.7041152265408466E-2</v>
      </c>
      <c r="AC16" s="636">
        <f t="shared" si="84"/>
        <v>1</v>
      </c>
      <c r="AD16" s="637">
        <f t="shared" si="115"/>
        <v>7.3746138384056248E-2</v>
      </c>
      <c r="AE16" s="629">
        <f t="shared" si="85"/>
        <v>-0.99713143877971622</v>
      </c>
      <c r="AF16" s="633">
        <f t="shared" si="86"/>
        <v>-1.7041152265408466E-2</v>
      </c>
      <c r="AG16" s="602">
        <f t="shared" si="87"/>
        <v>-89.020900332200583</v>
      </c>
      <c r="AH16" s="603">
        <f t="shared" si="88"/>
        <v>85.770818195844754</v>
      </c>
      <c r="AI16" s="585">
        <f t="shared" si="89"/>
        <v>-89.023566633746583</v>
      </c>
      <c r="AJ16" s="586">
        <f t="shared" si="90"/>
        <v>4.2297971351424053</v>
      </c>
      <c r="AK16" s="635">
        <f t="shared" si="211"/>
        <v>0.94879736367467149</v>
      </c>
      <c r="AL16" s="629">
        <f t="shared" si="91"/>
        <v>-0.31542536647115216</v>
      </c>
      <c r="AM16" s="634">
        <f t="shared" si="92"/>
        <v>-1.7041152265408466E-2</v>
      </c>
      <c r="AN16" s="581">
        <f t="shared" si="93"/>
        <v>-86.90754800538555</v>
      </c>
      <c r="AO16" s="582">
        <f t="shared" si="94"/>
        <v>18.41427062948242</v>
      </c>
      <c r="AP16" s="585">
        <f t="shared" si="95"/>
        <v>-18.389260615892876</v>
      </c>
      <c r="AQ16" s="586">
        <f t="shared" si="9"/>
        <v>1.0748077804126968</v>
      </c>
      <c r="AS16" s="52">
        <f t="shared" si="116"/>
        <v>-65.906042461913842</v>
      </c>
      <c r="AT16" s="72">
        <f t="shared" si="10"/>
        <v>-0.75471009632506536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2.1179999999999999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1111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2.0966539346625712</v>
      </c>
      <c r="C17" s="708">
        <v>0.7839050078561508</v>
      </c>
      <c r="D17" s="709">
        <v>-1.331604016117713</v>
      </c>
      <c r="E17" s="710">
        <v>0.33380746496147851</v>
      </c>
      <c r="F17" s="708">
        <v>0.94264127659251695</v>
      </c>
      <c r="G17" s="711">
        <v>1.4578093196903683E-7</v>
      </c>
      <c r="H17" s="710">
        <v>0.219</v>
      </c>
      <c r="I17" s="708">
        <v>0.42</v>
      </c>
      <c r="J17" s="570">
        <v>2.1240000000000001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1111</v>
      </c>
      <c r="M17" s="168">
        <f t="shared" si="1"/>
        <v>2.1240000000000001</v>
      </c>
      <c r="N17" s="632">
        <f t="shared" si="2"/>
        <v>2.0966539346625712</v>
      </c>
      <c r="O17" s="629">
        <f t="shared" si="3"/>
        <v>0.7839050078561508</v>
      </c>
      <c r="P17" s="633">
        <f t="shared" si="4"/>
        <v>-1.331604016117713</v>
      </c>
      <c r="Q17" s="585">
        <f>IF(M17="","",IF(DEGREES(ATAN2(N17,O17))&lt;0,DEGREES(ATAN2(N17,O17))+360,IF(DEGREES(ATAN2(N17,O17))&gt;360,DEGREES(ATAN2(N17,O17))-360,DEGREES(ATAN2(N17,O17)))))</f>
        <v>20.499957407275957</v>
      </c>
      <c r="R17" s="629">
        <f>IF(M17="","",SQRT(N17^2+O17^2))</f>
        <v>2.2384067510347609</v>
      </c>
      <c r="S17" s="634">
        <f>IF(M17="","",P17)</f>
        <v>-1.331604016117713</v>
      </c>
      <c r="T17" s="635">
        <f>IF(M17="","",X17*COS(RADIANS(W17)))</f>
        <v>0.83761110370109038</v>
      </c>
      <c r="U17" s="629">
        <f>IF(M17="","",X17*SIN(RADIANS(W17)))</f>
        <v>-2.0757823638413146</v>
      </c>
      <c r="V17" s="636">
        <f>IF(M17="","",Y17)</f>
        <v>-1.331604016117713</v>
      </c>
      <c r="W17" s="585">
        <f t="shared" si="224"/>
        <v>291.97485719432677</v>
      </c>
      <c r="X17" s="629">
        <f>IF(M17="","",R17)</f>
        <v>2.2384067510347609</v>
      </c>
      <c r="Y17" s="630">
        <f t="shared" si="223"/>
        <v>-1.331604016117713</v>
      </c>
      <c r="Z17" s="632">
        <f t="shared" si="6"/>
        <v>-0.33380746496147851</v>
      </c>
      <c r="AA17" s="629">
        <f t="shared" si="7"/>
        <v>-0.94264127659251695</v>
      </c>
      <c r="AB17" s="629">
        <f t="shared" si="8"/>
        <v>-1.4578093196903683E-7</v>
      </c>
      <c r="AC17" s="636">
        <f>IF(M17="","",SQRT(Z17^2+AA17^2+AB17^2))</f>
        <v>1</v>
      </c>
      <c r="AD17" s="637">
        <f>IF(M17="","",Z17*(1/SQRT(Z17^2+AA17^2+AB17^2)))</f>
        <v>-0.33380746496147851</v>
      </c>
      <c r="AE17" s="629">
        <f>IF(M17="","",AA17*(1/SQRT(Z17^2+AA17^2+AB17^2)))</f>
        <v>-0.94264127659251695</v>
      </c>
      <c r="AF17" s="633">
        <f>IF(M17="","",AB17*(1/SQRT(Z17^2+AA17^2+AB17^2)))</f>
        <v>-1.4578093196903683E-7</v>
      </c>
      <c r="AG17" s="602">
        <f>IF(M17="","",DEGREES(ATAN2(-AF17,AE17)))</f>
        <v>-89.999991139119061</v>
      </c>
      <c r="AH17" s="603">
        <f>IF(M17="","",DEGREES(ACOS(AD17)))</f>
        <v>109.5000368174385</v>
      </c>
      <c r="AI17" s="585">
        <f>IF(M17="","",DEGREES(-ACOS(-AF17)))</f>
        <v>-89.999991647367864</v>
      </c>
      <c r="AJ17" s="586">
        <f>IF(M17="","",DEGREES(ATAN2(-AE17,AD17)))</f>
        <v>-19.500036817438716</v>
      </c>
      <c r="AK17" s="635">
        <f>IF(M17="","",(COS(RADIANS((90-$Q$8)-W17))*AD17)+(-SIN(RADIANS((90-$Q$8)-W17))*AE17))</f>
        <v>0.76604450791050738</v>
      </c>
      <c r="AL17" s="629">
        <f>IF(M17="","",(SIN(RADIANS((90-$Q$8)-W17))*AD17)+(COS(RADIANS((90-$Q$8)-W17))*AE17))</f>
        <v>-0.64278753247097697</v>
      </c>
      <c r="AM17" s="634">
        <f>IF(M17="","",AF17)</f>
        <v>-1.4578093196903683E-7</v>
      </c>
      <c r="AN17" s="581">
        <f>IF(M17="","",DEGREES(ATAN2(-AM17,AL17)))</f>
        <v>-89.999987005609611</v>
      </c>
      <c r="AO17" s="582">
        <f t="shared" si="94"/>
        <v>39.999994224715365</v>
      </c>
      <c r="AP17" s="585">
        <f>IF(M17="","",DEGREES(ATAN2(AK17,AL17)))</f>
        <v>-39.999994224714641</v>
      </c>
      <c r="AQ17" s="586">
        <f t="shared" si="9"/>
        <v>1.018352258802516</v>
      </c>
      <c r="AS17" s="52">
        <f t="shared" si="116"/>
        <v>-68.025142805673227</v>
      </c>
      <c r="AT17" s="72">
        <f t="shared" si="10"/>
        <v>-1.2833400976505436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2.1240000000000001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1111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0.5273242746470439</v>
      </c>
      <c r="C18" s="708">
        <v>-0.30445123714256983</v>
      </c>
      <c r="D18" s="709">
        <v>-0.10350031215694139</v>
      </c>
      <c r="E18" s="710">
        <v>0.42495075868149673</v>
      </c>
      <c r="F18" s="708">
        <v>0.87000969481008184</v>
      </c>
      <c r="G18" s="711">
        <v>0.2499999672649757</v>
      </c>
      <c r="H18" s="710">
        <v>0.219</v>
      </c>
      <c r="I18" s="708">
        <v>0.42</v>
      </c>
      <c r="J18" s="570">
        <v>3.1030000000000002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1111</v>
      </c>
      <c r="L18" s="779" t="s">
        <v>331</v>
      </c>
      <c r="M18" s="168">
        <f t="shared" si="1"/>
        <v>3.1030000000000002</v>
      </c>
      <c r="N18" s="632">
        <f t="shared" si="2"/>
        <v>0.5273242746470439</v>
      </c>
      <c r="O18" s="629">
        <f t="shared" si="3"/>
        <v>-0.30445123714256983</v>
      </c>
      <c r="P18" s="633">
        <f t="shared" si="4"/>
        <v>-0.10350031215694139</v>
      </c>
      <c r="Q18" s="585">
        <f t="shared" si="113"/>
        <v>329.99996534829228</v>
      </c>
      <c r="R18" s="629">
        <f>IF(M18="","",SQRT(N18^2+O18^2))</f>
        <v>0.60890183644793872</v>
      </c>
      <c r="S18" s="634">
        <f>IF(M18="","",P18)</f>
        <v>-0.10350031215694139</v>
      </c>
      <c r="T18" s="635">
        <f>IF(M18="","",X18*COS(RADIANS(W18)))</f>
        <v>-0.29077756424941303</v>
      </c>
      <c r="U18" s="629">
        <f>IF(M18="","",X18*SIN(RADIANS(W18)))</f>
        <v>-0.53498584519485259</v>
      </c>
      <c r="V18" s="636">
        <f>IF(M18="","",Y18)</f>
        <v>-0.10350031215694139</v>
      </c>
      <c r="W18" s="585">
        <f t="shared" si="224"/>
        <v>241.47486513534312</v>
      </c>
      <c r="X18" s="629">
        <f>IF(M18="","",R18)</f>
        <v>0.60890183644793872</v>
      </c>
      <c r="Y18" s="630">
        <f t="shared" si="223"/>
        <v>-0.10350031215694139</v>
      </c>
      <c r="Z18" s="632">
        <f t="shared" si="6"/>
        <v>-0.42495075868149673</v>
      </c>
      <c r="AA18" s="629">
        <f t="shared" si="7"/>
        <v>-0.87000969481008184</v>
      </c>
      <c r="AB18" s="629">
        <f t="shared" si="8"/>
        <v>-0.2499999672649757</v>
      </c>
      <c r="AC18" s="636">
        <f>IF(M18="","",SQRT(Z18^2+AA18^2+AB18^2))</f>
        <v>1</v>
      </c>
      <c r="AD18" s="637">
        <f>IF(M18="","",Z18*(1/SQRT(Z18^2+AA18^2+AB18^2)))</f>
        <v>-0.42495075868149673</v>
      </c>
      <c r="AE18" s="629">
        <f>IF(M18="","",AA18*(1/SQRT(Z18^2+AA18^2+AB18^2)))</f>
        <v>-0.87000969481008184</v>
      </c>
      <c r="AF18" s="633">
        <f>IF(M18="","",AB18*(1/SQRT(Z18^2+AA18^2+AB18^2)))</f>
        <v>-0.2499999672649757</v>
      </c>
      <c r="AG18" s="602">
        <f>IF(M18="","",DEGREES(ATAN2(-AF18,AE18)))</f>
        <v>-73.967832110835701</v>
      </c>
      <c r="AH18" s="603">
        <f>IF(M18="","",DEGREES(ACOS(AD18)))</f>
        <v>115.14754663787647</v>
      </c>
      <c r="AI18" s="585">
        <f>IF(M18="","",DEGREES(-ACOS(-AF18)))</f>
        <v>-75.522489751159455</v>
      </c>
      <c r="AJ18" s="586">
        <f>IF(M18="","",DEGREES(ATAN2(-AE18,AD18)))</f>
        <v>-26.032905006621167</v>
      </c>
      <c r="AK18" s="635">
        <f>IF(M18="","",(COS(RADIANS((90-$Q$8)-W18))*AD18)+(-SIN(RADIANS((90-$Q$8)-W18))*AE18))</f>
        <v>0.96592583607220761</v>
      </c>
      <c r="AL18" s="629">
        <f>IF(M18="","",(SIN(RADIANS((90-$Q$8)-W18))*AD18)+(COS(RADIANS((90-$Q$8)-W18))*AE18))</f>
        <v>6.6987279208207018E-2</v>
      </c>
      <c r="AM18" s="634">
        <f>IF(M18="","",AF18)</f>
        <v>-0.2499999672649757</v>
      </c>
      <c r="AN18" s="581">
        <f>IF(M18="","",DEGREES(ATAN2(-AM18,AL18)))</f>
        <v>14.999997834268227</v>
      </c>
      <c r="AO18" s="582">
        <f t="shared" si="94"/>
        <v>14.999997834268203</v>
      </c>
      <c r="AP18" s="585">
        <f>IF(M18="","",DEGREES(ATAN2(AK18,AL18)))</f>
        <v>3.9671296450865601</v>
      </c>
      <c r="AQ18" s="586">
        <f t="shared" si="9"/>
        <v>3.7386816540623466</v>
      </c>
      <c r="AS18" s="52">
        <f t="shared" si="116"/>
        <v>-118.52513486465688</v>
      </c>
      <c r="AT18" s="72">
        <f t="shared" si="10"/>
        <v>-2.016695475992214E-2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3.1030000000000002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1111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1.0205270573888592</v>
      </c>
      <c r="C19" s="708">
        <v>-0.58920239423354359</v>
      </c>
      <c r="D19" s="709">
        <v>-2.1900066050599243E-2</v>
      </c>
      <c r="E19" s="710">
        <v>0.49898912751119034</v>
      </c>
      <c r="F19" s="708">
        <v>0.82726356293267933</v>
      </c>
      <c r="G19" s="711">
        <v>0.2581566347579512</v>
      </c>
      <c r="H19" s="710">
        <v>0.219</v>
      </c>
      <c r="I19" s="708">
        <v>0.42</v>
      </c>
      <c r="J19" s="570">
        <v>3.1059999999999999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1111</v>
      </c>
      <c r="L19" s="775" t="s">
        <v>366</v>
      </c>
      <c r="M19" s="168">
        <f t="shared" si="1"/>
        <v>3.1059999999999999</v>
      </c>
      <c r="N19" s="632">
        <f t="shared" si="2"/>
        <v>1.0205270573888592</v>
      </c>
      <c r="O19" s="629">
        <f t="shared" si="3"/>
        <v>-0.58920239423354359</v>
      </c>
      <c r="P19" s="633">
        <f t="shared" si="4"/>
        <v>-2.1900066050599243E-2</v>
      </c>
      <c r="Q19" s="585">
        <f t="shared" si="113"/>
        <v>329.99996534829228</v>
      </c>
      <c r="R19" s="629">
        <f>IF(M19="","",SQRT(N19^2+O19^2))</f>
        <v>1.178403554065119</v>
      </c>
      <c r="S19" s="634">
        <f>IF(M19="","",P19)</f>
        <v>-2.1900066050599243E-2</v>
      </c>
      <c r="T19" s="635">
        <f>IF(M19="","",X19*COS(RADIANS(W19)))</f>
        <v>-0.56273982872640549</v>
      </c>
      <c r="U19" s="629">
        <f>IF(M19="","",X19*SIN(RADIANS(W19)))</f>
        <v>-1.0353544424004175</v>
      </c>
      <c r="V19" s="636">
        <f>IF(M19="","",Y19)</f>
        <v>-2.1900066050599243E-2</v>
      </c>
      <c r="W19" s="585">
        <f t="shared" si="224"/>
        <v>241.47486513534312</v>
      </c>
      <c r="X19" s="629">
        <f>IF(M19="","",R19)</f>
        <v>1.178403554065119</v>
      </c>
      <c r="Y19" s="630">
        <f t="shared" si="223"/>
        <v>-2.1900066050599243E-2</v>
      </c>
      <c r="Z19" s="632">
        <f t="shared" si="6"/>
        <v>-0.49898912751119034</v>
      </c>
      <c r="AA19" s="629">
        <f t="shared" si="7"/>
        <v>-0.82726356293267933</v>
      </c>
      <c r="AB19" s="629">
        <f t="shared" si="8"/>
        <v>-0.2581566347579512</v>
      </c>
      <c r="AC19" s="636">
        <f>IF(M19="","",SQRT(Z19^2+AA19^2+AB19^2))</f>
        <v>1.0000000000000002</v>
      </c>
      <c r="AD19" s="637">
        <f>IF(M19="","",Z19*(1/SQRT(Z19^2+AA19^2+AB19^2)))</f>
        <v>-0.49898912751119023</v>
      </c>
      <c r="AE19" s="629">
        <f>IF(M19="","",AA19*(1/SQRT(Z19^2+AA19^2+AB19^2)))</f>
        <v>-0.82726356293267911</v>
      </c>
      <c r="AF19" s="633">
        <f>IF(M19="","",AB19*(1/SQRT(Z19^2+AA19^2+AB19^2)))</f>
        <v>-0.25815663475795114</v>
      </c>
      <c r="AG19" s="602">
        <f>IF(M19="","",DEGREES(ATAN2(-AF19,AE19)))</f>
        <v>-72.668897060178935</v>
      </c>
      <c r="AH19" s="603">
        <f>IF(M19="","",DEGREES(ACOS(AD19)))</f>
        <v>119.93314371945</v>
      </c>
      <c r="AI19" s="585">
        <f>IF(M19="","",DEGREES(-ACOS(-AF19)))</f>
        <v>-75.039288558813013</v>
      </c>
      <c r="AJ19" s="586">
        <f>IF(M19="","",DEGREES(ATAN2(-AE19,AD19)))</f>
        <v>-31.097554422128972</v>
      </c>
      <c r="AK19" s="635">
        <f>IF(M19="","",(COS(RADIANS((90-$Q$8)-W19))*AD19)+(-SIN(RADIANS((90-$Q$8)-W19))*AE19))</f>
        <v>0.96592583607220728</v>
      </c>
      <c r="AL19" s="629">
        <f>IF(M19="","",(SIN(RADIANS((90-$Q$8)-W19))*AD19)+(COS(RADIANS((90-$Q$8)-W19))*AE19))</f>
        <v>-1.850489499178648E-2</v>
      </c>
      <c r="AM19" s="634">
        <f>IF(M19="","",AF19)</f>
        <v>-0.25815663475795114</v>
      </c>
      <c r="AN19" s="581">
        <f>IF(M19="","",DEGREES(ATAN2(-AM19,AL19)))</f>
        <v>-4.0999994080333471</v>
      </c>
      <c r="AO19" s="582">
        <f t="shared" si="94"/>
        <v>14.99999783426828</v>
      </c>
      <c r="AP19" s="585">
        <f>IF(M19="","",DEGREES(ATAN2(AK19,AL19)))</f>
        <v>-1.0975197704212412</v>
      </c>
      <c r="AQ19" s="586">
        <f t="shared" si="9"/>
        <v>1.9338543791461176</v>
      </c>
      <c r="AS19" s="52">
        <f t="shared" si="116"/>
        <v>-118.52513486465688</v>
      </c>
      <c r="AT19" s="72">
        <f t="shared" si="10"/>
        <v>6.1433291346420005E-2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3.1059999999999999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1111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1.4845473197725363</v>
      </c>
      <c r="C20" s="708">
        <v>-0.89158411499334678</v>
      </c>
      <c r="D20" s="709">
        <v>-0.23720071539735746</v>
      </c>
      <c r="E20" s="710">
        <v>0.67369637195434418</v>
      </c>
      <c r="F20" s="708">
        <v>0.71536301482143883</v>
      </c>
      <c r="G20" s="711">
        <v>0.18544259338441091</v>
      </c>
      <c r="H20" s="710">
        <v>0.219</v>
      </c>
      <c r="I20" s="708">
        <v>0.42</v>
      </c>
      <c r="J20" s="570">
        <v>3.1110000000000002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1111</v>
      </c>
      <c r="L20" s="774" t="str">
        <f>IF($L19=$JH$22,$JH$30,IF($L19=$JI$22,$JI$30,""))</f>
        <v/>
      </c>
      <c r="M20" s="168">
        <f t="shared" si="1"/>
        <v>3.1110000000000002</v>
      </c>
      <c r="N20" s="632">
        <f t="shared" si="2"/>
        <v>1.4845473197725363</v>
      </c>
      <c r="O20" s="629">
        <f t="shared" si="3"/>
        <v>-0.89158411499334678</v>
      </c>
      <c r="P20" s="633">
        <f t="shared" si="4"/>
        <v>-0.23720071539735746</v>
      </c>
      <c r="Q20" s="585">
        <f t="shared" si="113"/>
        <v>329.0119654909418</v>
      </c>
      <c r="R20" s="629">
        <f>IF(M20="","",SQRT(N20^2+O20^2))</f>
        <v>1.7317052228229521</v>
      </c>
      <c r="S20" s="634">
        <f>IF(M20="","",P20)</f>
        <v>-0.23720071539735746</v>
      </c>
      <c r="T20" s="635">
        <f>IF(M20="","",X20*COS(RADIANS(W20)))</f>
        <v>-0.85307794512471846</v>
      </c>
      <c r="U20" s="629">
        <f>IF(M20="","",X20*SIN(RADIANS(W20)))</f>
        <v>-1.5070039808487827</v>
      </c>
      <c r="V20" s="636">
        <f>IF(M20="","",Y20)</f>
        <v>-0.23720071539735746</v>
      </c>
      <c r="W20" s="585">
        <f t="shared" si="224"/>
        <v>240.48686527799265</v>
      </c>
      <c r="X20" s="629">
        <f>IF(M20="","",R20)</f>
        <v>1.7317052228229521</v>
      </c>
      <c r="Y20" s="630">
        <f t="shared" si="223"/>
        <v>-0.23720071539735746</v>
      </c>
      <c r="Z20" s="632">
        <f t="shared" si="6"/>
        <v>-0.67369637195434418</v>
      </c>
      <c r="AA20" s="629">
        <f t="shared" si="7"/>
        <v>-0.71536301482143883</v>
      </c>
      <c r="AB20" s="629">
        <f t="shared" si="8"/>
        <v>-0.18544259338441091</v>
      </c>
      <c r="AC20" s="636">
        <f>IF(M20="","",SQRT(Z20^2+AA20^2+AB20^2))</f>
        <v>1</v>
      </c>
      <c r="AD20" s="637">
        <f>IF(M20="","",Z20*(1/SQRT(Z20^2+AA20^2+AB20^2)))</f>
        <v>-0.67369637195434418</v>
      </c>
      <c r="AE20" s="629">
        <f>IF(M20="","",AA20*(1/SQRT(Z20^2+AA20^2+AB20^2)))</f>
        <v>-0.71536301482143883</v>
      </c>
      <c r="AF20" s="633">
        <f>IF(M20="","",AB20*(1/SQRT(Z20^2+AA20^2+AB20^2)))</f>
        <v>-0.18544259338441091</v>
      </c>
      <c r="AG20" s="602">
        <f>IF(M20="","",DEGREES(ATAN2(-AF20,AE20)))</f>
        <v>-75.467187896718059</v>
      </c>
      <c r="AH20" s="603">
        <f>IF(M20="","",DEGREES(ACOS(AD20)))</f>
        <v>132.3529976426108</v>
      </c>
      <c r="AI20" s="585">
        <f>IF(M20="","",DEGREES(-ACOS(-AF20)))</f>
        <v>-79.313062356694672</v>
      </c>
      <c r="AJ20" s="586">
        <f>IF(M20="","",DEGREES(ATAN2(-AE20,AD20)))</f>
        <v>-43.281853769838015</v>
      </c>
      <c r="AK20" s="635">
        <f>IF(M20="","",(COS(RADIANS((90-$Q$8)-W20))*AD20)+(-SIN(RADIANS((90-$Q$8)-W20))*AE20))</f>
        <v>0.96012139246790151</v>
      </c>
      <c r="AL20" s="629">
        <f>IF(M20="","",(SIN(RADIANS((90-$Q$8)-W20))*AD20)+(COS(RADIANS((90-$Q$8)-W20))*AE20))</f>
        <v>-0.20923182426285425</v>
      </c>
      <c r="AM20" s="634">
        <f>IF(M20="","",AF20)</f>
        <v>-0.18544259338441091</v>
      </c>
      <c r="AN20" s="581">
        <f>IF(M20="","",DEGREES(ATAN2(-AM20,AL20)))</f>
        <v>-48.449363244024269</v>
      </c>
      <c r="AO20" s="582">
        <f t="shared" si="94"/>
        <v>16.235345946573183</v>
      </c>
      <c r="AP20" s="585">
        <f>IF(M20="","",DEGREES(ATAN2(AK20,AL20)))</f>
        <v>-12.293819260779832</v>
      </c>
      <c r="AQ20" s="586">
        <f t="shared" si="9"/>
        <v>1.3162318585952943</v>
      </c>
      <c r="AS20" s="52">
        <f t="shared" si="116"/>
        <v>-119.51313472200735</v>
      </c>
      <c r="AT20" s="72">
        <f t="shared" si="10"/>
        <v>-0.15318124698828928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3.1110000000000002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1111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1.7667251473190675</v>
      </c>
      <c r="C21" s="708">
        <v>-1.1149203512543937</v>
      </c>
      <c r="D21" s="709">
        <v>-0.7085021368424449</v>
      </c>
      <c r="E21" s="710">
        <v>0.76880607578006943</v>
      </c>
      <c r="F21" s="708">
        <v>0.6381229865075756</v>
      </c>
      <c r="G21" s="711">
        <v>4.1668596500275969E-2</v>
      </c>
      <c r="H21" s="710">
        <v>0.219</v>
      </c>
      <c r="I21" s="708">
        <v>0.42</v>
      </c>
      <c r="J21" s="570">
        <v>3.117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1111</v>
      </c>
      <c r="L21" s="776" t="s">
        <v>367</v>
      </c>
      <c r="M21" s="168">
        <f t="shared" si="1"/>
        <v>3.117</v>
      </c>
      <c r="N21" s="632">
        <f t="shared" si="2"/>
        <v>1.7667251473190675</v>
      </c>
      <c r="O21" s="629">
        <f t="shared" si="3"/>
        <v>-1.1149203512543937</v>
      </c>
      <c r="P21" s="633">
        <f t="shared" si="4"/>
        <v>-0.7085021368424449</v>
      </c>
      <c r="Q21" s="585">
        <f t="shared" si="113"/>
        <v>327.7453656738162</v>
      </c>
      <c r="R21" s="629">
        <f>IF(M21="","",SQRT(N21^2+O21^2))</f>
        <v>2.0891063007446031</v>
      </c>
      <c r="S21" s="634">
        <f>IF(M21="","",P21)</f>
        <v>-0.7085021368424449</v>
      </c>
      <c r="T21" s="635">
        <f>IF(M21="","",X21*COS(RADIANS(W21)))</f>
        <v>-1.0690772101352739</v>
      </c>
      <c r="U21" s="629">
        <f>IF(M21="","",X21*SIN(RADIANS(W21)))</f>
        <v>-1.7948367765844837</v>
      </c>
      <c r="V21" s="636">
        <f>IF(M21="","",Y21)</f>
        <v>-0.7085021368424449</v>
      </c>
      <c r="W21" s="585">
        <f t="shared" si="224"/>
        <v>239.22026546086704</v>
      </c>
      <c r="X21" s="629">
        <f>IF(M21="","",R21)</f>
        <v>2.0891063007446031</v>
      </c>
      <c r="Y21" s="630">
        <f t="shared" si="223"/>
        <v>-0.7085021368424449</v>
      </c>
      <c r="Z21" s="632">
        <f t="shared" si="6"/>
        <v>-0.76880607578006943</v>
      </c>
      <c r="AA21" s="629">
        <f t="shared" si="7"/>
        <v>-0.6381229865075756</v>
      </c>
      <c r="AB21" s="629">
        <f t="shared" si="8"/>
        <v>-4.1668596500275969E-2</v>
      </c>
      <c r="AC21" s="636">
        <f>IF(M21="","",SQRT(Z21^2+AA21^2+AB21^2))</f>
        <v>1</v>
      </c>
      <c r="AD21" s="637">
        <f>IF(M21="","",Z21*(1/SQRT(Z21^2+AA21^2+AB21^2)))</f>
        <v>-0.76880607578006943</v>
      </c>
      <c r="AE21" s="629">
        <f>IF(M21="","",AA21*(1/SQRT(Z21^2+AA21^2+AB21^2)))</f>
        <v>-0.6381229865075756</v>
      </c>
      <c r="AF21" s="633">
        <f>IF(M21="","",AB21*(1/SQRT(Z21^2+AA21^2+AB21^2)))</f>
        <v>-4.1668596500275969E-2</v>
      </c>
      <c r="AG21" s="602">
        <f>IF(M21="","",DEGREES(ATAN2(-AF21,AE21)))</f>
        <v>-86.263964554326989</v>
      </c>
      <c r="AH21" s="603">
        <f>IF(M21="","",DEGREES(ACOS(AD21)))</f>
        <v>140.24679622945953</v>
      </c>
      <c r="AI21" s="585">
        <f>IF(M21="","",DEGREES(-ACOS(-AF21)))</f>
        <v>-87.611873869298577</v>
      </c>
      <c r="AJ21" s="586">
        <f>IF(M21="","",DEGREES(ATAN2(-AE21,AD21)))</f>
        <v>-50.306711568691689</v>
      </c>
      <c r="AK21" s="635">
        <f>IF(M21="","",(COS(RADIANS((90-$Q$8)-W21))*AD21)+(-SIN(RADIANS((90-$Q$8)-W21))*AE21))</f>
        <v>0.94994949117389149</v>
      </c>
      <c r="AL21" s="629">
        <f>IF(M21="","",(SIN(RADIANS((90-$Q$8)-W21))*AD21)+(COS(RADIANS((90-$Q$8)-W21))*AE21))</f>
        <v>-0.30961216430263544</v>
      </c>
      <c r="AM21" s="634">
        <f>IF(M21="","",AF21)</f>
        <v>-4.1668596500275969E-2</v>
      </c>
      <c r="AN21" s="581">
        <f>IF(M21="","",DEGREES(ATAN2(-AM21,AL21)))</f>
        <v>-82.335006845146694</v>
      </c>
      <c r="AO21" s="582">
        <f>IF(ROUND(IF(M21="",0,DEGREES(ACOS(AK21))),4)=90,0,IF(M21="","",DEGREES(ACOS(AK21))))</f>
        <v>18.204138092956789</v>
      </c>
      <c r="AP21" s="585">
        <f>IF(M21="","",DEGREES(ATAN2(AK21,AL21)))</f>
        <v>-18.052077242507899</v>
      </c>
      <c r="AQ21" s="586">
        <f t="shared" si="9"/>
        <v>1.0911129986014227</v>
      </c>
      <c r="AS21" s="52">
        <f t="shared" si="116"/>
        <v>-120.77973453913296</v>
      </c>
      <c r="AT21" s="72">
        <f t="shared" si="10"/>
        <v>-0.62360308522703944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3.117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1111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1.8447288575387883</v>
      </c>
      <c r="C22" s="708">
        <v>-1.2678486602278805</v>
      </c>
      <c r="D22" s="709">
        <v>-1.2434037501057098</v>
      </c>
      <c r="E22" s="710">
        <v>0.96363058789359801</v>
      </c>
      <c r="F22" s="708">
        <v>0.26723789041941209</v>
      </c>
      <c r="G22" s="711">
        <v>1.4578093213038364E-7</v>
      </c>
      <c r="H22" s="710">
        <v>0.219</v>
      </c>
      <c r="I22" s="708">
        <v>0.42</v>
      </c>
      <c r="J22" s="570">
        <v>3.1230000000000002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1111</v>
      </c>
      <c r="L22" s="873" t="str">
        <f>IF($L21=$JH$22,$JH$30,IF($L21=$JI$22,$JI$30,""))</f>
        <v/>
      </c>
      <c r="M22" s="168">
        <f t="shared" si="1"/>
        <v>3.1230000000000002</v>
      </c>
      <c r="N22" s="632">
        <f t="shared" si="2"/>
        <v>1.8447288575387883</v>
      </c>
      <c r="O22" s="629">
        <f t="shared" si="3"/>
        <v>-1.2678486602278805</v>
      </c>
      <c r="P22" s="633">
        <f t="shared" si="4"/>
        <v>-1.2434037501057098</v>
      </c>
      <c r="Q22" s="585">
        <f t="shared" si="113"/>
        <v>325.49996534829228</v>
      </c>
      <c r="R22" s="629">
        <f t="shared" si="79"/>
        <v>2.2384067510347609</v>
      </c>
      <c r="S22" s="634">
        <f t="shared" si="80"/>
        <v>-1.2434037501057098</v>
      </c>
      <c r="T22" s="635">
        <f t="shared" si="81"/>
        <v>-1.2199471148189058</v>
      </c>
      <c r="U22" s="629">
        <f t="shared" si="82"/>
        <v>-1.8767508678892415</v>
      </c>
      <c r="V22" s="636">
        <f t="shared" si="114"/>
        <v>-1.2434037501057098</v>
      </c>
      <c r="W22" s="585">
        <f t="shared" si="224"/>
        <v>236.97486513534312</v>
      </c>
      <c r="X22" s="629">
        <f t="shared" si="83"/>
        <v>2.2384067510347609</v>
      </c>
      <c r="Y22" s="630">
        <f t="shared" si="223"/>
        <v>-1.2434037501057098</v>
      </c>
      <c r="Z22" s="632">
        <f t="shared" si="6"/>
        <v>-0.96363058789359801</v>
      </c>
      <c r="AA22" s="629">
        <f t="shared" si="7"/>
        <v>-0.26723789041941209</v>
      </c>
      <c r="AB22" s="629">
        <f t="shared" si="8"/>
        <v>-1.4578093213038364E-7</v>
      </c>
      <c r="AC22" s="636">
        <f t="shared" si="84"/>
        <v>1</v>
      </c>
      <c r="AD22" s="637">
        <f t="shared" si="115"/>
        <v>-0.96363058789359801</v>
      </c>
      <c r="AE22" s="629">
        <f t="shared" si="85"/>
        <v>-0.26723789041941209</v>
      </c>
      <c r="AF22" s="633">
        <f t="shared" si="86"/>
        <v>-1.4578093213038364E-7</v>
      </c>
      <c r="AG22" s="602">
        <f t="shared" si="87"/>
        <v>-89.999968744581352</v>
      </c>
      <c r="AH22" s="603">
        <f t="shared" si="88"/>
        <v>164.50002887642023</v>
      </c>
      <c r="AI22" s="585">
        <f t="shared" si="89"/>
        <v>-89.99999164736785</v>
      </c>
      <c r="AJ22" s="586">
        <f t="shared" si="90"/>
        <v>-74.500028876422377</v>
      </c>
      <c r="AK22" s="635">
        <f t="shared" si="211"/>
        <v>0.76604450791050771</v>
      </c>
      <c r="AL22" s="629">
        <f t="shared" si="91"/>
        <v>-0.64278753247097686</v>
      </c>
      <c r="AM22" s="634">
        <f t="shared" si="92"/>
        <v>-1.4578093213038364E-7</v>
      </c>
      <c r="AN22" s="581">
        <f t="shared" si="93"/>
        <v>-89.999987005609597</v>
      </c>
      <c r="AO22" s="582">
        <f t="shared" si="94"/>
        <v>39.999994224715337</v>
      </c>
      <c r="AP22" s="585">
        <f t="shared" si="95"/>
        <v>-39.999994224714627</v>
      </c>
      <c r="AQ22" s="586">
        <f t="shared" si="9"/>
        <v>1.018352258802516</v>
      </c>
      <c r="AS22" s="52">
        <f t="shared" si="116"/>
        <v>-123.02513486465688</v>
      </c>
      <c r="AT22" s="72">
        <f t="shared" si="10"/>
        <v>-1.1569453927086906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3.1230000000000002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1111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-2.1406391605720755E-2</v>
      </c>
      <c r="C23" s="708">
        <v>-1.6483659814336602</v>
      </c>
      <c r="D23" s="709">
        <v>-0.1802005434848391</v>
      </c>
      <c r="E23" s="710">
        <v>0.95932012213651641</v>
      </c>
      <c r="F23" s="708">
        <v>-0.19429272962260585</v>
      </c>
      <c r="G23" s="711">
        <v>0.2048297792797136</v>
      </c>
      <c r="H23" s="710">
        <v>0.219</v>
      </c>
      <c r="I23" s="708">
        <v>0.42</v>
      </c>
      <c r="J23" s="570">
        <v>4.1100000000000003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1111</v>
      </c>
      <c r="M23" s="168">
        <f t="shared" si="1"/>
        <v>4.1100000000000003</v>
      </c>
      <c r="N23" s="632">
        <f t="shared" si="2"/>
        <v>-2.1406391605720755E-2</v>
      </c>
      <c r="O23" s="629">
        <f t="shared" si="3"/>
        <v>-1.6483659814336602</v>
      </c>
      <c r="P23" s="633">
        <f t="shared" si="4"/>
        <v>-0.1802005434848391</v>
      </c>
      <c r="Q23" s="585">
        <f t="shared" si="113"/>
        <v>269.25597411863953</v>
      </c>
      <c r="R23" s="629">
        <f t="shared" si="79"/>
        <v>1.6485049718909952</v>
      </c>
      <c r="S23" s="634">
        <f t="shared" si="80"/>
        <v>-0.1802005434848391</v>
      </c>
      <c r="T23" s="635">
        <f t="shared" si="81"/>
        <v>-1.6483708517426869</v>
      </c>
      <c r="U23" s="629">
        <f t="shared" si="82"/>
        <v>-2.1028016416661594E-2</v>
      </c>
      <c r="V23" s="636">
        <f t="shared" si="114"/>
        <v>-0.1802005434848391</v>
      </c>
      <c r="W23" s="585">
        <f t="shared" si="224"/>
        <v>180.73087390569037</v>
      </c>
      <c r="X23" s="629">
        <f t="shared" si="83"/>
        <v>1.6485049718909952</v>
      </c>
      <c r="Y23" s="630">
        <f t="shared" si="223"/>
        <v>-0.1802005434848391</v>
      </c>
      <c r="Z23" s="632">
        <f t="shared" si="6"/>
        <v>-0.95932012213651641</v>
      </c>
      <c r="AA23" s="629">
        <f t="shared" si="7"/>
        <v>0.19429272962260585</v>
      </c>
      <c r="AB23" s="629">
        <f t="shared" si="8"/>
        <v>-0.2048297792797136</v>
      </c>
      <c r="AC23" s="636">
        <f t="shared" si="84"/>
        <v>1</v>
      </c>
      <c r="AD23" s="637">
        <f t="shared" si="115"/>
        <v>-0.95932012213651641</v>
      </c>
      <c r="AE23" s="629">
        <f t="shared" si="85"/>
        <v>0.19429272962260585</v>
      </c>
      <c r="AF23" s="633">
        <f t="shared" si="86"/>
        <v>-0.2048297792797136</v>
      </c>
      <c r="AG23" s="602">
        <f t="shared" si="87"/>
        <v>43.487711779959234</v>
      </c>
      <c r="AH23" s="603">
        <f t="shared" si="88"/>
        <v>163.6012475828569</v>
      </c>
      <c r="AI23" s="585">
        <f t="shared" si="89"/>
        <v>-78.180465326267068</v>
      </c>
      <c r="AJ23" s="586">
        <f t="shared" si="90"/>
        <v>-101.44934066537951</v>
      </c>
      <c r="AK23" s="635">
        <f t="shared" si="211"/>
        <v>0.96176219539840135</v>
      </c>
      <c r="AL23" s="629">
        <f t="shared" si="91"/>
        <v>-0.18181925371827673</v>
      </c>
      <c r="AM23" s="634">
        <f t="shared" si="92"/>
        <v>-0.2048297792797136</v>
      </c>
      <c r="AN23" s="581">
        <f t="shared" si="93"/>
        <v>-41.594190873156052</v>
      </c>
      <c r="AO23" s="582">
        <f t="shared" si="94"/>
        <v>15.89563135274731</v>
      </c>
      <c r="AP23" s="585">
        <f t="shared" si="95"/>
        <v>-10.705314784019031</v>
      </c>
      <c r="AQ23" s="586">
        <f t="shared" si="9"/>
        <v>1.3826370765600418</v>
      </c>
      <c r="AS23" s="52">
        <f t="shared" si="116"/>
        <v>-179.26912609430963</v>
      </c>
      <c r="AT23" s="72">
        <f t="shared" si="10"/>
        <v>-5.4683858845005429E-2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4.1100000000000003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1111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-7.4991098699716818E-2</v>
      </c>
      <c r="C24" s="708">
        <v>-2.0475333617583251</v>
      </c>
      <c r="D24" s="709">
        <v>-0.61820186449682302</v>
      </c>
      <c r="E24" s="710">
        <v>0.93970162684529979</v>
      </c>
      <c r="F24" s="708">
        <v>-0.33540458284166919</v>
      </c>
      <c r="G24" s="711">
        <v>6.6817799373392356E-2</v>
      </c>
      <c r="H24" s="710">
        <v>0.219</v>
      </c>
      <c r="I24" s="708">
        <v>0.42</v>
      </c>
      <c r="J24" s="570">
        <v>4.1159999999999997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1111</v>
      </c>
      <c r="L24" s="86"/>
      <c r="M24" s="168">
        <f t="shared" si="1"/>
        <v>4.1159999999999997</v>
      </c>
      <c r="N24" s="632">
        <f t="shared" si="2"/>
        <v>-7.4991098699716818E-2</v>
      </c>
      <c r="O24" s="629">
        <f t="shared" si="3"/>
        <v>-2.0475333617583251</v>
      </c>
      <c r="P24" s="633">
        <f t="shared" si="4"/>
        <v>-0.61820186449682302</v>
      </c>
      <c r="Q24" s="585">
        <f t="shared" si="113"/>
        <v>267.90247431406067</v>
      </c>
      <c r="R24" s="629">
        <f t="shared" si="79"/>
        <v>2.0489061795010377</v>
      </c>
      <c r="S24" s="634">
        <f t="shared" si="80"/>
        <v>-0.61820186449682302</v>
      </c>
      <c r="T24" s="635">
        <f t="shared" si="81"/>
        <v>-2.0487852041470762</v>
      </c>
      <c r="U24" s="629">
        <f t="shared" si="82"/>
        <v>2.2264762867866401E-2</v>
      </c>
      <c r="V24" s="636">
        <f t="shared" si="114"/>
        <v>-0.61820186449682302</v>
      </c>
      <c r="W24" s="585">
        <f t="shared" si="224"/>
        <v>179.37737410111151</v>
      </c>
      <c r="X24" s="629">
        <f t="shared" si="83"/>
        <v>2.0489061795010377</v>
      </c>
      <c r="Y24" s="630">
        <f t="shared" si="223"/>
        <v>-0.61820186449682302</v>
      </c>
      <c r="Z24" s="632">
        <f t="shared" si="6"/>
        <v>-0.93970162684529979</v>
      </c>
      <c r="AA24" s="629">
        <f t="shared" si="7"/>
        <v>0.33540458284166919</v>
      </c>
      <c r="AB24" s="629">
        <f t="shared" si="8"/>
        <v>-6.6817799373392356E-2</v>
      </c>
      <c r="AC24" s="636">
        <f t="shared" si="84"/>
        <v>1</v>
      </c>
      <c r="AD24" s="637">
        <f t="shared" si="115"/>
        <v>-0.93970162684529979</v>
      </c>
      <c r="AE24" s="629">
        <f t="shared" si="85"/>
        <v>0.33540458284166919</v>
      </c>
      <c r="AF24" s="633">
        <f t="shared" si="86"/>
        <v>-6.6817799373392356E-2</v>
      </c>
      <c r="AG24" s="602">
        <f t="shared" si="87"/>
        <v>78.733292522993551</v>
      </c>
      <c r="AH24" s="603">
        <f t="shared" si="88"/>
        <v>160.00150876452852</v>
      </c>
      <c r="AI24" s="585">
        <f t="shared" si="89"/>
        <v>-86.168767653339458</v>
      </c>
      <c r="AJ24" s="586">
        <f t="shared" si="90"/>
        <v>-109.64283845663583</v>
      </c>
      <c r="AK24" s="635">
        <f>IF(M24="","",(COS(RADIANS((90-$Q$8)-W24))*AD24)+(-SIN(RADIANS((90-$Q$8)-W24))*AE24))</f>
        <v>0.95134799667363379</v>
      </c>
      <c r="AL24" s="629">
        <f t="shared" si="91"/>
        <v>-0.3007862545263012</v>
      </c>
      <c r="AM24" s="634">
        <f t="shared" si="92"/>
        <v>-6.6817799373392356E-2</v>
      </c>
      <c r="AN24" s="581">
        <f t="shared" si="93"/>
        <v>-77.475474575090928</v>
      </c>
      <c r="AO24" s="582">
        <f t="shared" si="94"/>
        <v>17.945877055128616</v>
      </c>
      <c r="AP24" s="585">
        <f t="shared" si="95"/>
        <v>-17.545312770696512</v>
      </c>
      <c r="AQ24" s="586">
        <f t="shared" si="9"/>
        <v>1.1125156168744006</v>
      </c>
      <c r="AS24" s="52">
        <f t="shared" si="116"/>
        <v>-180.62262589888849</v>
      </c>
      <c r="AT24" s="72">
        <f t="shared" si="10"/>
        <v>-0.49174524943714293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4.1159999999999997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1111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-0.17562438174584064</v>
      </c>
      <c r="C25" s="708">
        <v>-2.2315064103906104</v>
      </c>
      <c r="D25" s="709">
        <v>-1.1598034979673497</v>
      </c>
      <c r="E25" s="710">
        <v>0.71325020187891408</v>
      </c>
      <c r="F25" s="708">
        <v>-0.70090951592888728</v>
      </c>
      <c r="G25" s="711">
        <v>1.4578093202488513E-7</v>
      </c>
      <c r="H25" s="710">
        <v>0.219</v>
      </c>
      <c r="I25" s="708">
        <v>0.42</v>
      </c>
      <c r="J25" s="570">
        <v>4.1219999999999999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1111</v>
      </c>
      <c r="L25" s="86"/>
      <c r="M25" s="168">
        <f t="shared" si="1"/>
        <v>4.1219999999999999</v>
      </c>
      <c r="N25" s="632">
        <f t="shared" si="2"/>
        <v>-0.17562438174584064</v>
      </c>
      <c r="O25" s="629">
        <f t="shared" si="3"/>
        <v>-2.2315064103906104</v>
      </c>
      <c r="P25" s="633">
        <f t="shared" si="4"/>
        <v>-1.1598034979673497</v>
      </c>
      <c r="Q25" s="585">
        <f t="shared" si="113"/>
        <v>265.49997401121919</v>
      </c>
      <c r="R25" s="629">
        <f>IF(M25="","",SQRT(N25^2+O25^2))</f>
        <v>2.2384067510347614</v>
      </c>
      <c r="S25" s="634">
        <f>IF(M25="","",P25)</f>
        <v>-1.1598034979673497</v>
      </c>
      <c r="T25" s="635">
        <f>IF(M25="","",X25*COS(RADIANS(W25)))</f>
        <v>-2.2352875034368216</v>
      </c>
      <c r="U25" s="629">
        <f>IF(M25="","",X25*SIN(RADIANS(W25)))</f>
        <v>0.11812942079421988</v>
      </c>
      <c r="V25" s="636">
        <f>IF(M25="","",Y25)</f>
        <v>-1.1598034979673497</v>
      </c>
      <c r="W25" s="585">
        <f t="shared" si="224"/>
        <v>176.97487379827004</v>
      </c>
      <c r="X25" s="629">
        <f>IF(M25="","",R25)</f>
        <v>2.2384067510347614</v>
      </c>
      <c r="Y25" s="630">
        <f t="shared" si="223"/>
        <v>-1.1598034979673497</v>
      </c>
      <c r="Z25" s="632">
        <f t="shared" si="6"/>
        <v>-0.71325020187891408</v>
      </c>
      <c r="AA25" s="629">
        <f t="shared" si="7"/>
        <v>0.70090951592888728</v>
      </c>
      <c r="AB25" s="629">
        <f t="shared" si="8"/>
        <v>-1.4578093202488513E-7</v>
      </c>
      <c r="AC25" s="636">
        <f>IF(M25="","",SQRT(Z25^2+AA25^2+AB25^2))</f>
        <v>1</v>
      </c>
      <c r="AD25" s="637">
        <f>IF(M25="","",Z25*(1/SQRT(Z25^2+AA25^2+AB25^2)))</f>
        <v>-0.71325020187891408</v>
      </c>
      <c r="AE25" s="629">
        <f>IF(M25="","",AA25*(1/SQRT(Z25^2+AA25^2+AB25^2)))</f>
        <v>0.70090951592888728</v>
      </c>
      <c r="AF25" s="633">
        <f>IF(M25="","",AB25*(1/SQRT(Z25^2+AA25^2+AB25^2)))</f>
        <v>-1.4578093202488513E-7</v>
      </c>
      <c r="AG25" s="602">
        <f>IF(M25="","",DEGREES(ATAN2(-AF25,AE25)))</f>
        <v>89.999988083152047</v>
      </c>
      <c r="AH25" s="603">
        <f>IF(M25="","",DEGREES(ACOS(AD25)))</f>
        <v>135.49997978650393</v>
      </c>
      <c r="AI25" s="585">
        <f>IF(M25="","",DEGREES(-ACOS(-AF25)))</f>
        <v>-89.999991647367864</v>
      </c>
      <c r="AJ25" s="586">
        <f>IF(M25="","",DEGREES(ATAN2(-AE25,AD25)))</f>
        <v>-134.50002021349545</v>
      </c>
      <c r="AK25" s="635">
        <f>IF(M25="","",(COS(RADIANS((90-$Q$8)-W25))*AD25)+(-SIN(RADIANS((90-$Q$8)-W25))*AE25))</f>
        <v>0.76604450791050749</v>
      </c>
      <c r="AL25" s="629">
        <f>IF(M25="","",(SIN(RADIANS((90-$Q$8)-W25))*AD25)+(COS(RADIANS((90-$Q$8)-W25))*AE25))</f>
        <v>-0.64278753247097697</v>
      </c>
      <c r="AM25" s="634">
        <f>IF(M25="","",AF25)</f>
        <v>-1.4578093202488513E-7</v>
      </c>
      <c r="AN25" s="581">
        <f>IF(M25="","",DEGREES(ATAN2(-AM25,AL25)))</f>
        <v>-89.999987005609611</v>
      </c>
      <c r="AO25" s="582">
        <f>IF(ROUND(IF(M25="",0,DEGREES(ACOS(AK25))),4)=90,0,IF(M25="","",DEGREES(ACOS(AK25))))</f>
        <v>39.999994224715358</v>
      </c>
      <c r="AP25" s="585">
        <f>IF(M25="","",DEGREES(ATAN2(AK25,AL25)))</f>
        <v>-39.999994224714641</v>
      </c>
      <c r="AQ25" s="586">
        <f t="shared" si="9"/>
        <v>1.018352258802516</v>
      </c>
      <c r="AS25" s="52">
        <f t="shared" si="116"/>
        <v>-183.02512620172996</v>
      </c>
      <c r="AT25" s="72">
        <f t="shared" si="10"/>
        <v>-1.0316784799195853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4.1219999999999999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1111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-0.35100770961708511</v>
      </c>
      <c r="C26" s="708">
        <v>-0.24577824424360803</v>
      </c>
      <c r="D26" s="709">
        <v>-0.15180045783018081</v>
      </c>
      <c r="E26" s="710">
        <v>0.60890506553846191</v>
      </c>
      <c r="F26" s="708">
        <v>-0.75281779836100626</v>
      </c>
      <c r="G26" s="711">
        <v>0.24999996726497575</v>
      </c>
      <c r="H26" s="710">
        <v>0.219</v>
      </c>
      <c r="I26" s="708">
        <v>0.42</v>
      </c>
      <c r="J26" s="570">
        <v>5.1020000000000003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1111</v>
      </c>
      <c r="L26" s="320"/>
      <c r="M26" s="168">
        <f t="shared" si="1"/>
        <v>5.1020000000000003</v>
      </c>
      <c r="N26" s="632">
        <f t="shared" si="2"/>
        <v>-0.35100770961708511</v>
      </c>
      <c r="O26" s="629">
        <f t="shared" si="3"/>
        <v>-0.24577824424360803</v>
      </c>
      <c r="P26" s="633">
        <f t="shared" si="4"/>
        <v>-0.15180045783018081</v>
      </c>
      <c r="Q26" s="585">
        <f t="shared" si="113"/>
        <v>215</v>
      </c>
      <c r="R26" s="629">
        <f>IF(M26="","",SQRT(N26^2+O26^2))</f>
        <v>0.42850129235989776</v>
      </c>
      <c r="S26" s="634">
        <f>IF(M26="","",P26)</f>
        <v>-0.15180045783018081</v>
      </c>
      <c r="T26" s="635">
        <f>IF(M26="","",X26*COS(RADIANS(W26)))</f>
        <v>-0.25473140964840901</v>
      </c>
      <c r="U26" s="629">
        <f>IF(M26="","",X26*SIN(RADIANS(W26)))</f>
        <v>0.3445653297890503</v>
      </c>
      <c r="V26" s="636">
        <f>IF(M26="","",Y26)</f>
        <v>-0.15180045783018081</v>
      </c>
      <c r="W26" s="585">
        <f t="shared" si="224"/>
        <v>126.47489978705083</v>
      </c>
      <c r="X26" s="629">
        <f>IF(M26="","",R26)</f>
        <v>0.42850129235989776</v>
      </c>
      <c r="Y26" s="630">
        <f t="shared" si="223"/>
        <v>-0.15180045783018081</v>
      </c>
      <c r="Z26" s="632">
        <f t="shared" si="6"/>
        <v>-0.60890506553846191</v>
      </c>
      <c r="AA26" s="629">
        <f t="shared" si="7"/>
        <v>0.75281779836100626</v>
      </c>
      <c r="AB26" s="629">
        <f t="shared" si="8"/>
        <v>-0.24999996726497575</v>
      </c>
      <c r="AC26" s="636">
        <f>IF(M26="","",SQRT(Z26^2+AA26^2+AB26^2))</f>
        <v>1</v>
      </c>
      <c r="AD26" s="637">
        <f>IF(M26="","",Z26*(1/SQRT(Z26^2+AA26^2+AB26^2)))</f>
        <v>-0.60890506553846191</v>
      </c>
      <c r="AE26" s="629">
        <f>IF(M26="","",AA26*(1/SQRT(Z26^2+AA26^2+AB26^2)))</f>
        <v>0.75281779836100626</v>
      </c>
      <c r="AF26" s="633">
        <f>IF(M26="","",AB26*(1/SQRT(Z26^2+AA26^2+AB26^2)))</f>
        <v>-0.24999996726497575</v>
      </c>
      <c r="AG26" s="602">
        <f>IF(M26="","",DEGREES(ATAN2(-AF26,AE26)))</f>
        <v>71.629414945944262</v>
      </c>
      <c r="AH26" s="603">
        <f>IF(M26="","",DEGREES(ACOS(AD26)))</f>
        <v>127.51037411491508</v>
      </c>
      <c r="AI26" s="585">
        <f>IF(M26="","",DEGREES(-ACOS(-AF26)))</f>
        <v>-75.522489751159455</v>
      </c>
      <c r="AJ26" s="586">
        <f>IF(M26="","",DEGREES(ATAN2(-AE26,AD26)))</f>
        <v>-141.03287035491343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6.6987279208207129E-2</v>
      </c>
      <c r="AM26" s="634">
        <f>IF(M26="","",AF26)</f>
        <v>-0.24999996726497575</v>
      </c>
      <c r="AN26" s="581">
        <f>IF(M26="","",DEGREES(ATAN2(-AM26,AL26)))</f>
        <v>14.99999783426825</v>
      </c>
      <c r="AO26" s="582">
        <f t="shared" si="94"/>
        <v>14.999997834268255</v>
      </c>
      <c r="AP26" s="585">
        <f>IF(M26="","",DEGREES(ATAN2(AK26,AL26)))</f>
        <v>3.9671296450865672</v>
      </c>
      <c r="AQ26" s="586">
        <f t="shared" si="9"/>
        <v>5.3050207921284995</v>
      </c>
      <c r="AS26" s="52">
        <f t="shared" si="116"/>
        <v>-233.52510021294916</v>
      </c>
      <c r="AT26" s="72">
        <f t="shared" si="10"/>
        <v>1.1393986614263635E-2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5.1020000000000003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1111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-0.80440973359154588</v>
      </c>
      <c r="C27" s="708">
        <v>-0.56325375927006582</v>
      </c>
      <c r="D27" s="709">
        <v>-2.1000063336190866E-2</v>
      </c>
      <c r="E27" s="710">
        <v>0.57251036996167348</v>
      </c>
      <c r="F27" s="708">
        <v>-0.77830163855472112</v>
      </c>
      <c r="G27" s="711">
        <v>0.25783412440827969</v>
      </c>
      <c r="H27" s="710">
        <v>0.219</v>
      </c>
      <c r="I27" s="708">
        <v>0.42</v>
      </c>
      <c r="J27" s="570">
        <v>5.1050000000000004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1111</v>
      </c>
      <c r="L27" s="320"/>
      <c r="M27" s="168">
        <f t="shared" si="1"/>
        <v>5.1050000000000004</v>
      </c>
      <c r="N27" s="632">
        <f t="shared" si="2"/>
        <v>-0.80440973359154588</v>
      </c>
      <c r="O27" s="629">
        <f t="shared" si="3"/>
        <v>-0.56325375927006582</v>
      </c>
      <c r="P27" s="633">
        <f t="shared" si="4"/>
        <v>-2.1000063336190866E-2</v>
      </c>
      <c r="Q27" s="585">
        <f t="shared" si="113"/>
        <v>215.00000000000006</v>
      </c>
      <c r="R27" s="629">
        <f t="shared" si="79"/>
        <v>0.98200296172093238</v>
      </c>
      <c r="S27" s="634">
        <f t="shared" si="80"/>
        <v>-2.1000063336190866E-2</v>
      </c>
      <c r="T27" s="635">
        <f t="shared" si="81"/>
        <v>-0.58377186528526936</v>
      </c>
      <c r="U27" s="629">
        <f t="shared" si="82"/>
        <v>0.78964563326218706</v>
      </c>
      <c r="V27" s="636">
        <f t="shared" si="114"/>
        <v>-2.1000063336190866E-2</v>
      </c>
      <c r="W27" s="585">
        <f t="shared" si="224"/>
        <v>126.47489978705089</v>
      </c>
      <c r="X27" s="629">
        <f t="shared" si="83"/>
        <v>0.98200296172093238</v>
      </c>
      <c r="Y27" s="630">
        <f t="shared" si="223"/>
        <v>-2.1000063336190866E-2</v>
      </c>
      <c r="Z27" s="632">
        <f t="shared" si="6"/>
        <v>-0.57251036996167348</v>
      </c>
      <c r="AA27" s="629">
        <f t="shared" si="7"/>
        <v>0.77830163855472112</v>
      </c>
      <c r="AB27" s="629">
        <f t="shared" si="8"/>
        <v>-0.25783412440827969</v>
      </c>
      <c r="AC27" s="636">
        <f t="shared" si="84"/>
        <v>1</v>
      </c>
      <c r="AD27" s="637">
        <f t="shared" si="115"/>
        <v>-0.57251036996167348</v>
      </c>
      <c r="AE27" s="629">
        <f t="shared" si="85"/>
        <v>0.77830163855472112</v>
      </c>
      <c r="AF27" s="633">
        <f t="shared" si="86"/>
        <v>-0.25783412440827969</v>
      </c>
      <c r="AG27" s="602">
        <f t="shared" si="87"/>
        <v>71.671107872279364</v>
      </c>
      <c r="AH27" s="603">
        <f t="shared" si="88"/>
        <v>124.92546766244011</v>
      </c>
      <c r="AI27" s="585">
        <f t="shared" si="89"/>
        <v>-75.058414528502141</v>
      </c>
      <c r="AJ27" s="586">
        <f t="shared" si="90"/>
        <v>-143.66219741045018</v>
      </c>
      <c r="AK27" s="635">
        <f t="shared" si="211"/>
        <v>0.96592583607220761</v>
      </c>
      <c r="AL27" s="629">
        <f t="shared" si="91"/>
        <v>2.2557559682353956E-2</v>
      </c>
      <c r="AM27" s="634">
        <f t="shared" si="92"/>
        <v>-0.25783412440827969</v>
      </c>
      <c r="AN27" s="581">
        <f t="shared" si="93"/>
        <v>4.9999992780893212</v>
      </c>
      <c r="AO27" s="582">
        <f t="shared" si="94"/>
        <v>14.999997834268203</v>
      </c>
      <c r="AP27" s="585">
        <f t="shared" si="95"/>
        <v>1.337802589549753</v>
      </c>
      <c r="AQ27" s="586">
        <f t="shared" si="9"/>
        <v>2.3202377215107886</v>
      </c>
      <c r="AS27" s="52">
        <f t="shared" si="116"/>
        <v>-233.5251002129491</v>
      </c>
      <c r="AT27" s="72">
        <f t="shared" si="10"/>
        <v>0.14219438110825355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5.1050000000000004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-1.2860183653161643</v>
      </c>
      <c r="C28" s="708">
        <v>-0.88339995889482414</v>
      </c>
      <c r="D28" s="709">
        <v>-0.13100039509719177</v>
      </c>
      <c r="E28" s="710">
        <v>0.42020911231629055</v>
      </c>
      <c r="F28" s="708">
        <v>-0.87991404625750347</v>
      </c>
      <c r="G28" s="711">
        <v>0.22175566086371534</v>
      </c>
      <c r="H28" s="710">
        <v>0.219</v>
      </c>
      <c r="I28" s="708">
        <v>0.42</v>
      </c>
      <c r="J28" s="570">
        <v>5.109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1111</v>
      </c>
      <c r="L28" s="320"/>
      <c r="M28" s="168">
        <f t="shared" si="1"/>
        <v>5.109</v>
      </c>
      <c r="N28" s="632">
        <f t="shared" si="2"/>
        <v>-1.2860183653161643</v>
      </c>
      <c r="O28" s="629">
        <f t="shared" si="3"/>
        <v>-0.88339995889482414</v>
      </c>
      <c r="P28" s="633">
        <f t="shared" si="4"/>
        <v>-0.13100039509719177</v>
      </c>
      <c r="Q28" s="585">
        <f t="shared" si="113"/>
        <v>214.48620007418353</v>
      </c>
      <c r="R28" s="629">
        <f t="shared" si="79"/>
        <v>1.560204705577392</v>
      </c>
      <c r="S28" s="634">
        <f t="shared" si="80"/>
        <v>-0.13100039509719177</v>
      </c>
      <c r="T28" s="635">
        <f t="shared" si="81"/>
        <v>-0.91620813100163434</v>
      </c>
      <c r="U28" s="629">
        <f t="shared" si="82"/>
        <v>1.2628544587529984</v>
      </c>
      <c r="V28" s="636">
        <f t="shared" si="114"/>
        <v>-0.13100039509719177</v>
      </c>
      <c r="W28" s="585">
        <f t="shared" si="224"/>
        <v>125.96109986123436</v>
      </c>
      <c r="X28" s="629">
        <f t="shared" si="83"/>
        <v>1.560204705577392</v>
      </c>
      <c r="Y28" s="630">
        <f t="shared" si="223"/>
        <v>-0.13100039509719177</v>
      </c>
      <c r="Z28" s="632">
        <f t="shared" si="6"/>
        <v>-0.42020911231629055</v>
      </c>
      <c r="AA28" s="629">
        <f t="shared" si="7"/>
        <v>0.87991404625750347</v>
      </c>
      <c r="AB28" s="629">
        <f t="shared" si="8"/>
        <v>-0.22175566086371534</v>
      </c>
      <c r="AC28" s="636">
        <f t="shared" si="84"/>
        <v>1</v>
      </c>
      <c r="AD28" s="637">
        <f t="shared" si="115"/>
        <v>-0.42020911231629055</v>
      </c>
      <c r="AE28" s="629">
        <f t="shared" si="85"/>
        <v>0.87991404625750347</v>
      </c>
      <c r="AF28" s="633">
        <f t="shared" si="86"/>
        <v>-0.22175566086371534</v>
      </c>
      <c r="AG28" s="602">
        <f t="shared" si="87"/>
        <v>75.854895988421219</v>
      </c>
      <c r="AH28" s="603">
        <f t="shared" si="88"/>
        <v>114.84779032598276</v>
      </c>
      <c r="AI28" s="585">
        <f t="shared" si="89"/>
        <v>-77.18782764295176</v>
      </c>
      <c r="AJ28" s="586">
        <f t="shared" si="90"/>
        <v>-154.47286521476406</v>
      </c>
      <c r="AK28" s="635">
        <f t="shared" si="211"/>
        <v>0.96320587328192986</v>
      </c>
      <c r="AL28" s="629">
        <f t="shared" si="91"/>
        <v>-0.15185148188309466</v>
      </c>
      <c r="AM28" s="634">
        <f t="shared" si="92"/>
        <v>-0.22175566086371534</v>
      </c>
      <c r="AN28" s="581">
        <f t="shared" si="93"/>
        <v>-34.402148069359555</v>
      </c>
      <c r="AO28" s="582">
        <f t="shared" si="94"/>
        <v>15.590770502661517</v>
      </c>
      <c r="AP28" s="585">
        <f t="shared" si="95"/>
        <v>-8.959065288947615</v>
      </c>
      <c r="AQ28" s="586">
        <f t="shared" si="9"/>
        <v>1.4608548471143117</v>
      </c>
      <c r="AS28" s="52">
        <f t="shared" si="116"/>
        <v>-234.03890013876565</v>
      </c>
      <c r="AT28" s="72">
        <f t="shared" si="10"/>
        <v>3.2550854851291916E-2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5.109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-1.6760158600341593</v>
      </c>
      <c r="C29" s="708">
        <v>-1.0920600416988631</v>
      </c>
      <c r="D29" s="709">
        <v>-0.53150160300883487</v>
      </c>
      <c r="E29" s="710">
        <v>0.27826284239304022</v>
      </c>
      <c r="F29" s="708">
        <v>-0.95607890855237776</v>
      </c>
      <c r="G29" s="711">
        <v>9.2102720723332795E-2</v>
      </c>
      <c r="H29" s="710">
        <v>0.219</v>
      </c>
      <c r="I29" s="708">
        <v>0.42</v>
      </c>
      <c r="J29" s="570">
        <v>5.1150000000000002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1111</v>
      </c>
      <c r="L29" s="86"/>
      <c r="M29" s="168">
        <f t="shared" si="1"/>
        <v>5.1150000000000002</v>
      </c>
      <c r="N29" s="632">
        <f t="shared" si="2"/>
        <v>-1.6760158600341593</v>
      </c>
      <c r="O29" s="629">
        <f t="shared" si="3"/>
        <v>-1.0920600416988631</v>
      </c>
      <c r="P29" s="633">
        <f t="shared" si="4"/>
        <v>-0.53150160300883487</v>
      </c>
      <c r="Q29" s="585">
        <f t="shared" si="113"/>
        <v>213.08750027613078</v>
      </c>
      <c r="R29" s="629">
        <f>IF(M29="","",SQRT(N29^2+O29^2))</f>
        <v>2.0004060332245963</v>
      </c>
      <c r="S29" s="634">
        <f>IF(M29="","",P29)</f>
        <v>-0.53150160300883487</v>
      </c>
      <c r="T29" s="635">
        <f>IF(M29="","",X29*COS(RADIANS(W29)))</f>
        <v>-1.1348372352272784</v>
      </c>
      <c r="U29" s="629">
        <f>IF(M29="","",X29*SIN(RADIANS(W29)))</f>
        <v>1.6473520410959739</v>
      </c>
      <c r="V29" s="636">
        <f>IF(M29="","",Y29)</f>
        <v>-0.53150160300883487</v>
      </c>
      <c r="W29" s="585">
        <f t="shared" si="224"/>
        <v>124.56240006318161</v>
      </c>
      <c r="X29" s="629">
        <f>IF(M29="","",R29)</f>
        <v>2.0004060332245963</v>
      </c>
      <c r="Y29" s="630">
        <f t="shared" si="223"/>
        <v>-0.53150160300883487</v>
      </c>
      <c r="Z29" s="632">
        <f t="shared" si="6"/>
        <v>-0.27826284239304022</v>
      </c>
      <c r="AA29" s="629">
        <f t="shared" si="7"/>
        <v>0.95607890855237776</v>
      </c>
      <c r="AB29" s="629">
        <f t="shared" si="8"/>
        <v>-9.2102720723332795E-2</v>
      </c>
      <c r="AC29" s="636">
        <f>IF(M29="","",SQRT(Z29^2+AA29^2+AB29^2))</f>
        <v>1</v>
      </c>
      <c r="AD29" s="637">
        <f>IF(M29="","",Z29*(1/SQRT(Z29^2+AA29^2+AB29^2)))</f>
        <v>-0.27826284239304022</v>
      </c>
      <c r="AE29" s="629">
        <f>IF(M29="","",AA29*(1/SQRT(Z29^2+AA29^2+AB29^2)))</f>
        <v>0.95607890855237776</v>
      </c>
      <c r="AF29" s="633">
        <f>IF(M29="","",AB29*(1/SQRT(Z29^2+AA29^2+AB29^2)))</f>
        <v>-9.2102720723332795E-2</v>
      </c>
      <c r="AG29" s="602">
        <f>IF(M29="","",DEGREES(ATAN2(-AF29,AE29)))</f>
        <v>84.497459098421089</v>
      </c>
      <c r="AH29" s="603">
        <f>IF(M29="","",DEGREES(ACOS(AD29)))</f>
        <v>106.156553039795</v>
      </c>
      <c r="AI29" s="585">
        <f>IF(M29="","",DEGREES(-ACOS(-AF29)))</f>
        <v>-84.715413338067819</v>
      </c>
      <c r="AJ29" s="586">
        <f>IF(M29="","",DEGREES(ATAN2(-AE29,AD29)))</f>
        <v>-163.77257981348509</v>
      </c>
      <c r="AK29" s="635">
        <f>IF(M29="","",(COS(RADIANS((90-$Q$8)-W29))*AD29)+(-SIN(RADIANS((90-$Q$8)-W29))*AE29))</f>
        <v>0.95294810842579214</v>
      </c>
      <c r="AL29" s="629">
        <f>IF(M29="","",(SIN(RADIANS((90-$Q$8)-W29))*AD29)+(COS(RADIANS((90-$Q$8)-W29))*AE29))</f>
        <v>-0.28880268607314658</v>
      </c>
      <c r="AM29" s="634">
        <f>IF(M29="","",AF29)</f>
        <v>-9.2102720723332795E-2</v>
      </c>
      <c r="AN29" s="581">
        <f>IF(M29="","",DEGREES(ATAN2(-AM29,AL29)))</f>
        <v>-72.31187944318458</v>
      </c>
      <c r="AO29" s="582">
        <f t="shared" si="94"/>
        <v>17.645904376756839</v>
      </c>
      <c r="AP29" s="585">
        <f>IF(M29="","",DEGREES(ATAN2(AK29,AL29)))</f>
        <v>-16.860080089615867</v>
      </c>
      <c r="AQ29" s="586">
        <f t="shared" si="9"/>
        <v>1.1394816983756615</v>
      </c>
      <c r="AS29" s="52">
        <f t="shared" si="116"/>
        <v>-235.4375999368184</v>
      </c>
      <c r="AT29" s="72">
        <f t="shared" si="10"/>
        <v>-0.36697903375614788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5.1150000000000002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1111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-1.9286765296207242</v>
      </c>
      <c r="C30" s="708">
        <v>-1.1360772980603713</v>
      </c>
      <c r="D30" s="709">
        <v>-1.0788032536706129</v>
      </c>
      <c r="E30" s="710">
        <v>-0.16504750644531099</v>
      </c>
      <c r="F30" s="708">
        <v>-0.98628561817364235</v>
      </c>
      <c r="G30" s="711">
        <v>1.4578093206794164E-7</v>
      </c>
      <c r="H30" s="710">
        <v>0.219</v>
      </c>
      <c r="I30" s="708">
        <v>0.42</v>
      </c>
      <c r="J30" s="570">
        <v>5.1210000000000004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1111</v>
      </c>
      <c r="L30" s="86"/>
      <c r="M30" s="168">
        <f t="shared" si="1"/>
        <v>5.1210000000000004</v>
      </c>
      <c r="N30" s="632">
        <f t="shared" si="2"/>
        <v>-1.9286765296207242</v>
      </c>
      <c r="O30" s="629">
        <f t="shared" si="3"/>
        <v>-1.1360772980603713</v>
      </c>
      <c r="P30" s="633">
        <f t="shared" si="4"/>
        <v>-1.0788032536706129</v>
      </c>
      <c r="Q30" s="585">
        <f t="shared" si="113"/>
        <v>210.5</v>
      </c>
      <c r="R30" s="629">
        <f>IF(M30="","",SQRT(N30^2+O30^2))</f>
        <v>2.2384067510347609</v>
      </c>
      <c r="S30" s="634">
        <f>IF(M30="","",P30)</f>
        <v>-1.0788032536706129</v>
      </c>
      <c r="T30" s="635">
        <f>IF(M30="","",X30*COS(RADIANS(W30)))</f>
        <v>-1.1853431451816856</v>
      </c>
      <c r="U30" s="629">
        <f>IF(M30="","",X30*SIN(RADIANS(W30)))</f>
        <v>1.8987960425619135</v>
      </c>
      <c r="V30" s="636">
        <f>IF(M30="","",Y30)</f>
        <v>-1.0788032536706129</v>
      </c>
      <c r="W30" s="585">
        <f t="shared" si="224"/>
        <v>121.97489978705083</v>
      </c>
      <c r="X30" s="629">
        <f>IF(M30="","",R30)</f>
        <v>2.2384067510347609</v>
      </c>
      <c r="Y30" s="630">
        <f t="shared" si="223"/>
        <v>-1.0788032536706129</v>
      </c>
      <c r="Z30" s="632">
        <f t="shared" si="6"/>
        <v>0.16504750644531099</v>
      </c>
      <c r="AA30" s="629">
        <f t="shared" si="7"/>
        <v>0.98628561817364235</v>
      </c>
      <c r="AB30" s="629">
        <f t="shared" si="8"/>
        <v>-1.4578093206794164E-7</v>
      </c>
      <c r="AC30" s="636">
        <f>IF(M30="","",SQRT(Z30^2+AA30^2+AB30^2))</f>
        <v>1</v>
      </c>
      <c r="AD30" s="637">
        <f>IF(M30="","",Z30*(1/SQRT(Z30^2+AA30^2+AB30^2)))</f>
        <v>0.16504750644531099</v>
      </c>
      <c r="AE30" s="629">
        <f>IF(M30="","",AA30*(1/SQRT(Z30^2+AA30^2+AB30^2)))</f>
        <v>0.98628561817364235</v>
      </c>
      <c r="AF30" s="633">
        <f>IF(M30="","",AB30*(1/SQRT(Z30^2+AA30^2+AB30^2)))</f>
        <v>-1.4578093206794164E-7</v>
      </c>
      <c r="AG30" s="602">
        <f>IF(M30="","",DEGREES(ATAN2(-AF30,AE30)))</f>
        <v>89.999991531223827</v>
      </c>
      <c r="AH30" s="603">
        <f>IF(M30="","",DEGREES(ACOS(AD30)))</f>
        <v>80.500005775285445</v>
      </c>
      <c r="AI30" s="585">
        <f>IF(M30="","",DEGREES(-ACOS(-AF30)))</f>
        <v>-89.999991647367864</v>
      </c>
      <c r="AJ30" s="586">
        <f>IF(M30="","",DEGREES(ATAN2(-AE30,AD30)))</f>
        <v>170.50000577528533</v>
      </c>
      <c r="AK30" s="635">
        <f>IF(M30="","",(COS(RADIANS((90-$Q$8)-W30))*AD30)+(-SIN(RADIANS((90-$Q$8)-W30))*AE30))</f>
        <v>0.76604450791050716</v>
      </c>
      <c r="AL30" s="629">
        <f>IF(M30="","",(SIN(RADIANS((90-$Q$8)-W30))*AD30)+(COS(RADIANS((90-$Q$8)-W30))*AE30))</f>
        <v>-0.64278753247097731</v>
      </c>
      <c r="AM30" s="634">
        <f>IF(M30="","",AF30)</f>
        <v>-1.4578093206794164E-7</v>
      </c>
      <c r="AN30" s="581">
        <f>IF(M30="","",DEGREES(ATAN2(-AM30,AL30)))</f>
        <v>-89.999987005609611</v>
      </c>
      <c r="AO30" s="582">
        <f>IF(ROUND(IF(M30="",0,DEGREES(ACOS(AK30))),4)=90,0,IF(M30="","",DEGREES(ACOS(AK30))))</f>
        <v>39.999994224715394</v>
      </c>
      <c r="AP30" s="585">
        <f>IF(M30="","",DEGREES(ATAN2(AK30,AL30)))</f>
        <v>-39.999994224714669</v>
      </c>
      <c r="AQ30" s="586">
        <f t="shared" si="9"/>
        <v>1.018352258802516</v>
      </c>
      <c r="AS30" s="52">
        <f t="shared" si="116"/>
        <v>-238.02510021294916</v>
      </c>
      <c r="AT30" s="72">
        <f t="shared" si="10"/>
        <v>-0.91248380922616845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5.1210000000000004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1111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-1.2670158561219471</v>
      </c>
      <c r="C31" s="708">
        <v>0.74063052355145176</v>
      </c>
      <c r="D31" s="709">
        <v>-9.0200272044020383E-2</v>
      </c>
      <c r="E31" s="710">
        <v>-0.590001831192704</v>
      </c>
      <c r="F31" s="708">
        <v>-0.77218482526956511</v>
      </c>
      <c r="G31" s="711">
        <v>0.23585680997729846</v>
      </c>
      <c r="H31" s="710">
        <v>0.219</v>
      </c>
      <c r="I31" s="708">
        <v>0.42</v>
      </c>
      <c r="J31" s="570">
        <v>6.1079999999999997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1111</v>
      </c>
      <c r="L31" s="320"/>
      <c r="M31" s="168">
        <f t="shared" si="1"/>
        <v>6.1079999999999997</v>
      </c>
      <c r="N31" s="632">
        <f t="shared" si="2"/>
        <v>-1.2670158561219471</v>
      </c>
      <c r="O31" s="629">
        <f t="shared" si="3"/>
        <v>0.74063052355145176</v>
      </c>
      <c r="P31" s="633">
        <f t="shared" si="4"/>
        <v>-9.0200272044020383E-2</v>
      </c>
      <c r="Q31" s="585">
        <f t="shared" si="113"/>
        <v>149.69170004451303</v>
      </c>
      <c r="R31" s="629">
        <f>IF(M31="","",SQRT(N31^2+O31^2))</f>
        <v>1.4676044262949497</v>
      </c>
      <c r="S31" s="634">
        <f>IF(M31="","",P31)</f>
        <v>-9.0200272044020383E-2</v>
      </c>
      <c r="T31" s="635">
        <f>IF(M31="","",X31*COS(RADIANS(W31)))</f>
        <v>0.70777341062077459</v>
      </c>
      <c r="U31" s="629">
        <f>IF(M31="","",X31*SIN(RADIANS(W31)))</f>
        <v>1.285659189403928</v>
      </c>
      <c r="V31" s="636">
        <f>IF(M31="","",Y31)</f>
        <v>-9.0200272044020383E-2</v>
      </c>
      <c r="W31" s="585">
        <f t="shared" si="224"/>
        <v>61.166599831563857</v>
      </c>
      <c r="X31" s="629">
        <f>IF(M31="","",R31)</f>
        <v>1.4676044262949497</v>
      </c>
      <c r="Y31" s="630">
        <f t="shared" si="223"/>
        <v>-9.0200272044020383E-2</v>
      </c>
      <c r="Z31" s="632">
        <f t="shared" si="6"/>
        <v>0.590001831192704</v>
      </c>
      <c r="AA31" s="629">
        <f t="shared" si="7"/>
        <v>0.77218482526956511</v>
      </c>
      <c r="AB31" s="629">
        <f t="shared" si="8"/>
        <v>-0.23585680997729846</v>
      </c>
      <c r="AC31" s="636">
        <f>IF(M31="","",SQRT(Z31^2+AA31^2+AB31^2))</f>
        <v>1</v>
      </c>
      <c r="AD31" s="637">
        <f>IF(M31="","",Z31*(1/SQRT(Z31^2+AA31^2+AB31^2)))</f>
        <v>0.590001831192704</v>
      </c>
      <c r="AE31" s="629">
        <f>IF(M31="","",AA31*(1/SQRT(Z31^2+AA31^2+AB31^2)))</f>
        <v>0.77218482526956511</v>
      </c>
      <c r="AF31" s="633">
        <f>IF(M31="","",AB31*(1/SQRT(Z31^2+AA31^2+AB31^2)))</f>
        <v>-0.23585680997729846</v>
      </c>
      <c r="AG31" s="602">
        <f>IF(M31="","",DEGREES(ATAN2(-AF31,AE31)))</f>
        <v>73.015186441127199</v>
      </c>
      <c r="AH31" s="603">
        <f>IF(M31="","",DEGREES(ACOS(AD31)))</f>
        <v>53.842861851913369</v>
      </c>
      <c r="AI31" s="585">
        <f>IF(M31="","",DEGREES(-ACOS(-AF31)))</f>
        <v>-76.357865839151842</v>
      </c>
      <c r="AJ31" s="586">
        <f>IF(M31="","",DEGREES(ATAN2(-AE31,AD31)))</f>
        <v>142.61770695447433</v>
      </c>
      <c r="AK31" s="635">
        <f>IF(M31="","",(COS(RADIANS((90-$Q$8)-W31))*AD31)+(-SIN(RADIANS((90-$Q$8)-W31))*AE31))</f>
        <v>0.96439051099006101</v>
      </c>
      <c r="AL31" s="629">
        <f>IF(M31="","",(SIN(RADIANS((90-$Q$8)-W31))*AD31)+(COS(RADIANS((90-$Q$8)-W31))*AE31))</f>
        <v>-0.11967667901333923</v>
      </c>
      <c r="AM31" s="634">
        <f>IF(M31="","",AF31)</f>
        <v>-0.23585680997729846</v>
      </c>
      <c r="AN31" s="581">
        <f>IF(M31="","",DEGREES(ATAN2(-AM31,AL31)))</f>
        <v>-26.903803963711631</v>
      </c>
      <c r="AO31" s="582">
        <f t="shared" si="94"/>
        <v>15.336199467880416</v>
      </c>
      <c r="AP31" s="585">
        <f>IF(M31="","",DEGREES(ATAN2(AK31,AL31)))</f>
        <v>-7.0739930900386918</v>
      </c>
      <c r="AQ31" s="586">
        <f t="shared" si="9"/>
        <v>1.5529854537843142</v>
      </c>
      <c r="AS31" s="52">
        <f t="shared" si="116"/>
        <v>-298.83340016843613</v>
      </c>
      <c r="AT31" s="72">
        <f t="shared" si="10"/>
        <v>0.11834715848062337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6.1079999999999997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1111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-1.6538378731033176</v>
      </c>
      <c r="C32" s="708">
        <v>1.0215626720839905</v>
      </c>
      <c r="D32" s="709">
        <v>-0.44930135509288688</v>
      </c>
      <c r="E32" s="710">
        <v>-0.73447151812319722</v>
      </c>
      <c r="F32" s="708">
        <v>-0.66846058216218152</v>
      </c>
      <c r="G32" s="711">
        <v>0.11709841656147012</v>
      </c>
      <c r="H32" s="710">
        <v>0.219</v>
      </c>
      <c r="I32" s="708">
        <v>0.42</v>
      </c>
      <c r="J32" s="570">
        <v>6.1139999999999999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1111</v>
      </c>
      <c r="L32" s="320"/>
      <c r="M32" s="168">
        <f t="shared" si="1"/>
        <v>6.1139999999999999</v>
      </c>
      <c r="N32" s="632">
        <f t="shared" si="2"/>
        <v>-1.6538378731033176</v>
      </c>
      <c r="O32" s="629">
        <f t="shared" si="3"/>
        <v>1.0215626720839905</v>
      </c>
      <c r="P32" s="633">
        <f t="shared" si="4"/>
        <v>-0.44930135509288688</v>
      </c>
      <c r="Q32" s="585">
        <f t="shared" si="113"/>
        <v>148.29670024592602</v>
      </c>
      <c r="R32" s="629">
        <f t="shared" si="79"/>
        <v>1.9439058628200823</v>
      </c>
      <c r="S32" s="634">
        <f t="shared" si="80"/>
        <v>-0.44930135509288688</v>
      </c>
      <c r="T32" s="635">
        <f t="shared" si="81"/>
        <v>0.97865606786947701</v>
      </c>
      <c r="U32" s="629">
        <f t="shared" si="82"/>
        <v>1.6795839676326225</v>
      </c>
      <c r="V32" s="636">
        <f t="shared" si="114"/>
        <v>-0.44930135509288688</v>
      </c>
      <c r="W32" s="585">
        <f t="shared" si="224"/>
        <v>59.771600032976849</v>
      </c>
      <c r="X32" s="629">
        <f t="shared" si="83"/>
        <v>1.9439058628200823</v>
      </c>
      <c r="Y32" s="630">
        <f t="shared" si="223"/>
        <v>-0.44930135509288688</v>
      </c>
      <c r="Z32" s="632">
        <f t="shared" si="6"/>
        <v>0.73447151812319722</v>
      </c>
      <c r="AA32" s="629">
        <f t="shared" si="7"/>
        <v>0.66846058216218152</v>
      </c>
      <c r="AB32" s="629">
        <f t="shared" si="8"/>
        <v>-0.11709841656147012</v>
      </c>
      <c r="AC32" s="636">
        <f t="shared" si="84"/>
        <v>1</v>
      </c>
      <c r="AD32" s="637">
        <f t="shared" si="115"/>
        <v>0.73447151812319722</v>
      </c>
      <c r="AE32" s="629">
        <f t="shared" si="85"/>
        <v>0.66846058216218152</v>
      </c>
      <c r="AF32" s="633">
        <f t="shared" si="86"/>
        <v>-0.11709841656147012</v>
      </c>
      <c r="AG32" s="602">
        <f t="shared" si="87"/>
        <v>80.063956602998985</v>
      </c>
      <c r="AH32" s="603">
        <f t="shared" si="88"/>
        <v>42.737421076080359</v>
      </c>
      <c r="AI32" s="585">
        <f t="shared" si="89"/>
        <v>-83.275326648291852</v>
      </c>
      <c r="AJ32" s="586">
        <f t="shared" si="90"/>
        <v>132.3060986836405</v>
      </c>
      <c r="AK32" s="635">
        <f t="shared" si="211"/>
        <v>0.95469340855205431</v>
      </c>
      <c r="AL32" s="629">
        <f t="shared" si="91"/>
        <v>-0.27358445954779115</v>
      </c>
      <c r="AM32" s="634">
        <f t="shared" si="92"/>
        <v>-0.11709841656147012</v>
      </c>
      <c r="AN32" s="581">
        <f t="shared" si="93"/>
        <v>-66.828319820191624</v>
      </c>
      <c r="AO32" s="582">
        <f t="shared" si="94"/>
        <v>17.312979621854968</v>
      </c>
      <c r="AP32" s="585">
        <f t="shared" si="95"/>
        <v>-15.990601562285534</v>
      </c>
      <c r="AQ32" s="586">
        <f t="shared" si="9"/>
        <v>1.1725919377786993</v>
      </c>
      <c r="AS32" s="52">
        <f t="shared" si="116"/>
        <v>-300.22839996702317</v>
      </c>
      <c r="AT32" s="72">
        <f t="shared" si="10"/>
        <v>-0.23978517470811325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6.1139999999999999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1111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-1.8228710909086501</v>
      </c>
      <c r="C33" s="708">
        <v>1.1623169913963598</v>
      </c>
      <c r="D33" s="709">
        <v>-0.97580294302167581</v>
      </c>
      <c r="E33" s="710">
        <v>-0.82215523843963156</v>
      </c>
      <c r="F33" s="708">
        <v>-0.56894910341854532</v>
      </c>
      <c r="G33" s="711">
        <v>1.891247274964419E-2</v>
      </c>
      <c r="H33" s="710">
        <v>0.219</v>
      </c>
      <c r="I33" s="708">
        <v>0.42</v>
      </c>
      <c r="J33" s="570">
        <v>6.12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1111</v>
      </c>
      <c r="L33" s="320"/>
      <c r="M33" s="168">
        <f t="shared" si="1"/>
        <v>6.12</v>
      </c>
      <c r="N33" s="632">
        <f t="shared" si="2"/>
        <v>-1.8228710909086501</v>
      </c>
      <c r="O33" s="629">
        <f t="shared" si="3"/>
        <v>1.1623169913963598</v>
      </c>
      <c r="P33" s="633">
        <f t="shared" si="4"/>
        <v>-0.97580294302167581</v>
      </c>
      <c r="Q33" s="585">
        <f t="shared" si="113"/>
        <v>147.47720036424721</v>
      </c>
      <c r="R33" s="629">
        <f t="shared" si="79"/>
        <v>2.1619065203100658</v>
      </c>
      <c r="S33" s="634">
        <f t="shared" si="80"/>
        <v>-0.97580294302167581</v>
      </c>
      <c r="T33" s="635">
        <f t="shared" si="81"/>
        <v>1.115013006353037</v>
      </c>
      <c r="U33" s="629">
        <f t="shared" si="82"/>
        <v>1.8521840616479615</v>
      </c>
      <c r="V33" s="636">
        <f t="shared" si="114"/>
        <v>-0.97580294302167581</v>
      </c>
      <c r="W33" s="585">
        <f t="shared" si="224"/>
        <v>58.95210015129804</v>
      </c>
      <c r="X33" s="629">
        <f t="shared" si="83"/>
        <v>2.1619065203100658</v>
      </c>
      <c r="Y33" s="630">
        <f t="shared" si="223"/>
        <v>-0.97580294302167581</v>
      </c>
      <c r="Z33" s="632">
        <f t="shared" si="6"/>
        <v>0.82215523843963156</v>
      </c>
      <c r="AA33" s="629">
        <f t="shared" si="7"/>
        <v>0.56894910341854532</v>
      </c>
      <c r="AB33" s="629">
        <f t="shared" si="8"/>
        <v>-1.891247274964419E-2</v>
      </c>
      <c r="AC33" s="636">
        <f t="shared" si="84"/>
        <v>1</v>
      </c>
      <c r="AD33" s="637">
        <f t="shared" si="115"/>
        <v>0.82215523843963156</v>
      </c>
      <c r="AE33" s="629">
        <f t="shared" si="85"/>
        <v>0.56894910341854532</v>
      </c>
      <c r="AF33" s="633">
        <f t="shared" si="86"/>
        <v>-1.891247274964419E-2</v>
      </c>
      <c r="AG33" s="602">
        <f t="shared" si="87"/>
        <v>88.096128440526257</v>
      </c>
      <c r="AH33" s="603">
        <f t="shared" si="88"/>
        <v>34.698873008149363</v>
      </c>
      <c r="AI33" s="585">
        <f t="shared" si="89"/>
        <v>-88.916330523297759</v>
      </c>
      <c r="AJ33" s="586">
        <f t="shared" si="90"/>
        <v>124.68406735926847</v>
      </c>
      <c r="AK33" s="635">
        <f t="shared" si="211"/>
        <v>0.92174469955258276</v>
      </c>
      <c r="AL33" s="629">
        <f t="shared" si="91"/>
        <v>-0.38733580678942275</v>
      </c>
      <c r="AM33" s="634">
        <f t="shared" si="92"/>
        <v>-1.891247274964419E-2</v>
      </c>
      <c r="AN33" s="581">
        <f t="shared" si="93"/>
        <v>-87.204634983737705</v>
      </c>
      <c r="AO33" s="582">
        <f t="shared" si="94"/>
        <v>22.817507259886071</v>
      </c>
      <c r="AP33" s="585">
        <f t="shared" si="95"/>
        <v>-22.793133004978731</v>
      </c>
      <c r="AQ33" s="586">
        <f t="shared" si="9"/>
        <v>1.0543792079693599</v>
      </c>
      <c r="AS33" s="52">
        <f t="shared" si="116"/>
        <v>-301.04789984870195</v>
      </c>
      <c r="AT33" s="72">
        <f t="shared" si="10"/>
        <v>-0.7657176654968475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6.12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1111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-1.8447296243160667</v>
      </c>
      <c r="C34" s="708">
        <v>1.2678475445607404</v>
      </c>
      <c r="D34" s="709">
        <v>-1.4878044872183334</v>
      </c>
      <c r="E34" s="710">
        <v>-0.96363042627158235</v>
      </c>
      <c r="F34" s="708">
        <v>-0.26723847321002892</v>
      </c>
      <c r="G34" s="711">
        <v>1.4578093193666861E-7</v>
      </c>
      <c r="H34" s="710">
        <v>0.219</v>
      </c>
      <c r="I34" s="708">
        <v>0.42</v>
      </c>
      <c r="J34" s="570">
        <v>6.1260000000000003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1111</v>
      </c>
      <c r="L34" s="320"/>
      <c r="M34" s="168">
        <f t="shared" si="1"/>
        <v>6.1260000000000003</v>
      </c>
      <c r="N34" s="632">
        <f t="shared" si="2"/>
        <v>-1.8447296243160667</v>
      </c>
      <c r="O34" s="629">
        <f t="shared" si="3"/>
        <v>1.2678475445607404</v>
      </c>
      <c r="P34" s="633">
        <f t="shared" si="4"/>
        <v>-1.4878044872183334</v>
      </c>
      <c r="Q34" s="585">
        <f t="shared" si="113"/>
        <v>145.49999999999997</v>
      </c>
      <c r="R34" s="629">
        <f>IF(M34="","",SQRT(N34^2+O34^2))</f>
        <v>2.2384067510347609</v>
      </c>
      <c r="S34" s="634">
        <f>IF(M34="","",P34)</f>
        <v>-1.4878044872183334</v>
      </c>
      <c r="T34" s="635">
        <f>IF(M34="","",X34*COS(RADIANS(W34)))</f>
        <v>1.2199459797852996</v>
      </c>
      <c r="U34" s="629">
        <f>IF(M34="","",X34*SIN(RADIANS(W34)))</f>
        <v>1.8767516056963105</v>
      </c>
      <c r="V34" s="636">
        <f>IF(M34="","",Y34)</f>
        <v>-1.4878044872183334</v>
      </c>
      <c r="W34" s="585">
        <f t="shared" si="224"/>
        <v>56.974899787050802</v>
      </c>
      <c r="X34" s="629">
        <f>IF(M34="","",R34)</f>
        <v>2.2384067510347609</v>
      </c>
      <c r="Y34" s="630">
        <f t="shared" si="223"/>
        <v>-1.4878044872183334</v>
      </c>
      <c r="Z34" s="632">
        <f t="shared" si="6"/>
        <v>0.96363042627158235</v>
      </c>
      <c r="AA34" s="629">
        <f t="shared" si="7"/>
        <v>0.26723847321002892</v>
      </c>
      <c r="AB34" s="629">
        <f t="shared" si="8"/>
        <v>-1.4578093193666861E-7</v>
      </c>
      <c r="AC34" s="636">
        <f>IF(M34="","",SQRT(Z34^2+AA34^2+AB34^2))</f>
        <v>1</v>
      </c>
      <c r="AD34" s="637">
        <f>IF(M34="","",Z34*(1/SQRT(Z34^2+AA34^2+AB34^2)))</f>
        <v>0.96363042627158235</v>
      </c>
      <c r="AE34" s="629">
        <f>IF(M34="","",AA34*(1/SQRT(Z34^2+AA34^2+AB34^2)))</f>
        <v>0.26723847321002892</v>
      </c>
      <c r="AF34" s="633">
        <f>IF(M34="","",AB34*(1/SQRT(Z34^2+AA34^2+AB34^2)))</f>
        <v>-1.4578093193666861E-7</v>
      </c>
      <c r="AG34" s="602">
        <f>IF(M34="","",DEGREES(ATAN2(-AF34,AE34)))</f>
        <v>89.99996874464955</v>
      </c>
      <c r="AH34" s="603">
        <f>IF(M34="","",DEGREES(ACOS(AD34)))</f>
        <v>15.500005775287528</v>
      </c>
      <c r="AI34" s="585">
        <f>IF(M34="","",DEGREES(-ACOS(-AF34)))</f>
        <v>-89.999991647367864</v>
      </c>
      <c r="AJ34" s="586">
        <f>IF(M34="","",DEGREES(ATAN2(-AE34,AD34)))</f>
        <v>105.50000577528535</v>
      </c>
      <c r="AK34" s="635">
        <f>IF(M34="","",(COS(RADIANS((90-$Q$8)-W34))*AD34)+(-SIN(RADIANS((90-$Q$8)-W34))*AE34))</f>
        <v>0.76604450791050771</v>
      </c>
      <c r="AL34" s="629">
        <f>IF(M34="","",(SIN(RADIANS((90-$Q$8)-W34))*AD34)+(COS(RADIANS((90-$Q$8)-W34))*AE34))</f>
        <v>-0.64278753247097675</v>
      </c>
      <c r="AM34" s="634">
        <f>IF(M34="","",AF34)</f>
        <v>-1.4578093193666861E-7</v>
      </c>
      <c r="AN34" s="581">
        <f>IF(M34="","",DEGREES(ATAN2(-AM34,AL34)))</f>
        <v>-89.999987005609626</v>
      </c>
      <c r="AO34" s="582">
        <f t="shared" si="94"/>
        <v>39.999994224715337</v>
      </c>
      <c r="AP34" s="585">
        <f>IF(M34="","",DEGREES(ATAN2(AK34,AL34)))</f>
        <v>-39.999994224714627</v>
      </c>
      <c r="AQ34" s="586">
        <f t="shared" si="9"/>
        <v>1.018352258802516</v>
      </c>
      <c r="AS34" s="52">
        <f t="shared" si="116"/>
        <v>-303.02510021294921</v>
      </c>
      <c r="AT34" s="72">
        <f t="shared" si="10"/>
        <v>-1.2763461538850001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6.1260000000000003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1111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/>
      <c r="C35" s="708"/>
      <c r="D35" s="709"/>
      <c r="E35" s="710"/>
      <c r="F35" s="708"/>
      <c r="G35" s="711"/>
      <c r="H35" s="710"/>
      <c r="I35" s="708"/>
      <c r="J35" s="570"/>
      <c r="K35" s="865" t="str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/>
      </c>
      <c r="L35" s="320"/>
      <c r="M35" s="168" t="str">
        <f t="shared" si="1"/>
        <v/>
      </c>
      <c r="N35" s="632" t="str">
        <f t="shared" si="2"/>
        <v/>
      </c>
      <c r="O35" s="629" t="str">
        <f t="shared" si="3"/>
        <v/>
      </c>
      <c r="P35" s="633" t="str">
        <f t="shared" si="4"/>
        <v/>
      </c>
      <c r="Q35" s="585" t="str">
        <f t="shared" si="113"/>
        <v/>
      </c>
      <c r="R35" s="629" t="str">
        <f>IF(M35="","",SQRT(N35^2+O35^2))</f>
        <v/>
      </c>
      <c r="S35" s="634" t="str">
        <f>IF(M35="","",P35)</f>
        <v/>
      </c>
      <c r="T35" s="635" t="str">
        <f>IF(M35="","",X35*COS(RADIANS(W35)))</f>
        <v/>
      </c>
      <c r="U35" s="629" t="str">
        <f>IF(M35="","",X35*SIN(RADIANS(W35)))</f>
        <v/>
      </c>
      <c r="V35" s="636" t="str">
        <f>IF(M35="","",Y35)</f>
        <v/>
      </c>
      <c r="W35" s="585" t="str">
        <f t="shared" si="224"/>
        <v/>
      </c>
      <c r="X35" s="629" t="str">
        <f>IF(M35="","",R35)</f>
        <v/>
      </c>
      <c r="Y35" s="630" t="str">
        <f t="shared" si="223"/>
        <v/>
      </c>
      <c r="Z35" s="632" t="str">
        <f t="shared" si="6"/>
        <v/>
      </c>
      <c r="AA35" s="629" t="str">
        <f t="shared" si="7"/>
        <v/>
      </c>
      <c r="AB35" s="629" t="str">
        <f t="shared" si="8"/>
        <v/>
      </c>
      <c r="AC35" s="636" t="str">
        <f>IF(M35="","",SQRT(Z35^2+AA35^2+AB35^2))</f>
        <v/>
      </c>
      <c r="AD35" s="637" t="str">
        <f>IF(M35="","",Z35*(1/SQRT(Z35^2+AA35^2+AB35^2)))</f>
        <v/>
      </c>
      <c r="AE35" s="629" t="str">
        <f>IF(M35="","",AA35*(1/SQRT(Z35^2+AA35^2+AB35^2)))</f>
        <v/>
      </c>
      <c r="AF35" s="633" t="str">
        <f>IF(M35="","",AB35*(1/SQRT(Z35^2+AA35^2+AB35^2)))</f>
        <v/>
      </c>
      <c r="AG35" s="602" t="str">
        <f>IF(M35="","",DEGREES(ATAN2(-AF35,AE35)))</f>
        <v/>
      </c>
      <c r="AH35" s="603" t="str">
        <f>IF(M35="","",DEGREES(ACOS(AD35)))</f>
        <v/>
      </c>
      <c r="AI35" s="585" t="str">
        <f>IF(M35="","",DEGREES(-ACOS(-AF35)))</f>
        <v/>
      </c>
      <c r="AJ35" s="586" t="str">
        <f>IF(M35="","",DEGREES(ATAN2(-AE35,AD35)))</f>
        <v/>
      </c>
      <c r="AK35" s="635" t="str">
        <f>IF(M35="","",(COS(RADIANS((90-$Q$8)-W35))*AD35)+(-SIN(RADIANS((90-$Q$8)-W35))*AE35))</f>
        <v/>
      </c>
      <c r="AL35" s="629" t="str">
        <f>IF(M35="","",(SIN(RADIANS((90-$Q$8)-W35))*AD35)+(COS(RADIANS((90-$Q$8)-W35))*AE35))</f>
        <v/>
      </c>
      <c r="AM35" s="634" t="str">
        <f>IF(M35="","",AF35)</f>
        <v/>
      </c>
      <c r="AN35" s="581" t="str">
        <f>IF(M35="","",DEGREES(ATAN2(-AM35,AL35)))</f>
        <v/>
      </c>
      <c r="AO35" s="582" t="str">
        <f t="shared" si="94"/>
        <v/>
      </c>
      <c r="AP35" s="585" t="str">
        <f>IF(M35="","",DEGREES(ATAN2(AK35,AL35)))</f>
        <v/>
      </c>
      <c r="AQ35" s="586" t="str">
        <f t="shared" si="9"/>
        <v/>
      </c>
      <c r="AS35" s="52" t="str">
        <f t="shared" si="116"/>
        <v/>
      </c>
      <c r="AT35" s="72" t="str">
        <f t="shared" si="10"/>
        <v/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210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112"/>
        <v/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/>
      <c r="C36" s="708"/>
      <c r="D36" s="709"/>
      <c r="E36" s="710"/>
      <c r="F36" s="708"/>
      <c r="G36" s="711"/>
      <c r="H36" s="710"/>
      <c r="I36" s="708"/>
      <c r="J36" s="570"/>
      <c r="K36" s="865" t="str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/>
      </c>
      <c r="L36" s="320"/>
      <c r="M36" s="168" t="str">
        <f t="shared" si="1"/>
        <v/>
      </c>
      <c r="N36" s="632" t="str">
        <f t="shared" si="2"/>
        <v/>
      </c>
      <c r="O36" s="629" t="str">
        <f t="shared" si="3"/>
        <v/>
      </c>
      <c r="P36" s="633" t="str">
        <f t="shared" si="4"/>
        <v/>
      </c>
      <c r="Q36" s="585" t="str">
        <f t="shared" si="113"/>
        <v/>
      </c>
      <c r="R36" s="629" t="str">
        <f>IF(M36="","",SQRT(N36^2+O36^2))</f>
        <v/>
      </c>
      <c r="S36" s="634" t="str">
        <f>IF(M36="","",P36)</f>
        <v/>
      </c>
      <c r="T36" s="635" t="str">
        <f>IF(M36="","",X36*COS(RADIANS(W36)))</f>
        <v/>
      </c>
      <c r="U36" s="629" t="str">
        <f>IF(M36="","",X36*SIN(RADIANS(W36)))</f>
        <v/>
      </c>
      <c r="V36" s="636" t="str">
        <f>IF(M36="","",Y36)</f>
        <v/>
      </c>
      <c r="W36" s="585" t="str">
        <f t="shared" si="224"/>
        <v/>
      </c>
      <c r="X36" s="629" t="str">
        <f>IF(M36="","",R36)</f>
        <v/>
      </c>
      <c r="Y36" s="630" t="str">
        <f t="shared" si="223"/>
        <v/>
      </c>
      <c r="Z36" s="632" t="str">
        <f t="shared" si="6"/>
        <v/>
      </c>
      <c r="AA36" s="629" t="str">
        <f t="shared" si="7"/>
        <v/>
      </c>
      <c r="AB36" s="629" t="str">
        <f t="shared" si="8"/>
        <v/>
      </c>
      <c r="AC36" s="636" t="str">
        <f>IF(M36="","",SQRT(Z36^2+AA36^2+AB36^2))</f>
        <v/>
      </c>
      <c r="AD36" s="637" t="str">
        <f>IF(M36="","",Z36*(1/SQRT(Z36^2+AA36^2+AB36^2)))</f>
        <v/>
      </c>
      <c r="AE36" s="629" t="str">
        <f>IF(M36="","",AA36*(1/SQRT(Z36^2+AA36^2+AB36^2)))</f>
        <v/>
      </c>
      <c r="AF36" s="633" t="str">
        <f>IF(M36="","",AB36*(1/SQRT(Z36^2+AA36^2+AB36^2)))</f>
        <v/>
      </c>
      <c r="AG36" s="602" t="str">
        <f>IF(M36="","",DEGREES(ATAN2(-AF36,AE36)))</f>
        <v/>
      </c>
      <c r="AH36" s="603" t="str">
        <f>IF(M36="","",DEGREES(ACOS(AD36)))</f>
        <v/>
      </c>
      <c r="AI36" s="585" t="str">
        <f>IF(M36="","",DEGREES(-ACOS(-AF36)))</f>
        <v/>
      </c>
      <c r="AJ36" s="586" t="str">
        <f>IF(M36="","",DEGREES(ATAN2(-AE36,AD36)))</f>
        <v/>
      </c>
      <c r="AK36" s="635" t="str">
        <f>IF(M36="","",(COS(RADIANS((90-$Q$8)-W36))*AD36)+(-SIN(RADIANS((90-$Q$8)-W36))*AE36))</f>
        <v/>
      </c>
      <c r="AL36" s="629" t="str">
        <f>IF(M36="","",(SIN(RADIANS((90-$Q$8)-W36))*AD36)+(COS(RADIANS((90-$Q$8)-W36))*AE36))</f>
        <v/>
      </c>
      <c r="AM36" s="634" t="str">
        <f>IF(M36="","",AF36)</f>
        <v/>
      </c>
      <c r="AN36" s="581" t="str">
        <f>IF(M36="","",DEGREES(ATAN2(-AM36,AL36)))</f>
        <v/>
      </c>
      <c r="AO36" s="582" t="str">
        <f t="shared" si="94"/>
        <v/>
      </c>
      <c r="AP36" s="585" t="str">
        <f>IF(M36="","",DEGREES(ATAN2(AK36,AL36)))</f>
        <v/>
      </c>
      <c r="AQ36" s="586" t="str">
        <f t="shared" si="9"/>
        <v/>
      </c>
      <c r="AS36" s="52" t="str">
        <f t="shared" si="116"/>
        <v/>
      </c>
      <c r="AT36" s="72" t="str">
        <f t="shared" si="10"/>
        <v/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210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112"/>
        <v/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0.9659258360722075</v>
      </c>
      <c r="F154" s="170">
        <f t="shared" si="929"/>
        <v>6.6987279208207198E-2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0.96504820737680774</v>
      </c>
      <c r="F156" s="170">
        <f t="shared" si="929"/>
        <v>-8.8488430829916392E-2</v>
      </c>
      <c r="G156" s="170">
        <f t="shared" si="929"/>
        <v>-0.24668148501269624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0.94962952492765007</v>
      </c>
      <c r="F157" s="170">
        <f t="shared" si="929"/>
        <v>-0.2799059826064827</v>
      </c>
      <c r="G157" s="170">
        <f t="shared" si="929"/>
        <v>-0.14091276126307814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0.90449086159160252</v>
      </c>
      <c r="F158" s="170">
        <f t="shared" si="929"/>
        <v>-0.42455351568190602</v>
      </c>
      <c r="G158" s="170">
        <f t="shared" si="929"/>
        <v>-4.0627498315969568E-2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0.71325051980424337</v>
      </c>
      <c r="F159" s="170">
        <f t="shared" si="929"/>
        <v>-0.70090919240580341</v>
      </c>
      <c r="G159" s="170">
        <f t="shared" si="929"/>
        <v>-1.4578093202933023E-7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0.17221752562087275</v>
      </c>
      <c r="F160" s="170">
        <f t="shared" si="929"/>
        <v>-0.97131237398995585</v>
      </c>
      <c r="G160" s="170">
        <f t="shared" si="929"/>
        <v>-0.16399206079265055</v>
      </c>
      <c r="H160" s="139"/>
      <c r="I160" s="86"/>
      <c r="J160" s="79">
        <f t="shared" si="930"/>
        <v>2.1120000000000001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7.3746138384056248E-2</v>
      </c>
      <c r="F161" s="170">
        <f t="shared" si="929"/>
        <v>-0.99713143877971622</v>
      </c>
      <c r="G161" s="170">
        <f t="shared" si="929"/>
        <v>-1.7041152265408466E-2</v>
      </c>
      <c r="H161" s="139"/>
      <c r="I161" s="86"/>
      <c r="J161" s="79">
        <f t="shared" si="930"/>
        <v>2.1179999999999999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-0.33380746496147851</v>
      </c>
      <c r="F162" s="170">
        <f t="shared" si="929"/>
        <v>-0.94264127659251695</v>
      </c>
      <c r="G162" s="170">
        <f t="shared" si="929"/>
        <v>-1.4578093196903683E-7</v>
      </c>
      <c r="H162" s="139"/>
      <c r="I162" s="86"/>
      <c r="J162" s="79">
        <f t="shared" si="930"/>
        <v>2.1240000000000001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-0.42495075868149673</v>
      </c>
      <c r="F163" s="170">
        <f t="shared" si="929"/>
        <v>-0.87000969481008184</v>
      </c>
      <c r="G163" s="170">
        <f t="shared" si="929"/>
        <v>-0.2499999672649757</v>
      </c>
      <c r="H163" s="139"/>
      <c r="I163" s="86"/>
      <c r="J163" s="79">
        <f t="shared" si="930"/>
        <v>3.1030000000000002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-0.49898912751119034</v>
      </c>
      <c r="F164" s="170">
        <f t="shared" si="929"/>
        <v>-0.82726356293267933</v>
      </c>
      <c r="G164" s="170">
        <f t="shared" si="929"/>
        <v>-0.2581566347579512</v>
      </c>
      <c r="H164" s="139"/>
      <c r="I164" s="86"/>
      <c r="J164" s="79">
        <f t="shared" si="930"/>
        <v>3.1059999999999999</v>
      </c>
    </row>
    <row r="165" spans="5:16" x14ac:dyDescent="0.25">
      <c r="E165" s="170">
        <f t="shared" si="929"/>
        <v>-0.67369637195434418</v>
      </c>
      <c r="F165" s="170">
        <f t="shared" si="929"/>
        <v>-0.71536301482143883</v>
      </c>
      <c r="G165" s="170">
        <f t="shared" si="929"/>
        <v>-0.18544259338441091</v>
      </c>
      <c r="H165" s="139"/>
      <c r="I165" s="86"/>
      <c r="J165" s="79">
        <f t="shared" si="930"/>
        <v>3.1110000000000002</v>
      </c>
    </row>
    <row r="166" spans="5:16" x14ac:dyDescent="0.25">
      <c r="E166" s="170">
        <f t="shared" si="929"/>
        <v>-0.76880607578006943</v>
      </c>
      <c r="F166" s="170">
        <f t="shared" si="929"/>
        <v>-0.6381229865075756</v>
      </c>
      <c r="G166" s="170">
        <f t="shared" si="929"/>
        <v>-4.1668596500275969E-2</v>
      </c>
      <c r="H166" s="139"/>
      <c r="I166" s="86"/>
      <c r="J166" s="79">
        <f t="shared" si="930"/>
        <v>3.117</v>
      </c>
    </row>
    <row r="167" spans="5:16" x14ac:dyDescent="0.25">
      <c r="E167" s="170">
        <f t="shared" si="929"/>
        <v>-0.96363058789359801</v>
      </c>
      <c r="F167" s="170">
        <f t="shared" si="929"/>
        <v>-0.26723789041941209</v>
      </c>
      <c r="G167" s="170">
        <f t="shared" si="929"/>
        <v>-1.4578093213038364E-7</v>
      </c>
      <c r="H167" s="139"/>
      <c r="I167" s="86"/>
      <c r="J167" s="79">
        <f t="shared" si="930"/>
        <v>3.1230000000000002</v>
      </c>
    </row>
    <row r="168" spans="5:16" x14ac:dyDescent="0.25">
      <c r="E168" s="170">
        <f t="shared" si="929"/>
        <v>-0.95932012213651641</v>
      </c>
      <c r="F168" s="170">
        <f t="shared" si="929"/>
        <v>0.19429272962260585</v>
      </c>
      <c r="G168" s="170">
        <f t="shared" si="929"/>
        <v>-0.2048297792797136</v>
      </c>
      <c r="H168" s="139"/>
      <c r="I168" s="86"/>
      <c r="J168" s="79">
        <f t="shared" si="930"/>
        <v>4.1100000000000003</v>
      </c>
    </row>
    <row r="169" spans="5:16" x14ac:dyDescent="0.25">
      <c r="E169" s="170">
        <f t="shared" si="929"/>
        <v>-0.93970162684529979</v>
      </c>
      <c r="F169" s="170">
        <f t="shared" si="929"/>
        <v>0.33540458284166919</v>
      </c>
      <c r="G169" s="170">
        <f t="shared" si="929"/>
        <v>-6.6817799373392356E-2</v>
      </c>
      <c r="H169" s="139"/>
      <c r="I169" s="86"/>
      <c r="J169" s="79">
        <f t="shared" si="930"/>
        <v>4.1159999999999997</v>
      </c>
    </row>
    <row r="170" spans="5:16" x14ac:dyDescent="0.25">
      <c r="E170" s="170">
        <f t="shared" si="929"/>
        <v>-0.71325020187891408</v>
      </c>
      <c r="F170" s="170">
        <f t="shared" si="929"/>
        <v>0.70090951592888728</v>
      </c>
      <c r="G170" s="170">
        <f t="shared" si="929"/>
        <v>-1.4578093202488513E-7</v>
      </c>
      <c r="H170" s="139"/>
      <c r="I170" s="86"/>
      <c r="J170" s="79">
        <f t="shared" si="930"/>
        <v>4.1219999999999999</v>
      </c>
    </row>
    <row r="171" spans="5:16" x14ac:dyDescent="0.25">
      <c r="E171" s="170">
        <f t="shared" si="929"/>
        <v>-0.60890506553846191</v>
      </c>
      <c r="F171" s="170">
        <f t="shared" si="929"/>
        <v>0.75281779836100626</v>
      </c>
      <c r="G171" s="170">
        <f t="shared" si="929"/>
        <v>-0.24999996726497575</v>
      </c>
      <c r="H171" s="139"/>
      <c r="I171" s="86"/>
      <c r="J171" s="79">
        <f t="shared" si="930"/>
        <v>5.1020000000000003</v>
      </c>
    </row>
    <row r="172" spans="5:16" x14ac:dyDescent="0.25">
      <c r="E172" s="170">
        <f t="shared" si="929"/>
        <v>-0.57251036996167348</v>
      </c>
      <c r="F172" s="170">
        <f t="shared" si="929"/>
        <v>0.77830163855472112</v>
      </c>
      <c r="G172" s="170">
        <f t="shared" si="929"/>
        <v>-0.25783412440827969</v>
      </c>
      <c r="H172" s="139"/>
      <c r="I172" s="86"/>
      <c r="J172" s="79">
        <f t="shared" si="930"/>
        <v>5.1050000000000004</v>
      </c>
    </row>
    <row r="173" spans="5:16" x14ac:dyDescent="0.25">
      <c r="E173" s="170">
        <f t="shared" si="929"/>
        <v>-0.42020911231629055</v>
      </c>
      <c r="F173" s="170">
        <f t="shared" si="929"/>
        <v>0.87991404625750347</v>
      </c>
      <c r="G173" s="170">
        <f t="shared" si="929"/>
        <v>-0.22175566086371534</v>
      </c>
      <c r="H173" s="139"/>
      <c r="I173" s="86"/>
      <c r="J173" s="79">
        <f t="shared" si="930"/>
        <v>5.109</v>
      </c>
    </row>
    <row r="174" spans="5:16" x14ac:dyDescent="0.25">
      <c r="E174" s="170">
        <f t="shared" ref="E174:G193" si="933">E29*-1</f>
        <v>-0.27826284239304022</v>
      </c>
      <c r="F174" s="170">
        <f t="shared" si="933"/>
        <v>0.95607890855237776</v>
      </c>
      <c r="G174" s="170">
        <f t="shared" si="933"/>
        <v>-9.2102720723332795E-2</v>
      </c>
      <c r="H174" s="139"/>
      <c r="I174" s="86"/>
      <c r="J174" s="79">
        <f t="shared" si="930"/>
        <v>5.1150000000000002</v>
      </c>
    </row>
    <row r="175" spans="5:16" x14ac:dyDescent="0.25">
      <c r="E175" s="170">
        <f t="shared" si="933"/>
        <v>0.16504750644531099</v>
      </c>
      <c r="F175" s="170">
        <f t="shared" si="933"/>
        <v>0.98628561817364235</v>
      </c>
      <c r="G175" s="170">
        <f t="shared" si="933"/>
        <v>-1.4578093206794164E-7</v>
      </c>
      <c r="H175" s="139"/>
      <c r="I175" s="86"/>
      <c r="J175" s="79">
        <f t="shared" si="930"/>
        <v>5.1210000000000004</v>
      </c>
    </row>
    <row r="176" spans="5:16" x14ac:dyDescent="0.25">
      <c r="E176" s="170">
        <f t="shared" si="933"/>
        <v>0.590001831192704</v>
      </c>
      <c r="F176" s="170">
        <f t="shared" si="933"/>
        <v>0.77218482526956511</v>
      </c>
      <c r="G176" s="170">
        <f t="shared" si="933"/>
        <v>-0.23585680997729846</v>
      </c>
      <c r="H176" s="139"/>
      <c r="I176" s="86"/>
      <c r="J176" s="79">
        <f t="shared" si="930"/>
        <v>6.1079999999999997</v>
      </c>
    </row>
    <row r="177" spans="5:10" x14ac:dyDescent="0.25">
      <c r="E177" s="170">
        <f t="shared" si="933"/>
        <v>0.73447151812319722</v>
      </c>
      <c r="F177" s="170">
        <f t="shared" si="933"/>
        <v>0.66846058216218152</v>
      </c>
      <c r="G177" s="170">
        <f t="shared" si="933"/>
        <v>-0.11709841656147012</v>
      </c>
      <c r="H177" s="139"/>
      <c r="I177" s="86"/>
      <c r="J177" s="79">
        <f t="shared" si="930"/>
        <v>6.1139999999999999</v>
      </c>
    </row>
    <row r="178" spans="5:10" x14ac:dyDescent="0.25">
      <c r="E178" s="170">
        <f t="shared" si="933"/>
        <v>0.82215523843963156</v>
      </c>
      <c r="F178" s="170">
        <f t="shared" si="933"/>
        <v>0.56894910341854532</v>
      </c>
      <c r="G178" s="170">
        <f t="shared" si="933"/>
        <v>-1.891247274964419E-2</v>
      </c>
      <c r="H178" s="139"/>
      <c r="I178" s="86"/>
      <c r="J178" s="79">
        <f t="shared" si="930"/>
        <v>6.12</v>
      </c>
    </row>
    <row r="179" spans="5:10" x14ac:dyDescent="0.25">
      <c r="E179" s="170">
        <f t="shared" si="933"/>
        <v>0.96363042627158235</v>
      </c>
      <c r="F179" s="170">
        <f t="shared" si="933"/>
        <v>0.26723847321002892</v>
      </c>
      <c r="G179" s="170">
        <f t="shared" si="933"/>
        <v>-1.4578093193666861E-7</v>
      </c>
      <c r="H179" s="139"/>
      <c r="I179" s="86"/>
      <c r="J179" s="79">
        <f t="shared" si="930"/>
        <v>6.1260000000000003</v>
      </c>
    </row>
    <row r="180" spans="5:10" x14ac:dyDescent="0.25">
      <c r="E180" s="170">
        <f t="shared" si="933"/>
        <v>0</v>
      </c>
      <c r="F180" s="170">
        <f t="shared" si="933"/>
        <v>0</v>
      </c>
      <c r="G180" s="170">
        <f t="shared" si="933"/>
        <v>0</v>
      </c>
      <c r="H180" s="139"/>
      <c r="I180" s="86"/>
      <c r="J180" s="79">
        <f t="shared" si="930"/>
        <v>0</v>
      </c>
    </row>
    <row r="181" spans="5:10" x14ac:dyDescent="0.25">
      <c r="E181" s="170">
        <f t="shared" si="933"/>
        <v>0</v>
      </c>
      <c r="F181" s="170">
        <f t="shared" si="933"/>
        <v>0</v>
      </c>
      <c r="G181" s="170">
        <f t="shared" si="933"/>
        <v>0</v>
      </c>
      <c r="H181" s="139"/>
      <c r="I181" s="86"/>
      <c r="J181" s="79">
        <f t="shared" si="930"/>
        <v>0</v>
      </c>
    </row>
    <row r="182" spans="5:10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</row>
    <row r="183" spans="5:10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</row>
    <row r="184" spans="5:10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</row>
    <row r="185" spans="5:10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</row>
    <row r="186" spans="5:10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</row>
    <row r="187" spans="5:10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4.75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1111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1111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1111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2.1120000000000001</v>
      </c>
      <c r="N170" s="869">
        <f>Assy.Model!K15</f>
        <v>1111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2.1179999999999999</v>
      </c>
      <c r="N171" s="869">
        <f>Assy.Model!K16</f>
        <v>1111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2.1240000000000001</v>
      </c>
      <c r="N172" s="869">
        <f>Assy.Model!K17</f>
        <v>1111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3.1030000000000002</v>
      </c>
      <c r="N173" s="869">
        <f>Assy.Model!K18</f>
        <v>1111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3.1059999999999999</v>
      </c>
      <c r="N174" s="869">
        <f>Assy.Model!K19</f>
        <v>1111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3.1110000000000002</v>
      </c>
      <c r="N175" s="869">
        <f>Assy.Model!K20</f>
        <v>1111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3.117</v>
      </c>
      <c r="N176" s="869">
        <f>Assy.Model!K21</f>
        <v>1111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3.1230000000000002</v>
      </c>
      <c r="N177" s="869">
        <f>Assy.Model!K22</f>
        <v>1111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4.1100000000000003</v>
      </c>
      <c r="N178" s="869">
        <f>Assy.Model!K23</f>
        <v>1111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4.1159999999999997</v>
      </c>
      <c r="N179" s="869">
        <f>Assy.Model!K24</f>
        <v>1111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4.1219999999999999</v>
      </c>
      <c r="N180" s="869">
        <f>Assy.Model!K25</f>
        <v>1111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5.1020000000000003</v>
      </c>
      <c r="N181" s="869">
        <f>Assy.Model!K26</f>
        <v>1111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5.1050000000000004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5.109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5.1150000000000002</v>
      </c>
      <c r="N184" s="869">
        <f>Assy.Model!K29</f>
        <v>1111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5.1210000000000004</v>
      </c>
      <c r="N185" s="869">
        <f>Assy.Model!K30</f>
        <v>1111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6.1079999999999997</v>
      </c>
      <c r="N186" s="869">
        <f>Assy.Model!K31</f>
        <v>1111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6.1139999999999999</v>
      </c>
      <c r="N187" s="869">
        <f>Assy.Model!K32</f>
        <v>1111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6.12</v>
      </c>
      <c r="N188" s="869">
        <f>Assy.Model!K33</f>
        <v>1111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6.1260000000000003</v>
      </c>
      <c r="N189" s="869">
        <f>Assy.Model!K34</f>
        <v>1111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 t="str">
        <f>Assy.Model!$M35</f>
        <v/>
      </c>
      <c r="N190" s="869" t="str">
        <f>Assy.Model!K35</f>
        <v/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 t="str">
        <f>Assy.Model!$M36</f>
        <v/>
      </c>
      <c r="N191" s="869" t="str">
        <f>Assy.Model!K36</f>
        <v/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2023-03-30T18:24:59Z</dcterms:modified>
</cp:coreProperties>
</file>