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86\"/>
    </mc:Choice>
  </mc:AlternateContent>
  <xr:revisionPtr revIDLastSave="0" documentId="8_{537AFD47-BA89-42C0-963B-269B32D0F05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15" i="1" l="1"/>
  <c r="IG4" i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R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K122" i="1"/>
  <c r="IW122" i="1"/>
  <c r="IR122" i="1"/>
  <c r="IN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R121" i="1"/>
  <c r="IW121" i="1"/>
  <c r="IK121" i="1"/>
  <c r="IN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W14" i="1"/>
  <c r="IN14" i="1"/>
  <c r="IR14" i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R120" i="1"/>
  <c r="IW120" i="1"/>
  <c r="IN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K119" i="1"/>
  <c r="IW119" i="1"/>
  <c r="IR119" i="1"/>
  <c r="IN119" i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28" i="1"/>
  <c r="IF9" i="1"/>
  <c r="IF147" i="1"/>
  <c r="IF142" i="1"/>
  <c r="IF143" i="1"/>
  <c r="IF137" i="1"/>
  <c r="IF135" i="1"/>
  <c r="IF109" i="1"/>
  <c r="IF145" i="1"/>
  <c r="IF13" i="1"/>
  <c r="IF108" i="1"/>
  <c r="IF131" i="1"/>
  <c r="IF123" i="1"/>
  <c r="IF141" i="1"/>
  <c r="IF124" i="1"/>
  <c r="IF146" i="1"/>
  <c r="IF11" i="1"/>
  <c r="IF134" i="1"/>
  <c r="IF82" i="1"/>
  <c r="IF12" i="1"/>
  <c r="IF133" i="1"/>
  <c r="IF149" i="1"/>
  <c r="IF130" i="1"/>
  <c r="IF132" i="1"/>
  <c r="IF110" i="1"/>
  <c r="IF125" i="1"/>
  <c r="IF144" i="1"/>
  <c r="IF139" i="1"/>
  <c r="IF126" i="1"/>
  <c r="IF140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V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Q89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V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113" i="1"/>
  <c r="IQ120" i="1"/>
  <c r="IQ75" i="1"/>
  <c r="IV69" i="1"/>
  <c r="IV81" i="1"/>
  <c r="IQ88" i="1"/>
  <c r="IQ77" i="1"/>
  <c r="IV71" i="1"/>
  <c r="IV62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R91" i="1" s="1"/>
  <c r="X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2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AF86" i="1" s="1"/>
  <c r="AM86" i="1" s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V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IQ107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6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IQ69" i="1" s="1"/>
  <c r="N63" i="1"/>
  <c r="AA63" i="1"/>
  <c r="Q62" i="1"/>
  <c r="P55" i="1"/>
  <c r="S55" i="1" s="1"/>
  <c r="Y55" i="1" s="1"/>
  <c r="IQ61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5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5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90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7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P90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IQ73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7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9" i="1" l="1"/>
  <c r="IQ38" i="1"/>
  <c r="IV45" i="1"/>
  <c r="IQ49" i="1"/>
  <c r="IQ31" i="1"/>
  <c r="IQ14" i="1"/>
  <c r="IQ112" i="1"/>
  <c r="IV105" i="1"/>
  <c r="IQ111" i="1"/>
  <c r="IV104" i="1"/>
  <c r="IQ98" i="1"/>
  <c r="IV89" i="1"/>
  <c r="IV99" i="1"/>
  <c r="IQ106" i="1"/>
  <c r="AQ121" i="1"/>
  <c r="IU121" i="1"/>
  <c r="IE121" i="1" s="1"/>
  <c r="IQ92" i="1"/>
  <c r="IV96" i="1"/>
  <c r="IQ103" i="1"/>
  <c r="IQ114" i="1"/>
  <c r="IV107" i="1"/>
  <c r="IQ57" i="1"/>
  <c r="IQ78" i="1"/>
  <c r="IV72" i="1"/>
  <c r="IQ91" i="1"/>
  <c r="IQ20" i="1"/>
  <c r="IV115" i="1"/>
  <c r="IQ122" i="1"/>
  <c r="IQ56" i="1"/>
  <c r="IV98" i="1"/>
  <c r="IQ105" i="1"/>
  <c r="IV114" i="1"/>
  <c r="IQ121" i="1"/>
  <c r="IV112" i="1"/>
  <c r="IQ119" i="1"/>
  <c r="IV97" i="1"/>
  <c r="IQ104" i="1"/>
  <c r="IQ47" i="1"/>
  <c r="IQ99" i="1"/>
  <c r="IV92" i="1"/>
  <c r="AQ91" i="1"/>
  <c r="IU91" i="1"/>
  <c r="IE91" i="1" s="1"/>
  <c r="R90" i="1"/>
  <c r="X90" i="1" s="1"/>
  <c r="IU90" i="1" s="1"/>
  <c r="IE90" i="1" s="1"/>
  <c r="IV25" i="1"/>
  <c r="IQ32" i="1"/>
  <c r="IQ93" i="1"/>
  <c r="IV84" i="1"/>
  <c r="IV78" i="1"/>
  <c r="IQ85" i="1"/>
  <c r="IQ76" i="1"/>
  <c r="IV70" i="1"/>
  <c r="IQ59" i="1"/>
  <c r="IV56" i="1"/>
  <c r="IV77" i="1"/>
  <c r="IQ84" i="1"/>
  <c r="IQ96" i="1"/>
  <c r="IV87" i="1"/>
  <c r="Q98" i="1"/>
  <c r="IV76" i="1"/>
  <c r="IQ83" i="1"/>
  <c r="IV64" i="1"/>
  <c r="IQ71" i="1"/>
  <c r="AE69" i="1"/>
  <c r="Q114" i="1"/>
  <c r="Q91" i="1"/>
  <c r="IV61" i="1"/>
  <c r="IQ68" i="1"/>
  <c r="AD86" i="1"/>
  <c r="AH86" i="1" s="1"/>
  <c r="IQ95" i="1"/>
  <c r="IV86" i="1"/>
  <c r="IV63" i="1"/>
  <c r="IQ70" i="1"/>
  <c r="IQ97" i="1"/>
  <c r="IV88" i="1"/>
  <c r="IQ102" i="1"/>
  <c r="V97" i="1"/>
  <c r="IQ94" i="1"/>
  <c r="IV85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Q18" i="1"/>
  <c r="IQ23" i="1"/>
  <c r="IV54" i="1"/>
  <c r="IQ63" i="1"/>
  <c r="IQ42" i="1"/>
  <c r="IV39" i="1"/>
  <c r="IQ36" i="1"/>
  <c r="IQ39" i="1"/>
  <c r="IQ100" i="1"/>
  <c r="IV79" i="1"/>
  <c r="AQ90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IP49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P120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AI47" i="1" s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8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7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AM108" i="1" s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U14" i="1" s="1"/>
  <c r="IE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6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7" i="1" s="1"/>
  <c r="R108" i="1"/>
  <c r="X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IP73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R84" i="1"/>
  <c r="X84" i="1" s="1"/>
  <c r="IU84" i="1" s="1"/>
  <c r="IE84" i="1" s="1"/>
  <c r="Q84" i="1"/>
  <c r="R83" i="1"/>
  <c r="X83" i="1" s="1"/>
  <c r="Q83" i="1"/>
  <c r="R81" i="1"/>
  <c r="X81" i="1" s="1"/>
  <c r="IP89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IP71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IP122" i="1" s="1"/>
  <c r="V114" i="1"/>
  <c r="R114" i="1"/>
  <c r="X114" i="1" s="1"/>
  <c r="IP121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P119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P106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7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4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2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1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47" i="1" l="1"/>
  <c r="IP14" i="1"/>
  <c r="IP20" i="1"/>
  <c r="IP15" i="1"/>
  <c r="IP19" i="1"/>
  <c r="IU15" i="1"/>
  <c r="IE15" i="1" s="1"/>
  <c r="AQ73" i="1"/>
  <c r="IU73" i="1"/>
  <c r="IE73" i="1" s="1"/>
  <c r="AQ103" i="1"/>
  <c r="IU103" i="1"/>
  <c r="IE103" i="1" s="1"/>
  <c r="IP117" i="1"/>
  <c r="IP55" i="1"/>
  <c r="IP69" i="1"/>
  <c r="AQ119" i="1"/>
  <c r="IU119" i="1"/>
  <c r="IE119" i="1" s="1"/>
  <c r="AQ122" i="1"/>
  <c r="IU122" i="1"/>
  <c r="IE122" i="1" s="1"/>
  <c r="IP85" i="1"/>
  <c r="IP57" i="1"/>
  <c r="AQ120" i="1"/>
  <c r="IU120" i="1"/>
  <c r="IE120" i="1" s="1"/>
  <c r="IP56" i="1"/>
  <c r="IU86" i="1"/>
  <c r="IE86" i="1" s="1"/>
  <c r="IP91" i="1"/>
  <c r="IP47" i="1"/>
  <c r="AQ92" i="1"/>
  <c r="IU92" i="1"/>
  <c r="IE92" i="1" s="1"/>
  <c r="IU87" i="1"/>
  <c r="IE87" i="1" s="1"/>
  <c r="IP92" i="1"/>
  <c r="IU25" i="1"/>
  <c r="IE25" i="1" s="1"/>
  <c r="IP32" i="1"/>
  <c r="IP59" i="1"/>
  <c r="IU56" i="1"/>
  <c r="IE56" i="1" s="1"/>
  <c r="AJ111" i="1"/>
  <c r="IP99" i="1"/>
  <c r="AQ68" i="1"/>
  <c r="IU68" i="1"/>
  <c r="IE68" i="1" s="1"/>
  <c r="AI108" i="1"/>
  <c r="AQ83" i="1"/>
  <c r="IU83" i="1"/>
  <c r="IE83" i="1" s="1"/>
  <c r="AG97" i="1"/>
  <c r="IP102" i="1"/>
  <c r="IP88" i="1"/>
  <c r="IU61" i="1"/>
  <c r="IE61" i="1" s="1"/>
  <c r="IP68" i="1"/>
  <c r="AQ20" i="1"/>
  <c r="IU20" i="1"/>
  <c r="IE20" i="1" s="1"/>
  <c r="AG108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W15" i="1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IL121" i="1" s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IL119" i="1" s="1"/>
  <c r="W103" i="1"/>
  <c r="W101" i="1"/>
  <c r="W123" i="1"/>
  <c r="W120" i="1"/>
  <c r="W129" i="1"/>
  <c r="W133" i="1"/>
  <c r="W106" i="1"/>
  <c r="W93" i="1"/>
  <c r="W118" i="1"/>
  <c r="W135" i="1"/>
  <c r="W115" i="1"/>
  <c r="IL122" i="1" s="1"/>
  <c r="W113" i="1"/>
  <c r="IL120" i="1" s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IL90" i="1" s="1"/>
  <c r="W79" i="1"/>
  <c r="W80" i="1"/>
  <c r="IL87" i="1" s="1"/>
  <c r="W77" i="1"/>
  <c r="W78" i="1"/>
  <c r="IL85" i="1" s="1"/>
  <c r="W75" i="1"/>
  <c r="W76" i="1"/>
  <c r="W73" i="1"/>
  <c r="W74" i="1"/>
  <c r="W71" i="1"/>
  <c r="W72" i="1"/>
  <c r="W69" i="1"/>
  <c r="W70" i="1"/>
  <c r="W67" i="1"/>
  <c r="W68" i="1"/>
  <c r="W65" i="1"/>
  <c r="W66" i="1"/>
  <c r="IL72" i="1" s="1"/>
  <c r="W63" i="1"/>
  <c r="W64" i="1"/>
  <c r="W61" i="1"/>
  <c r="W62" i="1"/>
  <c r="IL69" i="1" s="1"/>
  <c r="W59" i="1"/>
  <c r="W60" i="1"/>
  <c r="W57" i="1"/>
  <c r="W58" i="1"/>
  <c r="W55" i="1"/>
  <c r="W56" i="1"/>
  <c r="W53" i="1"/>
  <c r="W54" i="1"/>
  <c r="W51" i="1"/>
  <c r="W52" i="1"/>
  <c r="W49" i="1"/>
  <c r="IL56" i="1" s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3" i="1"/>
  <c r="IL15" i="1" s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4" i="1" l="1"/>
  <c r="IL73" i="1"/>
  <c r="IL106" i="1"/>
  <c r="IL105" i="1"/>
  <c r="IL71" i="1"/>
  <c r="IL103" i="1"/>
  <c r="IL107" i="1"/>
  <c r="IL88" i="1"/>
  <c r="IL89" i="1"/>
  <c r="IL38" i="1"/>
  <c r="IL70" i="1"/>
  <c r="IL86" i="1"/>
  <c r="IL92" i="1"/>
  <c r="IL91" i="1"/>
  <c r="IL21" i="1"/>
  <c r="IL68" i="1"/>
  <c r="IL84" i="1"/>
  <c r="IL20" i="1"/>
  <c r="IL57" i="1"/>
  <c r="IL83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IY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IY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IT92" i="1" s="1"/>
  <c r="U85" i="1"/>
  <c r="AL86" i="1"/>
  <c r="AN86" i="1" s="1"/>
  <c r="IT91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IT89" i="1" s="1"/>
  <c r="AK81" i="1"/>
  <c r="T81" i="1"/>
  <c r="AL79" i="1"/>
  <c r="AN79" i="1" s="1"/>
  <c r="U80" i="1"/>
  <c r="AL80" i="1"/>
  <c r="AN80" i="1" s="1"/>
  <c r="IT87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Y14" i="1" s="1"/>
  <c r="T14" i="1"/>
  <c r="AK13" i="1"/>
  <c r="U13" i="1"/>
  <c r="AL13" i="1"/>
  <c r="AN13" i="1" s="1"/>
  <c r="IT15" i="1" s="1"/>
  <c r="AK12" i="1"/>
  <c r="U12" i="1"/>
  <c r="AL12" i="1"/>
  <c r="AN12" i="1" s="1"/>
  <c r="IT14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38" i="1" l="1"/>
  <c r="IT19" i="1"/>
  <c r="IY15" i="1"/>
  <c r="IY98" i="1"/>
  <c r="IT105" i="1"/>
  <c r="IY113" i="1"/>
  <c r="IT120" i="1"/>
  <c r="IT98" i="1"/>
  <c r="IY89" i="1"/>
  <c r="IF89" i="1" s="1"/>
  <c r="IT111" i="1"/>
  <c r="IY104" i="1"/>
  <c r="IT86" i="1"/>
  <c r="IY97" i="1"/>
  <c r="IT104" i="1"/>
  <c r="IT112" i="1"/>
  <c r="IY105" i="1"/>
  <c r="IY114" i="1"/>
  <c r="IT121" i="1"/>
  <c r="IY99" i="1"/>
  <c r="IT106" i="1"/>
  <c r="IY112" i="1"/>
  <c r="IT119" i="1"/>
  <c r="IT114" i="1"/>
  <c r="IY107" i="1"/>
  <c r="IY96" i="1"/>
  <c r="IT103" i="1"/>
  <c r="IT113" i="1"/>
  <c r="IY106" i="1"/>
  <c r="IY115" i="1"/>
  <c r="IT122" i="1"/>
  <c r="IT78" i="1"/>
  <c r="IY72" i="1"/>
  <c r="IT20" i="1"/>
  <c r="IT32" i="1"/>
  <c r="IT99" i="1"/>
  <c r="IS94" i="1"/>
  <c r="IX85" i="1"/>
  <c r="IY49" i="1"/>
  <c r="IT56" i="1"/>
  <c r="IT76" i="1"/>
  <c r="IY70" i="1"/>
  <c r="IT77" i="1"/>
  <c r="IY71" i="1"/>
  <c r="IY62" i="1"/>
  <c r="IT69" i="1"/>
  <c r="IY64" i="1"/>
  <c r="IT71" i="1"/>
  <c r="IX71" i="1"/>
  <c r="IY63" i="1"/>
  <c r="IT70" i="1"/>
  <c r="IT75" i="1"/>
  <c r="IY69" i="1"/>
  <c r="IX49" i="1"/>
  <c r="IY77" i="1"/>
  <c r="IT84" i="1"/>
  <c r="IY81" i="1"/>
  <c r="IT88" i="1"/>
  <c r="IT97" i="1"/>
  <c r="IY88" i="1"/>
  <c r="IY61" i="1"/>
  <c r="IT68" i="1"/>
  <c r="IY76" i="1"/>
  <c r="IT83" i="1"/>
  <c r="IT95" i="1"/>
  <c r="IY86" i="1"/>
  <c r="IT49" i="1"/>
  <c r="IY38" i="1"/>
  <c r="IY78" i="1"/>
  <c r="IT85" i="1"/>
  <c r="IT93" i="1"/>
  <c r="IY84" i="1"/>
  <c r="IT94" i="1"/>
  <c r="IY85" i="1"/>
  <c r="IY50" i="1"/>
  <c r="IT57" i="1"/>
  <c r="IT96" i="1"/>
  <c r="IY87" i="1"/>
  <c r="IY36" i="1"/>
  <c r="IT37" i="1"/>
  <c r="IT31" i="1"/>
  <c r="IT47" i="1"/>
  <c r="IT48" i="1"/>
  <c r="IT50" i="1"/>
  <c r="IY41" i="1"/>
  <c r="IT64" i="1"/>
  <c r="IY55" i="1"/>
  <c r="IX41" i="1"/>
  <c r="IX55" i="1"/>
  <c r="IT52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21" i="1"/>
  <c r="IY18" i="1"/>
  <c r="IT27" i="1"/>
  <c r="IY22" i="1"/>
  <c r="IY33" i="1"/>
  <c r="IT40" i="1"/>
  <c r="IT53" i="1"/>
  <c r="IT58" i="1"/>
  <c r="IY54" i="1"/>
  <c r="IT63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IX120" i="1" s="1"/>
  <c r="IF120" i="1" s="1"/>
  <c r="AP120" i="1"/>
  <c r="AO102" i="1"/>
  <c r="AP102" i="1"/>
  <c r="AO101" i="1"/>
  <c r="AP101" i="1"/>
  <c r="AO128" i="1"/>
  <c r="AP128" i="1"/>
  <c r="AO122" i="1"/>
  <c r="IX122" i="1" s="1"/>
  <c r="IF122" i="1" s="1"/>
  <c r="AP122" i="1"/>
  <c r="BA77" i="7"/>
  <c r="BA81" i="7"/>
  <c r="AO98" i="1"/>
  <c r="AP98" i="1"/>
  <c r="AO106" i="1"/>
  <c r="AP106" i="1"/>
  <c r="AO119" i="1"/>
  <c r="IX119" i="1" s="1"/>
  <c r="IF119" i="1" s="1"/>
  <c r="AP119" i="1"/>
  <c r="AP94" i="1"/>
  <c r="AO94" i="1"/>
  <c r="IX94" i="1" s="1"/>
  <c r="IF94" i="1" s="1"/>
  <c r="AO114" i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IX121" i="1" s="1"/>
  <c r="IF121" i="1" s="1"/>
  <c r="AP107" i="1"/>
  <c r="AO107" i="1"/>
  <c r="AP100" i="1"/>
  <c r="AO100" i="1"/>
  <c r="IS107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X90" i="1" s="1"/>
  <c r="IF90" i="1" s="1"/>
  <c r="AP90" i="1"/>
  <c r="AO87" i="1"/>
  <c r="AP87" i="1"/>
  <c r="AO88" i="1"/>
  <c r="AP88" i="1"/>
  <c r="AP86" i="1"/>
  <c r="AO86" i="1"/>
  <c r="IS91" i="1" s="1"/>
  <c r="AP85" i="1"/>
  <c r="AP84" i="1"/>
  <c r="AO84" i="1"/>
  <c r="AP83" i="1"/>
  <c r="AO83" i="1"/>
  <c r="IX83" i="1" s="1"/>
  <c r="IF83" i="1" s="1"/>
  <c r="AO81" i="1"/>
  <c r="IS89" i="1" s="1"/>
  <c r="AP81" i="1"/>
  <c r="AO82" i="1"/>
  <c r="IS90" i="1" s="1"/>
  <c r="AP82" i="1"/>
  <c r="AO79" i="1"/>
  <c r="AP79" i="1"/>
  <c r="AP80" i="1"/>
  <c r="AO80" i="1"/>
  <c r="IS87" i="1" s="1"/>
  <c r="AO77" i="1"/>
  <c r="AP77" i="1"/>
  <c r="AP78" i="1"/>
  <c r="AO78" i="1"/>
  <c r="AO75" i="1"/>
  <c r="IX75" i="1" s="1"/>
  <c r="IF75" i="1" s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S77" i="1" s="1"/>
  <c r="AP69" i="1"/>
  <c r="AP70" i="1"/>
  <c r="AO70" i="1"/>
  <c r="AO67" i="1"/>
  <c r="IS73" i="1" s="1"/>
  <c r="AP67" i="1"/>
  <c r="AO68" i="1"/>
  <c r="IX68" i="1" s="1"/>
  <c r="IF68" i="1" s="1"/>
  <c r="AP68" i="1"/>
  <c r="AO65" i="1"/>
  <c r="AP65" i="1"/>
  <c r="AP66" i="1"/>
  <c r="AO66" i="1"/>
  <c r="IS72" i="1" s="1"/>
  <c r="AO63" i="1"/>
  <c r="AP63" i="1"/>
  <c r="AO64" i="1"/>
  <c r="AP64" i="1"/>
  <c r="AP62" i="1"/>
  <c r="AO62" i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54" i="1" s="1"/>
  <c r="AP47" i="1"/>
  <c r="AO48" i="1"/>
  <c r="IS55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IS32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X15" i="1" s="1"/>
  <c r="AO16" i="1"/>
  <c r="AP16" i="1"/>
  <c r="AO13" i="1"/>
  <c r="IS15" i="1" s="1"/>
  <c r="AP13" i="1"/>
  <c r="AO14" i="1"/>
  <c r="IX14" i="1" s="1"/>
  <c r="IF14" i="1" s="1"/>
  <c r="AP14" i="1"/>
  <c r="AP11" i="1"/>
  <c r="AO12" i="1"/>
  <c r="IS14" i="1" s="1"/>
  <c r="AP12" i="1"/>
  <c r="AO10" i="1"/>
  <c r="AP10" i="1"/>
  <c r="AN10" i="1"/>
  <c r="IT16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8" i="1" l="1"/>
  <c r="IF15" i="1"/>
  <c r="IS111" i="1"/>
  <c r="IX104" i="1"/>
  <c r="IS113" i="1"/>
  <c r="IX106" i="1"/>
  <c r="IF106" i="1" s="1"/>
  <c r="IF71" i="1"/>
  <c r="IS20" i="1"/>
  <c r="IX112" i="1"/>
  <c r="IF112" i="1" s="1"/>
  <c r="IS119" i="1"/>
  <c r="IX96" i="1"/>
  <c r="IF96" i="1" s="1"/>
  <c r="IS103" i="1"/>
  <c r="IX97" i="1"/>
  <c r="IF97" i="1" s="1"/>
  <c r="IS104" i="1"/>
  <c r="IX114" i="1"/>
  <c r="IF114" i="1" s="1"/>
  <c r="IS121" i="1"/>
  <c r="IX98" i="1"/>
  <c r="IF98" i="1" s="1"/>
  <c r="IS105" i="1"/>
  <c r="IS112" i="1"/>
  <c r="IX105" i="1"/>
  <c r="IF105" i="1" s="1"/>
  <c r="IS78" i="1"/>
  <c r="IX72" i="1"/>
  <c r="IF72" i="1" s="1"/>
  <c r="IS92" i="1"/>
  <c r="IX99" i="1"/>
  <c r="IF99" i="1" s="1"/>
  <c r="IS106" i="1"/>
  <c r="IX115" i="1"/>
  <c r="IF115" i="1" s="1"/>
  <c r="IS122" i="1"/>
  <c r="IS86" i="1"/>
  <c r="IS114" i="1"/>
  <c r="IX107" i="1"/>
  <c r="IF107" i="1" s="1"/>
  <c r="IT55" i="1"/>
  <c r="IS56" i="1"/>
  <c r="IF104" i="1"/>
  <c r="IX113" i="1"/>
  <c r="IF113" i="1" s="1"/>
  <c r="IS120" i="1"/>
  <c r="IF49" i="1"/>
  <c r="IS34" i="1"/>
  <c r="IS64" i="1"/>
  <c r="IS98" i="1"/>
  <c r="IX91" i="1"/>
  <c r="IF91" i="1" s="1"/>
  <c r="IX63" i="1"/>
  <c r="IF63" i="1" s="1"/>
  <c r="IS70" i="1"/>
  <c r="IX78" i="1"/>
  <c r="IF78" i="1" s="1"/>
  <c r="IS85" i="1"/>
  <c r="IS99" i="1"/>
  <c r="IS76" i="1"/>
  <c r="IX70" i="1"/>
  <c r="IF70" i="1" s="1"/>
  <c r="IS95" i="1"/>
  <c r="IX86" i="1"/>
  <c r="IF86" i="1" s="1"/>
  <c r="IX64" i="1"/>
  <c r="IF64" i="1" s="1"/>
  <c r="IS71" i="1"/>
  <c r="IS96" i="1"/>
  <c r="IX87" i="1"/>
  <c r="IF87" i="1" s="1"/>
  <c r="IX61" i="1"/>
  <c r="IF61" i="1" s="1"/>
  <c r="IS68" i="1"/>
  <c r="IF85" i="1"/>
  <c r="IX50" i="1"/>
  <c r="IF50" i="1" s="1"/>
  <c r="IS57" i="1"/>
  <c r="IX62" i="1"/>
  <c r="IF62" i="1" s="1"/>
  <c r="IS69" i="1"/>
  <c r="IX77" i="1"/>
  <c r="IF77" i="1" s="1"/>
  <c r="IS84" i="1"/>
  <c r="IX81" i="1"/>
  <c r="IF81" i="1" s="1"/>
  <c r="IS88" i="1"/>
  <c r="IS93" i="1"/>
  <c r="IX84" i="1"/>
  <c r="IF84" i="1" s="1"/>
  <c r="IT60" i="1"/>
  <c r="IY57" i="1"/>
  <c r="IF57" i="1" s="1"/>
  <c r="IS75" i="1"/>
  <c r="IX69" i="1"/>
  <c r="IF69" i="1" s="1"/>
  <c r="IS97" i="1"/>
  <c r="IX88" i="1"/>
  <c r="IF88" i="1" s="1"/>
  <c r="IS49" i="1"/>
  <c r="IX38" i="1"/>
  <c r="IF38" i="1" s="1"/>
  <c r="IX76" i="1"/>
  <c r="IF76" i="1" s="1"/>
  <c r="IS83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<sst xmlns="http://schemas.openxmlformats.org/spreadsheetml/2006/main" count="736" uniqueCount="393">
  <si>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</si>
  <si>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</si>
  <si>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</si>
  <si>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</si>
  <si>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</si>
  <si>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</si>
  <si>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</si>
  <si>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</si>
  <si>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</si>
  <si>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</si>
  <si>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</si>
  <si>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</si>
  <si>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</si>
  <si>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</si>
  <si>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</si>
  <si>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</si>
  <si>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</si>
  <si>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</si>
  <si>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</si>
  <si>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</si>
  <si>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</si>
  <si>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</si>
  <si>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</si>
  <si>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</si>
  <si>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</si>
  <si>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</si>
  <si>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</si>
  <si>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</si>
  <si>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</si>
  <si>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</si>
  <si>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</si>
  <si>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</si>
  <si>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</si>
  <si>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</si>
  <si>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</si>
  <si>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</si>
  <si>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</si>
  <si>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</si>
  <si>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</si>
  <si>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</si>
  <si>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</si>
  <si>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</si>
  <si>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</si>
  <si>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</si>
  <si>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</si>
  <si>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</si>
  <si>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</si>
  <si>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</si>
  <si>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</si>
  <si>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</si>
  <si>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</si>
  <si>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</si>
  <si>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</si>
  <si>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</si>
  <si>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</si>
  <si>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</si>
  <si>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</si>
  <si>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</si>
  <si>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</si>
  <si>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</si>
  <si>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</si>
  <si>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</si>
  <si>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</si>
  <si>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</si>
  <si>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</si>
  <si>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</si>
  <si>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</si>
  <si>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</si>
  <si>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</si>
  <si>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</si>
  <si>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</si>
  <si>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</si>
  <si>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</si>
  <si>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</si>
  <si>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</si>
  <si>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</si>
  <si>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</si>
  <si>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</si>
  <si>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</si>
  <si>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</si>
  <si>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</si>
  <si>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</si>
  <si>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</si>
  <si>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</si>
  <si>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</si>
  <si>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</si>
  <si>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</si>
  <si>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</si>
  <si>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</si>
  <si>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</si>
  <si>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</si>
  <si>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</si>
  <si>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</si>
  <si>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</si>
  <si>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</si>
  <si>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</si>
  <si>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</si>
  <si>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</si>
  <si>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</si>
  <si>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</si>
  <si>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</si>
  <si>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</si>
  <si>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</si>
  <si>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</si>
  <si>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</si>
  <si>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</si>
  <si>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</si>
  <si>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</si>
  <si>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</si>
  <si>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</si>
  <si>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</si>
  <si>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</si>
  <si>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</si>
  <si>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</si>
  <si>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</si>
  <si>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</si>
  <si>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</si>
  <si>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</si>
  <si>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</si>
  <si>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</si>
  <si>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</si>
  <si>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</si>
  <si>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</si>
  <si>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</si>
  <si>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</si>
  <si>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</si>
  <si>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</si>
  <si>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</si>
  <si>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</si>
  <si>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</si>
  <si>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</si>
  <si>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</si>
  <si>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</si>
  <si>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</si>
  <si>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</si>
  <si>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</si>
  <si>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</si>
  <si>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</si>
  <si>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</si>
  <si>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</si>
  <si>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</si>
  <si>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</si>
  <si>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</si>
  <si>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</si>
  <si>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</si>
  <si>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</si>
  <si>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</si>
  <si>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</si>
  <si>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</si>
  <si>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</si>
  <si>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</si>
  <si>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</si>
  <si>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</si>
  <si>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</si>
  <si>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</si>
  <si>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</si>
  <si>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</si>
  <si>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</si>
  <si>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</si>
  <si>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</si>
  <si>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</si>
  <si>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</si>
  <si>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</si>
  <si>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</si>
  <si>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</si>
  <si>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</si>
  <si>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</si>
  <si>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</si>
  <si>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</si>
  <si>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</si>
  <si>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</si>
  <si>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</si>
  <si>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</si>
  <si>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</si>
  <si>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</si>
  <si>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</si>
  <si>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</si>
  <si>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</si>
  <si>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</si>
  <si>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</si>
  <si>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</si>
  <si>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</si>
  <si>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</si>
  <si>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</si>
  <si>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</si>
  <si>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</si>
  <si>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</si>
  <si>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</si>
  <si>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</si>
  <si>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</si>
  <si>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</si>
  <si>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</si>
  <si>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</si>
  <si>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</si>
  <si>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</si>
  <si>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</si>
  <si>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</si>
  <si>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</si>
  <si>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</si>
  <si>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</si>
  <si>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</si>
  <si>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</si>
  <si>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</si>
  <si>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</si>
  <si>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</si>
  <si>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</si>
  <si>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</si>
  <si>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</si>
  <si>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</si>
  <si>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</si>
  <si>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</si>
  <si>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</si>
  <si>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</si>
  <si>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</si>
  <si>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</si>
  <si>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</si>
  <si>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</si>
  <si>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</si>
  <si>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</si>
  <si>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</si>
  <si>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</si>
  <si>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</si>
  <si>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</si>
  <si>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</si>
  <si>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</si>
  <si>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</si>
  <si>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</si>
  <si>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</si>
  <si>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</si>
  <si>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</si>
  <si>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</si>
  <si>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</si>
  <si>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</si>
  <si>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</si>
  <si>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</si>
  <si>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</si>
  <si>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</si>
  <si>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</si>
  <si>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</si>
  <si>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</si>
  <si>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</si>
  <si>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</si>
  <si>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</si>
  <si>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</si>
  <si>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</si>
  <si>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</si>
  <si>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</si>
  <si>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</si>
  <si>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</si>
  <si>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</si>
  <si>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</si>
  <si>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</si>
  <si>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</si>
  <si>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</si>
  <si>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</si>
  <si>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</si>
  <si>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</si>
  <si>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</si>
  <si>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</si>
  <si>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</si>
  <si>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</si>
  <si>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</si>
  <si>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</si>
  <si>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</si>
  <si>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</si>
  <si>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</si>
  <si>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</si>
  <si>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</si>
  <si>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</si>
  <si>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</si>
  <si>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</si>
  <si>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</si>
  <si>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</si>
  <si>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</si>
  <si>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</si>
  <si>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</si>
  <si>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</si>
  <si>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</si>
  <si>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</si>
  <si>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</si>
  <si>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</si>
  <si>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</si>
  <si>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</si>
  <si>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</si>
  <si>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</si>
  <si>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</si>
  <si>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</si>
  <si>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</si>
  <si>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</si>
  <si>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</si>
  <si>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</si>
  <si>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</si>
  <si>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</si>
  <si>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</si>
  <si>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</si>
  <si>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</si>
  <si>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</si>
  <si>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</si>
  <si>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</si>
  <si>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</si>
  <si>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</si>
  <si>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</si>
  <si>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</si>
  <si>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</si>
  <si>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</si>
  <si>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</si>
  <si>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</si>
  <si>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</si>
  <si>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</si>
  <si>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</si>
  <si>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</si>
  <si>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</si>
  <si>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</si>
  <si>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</si>
  <si>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</si>
  <si>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</si>
  <si>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</si>
  <si>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</si>
  <si>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</si>
  <si>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</si>
  <si>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</si>
  <si>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</si>
  <si>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</si>
  <si>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</si>
  <si>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</si>
  <si>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</si>
  <si>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</si>
  <si>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</si>
  <si>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</si>
  <si>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</si>
  <si>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</si>
  <si>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</si>
  <si>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</si>
  <si>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</si>
  <si>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</si>
  <si>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</si>
  <si>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</si>
  <si>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</si>
  <si>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</si>
  <si>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</si>
  <si>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</si>
  <si>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</si>
  <si>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</si>
  <si>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</si>
  <si>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</si>
  <si>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</si>
  <si>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</si>
  <si>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</si>
  <si>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</si>
  <si>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</si>
  <si>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</si>
  <si>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</si>
  <si>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</si>
  <si>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</si>
  <si>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</si>
  <si>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</si>
  <si>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</si>
  <si>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</si>
  <si>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</si>
  <si>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</si>
  <si>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</si>
  <si>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</si>
  <si>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</si>
  <si>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</si>
  <si>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</si>
  <si>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</si>
  <si>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</si>
  <si>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</si>
  <si>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</si>
  <si>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</si>
  <si>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</si>
  <si>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</si>
  <si>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</si>
  <si>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</si>
  <si>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</si>
  <si>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</si>
  <si>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</si>
  <si>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</si>
  <si>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</si>
  <si>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</si>
  <si>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</si>
  <si>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</si>
  <si>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</si>
  <si>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</si>
  <si>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</si>
  <si>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</si>
  <si>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</si>
  <si>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</si>
  <si>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</si>
  <si>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</si>
  <si>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</si>
  <si>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old 2268</t>
  </si>
  <si>
    <t>new 2268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</si>
</sst>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8.75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36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1.112's θ about Z Axis</v>
      </c>
      <c r="U5" s="1021"/>
      <c r="V5" s="1072"/>
      <c r="W5" s="1021" t="str">
        <f>CONCATENATE("Relative to ",M8,"'s θ about Z Axis")</f>
        <v>Relative to 1.112's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1.112's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88.930000154488866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-3.2700098623497501E-2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0.34200103147511102</v>
      </c>
      <c r="D9" s="704">
        <v>-0.38320115573468572</v>
      </c>
      <c r="E9" s="705">
        <v>-0.93969263802333458</v>
      </c>
      <c r="F9" s="703">
        <v>-5.3503723084143334E-2</v>
      </c>
      <c r="G9" s="706">
        <v>0.33780926224850866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0.34200103147511102</v>
      </c>
      <c r="P9" s="625">
        <f t="shared" ref="P9:P40" si="4">IF(M9="","",D9)</f>
        <v>-0.38320115573468572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0.34200103147511102</v>
      </c>
      <c r="S9" s="626">
        <f>IF(M9="","",P9)</f>
        <v>-0.38320115573468572</v>
      </c>
      <c r="T9" s="627">
        <f>IF(M9="","",X9*COS(RADIANS(W9)))</f>
        <v>0.34194139568694315</v>
      </c>
      <c r="U9" s="624">
        <f>IF(M9="","",X9*SIN(RADIANS(W9)))</f>
        <v>6.3865049679180247E-3</v>
      </c>
      <c r="V9" s="628">
        <f>IF(M9="","",Y9)</f>
        <v>-0.38320115573468572</v>
      </c>
      <c r="W9" s="583">
        <f t="shared" ref="W9:W14" si="5">IF(M9="","",IF(Q9-$Q$8&lt;0,360+Q9-$Q$8,Q9-$Q$8))</f>
        <v>1.0699998455111341</v>
      </c>
      <c r="X9" s="629">
        <f>IF(M9="","",R9)</f>
        <v>0.34200103147511102</v>
      </c>
      <c r="Y9" s="630">
        <f>IF(M9="","",S9)</f>
        <v>-0.38320115573468572</v>
      </c>
      <c r="Z9" s="623">
        <f t="shared" ref="Z9:Z40" si="6">IF(M9="","",-E9)</f>
        <v>0.93969263802333458</v>
      </c>
      <c r="AA9" s="624">
        <f t="shared" ref="AA9:AA40" si="7">IF(M9="","",-F9)</f>
        <v>5.3503723084143334E-2</v>
      </c>
      <c r="AB9" s="624">
        <f t="shared" ref="AB9:AB40" si="8">IF(M9="","",-G9)</f>
        <v>-0.33780926224850866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5.3503723084143334E-2</v>
      </c>
      <c r="AF9" s="625">
        <f>IF(M9="","",AB9*(1/SQRT(Z9^2+AA9^2+AB9^2)))</f>
        <v>-0.33780926224850866</v>
      </c>
      <c r="AG9" s="599">
        <f>IF(M9="","",DEGREES(ATAN2(-AF9,AE9)))</f>
        <v>8.9999987005609636</v>
      </c>
      <c r="AH9" s="600">
        <f>IF(M9="","",DEGREES(ACOS(AD9)))</f>
        <v>19.999997112357679</v>
      </c>
      <c r="AI9" s="583">
        <f>IF(M9="","",DEGREES(-ACOS(-AF9)))</f>
        <v>-70.256541427921746</v>
      </c>
      <c r="AJ9" s="601">
        <f>IF(M9="","",DEGREES(ATAN2(-AE9,AD9)))</f>
        <v>93.258758373305042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5.3503723084143334E-2</v>
      </c>
      <c r="AM9" s="626">
        <f>IF(M9="","",AF9)</f>
        <v>-0.33780926224850866</v>
      </c>
      <c r="AN9" s="581">
        <f>IF(M9="","",DEGREES(ATAN2(-AM9,AL9)))</f>
        <v>8.9999987005609636</v>
      </c>
      <c r="AO9" s="582">
        <f>IF(ROUND(IF(M9="",0,DEGREES(ACOS(AK9))),4)=90,0,IF(M9="","",DEGREES(ACOS(AK9))))</f>
        <v>19.999997112357679</v>
      </c>
      <c r="AP9" s="781">
        <f>IF(M9="","",DEGREES(ATAN2(AK9,AL9)))</f>
        <v>3.2587583733050418</v>
      </c>
      <c r="AQ9" s="584">
        <f t="shared" ref="AQ9:AQ40" si="9">IF(M9="","",DEGREES(ATAN(($AS$5*SIN(RADIANS(90)))/(($X9*2*PI())-($AS$5*COS(RADIANS(90)))))))</f>
        <v>6.6360145649915223</v>
      </c>
      <c r="AS9" s="51">
        <f>IF(M9="","",W9)</f>
        <v>1.0699998455111341</v>
      </c>
      <c r="AT9" s="71">
        <f t="shared" ref="AT9:AT40" si="10">IF(M9="","",Y9+(((AS9-$AS$9)*$AS$6)*-1))</f>
        <v>-0.38320115573468572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30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1.0703032280345357</v>
      </c>
      <c r="D10" s="709">
        <v>-0.26790080798883692</v>
      </c>
      <c r="E10" s="710">
        <v>-0.95105653031184811</v>
      </c>
      <c r="F10" s="708">
        <v>-4.8340894532903508E-2</v>
      </c>
      <c r="G10" s="711">
        <v>0.30521244087839472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1.0703032280345357</v>
      </c>
      <c r="P10" s="633">
        <f t="shared" si="4"/>
        <v>-0.26790080798883692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1.0703032280345357</v>
      </c>
      <c r="S10" s="634">
        <f t="shared" ref="S10:S105" si="80">IF(M10="","",P10)</f>
        <v>-0.26790080798883692</v>
      </c>
      <c r="T10" s="635">
        <f t="shared" ref="T10:T105" si="81">IF(M10="","",X10*COS(RADIANS(W10)))</f>
        <v>1.0701165959173542</v>
      </c>
      <c r="U10" s="629">
        <f t="shared" ref="U10:U105" si="82">IF(M10="","",X10*SIN(RADIANS(W10)))</f>
        <v>1.9986772711001927E-2</v>
      </c>
      <c r="V10" s="636">
        <f>IF(M10="","",Y10)</f>
        <v>-0.26790080798883692</v>
      </c>
      <c r="W10" s="585">
        <f t="shared" si="5"/>
        <v>1.0699998455111341</v>
      </c>
      <c r="X10" s="629">
        <f t="shared" ref="X10:X105" si="83">IF(M10="","",R10)</f>
        <v>1.0703032280345357</v>
      </c>
      <c r="Y10" s="630">
        <f>IF(M10="","",S10)</f>
        <v>-0.26790080798883692</v>
      </c>
      <c r="Z10" s="632">
        <f t="shared" si="6"/>
        <v>0.95105653031184811</v>
      </c>
      <c r="AA10" s="629">
        <f t="shared" si="7"/>
        <v>4.8340894532903508E-2</v>
      </c>
      <c r="AB10" s="629">
        <f t="shared" si="8"/>
        <v>-0.30521244087839472</v>
      </c>
      <c r="AC10" s="636">
        <f t="shared" ref="AC10:AC105" si="84">IF(M10="","",SQRT(Z10^2+AA10^2+AB10^2))</f>
        <v>1</v>
      </c>
      <c r="AD10" s="637">
        <f>IF(M10="","",Z10*(1/SQRT(Z10^2+AA10^2+AB10^2)))</f>
        <v>0.95105653031184811</v>
      </c>
      <c r="AE10" s="629">
        <f t="shared" ref="AE10:AE105" si="85">IF(M10="","",AA10*(1/SQRT(Z10^2+AA10^2+AB10^2)))</f>
        <v>4.8340894532903508E-2</v>
      </c>
      <c r="AF10" s="633">
        <f t="shared" ref="AF10:AF105" si="86">IF(M10="","",AB10*(1/SQRT(Z10^2+AA10^2+AB10^2)))</f>
        <v>-0.30521244087839472</v>
      </c>
      <c r="AG10" s="602">
        <f t="shared" ref="AG10:AG105" si="87">IF(M10="","",DEGREES(ATAN2(-AF10,AE10)))</f>
        <v>8.9999987005609636</v>
      </c>
      <c r="AH10" s="603">
        <f t="shared" ref="AH10:AH105" si="88">IF(M10="","",DEGREES(ACOS(AD10)))</f>
        <v>17.999997401121902</v>
      </c>
      <c r="AI10" s="585">
        <f t="shared" ref="AI10:AI105" si="89">IF(M10="","",DEGREES(-ACOS(-AF10)))</f>
        <v>-72.229054688919192</v>
      </c>
      <c r="AJ10" s="586">
        <f t="shared" ref="AJ10:AJ105" si="90">IF(M10="","",DEGREES(ATAN2(-AE10,AD10)))</f>
        <v>92.909761505573826</v>
      </c>
      <c r="AK10" s="635">
        <f>IF(M10="","",(COS(RADIANS((90-$Q$8)-W10))*AD10)+(-SIN(RADIANS((90-$Q$8)-W10))*AE10))</f>
        <v>0.95105653031184811</v>
      </c>
      <c r="AL10" s="629">
        <f t="shared" ref="AL10:AL105" si="91">IF(M10="","",(SIN(RADIANS((90-$Q$8)-W10))*AD10)+(COS(RADIANS((90-$Q$8)-W10))*AE10))</f>
        <v>4.8340894532903508E-2</v>
      </c>
      <c r="AM10" s="634">
        <f t="shared" ref="AM10:AM105" si="92">IF(M10="","",AF10)</f>
        <v>-0.30521244087839472</v>
      </c>
      <c r="AN10" s="581">
        <f t="shared" ref="AN10:AN105" si="93">IF(M10="","",DEGREES(ATAN2(-AM10,AL10)))</f>
        <v>8.9999987005609636</v>
      </c>
      <c r="AO10" s="582">
        <f t="shared" ref="AO10:AO54" si="94">IF(ROUND(IF(M10="",0,DEGREES(ACOS(AK10))),4)=90,0,IF(M10="","",DEGREES(ACOS(AK10))))</f>
        <v>17.999997401121902</v>
      </c>
      <c r="AP10" s="585">
        <f t="shared" ref="AP10:AP105" si="95">IF(M10="","",DEGREES(ATAN2(AK10,AL10)))</f>
        <v>2.9097615055738268</v>
      </c>
      <c r="AQ10" s="586">
        <f t="shared" si="9"/>
        <v>2.1290016246051691</v>
      </c>
      <c r="AS10" s="52">
        <f>IF($M10="","",IF(AND($W10&lt;($AS$9+180),$W10&gt;($AS$9-180)),$W10,IF($W10&gt;($AS$9+180),$W10-360,IF($W10&lt;($AS$9-180),$W10+360,"Error"))))</f>
        <v>1.0699998455111341</v>
      </c>
      <c r="AT10" s="72">
        <f t="shared" si="10"/>
        <v>-0.26790080798883692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6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4.1160706230363615E-3</v>
      </c>
      <c r="C11" s="708">
        <v>1.8141008018067726</v>
      </c>
      <c r="D11" s="709">
        <v>-0.15010045270296538</v>
      </c>
      <c r="E11" s="710">
        <v>-0.95083829046286139</v>
      </c>
      <c r="F11" s="708">
        <v>-2.2555379785505012E-2</v>
      </c>
      <c r="G11" s="711">
        <v>0.30886534320378994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4.1160706230363615E-3</v>
      </c>
      <c r="O11" s="629">
        <f t="shared" si="3"/>
        <v>1.8141008018067726</v>
      </c>
      <c r="P11" s="633">
        <f t="shared" si="4"/>
        <v>-0.15010045270296538</v>
      </c>
      <c r="Q11" s="585">
        <f t="shared" ref="Q11:Q73" si="113">IF(M11="","",IF(DEGREES(ATAN2(N11,O11))&lt;0,DEGREES(ATAN2(N11,O11))+360,IF(DEGREES(ATAN2(N11,O11))&gt;360,DEGREES(ATAN2(N11,O11))-360,DEGREES(ATAN2(N11,O11)))))</f>
        <v>89.870000018769687</v>
      </c>
      <c r="R11" s="629">
        <f t="shared" si="79"/>
        <v>1.8141054713421016</v>
      </c>
      <c r="S11" s="634">
        <f t="shared" si="80"/>
        <v>-0.15010045270296538</v>
      </c>
      <c r="T11" s="635">
        <f t="shared" si="81"/>
        <v>1.8138613346177523</v>
      </c>
      <c r="U11" s="629">
        <f t="shared" si="82"/>
        <v>2.9761047227124516E-2</v>
      </c>
      <c r="V11" s="636">
        <f t="shared" ref="V11:V105" si="114">IF(M11="","",Y11)</f>
        <v>-0.15010045270296538</v>
      </c>
      <c r="W11" s="585">
        <f t="shared" si="5"/>
        <v>0.93999986428082138</v>
      </c>
      <c r="X11" s="629">
        <f>IF(M11="","",R11)</f>
        <v>1.8141054713421016</v>
      </c>
      <c r="Y11" s="630">
        <f>IF(M11="","",S11)</f>
        <v>-0.15010045270296538</v>
      </c>
      <c r="Z11" s="632">
        <f t="shared" si="6"/>
        <v>0.95083829046286139</v>
      </c>
      <c r="AA11" s="629">
        <f t="shared" si="7"/>
        <v>2.2555379785505012E-2</v>
      </c>
      <c r="AB11" s="629">
        <f t="shared" si="8"/>
        <v>-0.30886534320378994</v>
      </c>
      <c r="AC11" s="636">
        <f t="shared" si="84"/>
        <v>1</v>
      </c>
      <c r="AD11" s="637">
        <f t="shared" ref="AD11:AD105" si="115">IF(M11="","",Z11*(1/SQRT(Z11^2+AA11^2+AB11^2)))</f>
        <v>0.95083829046286139</v>
      </c>
      <c r="AE11" s="629">
        <f t="shared" si="85"/>
        <v>2.2555379785505012E-2</v>
      </c>
      <c r="AF11" s="633">
        <f t="shared" si="86"/>
        <v>-0.30886534320378994</v>
      </c>
      <c r="AG11" s="602">
        <f>IF(M11="","",DEGREES(ATAN2(-AF11,AE11)))</f>
        <v>4.1767007556545224</v>
      </c>
      <c r="AH11" s="603">
        <f t="shared" si="88"/>
        <v>18.040418042262775</v>
      </c>
      <c r="AI11" s="585">
        <f t="shared" si="89"/>
        <v>-72.009135889272983</v>
      </c>
      <c r="AJ11" s="586">
        <f t="shared" si="90"/>
        <v>91.358891157957402</v>
      </c>
      <c r="AK11" s="635">
        <f>IF(M11="","",(COS(RADIANS((90-$Q$8)-W11))*AD11)+(-SIN(RADIANS((90-$Q$8)-W11))*AE11))</f>
        <v>0.95078466650843707</v>
      </c>
      <c r="AL11" s="629">
        <f t="shared" si="91"/>
        <v>2.4712703212016598E-2</v>
      </c>
      <c r="AM11" s="634">
        <f t="shared" si="92"/>
        <v>-0.30886534320378994</v>
      </c>
      <c r="AN11" s="581">
        <f>IF(M11="","",DEGREES(ATAN2(-AM11,AL11)))</f>
        <v>4.5745619259070445</v>
      </c>
      <c r="AO11" s="582">
        <f>IF(ROUND(IF(M11="",0,DEGREES(ACOS(AK11))),4)=90,0,IF(M11="","",DEGREES(ACOS(AK11))))</f>
        <v>18.050336449820506</v>
      </c>
      <c r="AP11" s="585">
        <f t="shared" si="95"/>
        <v>1.4888911391877075</v>
      </c>
      <c r="AQ11" s="586">
        <f t="shared" si="9"/>
        <v>1.2564656328235755</v>
      </c>
      <c r="AS11" s="52">
        <f t="shared" ref="AS11:AS42" si="116">IF(G11="","",IF(AND(W11&lt;(AS10+180),W11&gt;(AS10-180)),W11,IF(W11&gt;(AS10+180),W11-360,IF(W11&lt;(AS10-180),W11+360,"Error"))))</f>
        <v>0.93999986428082138</v>
      </c>
      <c r="AT11" s="72">
        <f t="shared" si="10"/>
        <v>-0.15001017493822211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4.8061250982253396E-2</v>
      </c>
      <c r="C12" s="708">
        <v>2.5732589768406013</v>
      </c>
      <c r="D12" s="709">
        <v>-3.2700098623497501E-2</v>
      </c>
      <c r="E12" s="710">
        <v>-0.95763056682876135</v>
      </c>
      <c r="F12" s="708">
        <v>7.4210173948495925E-2</v>
      </c>
      <c r="G12" s="711">
        <v>0.27827423085467223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4.8061250982253396E-2</v>
      </c>
      <c r="O12" s="629">
        <f t="shared" si="3"/>
        <v>2.5732589768406013</v>
      </c>
      <c r="P12" s="633">
        <f t="shared" si="4"/>
        <v>-3.2700098623497501E-2</v>
      </c>
      <c r="Q12" s="585">
        <f>IF(M12="","",IF(DEGREES(ATAN2(N12,O12))&lt;0,DEGREES(ATAN2(N12,O12))+360,IF(DEGREES(ATAN2(N12,O12))&gt;360,DEGREES(ATAN2(N12,O12))-360,DEGREES(ATAN2(N12,O12)))))</f>
        <v>88.930000154488866</v>
      </c>
      <c r="R12" s="629">
        <f t="shared" si="79"/>
        <v>2.5737077623026119</v>
      </c>
      <c r="S12" s="634">
        <f t="shared" si="80"/>
        <v>-3.2700098623497501E-2</v>
      </c>
      <c r="T12" s="635">
        <f>IF(M12="","",X12*COS(RADIANS(W12)))</f>
        <v>2.5737077623026119</v>
      </c>
      <c r="U12" s="629">
        <f t="shared" si="82"/>
        <v>0</v>
      </c>
      <c r="V12" s="636">
        <f t="shared" si="114"/>
        <v>-3.2700098623497501E-2</v>
      </c>
      <c r="W12" s="585">
        <f>IF(M12="","",IF(Q12-$Q$8&lt;0,360+Q12-$Q$8,Q12-$Q$8))</f>
        <v>0</v>
      </c>
      <c r="X12" s="629">
        <f t="shared" si="83"/>
        <v>2.5737077623026119</v>
      </c>
      <c r="Y12" s="630">
        <f>IF(M12="","",S12)</f>
        <v>-3.2700098623497501E-2</v>
      </c>
      <c r="Z12" s="632">
        <f t="shared" si="6"/>
        <v>0.95763056682876135</v>
      </c>
      <c r="AA12" s="629">
        <f t="shared" si="7"/>
        <v>-7.4210173948495925E-2</v>
      </c>
      <c r="AB12" s="629">
        <f t="shared" si="8"/>
        <v>-0.27827423085467223</v>
      </c>
      <c r="AC12" s="636">
        <f t="shared" si="84"/>
        <v>1</v>
      </c>
      <c r="AD12" s="637">
        <f t="shared" si="115"/>
        <v>0.95763056682876135</v>
      </c>
      <c r="AE12" s="629">
        <f t="shared" si="85"/>
        <v>-7.4210173948495925E-2</v>
      </c>
      <c r="AF12" s="633">
        <f t="shared" si="86"/>
        <v>-0.27827423085467223</v>
      </c>
      <c r="AG12" s="602">
        <f t="shared" si="87"/>
        <v>-14.932130798028696</v>
      </c>
      <c r="AH12" s="603">
        <f t="shared" si="88"/>
        <v>16.738225337227249</v>
      </c>
      <c r="AI12" s="585">
        <f t="shared" si="89"/>
        <v>-73.842767617640249</v>
      </c>
      <c r="AJ12" s="586">
        <f t="shared" si="90"/>
        <v>85.56880372132143</v>
      </c>
      <c r="AK12" s="635">
        <f t="shared" ref="AK12:AK105" si="211">IF(M12="","",(COS(RADIANS((90-$Q$8)-W12))*AD12)+(-SIN(RADIANS((90-$Q$8)-W12))*AE12))</f>
        <v>0.95884937774628332</v>
      </c>
      <c r="AL12" s="629">
        <f>IF(M12="","",(SIN(RADIANS((90-$Q$8)-W12))*AD12)+(COS(RADIANS((90-$Q$8)-W12))*AE12))</f>
        <v>-5.6314502908272959E-2</v>
      </c>
      <c r="AM12" s="634">
        <f t="shared" si="92"/>
        <v>-0.27827423085467223</v>
      </c>
      <c r="AN12" s="581">
        <f>IF(M12="","",DEGREES(ATAN2(-AM12,AL12)))</f>
        <v>-11.440470071717023</v>
      </c>
      <c r="AO12" s="582">
        <f t="shared" si="94"/>
        <v>16.494018945931085</v>
      </c>
      <c r="AP12" s="585">
        <f t="shared" si="95"/>
        <v>-3.3611964331674402</v>
      </c>
      <c r="AQ12" s="586">
        <f t="shared" si="9"/>
        <v>0.8857046909220071</v>
      </c>
      <c r="AS12" s="52">
        <f t="shared" si="116"/>
        <v>0</v>
      </c>
      <c r="AT12" s="72">
        <f>IF(M12="","",Y12+(((AS12-$AS$9)*$AS$6)*-1))</f>
        <v>-3.195704317522588E-2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0.14177771251647625</v>
      </c>
      <c r="C13" s="708">
        <v>3.3409031321418681</v>
      </c>
      <c r="D13" s="709">
        <v>-0.18050054438964186</v>
      </c>
      <c r="E13" s="710">
        <v>-0.94080759491040611</v>
      </c>
      <c r="F13" s="708">
        <v>0.24533728727131662</v>
      </c>
      <c r="G13" s="711">
        <v>0.23386039603414852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1.1180000000000001</v>
      </c>
      <c r="N13" s="632">
        <f t="shared" si="2"/>
        <v>0.14177771251647625</v>
      </c>
      <c r="O13" s="629">
        <f t="shared" si="3"/>
        <v>3.3409031321418681</v>
      </c>
      <c r="P13" s="633">
        <f t="shared" si="4"/>
        <v>-0.18050054438964186</v>
      </c>
      <c r="Q13" s="585">
        <f t="shared" si="113"/>
        <v>87.570000350848545</v>
      </c>
      <c r="R13" s="629">
        <f t="shared" si="79"/>
        <v>3.3439100852328174</v>
      </c>
      <c r="S13" s="634">
        <f t="shared" si="80"/>
        <v>-0.18050054438964186</v>
      </c>
      <c r="T13" s="635">
        <f>IF(M13="","",X13*COS(RADIANS(W13)))</f>
        <v>3.3429681161882692</v>
      </c>
      <c r="U13" s="629">
        <f t="shared" si="82"/>
        <v>-7.9365182986017926E-2</v>
      </c>
      <c r="V13" s="636">
        <f t="shared" si="114"/>
        <v>-0.18050054438964186</v>
      </c>
      <c r="W13" s="585">
        <f t="shared" si="5"/>
        <v>358.64000019635967</v>
      </c>
      <c r="X13" s="629">
        <f t="shared" si="83"/>
        <v>3.3439100852328174</v>
      </c>
      <c r="Y13" s="630">
        <f>IF(M13="","",S13)</f>
        <v>-0.18050054438964186</v>
      </c>
      <c r="Z13" s="632">
        <f t="shared" si="6"/>
        <v>0.94080759491040611</v>
      </c>
      <c r="AA13" s="629">
        <f t="shared" si="7"/>
        <v>-0.24533728727131662</v>
      </c>
      <c r="AB13" s="629">
        <f t="shared" si="8"/>
        <v>-0.23386039603414852</v>
      </c>
      <c r="AC13" s="636">
        <f t="shared" si="84"/>
        <v>1</v>
      </c>
      <c r="AD13" s="637">
        <f>IF(M13="","",Z13*(1/SQRT(Z13^2+AA13^2+AB13^2)))</f>
        <v>0.94080759491040611</v>
      </c>
      <c r="AE13" s="629">
        <f t="shared" si="85"/>
        <v>-0.24533728727131662</v>
      </c>
      <c r="AF13" s="633">
        <f t="shared" si="86"/>
        <v>-0.23386039603414852</v>
      </c>
      <c r="AG13" s="602">
        <f>IF(M13="","",DEGREES(ATAN2(-AF13,AE13)))</f>
        <v>-46.371984390345084</v>
      </c>
      <c r="AH13" s="603">
        <f t="shared" si="88"/>
        <v>19.812373302812656</v>
      </c>
      <c r="AI13" s="585">
        <f t="shared" si="89"/>
        <v>-76.475543452248559</v>
      </c>
      <c r="AJ13" s="586">
        <f t="shared" si="90"/>
        <v>75.384302485844785</v>
      </c>
      <c r="AK13" s="635">
        <f t="shared" si="211"/>
        <v>0.95036359201090692</v>
      </c>
      <c r="AL13" s="629">
        <f t="shared" si="91"/>
        <v>-0.20522757647762105</v>
      </c>
      <c r="AM13" s="634">
        <f t="shared" si="92"/>
        <v>-0.23386039603414852</v>
      </c>
      <c r="AN13" s="581">
        <f t="shared" si="93"/>
        <v>-41.269038618108219</v>
      </c>
      <c r="AO13" s="582">
        <f t="shared" si="94"/>
        <v>18.128037009324206</v>
      </c>
      <c r="AP13" s="585">
        <f t="shared" si="95"/>
        <v>-12.185697865003773</v>
      </c>
      <c r="AQ13" s="586">
        <f t="shared" si="9"/>
        <v>0.6817225920586063</v>
      </c>
      <c r="AS13" s="52">
        <f t="shared" si="116"/>
        <v>-1.3599998036403349</v>
      </c>
      <c r="AT13" s="72">
        <f t="shared" si="10"/>
        <v>-0.17881304463328668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0.24378593303547344</v>
      </c>
      <c r="C14" s="708">
        <v>3.9075144130017772</v>
      </c>
      <c r="D14" s="709">
        <v>-0.71780216489132931</v>
      </c>
      <c r="E14" s="710">
        <v>-0.89035711051072752</v>
      </c>
      <c r="F14" s="708">
        <v>0.42171109045089927</v>
      </c>
      <c r="G14" s="711">
        <v>0.17153417138780705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0.24378593303547344</v>
      </c>
      <c r="O14" s="629">
        <f t="shared" si="3"/>
        <v>3.9075144130017772</v>
      </c>
      <c r="P14" s="633">
        <f t="shared" si="4"/>
        <v>-0.71780216489132931</v>
      </c>
      <c r="Q14" s="585">
        <f t="shared" si="113"/>
        <v>86.430000515444164</v>
      </c>
      <c r="R14" s="629">
        <f t="shared" si="79"/>
        <v>3.9151118079772127</v>
      </c>
      <c r="S14" s="634">
        <f t="shared" si="80"/>
        <v>-0.71780216489132931</v>
      </c>
      <c r="T14" s="635">
        <f t="shared" si="81"/>
        <v>3.9113854901296228</v>
      </c>
      <c r="U14" s="629">
        <f t="shared" si="82"/>
        <v>-0.17077475388958846</v>
      </c>
      <c r="V14" s="636">
        <f t="shared" si="114"/>
        <v>-0.71780216489132931</v>
      </c>
      <c r="W14" s="585">
        <f t="shared" si="5"/>
        <v>357.50000036095526</v>
      </c>
      <c r="X14" s="629">
        <f t="shared" si="83"/>
        <v>3.9151118079772127</v>
      </c>
      <c r="Y14" s="630">
        <f t="shared" ref="Y14:Y75" si="223">IF(M14="","",S14)</f>
        <v>-0.71780216489132931</v>
      </c>
      <c r="Z14" s="632">
        <f t="shared" si="6"/>
        <v>0.89035711051072752</v>
      </c>
      <c r="AA14" s="629">
        <f t="shared" si="7"/>
        <v>-0.42171109045089927</v>
      </c>
      <c r="AB14" s="629">
        <f t="shared" si="8"/>
        <v>-0.17153417138780705</v>
      </c>
      <c r="AC14" s="636">
        <f t="shared" si="84"/>
        <v>1</v>
      </c>
      <c r="AD14" s="637">
        <f>IF(M14="","",Z14*(1/SQRT(Z14^2+AA14^2+AB14^2)))</f>
        <v>0.89035711051072752</v>
      </c>
      <c r="AE14" s="629">
        <f t="shared" si="85"/>
        <v>-0.42171109045089927</v>
      </c>
      <c r="AF14" s="633">
        <f t="shared" si="86"/>
        <v>-0.17153417138780705</v>
      </c>
      <c r="AG14" s="602">
        <f t="shared" si="87"/>
        <v>-67.865594965852154</v>
      </c>
      <c r="AH14" s="603">
        <f t="shared" si="88"/>
        <v>27.081844424714244</v>
      </c>
      <c r="AI14" s="585">
        <f t="shared" si="89"/>
        <v>-80.122968991509666</v>
      </c>
      <c r="AJ14" s="586">
        <f t="shared" si="90"/>
        <v>64.655769519069281</v>
      </c>
      <c r="AK14" s="635">
        <f>IF(M14="","",(COS(RADIANS((90-$Q$8)-W14))*AD14)+(-SIN(RADIANS((90-$Q$8)-W14))*AE14))</f>
        <v>0.91488842448841556</v>
      </c>
      <c r="AL14" s="629">
        <f t="shared" si="91"/>
        <v>-0.36545204717363822</v>
      </c>
      <c r="AM14" s="634">
        <f t="shared" si="92"/>
        <v>-0.17153417138780705</v>
      </c>
      <c r="AN14" s="581">
        <f t="shared" si="93"/>
        <v>-64.855798241279132</v>
      </c>
      <c r="AO14" s="582">
        <f t="shared" si="94"/>
        <v>23.810113182722532</v>
      </c>
      <c r="AP14" s="585">
        <f>IF(M14="","",DEGREES(ATAN2(AK14,AL14)))</f>
        <v>-21.774230996374826</v>
      </c>
      <c r="AQ14" s="586">
        <f t="shared" si="9"/>
        <v>0.5822689778469915</v>
      </c>
      <c r="AS14" s="52">
        <f t="shared" si="116"/>
        <v>-2.499999639044745</v>
      </c>
      <c r="AT14" s="72">
        <f t="shared" si="10"/>
        <v>-0.71532299858260995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0.28529650639732324</v>
      </c>
      <c r="C15" s="708">
        <v>4.1004994789513045</v>
      </c>
      <c r="D15" s="709">
        <v>-1.4775044561534398</v>
      </c>
      <c r="E15" s="710">
        <v>-0.81858306260352998</v>
      </c>
      <c r="F15" s="708">
        <v>0.57362652679059778</v>
      </c>
      <c r="G15" s="711">
        <v>2.9569872857032622E-2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2">
        <f>IF($L14=$JH$22,$JH$29,IF($L14=$JI$22,$JI$29,""))</f>
        <v>70</v>
      </c>
      <c r="M15" s="168">
        <f t="shared" si="1"/>
        <v>1.1299999999999999</v>
      </c>
      <c r="N15" s="632">
        <f t="shared" si="2"/>
        <v>0.28529650639732324</v>
      </c>
      <c r="O15" s="629">
        <f t="shared" si="3"/>
        <v>4.1004994789513045</v>
      </c>
      <c r="P15" s="633">
        <f t="shared" si="4"/>
        <v>-1.4775044561534398</v>
      </c>
      <c r="Q15" s="585">
        <f t="shared" si="113"/>
        <v>86.020000574640818</v>
      </c>
      <c r="R15" s="629">
        <f t="shared" si="79"/>
        <v>4.1104123970037891</v>
      </c>
      <c r="S15" s="634">
        <f t="shared" si="80"/>
        <v>-1.4775044561534398</v>
      </c>
      <c r="T15" s="635">
        <f t="shared" si="81"/>
        <v>4.1051120704114021</v>
      </c>
      <c r="U15" s="629">
        <f t="shared" si="82"/>
        <v>-0.2086742983815735</v>
      </c>
      <c r="V15" s="636">
        <f t="shared" si="114"/>
        <v>-1.4775044561534398</v>
      </c>
      <c r="W15" s="585">
        <f>IF(M15="","",IF(Q15-$Q$8&lt;0,360+Q15-$Q$8,Q15-$Q$8))</f>
        <v>357.09000042015191</v>
      </c>
      <c r="X15" s="629">
        <f>IF(M15="","",R15)</f>
        <v>4.1104123970037891</v>
      </c>
      <c r="Y15" s="630">
        <f>IF(M15="","",S15)</f>
        <v>-1.4775044561534398</v>
      </c>
      <c r="Z15" s="632">
        <f t="shared" si="6"/>
        <v>0.81858306260352998</v>
      </c>
      <c r="AA15" s="629">
        <f t="shared" si="7"/>
        <v>-0.57362652679059778</v>
      </c>
      <c r="AB15" s="629">
        <f t="shared" si="8"/>
        <v>-2.9569872857032622E-2</v>
      </c>
      <c r="AC15" s="636">
        <f t="shared" si="84"/>
        <v>1</v>
      </c>
      <c r="AD15" s="637">
        <f t="shared" si="115"/>
        <v>0.81858306260352998</v>
      </c>
      <c r="AE15" s="629">
        <f t="shared" si="85"/>
        <v>-0.57362652679059778</v>
      </c>
      <c r="AF15" s="633">
        <f t="shared" si="86"/>
        <v>-2.9569872857032622E-2</v>
      </c>
      <c r="AG15" s="602">
        <f t="shared" si="87"/>
        <v>-87.04907194234174</v>
      </c>
      <c r="AH15" s="603">
        <f t="shared" si="88"/>
        <v>35.056796605666513</v>
      </c>
      <c r="AI15" s="585">
        <f t="shared" si="89"/>
        <v>-88.305524088115334</v>
      </c>
      <c r="AJ15" s="586">
        <f t="shared" si="90"/>
        <v>54.978941113615299</v>
      </c>
      <c r="AK15" s="635">
        <f t="shared" si="211"/>
        <v>0.85642332830651058</v>
      </c>
      <c r="AL15" s="629">
        <f t="shared" si="91"/>
        <v>-0.51542672161192593</v>
      </c>
      <c r="AM15" s="634">
        <f t="shared" si="92"/>
        <v>-2.9569872857032622E-2</v>
      </c>
      <c r="AN15" s="581">
        <f>IF(M15="","",DEGREES(ATAN2(-AM15,AL15)))</f>
        <v>-86.716557799133938</v>
      </c>
      <c r="AO15" s="582">
        <f t="shared" si="94"/>
        <v>31.082664524912943</v>
      </c>
      <c r="AP15" s="585">
        <f t="shared" si="95"/>
        <v>-31.041059461025476</v>
      </c>
      <c r="AQ15" s="586">
        <f t="shared" si="9"/>
        <v>0.55460503976023368</v>
      </c>
      <c r="AS15" s="52">
        <f t="shared" si="116"/>
        <v>-2.9099995798480904</v>
      </c>
      <c r="AT15" s="72">
        <f t="shared" si="10"/>
        <v>-1.4747405676636069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36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0.30325833916039974</v>
      </c>
      <c r="C16" s="708">
        <v>4.1795251589001907</v>
      </c>
      <c r="D16" s="709">
        <v>-2.193706616219155</v>
      </c>
      <c r="E16" s="710">
        <v>-0.77549580545883434</v>
      </c>
      <c r="F16" s="708">
        <v>0.63135271894222245</v>
      </c>
      <c r="G16" s="711">
        <v>1.3008419228767658E-7</v>
      </c>
      <c r="H16" s="710">
        <v>0.26600000000000001</v>
      </c>
      <c r="I16" s="708">
        <v>0.52</v>
      </c>
      <c r="J16" s="570">
        <v>1.1359999999999999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1.1359999999999999</v>
      </c>
      <c r="N16" s="632">
        <f t="shared" si="2"/>
        <v>0.30325833916039974</v>
      </c>
      <c r="O16" s="629">
        <f t="shared" si="3"/>
        <v>4.1795251589001907</v>
      </c>
      <c r="P16" s="633">
        <f t="shared" si="4"/>
        <v>-2.193706616219155</v>
      </c>
      <c r="Q16" s="585">
        <f>IF(M16="","",IF(DEGREES(ATAN2(N16,O16))&lt;0,DEGREES(ATAN2(N16,O16))+360,IF(DEGREES(ATAN2(N16,O16))&gt;360,DEGREES(ATAN2(N16,O16))-360,DEGREES(ATAN2(N16,O16)))))</f>
        <v>85.850000599185776</v>
      </c>
      <c r="R16" s="629">
        <f t="shared" si="79"/>
        <v>4.1905126385861173</v>
      </c>
      <c r="S16" s="634">
        <f t="shared" si="80"/>
        <v>-2.193706616219155</v>
      </c>
      <c r="T16" s="635">
        <f t="shared" si="81"/>
        <v>4.1844593884997723</v>
      </c>
      <c r="U16" s="629">
        <f t="shared" si="82"/>
        <v>-0.22515727868780308</v>
      </c>
      <c r="V16" s="636">
        <f t="shared" si="114"/>
        <v>-2.193706616219155</v>
      </c>
      <c r="W16" s="585">
        <f>IF(M16="","",IF(Q16-$Q$8&lt;0,360+Q16-$Q$8,Q16-$Q$8))</f>
        <v>356.92000044469688</v>
      </c>
      <c r="X16" s="629">
        <f t="shared" si="83"/>
        <v>4.1905126385861173</v>
      </c>
      <c r="Y16" s="630">
        <f t="shared" si="223"/>
        <v>-2.193706616219155</v>
      </c>
      <c r="Z16" s="632">
        <f t="shared" si="6"/>
        <v>0.77549580545883434</v>
      </c>
      <c r="AA16" s="629">
        <f t="shared" si="7"/>
        <v>-0.63135271894222245</v>
      </c>
      <c r="AB16" s="629">
        <f t="shared" si="8"/>
        <v>-1.3008419228767658E-7</v>
      </c>
      <c r="AC16" s="636">
        <f t="shared" si="84"/>
        <v>1</v>
      </c>
      <c r="AD16" s="637">
        <f t="shared" si="115"/>
        <v>0.77549580545883434</v>
      </c>
      <c r="AE16" s="629">
        <f t="shared" si="85"/>
        <v>-0.63135271894222245</v>
      </c>
      <c r="AF16" s="633">
        <f t="shared" si="86"/>
        <v>-1.3008419228767658E-7</v>
      </c>
      <c r="AG16" s="602">
        <f t="shared" si="87"/>
        <v>-89.999988194752348</v>
      </c>
      <c r="AH16" s="603">
        <f t="shared" si="88"/>
        <v>39.149994347440078</v>
      </c>
      <c r="AI16" s="585">
        <f t="shared" si="89"/>
        <v>-89.999992546724798</v>
      </c>
      <c r="AJ16" s="586">
        <f t="shared" si="90"/>
        <v>50.850005652560519</v>
      </c>
      <c r="AK16" s="635">
        <f t="shared" si="211"/>
        <v>0.81915209487729235</v>
      </c>
      <c r="AL16" s="629">
        <f t="shared" si="91"/>
        <v>-0.57357636410344415</v>
      </c>
      <c r="AM16" s="634">
        <f t="shared" si="92"/>
        <v>-1.3008419228767658E-7</v>
      </c>
      <c r="AN16" s="581">
        <f t="shared" si="93"/>
        <v>-89.999987005609611</v>
      </c>
      <c r="AO16" s="582">
        <f t="shared" si="94"/>
        <v>34.999994946625911</v>
      </c>
      <c r="AP16" s="585">
        <f t="shared" si="95"/>
        <v>-34.999994946625236</v>
      </c>
      <c r="AQ16" s="586">
        <f t="shared" si="9"/>
        <v>0.54400459401772061</v>
      </c>
      <c r="AS16" s="52">
        <f t="shared" si="116"/>
        <v>-3.0799995553031181</v>
      </c>
      <c r="AT16" s="72">
        <f t="shared" si="10"/>
        <v>-2.1908246721908116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1.1359999999999999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0.88198908209286875</v>
      </c>
      <c r="C17" s="708">
        <v>1.5723292838554168</v>
      </c>
      <c r="D17" s="709">
        <v>-0.12038916710521126</v>
      </c>
      <c r="E17" s="710">
        <v>-7.6532647568068143E-2</v>
      </c>
      <c r="F17" s="708">
        <v>-0.13643492478228592</v>
      </c>
      <c r="G17" s="711">
        <v>0.98768834414296591</v>
      </c>
      <c r="H17" s="710">
        <v>0.19500000000000001</v>
      </c>
      <c r="I17" s="708">
        <v>0.21199999999999999</v>
      </c>
      <c r="J17" s="570">
        <v>1.2070000000000001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Inactive</v>
      </c>
      <c r="M17" s="168">
        <f t="shared" si="1"/>
        <v>1.2070000000000001</v>
      </c>
      <c r="N17" s="632">
        <f t="shared" si="2"/>
        <v>0.88198908209286875</v>
      </c>
      <c r="O17" s="629">
        <f t="shared" si="3"/>
        <v>1.5723292838554168</v>
      </c>
      <c r="P17" s="633">
        <f t="shared" si="4"/>
        <v>-0.12038916710521126</v>
      </c>
      <c r="Q17" s="585">
        <f>IF(M17="","",IF(DEGREES(ATAN2(N17,O17))&lt;0,DEGREES(ATAN2(N17,O17))+360,IF(DEGREES(ATAN2(N17,O17))&gt;360,DEGREES(ATAN2(N17,O17))-360,DEGREES(ATAN2(N17,O17)))))</f>
        <v>60.710004228952172</v>
      </c>
      <c r="R17" s="629">
        <f>IF(M17="","",SQRT(N17^2+O17^2))</f>
        <v>1.8028100614874294</v>
      </c>
      <c r="S17" s="634">
        <f>IF(M17="","",P17)</f>
        <v>-0.12038916710521126</v>
      </c>
      <c r="T17" s="635">
        <f>IF(M17="","",X17*COS(RADIANS(W17)))</f>
        <v>1.5885253185119277</v>
      </c>
      <c r="U17" s="629">
        <f>IF(M17="","",X17*SIN(RADIANS(W17)))</f>
        <v>-0.85247371234947056</v>
      </c>
      <c r="V17" s="636">
        <f>IF(M17="","",Y17)</f>
        <v>-0.12038916710521126</v>
      </c>
      <c r="W17" s="585">
        <f t="shared" ref="W17:W78" si="224">IF(M17="","",IF(Q17-$Q$8&lt;0,360+Q17-$Q$8,Q17-$Q$8))</f>
        <v>331.78000407446331</v>
      </c>
      <c r="X17" s="629">
        <f>IF(M17="","",R17)</f>
        <v>1.8028100614874294</v>
      </c>
      <c r="Y17" s="630">
        <f t="shared" si="223"/>
        <v>-0.12038916710521126</v>
      </c>
      <c r="Z17" s="632">
        <f t="shared" si="6"/>
        <v>7.6532647568068143E-2</v>
      </c>
      <c r="AA17" s="629">
        <f t="shared" si="7"/>
        <v>0.13643492478228592</v>
      </c>
      <c r="AB17" s="629">
        <f t="shared" si="8"/>
        <v>-0.98768834414296591</v>
      </c>
      <c r="AC17" s="636">
        <f>IF(M17="","",SQRT(Z17^2+AA17^2+AB17^2))</f>
        <v>1</v>
      </c>
      <c r="AD17" s="637">
        <f>IF(M17="","",Z17*(1/SQRT(Z17^2+AA17^2+AB17^2)))</f>
        <v>7.6532647568068143E-2</v>
      </c>
      <c r="AE17" s="629">
        <f>IF(M17="","",AA17*(1/SQRT(Z17^2+AA17^2+AB17^2)))</f>
        <v>0.13643492478228592</v>
      </c>
      <c r="AF17" s="633">
        <f>IF(M17="","",AB17*(1/SQRT(Z17^2+AA17^2+AB17^2)))</f>
        <v>-0.98768834414296591</v>
      </c>
      <c r="AG17" s="602">
        <f>IF(M17="","",DEGREES(ATAN2(-AF17,AE17)))</f>
        <v>7.8648150570969353</v>
      </c>
      <c r="AH17" s="603">
        <f>IF(M17="","",DEGREES(ACOS(AD17)))</f>
        <v>85.610710308596239</v>
      </c>
      <c r="AI17" s="585">
        <f>IF(M17="","",DEGREES(-ACOS(-AF17)))</f>
        <v>-8.9999987005702629</v>
      </c>
      <c r="AJ17" s="586">
        <f>IF(M17="","",DEGREES(ATAN2(-AE17,AD17)))</f>
        <v>150.70992116290751</v>
      </c>
      <c r="AK17" s="635">
        <f>IF(M17="","",(COS(RADIANS((90-$Q$8)-W17))*AD17)+(-SIN(RADIANS((90-$Q$8)-W17))*AE17))</f>
        <v>2.2679489677934761E-7</v>
      </c>
      <c r="AL17" s="629">
        <f>IF(M17="","",(SIN(RADIANS((90-$Q$8)-W17))*AD17)+(COS(RADIANS((90-$Q$8)-W17))*AE17))</f>
        <v>0.15643444263995926</v>
      </c>
      <c r="AM17" s="634">
        <f>IF(M17="","",AF17)</f>
        <v>-0.98768834414296591</v>
      </c>
      <c r="AN17" s="581">
        <f>IF(M17="","",DEGREES(ATAN2(-AM17,AL17)))</f>
        <v>8.9999987005609583</v>
      </c>
      <c r="AO17" s="582">
        <f t="shared" si="94"/>
        <v>0</v>
      </c>
      <c r="AP17" s="585">
        <f>IF(M17="","",DEGREES(ATAN2(AK17,AL17)))</f>
        <v>89.999916933955333</v>
      </c>
      <c r="AQ17" s="586">
        <f t="shared" si="9"/>
        <v>1.2643354035437291</v>
      </c>
      <c r="AS17" s="52">
        <f t="shared" si="116"/>
        <v>-28.219995925536693</v>
      </c>
      <c r="AT17" s="72">
        <f t="shared" si="10"/>
        <v>-0.10004889226420582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1.2070000000000001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1.107</v>
      </c>
      <c r="II17" s="734" cm="1">
        <f t="array" ref="II17">IFERROR(IF($IH17&lt;1,$IH17+LARGE((IF($M$9:$M$150="",0,$M$9:$M$150)-MOD(IF($M$9:$M$150="",0,$M$9:$M$150),1)),1),$IH17),"")</f>
        <v>1.107</v>
      </c>
      <c r="IJ17" s="533">
        <f t="shared" si="112"/>
        <v>1613</v>
      </c>
      <c r="IK17" s="533" t="str">
        <f t="shared" si="66"/>
        <v>Inactive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29.159995789817515</v>
      </c>
      <c r="IM17" s="759">
        <v>7.2397545652704606E-2</v>
      </c>
      <c r="IN17" s="5">
        <f t="shared" ref="IN17:IN80" si="226">IF(ISNUMBER($II17),(($IO17*12)/60)/$AS$3,"")</f>
        <v>0.9</v>
      </c>
      <c r="IO17" s="771">
        <v>450</v>
      </c>
      <c r="IP17" s="9">
        <f t="shared" ref="IP17:IP80" si="227">IF(ISNUMBER($II17),(INDEX($X$9:$X$150,MATCH($II17,$M$9:$M$150,0))*-1),"")</f>
        <v>-1.8141054713421016</v>
      </c>
      <c r="IQ17" s="5">
        <f t="shared" ref="IQ17:IQ80" si="228">IF(ISNUMBER($II17),INDEX($Y$9:$Y$150,MATCH($II17,$M$9:$M$150,0)),"")</f>
        <v>-0.15010045270296538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0.29854638528364924</v>
      </c>
      <c r="IT17" s="727">
        <f t="shared" ref="IT17:IT80" si="230">IF(ISNUMBER($II17),(-1*INDEX($AN$9:$AN$150,MATCH($II17,$M$9:$M$150,0))),"")</f>
        <v>-4.5745619259070445</v>
      </c>
      <c r="IU17" s="9">
        <f t="shared" ref="IU17:IU80" si="231">IF(ISNUMBER($II17),-$X17,"")</f>
        <v>-1.8028100614874294</v>
      </c>
      <c r="IV17" s="5">
        <f t="shared" ref="IV17:IV80" si="232">IF(ISNUMBER($II17),$Y17,"")</f>
        <v>-0.12038916710521126</v>
      </c>
      <c r="IW17" s="5">
        <f t="shared" si="76"/>
        <v>0.19500000000000001</v>
      </c>
      <c r="IX17" s="5">
        <f t="shared" ref="IX17:IX80" si="233">IF(ISNUMBER($II17),$IW17*COS(RADIANS($AO17)),"")</f>
        <v>0.19500000000000001</v>
      </c>
      <c r="IY17" s="762">
        <f t="shared" ref="IY17:IY80" si="234">IF(ISNUMBER($II17),(-1*$AN17),"")</f>
        <v>-8.9999987005609583</v>
      </c>
    </row>
    <row r="18" spans="1:269" ht="15" customHeight="1" x14ac:dyDescent="0.25">
      <c r="A18" s="79"/>
      <c r="B18" s="707">
        <v>0.95890579559844036</v>
      </c>
      <c r="C18" s="708">
        <v>2.3841510006253652</v>
      </c>
      <c r="D18" s="709">
        <v>5.7237497809142605E-3</v>
      </c>
      <c r="E18" s="710">
        <v>-1.9529352065302197E-2</v>
      </c>
      <c r="F18" s="708">
        <v>-4.8555699290678149E-2</v>
      </c>
      <c r="G18" s="711">
        <v>0.99862953515019914</v>
      </c>
      <c r="H18" s="710">
        <v>0.19500000000000001</v>
      </c>
      <c r="I18" s="708">
        <v>0.21199999999999999</v>
      </c>
      <c r="J18" s="570">
        <v>1.212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Inactive</v>
      </c>
      <c r="L18" s="779" t="s">
        <v>331</v>
      </c>
      <c r="M18" s="168">
        <f t="shared" si="1"/>
        <v>1.212</v>
      </c>
      <c r="N18" s="632">
        <f t="shared" si="2"/>
        <v>0.95890579559844036</v>
      </c>
      <c r="O18" s="629">
        <f t="shared" si="3"/>
        <v>2.3841510006253652</v>
      </c>
      <c r="P18" s="633">
        <f t="shared" si="4"/>
        <v>5.7237497809142605E-3</v>
      </c>
      <c r="Q18" s="585">
        <f t="shared" si="113"/>
        <v>68.090003163412149</v>
      </c>
      <c r="R18" s="629">
        <f>IF(M18="","",SQRT(N18^2+O18^2))</f>
        <v>2.5697619186639078</v>
      </c>
      <c r="S18" s="634">
        <f>IF(M18="","",P18)</f>
        <v>5.7237497809142605E-3</v>
      </c>
      <c r="T18" s="635">
        <f>IF(M18="","",X18*COS(RADIANS(W18)))</f>
        <v>2.4016418130873052</v>
      </c>
      <c r="U18" s="629">
        <f>IF(M18="","",X18*SIN(RADIANS(W18)))</f>
        <v>-0.91421710782829324</v>
      </c>
      <c r="V18" s="636">
        <f>IF(M18="","",Y18)</f>
        <v>5.7237497809142605E-3</v>
      </c>
      <c r="W18" s="585">
        <f t="shared" si="224"/>
        <v>339.16000300892324</v>
      </c>
      <c r="X18" s="629">
        <f>IF(M18="","",R18)</f>
        <v>2.5697619186639078</v>
      </c>
      <c r="Y18" s="630">
        <f t="shared" si="223"/>
        <v>5.7237497809142605E-3</v>
      </c>
      <c r="Z18" s="632">
        <f t="shared" si="6"/>
        <v>1.9529352065302197E-2</v>
      </c>
      <c r="AA18" s="629">
        <f t="shared" si="7"/>
        <v>4.8555699290678149E-2</v>
      </c>
      <c r="AB18" s="629">
        <f t="shared" si="8"/>
        <v>-0.99862953515019914</v>
      </c>
      <c r="AC18" s="636">
        <f>IF(M18="","",SQRT(Z18^2+AA18^2+AB18^2))</f>
        <v>1</v>
      </c>
      <c r="AD18" s="637">
        <f>IF(M18="","",Z18*(1/SQRT(Z18^2+AA18^2+AB18^2)))</f>
        <v>1.9529352065302197E-2</v>
      </c>
      <c r="AE18" s="629">
        <f>IF(M18="","",AA18*(1/SQRT(Z18^2+AA18^2+AB18^2)))</f>
        <v>4.8555699290678149E-2</v>
      </c>
      <c r="AF18" s="633">
        <f>IF(M18="","",AB18*(1/SQRT(Z18^2+AA18^2+AB18^2)))</f>
        <v>-0.99862953515019914</v>
      </c>
      <c r="AG18" s="602">
        <f>IF(M18="","",DEGREES(ATAN2(-AF18,AE18)))</f>
        <v>2.7836622898315984</v>
      </c>
      <c r="AH18" s="603">
        <f>IF(M18="","",DEGREES(ACOS(AD18)))</f>
        <v>88.880979410758258</v>
      </c>
      <c r="AI18" s="585">
        <f>IF(M18="","",DEGREES(-ACOS(-AF18)))</f>
        <v>-2.9999995668817112</v>
      </c>
      <c r="AJ18" s="586">
        <f>IF(M18="","",DEGREES(ATAN2(-AE18,AD18)))</f>
        <v>158.08975487536694</v>
      </c>
      <c r="AK18" s="635">
        <f>IF(M18="","",(COS(RADIANS((90-$Q$8)-W18))*AD18)+(-SIN(RADIANS((90-$Q$8)-W18))*AE18))</f>
        <v>2.2679489668914199E-7</v>
      </c>
      <c r="AL18" s="629">
        <f>IF(M18="","",(SIN(RADIANS((90-$Q$8)-W18))*AD18)+(COS(RADIANS((90-$Q$8)-W18))*AE18))</f>
        <v>5.2335948693473112E-2</v>
      </c>
      <c r="AM18" s="634">
        <f>IF(M18="","",AF18)</f>
        <v>-0.99862953515019914</v>
      </c>
      <c r="AN18" s="581">
        <f>IF(M18="","",DEGREES(ATAN2(-AM18,AL18)))</f>
        <v>2.999999566853655</v>
      </c>
      <c r="AO18" s="582">
        <f t="shared" si="94"/>
        <v>0</v>
      </c>
      <c r="AP18" s="585">
        <f>IF(M18="","",DEGREES(ATAN2(AK18,AL18)))</f>
        <v>89.999751711954801</v>
      </c>
      <c r="AQ18" s="586">
        <f t="shared" si="9"/>
        <v>0.8870644644388479</v>
      </c>
      <c r="AS18" s="52">
        <f t="shared" si="116"/>
        <v>-20.83999699107676</v>
      </c>
      <c r="AT18" s="72">
        <f t="shared" si="10"/>
        <v>2.0939025361878076E-2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1.212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1.1120000000000001</v>
      </c>
      <c r="II18" s="734" cm="1">
        <f t="array" ref="II18">IFERROR(IF($IH18&lt;1,$IH18+LARGE((IF($M$9:$M$150="",0,$M$9:$M$150)-MOD(IF($M$9:$M$150="",0,$M$9:$M$150),1)),1),$IH18),"")</f>
        <v>1.1120000000000001</v>
      </c>
      <c r="IJ18" s="533">
        <f t="shared" si="112"/>
        <v>1613</v>
      </c>
      <c r="IK18" s="533" t="str">
        <f t="shared" si="66"/>
        <v>Inactive</v>
      </c>
      <c r="IL18" s="727">
        <f t="shared" si="225"/>
        <v>20.83999699107676</v>
      </c>
      <c r="IM18" s="759">
        <v>6.8164141314753901E-2</v>
      </c>
      <c r="IN18" s="5">
        <f t="shared" si="226"/>
        <v>1.1599999999999999</v>
      </c>
      <c r="IO18" s="771">
        <v>580</v>
      </c>
      <c r="IP18" s="9">
        <f t="shared" si="227"/>
        <v>-2.5737077623026119</v>
      </c>
      <c r="IQ18" s="5">
        <f t="shared" si="228"/>
        <v>-3.2700098623497501E-2</v>
      </c>
      <c r="IR18" s="5">
        <f t="shared" si="71"/>
        <v>0.314</v>
      </c>
      <c r="IS18" s="5">
        <f t="shared" si="229"/>
        <v>0.30107870461233294</v>
      </c>
      <c r="IT18" s="727">
        <f t="shared" si="230"/>
        <v>11.440470071717023</v>
      </c>
      <c r="IU18" s="9">
        <f t="shared" si="231"/>
        <v>-2.5697619186639078</v>
      </c>
      <c r="IV18" s="5">
        <f t="shared" si="232"/>
        <v>5.7237497809142605E-3</v>
      </c>
      <c r="IW18" s="5">
        <f t="shared" si="76"/>
        <v>0.19500000000000001</v>
      </c>
      <c r="IX18" s="5">
        <f t="shared" si="233"/>
        <v>0.19500000000000001</v>
      </c>
      <c r="IY18" s="762">
        <f t="shared" si="234"/>
        <v>-2.999999566853655</v>
      </c>
    </row>
    <row r="19" spans="1:269" ht="15" customHeight="1" thickBot="1" x14ac:dyDescent="0.3">
      <c r="A19" s="79"/>
      <c r="B19" s="707">
        <v>1.1813324356355874</v>
      </c>
      <c r="C19" s="708">
        <v>3.1445508203227424</v>
      </c>
      <c r="D19" s="709">
        <v>-0.1747223316998214</v>
      </c>
      <c r="E19" s="710">
        <v>0.12206704888025019</v>
      </c>
      <c r="F19" s="708">
        <v>0.32492699679198522</v>
      </c>
      <c r="G19" s="711">
        <v>0.93782838639775024</v>
      </c>
      <c r="H19" s="710">
        <v>0.25700000000000001</v>
      </c>
      <c r="I19" s="708">
        <v>0.41499999999999992</v>
      </c>
      <c r="J19" s="570">
        <v>1.218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CPS-32193r1</v>
      </c>
      <c r="L19" s="775" t="s">
        <v>366</v>
      </c>
      <c r="M19" s="168">
        <f t="shared" si="1"/>
        <v>1.218</v>
      </c>
      <c r="N19" s="632">
        <f t="shared" si="2"/>
        <v>1.1813324356355874</v>
      </c>
      <c r="O19" s="629">
        <f t="shared" si="3"/>
        <v>3.1445508203227424</v>
      </c>
      <c r="P19" s="633">
        <f t="shared" si="4"/>
        <v>-0.1747223316998214</v>
      </c>
      <c r="Q19" s="585">
        <f t="shared" si="113"/>
        <v>69.410002972827755</v>
      </c>
      <c r="R19" s="629">
        <f>IF(M19="","",SQRT(N19^2+O19^2))</f>
        <v>3.3591287836397612</v>
      </c>
      <c r="S19" s="634">
        <f>IF(M19="","",P19)</f>
        <v>-0.1747223316998214</v>
      </c>
      <c r="T19" s="635">
        <f>IF(M19="","",X19*COS(RADIANS(W19)))</f>
        <v>3.1660626200697002</v>
      </c>
      <c r="U19" s="629">
        <f>IF(M19="","",X19*SIN(RADIANS(W19)))</f>
        <v>-1.1224053059721906</v>
      </c>
      <c r="V19" s="636">
        <f>IF(M19="","",Y19)</f>
        <v>-0.1747223316998214</v>
      </c>
      <c r="W19" s="585">
        <f t="shared" si="224"/>
        <v>340.4800028183389</v>
      </c>
      <c r="X19" s="629">
        <f>IF(M19="","",R19)</f>
        <v>3.3591287836397612</v>
      </c>
      <c r="Y19" s="630">
        <f t="shared" si="223"/>
        <v>-0.1747223316998214</v>
      </c>
      <c r="Z19" s="632">
        <f t="shared" si="6"/>
        <v>-0.12206704888025019</v>
      </c>
      <c r="AA19" s="629">
        <f t="shared" si="7"/>
        <v>-0.32492699679198522</v>
      </c>
      <c r="AB19" s="629">
        <f t="shared" si="8"/>
        <v>-0.93782838639775024</v>
      </c>
      <c r="AC19" s="636">
        <f>IF(M19="","",SQRT(Z19^2+AA19^2+AB19^2))</f>
        <v>1</v>
      </c>
      <c r="AD19" s="637">
        <f>IF(M19="","",Z19*(1/SQRT(Z19^2+AA19^2+AB19^2)))</f>
        <v>-0.12206704888025019</v>
      </c>
      <c r="AE19" s="629">
        <f>IF(M19="","",AA19*(1/SQRT(Z19^2+AA19^2+AB19^2)))</f>
        <v>-0.32492699679198522</v>
      </c>
      <c r="AF19" s="633">
        <f>IF(M19="","",AB19*(1/SQRT(Z19^2+AA19^2+AB19^2)))</f>
        <v>-0.93782838639775024</v>
      </c>
      <c r="AG19" s="602">
        <f>IF(M19="","",DEGREES(ATAN2(-AF19,AE19)))</f>
        <v>-19.109535305784689</v>
      </c>
      <c r="AH19" s="603">
        <f>IF(M19="","",DEGREES(ACOS(AD19)))</f>
        <v>97.011412897922142</v>
      </c>
      <c r="AI19" s="585">
        <f>IF(M19="","",DEGREES(-ACOS(-AF19)))</f>
        <v>-20.30999706760322</v>
      </c>
      <c r="AJ19" s="586">
        <f>IF(M19="","",DEGREES(ATAN2(-AE19,AD19)))</f>
        <v>-20.589959590073573</v>
      </c>
      <c r="AK19" s="635">
        <f>IF(M19="","",(COS(RADIANS((90-$Q$8)-W19))*AD19)+(-SIN(RADIANS((90-$Q$8)-W19))*AE19))</f>
        <v>2.2679489669608088E-7</v>
      </c>
      <c r="AL19" s="629">
        <f>IF(M19="","",(SIN(RADIANS((90-$Q$8)-W19))*AD19)+(COS(RADIANS((90-$Q$8)-W19))*AE19))</f>
        <v>-0.34709929078945223</v>
      </c>
      <c r="AM19" s="634">
        <f>IF(M19="","",AF19)</f>
        <v>-0.93782838639775024</v>
      </c>
      <c r="AN19" s="581">
        <f>IF(M19="","",DEGREES(ATAN2(-AM19,AL19)))</f>
        <v>-20.309997067599248</v>
      </c>
      <c r="AO19" s="582">
        <f t="shared" si="94"/>
        <v>0</v>
      </c>
      <c r="AP19" s="585">
        <f>IF(M19="","",DEGREES(ATAN2(AK19,AL19)))</f>
        <v>-89.999962562901331</v>
      </c>
      <c r="AQ19" s="586">
        <f t="shared" si="9"/>
        <v>0.67863430379054313</v>
      </c>
      <c r="AS19" s="52">
        <f t="shared" si="116"/>
        <v>-19.519997181661097</v>
      </c>
      <c r="AT19" s="72">
        <f t="shared" si="10"/>
        <v>-0.16042372265317403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1.218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1.1180000000000001</v>
      </c>
      <c r="II19" s="734" cm="1">
        <f t="array" ref="II19">IFERROR(IF($IH19&lt;1,$IH19+LARGE((IF($M$9:$M$150="",0,$M$9:$M$150)-MOD(IF($M$9:$M$150="",0,$M$9:$M$150),1)),1),$IH19),"")</f>
        <v>1.1180000000000001</v>
      </c>
      <c r="IJ19" s="533">
        <f t="shared" si="112"/>
        <v>1613</v>
      </c>
      <c r="IK19" s="533" t="str">
        <f t="shared" si="66"/>
        <v>CPS-32193r1</v>
      </c>
      <c r="IL19" s="727">
        <f t="shared" si="225"/>
        <v>18.159997378020762</v>
      </c>
      <c r="IM19" s="759">
        <v>2.64067652345631E-2</v>
      </c>
      <c r="IN19" s="5">
        <f t="shared" si="226"/>
        <v>0.64</v>
      </c>
      <c r="IO19" s="771">
        <v>320</v>
      </c>
      <c r="IP19" s="9">
        <f t="shared" si="227"/>
        <v>-3.3439100852328174</v>
      </c>
      <c r="IQ19" s="5">
        <f t="shared" si="228"/>
        <v>-0.18050054438964186</v>
      </c>
      <c r="IR19" s="5">
        <f t="shared" si="71"/>
        <v>0.314</v>
      </c>
      <c r="IS19" s="5">
        <f t="shared" si="229"/>
        <v>0.29841416789142478</v>
      </c>
      <c r="IT19" s="727">
        <f t="shared" si="230"/>
        <v>41.269038618108219</v>
      </c>
      <c r="IU19" s="9">
        <f t="shared" si="231"/>
        <v>-3.3591287836397612</v>
      </c>
      <c r="IV19" s="5">
        <f t="shared" si="232"/>
        <v>-0.1747223316998214</v>
      </c>
      <c r="IW19" s="5">
        <f t="shared" si="76"/>
        <v>0.25700000000000001</v>
      </c>
      <c r="IX19" s="5">
        <f t="shared" si="233"/>
        <v>0.25700000000000001</v>
      </c>
      <c r="IY19" s="762">
        <f t="shared" si="234"/>
        <v>20.309997067599248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1.2458461223823745</v>
      </c>
      <c r="C20" s="708">
        <v>3.7517091117660999</v>
      </c>
      <c r="D20" s="709">
        <v>-0.68779999999999986</v>
      </c>
      <c r="E20" s="710">
        <v>-0.70109113386916544</v>
      </c>
      <c r="F20" s="708">
        <v>0.67590905026372028</v>
      </c>
      <c r="G20" s="711">
        <v>0.22719634191959096</v>
      </c>
      <c r="H20" s="710">
        <v>0.26600000000000001</v>
      </c>
      <c r="I20" s="708">
        <v>0.52</v>
      </c>
      <c r="J20" s="570">
        <v>1.224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290</v>
      </c>
      <c r="M20" s="168">
        <f t="shared" si="1"/>
        <v>1.224</v>
      </c>
      <c r="N20" s="632">
        <f t="shared" si="2"/>
        <v>1.2458461223823745</v>
      </c>
      <c r="O20" s="629">
        <f t="shared" si="3"/>
        <v>3.7517091117660999</v>
      </c>
      <c r="P20" s="633">
        <f t="shared" si="4"/>
        <v>-0.68779999999999986</v>
      </c>
      <c r="Q20" s="585">
        <f t="shared" si="113"/>
        <v>71.63</v>
      </c>
      <c r="R20" s="629">
        <f>IF(M20="","",SQRT(N20^2+O20^2))</f>
        <v>3.9531574494274797</v>
      </c>
      <c r="S20" s="634">
        <f>IF(M20="","",P20)</f>
        <v>-0.68779999999999986</v>
      </c>
      <c r="T20" s="635">
        <f>IF(M20="","",X20*COS(RADIANS(W20)))</f>
        <v>3.7743197638060844</v>
      </c>
      <c r="U20" s="629">
        <f>IF(M20="","",X20*SIN(RADIANS(W20)))</f>
        <v>-1.1755697089100083</v>
      </c>
      <c r="V20" s="636">
        <f>IF(M20="","",Y20)</f>
        <v>-0.68779999999999986</v>
      </c>
      <c r="W20" s="585">
        <f t="shared" si="224"/>
        <v>342.69999984551112</v>
      </c>
      <c r="X20" s="629">
        <f>IF(M20="","",R20)</f>
        <v>3.9531574494274797</v>
      </c>
      <c r="Y20" s="630">
        <f t="shared" si="223"/>
        <v>-0.68779999999999986</v>
      </c>
      <c r="Z20" s="632">
        <f t="shared" si="6"/>
        <v>0.70109113386916544</v>
      </c>
      <c r="AA20" s="629">
        <f t="shared" si="7"/>
        <v>-0.67590905026372028</v>
      </c>
      <c r="AB20" s="629">
        <f t="shared" si="8"/>
        <v>-0.22719634191959096</v>
      </c>
      <c r="AC20" s="636">
        <f>IF(M20="","",SQRT(Z20^2+AA20^2+AB20^2))</f>
        <v>1</v>
      </c>
      <c r="AD20" s="637">
        <f>IF(M20="","",Z20*(1/SQRT(Z20^2+AA20^2+AB20^2)))</f>
        <v>0.70109113386916544</v>
      </c>
      <c r="AE20" s="629">
        <f>IF(M20="","",AA20*(1/SQRT(Z20^2+AA20^2+AB20^2)))</f>
        <v>-0.67590905026372028</v>
      </c>
      <c r="AF20" s="633">
        <f>IF(M20="","",AB20*(1/SQRT(Z20^2+AA20^2+AB20^2)))</f>
        <v>-0.22719634191959096</v>
      </c>
      <c r="AG20" s="602">
        <f>IF(M20="","",DEGREES(ATAN2(-AF20,AE20)))</f>
        <v>-71.420727905641129</v>
      </c>
      <c r="AH20" s="603">
        <f>IF(M20="","",DEGREES(ACOS(AD20)))</f>
        <v>45.485388491886916</v>
      </c>
      <c r="AI20" s="585">
        <f>IF(M20="","",DEGREES(-ACOS(-AF20)))</f>
        <v>-76.867935337422765</v>
      </c>
      <c r="AJ20" s="586">
        <f>IF(M20="","",DEGREES(ATAN2(-AE20,AD20)))</f>
        <v>46.047687802465731</v>
      </c>
      <c r="AK20" s="635">
        <f>IF(M20="","",(COS(RADIANS((90-$Q$8)-W20))*AD20)+(-SIN(RADIANS((90-$Q$8)-W20))*AE20))</f>
        <v>0.87837853889995521</v>
      </c>
      <c r="AL20" s="629">
        <f>IF(M20="","",(SIN(RADIANS((90-$Q$8)-W20))*AD20)+(COS(RADIANS((90-$Q$8)-W20))*AE20))</f>
        <v>-0.42051511818047177</v>
      </c>
      <c r="AM20" s="634">
        <f>IF(M20="","",AF20)</f>
        <v>-0.22719634191959096</v>
      </c>
      <c r="AN20" s="581">
        <f>IF(M20="","",DEGREES(ATAN2(-AM20,AL20)))</f>
        <v>-61.618488515022214</v>
      </c>
      <c r="AO20" s="582">
        <f t="shared" si="94"/>
        <v>28.552618117781829</v>
      </c>
      <c r="AP20" s="585">
        <f>IF(M20="","",DEGREES(ATAN2(AK20,AL20)))</f>
        <v>-25.582312197534282</v>
      </c>
      <c r="AQ20" s="586">
        <f t="shared" si="9"/>
        <v>0.5766655345803342</v>
      </c>
      <c r="AS20" s="52">
        <f t="shared" si="116"/>
        <v>-17.300000154488885</v>
      </c>
      <c r="AT20" s="72">
        <f t="shared" si="10"/>
        <v>-0.67504305555555544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Taper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1.224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1.1240000000000001</v>
      </c>
      <c r="II20" s="734" cm="1">
        <f t="array" ref="II20">IFERROR(IF($IH20&lt;1,$IH20+LARGE((IF($M$9:$M$150="",0,$M$9:$M$150)-MOD(IF($M$9:$M$150="",0,$M$9:$M$150),1)),1),$IH20),"")</f>
        <v>1.1240000000000001</v>
      </c>
      <c r="IJ20" s="533">
        <f t="shared" si="112"/>
        <v>1613</v>
      </c>
      <c r="IK20" s="533">
        <f t="shared" si="66"/>
        <v>1313</v>
      </c>
      <c r="IL20" s="727">
        <f t="shared" si="225"/>
        <v>14.80000051544414</v>
      </c>
      <c r="IM20" s="759">
        <v>5.5934007843374102E-3</v>
      </c>
      <c r="IN20" s="5">
        <f t="shared" si="226"/>
        <v>0.16</v>
      </c>
      <c r="IO20" s="771">
        <v>80</v>
      </c>
      <c r="IP20" s="9">
        <f t="shared" si="227"/>
        <v>-3.9151118079772127</v>
      </c>
      <c r="IQ20" s="5">
        <f t="shared" si="228"/>
        <v>-0.71780216489132931</v>
      </c>
      <c r="IR20" s="5">
        <f t="shared" si="71"/>
        <v>0.314</v>
      </c>
      <c r="IS20" s="5">
        <f t="shared" si="229"/>
        <v>0.28727496528936247</v>
      </c>
      <c r="IT20" s="727">
        <f t="shared" si="230"/>
        <v>64.855798241279132</v>
      </c>
      <c r="IU20" s="9">
        <f t="shared" si="231"/>
        <v>-3.9531574494274797</v>
      </c>
      <c r="IV20" s="5">
        <f t="shared" si="232"/>
        <v>-0.68779999999999986</v>
      </c>
      <c r="IW20" s="5">
        <f t="shared" si="76"/>
        <v>0.26600000000000001</v>
      </c>
      <c r="IX20" s="5">
        <f t="shared" si="233"/>
        <v>0.23364869134738811</v>
      </c>
      <c r="IY20" s="762">
        <f t="shared" si="234"/>
        <v>61.618488515022214</v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1.3141442509426613</v>
      </c>
      <c r="C21" s="708">
        <v>3.9481625360631245</v>
      </c>
      <c r="D21" s="709">
        <v>-1.4672999999999996</v>
      </c>
      <c r="E21" s="710">
        <v>-0.58423867409295049</v>
      </c>
      <c r="F21" s="708">
        <v>0.8097529074572638</v>
      </c>
      <c r="G21" s="711">
        <v>5.4455491537762767E-2</v>
      </c>
      <c r="H21" s="710">
        <v>0.26600000000000001</v>
      </c>
      <c r="I21" s="708">
        <v>0.52</v>
      </c>
      <c r="J21" s="570">
        <v>1.23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1.23</v>
      </c>
      <c r="N21" s="632">
        <f t="shared" si="2"/>
        <v>1.3141442509426613</v>
      </c>
      <c r="O21" s="629">
        <f t="shared" si="3"/>
        <v>3.9481625360631245</v>
      </c>
      <c r="P21" s="633">
        <f t="shared" si="4"/>
        <v>-1.4672999999999996</v>
      </c>
      <c r="Q21" s="585">
        <f t="shared" si="113"/>
        <v>71.590000000000018</v>
      </c>
      <c r="R21" s="629">
        <f>IF(M21="","",SQRT(N21^2+O21^2))</f>
        <v>4.1611251511409808</v>
      </c>
      <c r="S21" s="634">
        <f>IF(M21="","",P21)</f>
        <v>-1.4672999999999996</v>
      </c>
      <c r="T21" s="635">
        <f>IF(M21="","",X21*COS(RADIANS(W21)))</f>
        <v>3.9720143267064723</v>
      </c>
      <c r="U21" s="629">
        <f>IF(M21="","",X21*SIN(RADIANS(W21)))</f>
        <v>-1.2401873696730592</v>
      </c>
      <c r="V21" s="636">
        <f>IF(M21="","",Y21)</f>
        <v>-1.4672999999999996</v>
      </c>
      <c r="W21" s="585">
        <f t="shared" si="224"/>
        <v>342.65999984551115</v>
      </c>
      <c r="X21" s="629">
        <f>IF(M21="","",R21)</f>
        <v>4.1611251511409808</v>
      </c>
      <c r="Y21" s="630">
        <f t="shared" si="223"/>
        <v>-1.4672999999999996</v>
      </c>
      <c r="Z21" s="632">
        <f t="shared" si="6"/>
        <v>0.58423867409295049</v>
      </c>
      <c r="AA21" s="629">
        <f t="shared" si="7"/>
        <v>-0.8097529074572638</v>
      </c>
      <c r="AB21" s="629">
        <f t="shared" si="8"/>
        <v>-5.4455491537762767E-2</v>
      </c>
      <c r="AC21" s="636">
        <f>IF(M21="","",SQRT(Z21^2+AA21^2+AB21^2))</f>
        <v>1</v>
      </c>
      <c r="AD21" s="637">
        <f>IF(M21="","",Z21*(1/SQRT(Z21^2+AA21^2+AB21^2)))</f>
        <v>0.58423867409295049</v>
      </c>
      <c r="AE21" s="629">
        <f>IF(M21="","",AA21*(1/SQRT(Z21^2+AA21^2+AB21^2)))</f>
        <v>-0.8097529074572638</v>
      </c>
      <c r="AF21" s="633">
        <f>IF(M21="","",AB21*(1/SQRT(Z21^2+AA21^2+AB21^2)))</f>
        <v>-5.4455491537762767E-2</v>
      </c>
      <c r="AG21" s="602">
        <f>IF(M21="","",DEGREES(ATAN2(-AF21,AE21)))</f>
        <v>-86.152679382876684</v>
      </c>
      <c r="AH21" s="603">
        <f>IF(M21="","",DEGREES(ACOS(AD21)))</f>
        <v>54.250775981060507</v>
      </c>
      <c r="AI21" s="585">
        <f>IF(M21="","",DEGREES(-ACOS(-AF21)))</f>
        <v>-86.878386059381768</v>
      </c>
      <c r="AJ21" s="586">
        <f>IF(M21="","",DEGREES(ATAN2(-AE21,AD21)))</f>
        <v>35.810539277302802</v>
      </c>
      <c r="AK21" s="635">
        <f>IF(M21="","",(COS(RADIANS((90-$Q$8)-W21))*AD21)+(-SIN(RADIANS((90-$Q$8)-W21))*AE21))</f>
        <v>0.81006969287327835</v>
      </c>
      <c r="AL21" s="629">
        <f>IF(M21="","",(SIN(RADIANS((90-$Q$8)-W21))*AD21)+(COS(RADIANS((90-$Q$8)-W21))*AE21))</f>
        <v>-0.58379935948026984</v>
      </c>
      <c r="AM21" s="634">
        <f>IF(M21="","",AF21)</f>
        <v>-5.4455491537762767E-2</v>
      </c>
      <c r="AN21" s="581">
        <f>IF(M21="","",DEGREES(ATAN2(-AM21,AL21)))</f>
        <v>-84.670998241226869</v>
      </c>
      <c r="AO21" s="582">
        <f>IF(ROUND(IF(M21="",0,DEGREES(ACOS(AK21))),4)=90,0,IF(M21="","",DEGREES(ACOS(AK21))))</f>
        <v>35.897258842785391</v>
      </c>
      <c r="AP21" s="585">
        <f>IF(M21="","",DEGREES(ATAN2(AK21,AL21)))</f>
        <v>-35.779460722697216</v>
      </c>
      <c r="AQ21" s="586">
        <f t="shared" si="9"/>
        <v>0.54784633311728881</v>
      </c>
      <c r="AS21" s="52">
        <f t="shared" si="116"/>
        <v>-17.340000154488848</v>
      </c>
      <c r="AT21" s="72">
        <f t="shared" si="10"/>
        <v>-1.4545152777777774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>Gage</v>
      </c>
      <c r="IG21" s="847">
        <f t="shared" si="210"/>
        <v>1.23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1.1299999999999999</v>
      </c>
      <c r="II21" s="734" cm="1">
        <f t="array" ref="II21">IFERROR(IF($IH21&lt;1,$IH21+LARGE((IF($M$9:$M$150="",0,$M$9:$M$150)-MOD(IF($M$9:$M$150="",0,$M$9:$M$150),1)),1),$IH21),"")</f>
        <v>1.1299999999999999</v>
      </c>
      <c r="IJ21" s="533">
        <f t="shared" si="112"/>
        <v>1613</v>
      </c>
      <c r="IK21" s="533">
        <f t="shared" si="66"/>
        <v>1313</v>
      </c>
      <c r="IL21" s="727">
        <f t="shared" si="225"/>
        <v>14.430000574640758</v>
      </c>
      <c r="IM21" s="759">
        <v>2.0100569864908899E-3</v>
      </c>
      <c r="IN21" s="5">
        <f t="shared" si="226"/>
        <v>0.06</v>
      </c>
      <c r="IO21" s="771">
        <v>30</v>
      </c>
      <c r="IP21" s="9">
        <f t="shared" si="227"/>
        <v>-4.1104123970037891</v>
      </c>
      <c r="IQ21" s="5">
        <f t="shared" si="228"/>
        <v>-1.4775044561534398</v>
      </c>
      <c r="IR21" s="5">
        <f t="shared" si="71"/>
        <v>0.314</v>
      </c>
      <c r="IS21" s="5">
        <f t="shared" si="229"/>
        <v>0.26891692508824439</v>
      </c>
      <c r="IT21" s="727">
        <f t="shared" si="230"/>
        <v>86.716557799133938</v>
      </c>
      <c r="IU21" s="9">
        <f t="shared" si="231"/>
        <v>-4.1611251511409808</v>
      </c>
      <c r="IV21" s="5">
        <f t="shared" si="232"/>
        <v>-1.4672999999999996</v>
      </c>
      <c r="IW21" s="5">
        <f t="shared" si="76"/>
        <v>0.26600000000000001</v>
      </c>
      <c r="IX21" s="5">
        <f t="shared" si="233"/>
        <v>0.21547853830429206</v>
      </c>
      <c r="IY21" s="762">
        <f t="shared" si="234"/>
        <v>84.670998241226869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2.2330899829473143</v>
      </c>
      <c r="C22" s="708">
        <v>0.99984305159958564</v>
      </c>
      <c r="D22" s="709">
        <v>-4.9900150498853907E-2</v>
      </c>
      <c r="E22" s="710">
        <v>-0.36047935648378354</v>
      </c>
      <c r="F22" s="708">
        <v>0.88967869281215628</v>
      </c>
      <c r="G22" s="711">
        <v>0.28022572527355549</v>
      </c>
      <c r="H22" s="710">
        <v>0.314</v>
      </c>
      <c r="I22" s="708">
        <v>0.52</v>
      </c>
      <c r="J22" s="570">
        <v>2.1110000000000002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872">
        <f>IF($L21=$JH$22,$JH$30,IF($L21=$JI$22,$JI$30,""))</f>
        <v>320</v>
      </c>
      <c r="M22" s="168">
        <f t="shared" si="1"/>
        <v>2.1110000000000002</v>
      </c>
      <c r="N22" s="632">
        <f t="shared" si="2"/>
        <v>2.2330899829473143</v>
      </c>
      <c r="O22" s="629">
        <f t="shared" si="3"/>
        <v>0.99984305159958564</v>
      </c>
      <c r="P22" s="633">
        <f t="shared" si="4"/>
        <v>-4.9900150498853907E-2</v>
      </c>
      <c r="Q22" s="585">
        <f t="shared" si="113"/>
        <v>24.119957534332212</v>
      </c>
      <c r="R22" s="629">
        <f t="shared" si="79"/>
        <v>2.4467073792694558</v>
      </c>
      <c r="S22" s="634">
        <f t="shared" si="80"/>
        <v>-4.9900150498853907E-2</v>
      </c>
      <c r="T22" s="635">
        <f t="shared" si="81"/>
        <v>1.0413692826177163</v>
      </c>
      <c r="U22" s="629">
        <f t="shared" si="82"/>
        <v>-2.2140295881021714</v>
      </c>
      <c r="V22" s="636">
        <f t="shared" si="114"/>
        <v>-4.9900150498853907E-2</v>
      </c>
      <c r="W22" s="585">
        <f t="shared" si="224"/>
        <v>295.18995737984335</v>
      </c>
      <c r="X22" s="629">
        <f t="shared" si="83"/>
        <v>2.4467073792694558</v>
      </c>
      <c r="Y22" s="630">
        <f t="shared" si="223"/>
        <v>-4.9900150498853907E-2</v>
      </c>
      <c r="Z22" s="632">
        <f t="shared" si="6"/>
        <v>0.36047935648378354</v>
      </c>
      <c r="AA22" s="629">
        <f t="shared" si="7"/>
        <v>-0.88967869281215628</v>
      </c>
      <c r="AB22" s="629">
        <f t="shared" si="8"/>
        <v>-0.28022572527355549</v>
      </c>
      <c r="AC22" s="636">
        <f t="shared" si="84"/>
        <v>1</v>
      </c>
      <c r="AD22" s="637">
        <f t="shared" si="115"/>
        <v>0.36047935648378354</v>
      </c>
      <c r="AE22" s="629">
        <f t="shared" si="85"/>
        <v>-0.88967869281215628</v>
      </c>
      <c r="AF22" s="633">
        <f t="shared" si="86"/>
        <v>-0.28022572527355549</v>
      </c>
      <c r="AG22" s="602">
        <f t="shared" si="87"/>
        <v>-72.516923881520228</v>
      </c>
      <c r="AH22" s="603">
        <f t="shared" si="88"/>
        <v>68.870362140864799</v>
      </c>
      <c r="AI22" s="585">
        <f t="shared" si="89"/>
        <v>-73.726322844679501</v>
      </c>
      <c r="AJ22" s="586">
        <f t="shared" si="90"/>
        <v>22.05677058637594</v>
      </c>
      <c r="AK22" s="635">
        <f t="shared" si="211"/>
        <v>0.9593118395248017</v>
      </c>
      <c r="AL22" s="629">
        <f t="shared" si="91"/>
        <v>-3.4559187525912471E-2</v>
      </c>
      <c r="AM22" s="634">
        <f t="shared" si="92"/>
        <v>-0.28022572527355549</v>
      </c>
      <c r="AN22" s="581">
        <f t="shared" si="93"/>
        <v>-7.0305734689843939</v>
      </c>
      <c r="AO22" s="582">
        <f t="shared" si="94"/>
        <v>16.400433254801811</v>
      </c>
      <c r="AP22" s="585">
        <f t="shared" si="95"/>
        <v>-2.0631869479563054</v>
      </c>
      <c r="AQ22" s="586">
        <f t="shared" si="9"/>
        <v>0.93167075041108049</v>
      </c>
      <c r="AS22" s="52">
        <f t="shared" si="116"/>
        <v>-64.810042620156651</v>
      </c>
      <c r="AT22" s="72">
        <f t="shared" si="10"/>
        <v>-4.1501210088068299E-3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2.1110000000000002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2.9715771470420287</v>
      </c>
      <c r="C23" s="708">
        <v>1.2485231940252797</v>
      </c>
      <c r="D23" s="709">
        <v>-0.12590037971554524</v>
      </c>
      <c r="E23" s="710">
        <v>-0.20023129245053417</v>
      </c>
      <c r="F23" s="708">
        <v>0.94739798001255082</v>
      </c>
      <c r="G23" s="711">
        <v>0.2496888002929385</v>
      </c>
      <c r="H23" s="710">
        <v>0.314</v>
      </c>
      <c r="I23" s="708">
        <v>0.52</v>
      </c>
      <c r="J23" s="570">
        <v>2.117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2.117</v>
      </c>
      <c r="N23" s="632">
        <f t="shared" si="2"/>
        <v>2.9715771470420287</v>
      </c>
      <c r="O23" s="629">
        <f t="shared" si="3"/>
        <v>1.2485231940252797</v>
      </c>
      <c r="P23" s="633">
        <f t="shared" si="4"/>
        <v>-0.12590037971554524</v>
      </c>
      <c r="Q23" s="585">
        <f t="shared" si="113"/>
        <v>22.78995772636042</v>
      </c>
      <c r="R23" s="629">
        <f t="shared" si="79"/>
        <v>3.2232097212005191</v>
      </c>
      <c r="S23" s="634">
        <f t="shared" si="80"/>
        <v>-0.12590037971554524</v>
      </c>
      <c r="T23" s="635">
        <f t="shared" si="81"/>
        <v>1.3037965230730864</v>
      </c>
      <c r="U23" s="629">
        <f t="shared" si="82"/>
        <v>-2.947744143114198</v>
      </c>
      <c r="V23" s="636">
        <f t="shared" si="114"/>
        <v>-0.12590037971554524</v>
      </c>
      <c r="W23" s="585">
        <f t="shared" si="224"/>
        <v>293.85995757187152</v>
      </c>
      <c r="X23" s="629">
        <f t="shared" si="83"/>
        <v>3.2232097212005191</v>
      </c>
      <c r="Y23" s="630">
        <f t="shared" si="223"/>
        <v>-0.12590037971554524</v>
      </c>
      <c r="Z23" s="632">
        <f t="shared" si="6"/>
        <v>0.20023129245053417</v>
      </c>
      <c r="AA23" s="629">
        <f t="shared" si="7"/>
        <v>-0.94739798001255082</v>
      </c>
      <c r="AB23" s="629">
        <f t="shared" si="8"/>
        <v>-0.2496888002929385</v>
      </c>
      <c r="AC23" s="636">
        <f t="shared" si="84"/>
        <v>1</v>
      </c>
      <c r="AD23" s="637">
        <f t="shared" si="115"/>
        <v>0.20023129245053417</v>
      </c>
      <c r="AE23" s="629">
        <f t="shared" si="85"/>
        <v>-0.94739798001255082</v>
      </c>
      <c r="AF23" s="633">
        <f t="shared" si="86"/>
        <v>-0.2496888002929385</v>
      </c>
      <c r="AG23" s="602">
        <f t="shared" si="87"/>
        <v>-75.235311623810205</v>
      </c>
      <c r="AH23" s="603">
        <f t="shared" si="88"/>
        <v>78.449515292390117</v>
      </c>
      <c r="AI23" s="585">
        <f t="shared" si="89"/>
        <v>-75.540902239056265</v>
      </c>
      <c r="AJ23" s="586">
        <f t="shared" si="90"/>
        <v>11.933767686110567</v>
      </c>
      <c r="AK23" s="635">
        <f t="shared" si="211"/>
        <v>0.95099601468425066</v>
      </c>
      <c r="AL23" s="629">
        <f t="shared" si="91"/>
        <v>-0.18237895455053404</v>
      </c>
      <c r="AM23" s="634">
        <f t="shared" si="92"/>
        <v>-0.2496888002929385</v>
      </c>
      <c r="AN23" s="581">
        <f t="shared" si="93"/>
        <v>-36.145328198022135</v>
      </c>
      <c r="AO23" s="582">
        <f t="shared" si="94"/>
        <v>18.011214409788241</v>
      </c>
      <c r="AP23" s="585">
        <f t="shared" si="95"/>
        <v>-10.856190040249807</v>
      </c>
      <c r="AQ23" s="586">
        <f t="shared" si="9"/>
        <v>0.70724868710281319</v>
      </c>
      <c r="AS23" s="52">
        <f t="shared" si="116"/>
        <v>-66.140042428128481</v>
      </c>
      <c r="AT23" s="72">
        <f t="shared" si="10"/>
        <v>-7.9226739247739958E-2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2.117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5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12</v>
      </c>
      <c r="JC23" s="199"/>
      <c r="JD23" s="199"/>
      <c r="JE23" s="871"/>
      <c r="JF23" s="796" t="str" cm="1">
        <f t="array" ref="JF23:JG25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>
        <v>9</v>
      </c>
      <c r="JH23" s="800" t="str" cm="1">
        <f t="array" ref="JH23:JI25">IF(_xlfn.ANCHORARRAY($JF$23)="","",_xlfn.MINIFS($IO$9:$IO$150,$IK$9:$IK$150,_xlfn.ANCHORARRAY($JA$23),$IE$9:$IE$150,_xlfn.ANCHORARRAY($JH$22),$II$9:$II$150,"&lt;&gt;"&amp;"",$IF$9:$IF$150,"&lt;&gt;"&amp;"Gage"))</f>
        <v/>
      </c>
      <c r="JI23" s="801">
        <v>70</v>
      </c>
    </row>
    <row r="24" spans="1:269" ht="15" customHeight="1" x14ac:dyDescent="0.25">
      <c r="A24" s="79"/>
      <c r="B24" s="707">
        <v>3.5730785137984999</v>
      </c>
      <c r="C24" s="708">
        <v>1.4132362687499096</v>
      </c>
      <c r="D24" s="709">
        <v>-0.6071018310191223</v>
      </c>
      <c r="E24" s="710">
        <v>-2.9420295619311882E-2</v>
      </c>
      <c r="F24" s="708">
        <v>0.98302714037493077</v>
      </c>
      <c r="G24" s="711">
        <v>0.18108585668670671</v>
      </c>
      <c r="H24" s="710">
        <v>0.314</v>
      </c>
      <c r="I24" s="708">
        <v>0.52</v>
      </c>
      <c r="J24" s="570">
        <v>2.1230000000000002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2.1230000000000002</v>
      </c>
      <c r="N24" s="632">
        <f t="shared" si="2"/>
        <v>3.5730785137984999</v>
      </c>
      <c r="O24" s="629">
        <f t="shared" si="3"/>
        <v>1.4132362687499096</v>
      </c>
      <c r="P24" s="633">
        <f t="shared" si="4"/>
        <v>-0.6071018310191223</v>
      </c>
      <c r="Q24" s="585">
        <f t="shared" si="113"/>
        <v>21.579957901062777</v>
      </c>
      <c r="R24" s="629">
        <f t="shared" si="79"/>
        <v>3.8424115887133516</v>
      </c>
      <c r="S24" s="634">
        <f t="shared" si="80"/>
        <v>-0.6071018310191223</v>
      </c>
      <c r="T24" s="635">
        <f t="shared" si="81"/>
        <v>1.4797132735774061</v>
      </c>
      <c r="U24" s="629">
        <f t="shared" si="82"/>
        <v>-3.5460647829780969</v>
      </c>
      <c r="V24" s="636">
        <f t="shared" si="114"/>
        <v>-0.6071018310191223</v>
      </c>
      <c r="W24" s="585">
        <f t="shared" si="224"/>
        <v>292.64995774657388</v>
      </c>
      <c r="X24" s="629">
        <f t="shared" si="83"/>
        <v>3.8424115887133516</v>
      </c>
      <c r="Y24" s="630">
        <f t="shared" si="223"/>
        <v>-0.6071018310191223</v>
      </c>
      <c r="Z24" s="632">
        <f t="shared" si="6"/>
        <v>2.9420295619311882E-2</v>
      </c>
      <c r="AA24" s="629">
        <f t="shared" si="7"/>
        <v>-0.98302714037493077</v>
      </c>
      <c r="AB24" s="629">
        <f t="shared" si="8"/>
        <v>-0.18108585668670671</v>
      </c>
      <c r="AC24" s="636">
        <f t="shared" si="84"/>
        <v>1</v>
      </c>
      <c r="AD24" s="637">
        <f t="shared" si="115"/>
        <v>2.9420295619311882E-2</v>
      </c>
      <c r="AE24" s="629">
        <f t="shared" si="85"/>
        <v>-0.98302714037493077</v>
      </c>
      <c r="AF24" s="633">
        <f t="shared" si="86"/>
        <v>-0.18108585668670671</v>
      </c>
      <c r="AG24" s="602">
        <f t="shared" si="87"/>
        <v>-79.562416990788307</v>
      </c>
      <c r="AH24" s="603">
        <f t="shared" si="88"/>
        <v>88.314097962831454</v>
      </c>
      <c r="AI24" s="585">
        <f t="shared" si="89"/>
        <v>-79.56698573182733</v>
      </c>
      <c r="AJ24" s="586">
        <f t="shared" si="90"/>
        <v>1.7142515094783763</v>
      </c>
      <c r="AK24" s="635">
        <f>IF(M24="","",(COS(RADIANS((90-$Q$8)-W24))*AD24)+(-SIN(RADIANS((90-$Q$8)-W24))*AE24))</f>
        <v>0.92494281273784063</v>
      </c>
      <c r="AL24" s="629">
        <f t="shared" si="91"/>
        <v>-0.33419860214048358</v>
      </c>
      <c r="AM24" s="634">
        <f t="shared" si="92"/>
        <v>-0.18108585668670671</v>
      </c>
      <c r="AN24" s="581">
        <f t="shared" si="93"/>
        <v>-61.548905004707038</v>
      </c>
      <c r="AO24" s="582">
        <f t="shared" si="94"/>
        <v>22.340266778581409</v>
      </c>
      <c r="AP24" s="585">
        <f t="shared" si="95"/>
        <v>-19.865706391584396</v>
      </c>
      <c r="AQ24" s="586">
        <f t="shared" si="9"/>
        <v>0.59328499829989723</v>
      </c>
      <c r="AS24" s="52">
        <f t="shared" si="116"/>
        <v>-67.350042253426125</v>
      </c>
      <c r="AT24" s="72">
        <f t="shared" si="10"/>
        <v>-0.55958791289486032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2.1230000000000002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CPS-32193r1</v>
      </c>
      <c r="JB24" s="856" cm="1">
        <f t="array" ref="JB24">IF($JA24="","",COUNT(IF(IF($II$9:$II$150&lt;&gt;"",$IK$9:$IK$150,"")=$JA24,$IG$9:$IG$150,"")))</f>
        <v>6</v>
      </c>
      <c r="JC24" s="5"/>
      <c r="JD24" s="5"/>
      <c r="JE24" s="10"/>
      <c r="JF24" s="247">
        <v>5</v>
      </c>
      <c r="JG24" s="803">
        <v>1</v>
      </c>
      <c r="JH24" s="787">
        <v>290</v>
      </c>
      <c r="JI24" s="803">
        <v>320</v>
      </c>
    </row>
    <row r="25" spans="1:269" ht="15" customHeight="1" x14ac:dyDescent="0.25">
      <c r="A25" s="79"/>
      <c r="B25" s="707">
        <v>3.8341096639961956</v>
      </c>
      <c r="C25" s="708">
        <v>1.474077390793832</v>
      </c>
      <c r="D25" s="709">
        <v>-1.3451040568338355</v>
      </c>
      <c r="E25" s="710">
        <v>0.15370352901053719</v>
      </c>
      <c r="F25" s="708">
        <v>0.98576110199432887</v>
      </c>
      <c r="G25" s="711">
        <v>6.8192924593636892E-2</v>
      </c>
      <c r="H25" s="710">
        <v>0.314</v>
      </c>
      <c r="I25" s="708">
        <v>0.52</v>
      </c>
      <c r="J25" s="570">
        <v>2.129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2.129</v>
      </c>
      <c r="N25" s="632">
        <f t="shared" si="2"/>
        <v>3.8341096639961956</v>
      </c>
      <c r="O25" s="629">
        <f t="shared" si="3"/>
        <v>1.474077390793832</v>
      </c>
      <c r="P25" s="633">
        <f t="shared" si="4"/>
        <v>-1.3451040568338355</v>
      </c>
      <c r="Q25" s="585">
        <f t="shared" si="113"/>
        <v>21.02995798047295</v>
      </c>
      <c r="R25" s="629">
        <f>IF(M25="","",SQRT(N25^2+O25^2))</f>
        <v>4.1077123888605653</v>
      </c>
      <c r="S25" s="634">
        <f>IF(M25="","",P25)</f>
        <v>-1.3451040568338355</v>
      </c>
      <c r="T25" s="635">
        <f>IF(M25="","",X25*COS(RADIANS(W25)))</f>
        <v>1.5454182652479154</v>
      </c>
      <c r="U25" s="629">
        <f>IF(M25="","",X25*SIN(RADIANS(W25)))</f>
        <v>-3.8059142732117204</v>
      </c>
      <c r="V25" s="636">
        <f>IF(M25="","",Y25)</f>
        <v>-1.3451040568338355</v>
      </c>
      <c r="W25" s="585">
        <f t="shared" si="224"/>
        <v>292.09995782598406</v>
      </c>
      <c r="X25" s="629">
        <f>IF(M25="","",R25)</f>
        <v>4.1077123888605653</v>
      </c>
      <c r="Y25" s="630">
        <f t="shared" si="223"/>
        <v>-1.3451040568338355</v>
      </c>
      <c r="Z25" s="632">
        <f t="shared" si="6"/>
        <v>-0.15370352901053719</v>
      </c>
      <c r="AA25" s="629">
        <f t="shared" si="7"/>
        <v>-0.98576110199432887</v>
      </c>
      <c r="AB25" s="629">
        <f t="shared" si="8"/>
        <v>-6.8192924593636892E-2</v>
      </c>
      <c r="AC25" s="636">
        <f>IF(M25="","",SQRT(Z25^2+AA25^2+AB25^2))</f>
        <v>1</v>
      </c>
      <c r="AD25" s="637">
        <f>IF(M25="","",Z25*(1/SQRT(Z25^2+AA25^2+AB25^2)))</f>
        <v>-0.15370352901053719</v>
      </c>
      <c r="AE25" s="629">
        <f>IF(M25="","",AA25*(1/SQRT(Z25^2+AA25^2+AB25^2)))</f>
        <v>-0.98576110199432887</v>
      </c>
      <c r="AF25" s="633">
        <f>IF(M25="","",AB25*(1/SQRT(Z25^2+AA25^2+AB25^2)))</f>
        <v>-6.8192924593636892E-2</v>
      </c>
      <c r="AG25" s="602">
        <f>IF(M25="","",DEGREES(ATAN2(-AF25,AE25)))</f>
        <v>-86.042700505335361</v>
      </c>
      <c r="AH25" s="603">
        <f>IF(M25="","",DEGREES(ACOS(AD25)))</f>
        <v>98.841612931210321</v>
      </c>
      <c r="AI25" s="585">
        <f>IF(M25="","",DEGREES(-ACOS(-AF25)))</f>
        <v>-86.089798640277678</v>
      </c>
      <c r="AJ25" s="586">
        <f>IF(M25="","",DEGREES(ATAN2(-AE25,AD25)))</f>
        <v>-8.8624087934669831</v>
      </c>
      <c r="AK25" s="635">
        <f>IF(M25="","",(COS(RADIANS((90-$Q$8)-W25))*AD25)+(-SIN(RADIANS((90-$Q$8)-W25))*AE25))</f>
        <v>0.86494499473316033</v>
      </c>
      <c r="AL25" s="629">
        <f>IF(M25="","",(SIN(RADIANS((90-$Q$8)-W25))*AD25)+(COS(RADIANS((90-$Q$8)-W25))*AE25))</f>
        <v>-0.49721210878398781</v>
      </c>
      <c r="AM25" s="634">
        <f>IF(M25="","",AF25)</f>
        <v>-6.8192924593636892E-2</v>
      </c>
      <c r="AN25" s="581">
        <f>IF(M25="","",DEGREES(ATAN2(-AM25,AL25)))</f>
        <v>-82.190573731776624</v>
      </c>
      <c r="AO25" s="582">
        <f>IF(ROUND(IF(M25="",0,DEGREES(ACOS(AK25))),4)=90,0,IF(M25="","",DEGREES(ACOS(AK25))))</f>
        <v>30.123575035566969</v>
      </c>
      <c r="AP25" s="585">
        <f>IF(M25="","",DEGREES(ATAN2(AK25,AL25)))</f>
        <v>-29.892366773939941</v>
      </c>
      <c r="AQ25" s="586">
        <f t="shared" si="9"/>
        <v>0.55496956004674358</v>
      </c>
      <c r="AS25" s="52">
        <f t="shared" si="116"/>
        <v>-67.900042174015937</v>
      </c>
      <c r="AT25" s="72">
        <f t="shared" si="10"/>
        <v>-1.2972081943202751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 t="str">
        <v>Inactive</v>
      </c>
      <c r="JB25" s="856" cm="1">
        <f t="array" ref="JB25">IF($JA25="","",COUNT(IF(IF($II$9:$II$150&lt;&gt;"",$IK$9:$IK$150,"")=$JA25,$IG$9:$IG$150,"")))</f>
        <v>6</v>
      </c>
      <c r="JC25" s="5"/>
      <c r="JD25" s="5"/>
      <c r="JE25" s="10"/>
      <c r="JF25" s="247">
        <v>6</v>
      </c>
      <c r="JG25" s="803" t="str">
        <v/>
      </c>
      <c r="JH25" s="787">
        <v>350</v>
      </c>
      <c r="JI25" s="803" t="str">
        <v/>
      </c>
    </row>
    <row r="26" spans="1:269" ht="15" customHeight="1" x14ac:dyDescent="0.25">
      <c r="A26" s="79"/>
      <c r="B26" s="707">
        <v>3.9160998185349518</v>
      </c>
      <c r="C26" s="708">
        <v>1.4914953521283627</v>
      </c>
      <c r="D26" s="709">
        <v>-2.0678062365036096</v>
      </c>
      <c r="E26" s="710">
        <v>0.24446191708215073</v>
      </c>
      <c r="F26" s="708">
        <v>0.9696588941975951</v>
      </c>
      <c r="G26" s="711">
        <v>1.3008419203324075E-7</v>
      </c>
      <c r="H26" s="710">
        <v>0.26600000000000001</v>
      </c>
      <c r="I26" s="708">
        <v>0.52</v>
      </c>
      <c r="J26" s="570">
        <v>2.1349999999999998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2.1349999999999998</v>
      </c>
      <c r="N26" s="632">
        <f t="shared" si="2"/>
        <v>3.9160998185349518</v>
      </c>
      <c r="O26" s="629">
        <f t="shared" si="3"/>
        <v>1.4914953521283627</v>
      </c>
      <c r="P26" s="633">
        <f t="shared" si="4"/>
        <v>-2.0678062365036096</v>
      </c>
      <c r="Q26" s="585">
        <f t="shared" si="113"/>
        <v>20.849958006461726</v>
      </c>
      <c r="R26" s="629">
        <f>IF(M26="","",SQRT(N26^2+O26^2))</f>
        <v>4.1905126385861182</v>
      </c>
      <c r="S26" s="634">
        <f>IF(M26="","",P26)</f>
        <v>-2.0678062365036096</v>
      </c>
      <c r="T26" s="635">
        <f>IF(M26="","",X26*COS(RADIANS(W26)))</f>
        <v>1.5643642681593275</v>
      </c>
      <c r="U26" s="629">
        <f>IF(M26="","",X26*SIN(RADIANS(W26)))</f>
        <v>-3.8875648689965705</v>
      </c>
      <c r="V26" s="636">
        <f>IF(M26="","",Y26)</f>
        <v>-2.0678062365036096</v>
      </c>
      <c r="W26" s="585">
        <f t="shared" si="224"/>
        <v>291.91995785197287</v>
      </c>
      <c r="X26" s="629">
        <f>IF(M26="","",R26)</f>
        <v>4.1905126385861182</v>
      </c>
      <c r="Y26" s="630">
        <f t="shared" si="223"/>
        <v>-2.0678062365036096</v>
      </c>
      <c r="Z26" s="632">
        <f t="shared" si="6"/>
        <v>-0.24446191708215073</v>
      </c>
      <c r="AA26" s="629">
        <f t="shared" si="7"/>
        <v>-0.9696588941975951</v>
      </c>
      <c r="AB26" s="629">
        <f t="shared" si="8"/>
        <v>-1.3008419203324075E-7</v>
      </c>
      <c r="AC26" s="636">
        <f>IF(M26="","",SQRT(Z26^2+AA26^2+AB26^2))</f>
        <v>1</v>
      </c>
      <c r="AD26" s="637">
        <f>IF(M26="","",Z26*(1/SQRT(Z26^2+AA26^2+AB26^2)))</f>
        <v>-0.24446191708215073</v>
      </c>
      <c r="AE26" s="629">
        <f>IF(M26="","",AA26*(1/SQRT(Z26^2+AA26^2+AB26^2)))</f>
        <v>-0.9696588941975951</v>
      </c>
      <c r="AF26" s="633">
        <f>IF(M26="","",AB26*(1/SQRT(Z26^2+AA26^2+AB26^2)))</f>
        <v>-1.3008419203324075E-7</v>
      </c>
      <c r="AG26" s="602">
        <f>IF(M26="","",DEGREES(ATAN2(-AF26,AE26)))</f>
        <v>-89.999992313508159</v>
      </c>
      <c r="AH26" s="603">
        <f>IF(M26="","",DEGREES(ACOS(AD26)))</f>
        <v>104.15003694016342</v>
      </c>
      <c r="AI26" s="585">
        <f>IF(M26="","",DEGREES(-ACOS(-AF26)))</f>
        <v>-89.999992546724812</v>
      </c>
      <c r="AJ26" s="586">
        <f>IF(M26="","",DEGREES(ATAN2(-AE26,AD26)))</f>
        <v>-14.150036940163544</v>
      </c>
      <c r="AK26" s="635">
        <f>IF(M26="","",(COS(RADIANS((90-$Q$8)-W26))*AD26)+(-SIN(RADIANS((90-$Q$8)-W26))*AE26))</f>
        <v>0.81915209487729213</v>
      </c>
      <c r="AL26" s="629">
        <f>IF(M26="","",(SIN(RADIANS((90-$Q$8)-W26))*AD26)+(COS(RADIANS((90-$Q$8)-W26))*AE26))</f>
        <v>-0.57357636410344448</v>
      </c>
      <c r="AM26" s="634">
        <f>IF(M26="","",AF26)</f>
        <v>-1.3008419203324075E-7</v>
      </c>
      <c r="AN26" s="581">
        <f>IF(M26="","",DEGREES(ATAN2(-AM26,AL26)))</f>
        <v>-89.999987005609626</v>
      </c>
      <c r="AO26" s="582">
        <f t="shared" si="94"/>
        <v>34.999994946625939</v>
      </c>
      <c r="AP26" s="585">
        <f>IF(M26="","",DEGREES(ATAN2(AK26,AL26)))</f>
        <v>-34.999994946625257</v>
      </c>
      <c r="AQ26" s="586">
        <f t="shared" si="9"/>
        <v>0.54400459401772039</v>
      </c>
      <c r="AS26" s="52">
        <f t="shared" si="116"/>
        <v>-68.080042148027132</v>
      </c>
      <c r="AT26" s="72">
        <f t="shared" si="10"/>
        <v>-2.0197853740080971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2.1349999999999998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3.2274392690043805</v>
      </c>
      <c r="C27" s="708">
        <v>0.22794660501654013</v>
      </c>
      <c r="D27" s="709">
        <v>-0.11948383103032871</v>
      </c>
      <c r="E27" s="710">
        <v>0.27913362756144322</v>
      </c>
      <c r="F27" s="708">
        <v>1.971479282345099E-2</v>
      </c>
      <c r="G27" s="711">
        <v>0.96004986584464347</v>
      </c>
      <c r="H27" s="710">
        <v>0.25700000000000001</v>
      </c>
      <c r="I27" s="708">
        <v>0.41499999999999992</v>
      </c>
      <c r="J27" s="570">
        <v>2.2170000000000001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CPS-32193r1</v>
      </c>
      <c r="L27" s="320"/>
      <c r="M27" s="168">
        <f t="shared" si="1"/>
        <v>2.2170000000000001</v>
      </c>
      <c r="N27" s="632">
        <f t="shared" si="2"/>
        <v>3.2274392690043805</v>
      </c>
      <c r="O27" s="629">
        <f t="shared" si="3"/>
        <v>0.22794660501654013</v>
      </c>
      <c r="P27" s="633">
        <f t="shared" si="4"/>
        <v>-0.11948383103032871</v>
      </c>
      <c r="Q27" s="585">
        <f t="shared" si="113"/>
        <v>4.039960433525084</v>
      </c>
      <c r="R27" s="629">
        <f t="shared" si="79"/>
        <v>3.2354789274310063</v>
      </c>
      <c r="S27" s="634">
        <f t="shared" si="80"/>
        <v>-0.11948383103032871</v>
      </c>
      <c r="T27" s="635">
        <f t="shared" si="81"/>
        <v>0.28817584777892152</v>
      </c>
      <c r="U27" s="629">
        <f t="shared" si="82"/>
        <v>-3.2226198302944447</v>
      </c>
      <c r="V27" s="636">
        <f t="shared" si="114"/>
        <v>-0.11948383103032871</v>
      </c>
      <c r="W27" s="585">
        <f t="shared" si="224"/>
        <v>275.10996027903622</v>
      </c>
      <c r="X27" s="629">
        <f t="shared" si="83"/>
        <v>3.2354789274310063</v>
      </c>
      <c r="Y27" s="630">
        <f t="shared" si="223"/>
        <v>-0.11948383103032871</v>
      </c>
      <c r="Z27" s="632">
        <f t="shared" si="6"/>
        <v>-0.27913362756144322</v>
      </c>
      <c r="AA27" s="629">
        <f t="shared" si="7"/>
        <v>-1.971479282345099E-2</v>
      </c>
      <c r="AB27" s="629">
        <f t="shared" si="8"/>
        <v>-0.96004986584464347</v>
      </c>
      <c r="AC27" s="636">
        <f t="shared" si="84"/>
        <v>1</v>
      </c>
      <c r="AD27" s="637">
        <f t="shared" si="115"/>
        <v>-0.27913362756144322</v>
      </c>
      <c r="AE27" s="629">
        <f t="shared" si="85"/>
        <v>-1.971479282345099E-2</v>
      </c>
      <c r="AF27" s="633">
        <f t="shared" si="86"/>
        <v>-0.96004986584464347</v>
      </c>
      <c r="AG27" s="602">
        <f t="shared" si="87"/>
        <v>-1.1764135646038285</v>
      </c>
      <c r="AH27" s="603">
        <f t="shared" si="88"/>
        <v>106.20850370873193</v>
      </c>
      <c r="AI27" s="585">
        <f t="shared" si="89"/>
        <v>-16.249997653795667</v>
      </c>
      <c r="AJ27" s="586">
        <f t="shared" si="90"/>
        <v>-85.959993129573917</v>
      </c>
      <c r="AK27" s="635">
        <f t="shared" si="211"/>
        <v>2.2679489657811969E-7</v>
      </c>
      <c r="AL27" s="629">
        <f t="shared" si="91"/>
        <v>-0.27982897471782769</v>
      </c>
      <c r="AM27" s="634">
        <f t="shared" si="92"/>
        <v>-0.96004986584464347</v>
      </c>
      <c r="AN27" s="581">
        <f t="shared" si="93"/>
        <v>-16.249997653790622</v>
      </c>
      <c r="AO27" s="582">
        <f t="shared" si="94"/>
        <v>0</v>
      </c>
      <c r="AP27" s="585">
        <f t="shared" si="95"/>
        <v>-89.999953563099027</v>
      </c>
      <c r="AQ27" s="586">
        <f t="shared" si="9"/>
        <v>0.70456701190755544</v>
      </c>
      <c r="AS27" s="52">
        <f t="shared" si="116"/>
        <v>-84.890039720963784</v>
      </c>
      <c r="AT27" s="72">
        <f t="shared" si="10"/>
        <v>-5.9789359109165573E-2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Nose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2.2170000000000001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2.117</v>
      </c>
      <c r="II27" s="734" cm="1">
        <f t="array" ref="II27">IFERROR(IF($IH27&lt;1,$IH27+LARGE((IF($M$9:$M$150="",0,$M$9:$M$150)-MOD(IF($M$9:$M$150="",0,$M$9:$M$150),1)),1),$IH27),"")</f>
        <v>2.117</v>
      </c>
      <c r="IJ27" s="533">
        <f t="shared" si="112"/>
        <v>1613</v>
      </c>
      <c r="IK27" s="533" t="str">
        <f t="shared" si="66"/>
        <v>CPS-32193r1</v>
      </c>
      <c r="IL27" s="727">
        <f t="shared" si="225"/>
        <v>18.749997292835303</v>
      </c>
      <c r="IM27" s="759">
        <v>2.8768765905950601E-2</v>
      </c>
      <c r="IN27" s="5">
        <f t="shared" si="226"/>
        <v>0.64</v>
      </c>
      <c r="IO27" s="771">
        <v>320</v>
      </c>
      <c r="IP27" s="9">
        <f t="shared" si="227"/>
        <v>-3.2232097212005191</v>
      </c>
      <c r="IQ27" s="5">
        <f t="shared" si="228"/>
        <v>-0.12590037971554524</v>
      </c>
      <c r="IR27" s="5">
        <f t="shared" si="71"/>
        <v>0.314</v>
      </c>
      <c r="IS27" s="5">
        <f t="shared" si="229"/>
        <v>0.29861274861085468</v>
      </c>
      <c r="IT27" s="727">
        <f t="shared" si="230"/>
        <v>36.145328198022135</v>
      </c>
      <c r="IU27" s="9">
        <f t="shared" si="231"/>
        <v>-3.2354789274310063</v>
      </c>
      <c r="IV27" s="5">
        <f t="shared" si="232"/>
        <v>-0.11948383103032871</v>
      </c>
      <c r="IW27" s="5">
        <f t="shared" si="76"/>
        <v>0.25700000000000001</v>
      </c>
      <c r="IX27" s="5">
        <f t="shared" si="233"/>
        <v>0.25700000000000001</v>
      </c>
      <c r="IY27" s="762">
        <f t="shared" si="234"/>
        <v>16.249997653790622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3.8515739371429767</v>
      </c>
      <c r="C28" s="708">
        <v>0.44836453119371811</v>
      </c>
      <c r="D28" s="709">
        <v>-0.57460000000000011</v>
      </c>
      <c r="E28" s="710">
        <v>0.28025861409167369</v>
      </c>
      <c r="F28" s="708">
        <v>0.92911673665778305</v>
      </c>
      <c r="G28" s="711">
        <v>0.24124095607878498</v>
      </c>
      <c r="H28" s="710">
        <v>0.26600000000000001</v>
      </c>
      <c r="I28" s="708">
        <v>0.52</v>
      </c>
      <c r="J28" s="570">
        <v>2.2229999999999999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2.2229999999999999</v>
      </c>
      <c r="N28" s="632">
        <f t="shared" si="2"/>
        <v>3.8515739371429767</v>
      </c>
      <c r="O28" s="629">
        <f t="shared" si="3"/>
        <v>0.44836453119371811</v>
      </c>
      <c r="P28" s="633">
        <f t="shared" si="4"/>
        <v>-0.57460000000000011</v>
      </c>
      <c r="Q28" s="585">
        <f t="shared" si="113"/>
        <v>6.6399574072759426</v>
      </c>
      <c r="R28" s="629">
        <f t="shared" si="79"/>
        <v>3.8775833383837943</v>
      </c>
      <c r="S28" s="634">
        <f t="shared" si="80"/>
        <v>-0.57460000000000011</v>
      </c>
      <c r="T28" s="635">
        <f t="shared" si="81"/>
        <v>0.52021038910146111</v>
      </c>
      <c r="U28" s="629">
        <f t="shared" si="82"/>
        <v>-3.8425295961361856</v>
      </c>
      <c r="V28" s="636">
        <f t="shared" si="114"/>
        <v>-0.57460000000000011</v>
      </c>
      <c r="W28" s="585">
        <f t="shared" si="224"/>
        <v>277.70995725278704</v>
      </c>
      <c r="X28" s="629">
        <f t="shared" si="83"/>
        <v>3.8775833383837943</v>
      </c>
      <c r="Y28" s="630">
        <f t="shared" si="223"/>
        <v>-0.57460000000000011</v>
      </c>
      <c r="Z28" s="632">
        <f t="shared" si="6"/>
        <v>-0.28025861409167369</v>
      </c>
      <c r="AA28" s="629">
        <f t="shared" si="7"/>
        <v>-0.92911673665778305</v>
      </c>
      <c r="AB28" s="629">
        <f t="shared" si="8"/>
        <v>-0.24124095607878498</v>
      </c>
      <c r="AC28" s="636">
        <f t="shared" si="84"/>
        <v>1</v>
      </c>
      <c r="AD28" s="637">
        <f t="shared" si="115"/>
        <v>-0.28025861409167369</v>
      </c>
      <c r="AE28" s="629">
        <f t="shared" si="85"/>
        <v>-0.92911673665778305</v>
      </c>
      <c r="AF28" s="633">
        <f t="shared" si="86"/>
        <v>-0.24124095607878498</v>
      </c>
      <c r="AG28" s="602">
        <f t="shared" si="87"/>
        <v>-75.444812052695312</v>
      </c>
      <c r="AH28" s="603">
        <f t="shared" si="88"/>
        <v>106.27564020656257</v>
      </c>
      <c r="AI28" s="585">
        <f t="shared" si="89"/>
        <v>-76.040205836298028</v>
      </c>
      <c r="AJ28" s="586">
        <f t="shared" si="90"/>
        <v>-16.785402818188174</v>
      </c>
      <c r="AK28" s="635">
        <f t="shared" si="211"/>
        <v>0.89047829125277644</v>
      </c>
      <c r="AL28" s="629">
        <f t="shared" si="91"/>
        <v>-0.38581240767726649</v>
      </c>
      <c r="AM28" s="634">
        <f t="shared" si="92"/>
        <v>-0.24124095607878498</v>
      </c>
      <c r="AN28" s="581">
        <f t="shared" si="93"/>
        <v>-57.983063278670272</v>
      </c>
      <c r="AO28" s="582">
        <f t="shared" si="94"/>
        <v>27.066589602013998</v>
      </c>
      <c r="AP28" s="585">
        <f t="shared" si="95"/>
        <v>-23.425360225464097</v>
      </c>
      <c r="AQ28" s="586">
        <f t="shared" si="9"/>
        <v>0.587903966275098</v>
      </c>
      <c r="AS28" s="52">
        <f t="shared" si="116"/>
        <v>-82.290042747212965</v>
      </c>
      <c r="AT28" s="72">
        <f t="shared" si="10"/>
        <v>-0.51671108153283063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2.2229999999999999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2.1230000000000002</v>
      </c>
      <c r="II28" s="734" cm="1">
        <f t="array" ref="II28">IFERROR(IF($IH28&lt;1,$IH28+LARGE((IF($M$9:$M$150="",0,$M$9:$M$150)-MOD(IF($M$9:$M$150="",0,$M$9:$M$150),1)),1),$IH28),"")</f>
        <v>2.1230000000000002</v>
      </c>
      <c r="IJ28" s="533">
        <f t="shared" si="112"/>
        <v>1613</v>
      </c>
      <c r="IK28" s="533">
        <f t="shared" si="66"/>
        <v>1313</v>
      </c>
      <c r="IL28" s="727">
        <f t="shared" si="225"/>
        <v>14.94000049378684</v>
      </c>
      <c r="IM28" s="759">
        <v>6.0971480281348297E-3</v>
      </c>
      <c r="IN28" s="5">
        <f t="shared" si="226"/>
        <v>0.16</v>
      </c>
      <c r="IO28" s="771">
        <v>80</v>
      </c>
      <c r="IP28" s="9">
        <f t="shared" si="227"/>
        <v>-3.8424115887133516</v>
      </c>
      <c r="IQ28" s="5">
        <f t="shared" si="228"/>
        <v>-0.6071018310191223</v>
      </c>
      <c r="IR28" s="5">
        <f t="shared" si="71"/>
        <v>0.314</v>
      </c>
      <c r="IS28" s="5">
        <f t="shared" si="229"/>
        <v>0.29043204319968197</v>
      </c>
      <c r="IT28" s="727">
        <f t="shared" si="230"/>
        <v>61.548905004707038</v>
      </c>
      <c r="IU28" s="9">
        <f t="shared" si="231"/>
        <v>-3.8775833383837943</v>
      </c>
      <c r="IV28" s="5">
        <f t="shared" si="232"/>
        <v>-0.57460000000000011</v>
      </c>
      <c r="IW28" s="5">
        <f t="shared" si="76"/>
        <v>0.26600000000000001</v>
      </c>
      <c r="IX28" s="5">
        <f t="shared" si="233"/>
        <v>0.23686722547323857</v>
      </c>
      <c r="IY28" s="762">
        <f t="shared" si="234"/>
        <v>57.983063278670272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4.1292241284940285</v>
      </c>
      <c r="C29" s="708">
        <v>0.47703410300397275</v>
      </c>
      <c r="D29" s="709">
        <v>-1.3304999999999993</v>
      </c>
      <c r="E29" s="710">
        <v>0.46606448198203931</v>
      </c>
      <c r="F29" s="708">
        <v>0.87916278048607299</v>
      </c>
      <c r="G29" s="711">
        <v>9.9280934941258947E-2</v>
      </c>
      <c r="H29" s="710">
        <v>0.26600000000000001</v>
      </c>
      <c r="I29" s="708">
        <v>0.52</v>
      </c>
      <c r="J29" s="570">
        <v>2.2290000000000001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2.2290000000000001</v>
      </c>
      <c r="N29" s="632">
        <f t="shared" si="2"/>
        <v>4.1292241284940285</v>
      </c>
      <c r="O29" s="629">
        <f t="shared" si="3"/>
        <v>0.47703410300397275</v>
      </c>
      <c r="P29" s="633">
        <f t="shared" si="4"/>
        <v>-1.3304999999999993</v>
      </c>
      <c r="Q29" s="585">
        <f t="shared" si="113"/>
        <v>6.5899574072759552</v>
      </c>
      <c r="R29" s="629">
        <f>IF(M29="","",SQRT(N29^2+O29^2))</f>
        <v>4.15668779664363</v>
      </c>
      <c r="S29" s="634">
        <f>IF(M29="","",P29)</f>
        <v>-1.3304999999999993</v>
      </c>
      <c r="T29" s="635">
        <f>IF(M29="","",X29*COS(RADIANS(W29)))</f>
        <v>0.55405978328317029</v>
      </c>
      <c r="U29" s="629">
        <f>IF(M29="","",X29*SIN(RADIANS(W29)))</f>
        <v>-4.1195959990409596</v>
      </c>
      <c r="V29" s="636">
        <f>IF(M29="","",Y29)</f>
        <v>-1.3304999999999993</v>
      </c>
      <c r="W29" s="585">
        <f t="shared" si="224"/>
        <v>277.65995725278708</v>
      </c>
      <c r="X29" s="629">
        <f>IF(M29="","",R29)</f>
        <v>4.15668779664363</v>
      </c>
      <c r="Y29" s="630">
        <f t="shared" si="223"/>
        <v>-1.3304999999999993</v>
      </c>
      <c r="Z29" s="632">
        <f t="shared" si="6"/>
        <v>-0.46606448198203931</v>
      </c>
      <c r="AA29" s="629">
        <f t="shared" si="7"/>
        <v>-0.87916278048607299</v>
      </c>
      <c r="AB29" s="629">
        <f t="shared" si="8"/>
        <v>-9.9280934941258947E-2</v>
      </c>
      <c r="AC29" s="636">
        <f>IF(M29="","",SQRT(Z29^2+AA29^2+AB29^2))</f>
        <v>1</v>
      </c>
      <c r="AD29" s="637">
        <f>IF(M29="","",Z29*(1/SQRT(Z29^2+AA29^2+AB29^2)))</f>
        <v>-0.46606448198203931</v>
      </c>
      <c r="AE29" s="629">
        <f>IF(M29="","",AA29*(1/SQRT(Z29^2+AA29^2+AB29^2)))</f>
        <v>-0.87916278048607299</v>
      </c>
      <c r="AF29" s="633">
        <f>IF(M29="","",AB29*(1/SQRT(Z29^2+AA29^2+AB29^2)))</f>
        <v>-9.9280934941258947E-2</v>
      </c>
      <c r="AG29" s="602">
        <f>IF(M29="","",DEGREES(ATAN2(-AF29,AE29)))</f>
        <v>-83.557072930296869</v>
      </c>
      <c r="AH29" s="603">
        <f>IF(M29="","",DEGREES(ACOS(AD29)))</f>
        <v>117.7791352704305</v>
      </c>
      <c r="AI29" s="585">
        <f>IF(M29="","",DEGREES(-ACOS(-AF29)))</f>
        <v>-84.302234970686385</v>
      </c>
      <c r="AJ29" s="586">
        <f>IF(M29="","",DEGREES(ATAN2(-AE29,AD29)))</f>
        <v>-27.929094960336062</v>
      </c>
      <c r="AK29" s="635">
        <f>IF(M29="","",(COS(RADIANS((90-$Q$8)-W29))*AD29)+(-SIN(RADIANS((90-$Q$8)-W29))*AE29))</f>
        <v>0.81986708665116848</v>
      </c>
      <c r="AL29" s="629">
        <f>IF(M29="","",(SIN(RADIANS((90-$Q$8)-W29))*AD29)+(COS(RADIANS((90-$Q$8)-W29))*AE29))</f>
        <v>-0.56388053360912804</v>
      </c>
      <c r="AM29" s="634">
        <f>IF(M29="","",AF29)</f>
        <v>-9.9280934941258947E-2</v>
      </c>
      <c r="AN29" s="581">
        <f>IF(M29="","",DEGREES(ATAN2(-AM29,AL29)))</f>
        <v>-80.014429434736442</v>
      </c>
      <c r="AO29" s="582">
        <f t="shared" si="94"/>
        <v>34.928509170089271</v>
      </c>
      <c r="AP29" s="585">
        <f>IF(M29="","",DEGREES(ATAN2(AK29,AL29)))</f>
        <v>-34.519052367612034</v>
      </c>
      <c r="AQ29" s="586">
        <f t="shared" si="9"/>
        <v>0.54843113527304199</v>
      </c>
      <c r="AS29" s="52">
        <f t="shared" si="116"/>
        <v>-82.340042747212919</v>
      </c>
      <c r="AT29" s="72">
        <f t="shared" si="10"/>
        <v>-1.2725763593106076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>Gage</v>
      </c>
      <c r="IG29" s="847">
        <f t="shared" si="210"/>
        <v>2.2290000000000001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2.129</v>
      </c>
      <c r="II29" s="734" cm="1">
        <f t="array" ref="II29">IFERROR(IF($IH29&lt;1,$IH29+LARGE((IF($M$9:$M$150="",0,$M$9:$M$150)-MOD(IF($M$9:$M$150="",0,$M$9:$M$150),1)),1),$IH29),"")</f>
        <v>2.129</v>
      </c>
      <c r="IJ29" s="533">
        <f t="shared" si="112"/>
        <v>1613</v>
      </c>
      <c r="IK29" s="533">
        <f t="shared" si="66"/>
        <v>1313</v>
      </c>
      <c r="IL29" s="727">
        <f t="shared" si="225"/>
        <v>14.440000573196983</v>
      </c>
      <c r="IM29" s="759">
        <v>2.7352422388583399E-3</v>
      </c>
      <c r="IN29" s="5">
        <f t="shared" si="226"/>
        <v>0.1</v>
      </c>
      <c r="IO29" s="771">
        <v>50</v>
      </c>
      <c r="IP29" s="9">
        <f t="shared" si="227"/>
        <v>-4.1077123888605653</v>
      </c>
      <c r="IQ29" s="5">
        <f t="shared" si="228"/>
        <v>-1.3451040568338355</v>
      </c>
      <c r="IR29" s="5">
        <f t="shared" si="71"/>
        <v>0.314</v>
      </c>
      <c r="IS29" s="5">
        <f t="shared" si="229"/>
        <v>0.27159272834621234</v>
      </c>
      <c r="IT29" s="727">
        <f t="shared" si="230"/>
        <v>82.190573731776624</v>
      </c>
      <c r="IU29" s="9">
        <f t="shared" si="231"/>
        <v>-4.15668779664363</v>
      </c>
      <c r="IV29" s="5">
        <f t="shared" si="232"/>
        <v>-1.3304999999999993</v>
      </c>
      <c r="IW29" s="5">
        <f t="shared" si="76"/>
        <v>0.26600000000000001</v>
      </c>
      <c r="IX29" s="5">
        <f t="shared" si="233"/>
        <v>0.21808464504921085</v>
      </c>
      <c r="IY29" s="762">
        <f t="shared" si="234"/>
        <v>80.014429434736442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12</v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70</v>
      </c>
    </row>
    <row r="30" spans="1:269" ht="15" customHeight="1" x14ac:dyDescent="0.25">
      <c r="A30" s="79"/>
      <c r="B30" s="707">
        <v>0.71672453555246085</v>
      </c>
      <c r="C30" s="708">
        <v>-0.41380168148988511</v>
      </c>
      <c r="D30" s="709">
        <v>-0.3063009238035862</v>
      </c>
      <c r="E30" s="710">
        <v>0.43366433519237196</v>
      </c>
      <c r="F30" s="708">
        <v>0.84780930067746407</v>
      </c>
      <c r="G30" s="711">
        <v>0.30521244087839472</v>
      </c>
      <c r="H30" s="710">
        <v>0.314</v>
      </c>
      <c r="I30" s="708">
        <v>0.52</v>
      </c>
      <c r="J30" s="570">
        <v>3.1030000000000002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3.1030000000000002</v>
      </c>
      <c r="N30" s="632">
        <f t="shared" si="2"/>
        <v>0.71672453555246085</v>
      </c>
      <c r="O30" s="629">
        <f t="shared" si="3"/>
        <v>-0.41380168148988511</v>
      </c>
      <c r="P30" s="633">
        <f t="shared" si="4"/>
        <v>-0.3063009238035862</v>
      </c>
      <c r="Q30" s="585">
        <f t="shared" si="113"/>
        <v>329.99996534829228</v>
      </c>
      <c r="R30" s="629">
        <f>IF(M30="","",SQRT(N30^2+O30^2))</f>
        <v>0.82760249604912806</v>
      </c>
      <c r="S30" s="634">
        <f>IF(M30="","",P30)</f>
        <v>-0.3063009238035862</v>
      </c>
      <c r="T30" s="635">
        <f>IF(M30="","",X30*COS(RADIANS(W30)))</f>
        <v>-0.40034545834194329</v>
      </c>
      <c r="U30" s="629">
        <f>IF(M30="","",X30*SIN(RADIANS(W30)))</f>
        <v>-0.72432686368222354</v>
      </c>
      <c r="V30" s="636">
        <f>IF(M30="","",Y30)</f>
        <v>-0.3063009238035862</v>
      </c>
      <c r="W30" s="585">
        <f t="shared" si="224"/>
        <v>241.0699651938034</v>
      </c>
      <c r="X30" s="629">
        <f>IF(M30="","",R30)</f>
        <v>0.82760249604912806</v>
      </c>
      <c r="Y30" s="630">
        <f t="shared" si="223"/>
        <v>-0.3063009238035862</v>
      </c>
      <c r="Z30" s="632">
        <f t="shared" si="6"/>
        <v>-0.43366433519237196</v>
      </c>
      <c r="AA30" s="629">
        <f t="shared" si="7"/>
        <v>-0.84780930067746407</v>
      </c>
      <c r="AB30" s="629">
        <f t="shared" si="8"/>
        <v>-0.30521244087839472</v>
      </c>
      <c r="AC30" s="636">
        <f>IF(M30="","",SQRT(Z30^2+AA30^2+AB30^2))</f>
        <v>1</v>
      </c>
      <c r="AD30" s="637">
        <f>IF(M30="","",Z30*(1/SQRT(Z30^2+AA30^2+AB30^2)))</f>
        <v>-0.43366433519237196</v>
      </c>
      <c r="AE30" s="629">
        <f>IF(M30="","",AA30*(1/SQRT(Z30^2+AA30^2+AB30^2)))</f>
        <v>-0.84780930067746407</v>
      </c>
      <c r="AF30" s="633">
        <f>IF(M30="","",AB30*(1/SQRT(Z30^2+AA30^2+AB30^2)))</f>
        <v>-0.30521244087839472</v>
      </c>
      <c r="AG30" s="602">
        <f>IF(M30="","",DEGREES(ATAN2(-AF30,AE30)))</f>
        <v>-70.201058276073979</v>
      </c>
      <c r="AH30" s="603">
        <f>IF(M30="","",DEGREES(ACOS(AD30)))</f>
        <v>115.70033386482091</v>
      </c>
      <c r="AI30" s="585">
        <f>IF(M30="","",DEGREES(-ACOS(-AF30)))</f>
        <v>-72.229054688919192</v>
      </c>
      <c r="AJ30" s="586">
        <f>IF(M30="","",DEGREES(ATAN2(-AE30,AD30)))</f>
        <v>-27.090273146133892</v>
      </c>
      <c r="AK30" s="635">
        <f>IF(M30="","",(COS(RADIANS((90-$Q$8)-W30))*AD30)+(-SIN(RADIANS((90-$Q$8)-W30))*AE30))</f>
        <v>0.95105653031184811</v>
      </c>
      <c r="AL30" s="629">
        <f>IF(M30="","",(SIN(RADIANS((90-$Q$8)-W30))*AD30)+(COS(RADIANS((90-$Q$8)-W30))*AE30))</f>
        <v>4.8340894532903633E-2</v>
      </c>
      <c r="AM30" s="634">
        <f>IF(M30="","",AF30)</f>
        <v>-0.30521244087839472</v>
      </c>
      <c r="AN30" s="581">
        <f>IF(M30="","",DEGREES(ATAN2(-AM30,AL30)))</f>
        <v>8.9999987005609867</v>
      </c>
      <c r="AO30" s="582">
        <f>IF(ROUND(IF(M30="",0,DEGREES(ACOS(AK30))),4)=90,0,IF(M30="","",DEGREES(ACOS(AK30))))</f>
        <v>17.999997401121902</v>
      </c>
      <c r="AP30" s="585">
        <f>IF(M30="","",DEGREES(ATAN2(AK30,AL30)))</f>
        <v>2.9097615055738344</v>
      </c>
      <c r="AQ30" s="586">
        <f t="shared" si="9"/>
        <v>2.7524960532970795</v>
      </c>
      <c r="AS30" s="52">
        <f t="shared" si="116"/>
        <v>-118.9300348061966</v>
      </c>
      <c r="AT30" s="72">
        <f t="shared" si="10"/>
        <v>-0.22296756640656695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3.1030000000000002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12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290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320</v>
      </c>
    </row>
    <row r="31" spans="1:269" ht="15" customHeight="1" x14ac:dyDescent="0.25">
      <c r="A31" s="79"/>
      <c r="B31" s="707">
        <v>1.3561493126477424</v>
      </c>
      <c r="C31" s="708">
        <v>-0.78328988655073406</v>
      </c>
      <c r="D31" s="709">
        <v>-0.18930057093052191</v>
      </c>
      <c r="E31" s="710">
        <v>0.43843341855812967</v>
      </c>
      <c r="F31" s="708">
        <v>0.84504843977145339</v>
      </c>
      <c r="G31" s="711">
        <v>0.30605436107212131</v>
      </c>
      <c r="H31" s="710">
        <v>0.314</v>
      </c>
      <c r="I31" s="708">
        <v>0.52</v>
      </c>
      <c r="J31" s="570">
        <v>3.1059999999999999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3.1059999999999999</v>
      </c>
      <c r="N31" s="632">
        <f t="shared" si="2"/>
        <v>1.3561493126477424</v>
      </c>
      <c r="O31" s="629">
        <f t="shared" si="3"/>
        <v>-0.78328988655073406</v>
      </c>
      <c r="P31" s="633">
        <f t="shared" si="4"/>
        <v>-0.18930057093052191</v>
      </c>
      <c r="Q31" s="585">
        <f t="shared" si="113"/>
        <v>329.98996534973611</v>
      </c>
      <c r="R31" s="629">
        <f>IF(M31="","",SQRT(N31^2+O31^2))</f>
        <v>1.5661047233718461</v>
      </c>
      <c r="S31" s="634">
        <f>IF(M31="","",P31)</f>
        <v>-0.18930057093052191</v>
      </c>
      <c r="T31" s="635">
        <f>IF(M31="","",X31*COS(RADIANS(W31)))</f>
        <v>-0.7578286579846869</v>
      </c>
      <c r="U31" s="629">
        <f>IF(M31="","",X31*SIN(RADIANS(W31)))</f>
        <v>-1.3705399409374157</v>
      </c>
      <c r="V31" s="636">
        <f>IF(M31="","",Y31)</f>
        <v>-0.18930057093052191</v>
      </c>
      <c r="W31" s="585">
        <f t="shared" si="224"/>
        <v>241.05996519524723</v>
      </c>
      <c r="X31" s="629">
        <f>IF(M31="","",R31)</f>
        <v>1.5661047233718461</v>
      </c>
      <c r="Y31" s="630">
        <f t="shared" si="223"/>
        <v>-0.18930057093052191</v>
      </c>
      <c r="Z31" s="632">
        <f t="shared" si="6"/>
        <v>-0.43843341855812967</v>
      </c>
      <c r="AA31" s="629">
        <f t="shared" si="7"/>
        <v>-0.84504843977145339</v>
      </c>
      <c r="AB31" s="629">
        <f t="shared" si="8"/>
        <v>-0.30605436107212131</v>
      </c>
      <c r="AC31" s="636">
        <f>IF(M31="","",SQRT(Z31^2+AA31^2+AB31^2))</f>
        <v>1</v>
      </c>
      <c r="AD31" s="637">
        <f>IF(M31="","",Z31*(1/SQRT(Z31^2+AA31^2+AB31^2)))</f>
        <v>-0.43843341855812967</v>
      </c>
      <c r="AE31" s="629">
        <f>IF(M31="","",AA31*(1/SQRT(Z31^2+AA31^2+AB31^2)))</f>
        <v>-0.84504843977145339</v>
      </c>
      <c r="AF31" s="633">
        <f>IF(M31="","",AB31*(1/SQRT(Z31^2+AA31^2+AB31^2)))</f>
        <v>-0.30605436107212131</v>
      </c>
      <c r="AG31" s="602">
        <f>IF(M31="","",DEGREES(ATAN2(-AF31,AE31)))</f>
        <v>-70.090942840151186</v>
      </c>
      <c r="AH31" s="603">
        <f>IF(M31="","",DEGREES(ACOS(AD31)))</f>
        <v>116.00396973016493</v>
      </c>
      <c r="AI31" s="585">
        <f>IF(M31="","",DEGREES(-ACOS(-AF31)))</f>
        <v>-72.178391964510936</v>
      </c>
      <c r="AJ31" s="586">
        <f>IF(M31="","",DEGREES(ATAN2(-AE31,AD31)))</f>
        <v>-27.421475023052803</v>
      </c>
      <c r="AK31" s="635">
        <f>IF(M31="","",(COS(RADIANS((90-$Q$8)-W31))*AD31)+(-SIN(RADIANS((90-$Q$8)-W31))*AE31))</f>
        <v>0.95104260986186318</v>
      </c>
      <c r="AL31" s="629">
        <f>IF(M31="","",(SIN(RADIANS((90-$Q$8)-W31))*AD31)+(COS(RADIANS((90-$Q$8)-W31))*AE31))</f>
        <v>4.2996305607247154E-2</v>
      </c>
      <c r="AM31" s="634">
        <f>IF(M31="","",AF31)</f>
        <v>-0.30605436107212131</v>
      </c>
      <c r="AN31" s="581">
        <f>IF(M31="","",DEGREES(ATAN2(-AM31,AL31)))</f>
        <v>7.9969103386522731</v>
      </c>
      <c r="AO31" s="582">
        <f t="shared" si="94"/>
        <v>18.002578255500691</v>
      </c>
      <c r="AP31" s="585">
        <f>IF(M31="","",DEGREES(ATAN2(AK31,AL31)))</f>
        <v>2.5885596272111027</v>
      </c>
      <c r="AQ31" s="586">
        <f t="shared" si="9"/>
        <v>1.4553537106889183</v>
      </c>
      <c r="AS31" s="52">
        <f t="shared" si="116"/>
        <v>-118.94003480475277</v>
      </c>
      <c r="AT31" s="72">
        <f t="shared" si="10"/>
        <v>-0.10596026909006086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3.1059999999999999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1.9952412586968993</v>
      </c>
      <c r="C32" s="708">
        <v>-1.1842182366334573</v>
      </c>
      <c r="D32" s="709">
        <v>-6.9900210819035843E-2</v>
      </c>
      <c r="E32" s="710">
        <v>0.49590379549549607</v>
      </c>
      <c r="F32" s="708">
        <v>0.81596241277190595</v>
      </c>
      <c r="G32" s="711">
        <v>0.29712752574712975</v>
      </c>
      <c r="H32" s="710">
        <v>0.314</v>
      </c>
      <c r="I32" s="708">
        <v>0.52</v>
      </c>
      <c r="J32" s="570">
        <v>3.11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3.11</v>
      </c>
      <c r="N32" s="632">
        <f t="shared" si="2"/>
        <v>1.9952412586968993</v>
      </c>
      <c r="O32" s="629">
        <f t="shared" si="3"/>
        <v>-1.1842182366334573</v>
      </c>
      <c r="P32" s="633">
        <f t="shared" si="4"/>
        <v>-6.9900210819035843E-2</v>
      </c>
      <c r="Q32" s="585">
        <f t="shared" si="113"/>
        <v>329.30996544791594</v>
      </c>
      <c r="R32" s="629">
        <f t="shared" si="79"/>
        <v>2.3202069977443052</v>
      </c>
      <c r="S32" s="634">
        <f t="shared" si="80"/>
        <v>-6.9900210819035843E-2</v>
      </c>
      <c r="T32" s="635">
        <f t="shared" si="81"/>
        <v>-1.1467527355982663</v>
      </c>
      <c r="U32" s="629">
        <f t="shared" si="82"/>
        <v>-2.0170073564019382</v>
      </c>
      <c r="V32" s="636">
        <f t="shared" si="114"/>
        <v>-6.9900210819035843E-2</v>
      </c>
      <c r="W32" s="585">
        <f t="shared" si="224"/>
        <v>240.37996529342706</v>
      </c>
      <c r="X32" s="629">
        <f t="shared" si="83"/>
        <v>2.3202069977443052</v>
      </c>
      <c r="Y32" s="630">
        <f t="shared" si="223"/>
        <v>-6.9900210819035843E-2</v>
      </c>
      <c r="Z32" s="632">
        <f t="shared" si="6"/>
        <v>-0.49590379549549607</v>
      </c>
      <c r="AA32" s="629">
        <f t="shared" si="7"/>
        <v>-0.81596241277190595</v>
      </c>
      <c r="AB32" s="629">
        <f t="shared" si="8"/>
        <v>-0.29712752574712975</v>
      </c>
      <c r="AC32" s="636">
        <f t="shared" si="84"/>
        <v>1</v>
      </c>
      <c r="AD32" s="637">
        <f t="shared" si="115"/>
        <v>-0.49590379549549607</v>
      </c>
      <c r="AE32" s="629">
        <f t="shared" si="85"/>
        <v>-0.81596241277190595</v>
      </c>
      <c r="AF32" s="633">
        <f t="shared" si="86"/>
        <v>-0.29712752574712975</v>
      </c>
      <c r="AG32" s="602">
        <f t="shared" si="87"/>
        <v>-69.991227130527676</v>
      </c>
      <c r="AH32" s="603">
        <f t="shared" si="88"/>
        <v>119.72936530757495</v>
      </c>
      <c r="AI32" s="585">
        <f t="shared" si="89"/>
        <v>-72.714842925948034</v>
      </c>
      <c r="AJ32" s="586">
        <f t="shared" si="90"/>
        <v>-31.289277505381644</v>
      </c>
      <c r="AK32" s="635">
        <f t="shared" si="211"/>
        <v>0.95478558245173661</v>
      </c>
      <c r="AL32" s="629">
        <f t="shared" si="91"/>
        <v>-9.9862398172240185E-3</v>
      </c>
      <c r="AM32" s="634">
        <f t="shared" si="92"/>
        <v>-0.29712752574712975</v>
      </c>
      <c r="AN32" s="581">
        <f t="shared" si="93"/>
        <v>-1.9249448584459108</v>
      </c>
      <c r="AO32" s="582">
        <f t="shared" si="94"/>
        <v>17.295224383348351</v>
      </c>
      <c r="AP32" s="585">
        <f t="shared" si="95"/>
        <v>-0.59924295329758825</v>
      </c>
      <c r="AQ32" s="586">
        <f t="shared" si="9"/>
        <v>0.98245682342441365</v>
      </c>
      <c r="AS32" s="52">
        <f t="shared" si="116"/>
        <v>-119.62003470657294</v>
      </c>
      <c r="AT32" s="72">
        <f t="shared" si="10"/>
        <v>1.3912313175466984E-2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2.6281191710369032</v>
      </c>
      <c r="C33" s="708">
        <v>-1.640320552769347</v>
      </c>
      <c r="D33" s="709">
        <v>-8.2900250027154093E-2</v>
      </c>
      <c r="E33" s="710">
        <v>0.63790201191425189</v>
      </c>
      <c r="F33" s="708">
        <v>0.72362868660719182</v>
      </c>
      <c r="G33" s="711">
        <v>0.26351953839307674</v>
      </c>
      <c r="H33" s="710">
        <v>0.314</v>
      </c>
      <c r="I33" s="708">
        <v>0.52</v>
      </c>
      <c r="J33" s="570">
        <v>3.1160000000000001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3.1160000000000001</v>
      </c>
      <c r="N33" s="632">
        <f t="shared" si="2"/>
        <v>2.6281191710369032</v>
      </c>
      <c r="O33" s="629">
        <f t="shared" si="3"/>
        <v>-1.640320552769347</v>
      </c>
      <c r="P33" s="633">
        <f t="shared" si="4"/>
        <v>-8.2900250027154093E-2</v>
      </c>
      <c r="Q33" s="585">
        <f t="shared" si="113"/>
        <v>328.02996563272507</v>
      </c>
      <c r="R33" s="629">
        <f t="shared" si="79"/>
        <v>3.0980093435961802</v>
      </c>
      <c r="S33" s="634">
        <f t="shared" si="80"/>
        <v>-8.2900250027154093E-2</v>
      </c>
      <c r="T33" s="635">
        <f t="shared" si="81"/>
        <v>-1.5909571988686191</v>
      </c>
      <c r="U33" s="629">
        <f t="shared" si="82"/>
        <v>-2.6582921367632553</v>
      </c>
      <c r="V33" s="636">
        <f t="shared" si="114"/>
        <v>-8.2900250027154093E-2</v>
      </c>
      <c r="W33" s="585">
        <f t="shared" si="224"/>
        <v>239.09996547823619</v>
      </c>
      <c r="X33" s="629">
        <f t="shared" si="83"/>
        <v>3.0980093435961802</v>
      </c>
      <c r="Y33" s="630">
        <f t="shared" si="223"/>
        <v>-8.2900250027154093E-2</v>
      </c>
      <c r="Z33" s="632">
        <f t="shared" si="6"/>
        <v>-0.63790201191425189</v>
      </c>
      <c r="AA33" s="629">
        <f t="shared" si="7"/>
        <v>-0.72362868660719182</v>
      </c>
      <c r="AB33" s="629">
        <f t="shared" si="8"/>
        <v>-0.26351953839307674</v>
      </c>
      <c r="AC33" s="636">
        <f t="shared" si="84"/>
        <v>1</v>
      </c>
      <c r="AD33" s="637">
        <f t="shared" si="115"/>
        <v>-0.63790201191425189</v>
      </c>
      <c r="AE33" s="629">
        <f t="shared" si="85"/>
        <v>-0.72362868660719182</v>
      </c>
      <c r="AF33" s="633">
        <f t="shared" si="86"/>
        <v>-0.26351953839307674</v>
      </c>
      <c r="AG33" s="602">
        <f t="shared" si="87"/>
        <v>-69.990195840801178</v>
      </c>
      <c r="AH33" s="603">
        <f t="shared" si="88"/>
        <v>129.63555511424713</v>
      </c>
      <c r="AI33" s="585">
        <f t="shared" si="89"/>
        <v>-74.720997926992624</v>
      </c>
      <c r="AJ33" s="586">
        <f t="shared" si="90"/>
        <v>-41.39721578871783</v>
      </c>
      <c r="AK33" s="635">
        <f t="shared" si="211"/>
        <v>0.95162598875775539</v>
      </c>
      <c r="AL33" s="629">
        <f t="shared" si="91"/>
        <v>-0.15800452653618546</v>
      </c>
      <c r="AM33" s="634">
        <f t="shared" si="92"/>
        <v>-0.26351953839307674</v>
      </c>
      <c r="AN33" s="581">
        <f t="shared" si="93"/>
        <v>-30.946615797017472</v>
      </c>
      <c r="AO33" s="582">
        <f t="shared" si="94"/>
        <v>17.894111178682408</v>
      </c>
      <c r="AP33" s="585">
        <f t="shared" si="95"/>
        <v>-9.4271814214429099</v>
      </c>
      <c r="AQ33" s="586">
        <f t="shared" si="9"/>
        <v>0.73582776674770267</v>
      </c>
      <c r="AS33" s="52">
        <f t="shared" si="116"/>
        <v>-120.90003452176381</v>
      </c>
      <c r="AT33" s="72">
        <f t="shared" si="10"/>
        <v>1.8011627278979592E-3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3.1160000000000001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3.1438334786216169</v>
      </c>
      <c r="C34" s="708">
        <v>-2.0619748818739749</v>
      </c>
      <c r="D34" s="709">
        <v>-0.50370151916378192</v>
      </c>
      <c r="E34" s="710">
        <v>0.76822689520200427</v>
      </c>
      <c r="F34" s="708">
        <v>0.61012055605624438</v>
      </c>
      <c r="G34" s="711">
        <v>0.19385650509051305</v>
      </c>
      <c r="H34" s="710">
        <v>0.314</v>
      </c>
      <c r="I34" s="708">
        <v>0.52</v>
      </c>
      <c r="J34" s="570">
        <v>3.1219999999999999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3.1219999999999999</v>
      </c>
      <c r="N34" s="632">
        <f t="shared" si="2"/>
        <v>3.1438334786216169</v>
      </c>
      <c r="O34" s="629">
        <f t="shared" si="3"/>
        <v>-2.0619748818739749</v>
      </c>
      <c r="P34" s="633">
        <f t="shared" si="4"/>
        <v>-0.50370151916378192</v>
      </c>
      <c r="Q34" s="585">
        <f t="shared" si="113"/>
        <v>326.73996581897796</v>
      </c>
      <c r="R34" s="629">
        <f>IF(M34="","",SQRT(N34^2+O34^2))</f>
        <v>3.7597113392893995</v>
      </c>
      <c r="S34" s="634">
        <f>IF(M34="","",P34)</f>
        <v>-0.50370151916378192</v>
      </c>
      <c r="T34" s="635">
        <f>IF(M34="","",X34*COS(RADIANS(W34)))</f>
        <v>-2.0029075874285307</v>
      </c>
      <c r="U34" s="629">
        <f>IF(M34="","",X34*SIN(RADIANS(W34)))</f>
        <v>-3.1817904630887486</v>
      </c>
      <c r="V34" s="636">
        <f>IF(M34="","",Y34)</f>
        <v>-0.50370151916378192</v>
      </c>
      <c r="W34" s="585">
        <f t="shared" si="224"/>
        <v>237.80996566448908</v>
      </c>
      <c r="X34" s="629">
        <f>IF(M34="","",R34)</f>
        <v>3.7597113392893995</v>
      </c>
      <c r="Y34" s="630">
        <f t="shared" si="223"/>
        <v>-0.50370151916378192</v>
      </c>
      <c r="Z34" s="632">
        <f t="shared" si="6"/>
        <v>-0.76822689520200427</v>
      </c>
      <c r="AA34" s="629">
        <f t="shared" si="7"/>
        <v>-0.61012055605624438</v>
      </c>
      <c r="AB34" s="629">
        <f t="shared" si="8"/>
        <v>-0.19385650509051305</v>
      </c>
      <c r="AC34" s="636">
        <f>IF(M34="","",SQRT(Z34^2+AA34^2+AB34^2))</f>
        <v>1</v>
      </c>
      <c r="AD34" s="637">
        <f>IF(M34="","",Z34*(1/SQRT(Z34^2+AA34^2+AB34^2)))</f>
        <v>-0.76822689520200427</v>
      </c>
      <c r="AE34" s="629">
        <f>IF(M34="","",AA34*(1/SQRT(Z34^2+AA34^2+AB34^2)))</f>
        <v>-0.61012055605624438</v>
      </c>
      <c r="AF34" s="633">
        <f>IF(M34="","",AB34*(1/SQRT(Z34^2+AA34^2+AB34^2)))</f>
        <v>-0.19385650509051305</v>
      </c>
      <c r="AG34" s="602">
        <f>IF(M34="","",DEGREES(ATAN2(-AF34,AE34)))</f>
        <v>-72.373138808886779</v>
      </c>
      <c r="AH34" s="603">
        <f>IF(M34="","",DEGREES(ACOS(AD34)))</f>
        <v>140.19493150064119</v>
      </c>
      <c r="AI34" s="585">
        <f>IF(M34="","",DEGREES(-ACOS(-AF34)))</f>
        <v>-78.822068453833282</v>
      </c>
      <c r="AJ34" s="586">
        <f>IF(M34="","",DEGREES(ATAN2(-AE34,AD34)))</f>
        <v>-51.543637072664602</v>
      </c>
      <c r="AK34" s="635">
        <f>IF(M34="","",(COS(RADIANS((90-$Q$8)-W34))*AD34)+(-SIN(RADIANS((90-$Q$8)-W34))*AE34))</f>
        <v>0.93150289359005622</v>
      </c>
      <c r="AL34" s="629">
        <f>IF(M34="","",(SIN(RADIANS((90-$Q$8)-W34))*AD34)+(COS(RADIANS((90-$Q$8)-W34))*AE34))</f>
        <v>-0.30776941801849733</v>
      </c>
      <c r="AM34" s="634">
        <f>IF(M34="","",AF34)</f>
        <v>-0.19385650509051305</v>
      </c>
      <c r="AN34" s="581">
        <f>IF(M34="","",DEGREES(ATAN2(-AM34,AL34)))</f>
        <v>-57.794167235684199</v>
      </c>
      <c r="AO34" s="582">
        <f t="shared" si="94"/>
        <v>21.329686281599571</v>
      </c>
      <c r="AP34" s="585">
        <f>IF(M34="","",DEGREES(ATAN2(AK34,AL34)))</f>
        <v>-18.283602891642587</v>
      </c>
      <c r="AQ34" s="586">
        <f t="shared" si="9"/>
        <v>0.60633418990886179</v>
      </c>
      <c r="AS34" s="52">
        <f t="shared" si="116"/>
        <v>-122.19003433551092</v>
      </c>
      <c r="AT34" s="72">
        <f t="shared" si="10"/>
        <v>-0.41810427320473881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3.1219999999999999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3.3958205315606986</v>
      </c>
      <c r="C35" s="708">
        <v>-2.2853424731848451</v>
      </c>
      <c r="D35" s="709">
        <v>-1.2135036599270383</v>
      </c>
      <c r="E35" s="710">
        <v>0.8837841831304597</v>
      </c>
      <c r="F35" s="708">
        <v>0.45783871311893215</v>
      </c>
      <c r="G35" s="711">
        <v>9.6484353229040393E-2</v>
      </c>
      <c r="H35" s="710">
        <v>0.314</v>
      </c>
      <c r="I35" s="708">
        <v>0.52</v>
      </c>
      <c r="J35" s="570">
        <v>3.1280000000000001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3.1280000000000001</v>
      </c>
      <c r="N35" s="632">
        <f t="shared" si="2"/>
        <v>3.3958205315606986</v>
      </c>
      <c r="O35" s="629">
        <f t="shared" si="3"/>
        <v>-2.2853424731848451</v>
      </c>
      <c r="P35" s="633">
        <f t="shared" si="4"/>
        <v>-1.2135036599270383</v>
      </c>
      <c r="Q35" s="585">
        <f t="shared" si="113"/>
        <v>326.0599659171578</v>
      </c>
      <c r="R35" s="629">
        <f>IF(M35="","",SQRT(N35^2+O35^2))</f>
        <v>4.0932123451284337</v>
      </c>
      <c r="S35" s="634">
        <f>IF(M35="","",P35)</f>
        <v>-1.2135036599270383</v>
      </c>
      <c r="T35" s="635">
        <f>IF(M35="","",X35*COS(RADIANS(W35)))</f>
        <v>-2.2215306396343379</v>
      </c>
      <c r="U35" s="629">
        <f>IF(M35="","",X35*SIN(RADIANS(W35)))</f>
        <v>-3.4379047280978661</v>
      </c>
      <c r="V35" s="636">
        <f>IF(M35="","",Y35)</f>
        <v>-1.2135036599270383</v>
      </c>
      <c r="W35" s="585">
        <f t="shared" si="224"/>
        <v>237.12996576266892</v>
      </c>
      <c r="X35" s="629">
        <f>IF(M35="","",R35)</f>
        <v>4.0932123451284337</v>
      </c>
      <c r="Y35" s="630">
        <f t="shared" si="223"/>
        <v>-1.2135036599270383</v>
      </c>
      <c r="Z35" s="632">
        <f t="shared" si="6"/>
        <v>-0.8837841831304597</v>
      </c>
      <c r="AA35" s="629">
        <f t="shared" si="7"/>
        <v>-0.45783871311893215</v>
      </c>
      <c r="AB35" s="629">
        <f t="shared" si="8"/>
        <v>-9.6484353229040393E-2</v>
      </c>
      <c r="AC35" s="636">
        <f>IF(M35="","",SQRT(Z35^2+AA35^2+AB35^2))</f>
        <v>1</v>
      </c>
      <c r="AD35" s="637">
        <f>IF(M35="","",Z35*(1/SQRT(Z35^2+AA35^2+AB35^2)))</f>
        <v>-0.8837841831304597</v>
      </c>
      <c r="AE35" s="629">
        <f>IF(M35="","",AA35*(1/SQRT(Z35^2+AA35^2+AB35^2)))</f>
        <v>-0.45783871311893215</v>
      </c>
      <c r="AF35" s="633">
        <f>IF(M35="","",AB35*(1/SQRT(Z35^2+AA35^2+AB35^2)))</f>
        <v>-9.6484353229040393E-2</v>
      </c>
      <c r="AG35" s="602">
        <f>IF(M35="","",DEGREES(ATAN2(-AF35,AE35)))</f>
        <v>-78.099688026000734</v>
      </c>
      <c r="AH35" s="603">
        <f>IF(M35="","",DEGREES(ACOS(AD35)))</f>
        <v>152.102271816761</v>
      </c>
      <c r="AI35" s="585">
        <f>IF(M35="","",DEGREES(-ACOS(-AF35)))</f>
        <v>-84.463240508463201</v>
      </c>
      <c r="AJ35" s="586">
        <f>IF(M35="","",DEGREES(ATAN2(-AE35,AD35)))</f>
        <v>-62.613875163508666</v>
      </c>
      <c r="AK35" s="635">
        <f>IF(M35="","",(COS(RADIANS((90-$Q$8)-W35))*AD35)+(-SIN(RADIANS((90-$Q$8)-W35))*AE35))</f>
        <v>0.87327197604195028</v>
      </c>
      <c r="AL35" s="629">
        <f>IF(M35="","",(SIN(RADIANS((90-$Q$8)-W35))*AD35)+(COS(RADIANS((90-$Q$8)-W35))*AE35))</f>
        <v>-0.47758436473754173</v>
      </c>
      <c r="AM35" s="634">
        <f>IF(M35="","",AF35)</f>
        <v>-9.6484353229040393E-2</v>
      </c>
      <c r="AN35" s="581">
        <f>IF(M35="","",DEGREES(ATAN2(-AM35,AL35)))</f>
        <v>-78.578506728561109</v>
      </c>
      <c r="AO35" s="582">
        <f t="shared" si="94"/>
        <v>29.158880377992286</v>
      </c>
      <c r="AP35" s="585">
        <f>IF(M35="","",DEGREES(ATAN2(AK35,AL35)))</f>
        <v>-28.673841080666445</v>
      </c>
      <c r="AQ35" s="586">
        <f t="shared" si="9"/>
        <v>0.55693539426906646</v>
      </c>
      <c r="AS35" s="52">
        <f t="shared" si="116"/>
        <v>-122.87003423733108</v>
      </c>
      <c r="AT35" s="72">
        <f t="shared" si="10"/>
        <v>-1.1274341918139534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3.1280000000000001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3.4679443710882527</v>
      </c>
      <c r="C36" s="708">
        <v>-2.3523941024384718</v>
      </c>
      <c r="D36" s="709">
        <v>-1.9420058570896652</v>
      </c>
      <c r="E36" s="710">
        <v>0.93451561133879835</v>
      </c>
      <c r="F36" s="708">
        <v>0.35592214340225503</v>
      </c>
      <c r="G36" s="711">
        <v>1.3008419221766473E-7</v>
      </c>
      <c r="H36" s="710">
        <v>0.26600000000000001</v>
      </c>
      <c r="I36" s="708">
        <v>0.52</v>
      </c>
      <c r="J36" s="570">
        <v>3.1339999999999999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3.1339999999999999</v>
      </c>
      <c r="N36" s="632">
        <f t="shared" si="2"/>
        <v>3.4679443710882527</v>
      </c>
      <c r="O36" s="629">
        <f t="shared" si="3"/>
        <v>-2.3523941024384718</v>
      </c>
      <c r="P36" s="633">
        <f t="shared" si="4"/>
        <v>-1.9420058570896652</v>
      </c>
      <c r="Q36" s="585">
        <f t="shared" si="113"/>
        <v>325.84996594747804</v>
      </c>
      <c r="R36" s="629">
        <f>IF(M36="","",SQRT(N36^2+O36^2))</f>
        <v>4.1905126385861191</v>
      </c>
      <c r="S36" s="634">
        <f>IF(M36="","",P36)</f>
        <v>-1.9420058570896652</v>
      </c>
      <c r="T36" s="635">
        <f>IF(M36="","",X36*COS(RADIANS(W36)))</f>
        <v>-2.2872237410080825</v>
      </c>
      <c r="U36" s="629">
        <f>IF(M36="","",X36*SIN(RADIANS(W36)))</f>
        <v>-3.5112681089200506</v>
      </c>
      <c r="V36" s="636">
        <f>IF(M36="","",Y36)</f>
        <v>-1.9420058570896652</v>
      </c>
      <c r="W36" s="585">
        <f t="shared" si="224"/>
        <v>236.91996579298916</v>
      </c>
      <c r="X36" s="629">
        <f>IF(M36="","",R36)</f>
        <v>4.1905126385861191</v>
      </c>
      <c r="Y36" s="630">
        <f t="shared" si="223"/>
        <v>-1.9420058570896652</v>
      </c>
      <c r="Z36" s="632">
        <f t="shared" si="6"/>
        <v>-0.93451561133879835</v>
      </c>
      <c r="AA36" s="629">
        <f t="shared" si="7"/>
        <v>-0.35592214340225503</v>
      </c>
      <c r="AB36" s="629">
        <f t="shared" si="8"/>
        <v>-1.3008419221766473E-7</v>
      </c>
      <c r="AC36" s="636">
        <f>IF(M36="","",SQRT(Z36^2+AA36^2+AB36^2))</f>
        <v>1</v>
      </c>
      <c r="AD36" s="637">
        <f>IF(M36="","",Z36*(1/SQRT(Z36^2+AA36^2+AB36^2)))</f>
        <v>-0.93451561133879835</v>
      </c>
      <c r="AE36" s="629">
        <f>IF(M36="","",AA36*(1/SQRT(Z36^2+AA36^2+AB36^2)))</f>
        <v>-0.35592214340225503</v>
      </c>
      <c r="AF36" s="633">
        <f>IF(M36="","",AB36*(1/SQRT(Z36^2+AA36^2+AB36^2)))</f>
        <v>-1.3008419221766473E-7</v>
      </c>
      <c r="AG36" s="602">
        <f>IF(M36="","",DEGREES(ATAN2(-AF36,AE36)))</f>
        <v>-89.999979059254017</v>
      </c>
      <c r="AH36" s="603">
        <f>IF(M36="","",DEGREES(ACOS(AD36)))</f>
        <v>159.150028999146</v>
      </c>
      <c r="AI36" s="585">
        <f>IF(M36="","",DEGREES(-ACOS(-AF36)))</f>
        <v>-89.999992546724798</v>
      </c>
      <c r="AJ36" s="586">
        <f>IF(M36="","",DEGREES(ATAN2(-AE36,AD36)))</f>
        <v>-69.150028999147224</v>
      </c>
      <c r="AK36" s="635">
        <f>IF(M36="","",(COS(RADIANS((90-$Q$8)-W36))*AD36)+(-SIN(RADIANS((90-$Q$8)-W36))*AE36))</f>
        <v>0.81915209487729213</v>
      </c>
      <c r="AL36" s="629">
        <f>IF(M36="","",(SIN(RADIANS((90-$Q$8)-W36))*AD36)+(COS(RADIANS((90-$Q$8)-W36))*AE36))</f>
        <v>-0.5735763641034447</v>
      </c>
      <c r="AM36" s="634">
        <f>IF(M36="","",AF36)</f>
        <v>-1.3008419221766473E-7</v>
      </c>
      <c r="AN36" s="581">
        <f>IF(M36="","",DEGREES(ATAN2(-AM36,AL36)))</f>
        <v>-89.999987005609611</v>
      </c>
      <c r="AO36" s="582">
        <f t="shared" si="94"/>
        <v>34.999994946625939</v>
      </c>
      <c r="AP36" s="585">
        <f>IF(M36="","",DEGREES(ATAN2(AK36,AL36)))</f>
        <v>-34.999994946625272</v>
      </c>
      <c r="AQ36" s="586">
        <f t="shared" si="9"/>
        <v>0.54400459401772028</v>
      </c>
      <c r="AS36" s="52">
        <f t="shared" si="116"/>
        <v>-123.08003420701084</v>
      </c>
      <c r="AT36" s="72">
        <f t="shared" si="10"/>
        <v>-1.8557905556643028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3.1339999999999999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0.68304585227775416</v>
      </c>
      <c r="C37" s="708">
        <v>-1.3967391900730433</v>
      </c>
      <c r="D37" s="709">
        <v>-0.16230554352500257</v>
      </c>
      <c r="E37" s="710">
        <v>-6.8723270111866297E-2</v>
      </c>
      <c r="F37" s="708">
        <v>0.14053059093755221</v>
      </c>
      <c r="G37" s="711">
        <v>0.98768834414296602</v>
      </c>
      <c r="H37" s="710">
        <v>0.19500000000000001</v>
      </c>
      <c r="I37" s="708">
        <v>0.21199999999999999</v>
      </c>
      <c r="J37" s="570">
        <v>3.206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Inactive</v>
      </c>
      <c r="L37" s="320"/>
      <c r="M37" s="168">
        <f t="shared" si="1"/>
        <v>3.206</v>
      </c>
      <c r="N37" s="632">
        <f t="shared" si="2"/>
        <v>0.68304585227775416</v>
      </c>
      <c r="O37" s="629">
        <f t="shared" si="3"/>
        <v>-1.3967391900730433</v>
      </c>
      <c r="P37" s="633">
        <f t="shared" si="4"/>
        <v>-0.16230554352500257</v>
      </c>
      <c r="Q37" s="585">
        <f t="shared" si="113"/>
        <v>296.05997024862125</v>
      </c>
      <c r="R37" s="629">
        <f t="shared" si="79"/>
        <v>1.5548093135171734</v>
      </c>
      <c r="S37" s="634">
        <f t="shared" si="80"/>
        <v>-0.16230554352500257</v>
      </c>
      <c r="T37" s="635">
        <f t="shared" si="81"/>
        <v>-1.3837404825774022</v>
      </c>
      <c r="U37" s="629">
        <f t="shared" si="82"/>
        <v>-0.70900936402575265</v>
      </c>
      <c r="V37" s="636">
        <f t="shared" si="114"/>
        <v>-0.16230554352500257</v>
      </c>
      <c r="W37" s="585">
        <f t="shared" si="224"/>
        <v>207.12997009413237</v>
      </c>
      <c r="X37" s="629">
        <f t="shared" si="83"/>
        <v>1.5548093135171734</v>
      </c>
      <c r="Y37" s="630">
        <f t="shared" si="223"/>
        <v>-0.16230554352500257</v>
      </c>
      <c r="Z37" s="632">
        <f t="shared" si="6"/>
        <v>6.8723270111866297E-2</v>
      </c>
      <c r="AA37" s="629">
        <f t="shared" si="7"/>
        <v>-0.14053059093755221</v>
      </c>
      <c r="AB37" s="629">
        <f t="shared" si="8"/>
        <v>-0.98768834414296602</v>
      </c>
      <c r="AC37" s="636">
        <f t="shared" si="84"/>
        <v>1</v>
      </c>
      <c r="AD37" s="637">
        <f t="shared" si="115"/>
        <v>6.8723270111866297E-2</v>
      </c>
      <c r="AE37" s="629">
        <f t="shared" si="85"/>
        <v>-0.14053059093755221</v>
      </c>
      <c r="AF37" s="633">
        <f t="shared" si="86"/>
        <v>-0.98768834414296602</v>
      </c>
      <c r="AG37" s="602">
        <f t="shared" si="87"/>
        <v>-8.0978236425185877</v>
      </c>
      <c r="AH37" s="603">
        <f t="shared" si="88"/>
        <v>86.059340625307428</v>
      </c>
      <c r="AI37" s="585">
        <f t="shared" si="89"/>
        <v>-8.9999987005702131</v>
      </c>
      <c r="AJ37" s="586">
        <f t="shared" si="90"/>
        <v>26.059887182576627</v>
      </c>
      <c r="AK37" s="635">
        <f t="shared" si="211"/>
        <v>2.2679489664056973E-7</v>
      </c>
      <c r="AL37" s="629">
        <f t="shared" si="91"/>
        <v>0.15643444263995934</v>
      </c>
      <c r="AM37" s="634">
        <f t="shared" si="92"/>
        <v>-0.98768834414296602</v>
      </c>
      <c r="AN37" s="581">
        <f t="shared" si="93"/>
        <v>8.9999987005609636</v>
      </c>
      <c r="AO37" s="582">
        <f t="shared" si="94"/>
        <v>0</v>
      </c>
      <c r="AP37" s="585">
        <f t="shared" si="95"/>
        <v>89.999916933955376</v>
      </c>
      <c r="AQ37" s="586">
        <f t="shared" si="9"/>
        <v>1.465921996705871</v>
      </c>
      <c r="AS37" s="52">
        <f t="shared" si="116"/>
        <v>-152.87002990586763</v>
      </c>
      <c r="AT37" s="72">
        <f t="shared" si="10"/>
        <v>-5.5402745086545094E-2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3.206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3.1059999999999999</v>
      </c>
      <c r="II37" s="734" cm="1">
        <f t="array" ref="II37">IFERROR(IF($IH37&lt;1,$IH37+LARGE((IF($M$9:$M$150="",0,$M$9:$M$150)-MOD(IF($M$9:$M$150="",0,$M$9:$M$150),1)),1),$IH37),"")</f>
        <v>3.1059999999999999</v>
      </c>
      <c r="IJ37" s="533">
        <f t="shared" si="112"/>
        <v>1613</v>
      </c>
      <c r="IK37" s="533" t="str">
        <f t="shared" si="66"/>
        <v>Inactive</v>
      </c>
      <c r="IL37" s="727">
        <f t="shared" si="225"/>
        <v>33.929995101114855</v>
      </c>
      <c r="IM37" s="759">
        <v>7.4865018701079006E-2</v>
      </c>
      <c r="IN37" s="5">
        <f t="shared" si="226"/>
        <v>0.8</v>
      </c>
      <c r="IO37" s="771">
        <v>400</v>
      </c>
      <c r="IP37" s="9">
        <f t="shared" si="227"/>
        <v>-1.5661047233718461</v>
      </c>
      <c r="IQ37" s="5">
        <f t="shared" si="228"/>
        <v>-0.18930057093052191</v>
      </c>
      <c r="IR37" s="5">
        <f t="shared" si="71"/>
        <v>0.314</v>
      </c>
      <c r="IS37" s="5">
        <f t="shared" si="229"/>
        <v>0.29862737949662504</v>
      </c>
      <c r="IT37" s="727">
        <f t="shared" si="230"/>
        <v>-7.9969103386522731</v>
      </c>
      <c r="IU37" s="9">
        <f t="shared" si="231"/>
        <v>-1.5548093135171734</v>
      </c>
      <c r="IV37" s="5">
        <f t="shared" si="232"/>
        <v>-0.16230554352500257</v>
      </c>
      <c r="IW37" s="5">
        <f t="shared" si="76"/>
        <v>0.19500000000000001</v>
      </c>
      <c r="IX37" s="5">
        <f t="shared" si="233"/>
        <v>0.19500000000000001</v>
      </c>
      <c r="IY37" s="762">
        <f t="shared" si="234"/>
        <v>-8.9999987005609636</v>
      </c>
    </row>
    <row r="38" spans="1:267" ht="15" customHeight="1" x14ac:dyDescent="0.25">
      <c r="A38" s="79"/>
      <c r="B38" s="707">
        <v>1.3687008620597458</v>
      </c>
      <c r="C38" s="708">
        <v>-1.8591788415457156</v>
      </c>
      <c r="D38" s="709">
        <v>-3.5032776817645717E-2</v>
      </c>
      <c r="E38" s="710">
        <v>-9.2742974902361233E-2</v>
      </c>
      <c r="F38" s="708">
        <v>0.12597807527655816</v>
      </c>
      <c r="G38" s="711">
        <v>0.98768834414296591</v>
      </c>
      <c r="H38" s="710">
        <v>0.19500000000000001</v>
      </c>
      <c r="I38" s="708">
        <v>0.21199999999999999</v>
      </c>
      <c r="J38" s="570">
        <v>3.21</v>
      </c>
      <c r="K38" s="865" t="str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Inactive</v>
      </c>
      <c r="L38" s="320"/>
      <c r="M38" s="168">
        <f t="shared" si="1"/>
        <v>3.21</v>
      </c>
      <c r="N38" s="632">
        <f t="shared" si="2"/>
        <v>1.3687008620597458</v>
      </c>
      <c r="O38" s="629">
        <f t="shared" si="3"/>
        <v>-1.8591788415457156</v>
      </c>
      <c r="P38" s="633">
        <f t="shared" si="4"/>
        <v>-3.5032776817645717E-2</v>
      </c>
      <c r="Q38" s="585">
        <f t="shared" si="113"/>
        <v>306.3599687614855</v>
      </c>
      <c r="R38" s="629">
        <f t="shared" si="79"/>
        <v>2.3086550228768177</v>
      </c>
      <c r="S38" s="634">
        <f t="shared" si="80"/>
        <v>-3.5032776817645717E-2</v>
      </c>
      <c r="T38" s="635">
        <f t="shared" si="81"/>
        <v>-1.8332956200462998</v>
      </c>
      <c r="U38" s="629">
        <f t="shared" si="82"/>
        <v>-1.4031803819086885</v>
      </c>
      <c r="V38" s="636">
        <f t="shared" si="114"/>
        <v>-3.5032776817645717E-2</v>
      </c>
      <c r="W38" s="585">
        <f t="shared" si="224"/>
        <v>217.42996860699662</v>
      </c>
      <c r="X38" s="629">
        <f t="shared" si="83"/>
        <v>2.3086550228768177</v>
      </c>
      <c r="Y38" s="630">
        <f t="shared" si="223"/>
        <v>-3.5032776817645717E-2</v>
      </c>
      <c r="Z38" s="632">
        <f t="shared" si="6"/>
        <v>9.2742974902361233E-2</v>
      </c>
      <c r="AA38" s="629">
        <f t="shared" si="7"/>
        <v>-0.12597807527655816</v>
      </c>
      <c r="AB38" s="629">
        <f t="shared" si="8"/>
        <v>-0.98768834414296591</v>
      </c>
      <c r="AC38" s="636">
        <f t="shared" si="84"/>
        <v>1</v>
      </c>
      <c r="AD38" s="637">
        <f t="shared" si="115"/>
        <v>9.2742974902361233E-2</v>
      </c>
      <c r="AE38" s="629">
        <f t="shared" si="85"/>
        <v>-0.12597807527655816</v>
      </c>
      <c r="AF38" s="633">
        <f t="shared" si="86"/>
        <v>-0.98768834414296591</v>
      </c>
      <c r="AG38" s="602">
        <f t="shared" si="87"/>
        <v>-7.2687376025001118</v>
      </c>
      <c r="AH38" s="603">
        <f t="shared" si="88"/>
        <v>84.678571787738022</v>
      </c>
      <c r="AI38" s="585">
        <f t="shared" si="89"/>
        <v>-8.9999987005702629</v>
      </c>
      <c r="AJ38" s="586">
        <f t="shared" si="90"/>
        <v>36.359885695440852</v>
      </c>
      <c r="AK38" s="635">
        <f t="shared" si="211"/>
        <v>2.2679489670995867E-7</v>
      </c>
      <c r="AL38" s="629">
        <f t="shared" si="91"/>
        <v>0.15643444263995931</v>
      </c>
      <c r="AM38" s="634">
        <f t="shared" si="92"/>
        <v>-0.98768834414296591</v>
      </c>
      <c r="AN38" s="581">
        <f t="shared" si="93"/>
        <v>8.9999987005609619</v>
      </c>
      <c r="AO38" s="582">
        <f t="shared" si="94"/>
        <v>0</v>
      </c>
      <c r="AP38" s="585">
        <f t="shared" si="95"/>
        <v>89.999916933955348</v>
      </c>
      <c r="AQ38" s="586">
        <f t="shared" si="9"/>
        <v>0.98737183895886149</v>
      </c>
      <c r="AS38" s="52">
        <f t="shared" si="116"/>
        <v>-142.57003139300338</v>
      </c>
      <c r="AT38" s="72">
        <f t="shared" si="10"/>
        <v>6.4717244875767133E-2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Nose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3.21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3.11</v>
      </c>
      <c r="II38" s="734" cm="1">
        <f t="array" ref="II38">IFERROR(IF($IH38&lt;1,$IH38+LARGE((IF($M$9:$M$150="",0,$M$9:$M$150)-MOD(IF($M$9:$M$150="",0,$M$9:$M$150),1)),1),$IH38),"")</f>
        <v>3.11</v>
      </c>
      <c r="IJ38" s="533">
        <f t="shared" si="112"/>
        <v>1613</v>
      </c>
      <c r="IK38" s="533" t="str">
        <f t="shared" si="66"/>
        <v>Inactive</v>
      </c>
      <c r="IL38" s="727">
        <f t="shared" si="225"/>
        <v>22.949996686430438</v>
      </c>
      <c r="IM38" s="759">
        <v>6.9076904310724593E-2</v>
      </c>
      <c r="IN38" s="5">
        <f t="shared" si="226"/>
        <v>1.08</v>
      </c>
      <c r="IO38" s="771">
        <v>540</v>
      </c>
      <c r="IP38" s="9">
        <f t="shared" si="227"/>
        <v>-2.3202069977443052</v>
      </c>
      <c r="IQ38" s="5">
        <f t="shared" si="228"/>
        <v>-6.9900210819035843E-2</v>
      </c>
      <c r="IR38" s="5">
        <f t="shared" si="71"/>
        <v>0.314</v>
      </c>
      <c r="IS38" s="5">
        <f t="shared" si="229"/>
        <v>0.2998026728898453</v>
      </c>
      <c r="IT38" s="727">
        <f t="shared" si="230"/>
        <v>1.9249448584459108</v>
      </c>
      <c r="IU38" s="9">
        <f t="shared" si="231"/>
        <v>-2.3086550228768177</v>
      </c>
      <c r="IV38" s="5">
        <f t="shared" si="232"/>
        <v>-3.5032776817645717E-2</v>
      </c>
      <c r="IW38" s="5">
        <f t="shared" si="76"/>
        <v>0.19500000000000001</v>
      </c>
      <c r="IX38" s="5">
        <f t="shared" si="233"/>
        <v>0.19500000000000001</v>
      </c>
      <c r="IY38" s="762">
        <f t="shared" si="234"/>
        <v>-8.9999987005609619</v>
      </c>
    </row>
    <row r="39" spans="1:267" ht="15" customHeight="1" x14ac:dyDescent="0.25">
      <c r="A39" s="79"/>
      <c r="B39" s="707">
        <v>1.9385594429566428</v>
      </c>
      <c r="C39" s="708">
        <v>-2.4283942147338675</v>
      </c>
      <c r="D39" s="709">
        <v>-7.6107887811721953E-2</v>
      </c>
      <c r="E39" s="710">
        <v>0.13173486598532902</v>
      </c>
      <c r="F39" s="708">
        <v>-0.16502123929571064</v>
      </c>
      <c r="G39" s="711">
        <v>0.97745276902013811</v>
      </c>
      <c r="H39" s="710">
        <v>0.25700000000000001</v>
      </c>
      <c r="I39" s="708">
        <v>0.41499999999999992</v>
      </c>
      <c r="J39" s="570">
        <v>3.2160000000000002</v>
      </c>
      <c r="K39" s="865" t="str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CPS-32193r1</v>
      </c>
      <c r="L39" s="320"/>
      <c r="M39" s="168">
        <f t="shared" si="1"/>
        <v>3.2160000000000002</v>
      </c>
      <c r="N39" s="632">
        <f t="shared" si="2"/>
        <v>1.9385594429566428</v>
      </c>
      <c r="O39" s="629">
        <f t="shared" si="3"/>
        <v>-2.4283942147338675</v>
      </c>
      <c r="P39" s="633">
        <f t="shared" si="4"/>
        <v>-7.6107887811721953E-2</v>
      </c>
      <c r="Q39" s="585">
        <f t="shared" si="113"/>
        <v>308.59996843806954</v>
      </c>
      <c r="R39" s="629">
        <f t="shared" si="79"/>
        <v>3.1072674773873725</v>
      </c>
      <c r="S39" s="634">
        <f t="shared" si="80"/>
        <v>-7.6107887811721953E-2</v>
      </c>
      <c r="T39" s="635">
        <f t="shared" si="81"/>
        <v>-2.3917702353791848</v>
      </c>
      <c r="U39" s="629">
        <f t="shared" si="82"/>
        <v>-1.9835690855585257</v>
      </c>
      <c r="V39" s="636">
        <f t="shared" si="114"/>
        <v>-7.6107887811721953E-2</v>
      </c>
      <c r="W39" s="585">
        <f t="shared" si="224"/>
        <v>219.66996828358066</v>
      </c>
      <c r="X39" s="629">
        <f t="shared" si="83"/>
        <v>3.1072674773873725</v>
      </c>
      <c r="Y39" s="630">
        <f t="shared" si="223"/>
        <v>-7.6107887811721953E-2</v>
      </c>
      <c r="Z39" s="632">
        <f t="shared" si="6"/>
        <v>-0.13173486598532902</v>
      </c>
      <c r="AA39" s="629">
        <f t="shared" si="7"/>
        <v>0.16502123929571064</v>
      </c>
      <c r="AB39" s="629">
        <f t="shared" si="8"/>
        <v>-0.97745276902013811</v>
      </c>
      <c r="AC39" s="636">
        <f t="shared" si="84"/>
        <v>1</v>
      </c>
      <c r="AD39" s="637">
        <f t="shared" si="115"/>
        <v>-0.13173486598532902</v>
      </c>
      <c r="AE39" s="629">
        <f t="shared" si="85"/>
        <v>0.16502123929571064</v>
      </c>
      <c r="AF39" s="633">
        <f t="shared" si="86"/>
        <v>-0.97745276902013811</v>
      </c>
      <c r="AG39" s="602">
        <f t="shared" si="87"/>
        <v>9.582759258494626</v>
      </c>
      <c r="AH39" s="603">
        <f t="shared" si="88"/>
        <v>97.56985510108052</v>
      </c>
      <c r="AI39" s="585">
        <f t="shared" si="89"/>
        <v>-12.189998239988789</v>
      </c>
      <c r="AJ39" s="586">
        <f t="shared" si="90"/>
        <v>-141.39997002210731</v>
      </c>
      <c r="AK39" s="635">
        <f t="shared" si="211"/>
        <v>2.267948967932254E-7</v>
      </c>
      <c r="AL39" s="629">
        <f t="shared" si="91"/>
        <v>-0.21115417195692193</v>
      </c>
      <c r="AM39" s="634">
        <f t="shared" si="92"/>
        <v>-0.97745276902013811</v>
      </c>
      <c r="AN39" s="581">
        <f t="shared" si="93"/>
        <v>-12.189998239982005</v>
      </c>
      <c r="AO39" s="582">
        <f t="shared" si="94"/>
        <v>0</v>
      </c>
      <c r="AP39" s="585">
        <f t="shared" si="95"/>
        <v>-89.99993846017685</v>
      </c>
      <c r="AQ39" s="586">
        <f t="shared" si="9"/>
        <v>0.7336356007137288</v>
      </c>
      <c r="AS39" s="52">
        <f t="shared" si="116"/>
        <v>-140.33003171641934</v>
      </c>
      <c r="AT39" s="72">
        <f t="shared" si="10"/>
        <v>2.2086578550729763E-2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Nose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3.2160000000000002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3.1160000000000001</v>
      </c>
      <c r="II39" s="734" cm="1">
        <f t="array" ref="II39">IFERROR(IF($IH39&lt;1,$IH39+LARGE((IF($M$9:$M$150="",0,$M$9:$M$150)-MOD(IF($M$9:$M$150="",0,$M$9:$M$150),1)),1),$IH39),"")</f>
        <v>3.1160000000000001</v>
      </c>
      <c r="IJ39" s="533">
        <f t="shared" si="112"/>
        <v>1613</v>
      </c>
      <c r="IK39" s="533" t="str">
        <f t="shared" si="66"/>
        <v>CPS-32193r1</v>
      </c>
      <c r="IL39" s="727">
        <f t="shared" si="225"/>
        <v>19.429997194655527</v>
      </c>
      <c r="IM39" s="759">
        <v>3.09881487367113E-2</v>
      </c>
      <c r="IN39" s="5">
        <f t="shared" si="226"/>
        <v>0.62</v>
      </c>
      <c r="IO39" s="771">
        <v>310</v>
      </c>
      <c r="IP39" s="9">
        <f t="shared" si="227"/>
        <v>-3.0980093435961802</v>
      </c>
      <c r="IQ39" s="5">
        <f t="shared" si="228"/>
        <v>-8.2900250027154093E-2</v>
      </c>
      <c r="IR39" s="5">
        <f t="shared" si="71"/>
        <v>0.314</v>
      </c>
      <c r="IS39" s="5">
        <f t="shared" si="229"/>
        <v>0.2988105604699352</v>
      </c>
      <c r="IT39" s="727">
        <f t="shared" si="230"/>
        <v>30.946615797017472</v>
      </c>
      <c r="IU39" s="9">
        <f t="shared" si="231"/>
        <v>-3.1072674773873725</v>
      </c>
      <c r="IV39" s="5">
        <f t="shared" si="232"/>
        <v>-7.6107887811721953E-2</v>
      </c>
      <c r="IW39" s="5">
        <f t="shared" si="76"/>
        <v>0.25700000000000001</v>
      </c>
      <c r="IX39" s="5">
        <f t="shared" si="233"/>
        <v>0.25700000000000001</v>
      </c>
      <c r="IY39" s="762">
        <f t="shared" si="234"/>
        <v>12.189998239982005</v>
      </c>
    </row>
    <row r="40" spans="1:267" ht="15" customHeight="1" x14ac:dyDescent="0.25">
      <c r="A40" s="79"/>
      <c r="B40" s="707">
        <v>2.5194784897912728</v>
      </c>
      <c r="C40" s="708">
        <v>-2.8337731789870233</v>
      </c>
      <c r="D40" s="709">
        <v>-0.46900000000000053</v>
      </c>
      <c r="E40" s="710">
        <v>0.90753072477553731</v>
      </c>
      <c r="F40" s="708">
        <v>0.33137257886796301</v>
      </c>
      <c r="G40" s="711">
        <v>0.25803138871614761</v>
      </c>
      <c r="H40" s="710">
        <v>0.26600000000000001</v>
      </c>
      <c r="I40" s="708">
        <v>0.52</v>
      </c>
      <c r="J40" s="570">
        <v>3.222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3.222</v>
      </c>
      <c r="N40" s="632">
        <f t="shared" si="2"/>
        <v>2.5194784897912728</v>
      </c>
      <c r="O40" s="629">
        <f t="shared" si="3"/>
        <v>-2.8337731789870233</v>
      </c>
      <c r="P40" s="633">
        <f t="shared" si="4"/>
        <v>-0.46900000000000053</v>
      </c>
      <c r="Q40" s="585">
        <f t="shared" si="113"/>
        <v>311.63996534829226</v>
      </c>
      <c r="R40" s="629">
        <f t="shared" si="79"/>
        <v>3.7918389061861704</v>
      </c>
      <c r="S40" s="634">
        <f t="shared" si="80"/>
        <v>-0.46900000000000053</v>
      </c>
      <c r="T40" s="635">
        <f t="shared" si="81"/>
        <v>-2.7862304680235472</v>
      </c>
      <c r="U40" s="629">
        <f t="shared" si="82"/>
        <v>-2.5719568560775699</v>
      </c>
      <c r="V40" s="636">
        <f t="shared" si="114"/>
        <v>-0.46900000000000053</v>
      </c>
      <c r="W40" s="585">
        <f t="shared" si="224"/>
        <v>222.70996519380338</v>
      </c>
      <c r="X40" s="629">
        <f t="shared" si="83"/>
        <v>3.7918389061861704</v>
      </c>
      <c r="Y40" s="630">
        <f t="shared" si="223"/>
        <v>-0.46900000000000053</v>
      </c>
      <c r="Z40" s="632">
        <f t="shared" si="6"/>
        <v>-0.90753072477553731</v>
      </c>
      <c r="AA40" s="629">
        <f t="shared" si="7"/>
        <v>-0.33137257886796301</v>
      </c>
      <c r="AB40" s="629">
        <f t="shared" si="8"/>
        <v>-0.25803138871614761</v>
      </c>
      <c r="AC40" s="636">
        <f t="shared" si="84"/>
        <v>1</v>
      </c>
      <c r="AD40" s="637">
        <f t="shared" si="115"/>
        <v>-0.90753072477553731</v>
      </c>
      <c r="AE40" s="629">
        <f t="shared" si="85"/>
        <v>-0.33137257886796301</v>
      </c>
      <c r="AF40" s="633">
        <f t="shared" si="86"/>
        <v>-0.25803138871614761</v>
      </c>
      <c r="AG40" s="602">
        <f t="shared" si="87"/>
        <v>-52.093016319708902</v>
      </c>
      <c r="AH40" s="603">
        <f t="shared" si="88"/>
        <v>155.16631567256715</v>
      </c>
      <c r="AI40" s="585">
        <f t="shared" si="89"/>
        <v>-75.046716281080577</v>
      </c>
      <c r="AJ40" s="586">
        <f t="shared" si="90"/>
        <v>-69.9410174852285</v>
      </c>
      <c r="AK40" s="635">
        <f t="shared" si="211"/>
        <v>0.89840902945068579</v>
      </c>
      <c r="AL40" s="629">
        <f t="shared" si="91"/>
        <v>-0.35536040612129705</v>
      </c>
      <c r="AM40" s="634">
        <f t="shared" si="92"/>
        <v>-0.25803138871614761</v>
      </c>
      <c r="AN40" s="581">
        <f t="shared" si="93"/>
        <v>-54.016155372963318</v>
      </c>
      <c r="AO40" s="582">
        <f t="shared" si="94"/>
        <v>26.050277069751811</v>
      </c>
      <c r="AP40" s="585">
        <f t="shared" si="95"/>
        <v>-21.580982833520746</v>
      </c>
      <c r="AQ40" s="586">
        <f t="shared" si="9"/>
        <v>0.60119720840364965</v>
      </c>
      <c r="AS40" s="52">
        <f t="shared" si="116"/>
        <v>-137.29003480619662</v>
      </c>
      <c r="AT40" s="72">
        <f t="shared" si="10"/>
        <v>-0.3729166426029813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3.222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3.1219999999999999</v>
      </c>
      <c r="II40" s="734" cm="1">
        <f t="array" ref="II40">IFERROR(IF($IH40&lt;1,$IH40+LARGE((IF($M$9:$M$150="",0,$M$9:$M$150)-MOD(IF($M$9:$M$150="",0,$M$9:$M$150),1)),1),$IH40),"")</f>
        <v>3.1219999999999999</v>
      </c>
      <c r="IJ40" s="533">
        <f t="shared" si="112"/>
        <v>1613</v>
      </c>
      <c r="IK40" s="533">
        <f t="shared" si="66"/>
        <v>1313</v>
      </c>
      <c r="IL40" s="727">
        <f t="shared" si="225"/>
        <v>15.1000004706857</v>
      </c>
      <c r="IM40" s="759">
        <v>6.63999437915401E-3</v>
      </c>
      <c r="IN40" s="5">
        <f t="shared" si="226"/>
        <v>0.16</v>
      </c>
      <c r="IO40" s="771">
        <v>80</v>
      </c>
      <c r="IP40" s="9">
        <f t="shared" si="227"/>
        <v>-3.7597113392893995</v>
      </c>
      <c r="IQ40" s="5">
        <f t="shared" si="228"/>
        <v>-0.50370151916378192</v>
      </c>
      <c r="IR40" s="5">
        <f t="shared" si="71"/>
        <v>0.314</v>
      </c>
      <c r="IS40" s="5">
        <f t="shared" si="229"/>
        <v>0.29249190858727764</v>
      </c>
      <c r="IT40" s="727">
        <f t="shared" si="230"/>
        <v>57.794167235684199</v>
      </c>
      <c r="IU40" s="9">
        <f t="shared" si="231"/>
        <v>-3.7918389061861704</v>
      </c>
      <c r="IV40" s="5">
        <f t="shared" si="232"/>
        <v>-0.46900000000000053</v>
      </c>
      <c r="IW40" s="5">
        <f t="shared" si="76"/>
        <v>0.26600000000000001</v>
      </c>
      <c r="IX40" s="5">
        <f t="shared" si="233"/>
        <v>0.23897680183388242</v>
      </c>
      <c r="IY40" s="762">
        <f t="shared" si="234"/>
        <v>54.016155372963318</v>
      </c>
    </row>
    <row r="41" spans="1:267" ht="15" customHeight="1" x14ac:dyDescent="0.25">
      <c r="A41" s="79"/>
      <c r="B41" s="707">
        <v>2.7484412432044456</v>
      </c>
      <c r="C41" s="708">
        <v>-3.0967360999671611</v>
      </c>
      <c r="D41" s="709">
        <v>-1.1955000000000002</v>
      </c>
      <c r="E41" s="710">
        <v>0.98053490328671233</v>
      </c>
      <c r="F41" s="708">
        <v>0.14480976821114033</v>
      </c>
      <c r="G41" s="711">
        <v>0.13259500166730928</v>
      </c>
      <c r="H41" s="710">
        <v>0.26600000000000001</v>
      </c>
      <c r="I41" s="708">
        <v>0.52</v>
      </c>
      <c r="J41" s="570">
        <v>3.2280000000000002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3.2280000000000002</v>
      </c>
      <c r="N41" s="632">
        <f t="shared" ref="N41:N72" si="240">IF(M41="","",B41)</f>
        <v>2.7484412432044456</v>
      </c>
      <c r="O41" s="629">
        <f t="shared" ref="O41:O72" si="241">IF(M41="","",C41)</f>
        <v>-3.0967360999671611</v>
      </c>
      <c r="P41" s="633">
        <f t="shared" ref="P41:P72" si="242">IF(M41="","",D41)</f>
        <v>-1.1955000000000002</v>
      </c>
      <c r="Q41" s="585">
        <f t="shared" si="113"/>
        <v>311.58996534829225</v>
      </c>
      <c r="R41" s="629">
        <f t="shared" si="79"/>
        <v>4.1404955911324217</v>
      </c>
      <c r="S41" s="634">
        <f t="shared" si="80"/>
        <v>-1.1955000000000002</v>
      </c>
      <c r="T41" s="635">
        <f t="shared" si="81"/>
        <v>-3.0448718998057784</v>
      </c>
      <c r="U41" s="629">
        <f t="shared" si="82"/>
        <v>-2.8057902369849699</v>
      </c>
      <c r="V41" s="636">
        <f t="shared" si="114"/>
        <v>-1.1955000000000002</v>
      </c>
      <c r="W41" s="585">
        <f t="shared" si="224"/>
        <v>222.65996519380337</v>
      </c>
      <c r="X41" s="629">
        <f t="shared" si="83"/>
        <v>4.1404955911324217</v>
      </c>
      <c r="Y41" s="630">
        <f t="shared" si="223"/>
        <v>-1.1955000000000002</v>
      </c>
      <c r="Z41" s="632">
        <f t="shared" ref="Z41:Z72" si="243">IF(M41="","",-E41)</f>
        <v>-0.98053490328671233</v>
      </c>
      <c r="AA41" s="629">
        <f t="shared" ref="AA41:AA72" si="244">IF(M41="","",-F41)</f>
        <v>-0.14480976821114033</v>
      </c>
      <c r="AB41" s="629">
        <f t="shared" ref="AB41:AB72" si="245">IF(M41="","",-G41)</f>
        <v>-0.13259500166730928</v>
      </c>
      <c r="AC41" s="636">
        <f t="shared" si="84"/>
        <v>1</v>
      </c>
      <c r="AD41" s="637">
        <f t="shared" si="115"/>
        <v>-0.98053490328671233</v>
      </c>
      <c r="AE41" s="629">
        <f t="shared" si="85"/>
        <v>-0.14480976821114033</v>
      </c>
      <c r="AF41" s="633">
        <f t="shared" si="86"/>
        <v>-0.13259500166730928</v>
      </c>
      <c r="AG41" s="602">
        <f t="shared" si="87"/>
        <v>-47.521235643815153</v>
      </c>
      <c r="AH41" s="603">
        <f t="shared" si="88"/>
        <v>168.67670280637563</v>
      </c>
      <c r="AI41" s="585">
        <f t="shared" si="89"/>
        <v>-82.380426611100077</v>
      </c>
      <c r="AJ41" s="586">
        <f t="shared" si="90"/>
        <v>-81.599029494707594</v>
      </c>
      <c r="AK41" s="635">
        <f t="shared" si="211"/>
        <v>0.82948016633845145</v>
      </c>
      <c r="AL41" s="629">
        <f t="shared" si="91"/>
        <v>-0.54256909162242306</v>
      </c>
      <c r="AM41" s="634">
        <f t="shared" si="92"/>
        <v>-0.13259500166730928</v>
      </c>
      <c r="AN41" s="581">
        <f t="shared" si="93"/>
        <v>-76.267019932623157</v>
      </c>
      <c r="AO41" s="582">
        <f t="shared" si="94"/>
        <v>33.954624505892518</v>
      </c>
      <c r="AP41" s="585">
        <f t="shared" si="95"/>
        <v>-33.188994842999847</v>
      </c>
      <c r="AQ41" s="586">
        <f t="shared" ref="AQ41:AQ72" si="246">IF(M41="","",DEGREES(ATAN(($AS$5*SIN(RADIANS(90)))/(($X41*2*PI())-($AS$5*COS(RADIANS(90)))))))</f>
        <v>0.55057574909033757</v>
      </c>
      <c r="AS41" s="52">
        <f t="shared" si="116"/>
        <v>-137.34003480619663</v>
      </c>
      <c r="AT41" s="72">
        <f t="shared" ref="AT41:AT72" si="247">IF(M41="","",Y41+(((AS41-$AS$9)*$AS$6)*-1))</f>
        <v>-1.0993819203807587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>Gage</v>
      </c>
      <c r="IG41" s="847">
        <f t="shared" si="210"/>
        <v>3.2280000000000002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3.1280000000000001</v>
      </c>
      <c r="II41" s="734" cm="1">
        <f t="array" ref="II41">IFERROR(IF($IH41&lt;1,$IH41+LARGE((IF($M$9:$M$150="",0,$M$9:$M$150)-MOD(IF($M$9:$M$150="",0,$M$9:$M$150),1)),1),$IH41),"")</f>
        <v>3.1280000000000001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14.470000568865544</v>
      </c>
      <c r="IM41" s="759">
        <v>3.32065672498516E-3</v>
      </c>
      <c r="IN41" s="5">
        <f t="shared" si="226"/>
        <v>0.12</v>
      </c>
      <c r="IO41" s="771">
        <v>60</v>
      </c>
      <c r="IP41" s="9">
        <f t="shared" si="227"/>
        <v>-4.0932123451284337</v>
      </c>
      <c r="IQ41" s="5">
        <f t="shared" si="228"/>
        <v>-1.2135036599270383</v>
      </c>
      <c r="IR41" s="5">
        <f t="shared" ref="IR41:IR72" si="383">IF(ISNUMBER($II41),INDEX($H$9:$H$150,MATCH($II41,$M$9:$M$150,0)),"")</f>
        <v>0.314</v>
      </c>
      <c r="IS41" s="5">
        <f t="shared" si="229"/>
        <v>0.2742074004771724</v>
      </c>
      <c r="IT41" s="727">
        <f t="shared" si="230"/>
        <v>78.578506728561109</v>
      </c>
      <c r="IU41" s="9">
        <f t="shared" si="231"/>
        <v>-4.1404955911324217</v>
      </c>
      <c r="IV41" s="5">
        <f t="shared" si="232"/>
        <v>-1.1955000000000002</v>
      </c>
      <c r="IW41" s="5">
        <f t="shared" ref="IW41:IW72" si="384">IF(ISNUMBER($II41),$H41,"")</f>
        <v>0.26600000000000001</v>
      </c>
      <c r="IX41" s="5">
        <f t="shared" si="233"/>
        <v>0.2206417242460281</v>
      </c>
      <c r="IY41" s="762">
        <f t="shared" si="234"/>
        <v>76.267019932623157</v>
      </c>
    </row>
    <row r="42" spans="1:267" ht="15" customHeight="1" x14ac:dyDescent="0.25">
      <c r="A42" s="79"/>
      <c r="B42" s="707">
        <v>-9.6454132220127109E-2</v>
      </c>
      <c r="C42" s="708">
        <v>-2.1915851154863586</v>
      </c>
      <c r="D42" s="709">
        <v>-9.0000271440818666E-2</v>
      </c>
      <c r="E42" s="710">
        <v>0.95414224591463748</v>
      </c>
      <c r="F42" s="708">
        <v>-4.4388571399703779E-2</v>
      </c>
      <c r="G42" s="711">
        <v>0.29604430291776429</v>
      </c>
      <c r="H42" s="710">
        <v>0.314</v>
      </c>
      <c r="I42" s="708">
        <v>0.52</v>
      </c>
      <c r="J42" s="570">
        <v>4.109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4.109</v>
      </c>
      <c r="N42" s="632">
        <f t="shared" si="240"/>
        <v>-9.6454132220127109E-2</v>
      </c>
      <c r="O42" s="629">
        <f t="shared" si="241"/>
        <v>-2.1915851154863586</v>
      </c>
      <c r="P42" s="633">
        <f t="shared" si="242"/>
        <v>-9.0000271440818666E-2</v>
      </c>
      <c r="Q42" s="585">
        <f t="shared" si="113"/>
        <v>267.47997437506217</v>
      </c>
      <c r="R42" s="629">
        <f t="shared" ref="R42:R47" si="385">IF(M42="","",SQRT(N42^2+O42^2))</f>
        <v>2.193706616219155</v>
      </c>
      <c r="S42" s="634">
        <f t="shared" ref="S42:S47" si="386">IF(M42="","",P42)</f>
        <v>-9.0000271440818666E-2</v>
      </c>
      <c r="T42" s="635">
        <f t="shared" ref="T42:T47" si="387">IF(M42="","",X42*COS(RADIANS(W42)))</f>
        <v>-2.193004140121483</v>
      </c>
      <c r="U42" s="629">
        <f t="shared" ref="U42:U47" si="388">IF(M42="","",X42*SIN(RADIANS(W42)))</f>
        <v>5.5511795626955601E-2</v>
      </c>
      <c r="V42" s="636">
        <f t="shared" ref="V42:V47" si="389">IF(M42="","",Y42)</f>
        <v>-9.0000271440818666E-2</v>
      </c>
      <c r="W42" s="585">
        <f t="shared" si="224"/>
        <v>178.54997422057329</v>
      </c>
      <c r="X42" s="629">
        <f t="shared" ref="X42:X47" si="390">IF(M42="","",R42)</f>
        <v>2.193706616219155</v>
      </c>
      <c r="Y42" s="630">
        <f t="shared" si="223"/>
        <v>-9.0000271440818666E-2</v>
      </c>
      <c r="Z42" s="632">
        <f t="shared" si="243"/>
        <v>-0.95414224591463748</v>
      </c>
      <c r="AA42" s="629">
        <f t="shared" si="244"/>
        <v>4.4388571399703779E-2</v>
      </c>
      <c r="AB42" s="629">
        <f t="shared" si="245"/>
        <v>-0.29604430291776429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-0.95414224591463748</v>
      </c>
      <c r="AE42" s="629">
        <f t="shared" ref="AE42:AE47" si="393">IF(M42="","",AA42*(1/SQRT(Z42^2+AA42^2+AB42^2)))</f>
        <v>4.4388571399703779E-2</v>
      </c>
      <c r="AF42" s="633">
        <f t="shared" ref="AF42:AF47" si="394">IF(M42="","",AB42*(1/SQRT(Z42^2+AA42^2+AB42^2)))</f>
        <v>-0.29604430291776429</v>
      </c>
      <c r="AG42" s="602">
        <f t="shared" ref="AG42:AG47" si="395">IF(M42="","",DEGREES(ATAN2(-AF42,AE42)))</f>
        <v>8.527344542102691</v>
      </c>
      <c r="AH42" s="603">
        <f t="shared" ref="AH42:AH47" si="396">IF(M42="","",DEGREES(ACOS(AD42)))</f>
        <v>162.58121734029825</v>
      </c>
      <c r="AI42" s="585">
        <f t="shared" ref="AI42:AI47" si="397">IF(M42="","",DEGREES(-ACOS(-AF42)))</f>
        <v>-72.779831092800464</v>
      </c>
      <c r="AJ42" s="586">
        <f t="shared" ref="AJ42:AJ47" si="398">IF(M42="","",DEGREES(ATAN2(-AE42,AD42)))</f>
        <v>-92.663591712948048</v>
      </c>
      <c r="AK42" s="635">
        <f t="shared" ref="AK42:AK47" si="399">IF(M42="","",(COS(RADIANS((90-$Q$8)-W42))*AD42)+(-SIN(RADIANS((90-$Q$8)-W42))*AE42))</f>
        <v>0.95517121106624947</v>
      </c>
      <c r="AL42" s="629">
        <f t="shared" ref="AL42:AL47" si="400">IF(M42="","",(SIN(RADIANS((90-$Q$8)-W42))*AD42)+(COS(RADIANS((90-$Q$8)-W42))*AE42))</f>
        <v>-2.3933784008387179E-3</v>
      </c>
      <c r="AM42" s="634">
        <f t="shared" ref="AM42:AM47" si="401">IF(M42="","",AF42)</f>
        <v>-0.29604430291776429</v>
      </c>
      <c r="AN42" s="581">
        <f t="shared" ref="AN42:AN47" si="402">IF(M42="","",DEGREES(ATAN2(-AM42,AL42)))</f>
        <v>-0.46319923171680188</v>
      </c>
      <c r="AO42" s="582">
        <f t="shared" si="94"/>
        <v>17.220749230036642</v>
      </c>
      <c r="AP42" s="585">
        <f t="shared" ref="AP42:AP47" si="403">IF(M42="","",DEGREES(ATAN2(AK42,AL42)))</f>
        <v>-0.14356608801022305</v>
      </c>
      <c r="AQ42" s="586">
        <f t="shared" si="246"/>
        <v>1.0390982427821513</v>
      </c>
      <c r="AS42" s="52">
        <f t="shared" si="116"/>
        <v>-181.45002577942671</v>
      </c>
      <c r="AT42" s="72">
        <f t="shared" si="247"/>
        <v>3.6749746354277066E-2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4.109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-0.19368627785476766</v>
      </c>
      <c r="C43" s="708">
        <v>-2.9629852005371315</v>
      </c>
      <c r="D43" s="709">
        <v>-5.1800156229271185E-2</v>
      </c>
      <c r="E43" s="710">
        <v>0.94664367504683422</v>
      </c>
      <c r="F43" s="708">
        <v>-0.19224310158300983</v>
      </c>
      <c r="G43" s="711">
        <v>0.25866646939170213</v>
      </c>
      <c r="H43" s="710">
        <v>0.314</v>
      </c>
      <c r="I43" s="708">
        <v>0.52</v>
      </c>
      <c r="J43" s="570">
        <v>4.1150000000000002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4.1150000000000002</v>
      </c>
      <c r="N43" s="632">
        <f t="shared" si="240"/>
        <v>-0.19368627785476766</v>
      </c>
      <c r="O43" s="629">
        <f t="shared" si="241"/>
        <v>-2.9629852005371315</v>
      </c>
      <c r="P43" s="633">
        <f t="shared" si="242"/>
        <v>-5.1800156229271185E-2</v>
      </c>
      <c r="Q43" s="585">
        <f t="shared" si="113"/>
        <v>266.2599745512083</v>
      </c>
      <c r="R43" s="629">
        <f t="shared" si="385"/>
        <v>2.9693089554358099</v>
      </c>
      <c r="S43" s="634">
        <f t="shared" si="386"/>
        <v>-5.1800156229271185E-2</v>
      </c>
      <c r="T43" s="635">
        <f t="shared" si="387"/>
        <v>-2.9660854204791596</v>
      </c>
      <c r="U43" s="629">
        <f t="shared" si="388"/>
        <v>0.13832191168526847</v>
      </c>
      <c r="V43" s="636">
        <f t="shared" si="389"/>
        <v>-5.1800156229271185E-2</v>
      </c>
      <c r="W43" s="585">
        <f t="shared" si="224"/>
        <v>177.32997439671942</v>
      </c>
      <c r="X43" s="629">
        <f t="shared" si="390"/>
        <v>2.9693089554358099</v>
      </c>
      <c r="Y43" s="630">
        <f t="shared" si="223"/>
        <v>-5.1800156229271185E-2</v>
      </c>
      <c r="Z43" s="632">
        <f t="shared" si="243"/>
        <v>-0.94664367504683422</v>
      </c>
      <c r="AA43" s="629">
        <f t="shared" si="244"/>
        <v>0.19224310158300983</v>
      </c>
      <c r="AB43" s="629">
        <f t="shared" si="245"/>
        <v>-0.25866646939170213</v>
      </c>
      <c r="AC43" s="636">
        <f t="shared" si="391"/>
        <v>1</v>
      </c>
      <c r="AD43" s="637">
        <f t="shared" si="392"/>
        <v>-0.94664367504683422</v>
      </c>
      <c r="AE43" s="629">
        <f t="shared" si="393"/>
        <v>0.19224310158300983</v>
      </c>
      <c r="AF43" s="633">
        <f t="shared" si="394"/>
        <v>-0.25866646939170213</v>
      </c>
      <c r="AG43" s="602">
        <f t="shared" si="395"/>
        <v>36.620042737173222</v>
      </c>
      <c r="AH43" s="603">
        <f t="shared" si="396"/>
        <v>161.19900705308109</v>
      </c>
      <c r="AI43" s="585">
        <f t="shared" si="397"/>
        <v>-75.009050135209364</v>
      </c>
      <c r="AJ43" s="586">
        <f t="shared" si="398"/>
        <v>-101.47943985748343</v>
      </c>
      <c r="AK43" s="635">
        <f t="shared" si="399"/>
        <v>0.95716750691494734</v>
      </c>
      <c r="AL43" s="629">
        <f t="shared" si="400"/>
        <v>-0.13008466980646044</v>
      </c>
      <c r="AM43" s="634">
        <f t="shared" si="401"/>
        <v>-0.25866646939170213</v>
      </c>
      <c r="AN43" s="581">
        <f t="shared" si="402"/>
        <v>-26.69805337693024</v>
      </c>
      <c r="AO43" s="582">
        <f t="shared" si="94"/>
        <v>16.830103437309674</v>
      </c>
      <c r="AP43" s="585">
        <f t="shared" si="403"/>
        <v>-7.7394144086917223</v>
      </c>
      <c r="AQ43" s="586">
        <f t="shared" si="246"/>
        <v>0.76771741561922602</v>
      </c>
      <c r="AS43" s="52">
        <f t="shared" ref="AS43:AS74" si="406">IF(G43="","",IF(AND(W43&lt;(AS42+180),W43&gt;(AS42-180)),W43,IF(W43&gt;(AS42+180),W43-360,IF(W43&lt;(AS42-180),W43+360,"Error"))))</f>
        <v>-182.67002560328058</v>
      </c>
      <c r="AT43" s="72">
        <f t="shared" si="247"/>
        <v>7.5797083665723061E-2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4.1150000000000002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-0.32412735554817163</v>
      </c>
      <c r="C44" s="708">
        <v>-3.6533609033815599</v>
      </c>
      <c r="D44" s="709">
        <v>-0.40860123234131673</v>
      </c>
      <c r="E44" s="710">
        <v>0.90934762122261648</v>
      </c>
      <c r="F44" s="708">
        <v>-0.36259767107479507</v>
      </c>
      <c r="G44" s="711">
        <v>0.20398488352793118</v>
      </c>
      <c r="H44" s="710">
        <v>0.314</v>
      </c>
      <c r="I44" s="708">
        <v>0.52</v>
      </c>
      <c r="J44" s="570">
        <v>4.1210000000000004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4.1210000000000004</v>
      </c>
      <c r="N44" s="632">
        <f t="shared" si="240"/>
        <v>-0.32412735554817163</v>
      </c>
      <c r="O44" s="629">
        <f t="shared" si="241"/>
        <v>-3.6533609033815599</v>
      </c>
      <c r="P44" s="633">
        <f t="shared" si="242"/>
        <v>-0.40860123234131673</v>
      </c>
      <c r="Q44" s="585">
        <f t="shared" si="113"/>
        <v>264.92997474323653</v>
      </c>
      <c r="R44" s="629">
        <f t="shared" si="385"/>
        <v>3.6677110618165627</v>
      </c>
      <c r="S44" s="634">
        <f t="shared" si="386"/>
        <v>-0.40860123234131673</v>
      </c>
      <c r="T44" s="635">
        <f t="shared" si="387"/>
        <v>-3.6587765885376049</v>
      </c>
      <c r="U44" s="629">
        <f t="shared" si="388"/>
        <v>0.25584821308874989</v>
      </c>
      <c r="V44" s="636">
        <f t="shared" si="389"/>
        <v>-0.40860123234131673</v>
      </c>
      <c r="W44" s="585">
        <f t="shared" si="224"/>
        <v>175.99997458874765</v>
      </c>
      <c r="X44" s="629">
        <f t="shared" si="390"/>
        <v>3.6677110618165627</v>
      </c>
      <c r="Y44" s="630">
        <f t="shared" si="223"/>
        <v>-0.40860123234131673</v>
      </c>
      <c r="Z44" s="632">
        <f t="shared" si="243"/>
        <v>-0.90934762122261648</v>
      </c>
      <c r="AA44" s="629">
        <f t="shared" si="244"/>
        <v>0.36259767107479507</v>
      </c>
      <c r="AB44" s="629">
        <f t="shared" si="245"/>
        <v>-0.20398488352793118</v>
      </c>
      <c r="AC44" s="636">
        <f t="shared" si="391"/>
        <v>1</v>
      </c>
      <c r="AD44" s="637">
        <f t="shared" si="392"/>
        <v>-0.90934762122261648</v>
      </c>
      <c r="AE44" s="629">
        <f t="shared" si="393"/>
        <v>0.36259767107479507</v>
      </c>
      <c r="AF44" s="633">
        <f t="shared" si="394"/>
        <v>-0.20398488352793118</v>
      </c>
      <c r="AG44" s="602">
        <f t="shared" si="395"/>
        <v>60.63940248291879</v>
      </c>
      <c r="AH44" s="603">
        <f t="shared" si="396"/>
        <v>155.41535273173784</v>
      </c>
      <c r="AI44" s="585">
        <f t="shared" si="397"/>
        <v>-78.229918445832737</v>
      </c>
      <c r="AJ44" s="586">
        <f t="shared" si="398"/>
        <v>-111.73938662152817</v>
      </c>
      <c r="AK44" s="635">
        <f t="shared" si="399"/>
        <v>0.93783365517007122</v>
      </c>
      <c r="AL44" s="629">
        <f t="shared" si="400"/>
        <v>-0.28081702676732484</v>
      </c>
      <c r="AM44" s="634">
        <f t="shared" si="401"/>
        <v>-0.20398488352793118</v>
      </c>
      <c r="AN44" s="581">
        <f t="shared" si="402"/>
        <v>-54.005426009717404</v>
      </c>
      <c r="AO44" s="582">
        <f t="shared" si="94"/>
        <v>20.309127332008796</v>
      </c>
      <c r="AP44" s="585">
        <f t="shared" si="403"/>
        <v>-16.669361364764701</v>
      </c>
      <c r="AQ44" s="586">
        <f t="shared" si="246"/>
        <v>0.62154220115176773</v>
      </c>
      <c r="AS44" s="52">
        <f t="shared" si="406"/>
        <v>-184.00002541125235</v>
      </c>
      <c r="AT44" s="72">
        <f t="shared" si="247"/>
        <v>-0.28008038146856429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4.1210000000000004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-0.41729263731989791</v>
      </c>
      <c r="C45" s="708">
        <v>-4.0449444443753597</v>
      </c>
      <c r="D45" s="709">
        <v>-1.0838032687506587</v>
      </c>
      <c r="E45" s="710">
        <v>0.83893164203788206</v>
      </c>
      <c r="F45" s="708">
        <v>-0.53209801995835893</v>
      </c>
      <c r="G45" s="711">
        <v>0.11430396819015957</v>
      </c>
      <c r="H45" s="710">
        <v>0.314</v>
      </c>
      <c r="I45" s="708">
        <v>0.52</v>
      </c>
      <c r="J45" s="570">
        <v>4.1269999999999998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4.1269999999999998</v>
      </c>
      <c r="N45" s="632">
        <f t="shared" si="240"/>
        <v>-0.41729263731989791</v>
      </c>
      <c r="O45" s="629">
        <f t="shared" si="241"/>
        <v>-4.0449444443753597</v>
      </c>
      <c r="P45" s="633">
        <f t="shared" si="242"/>
        <v>-1.0838032687506587</v>
      </c>
      <c r="Q45" s="585">
        <f t="shared" si="113"/>
        <v>264.10997486162989</v>
      </c>
      <c r="R45" s="629">
        <f t="shared" si="385"/>
        <v>4.0664122642993892</v>
      </c>
      <c r="S45" s="634">
        <f t="shared" si="386"/>
        <v>-1.0838032687506587</v>
      </c>
      <c r="T45" s="635">
        <f t="shared" si="387"/>
        <v>-4.0520316102848586</v>
      </c>
      <c r="U45" s="629">
        <f t="shared" si="388"/>
        <v>0.34168484382071185</v>
      </c>
      <c r="V45" s="636">
        <f t="shared" si="389"/>
        <v>-1.0838032687506587</v>
      </c>
      <c r="W45" s="585">
        <f t="shared" si="224"/>
        <v>175.17997470714101</v>
      </c>
      <c r="X45" s="629">
        <f t="shared" si="390"/>
        <v>4.0664122642993892</v>
      </c>
      <c r="Y45" s="630">
        <f t="shared" si="223"/>
        <v>-1.0838032687506587</v>
      </c>
      <c r="Z45" s="632">
        <f t="shared" si="243"/>
        <v>-0.83893164203788206</v>
      </c>
      <c r="AA45" s="629">
        <f t="shared" si="244"/>
        <v>0.53209801995835893</v>
      </c>
      <c r="AB45" s="629">
        <f t="shared" si="245"/>
        <v>-0.11430396819015957</v>
      </c>
      <c r="AC45" s="636">
        <f t="shared" si="391"/>
        <v>1</v>
      </c>
      <c r="AD45" s="637">
        <f t="shared" si="392"/>
        <v>-0.83893164203788206</v>
      </c>
      <c r="AE45" s="629">
        <f t="shared" si="393"/>
        <v>0.53209801995835893</v>
      </c>
      <c r="AF45" s="633">
        <f t="shared" si="394"/>
        <v>-0.11430396819015957</v>
      </c>
      <c r="AG45" s="602">
        <f t="shared" si="395"/>
        <v>77.876114504804818</v>
      </c>
      <c r="AH45" s="603">
        <f t="shared" si="396"/>
        <v>147.02747502111961</v>
      </c>
      <c r="AI45" s="585">
        <f t="shared" si="397"/>
        <v>-83.436519360741769</v>
      </c>
      <c r="AJ45" s="586">
        <f t="shared" si="398"/>
        <v>-122.38518731873448</v>
      </c>
      <c r="AK45" s="635">
        <f t="shared" si="399"/>
        <v>0.88910622822840246</v>
      </c>
      <c r="AL45" s="629">
        <f t="shared" si="400"/>
        <v>-0.44319828269234884</v>
      </c>
      <c r="AM45" s="634">
        <f t="shared" si="401"/>
        <v>-0.11430396819015957</v>
      </c>
      <c r="AN45" s="581">
        <f t="shared" si="402"/>
        <v>-75.538164240608893</v>
      </c>
      <c r="AO45" s="582">
        <f t="shared" si="94"/>
        <v>27.238850077004159</v>
      </c>
      <c r="AP45" s="585">
        <f t="shared" si="403"/>
        <v>-26.495162180364368</v>
      </c>
      <c r="AQ45" s="586">
        <f t="shared" si="246"/>
        <v>0.56060569701507501</v>
      </c>
      <c r="AS45" s="52">
        <f t="shared" si="406"/>
        <v>-184.82002529285899</v>
      </c>
      <c r="AT45" s="72">
        <f t="shared" si="247"/>
        <v>-0.95471297351567941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4.1269999999999998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-0.44893879571129292</v>
      </c>
      <c r="C46" s="708">
        <v>-4.1663953403218095</v>
      </c>
      <c r="D46" s="709">
        <v>-1.8162054776757208</v>
      </c>
      <c r="E46" s="710">
        <v>0.75298920707399963</v>
      </c>
      <c r="F46" s="708">
        <v>-0.65803286698314134</v>
      </c>
      <c r="G46" s="711">
        <v>1.300841921700934E-7</v>
      </c>
      <c r="H46" s="710">
        <v>0.26600000000000001</v>
      </c>
      <c r="I46" s="708">
        <v>0.52</v>
      </c>
      <c r="J46" s="570">
        <v>4.133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4.133</v>
      </c>
      <c r="N46" s="632">
        <f t="shared" si="240"/>
        <v>-0.44893879571129292</v>
      </c>
      <c r="O46" s="629">
        <f t="shared" si="241"/>
        <v>-4.1663953403218095</v>
      </c>
      <c r="P46" s="633">
        <f t="shared" si="242"/>
        <v>-1.8162054776757208</v>
      </c>
      <c r="Q46" s="585">
        <f t="shared" si="113"/>
        <v>263.84997489916924</v>
      </c>
      <c r="R46" s="629">
        <f t="shared" si="385"/>
        <v>4.1905126385861182</v>
      </c>
      <c r="S46" s="634">
        <f t="shared" si="386"/>
        <v>-1.8162054776757208</v>
      </c>
      <c r="T46" s="635">
        <f t="shared" si="387"/>
        <v>-4.174052286758104</v>
      </c>
      <c r="U46" s="629">
        <f t="shared" si="388"/>
        <v>0.37105751785866797</v>
      </c>
      <c r="V46" s="636">
        <f t="shared" si="389"/>
        <v>-1.8162054776757208</v>
      </c>
      <c r="W46" s="585">
        <f t="shared" si="224"/>
        <v>174.91997474468036</v>
      </c>
      <c r="X46" s="629">
        <f t="shared" si="390"/>
        <v>4.1905126385861182</v>
      </c>
      <c r="Y46" s="630">
        <f t="shared" si="223"/>
        <v>-1.8162054776757208</v>
      </c>
      <c r="Z46" s="632">
        <f t="shared" si="243"/>
        <v>-0.75298920707399963</v>
      </c>
      <c r="AA46" s="629">
        <f t="shared" si="244"/>
        <v>0.65803286698314134</v>
      </c>
      <c r="AB46" s="629">
        <f t="shared" si="245"/>
        <v>-1.300841921700934E-7</v>
      </c>
      <c r="AC46" s="636">
        <f t="shared" si="391"/>
        <v>1</v>
      </c>
      <c r="AD46" s="637">
        <f t="shared" si="392"/>
        <v>-0.75298920707399963</v>
      </c>
      <c r="AE46" s="629">
        <f t="shared" si="393"/>
        <v>0.65803286698314134</v>
      </c>
      <c r="AF46" s="633">
        <f t="shared" si="394"/>
        <v>-1.300841921700934E-7</v>
      </c>
      <c r="AG46" s="602">
        <f t="shared" si="395"/>
        <v>89.999988673399812</v>
      </c>
      <c r="AH46" s="603">
        <f t="shared" si="396"/>
        <v>138.84997995254341</v>
      </c>
      <c r="AI46" s="585">
        <f t="shared" si="397"/>
        <v>-89.999992546724812</v>
      </c>
      <c r="AJ46" s="586">
        <f t="shared" si="398"/>
        <v>-131.15002004745605</v>
      </c>
      <c r="AK46" s="635">
        <f t="shared" si="399"/>
        <v>0.81915209487729168</v>
      </c>
      <c r="AL46" s="629">
        <f t="shared" si="400"/>
        <v>-0.57357636410344504</v>
      </c>
      <c r="AM46" s="634">
        <f t="shared" si="401"/>
        <v>-1.300841921700934E-7</v>
      </c>
      <c r="AN46" s="581">
        <f t="shared" si="402"/>
        <v>-89.999987005609626</v>
      </c>
      <c r="AO46" s="582">
        <f t="shared" si="94"/>
        <v>34.999994946625982</v>
      </c>
      <c r="AP46" s="585">
        <f t="shared" si="403"/>
        <v>-34.9999949466253</v>
      </c>
      <c r="AQ46" s="586">
        <f t="shared" si="246"/>
        <v>0.54400459401772039</v>
      </c>
      <c r="AS46" s="52">
        <f t="shared" si="406"/>
        <v>-185.08002525531964</v>
      </c>
      <c r="AT46" s="72">
        <f t="shared" si="247"/>
        <v>-1.6869346269112551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4.133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-1.2065420680324828</v>
      </c>
      <c r="C47" s="708">
        <v>-2.7201501850354037</v>
      </c>
      <c r="D47" s="709">
        <v>-4.3353463692677251E-2</v>
      </c>
      <c r="E47" s="710">
        <v>-5.7339919923505241E-2</v>
      </c>
      <c r="F47" s="708">
        <v>-0.12927346074575721</v>
      </c>
      <c r="G47" s="711">
        <v>0.98994974919436252</v>
      </c>
      <c r="H47" s="710">
        <v>0.25700000000000001</v>
      </c>
      <c r="I47" s="708">
        <v>0.41499999999999992</v>
      </c>
      <c r="J47" s="570">
        <v>4.2149999999999999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CPS-32193r1</v>
      </c>
      <c r="L47" s="320"/>
      <c r="M47" s="168">
        <f t="shared" si="239"/>
        <v>4.2149999999999999</v>
      </c>
      <c r="N47" s="632">
        <f t="shared" si="240"/>
        <v>-1.2065420680324828</v>
      </c>
      <c r="O47" s="629">
        <f t="shared" si="241"/>
        <v>-2.7201501850354037</v>
      </c>
      <c r="P47" s="633">
        <f t="shared" si="242"/>
        <v>-4.3353463692677251E-2</v>
      </c>
      <c r="Q47" s="585">
        <f t="shared" si="113"/>
        <v>246.07997746483943</v>
      </c>
      <c r="R47" s="629">
        <f t="shared" si="385"/>
        <v>2.9757286151596958</v>
      </c>
      <c r="S47" s="634">
        <f t="shared" si="386"/>
        <v>-4.3353463692677251E-2</v>
      </c>
      <c r="T47" s="635">
        <f t="shared" si="387"/>
        <v>-2.7422067518788897</v>
      </c>
      <c r="U47" s="629">
        <f t="shared" si="388"/>
        <v>1.1555357722849044</v>
      </c>
      <c r="V47" s="636">
        <f t="shared" si="389"/>
        <v>-4.3353463692677251E-2</v>
      </c>
      <c r="W47" s="585">
        <f t="shared" si="224"/>
        <v>157.14997731035055</v>
      </c>
      <c r="X47" s="629">
        <f t="shared" si="390"/>
        <v>2.9757286151596958</v>
      </c>
      <c r="Y47" s="630">
        <f t="shared" si="223"/>
        <v>-4.3353463692677251E-2</v>
      </c>
      <c r="Z47" s="632">
        <f t="shared" si="243"/>
        <v>5.7339919923505241E-2</v>
      </c>
      <c r="AA47" s="629">
        <f t="shared" si="244"/>
        <v>0.12927346074575721</v>
      </c>
      <c r="AB47" s="629">
        <f t="shared" si="245"/>
        <v>-0.98994974919436252</v>
      </c>
      <c r="AC47" s="636">
        <f t="shared" si="391"/>
        <v>1</v>
      </c>
      <c r="AD47" s="637">
        <f t="shared" si="392"/>
        <v>5.7339919923505241E-2</v>
      </c>
      <c r="AE47" s="629">
        <f t="shared" si="393"/>
        <v>0.12927346074575721</v>
      </c>
      <c r="AF47" s="633">
        <f t="shared" si="394"/>
        <v>-0.98994974919436252</v>
      </c>
      <c r="AG47" s="602">
        <f t="shared" si="395"/>
        <v>7.4399203157700615</v>
      </c>
      <c r="AH47" s="603">
        <f t="shared" si="396"/>
        <v>86.71286163127867</v>
      </c>
      <c r="AI47" s="585">
        <f t="shared" si="397"/>
        <v>-8.1299988261837033</v>
      </c>
      <c r="AJ47" s="586">
        <f t="shared" si="398"/>
        <v>156.08006935021726</v>
      </c>
      <c r="AK47" s="635">
        <f t="shared" si="399"/>
        <v>2.2679489665444752E-7</v>
      </c>
      <c r="AL47" s="629">
        <f t="shared" si="400"/>
        <v>-0.14141956749321286</v>
      </c>
      <c r="AM47" s="634">
        <f t="shared" si="401"/>
        <v>-0.98994974919436252</v>
      </c>
      <c r="AN47" s="581">
        <f t="shared" si="402"/>
        <v>-8.129998826173404</v>
      </c>
      <c r="AO47" s="582">
        <f t="shared" si="94"/>
        <v>0</v>
      </c>
      <c r="AP47" s="585">
        <f t="shared" si="403"/>
        <v>-89.999908114622158</v>
      </c>
      <c r="AQ47" s="586">
        <f t="shared" si="246"/>
        <v>0.76606138537038326</v>
      </c>
      <c r="AS47" s="52">
        <f t="shared" si="406"/>
        <v>-202.85002268964945</v>
      </c>
      <c r="AT47" s="72">
        <f t="shared" si="247"/>
        <v>9.8257663067850914E-2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Nose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4.2149999999999999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4.1150000000000002</v>
      </c>
      <c r="II47" s="734" cm="1">
        <f t="array" ref="II47">IFERROR(IF($IH47&lt;1,$IH47+LARGE((IF($M$9:$M$150="",0,$M$9:$M$150)-MOD(IF($M$9:$M$150="",0,$M$9:$M$150),1)),1),$IH47),"")</f>
        <v>4.1150000000000002</v>
      </c>
      <c r="IJ47" s="533">
        <f t="shared" si="112"/>
        <v>1613</v>
      </c>
      <c r="IK47" s="533" t="str">
        <f t="shared" si="382"/>
        <v>CPS-32193r1</v>
      </c>
      <c r="IL47" s="727">
        <f t="shared" si="225"/>
        <v>20.179997086368871</v>
      </c>
      <c r="IM47" s="759">
        <v>3.3071930436036602E-2</v>
      </c>
      <c r="IN47" s="5">
        <f t="shared" si="226"/>
        <v>0.62</v>
      </c>
      <c r="IO47" s="771">
        <v>310</v>
      </c>
      <c r="IP47" s="9">
        <f t="shared" si="227"/>
        <v>-2.9693089554358099</v>
      </c>
      <c r="IQ47" s="5">
        <f t="shared" si="228"/>
        <v>-5.1800156229271185E-2</v>
      </c>
      <c r="IR47" s="5">
        <f t="shared" si="383"/>
        <v>0.314</v>
      </c>
      <c r="IS47" s="5">
        <f t="shared" si="229"/>
        <v>0.30055059717129345</v>
      </c>
      <c r="IT47" s="727">
        <f t="shared" si="230"/>
        <v>26.69805337693024</v>
      </c>
      <c r="IU47" s="9">
        <f t="shared" si="231"/>
        <v>-2.9757286151596958</v>
      </c>
      <c r="IV47" s="5">
        <f t="shared" si="232"/>
        <v>-4.3353463692677251E-2</v>
      </c>
      <c r="IW47" s="5">
        <f t="shared" si="384"/>
        <v>0.25700000000000001</v>
      </c>
      <c r="IX47" s="5">
        <f t="shared" si="233"/>
        <v>0.25700000000000001</v>
      </c>
      <c r="IY47" s="762">
        <f t="shared" si="234"/>
        <v>8.129998826173404</v>
      </c>
    </row>
    <row r="48" spans="1:267" ht="15" customHeight="1" x14ac:dyDescent="0.25">
      <c r="A48" s="79"/>
      <c r="B48" s="707">
        <v>-1.2873375179957041</v>
      </c>
      <c r="C48" s="708">
        <v>-3.4652433895295367</v>
      </c>
      <c r="D48" s="709">
        <v>-0.37190000000000006</v>
      </c>
      <c r="E48" s="710">
        <v>0.73654304466353737</v>
      </c>
      <c r="F48" s="708">
        <v>-0.61934056341742982</v>
      </c>
      <c r="G48" s="711">
        <v>0.27188528806014356</v>
      </c>
      <c r="H48" s="710">
        <v>0.26600000000000001</v>
      </c>
      <c r="I48" s="708">
        <v>0.52</v>
      </c>
      <c r="J48" s="570">
        <v>4.2210000000000001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4.2210000000000001</v>
      </c>
      <c r="N48" s="632">
        <f t="shared" si="240"/>
        <v>-1.2873375179957041</v>
      </c>
      <c r="O48" s="629">
        <f t="shared" si="241"/>
        <v>-3.4652433895295367</v>
      </c>
      <c r="P48" s="633">
        <f t="shared" si="242"/>
        <v>-0.37190000000000006</v>
      </c>
      <c r="Q48" s="585">
        <f t="shared" si="113"/>
        <v>249.61997429998345</v>
      </c>
      <c r="R48" s="629">
        <f t="shared" si="79"/>
        <v>3.6966403170875974</v>
      </c>
      <c r="S48" s="634">
        <f t="shared" si="80"/>
        <v>-0.37190000000000006</v>
      </c>
      <c r="T48" s="635">
        <f t="shared" si="81"/>
        <v>-3.488678801109347</v>
      </c>
      <c r="U48" s="629">
        <f t="shared" si="82"/>
        <v>1.2224033117624233</v>
      </c>
      <c r="V48" s="636">
        <f t="shared" si="114"/>
        <v>-0.37190000000000006</v>
      </c>
      <c r="W48" s="585">
        <f t="shared" si="224"/>
        <v>160.6899741454946</v>
      </c>
      <c r="X48" s="629">
        <f t="shared" si="83"/>
        <v>3.6966403170875974</v>
      </c>
      <c r="Y48" s="630">
        <f t="shared" si="223"/>
        <v>-0.37190000000000006</v>
      </c>
      <c r="Z48" s="632">
        <f t="shared" si="243"/>
        <v>-0.73654304466353737</v>
      </c>
      <c r="AA48" s="629">
        <f t="shared" si="244"/>
        <v>0.61934056341742982</v>
      </c>
      <c r="AB48" s="629">
        <f t="shared" si="245"/>
        <v>-0.27188528806014356</v>
      </c>
      <c r="AC48" s="636">
        <f t="shared" si="84"/>
        <v>1.0000000000000002</v>
      </c>
      <c r="AD48" s="637">
        <f t="shared" si="115"/>
        <v>-0.73654304466353726</v>
      </c>
      <c r="AE48" s="629">
        <f t="shared" si="85"/>
        <v>0.61934056341742971</v>
      </c>
      <c r="AF48" s="633">
        <f t="shared" si="86"/>
        <v>-0.2718852880601435</v>
      </c>
      <c r="AG48" s="602">
        <f t="shared" si="87"/>
        <v>66.298930517892259</v>
      </c>
      <c r="AH48" s="603">
        <f t="shared" si="88"/>
        <v>137.43776267493695</v>
      </c>
      <c r="AI48" s="585">
        <f t="shared" si="89"/>
        <v>-74.223516676456271</v>
      </c>
      <c r="AJ48" s="586">
        <f t="shared" si="90"/>
        <v>-130.05963710036085</v>
      </c>
      <c r="AK48" s="635">
        <f t="shared" si="211"/>
        <v>0.90612041556889222</v>
      </c>
      <c r="AL48" s="629">
        <f t="shared" si="91"/>
        <v>-0.32407434737373275</v>
      </c>
      <c r="AM48" s="634">
        <f t="shared" si="92"/>
        <v>-0.2718852880601435</v>
      </c>
      <c r="AN48" s="581">
        <f t="shared" si="93"/>
        <v>-50.004708195185337</v>
      </c>
      <c r="AO48" s="582">
        <f t="shared" si="94"/>
        <v>25.025390516330862</v>
      </c>
      <c r="AP48" s="585">
        <f t="shared" si="95"/>
        <v>-19.679611400344314</v>
      </c>
      <c r="AQ48" s="586">
        <f t="shared" si="246"/>
        <v>0.6166784986069197</v>
      </c>
      <c r="AS48" s="52">
        <f t="shared" si="406"/>
        <v>-199.3100258545054</v>
      </c>
      <c r="AT48" s="72">
        <f t="shared" si="247"/>
        <v>-0.23274720437498858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Taper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4.2210000000000001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4.1210000000000004</v>
      </c>
      <c r="II48" s="734" cm="1">
        <f t="array" ref="II48">IFERROR(IF($IH48&lt;1,$IH48+LARGE((IF($M$9:$M$150="",0,$M$9:$M$150)-MOD(IF($M$9:$M$150="",0,$M$9:$M$150),1)),1),$IH48),"")</f>
        <v>4.1210000000000004</v>
      </c>
      <c r="IJ48" s="533">
        <f t="shared" si="112"/>
        <v>1613</v>
      </c>
      <c r="IK48" s="533">
        <f t="shared" si="382"/>
        <v>1313</v>
      </c>
      <c r="IL48" s="727">
        <f t="shared" si="225"/>
        <v>15.310000443253045</v>
      </c>
      <c r="IM48" s="759">
        <v>7.1220445198598402E-3</v>
      </c>
      <c r="IN48" s="5">
        <f t="shared" si="226"/>
        <v>0.16</v>
      </c>
      <c r="IO48" s="771">
        <v>80</v>
      </c>
      <c r="IP48" s="9">
        <f t="shared" si="227"/>
        <v>-3.6677110618165627</v>
      </c>
      <c r="IQ48" s="5">
        <f t="shared" si="228"/>
        <v>-0.40860123234131673</v>
      </c>
      <c r="IR48" s="5">
        <f t="shared" si="383"/>
        <v>0.314</v>
      </c>
      <c r="IS48" s="5">
        <f t="shared" si="229"/>
        <v>0.29447976772340234</v>
      </c>
      <c r="IT48" s="727">
        <f t="shared" si="230"/>
        <v>54.005426009717404</v>
      </c>
      <c r="IU48" s="9">
        <f t="shared" si="231"/>
        <v>-3.6966403170875974</v>
      </c>
      <c r="IV48" s="5">
        <f t="shared" si="232"/>
        <v>-0.37190000000000006</v>
      </c>
      <c r="IW48" s="5">
        <f t="shared" si="384"/>
        <v>0.26600000000000001</v>
      </c>
      <c r="IX48" s="5">
        <f t="shared" si="233"/>
        <v>0.24102803054132535</v>
      </c>
      <c r="IY48" s="762">
        <f t="shared" si="234"/>
        <v>50.004708195185337</v>
      </c>
    </row>
    <row r="49" spans="1:259" ht="15" customHeight="1" x14ac:dyDescent="0.25">
      <c r="A49" s="79"/>
      <c r="B49" s="707">
        <v>-1.4332486113021841</v>
      </c>
      <c r="C49" s="708">
        <v>-3.8538840845865745</v>
      </c>
      <c r="D49" s="709">
        <v>-1.0625</v>
      </c>
      <c r="E49" s="710">
        <v>0.61812012860707777</v>
      </c>
      <c r="F49" s="708">
        <v>-0.77050092745944254</v>
      </c>
      <c r="G49" s="711">
        <v>0.15574282453746768</v>
      </c>
      <c r="H49" s="710">
        <v>0.26600000000000001</v>
      </c>
      <c r="I49" s="708">
        <v>0.52</v>
      </c>
      <c r="J49" s="570">
        <v>4.2270000000000003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4.2270000000000003</v>
      </c>
      <c r="N49" s="632">
        <f t="shared" si="240"/>
        <v>-1.4332486113021841</v>
      </c>
      <c r="O49" s="629">
        <f t="shared" si="241"/>
        <v>-3.8538840845865745</v>
      </c>
      <c r="P49" s="633">
        <f t="shared" si="242"/>
        <v>-1.0625</v>
      </c>
      <c r="Q49" s="585">
        <f t="shared" si="113"/>
        <v>249.59997429998344</v>
      </c>
      <c r="R49" s="629">
        <f t="shared" si="79"/>
        <v>4.1117665448356062</v>
      </c>
      <c r="S49" s="634">
        <f t="shared" si="80"/>
        <v>-1.0625</v>
      </c>
      <c r="T49" s="635">
        <f t="shared" si="81"/>
        <v>-3.8799764619193611</v>
      </c>
      <c r="U49" s="629">
        <f t="shared" si="82"/>
        <v>1.3610315110904132</v>
      </c>
      <c r="V49" s="636">
        <f t="shared" si="114"/>
        <v>-1.0625</v>
      </c>
      <c r="W49" s="585">
        <f t="shared" si="224"/>
        <v>160.66997414549456</v>
      </c>
      <c r="X49" s="629">
        <f t="shared" si="83"/>
        <v>4.1117665448356062</v>
      </c>
      <c r="Y49" s="630">
        <f t="shared" si="223"/>
        <v>-1.0625</v>
      </c>
      <c r="Z49" s="632">
        <f t="shared" si="243"/>
        <v>-0.61812012860707777</v>
      </c>
      <c r="AA49" s="629">
        <f t="shared" si="244"/>
        <v>0.77050092745944254</v>
      </c>
      <c r="AB49" s="629">
        <f t="shared" si="245"/>
        <v>-0.15574282453746768</v>
      </c>
      <c r="AC49" s="636">
        <f t="shared" si="84"/>
        <v>1</v>
      </c>
      <c r="AD49" s="637">
        <f t="shared" si="115"/>
        <v>-0.61812012860707777</v>
      </c>
      <c r="AE49" s="629">
        <f t="shared" si="85"/>
        <v>0.77050092745944254</v>
      </c>
      <c r="AF49" s="633">
        <f t="shared" si="86"/>
        <v>-0.15574282453746768</v>
      </c>
      <c r="AG49" s="602">
        <f t="shared" si="87"/>
        <v>78.572664404354413</v>
      </c>
      <c r="AH49" s="603">
        <f t="shared" si="88"/>
        <v>128.17898588715624</v>
      </c>
      <c r="AI49" s="585">
        <f t="shared" si="89"/>
        <v>-81.040119829317277</v>
      </c>
      <c r="AJ49" s="586">
        <f t="shared" si="90"/>
        <v>-141.26231524915369</v>
      </c>
      <c r="AK49" s="635">
        <f t="shared" si="211"/>
        <v>0.84792817692160805</v>
      </c>
      <c r="AL49" s="629">
        <f t="shared" si="91"/>
        <v>-0.50671686313708741</v>
      </c>
      <c r="AM49" s="634">
        <f t="shared" si="92"/>
        <v>-0.15574282453746768</v>
      </c>
      <c r="AN49" s="581">
        <f t="shared" si="93"/>
        <v>-72.914838381165609</v>
      </c>
      <c r="AO49" s="582">
        <f t="shared" si="94"/>
        <v>32.012963526453873</v>
      </c>
      <c r="AP49" s="585">
        <f t="shared" si="95"/>
        <v>-30.862289549137142</v>
      </c>
      <c r="AQ49" s="586">
        <f t="shared" si="246"/>
        <v>0.55442240042108681</v>
      </c>
      <c r="AS49" s="52">
        <f t="shared" si="406"/>
        <v>-199.33002585450544</v>
      </c>
      <c r="AT49" s="72">
        <f t="shared" si="247"/>
        <v>-0.92333331548609965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4.2270000000000003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4.1269999999999998</v>
      </c>
      <c r="II49" s="734" cm="1">
        <f t="array" ref="II49">IFERROR(IF($IH49&lt;1,$IH49+LARGE((IF($M$9:$M$150="",0,$M$9:$M$150)-MOD(IF($M$9:$M$150="",0,$M$9:$M$150),1)),1),$IH49),"")</f>
        <v>4.1269999999999998</v>
      </c>
      <c r="IJ49" s="533">
        <f t="shared" si="112"/>
        <v>1613</v>
      </c>
      <c r="IK49" s="533">
        <f t="shared" si="382"/>
        <v>1313</v>
      </c>
      <c r="IL49" s="727">
        <f t="shared" si="225"/>
        <v>14.51000056164645</v>
      </c>
      <c r="IM49" s="759">
        <v>3.9078854673142696E-3</v>
      </c>
      <c r="IN49" s="5">
        <f t="shared" si="226"/>
        <v>0.14000000000000001</v>
      </c>
      <c r="IO49" s="771">
        <v>70</v>
      </c>
      <c r="IP49" s="9">
        <f t="shared" si="227"/>
        <v>-4.0664122642993892</v>
      </c>
      <c r="IQ49" s="5">
        <f t="shared" si="228"/>
        <v>-1.0838032687506587</v>
      </c>
      <c r="IR49" s="5">
        <f t="shared" si="383"/>
        <v>0.314</v>
      </c>
      <c r="IS49" s="5">
        <f t="shared" si="229"/>
        <v>0.27917935566371838</v>
      </c>
      <c r="IT49" s="727">
        <f t="shared" si="230"/>
        <v>75.538164240608893</v>
      </c>
      <c r="IU49" s="9">
        <f t="shared" si="231"/>
        <v>-4.1117665448356062</v>
      </c>
      <c r="IV49" s="5">
        <f t="shared" si="232"/>
        <v>-1.0625</v>
      </c>
      <c r="IW49" s="5">
        <f t="shared" si="384"/>
        <v>0.26600000000000001</v>
      </c>
      <c r="IX49" s="5">
        <f t="shared" si="233"/>
        <v>0.22554889506114778</v>
      </c>
      <c r="IY49" s="762">
        <f t="shared" si="234"/>
        <v>72.914838381165609</v>
      </c>
    </row>
    <row r="50" spans="1:259" ht="15" customHeight="1" x14ac:dyDescent="0.25">
      <c r="A50" s="79"/>
      <c r="B50" s="707">
        <v>-0.50645327201595536</v>
      </c>
      <c r="C50" s="708">
        <v>-0.29240072873304979</v>
      </c>
      <c r="D50" s="709">
        <v>-0.34480103991993644</v>
      </c>
      <c r="E50" s="710">
        <v>0.51686578639574654</v>
      </c>
      <c r="F50" s="708">
        <v>-0.7933782431643065</v>
      </c>
      <c r="G50" s="711">
        <v>0.32155982666842131</v>
      </c>
      <c r="H50" s="710">
        <v>0.314</v>
      </c>
      <c r="I50" s="708">
        <v>0.52</v>
      </c>
      <c r="J50" s="570">
        <v>5.1020000000000003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5.1020000000000003</v>
      </c>
      <c r="N50" s="632">
        <f t="shared" si="240"/>
        <v>-0.50645327201595536</v>
      </c>
      <c r="O50" s="629">
        <f t="shared" si="241"/>
        <v>-0.29240072873304979</v>
      </c>
      <c r="P50" s="633">
        <f t="shared" si="242"/>
        <v>-0.34480103991993644</v>
      </c>
      <c r="Q50" s="585">
        <f t="shared" si="113"/>
        <v>209.99998267414614</v>
      </c>
      <c r="R50" s="629">
        <f t="shared" si="79"/>
        <v>0.58480176376211956</v>
      </c>
      <c r="S50" s="634">
        <f t="shared" si="80"/>
        <v>-0.34480103991993644</v>
      </c>
      <c r="T50" s="635">
        <f t="shared" si="81"/>
        <v>-0.30180721729232041</v>
      </c>
      <c r="U50" s="629">
        <f t="shared" si="82"/>
        <v>0.50090468802912191</v>
      </c>
      <c r="V50" s="636">
        <f t="shared" si="114"/>
        <v>-0.34480103991993644</v>
      </c>
      <c r="W50" s="585">
        <f t="shared" si="224"/>
        <v>121.06998251965727</v>
      </c>
      <c r="X50" s="629">
        <f t="shared" si="83"/>
        <v>0.58480176376211956</v>
      </c>
      <c r="Y50" s="630">
        <f t="shared" si="223"/>
        <v>-0.34480103991993644</v>
      </c>
      <c r="Z50" s="632">
        <f t="shared" si="243"/>
        <v>-0.51686578639574654</v>
      </c>
      <c r="AA50" s="629">
        <f t="shared" si="244"/>
        <v>0.7933782431643065</v>
      </c>
      <c r="AB50" s="629">
        <f t="shared" si="245"/>
        <v>-0.32155982666842131</v>
      </c>
      <c r="AC50" s="636">
        <f t="shared" si="84"/>
        <v>1</v>
      </c>
      <c r="AD50" s="637">
        <f t="shared" si="115"/>
        <v>-0.51686578639574654</v>
      </c>
      <c r="AE50" s="629">
        <f t="shared" si="85"/>
        <v>0.7933782431643065</v>
      </c>
      <c r="AF50" s="633">
        <f t="shared" si="86"/>
        <v>-0.32155982666842131</v>
      </c>
      <c r="AG50" s="602">
        <f t="shared" si="87"/>
        <v>67.937062607393131</v>
      </c>
      <c r="AH50" s="603">
        <f t="shared" si="88"/>
        <v>121.12224848455341</v>
      </c>
      <c r="AI50" s="585">
        <f t="shared" si="89"/>
        <v>-71.242717153218521</v>
      </c>
      <c r="AJ50" s="586">
        <f t="shared" si="90"/>
        <v>-146.91677753552736</v>
      </c>
      <c r="AK50" s="635">
        <f t="shared" si="211"/>
        <v>0.9455185911871683</v>
      </c>
      <c r="AL50" s="629">
        <f t="shared" si="91"/>
        <v>5.0930065701975169E-2</v>
      </c>
      <c r="AM50" s="634">
        <f t="shared" si="92"/>
        <v>-0.32155982666842131</v>
      </c>
      <c r="AN50" s="581">
        <f t="shared" si="93"/>
        <v>8.9999987005609441</v>
      </c>
      <c r="AO50" s="582">
        <f t="shared" si="94"/>
        <v>18.999997256739782</v>
      </c>
      <c r="AP50" s="585">
        <f t="shared" si="95"/>
        <v>3.0832397903265023</v>
      </c>
      <c r="AQ50" s="586">
        <f t="shared" si="246"/>
        <v>3.8922909703232835</v>
      </c>
      <c r="AS50" s="52">
        <f t="shared" si="406"/>
        <v>-238.93001748034271</v>
      </c>
      <c r="AT50" s="72">
        <f t="shared" si="247"/>
        <v>-0.17813436122142681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5.1020000000000003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-1.1415983296365124</v>
      </c>
      <c r="C51" s="708">
        <v>-0.65910164264005866</v>
      </c>
      <c r="D51" s="709">
        <v>-0.22860068945967943</v>
      </c>
      <c r="E51" s="710">
        <v>0.51739246610917367</v>
      </c>
      <c r="F51" s="708">
        <v>-0.7994688248746914</v>
      </c>
      <c r="G51" s="711">
        <v>0.30521244087839472</v>
      </c>
      <c r="H51" s="710">
        <v>0.314</v>
      </c>
      <c r="I51" s="708">
        <v>0.52</v>
      </c>
      <c r="J51" s="570">
        <v>5.1050000000000004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5.1050000000000004</v>
      </c>
      <c r="N51" s="632">
        <f t="shared" si="240"/>
        <v>-1.1415983296365124</v>
      </c>
      <c r="O51" s="629">
        <f t="shared" si="241"/>
        <v>-0.65910164264005866</v>
      </c>
      <c r="P51" s="633">
        <f t="shared" si="242"/>
        <v>-0.22860068945967943</v>
      </c>
      <c r="Q51" s="585">
        <f t="shared" si="113"/>
        <v>209.99998267414614</v>
      </c>
      <c r="R51" s="629">
        <f t="shared" si="79"/>
        <v>1.3182039757031909</v>
      </c>
      <c r="S51" s="634">
        <f t="shared" si="80"/>
        <v>-0.22860068945967943</v>
      </c>
      <c r="T51" s="635">
        <f t="shared" si="81"/>
        <v>-0.68030484581863337</v>
      </c>
      <c r="U51" s="629">
        <f t="shared" si="82"/>
        <v>1.1290912444596248</v>
      </c>
      <c r="V51" s="636">
        <f t="shared" si="114"/>
        <v>-0.22860068945967943</v>
      </c>
      <c r="W51" s="585">
        <f t="shared" si="224"/>
        <v>121.06998251965727</v>
      </c>
      <c r="X51" s="629">
        <f t="shared" si="83"/>
        <v>1.3182039757031909</v>
      </c>
      <c r="Y51" s="630">
        <f t="shared" si="223"/>
        <v>-0.22860068945967943</v>
      </c>
      <c r="Z51" s="632">
        <f t="shared" si="243"/>
        <v>-0.51739246610917367</v>
      </c>
      <c r="AA51" s="629">
        <f t="shared" si="244"/>
        <v>0.7994688248746914</v>
      </c>
      <c r="AB51" s="629">
        <f t="shared" si="245"/>
        <v>-0.30521244087839472</v>
      </c>
      <c r="AC51" s="636">
        <f t="shared" si="84"/>
        <v>1</v>
      </c>
      <c r="AD51" s="637">
        <f t="shared" si="115"/>
        <v>-0.51739246610917367</v>
      </c>
      <c r="AE51" s="629">
        <f t="shared" si="85"/>
        <v>0.7994688248746914</v>
      </c>
      <c r="AF51" s="633">
        <f t="shared" si="86"/>
        <v>-0.30521244087839472</v>
      </c>
      <c r="AG51" s="602">
        <f t="shared" si="87"/>
        <v>69.104692218835936</v>
      </c>
      <c r="AH51" s="603">
        <f t="shared" si="88"/>
        <v>121.15750524942098</v>
      </c>
      <c r="AI51" s="585">
        <f t="shared" si="89"/>
        <v>-72.229054688919192</v>
      </c>
      <c r="AJ51" s="586">
        <f t="shared" si="90"/>
        <v>-147.09025582028005</v>
      </c>
      <c r="AK51" s="635">
        <f t="shared" si="211"/>
        <v>0.95105653031184811</v>
      </c>
      <c r="AL51" s="629">
        <f t="shared" si="91"/>
        <v>4.8340894532903522E-2</v>
      </c>
      <c r="AM51" s="634">
        <f t="shared" si="92"/>
        <v>-0.30521244087839472</v>
      </c>
      <c r="AN51" s="581">
        <f t="shared" si="93"/>
        <v>8.9999987005609672</v>
      </c>
      <c r="AO51" s="582">
        <f t="shared" si="94"/>
        <v>17.999997401121902</v>
      </c>
      <c r="AP51" s="585">
        <f t="shared" si="95"/>
        <v>2.9097615055738282</v>
      </c>
      <c r="AQ51" s="586">
        <f t="shared" si="246"/>
        <v>1.7288937954473818</v>
      </c>
      <c r="AS51" s="52">
        <f t="shared" si="406"/>
        <v>-238.93001748034271</v>
      </c>
      <c r="AT51" s="72">
        <f t="shared" si="247"/>
        <v>-6.1934010761169805E-2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5.1050000000000004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-1.79680384106507</v>
      </c>
      <c r="C52" s="708">
        <v>-1.0219707143542573</v>
      </c>
      <c r="D52" s="709">
        <v>-0.11000033176100059</v>
      </c>
      <c r="E52" s="710">
        <v>0.47673844246096075</v>
      </c>
      <c r="F52" s="708">
        <v>-0.82206126099954924</v>
      </c>
      <c r="G52" s="711">
        <v>0.31134505077763519</v>
      </c>
      <c r="H52" s="710">
        <v>0.314</v>
      </c>
      <c r="I52" s="708">
        <v>0.52</v>
      </c>
      <c r="J52" s="570">
        <v>5.1079999999999997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5.1079999999999997</v>
      </c>
      <c r="N52" s="632">
        <f t="shared" si="240"/>
        <v>-1.79680384106507</v>
      </c>
      <c r="O52" s="629">
        <f t="shared" si="241"/>
        <v>-1.0219707143542573</v>
      </c>
      <c r="P52" s="633">
        <f t="shared" si="242"/>
        <v>-0.11000033176100059</v>
      </c>
      <c r="Q52" s="585">
        <f t="shared" si="113"/>
        <v>209.62998272756752</v>
      </c>
      <c r="R52" s="629">
        <f t="shared" si="79"/>
        <v>2.0671062343924032</v>
      </c>
      <c r="S52" s="634">
        <f t="shared" si="80"/>
        <v>-0.11000033176100059</v>
      </c>
      <c r="T52" s="635">
        <f t="shared" si="81"/>
        <v>-1.0553459079291689</v>
      </c>
      <c r="U52" s="629">
        <f t="shared" si="82"/>
        <v>1.7774063122654591</v>
      </c>
      <c r="V52" s="636">
        <f t="shared" si="114"/>
        <v>-0.11000033176100059</v>
      </c>
      <c r="W52" s="585">
        <f t="shared" si="224"/>
        <v>120.69998257307866</v>
      </c>
      <c r="X52" s="629">
        <f t="shared" si="83"/>
        <v>2.0671062343924032</v>
      </c>
      <c r="Y52" s="630">
        <f t="shared" si="223"/>
        <v>-0.11000033176100059</v>
      </c>
      <c r="Z52" s="632">
        <f t="shared" si="243"/>
        <v>-0.47673844246096075</v>
      </c>
      <c r="AA52" s="629">
        <f t="shared" si="244"/>
        <v>0.82206126099954924</v>
      </c>
      <c r="AB52" s="629">
        <f t="shared" si="245"/>
        <v>-0.31134505077763519</v>
      </c>
      <c r="AC52" s="636">
        <f t="shared" si="84"/>
        <v>1</v>
      </c>
      <c r="AD52" s="637">
        <f t="shared" si="115"/>
        <v>-0.47673844246096075</v>
      </c>
      <c r="AE52" s="629">
        <f t="shared" si="85"/>
        <v>0.82206126099954924</v>
      </c>
      <c r="AF52" s="633">
        <f t="shared" si="86"/>
        <v>-0.31134505077763519</v>
      </c>
      <c r="AG52" s="602">
        <f t="shared" si="87"/>
        <v>69.256466993045436</v>
      </c>
      <c r="AH52" s="603">
        <f t="shared" si="88"/>
        <v>118.47260031649537</v>
      </c>
      <c r="AI52" s="585">
        <f t="shared" si="89"/>
        <v>-71.85969180029187</v>
      </c>
      <c r="AJ52" s="586">
        <f t="shared" si="90"/>
        <v>-149.88924431555785</v>
      </c>
      <c r="AK52" s="635">
        <f t="shared" si="211"/>
        <v>0.95026347716189163</v>
      </c>
      <c r="AL52" s="629">
        <f t="shared" si="91"/>
        <v>7.9739155038672793E-3</v>
      </c>
      <c r="AM52" s="634">
        <f t="shared" si="92"/>
        <v>-0.31134505077763519</v>
      </c>
      <c r="AN52" s="581">
        <f t="shared" si="93"/>
        <v>1.4670920586220058</v>
      </c>
      <c r="AO52" s="582">
        <f t="shared" si="94"/>
        <v>18.146463808998995</v>
      </c>
      <c r="AP52" s="585">
        <f t="shared" si="95"/>
        <v>0.48077295687465194</v>
      </c>
      <c r="AQ52" s="586">
        <f t="shared" si="246"/>
        <v>1.1027227851978942</v>
      </c>
      <c r="AS52" s="52">
        <f t="shared" si="406"/>
        <v>-239.30001742692133</v>
      </c>
      <c r="AT52" s="72">
        <f t="shared" si="247"/>
        <v>5.6923291344855284E-2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5.1079999999999997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-2.494502983879149</v>
      </c>
      <c r="C53" s="708">
        <v>-1.3538399808269144</v>
      </c>
      <c r="D53" s="709">
        <v>-3.3000099528300179E-2</v>
      </c>
      <c r="E53" s="710">
        <v>0.36503599961138339</v>
      </c>
      <c r="F53" s="708">
        <v>-0.89161269278466004</v>
      </c>
      <c r="G53" s="711">
        <v>0.26790954640140346</v>
      </c>
      <c r="H53" s="710">
        <v>0.314</v>
      </c>
      <c r="I53" s="708">
        <v>0.52</v>
      </c>
      <c r="J53" s="570">
        <v>5.1139999999999999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5.1139999999999999</v>
      </c>
      <c r="N53" s="632">
        <f t="shared" si="240"/>
        <v>-2.494502983879149</v>
      </c>
      <c r="O53" s="629">
        <f t="shared" si="241"/>
        <v>-1.3538399808269144</v>
      </c>
      <c r="P53" s="633">
        <f t="shared" si="242"/>
        <v>-3.3000099528300179E-2</v>
      </c>
      <c r="Q53" s="585">
        <f t="shared" si="113"/>
        <v>208.48998289216314</v>
      </c>
      <c r="R53" s="629">
        <f t="shared" ref="R53:R58" si="410">IF(M53="","",SQRT(N53^2+O53^2))</f>
        <v>2.838208560037017</v>
      </c>
      <c r="S53" s="634">
        <f t="shared" ref="S53:S58" si="411">IF(M53="","",P53)</f>
        <v>-3.3000099528300179E-2</v>
      </c>
      <c r="T53" s="635">
        <f t="shared" ref="T53:T58" si="412">IF(M53="","",X53*COS(RADIANS(W53)))</f>
        <v>-1.40018609363352</v>
      </c>
      <c r="U53" s="629">
        <f t="shared" ref="U53:U58" si="413">IF(M53="","",X53*SIN(RADIANS(W53)))</f>
        <v>2.4687864900518841</v>
      </c>
      <c r="V53" s="636">
        <f t="shared" ref="V53:V58" si="414">IF(M53="","",Y53)</f>
        <v>-3.3000099528300179E-2</v>
      </c>
      <c r="W53" s="585">
        <f t="shared" si="224"/>
        <v>119.55998273767428</v>
      </c>
      <c r="X53" s="629">
        <f t="shared" ref="X53:X58" si="415">IF(M53="","",R53)</f>
        <v>2.838208560037017</v>
      </c>
      <c r="Y53" s="630">
        <f t="shared" si="223"/>
        <v>-3.3000099528300179E-2</v>
      </c>
      <c r="Z53" s="632">
        <f t="shared" si="243"/>
        <v>-0.36503599961138339</v>
      </c>
      <c r="AA53" s="629">
        <f t="shared" si="244"/>
        <v>0.89161269278466004</v>
      </c>
      <c r="AB53" s="629">
        <f t="shared" si="245"/>
        <v>-0.26790954640140346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-0.36503599961138339</v>
      </c>
      <c r="AE53" s="629">
        <f t="shared" ref="AE53:AE58" si="418">IF(M53="","",AA53*(1/SQRT(Z53^2+AA53^2+AB53^2)))</f>
        <v>0.89161269278466004</v>
      </c>
      <c r="AF53" s="633">
        <f t="shared" ref="AF53:AF58" si="419">IF(M53="","",AB53*(1/SQRT(Z53^2+AA53^2+AB53^2)))</f>
        <v>-0.26790954640140346</v>
      </c>
      <c r="AG53" s="602">
        <f t="shared" ref="AG53:AG58" si="420">IF(M53="","",DEGREES(ATAN2(-AF53,AE53)))</f>
        <v>73.275659692016561</v>
      </c>
      <c r="AH53" s="603">
        <f t="shared" ref="AH53:AH58" si="421">IF(M53="","",DEGREES(ACOS(AD53)))</f>
        <v>111.40979819770531</v>
      </c>
      <c r="AI53" s="585">
        <f t="shared" ref="AI53:AI58" si="422">IF(M53="","",DEGREES(-ACOS(-AF53)))</f>
        <v>-74.460089529653587</v>
      </c>
      <c r="AJ53" s="586">
        <f t="shared" ref="AJ53:AJ58" si="423">IF(M53="","",DEGREES(ATAN2(-AE53,AD53)))</f>
        <v>-157.73526995322879</v>
      </c>
      <c r="AK53" s="635">
        <f t="shared" ref="AK53:AK58" si="424">IF(M53="","",(COS(RADIANS((90-$Q$8)-W53))*AD53)+(-SIN(RADIANS((90-$Q$8)-W53))*AE53))</f>
        <v>0.95776289720421837</v>
      </c>
      <c r="AL53" s="629">
        <f t="shared" ref="AL53:AL58" si="425">IF(M53="","",(SIN(RADIANS((90-$Q$8)-W53))*AD53)+(COS(RADIANS((90-$Q$8)-W53))*AE53))</f>
        <v>-0.1044734783855511</v>
      </c>
      <c r="AM53" s="634">
        <f t="shared" ref="AM53:AM58" si="426">IF(M53="","",AF53)</f>
        <v>-0.26790954640140346</v>
      </c>
      <c r="AN53" s="581">
        <f t="shared" ref="AN53:AN58" si="427">IF(M53="","",DEGREES(ATAN2(-AM53,AL53)))</f>
        <v>-21.303696251204759</v>
      </c>
      <c r="AO53" s="582">
        <f t="shared" si="94"/>
        <v>16.711878854738092</v>
      </c>
      <c r="AP53" s="585">
        <f t="shared" ref="AP53:AP58" si="428">IF(M53="","",DEGREES(ATAN2(AK53,AL53)))</f>
        <v>-6.2252528453919425</v>
      </c>
      <c r="AQ53" s="586">
        <f t="shared" si="246"/>
        <v>0.80317469822276322</v>
      </c>
      <c r="AS53" s="52">
        <f t="shared" si="406"/>
        <v>-240.44001726232574</v>
      </c>
      <c r="AT53" s="72">
        <f t="shared" si="247"/>
        <v>0.13471519012991987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5.1139999999999999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-3.1746368803821929</v>
      </c>
      <c r="C54" s="708">
        <v>-1.6266406611336695</v>
      </c>
      <c r="D54" s="709">
        <v>-0.32250097266293359</v>
      </c>
      <c r="E54" s="710">
        <v>0.20466469002900967</v>
      </c>
      <c r="F54" s="708">
        <v>-0.95573254394476814</v>
      </c>
      <c r="G54" s="711">
        <v>0.21139458152987617</v>
      </c>
      <c r="H54" s="710">
        <v>0.314</v>
      </c>
      <c r="I54" s="708">
        <v>0.52</v>
      </c>
      <c r="J54" s="570">
        <v>5.12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5.12</v>
      </c>
      <c r="N54" s="632">
        <f t="shared" si="240"/>
        <v>-3.1746368803821929</v>
      </c>
      <c r="O54" s="629">
        <f t="shared" si="241"/>
        <v>-1.6266406611336695</v>
      </c>
      <c r="P54" s="633">
        <f t="shared" si="242"/>
        <v>-0.32250097266293359</v>
      </c>
      <c r="Q54" s="585">
        <f t="shared" si="113"/>
        <v>207.12998308852281</v>
      </c>
      <c r="R54" s="629">
        <f t="shared" si="410"/>
        <v>3.5671107584060469</v>
      </c>
      <c r="S54" s="634">
        <f t="shared" si="411"/>
        <v>-0.32250097266293359</v>
      </c>
      <c r="T54" s="635">
        <f t="shared" si="412"/>
        <v>-1.6856399808812537</v>
      </c>
      <c r="U54" s="629">
        <f t="shared" si="413"/>
        <v>3.1437075273617312</v>
      </c>
      <c r="V54" s="636">
        <f t="shared" si="414"/>
        <v>-0.32250097266293359</v>
      </c>
      <c r="W54" s="585">
        <f t="shared" si="224"/>
        <v>118.19998293403394</v>
      </c>
      <c r="X54" s="629">
        <f t="shared" si="415"/>
        <v>3.5671107584060469</v>
      </c>
      <c r="Y54" s="630">
        <f t="shared" si="223"/>
        <v>-0.32250097266293359</v>
      </c>
      <c r="Z54" s="632">
        <f t="shared" si="243"/>
        <v>-0.20466469002900967</v>
      </c>
      <c r="AA54" s="629">
        <f t="shared" si="244"/>
        <v>0.95573254394476814</v>
      </c>
      <c r="AB54" s="629">
        <f t="shared" si="245"/>
        <v>-0.21139458152987617</v>
      </c>
      <c r="AC54" s="636">
        <f t="shared" si="416"/>
        <v>1</v>
      </c>
      <c r="AD54" s="637">
        <f t="shared" si="417"/>
        <v>-0.20466469002900967</v>
      </c>
      <c r="AE54" s="629">
        <f t="shared" si="418"/>
        <v>0.95573254394476814</v>
      </c>
      <c r="AF54" s="633">
        <f t="shared" si="419"/>
        <v>-0.21139458152987617</v>
      </c>
      <c r="AG54" s="602">
        <f t="shared" si="420"/>
        <v>77.527786310349981</v>
      </c>
      <c r="AH54" s="603">
        <f t="shared" si="421"/>
        <v>101.80987103098357</v>
      </c>
      <c r="AI54" s="585">
        <f t="shared" si="422"/>
        <v>-77.795909191645691</v>
      </c>
      <c r="AJ54" s="586">
        <f t="shared" si="423"/>
        <v>-167.91298910299545</v>
      </c>
      <c r="AK54" s="635">
        <f t="shared" si="424"/>
        <v>0.94390668429723923</v>
      </c>
      <c r="AL54" s="629">
        <f t="shared" si="425"/>
        <v>-0.25367794984744108</v>
      </c>
      <c r="AM54" s="634">
        <f t="shared" si="426"/>
        <v>-0.21139458152987617</v>
      </c>
      <c r="AN54" s="581">
        <f t="shared" si="427"/>
        <v>-50.194923435571553</v>
      </c>
      <c r="AO54" s="582">
        <f t="shared" si="94"/>
        <v>19.281662499276798</v>
      </c>
      <c r="AP54" s="585">
        <f t="shared" si="428"/>
        <v>-15.04297219151824</v>
      </c>
      <c r="AQ54" s="586">
        <f t="shared" si="246"/>
        <v>0.63906961297780818</v>
      </c>
      <c r="AS54" s="52">
        <f t="shared" si="406"/>
        <v>-241.80001706596607</v>
      </c>
      <c r="AT54" s="72">
        <f t="shared" si="247"/>
        <v>-0.15384123869662997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5.12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-3.6140297974916025</v>
      </c>
      <c r="C55" s="708">
        <v>-1.7775383868955286</v>
      </c>
      <c r="D55" s="709">
        <v>-0.95730288722550794</v>
      </c>
      <c r="E55" s="710">
        <v>1.8468966883841465E-2</v>
      </c>
      <c r="F55" s="708">
        <v>-0.99031054419263975</v>
      </c>
      <c r="G55" s="711">
        <v>0.1376369257253349</v>
      </c>
      <c r="H55" s="710">
        <v>0.314</v>
      </c>
      <c r="I55" s="708">
        <v>0.52</v>
      </c>
      <c r="J55" s="570">
        <v>5.1260000000000003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5.1260000000000003</v>
      </c>
      <c r="N55" s="632">
        <f t="shared" si="240"/>
        <v>-3.6140297974916025</v>
      </c>
      <c r="O55" s="629">
        <f t="shared" si="241"/>
        <v>-1.7775383868955286</v>
      </c>
      <c r="P55" s="633">
        <f t="shared" si="242"/>
        <v>-0.95730288722550794</v>
      </c>
      <c r="Q55" s="585">
        <f t="shared" si="113"/>
        <v>206.18998322424198</v>
      </c>
      <c r="R55" s="629">
        <f t="shared" si="410"/>
        <v>4.027512146976636</v>
      </c>
      <c r="S55" s="634">
        <f t="shared" si="411"/>
        <v>-0.95730288722550794</v>
      </c>
      <c r="T55" s="635">
        <f t="shared" si="412"/>
        <v>-1.8447165888269297</v>
      </c>
      <c r="U55" s="629">
        <f t="shared" si="413"/>
        <v>3.5802059718612682</v>
      </c>
      <c r="V55" s="636">
        <f t="shared" si="414"/>
        <v>-0.95730288722550794</v>
      </c>
      <c r="W55" s="585">
        <f t="shared" si="224"/>
        <v>117.25998306975312</v>
      </c>
      <c r="X55" s="629">
        <f t="shared" si="415"/>
        <v>4.027512146976636</v>
      </c>
      <c r="Y55" s="630">
        <f t="shared" si="223"/>
        <v>-0.95730288722550794</v>
      </c>
      <c r="Z55" s="632">
        <f t="shared" si="243"/>
        <v>-1.8468966883841465E-2</v>
      </c>
      <c r="AA55" s="629">
        <f t="shared" si="244"/>
        <v>0.99031054419263975</v>
      </c>
      <c r="AB55" s="629">
        <f t="shared" si="245"/>
        <v>-0.1376369257253349</v>
      </c>
      <c r="AC55" s="636">
        <f t="shared" si="416"/>
        <v>1</v>
      </c>
      <c r="AD55" s="637">
        <f t="shared" si="417"/>
        <v>-1.8468966883841465E-2</v>
      </c>
      <c r="AE55" s="629">
        <f t="shared" si="418"/>
        <v>0.99031054419263975</v>
      </c>
      <c r="AF55" s="633">
        <f t="shared" si="419"/>
        <v>-0.1376369257253349</v>
      </c>
      <c r="AG55" s="602">
        <f t="shared" si="420"/>
        <v>82.087513449811141</v>
      </c>
      <c r="AH55" s="603">
        <f t="shared" si="421"/>
        <v>91.058254022450498</v>
      </c>
      <c r="AI55" s="585">
        <f t="shared" si="422"/>
        <v>-82.088871693596005</v>
      </c>
      <c r="AJ55" s="586">
        <f t="shared" si="423"/>
        <v>-178.93157635991145</v>
      </c>
      <c r="AK55" s="635">
        <f t="shared" si="424"/>
        <v>0.89679210919226759</v>
      </c>
      <c r="AL55" s="629">
        <f t="shared" si="425"/>
        <v>-0.42049969032968709</v>
      </c>
      <c r="AM55" s="634">
        <f t="shared" si="426"/>
        <v>-0.1376369257253349</v>
      </c>
      <c r="AN55" s="581">
        <f t="shared" si="427"/>
        <v>-71.87582041742597</v>
      </c>
      <c r="AO55" s="582">
        <f>IF(ROUND(IF(M55="",0,DEGREES(ACOS(AK55))),4)=90,0,IF(M55="","",DEGREES(ACOS(AK55))))</f>
        <v>26.260443493798942</v>
      </c>
      <c r="AP55" s="585">
        <f t="shared" si="428"/>
        <v>-25.121559584153449</v>
      </c>
      <c r="AQ55" s="586">
        <f t="shared" si="246"/>
        <v>0.56602001100261645</v>
      </c>
      <c r="AS55" s="52">
        <f t="shared" si="406"/>
        <v>-242.7400169302469</v>
      </c>
      <c r="AT55" s="72">
        <f t="shared" si="247"/>
        <v>-0.78799037557567597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5.1260000000000003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-3.7712046854564192</v>
      </c>
      <c r="C56" s="708">
        <v>-1.8271320134411593</v>
      </c>
      <c r="D56" s="709">
        <v>-1.6903050979601757</v>
      </c>
      <c r="E56" s="710">
        <v>-0.15901988916828855</v>
      </c>
      <c r="F56" s="708">
        <v>-0.98727537944024935</v>
      </c>
      <c r="G56" s="711">
        <v>1.3008419213987912E-7</v>
      </c>
      <c r="H56" s="710">
        <v>0.26600000000000001</v>
      </c>
      <c r="I56" s="708">
        <v>0.52</v>
      </c>
      <c r="J56" s="570">
        <v>5.1319999999999997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5.1319999999999997</v>
      </c>
      <c r="N56" s="632">
        <f t="shared" si="240"/>
        <v>-3.7712046854564192</v>
      </c>
      <c r="O56" s="629">
        <f t="shared" si="241"/>
        <v>-1.8271320134411593</v>
      </c>
      <c r="P56" s="633">
        <f t="shared" si="242"/>
        <v>-1.6903050979601757</v>
      </c>
      <c r="Q56" s="585">
        <f t="shared" si="113"/>
        <v>205.8499832733319</v>
      </c>
      <c r="R56" s="629">
        <f t="shared" si="410"/>
        <v>4.1905126385861182</v>
      </c>
      <c r="S56" s="634">
        <f t="shared" si="411"/>
        <v>-1.6903050979601757</v>
      </c>
      <c r="T56" s="635">
        <f t="shared" si="412"/>
        <v>-1.897236641189159</v>
      </c>
      <c r="U56" s="629">
        <f t="shared" si="413"/>
        <v>3.736427344600624</v>
      </c>
      <c r="V56" s="636">
        <f t="shared" si="414"/>
        <v>-1.6903050979601757</v>
      </c>
      <c r="W56" s="585">
        <f t="shared" si="224"/>
        <v>116.91998311884304</v>
      </c>
      <c r="X56" s="629">
        <f t="shared" si="415"/>
        <v>4.1905126385861182</v>
      </c>
      <c r="Y56" s="630">
        <f t="shared" si="223"/>
        <v>-1.6903050979601757</v>
      </c>
      <c r="Z56" s="632">
        <f t="shared" si="243"/>
        <v>0.15901988916828855</v>
      </c>
      <c r="AA56" s="629">
        <f t="shared" si="244"/>
        <v>0.98727537944024935</v>
      </c>
      <c r="AB56" s="629">
        <f t="shared" si="245"/>
        <v>-1.3008419213987912E-7</v>
      </c>
      <c r="AC56" s="636">
        <f t="shared" si="416"/>
        <v>1</v>
      </c>
      <c r="AD56" s="637">
        <f t="shared" si="417"/>
        <v>0.15901988916828855</v>
      </c>
      <c r="AE56" s="629">
        <f t="shared" si="418"/>
        <v>0.98727537944024935</v>
      </c>
      <c r="AF56" s="633">
        <f t="shared" si="419"/>
        <v>-1.3008419213987912E-7</v>
      </c>
      <c r="AG56" s="602">
        <f t="shared" si="420"/>
        <v>89.999992450662347</v>
      </c>
      <c r="AH56" s="603">
        <f t="shared" si="421"/>
        <v>80.849988326706736</v>
      </c>
      <c r="AI56" s="585">
        <f t="shared" si="422"/>
        <v>-89.999992546724812</v>
      </c>
      <c r="AJ56" s="586">
        <f t="shared" si="423"/>
        <v>170.84998832670664</v>
      </c>
      <c r="AK56" s="635">
        <f t="shared" si="424"/>
        <v>0.81915209487729201</v>
      </c>
      <c r="AL56" s="629">
        <f t="shared" si="425"/>
        <v>-0.57357636410344437</v>
      </c>
      <c r="AM56" s="634">
        <f t="shared" si="426"/>
        <v>-1.3008419213987912E-7</v>
      </c>
      <c r="AN56" s="581">
        <f t="shared" si="427"/>
        <v>-89.999987005609626</v>
      </c>
      <c r="AO56" s="582">
        <f t="shared" ref="AO56:AO119" si="461">IF(ROUND(IF(M56="",0,DEGREES(ACOS(AK56))),4)=90,0,IF(M56="","",DEGREES(ACOS(AK56))))</f>
        <v>34.999994946625954</v>
      </c>
      <c r="AP56" s="585">
        <f t="shared" si="428"/>
        <v>-34.999994946625257</v>
      </c>
      <c r="AQ56" s="586">
        <f t="shared" si="246"/>
        <v>0.54400459401772039</v>
      </c>
      <c r="AS56" s="52">
        <f t="shared" si="406"/>
        <v>-243.08001688115695</v>
      </c>
      <c r="AT56" s="72">
        <f t="shared" si="247"/>
        <v>-1.5207564752333229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5.1319999999999997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-1.2837595732260143</v>
      </c>
      <c r="C57" s="708">
        <v>0.24489050132414986</v>
      </c>
      <c r="D57" s="709">
        <v>-0.20551775718637227</v>
      </c>
      <c r="E57" s="710">
        <v>0.15366351023265451</v>
      </c>
      <c r="F57" s="708">
        <v>-2.9313144954184807E-2</v>
      </c>
      <c r="G57" s="711">
        <v>0.98768834414296602</v>
      </c>
      <c r="H57" s="710">
        <v>0.19500000000000001</v>
      </c>
      <c r="I57" s="708">
        <v>0.21199999999999999</v>
      </c>
      <c r="J57" s="570">
        <v>5.2050000000000001</v>
      </c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Inactive</v>
      </c>
      <c r="L57" s="320"/>
      <c r="M57" s="168">
        <f t="shared" si="239"/>
        <v>5.2050000000000001</v>
      </c>
      <c r="N57" s="632">
        <f t="shared" si="240"/>
        <v>-1.2837595732260143</v>
      </c>
      <c r="O57" s="629">
        <f t="shared" si="241"/>
        <v>0.24489050132414986</v>
      </c>
      <c r="P57" s="633">
        <f t="shared" si="242"/>
        <v>-0.20551775718637227</v>
      </c>
      <c r="Q57" s="585">
        <f t="shared" si="113"/>
        <v>169.19998856493643</v>
      </c>
      <c r="R57" s="629">
        <f t="shared" si="410"/>
        <v>1.3069085658485187</v>
      </c>
      <c r="S57" s="634">
        <f t="shared" si="411"/>
        <v>-0.20551775718637227</v>
      </c>
      <c r="T57" s="635">
        <f t="shared" si="412"/>
        <v>0.22087495641583249</v>
      </c>
      <c r="U57" s="629">
        <f t="shared" si="413"/>
        <v>1.2881087893173215</v>
      </c>
      <c r="V57" s="636">
        <f t="shared" si="414"/>
        <v>-0.20551775718637227</v>
      </c>
      <c r="W57" s="585">
        <f t="shared" si="224"/>
        <v>80.269988410447567</v>
      </c>
      <c r="X57" s="629">
        <f t="shared" si="415"/>
        <v>1.3069085658485187</v>
      </c>
      <c r="Y57" s="630">
        <f t="shared" si="223"/>
        <v>-0.20551775718637227</v>
      </c>
      <c r="Z57" s="632">
        <f t="shared" si="243"/>
        <v>-0.15366351023265451</v>
      </c>
      <c r="AA57" s="629">
        <f t="shared" si="244"/>
        <v>2.9313144954184807E-2</v>
      </c>
      <c r="AB57" s="629">
        <f t="shared" si="245"/>
        <v>-0.98768834414296602</v>
      </c>
      <c r="AC57" s="636">
        <f t="shared" si="416"/>
        <v>1</v>
      </c>
      <c r="AD57" s="637">
        <f t="shared" si="417"/>
        <v>-0.15366351023265451</v>
      </c>
      <c r="AE57" s="629">
        <f t="shared" si="418"/>
        <v>2.9313144954184807E-2</v>
      </c>
      <c r="AF57" s="633">
        <f t="shared" si="419"/>
        <v>-0.98768834414296602</v>
      </c>
      <c r="AG57" s="602">
        <f t="shared" si="420"/>
        <v>1.6999559070433616</v>
      </c>
      <c r="AH57" s="603">
        <f t="shared" si="421"/>
        <v>98.839292457188265</v>
      </c>
      <c r="AI57" s="585">
        <f t="shared" si="422"/>
        <v>-8.9999987005702131</v>
      </c>
      <c r="AJ57" s="586">
        <f t="shared" si="423"/>
        <v>-100.80009450110819</v>
      </c>
      <c r="AK57" s="635">
        <f t="shared" si="424"/>
        <v>2.2679489665097807E-7</v>
      </c>
      <c r="AL57" s="629">
        <f t="shared" si="425"/>
        <v>0.15643444263995937</v>
      </c>
      <c r="AM57" s="634">
        <f t="shared" si="426"/>
        <v>-0.98768834414296602</v>
      </c>
      <c r="AN57" s="581">
        <f t="shared" si="427"/>
        <v>8.9999987005609654</v>
      </c>
      <c r="AO57" s="582">
        <f t="shared" si="461"/>
        <v>0</v>
      </c>
      <c r="AP57" s="585">
        <f t="shared" si="428"/>
        <v>89.999916933955376</v>
      </c>
      <c r="AQ57" s="586">
        <f t="shared" si="246"/>
        <v>1.7438271722359953</v>
      </c>
      <c r="AS57" s="52">
        <f t="shared" si="406"/>
        <v>-279.73001158955242</v>
      </c>
      <c r="AT57" s="72">
        <f t="shared" si="247"/>
        <v>-1.0517749245355923E-2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Nose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5.2050000000000001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5.1050000000000004</v>
      </c>
      <c r="II57" s="734" cm="1">
        <f t="array" ref="II57">IFERROR(IF($IH57&lt;1,$IH57+LARGE((IF($M$9:$M$150="",0,$M$9:$M$150)-MOD(IF($M$9:$M$150="",0,$M$9:$M$150),1)),1),$IH57),"")</f>
        <v>5.1050000000000004</v>
      </c>
      <c r="IJ57" s="533">
        <f t="shared" si="112"/>
        <v>1613</v>
      </c>
      <c r="IK57" s="533" t="str">
        <f t="shared" si="382"/>
        <v>Inactive</v>
      </c>
      <c r="IL57" s="727">
        <f t="shared" si="225"/>
        <v>40.799994109209706</v>
      </c>
      <c r="IM57" s="759">
        <v>7.8560415993823199E-2</v>
      </c>
      <c r="IN57" s="5">
        <f t="shared" si="226"/>
        <v>0.7</v>
      </c>
      <c r="IO57" s="771">
        <v>350</v>
      </c>
      <c r="IP57" s="9">
        <f t="shared" si="227"/>
        <v>-1.3182039757031909</v>
      </c>
      <c r="IQ57" s="5">
        <f t="shared" si="228"/>
        <v>-0.22860068945967943</v>
      </c>
      <c r="IR57" s="5">
        <f t="shared" si="383"/>
        <v>0.314</v>
      </c>
      <c r="IS57" s="5">
        <f t="shared" si="229"/>
        <v>0.29863175051792029</v>
      </c>
      <c r="IT57" s="727">
        <f t="shared" si="230"/>
        <v>-8.9999987005609672</v>
      </c>
      <c r="IU57" s="9">
        <f t="shared" si="231"/>
        <v>-1.3069085658485187</v>
      </c>
      <c r="IV57" s="5">
        <f t="shared" si="232"/>
        <v>-0.20551775718637227</v>
      </c>
      <c r="IW57" s="5">
        <f t="shared" si="384"/>
        <v>0.19500000000000001</v>
      </c>
      <c r="IX57" s="5">
        <f t="shared" si="233"/>
        <v>0.19500000000000001</v>
      </c>
      <c r="IY57" s="762">
        <f t="shared" si="234"/>
        <v>-8.9999987005609654</v>
      </c>
    </row>
    <row r="58" spans="1:259" ht="15" customHeight="1" x14ac:dyDescent="0.25">
      <c r="A58" s="79"/>
      <c r="B58" s="707">
        <v>-2.0507779464275511</v>
      </c>
      <c r="C58" s="708">
        <v>-0.14376355843154609</v>
      </c>
      <c r="D58" s="709">
        <v>-7.8273206750141516E-2</v>
      </c>
      <c r="E58" s="710">
        <v>0.15605148771638241</v>
      </c>
      <c r="F58" s="708">
        <v>1.0939288168336461E-2</v>
      </c>
      <c r="G58" s="711">
        <v>0.98768834414296591</v>
      </c>
      <c r="H58" s="710">
        <v>0.19500000000000001</v>
      </c>
      <c r="I58" s="708">
        <v>0.21199999999999999</v>
      </c>
      <c r="J58" s="570">
        <v>5.2080000000000002</v>
      </c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Inactive</v>
      </c>
      <c r="L58" s="320"/>
      <c r="M58" s="168">
        <f t="shared" si="239"/>
        <v>5.2080000000000002</v>
      </c>
      <c r="N58" s="632">
        <f t="shared" si="240"/>
        <v>-2.0507779464275511</v>
      </c>
      <c r="O58" s="629">
        <f t="shared" si="241"/>
        <v>-0.14376355843154609</v>
      </c>
      <c r="P58" s="633">
        <f t="shared" si="242"/>
        <v>-7.8273206750141516E-2</v>
      </c>
      <c r="Q58" s="585">
        <f t="shared" si="113"/>
        <v>184.00998642663731</v>
      </c>
      <c r="R58" s="629">
        <f t="shared" si="410"/>
        <v>2.0558108245377307</v>
      </c>
      <c r="S58" s="634">
        <f t="shared" si="411"/>
        <v>-7.8273206750141516E-2</v>
      </c>
      <c r="T58" s="635">
        <f t="shared" si="412"/>
        <v>-0.18203458361935099</v>
      </c>
      <c r="U58" s="629">
        <f t="shared" si="413"/>
        <v>2.0477357145523034</v>
      </c>
      <c r="V58" s="636">
        <f t="shared" si="414"/>
        <v>-7.8273206750141516E-2</v>
      </c>
      <c r="W58" s="585">
        <f t="shared" si="224"/>
        <v>95.079986272148446</v>
      </c>
      <c r="X58" s="629">
        <f t="shared" si="415"/>
        <v>2.0558108245377307</v>
      </c>
      <c r="Y58" s="630">
        <f t="shared" si="223"/>
        <v>-7.8273206750141516E-2</v>
      </c>
      <c r="Z58" s="632">
        <f t="shared" si="243"/>
        <v>-0.15605148771638241</v>
      </c>
      <c r="AA58" s="629">
        <f t="shared" si="244"/>
        <v>-1.0939288168336461E-2</v>
      </c>
      <c r="AB58" s="629">
        <f t="shared" si="245"/>
        <v>-0.98768834414296591</v>
      </c>
      <c r="AC58" s="636">
        <f t="shared" si="416"/>
        <v>1</v>
      </c>
      <c r="AD58" s="637">
        <f t="shared" si="417"/>
        <v>-0.15605148771638241</v>
      </c>
      <c r="AE58" s="629">
        <f t="shared" si="418"/>
        <v>-1.0939288168336461E-2</v>
      </c>
      <c r="AF58" s="633">
        <f t="shared" si="419"/>
        <v>-0.98768834414296591</v>
      </c>
      <c r="AG58" s="602">
        <f t="shared" si="420"/>
        <v>-0.6345619240118584</v>
      </c>
      <c r="AH58" s="603">
        <f t="shared" si="421"/>
        <v>98.977784175235726</v>
      </c>
      <c r="AI58" s="585">
        <f t="shared" si="422"/>
        <v>-8.9999987005702629</v>
      </c>
      <c r="AJ58" s="586">
        <f t="shared" si="423"/>
        <v>-85.990096639407312</v>
      </c>
      <c r="AK58" s="635">
        <f t="shared" si="424"/>
        <v>2.2679489667352948E-7</v>
      </c>
      <c r="AL58" s="629">
        <f t="shared" si="425"/>
        <v>0.15643444263995931</v>
      </c>
      <c r="AM58" s="634">
        <f t="shared" si="426"/>
        <v>-0.98768834414296591</v>
      </c>
      <c r="AN58" s="581">
        <f t="shared" si="427"/>
        <v>8.9999987005609619</v>
      </c>
      <c r="AO58" s="582">
        <f t="shared" si="461"/>
        <v>0</v>
      </c>
      <c r="AP58" s="585">
        <f t="shared" si="428"/>
        <v>89.999916933955362</v>
      </c>
      <c r="AQ58" s="586">
        <f t="shared" si="246"/>
        <v>1.1087800569380175</v>
      </c>
      <c r="AS58" s="52">
        <f t="shared" si="406"/>
        <v>-264.92001372785154</v>
      </c>
      <c r="AT58" s="72">
        <f t="shared" si="247"/>
        <v>0.10644208045358255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Nose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5.2080000000000002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5.1079999999999997</v>
      </c>
      <c r="II58" s="734" cm="1">
        <f t="array" ref="II58">IFERROR(IF($IH58&lt;1,$IH58+LARGE((IF($M$9:$M$150="",0,$M$9:$M$150)-MOD(IF($M$9:$M$150="",0,$M$9:$M$150),1)),1),$IH58),"")</f>
        <v>5.1079999999999997</v>
      </c>
      <c r="IJ58" s="533">
        <f t="shared" si="112"/>
        <v>1613</v>
      </c>
      <c r="IK58" s="533" t="str">
        <f t="shared" si="382"/>
        <v>Inactive</v>
      </c>
      <c r="IL58" s="727">
        <f t="shared" si="225"/>
        <v>25.619996300930211</v>
      </c>
      <c r="IM58" s="759">
        <v>7.0522510563854099E-2</v>
      </c>
      <c r="IN58" s="5">
        <f t="shared" si="226"/>
        <v>0.98</v>
      </c>
      <c r="IO58" s="771">
        <v>490</v>
      </c>
      <c r="IP58" s="9">
        <f t="shared" si="227"/>
        <v>-2.0671062343924032</v>
      </c>
      <c r="IQ58" s="5">
        <f t="shared" si="228"/>
        <v>-0.11000033176100059</v>
      </c>
      <c r="IR58" s="5">
        <f t="shared" si="383"/>
        <v>0.314</v>
      </c>
      <c r="IS58" s="5">
        <f t="shared" si="229"/>
        <v>0.29838273182883396</v>
      </c>
      <c r="IT58" s="727">
        <f t="shared" si="230"/>
        <v>-1.4670920586220058</v>
      </c>
      <c r="IU58" s="9">
        <f t="shared" si="231"/>
        <v>-2.0558108245377307</v>
      </c>
      <c r="IV58" s="5">
        <f t="shared" si="232"/>
        <v>-7.8273206750141516E-2</v>
      </c>
      <c r="IW58" s="5">
        <f t="shared" si="384"/>
        <v>0.19500000000000001</v>
      </c>
      <c r="IX58" s="5">
        <f t="shared" si="233"/>
        <v>0.19500000000000001</v>
      </c>
      <c r="IY58" s="762">
        <f t="shared" si="234"/>
        <v>-8.9999987005609619</v>
      </c>
    </row>
    <row r="59" spans="1:259" ht="15" customHeight="1" x14ac:dyDescent="0.25">
      <c r="A59" s="79"/>
      <c r="B59" s="707">
        <v>-2.8173076671012081</v>
      </c>
      <c r="C59" s="708">
        <v>-0.36940428375711237</v>
      </c>
      <c r="D59" s="709">
        <v>-2.4689435716384413E-2</v>
      </c>
      <c r="E59" s="710">
        <v>-7.0200160682933943E-2</v>
      </c>
      <c r="F59" s="708">
        <v>-9.2048464566620788E-3</v>
      </c>
      <c r="G59" s="711">
        <v>0.99749045521338187</v>
      </c>
      <c r="H59" s="710">
        <v>0.25700000000000001</v>
      </c>
      <c r="I59" s="708">
        <v>0.41499999999999992</v>
      </c>
      <c r="J59" s="570">
        <v>5.2140000000000004</v>
      </c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CPS-32193r1</v>
      </c>
      <c r="L59" s="320"/>
      <c r="M59" s="168">
        <f t="shared" si="239"/>
        <v>5.2140000000000004</v>
      </c>
      <c r="N59" s="632">
        <f t="shared" si="240"/>
        <v>-2.8173076671012081</v>
      </c>
      <c r="O59" s="629">
        <f t="shared" si="241"/>
        <v>-0.36940428375711237</v>
      </c>
      <c r="P59" s="633">
        <f t="shared" si="242"/>
        <v>-2.4689435716384413E-2</v>
      </c>
      <c r="Q59" s="585">
        <f t="shared" si="113"/>
        <v>187.46998592707519</v>
      </c>
      <c r="R59" s="629">
        <f t="shared" si="79"/>
        <v>2.8414225338666821</v>
      </c>
      <c r="S59" s="634">
        <f t="shared" si="80"/>
        <v>-2.4689435716384413E-2</v>
      </c>
      <c r="T59" s="635">
        <f t="shared" si="81"/>
        <v>-0.42195008930328215</v>
      </c>
      <c r="U59" s="629">
        <f t="shared" si="82"/>
        <v>2.8099181728481541</v>
      </c>
      <c r="V59" s="636">
        <f t="shared" si="114"/>
        <v>-2.4689435716384413E-2</v>
      </c>
      <c r="W59" s="585">
        <f t="shared" si="224"/>
        <v>98.53998577258632</v>
      </c>
      <c r="X59" s="629">
        <f t="shared" si="83"/>
        <v>2.8414225338666821</v>
      </c>
      <c r="Y59" s="630">
        <f t="shared" si="223"/>
        <v>-2.4689435716384413E-2</v>
      </c>
      <c r="Z59" s="632">
        <f t="shared" si="243"/>
        <v>7.0200160682933943E-2</v>
      </c>
      <c r="AA59" s="629">
        <f t="shared" si="244"/>
        <v>9.2048464566620788E-3</v>
      </c>
      <c r="AB59" s="629">
        <f t="shared" si="245"/>
        <v>-0.99749045521338187</v>
      </c>
      <c r="AC59" s="636">
        <f t="shared" si="84"/>
        <v>1</v>
      </c>
      <c r="AD59" s="637">
        <f t="shared" si="115"/>
        <v>7.0200160682933943E-2</v>
      </c>
      <c r="AE59" s="629">
        <f t="shared" si="85"/>
        <v>9.2048464566620788E-3</v>
      </c>
      <c r="AF59" s="633">
        <f t="shared" si="86"/>
        <v>-0.99749045521338187</v>
      </c>
      <c r="AG59" s="602">
        <f t="shared" si="87"/>
        <v>0.52871070659070307</v>
      </c>
      <c r="AH59" s="603">
        <f t="shared" si="88"/>
        <v>85.974516137402134</v>
      </c>
      <c r="AI59" s="585">
        <f t="shared" si="89"/>
        <v>-4.0599994138292699</v>
      </c>
      <c r="AJ59" s="586">
        <f t="shared" si="90"/>
        <v>97.470169460884478</v>
      </c>
      <c r="AK59" s="635">
        <f t="shared" si="211"/>
        <v>2.2679489671689756E-7</v>
      </c>
      <c r="AL59" s="629">
        <f t="shared" si="91"/>
        <v>-7.0801071730229009E-2</v>
      </c>
      <c r="AM59" s="634">
        <f t="shared" si="92"/>
        <v>-0.99749045521338187</v>
      </c>
      <c r="AN59" s="581">
        <f t="shared" si="93"/>
        <v>-4.0599994138086162</v>
      </c>
      <c r="AO59" s="582">
        <f t="shared" si="461"/>
        <v>0</v>
      </c>
      <c r="AP59" s="585">
        <f t="shared" si="95"/>
        <v>-89.999816466190708</v>
      </c>
      <c r="AQ59" s="586">
        <f t="shared" si="246"/>
        <v>0.8022663345964165</v>
      </c>
      <c r="AS59" s="52">
        <f t="shared" si="406"/>
        <v>-261.46001422741369</v>
      </c>
      <c r="AT59" s="72">
        <f t="shared" si="247"/>
        <v>0.15762307405648004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Nose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5.2140000000000004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5.1139999999999999</v>
      </c>
      <c r="II59" s="734" cm="1">
        <f t="array" ref="II59">IFERROR(IF($IH59&lt;1,$IH59+LARGE((IF($M$9:$M$150="",0,$M$9:$M$150)-MOD(IF($M$9:$M$150="",0,$M$9:$M$150),1)),1),$IH59),"")</f>
        <v>5.1139999999999999</v>
      </c>
      <c r="IJ59" s="533">
        <f t="shared" si="112"/>
        <v>1613</v>
      </c>
      <c r="IK59" s="533" t="str">
        <f>IF(ISNUMBER($II59),INDEX($K$9:$K$150,MATCH($IG59,$M$9:$M$150,0)),"")</f>
        <v>CPS-32193r1</v>
      </c>
      <c r="IL59" s="727">
        <f t="shared" si="225"/>
        <v>21.019996965087955</v>
      </c>
      <c r="IM59" s="759">
        <v>3.48420563248465E-2</v>
      </c>
      <c r="IN59" s="5">
        <f t="shared" si="226"/>
        <v>0.6</v>
      </c>
      <c r="IO59" s="771">
        <v>300</v>
      </c>
      <c r="IP59" s="9">
        <f t="shared" si="227"/>
        <v>-2.838208560037017</v>
      </c>
      <c r="IQ59" s="5">
        <f t="shared" si="228"/>
        <v>-3.3000099528300179E-2</v>
      </c>
      <c r="IR59" s="5">
        <f t="shared" si="383"/>
        <v>0.314</v>
      </c>
      <c r="IS59" s="5">
        <f t="shared" si="229"/>
        <v>0.30073754972212458</v>
      </c>
      <c r="IT59" s="727">
        <f t="shared" si="230"/>
        <v>21.303696251204759</v>
      </c>
      <c r="IU59" s="9">
        <f t="shared" si="231"/>
        <v>-2.8414225338666821</v>
      </c>
      <c r="IV59" s="5">
        <f t="shared" si="232"/>
        <v>-2.4689435716384413E-2</v>
      </c>
      <c r="IW59" s="5">
        <f t="shared" si="384"/>
        <v>0.25700000000000001</v>
      </c>
      <c r="IX59" s="5">
        <f t="shared" si="233"/>
        <v>0.25700000000000001</v>
      </c>
      <c r="IY59" s="762">
        <f t="shared" si="234"/>
        <v>4.0599994138086162</v>
      </c>
    </row>
    <row r="60" spans="1:259" ht="15" customHeight="1" x14ac:dyDescent="0.25">
      <c r="A60" s="79"/>
      <c r="B60" s="707">
        <v>-3.5194461403403245</v>
      </c>
      <c r="C60" s="708">
        <v>-0.72179731260886171</v>
      </c>
      <c r="D60" s="709">
        <v>-0.28410000000000013</v>
      </c>
      <c r="E60" s="710">
        <v>-0.10279562854540457</v>
      </c>
      <c r="F60" s="708">
        <v>-0.95368224575287142</v>
      </c>
      <c r="G60" s="711">
        <v>0.28270697353923724</v>
      </c>
      <c r="H60" s="710">
        <v>0.26600000000000001</v>
      </c>
      <c r="I60" s="708">
        <v>0.52</v>
      </c>
      <c r="J60" s="570">
        <v>5.22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5.22</v>
      </c>
      <c r="N60" s="632">
        <f t="shared" si="240"/>
        <v>-3.5194461403403245</v>
      </c>
      <c r="O60" s="629">
        <f t="shared" si="241"/>
        <v>-0.72179731260886171</v>
      </c>
      <c r="P60" s="633">
        <f t="shared" si="242"/>
        <v>-0.28410000000000013</v>
      </c>
      <c r="Q60" s="585">
        <f t="shared" si="113"/>
        <v>191.58998267414614</v>
      </c>
      <c r="R60" s="629">
        <f t="shared" si="79"/>
        <v>3.5926998893931823</v>
      </c>
      <c r="S60" s="634">
        <f t="shared" si="80"/>
        <v>-0.28410000000000013</v>
      </c>
      <c r="T60" s="635">
        <f t="shared" si="81"/>
        <v>-0.78739335836114244</v>
      </c>
      <c r="U60" s="629">
        <f t="shared" si="82"/>
        <v>3.5053536475589087</v>
      </c>
      <c r="V60" s="636">
        <f t="shared" si="114"/>
        <v>-0.28410000000000013</v>
      </c>
      <c r="W60" s="585">
        <f t="shared" si="224"/>
        <v>102.65998251965728</v>
      </c>
      <c r="X60" s="629">
        <f t="shared" si="83"/>
        <v>3.5926998893931823</v>
      </c>
      <c r="Y60" s="630">
        <f t="shared" si="223"/>
        <v>-0.28410000000000013</v>
      </c>
      <c r="Z60" s="632">
        <f t="shared" si="243"/>
        <v>0.10279562854540457</v>
      </c>
      <c r="AA60" s="629">
        <f t="shared" si="244"/>
        <v>0.95368224575287142</v>
      </c>
      <c r="AB60" s="629">
        <f t="shared" si="245"/>
        <v>-0.28270697353923724</v>
      </c>
      <c r="AC60" s="636">
        <f t="shared" si="84"/>
        <v>1</v>
      </c>
      <c r="AD60" s="637">
        <f t="shared" si="115"/>
        <v>0.10279562854540457</v>
      </c>
      <c r="AE60" s="629">
        <f t="shared" si="85"/>
        <v>0.95368224575287142</v>
      </c>
      <c r="AF60" s="633">
        <f t="shared" si="86"/>
        <v>-0.28270697353923724</v>
      </c>
      <c r="AG60" s="602">
        <f t="shared" si="87"/>
        <v>73.488212913376984</v>
      </c>
      <c r="AH60" s="603">
        <f t="shared" si="88"/>
        <v>84.099821911912656</v>
      </c>
      <c r="AI60" s="585">
        <f t="shared" si="89"/>
        <v>-73.578168003921135</v>
      </c>
      <c r="AJ60" s="586">
        <f t="shared" si="90"/>
        <v>173.84794696734627</v>
      </c>
      <c r="AK60" s="635">
        <f t="shared" si="211"/>
        <v>0.91358471109269412</v>
      </c>
      <c r="AL60" s="629">
        <f t="shared" si="91"/>
        <v>-0.2923007744942932</v>
      </c>
      <c r="AM60" s="634">
        <f t="shared" si="92"/>
        <v>-0.28270697353923724</v>
      </c>
      <c r="AN60" s="581">
        <f t="shared" si="93"/>
        <v>-45.955871130508349</v>
      </c>
      <c r="AO60" s="582">
        <f t="shared" si="461"/>
        <v>23.994469883964548</v>
      </c>
      <c r="AP60" s="585">
        <f t="shared" si="95"/>
        <v>-17.742035706799875</v>
      </c>
      <c r="AQ60" s="586">
        <f t="shared" si="246"/>
        <v>0.63451819073162885</v>
      </c>
      <c r="AS60" s="52">
        <f t="shared" si="406"/>
        <v>-257.34001748034274</v>
      </c>
      <c r="AT60" s="72">
        <f t="shared" si="247"/>
        <v>-0.10464859907926827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5.22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5.12</v>
      </c>
      <c r="II60" s="734" cm="1">
        <f t="array" ref="II60">IFERROR(IF($IH60&lt;1,$IH60+LARGE((IF($M$9:$M$150="",0,$M$9:$M$150)-MOD(IF($M$9:$M$150="",0,$M$9:$M$150),1)),1),$IH60),"")</f>
        <v>5.12</v>
      </c>
      <c r="IJ60" s="533">
        <f t="shared" si="112"/>
        <v>1613</v>
      </c>
      <c r="IK60" s="533">
        <f t="shared" si="382"/>
        <v>1313</v>
      </c>
      <c r="IL60" s="727">
        <f t="shared" si="225"/>
        <v>15.540000414376664</v>
      </c>
      <c r="IM60" s="759">
        <v>7.6041682983054798E-3</v>
      </c>
      <c r="IN60" s="5">
        <f t="shared" si="226"/>
        <v>0.18</v>
      </c>
      <c r="IO60" s="771">
        <v>90</v>
      </c>
      <c r="IP60" s="9">
        <f t="shared" si="227"/>
        <v>-3.5671107584060469</v>
      </c>
      <c r="IQ60" s="5">
        <f t="shared" si="228"/>
        <v>-0.32250097266293359</v>
      </c>
      <c r="IR60" s="5">
        <f t="shared" si="383"/>
        <v>0.314</v>
      </c>
      <c r="IS60" s="5">
        <f t="shared" si="229"/>
        <v>0.29638669886933311</v>
      </c>
      <c r="IT60" s="727">
        <f t="shared" si="230"/>
        <v>50.194923435571553</v>
      </c>
      <c r="IU60" s="9">
        <f t="shared" si="231"/>
        <v>-3.5926998893931823</v>
      </c>
      <c r="IV60" s="5">
        <f t="shared" si="232"/>
        <v>-0.28410000000000013</v>
      </c>
      <c r="IW60" s="5">
        <f t="shared" si="384"/>
        <v>0.26600000000000001</v>
      </c>
      <c r="IX60" s="5">
        <f t="shared" si="233"/>
        <v>0.24301353315065666</v>
      </c>
      <c r="IY60" s="762">
        <f t="shared" si="234"/>
        <v>45.955871130508349</v>
      </c>
    </row>
    <row r="61" spans="1:259" ht="15" customHeight="1" x14ac:dyDescent="0.25">
      <c r="A61" s="79"/>
      <c r="B61" s="707">
        <v>-3.9873712268004455</v>
      </c>
      <c r="C61" s="708">
        <v>-0.81921378680496382</v>
      </c>
      <c r="D61" s="709">
        <v>-0.93289999999999917</v>
      </c>
      <c r="E61" s="710">
        <v>-0.29918963986181984</v>
      </c>
      <c r="F61" s="708">
        <v>-0.93630069595348264</v>
      </c>
      <c r="G61" s="711">
        <v>0.1839199993376974</v>
      </c>
      <c r="H61" s="710">
        <v>0.26600000000000001</v>
      </c>
      <c r="I61" s="708">
        <v>0.52</v>
      </c>
      <c r="J61" s="570">
        <v>5.226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5.226</v>
      </c>
      <c r="N61" s="632">
        <f t="shared" si="240"/>
        <v>-3.9873712268004455</v>
      </c>
      <c r="O61" s="629">
        <f t="shared" si="241"/>
        <v>-0.81921378680496382</v>
      </c>
      <c r="P61" s="633">
        <f t="shared" si="242"/>
        <v>-0.93289999999999917</v>
      </c>
      <c r="Q61" s="585">
        <f t="shared" si="113"/>
        <v>191.60998267414615</v>
      </c>
      <c r="R61" s="629">
        <f t="shared" si="79"/>
        <v>4.0706560317481282</v>
      </c>
      <c r="S61" s="634">
        <f t="shared" si="80"/>
        <v>-0.93289999999999917</v>
      </c>
      <c r="T61" s="635">
        <f t="shared" si="81"/>
        <v>-0.89353084830449969</v>
      </c>
      <c r="U61" s="629">
        <f t="shared" si="82"/>
        <v>3.9713779915711447</v>
      </c>
      <c r="V61" s="636">
        <f t="shared" si="114"/>
        <v>-0.93289999999999917</v>
      </c>
      <c r="W61" s="585">
        <f t="shared" si="224"/>
        <v>102.67998251965729</v>
      </c>
      <c r="X61" s="629">
        <f t="shared" si="83"/>
        <v>4.0706560317481282</v>
      </c>
      <c r="Y61" s="630">
        <f t="shared" si="223"/>
        <v>-0.93289999999999917</v>
      </c>
      <c r="Z61" s="632">
        <f t="shared" si="243"/>
        <v>0.29918963986181984</v>
      </c>
      <c r="AA61" s="629">
        <f t="shared" si="244"/>
        <v>0.93630069595348264</v>
      </c>
      <c r="AB61" s="629">
        <f t="shared" si="245"/>
        <v>-0.1839199993376974</v>
      </c>
      <c r="AC61" s="636">
        <f t="shared" si="84"/>
        <v>1</v>
      </c>
      <c r="AD61" s="637">
        <f t="shared" si="115"/>
        <v>0.29918963986181984</v>
      </c>
      <c r="AE61" s="629">
        <f t="shared" si="85"/>
        <v>0.93630069595348264</v>
      </c>
      <c r="AF61" s="633">
        <f t="shared" si="86"/>
        <v>-0.1839199993376974</v>
      </c>
      <c r="AG61" s="602">
        <f t="shared" si="87"/>
        <v>78.88673608502188</v>
      </c>
      <c r="AH61" s="603">
        <f t="shared" si="88"/>
        <v>72.591062473641145</v>
      </c>
      <c r="AI61" s="585">
        <f t="shared" si="89"/>
        <v>-79.401827475613658</v>
      </c>
      <c r="AJ61" s="586">
        <f t="shared" si="90"/>
        <v>162.27901094775302</v>
      </c>
      <c r="AK61" s="635">
        <f t="shared" si="211"/>
        <v>0.85693267857272271</v>
      </c>
      <c r="AL61" s="629">
        <f t="shared" si="91"/>
        <v>-0.48149747479898591</v>
      </c>
      <c r="AM61" s="634">
        <f t="shared" si="92"/>
        <v>-0.1839199993376974</v>
      </c>
      <c r="AN61" s="581">
        <f t="shared" si="93"/>
        <v>-69.094392963554867</v>
      </c>
      <c r="AO61" s="582">
        <f t="shared" si="461"/>
        <v>31.02609082107276</v>
      </c>
      <c r="AP61" s="585">
        <f t="shared" si="95"/>
        <v>-29.330971726393123</v>
      </c>
      <c r="AQ61" s="586">
        <f t="shared" si="246"/>
        <v>0.56002128787075456</v>
      </c>
      <c r="AS61" s="52">
        <f t="shared" si="406"/>
        <v>-257.3200174803427</v>
      </c>
      <c r="AT61" s="72">
        <f t="shared" si="247"/>
        <v>-0.75346248796815618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5.226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5.1260000000000003</v>
      </c>
      <c r="II61" s="734" cm="1">
        <f t="array" ref="II61">IFERROR(IF($IH61&lt;1,$IH61+LARGE((IF($M$9:$M$150="",0,$M$9:$M$150)-MOD(IF($M$9:$M$150="",0,$M$9:$M$150),1)),1),$IH61),"")</f>
        <v>5.1260000000000003</v>
      </c>
      <c r="IJ61" s="533">
        <f t="shared" si="112"/>
        <v>1613</v>
      </c>
      <c r="IK61" s="533">
        <f t="shared" si="382"/>
        <v>1313</v>
      </c>
      <c r="IL61" s="727">
        <f t="shared" si="225"/>
        <v>14.580000550095832</v>
      </c>
      <c r="IM61" s="759">
        <v>4.4856885273577901E-3</v>
      </c>
      <c r="IN61" s="5">
        <f t="shared" si="226"/>
        <v>0.14000000000000001</v>
      </c>
      <c r="IO61" s="771">
        <v>70</v>
      </c>
      <c r="IP61" s="9">
        <f t="shared" si="227"/>
        <v>-4.027512146976636</v>
      </c>
      <c r="IQ61" s="5">
        <f t="shared" si="228"/>
        <v>-0.95730288722550794</v>
      </c>
      <c r="IR61" s="5">
        <f t="shared" si="383"/>
        <v>0.314</v>
      </c>
      <c r="IS61" s="5">
        <f t="shared" si="229"/>
        <v>0.281592722286372</v>
      </c>
      <c r="IT61" s="727">
        <f t="shared" si="230"/>
        <v>71.87582041742597</v>
      </c>
      <c r="IU61" s="9">
        <f t="shared" si="231"/>
        <v>-4.0706560317481282</v>
      </c>
      <c r="IV61" s="5">
        <f t="shared" si="232"/>
        <v>-0.93289999999999917</v>
      </c>
      <c r="IW61" s="5">
        <f t="shared" si="384"/>
        <v>0.26600000000000001</v>
      </c>
      <c r="IX61" s="5">
        <f t="shared" si="233"/>
        <v>0.22794409250034425</v>
      </c>
      <c r="IY61" s="762">
        <f t="shared" si="234"/>
        <v>69.094392963554867</v>
      </c>
    </row>
    <row r="62" spans="1:259" ht="15" customHeight="1" x14ac:dyDescent="0.25">
      <c r="A62" s="79"/>
      <c r="B62" s="707">
        <v>-2.3124176871011204</v>
      </c>
      <c r="C62" s="708">
        <v>1.4054197271689619</v>
      </c>
      <c r="D62" s="709">
        <v>-2.6600080225841961E-2</v>
      </c>
      <c r="E62" s="710">
        <v>-0.56447499454849126</v>
      </c>
      <c r="F62" s="708">
        <v>-0.77836726879888984</v>
      </c>
      <c r="G62" s="711">
        <v>0.27479515168946805</v>
      </c>
      <c r="H62" s="710">
        <v>0.314</v>
      </c>
      <c r="I62" s="708">
        <v>0.52</v>
      </c>
      <c r="J62" s="570">
        <v>6.1130000000000004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6.1130000000000004</v>
      </c>
      <c r="N62" s="632">
        <f t="shared" si="240"/>
        <v>-2.3124176871011204</v>
      </c>
      <c r="O62" s="629">
        <f t="shared" si="241"/>
        <v>1.4054197271689619</v>
      </c>
      <c r="P62" s="633">
        <f t="shared" si="242"/>
        <v>-2.6600080225841961E-2</v>
      </c>
      <c r="Q62" s="585">
        <f t="shared" si="113"/>
        <v>148.70999152332601</v>
      </c>
      <c r="R62" s="629">
        <f t="shared" si="79"/>
        <v>2.7060081613206148</v>
      </c>
      <c r="S62" s="634">
        <f t="shared" si="80"/>
        <v>-2.6600080225841961E-2</v>
      </c>
      <c r="T62" s="635">
        <f t="shared" si="81"/>
        <v>1.3619927225904971</v>
      </c>
      <c r="U62" s="629">
        <f t="shared" si="82"/>
        <v>2.3382591799764842</v>
      </c>
      <c r="V62" s="636">
        <f t="shared" si="114"/>
        <v>-2.6600080225841961E-2</v>
      </c>
      <c r="W62" s="585">
        <f t="shared" si="224"/>
        <v>59.779991368837145</v>
      </c>
      <c r="X62" s="629">
        <f t="shared" si="83"/>
        <v>2.7060081613206148</v>
      </c>
      <c r="Y62" s="630">
        <f t="shared" si="223"/>
        <v>-2.6600080225841961E-2</v>
      </c>
      <c r="Z62" s="632">
        <f t="shared" si="243"/>
        <v>0.56447499454849126</v>
      </c>
      <c r="AA62" s="629">
        <f t="shared" si="244"/>
        <v>0.77836726879888984</v>
      </c>
      <c r="AB62" s="629">
        <f t="shared" si="245"/>
        <v>-0.27479515168946805</v>
      </c>
      <c r="AC62" s="636">
        <f t="shared" si="84"/>
        <v>1</v>
      </c>
      <c r="AD62" s="637">
        <f t="shared" si="115"/>
        <v>0.56447499454849126</v>
      </c>
      <c r="AE62" s="629">
        <f t="shared" si="85"/>
        <v>0.77836726879888984</v>
      </c>
      <c r="AF62" s="633">
        <f t="shared" si="86"/>
        <v>-0.27479515168946805</v>
      </c>
      <c r="AG62" s="602">
        <f t="shared" si="87"/>
        <v>70.554906060969273</v>
      </c>
      <c r="AH62" s="603">
        <f t="shared" si="88"/>
        <v>55.634158065922982</v>
      </c>
      <c r="AI62" s="585">
        <f t="shared" si="89"/>
        <v>-74.050193083073694</v>
      </c>
      <c r="AJ62" s="586">
        <f t="shared" si="90"/>
        <v>144.05023052970569</v>
      </c>
      <c r="AK62" s="635">
        <f t="shared" si="211"/>
        <v>0.95832472692824733</v>
      </c>
      <c r="AL62" s="629">
        <f t="shared" si="91"/>
        <v>-7.8111089903180497E-2</v>
      </c>
      <c r="AM62" s="634">
        <f t="shared" si="92"/>
        <v>-0.27479515168946805</v>
      </c>
      <c r="AN62" s="581">
        <f t="shared" si="93"/>
        <v>-15.86791000542639</v>
      </c>
      <c r="AO62" s="582">
        <f t="shared" si="461"/>
        <v>16.599568310703024</v>
      </c>
      <c r="AP62" s="585">
        <f t="shared" si="95"/>
        <v>-4.6597609936203206</v>
      </c>
      <c r="AQ62" s="586">
        <f t="shared" si="246"/>
        <v>0.84240779134754296</v>
      </c>
      <c r="AS62" s="52">
        <f t="shared" si="406"/>
        <v>-300.22000863116284</v>
      </c>
      <c r="AT62" s="72">
        <f t="shared" si="247"/>
        <v>0.18262909232740385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6.1130000000000004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-2.9119298130441824</v>
      </c>
      <c r="C63" s="708">
        <v>1.8665568212195147</v>
      </c>
      <c r="D63" s="709">
        <v>-0.2463007428430404</v>
      </c>
      <c r="E63" s="710">
        <v>-0.70609670970216865</v>
      </c>
      <c r="F63" s="708">
        <v>-0.66930017842858369</v>
      </c>
      <c r="G63" s="711">
        <v>0.23122436658630421</v>
      </c>
      <c r="H63" s="710">
        <v>0.314</v>
      </c>
      <c r="I63" s="708">
        <v>0.52</v>
      </c>
      <c r="J63" s="570">
        <v>6.1189999999999998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6.1189999999999998</v>
      </c>
      <c r="N63" s="632">
        <f t="shared" si="240"/>
        <v>-2.9119298130441824</v>
      </c>
      <c r="O63" s="629">
        <f t="shared" si="241"/>
        <v>1.8665568212195147</v>
      </c>
      <c r="P63" s="633">
        <f t="shared" si="242"/>
        <v>-0.2463007428430404</v>
      </c>
      <c r="Q63" s="585">
        <f t="shared" si="113"/>
        <v>147.33999172112948</v>
      </c>
      <c r="R63" s="629">
        <f t="shared" si="79"/>
        <v>3.458810431772263</v>
      </c>
      <c r="S63" s="634">
        <f t="shared" si="80"/>
        <v>-0.2463007428430404</v>
      </c>
      <c r="T63" s="635">
        <f t="shared" si="81"/>
        <v>1.8118541563657387</v>
      </c>
      <c r="U63" s="629">
        <f t="shared" si="82"/>
        <v>2.9462780111518372</v>
      </c>
      <c r="V63" s="636">
        <f t="shared" si="114"/>
        <v>-0.2463007428430404</v>
      </c>
      <c r="W63" s="585">
        <f t="shared" si="224"/>
        <v>58.409991566640613</v>
      </c>
      <c r="X63" s="629">
        <f t="shared" si="83"/>
        <v>3.458810431772263</v>
      </c>
      <c r="Y63" s="630">
        <f t="shared" si="223"/>
        <v>-0.2463007428430404</v>
      </c>
      <c r="Z63" s="632">
        <f t="shared" si="243"/>
        <v>0.70609670970216865</v>
      </c>
      <c r="AA63" s="629">
        <f t="shared" si="244"/>
        <v>0.66930017842858369</v>
      </c>
      <c r="AB63" s="629">
        <f t="shared" si="245"/>
        <v>-0.23122436658630421</v>
      </c>
      <c r="AC63" s="636">
        <f t="shared" si="84"/>
        <v>1</v>
      </c>
      <c r="AD63" s="637">
        <f t="shared" si="115"/>
        <v>0.70609670970216865</v>
      </c>
      <c r="AE63" s="629">
        <f t="shared" si="85"/>
        <v>0.66930017842858369</v>
      </c>
      <c r="AF63" s="633">
        <f t="shared" si="86"/>
        <v>-0.23122436658630421</v>
      </c>
      <c r="AG63" s="602">
        <f t="shared" si="87"/>
        <v>70.94141004987074</v>
      </c>
      <c r="AH63" s="603">
        <f t="shared" si="88"/>
        <v>45.081786200807294</v>
      </c>
      <c r="AI63" s="585">
        <f t="shared" si="89"/>
        <v>-76.630833961463665</v>
      </c>
      <c r="AJ63" s="586">
        <f t="shared" si="90"/>
        <v>133.46750913925263</v>
      </c>
      <c r="AK63" s="635">
        <f t="shared" si="211"/>
        <v>0.94452264378747108</v>
      </c>
      <c r="AL63" s="629">
        <f t="shared" si="91"/>
        <v>-0.23326437291084218</v>
      </c>
      <c r="AM63" s="634">
        <f t="shared" si="92"/>
        <v>-0.23122436658630421</v>
      </c>
      <c r="AN63" s="581">
        <f t="shared" si="93"/>
        <v>-45.251637964749392</v>
      </c>
      <c r="AO63" s="582">
        <f t="shared" si="461"/>
        <v>19.174499644632629</v>
      </c>
      <c r="AP63" s="585">
        <f t="shared" si="95"/>
        <v>-13.872482581876827</v>
      </c>
      <c r="AQ63" s="586">
        <f t="shared" si="246"/>
        <v>0.65907806287910553</v>
      </c>
      <c r="AS63" s="52">
        <f t="shared" si="406"/>
        <v>-301.5900084333594</v>
      </c>
      <c r="AT63" s="72">
        <f t="shared" si="247"/>
        <v>-3.6120181538269208E-2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6.1189999999999998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-3.3086080140114773</v>
      </c>
      <c r="C64" s="708">
        <v>2.2065679279269346</v>
      </c>
      <c r="D64" s="709">
        <v>-0.83490251806599514</v>
      </c>
      <c r="E64" s="710">
        <v>-0.83151555382680775</v>
      </c>
      <c r="F64" s="708">
        <v>-0.53237536468034885</v>
      </c>
      <c r="G64" s="711">
        <v>0.15861385445654705</v>
      </c>
      <c r="H64" s="710">
        <v>0.314</v>
      </c>
      <c r="I64" s="708">
        <v>0.52</v>
      </c>
      <c r="J64" s="570">
        <v>6.125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6.125</v>
      </c>
      <c r="N64" s="632">
        <f t="shared" si="240"/>
        <v>-3.3086080140114773</v>
      </c>
      <c r="O64" s="629">
        <f t="shared" si="241"/>
        <v>2.2065679279269346</v>
      </c>
      <c r="P64" s="633">
        <f t="shared" si="242"/>
        <v>-0.83490251806599514</v>
      </c>
      <c r="Q64" s="585">
        <f t="shared" si="113"/>
        <v>146.29999187128689</v>
      </c>
      <c r="R64" s="629">
        <f t="shared" si="79"/>
        <v>3.9769119943665761</v>
      </c>
      <c r="S64" s="634">
        <f t="shared" si="80"/>
        <v>-0.83490251806599514</v>
      </c>
      <c r="T64" s="635">
        <f t="shared" si="81"/>
        <v>2.1443984314075859</v>
      </c>
      <c r="U64" s="629">
        <f t="shared" si="82"/>
        <v>3.3492363873446469</v>
      </c>
      <c r="V64" s="636">
        <f t="shared" si="114"/>
        <v>-0.83490251806599514</v>
      </c>
      <c r="W64" s="585">
        <f t="shared" si="224"/>
        <v>57.369991716798026</v>
      </c>
      <c r="X64" s="629">
        <f t="shared" si="83"/>
        <v>3.9769119943665761</v>
      </c>
      <c r="Y64" s="630">
        <f t="shared" si="223"/>
        <v>-0.83490251806599514</v>
      </c>
      <c r="Z64" s="632">
        <f t="shared" si="243"/>
        <v>0.83151555382680775</v>
      </c>
      <c r="AA64" s="629">
        <f t="shared" si="244"/>
        <v>0.53237536468034885</v>
      </c>
      <c r="AB64" s="629">
        <f t="shared" si="245"/>
        <v>-0.15861385445654705</v>
      </c>
      <c r="AC64" s="636">
        <f t="shared" si="84"/>
        <v>1</v>
      </c>
      <c r="AD64" s="637">
        <f t="shared" si="115"/>
        <v>0.83151555382680775</v>
      </c>
      <c r="AE64" s="629">
        <f t="shared" si="85"/>
        <v>0.53237536468034885</v>
      </c>
      <c r="AF64" s="633">
        <f t="shared" si="86"/>
        <v>-0.15861385445654705</v>
      </c>
      <c r="AG64" s="602">
        <f t="shared" si="87"/>
        <v>73.409304627803152</v>
      </c>
      <c r="AH64" s="603">
        <f t="shared" si="88"/>
        <v>33.745261772152482</v>
      </c>
      <c r="AI64" s="585">
        <f t="shared" si="89"/>
        <v>-80.873551464178078</v>
      </c>
      <c r="AJ64" s="586">
        <f t="shared" si="90"/>
        <v>122.629282978969</v>
      </c>
      <c r="AK64" s="635">
        <f t="shared" si="211"/>
        <v>0.90427370678166341</v>
      </c>
      <c r="AL64" s="629">
        <f t="shared" si="91"/>
        <v>-0.39639715992649011</v>
      </c>
      <c r="AM64" s="634">
        <f t="shared" si="92"/>
        <v>-0.15861385445654705</v>
      </c>
      <c r="AN64" s="581">
        <f t="shared" si="93"/>
        <v>-68.191738773408247</v>
      </c>
      <c r="AO64" s="582">
        <f t="shared" si="461"/>
        <v>25.274359466678352</v>
      </c>
      <c r="AP64" s="585">
        <f t="shared" si="95"/>
        <v>-23.670708892317894</v>
      </c>
      <c r="AQ64" s="586">
        <f t="shared" si="246"/>
        <v>0.5732212766789414</v>
      </c>
      <c r="AS64" s="52">
        <f t="shared" si="406"/>
        <v>-302.63000828320196</v>
      </c>
      <c r="AT64" s="72">
        <f t="shared" si="247"/>
        <v>-0.62399973464327774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6.125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-3.4679454381098505</v>
      </c>
      <c r="C65" s="708">
        <v>2.3523925294140575</v>
      </c>
      <c r="D65" s="709">
        <v>-1.5645047185462311</v>
      </c>
      <c r="E65" s="710">
        <v>-0.93451544989605073</v>
      </c>
      <c r="F65" s="708">
        <v>-0.35592256728896149</v>
      </c>
      <c r="G65" s="711">
        <v>1.3008419215807546E-7</v>
      </c>
      <c r="H65" s="710">
        <v>0.26600000000000001</v>
      </c>
      <c r="I65" s="708">
        <v>0.52</v>
      </c>
      <c r="J65" s="570">
        <v>6.1310000000000002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1313</v>
      </c>
      <c r="L65" s="320"/>
      <c r="M65" s="168">
        <f t="shared" si="239"/>
        <v>6.1310000000000002</v>
      </c>
      <c r="N65" s="632">
        <f t="shared" si="240"/>
        <v>-3.4679454381098505</v>
      </c>
      <c r="O65" s="629">
        <f t="shared" si="241"/>
        <v>2.3523925294140575</v>
      </c>
      <c r="P65" s="633">
        <f t="shared" si="242"/>
        <v>-1.5645047185462311</v>
      </c>
      <c r="Q65" s="585">
        <f t="shared" si="113"/>
        <v>145.84999193625885</v>
      </c>
      <c r="R65" s="629">
        <f t="shared" si="79"/>
        <v>4.1905126385861182</v>
      </c>
      <c r="S65" s="634">
        <f t="shared" si="80"/>
        <v>-1.5645047185462311</v>
      </c>
      <c r="T65" s="635">
        <f t="shared" si="81"/>
        <v>2.2872221483324702</v>
      </c>
      <c r="U65" s="629">
        <f t="shared" si="82"/>
        <v>3.5112691463810335</v>
      </c>
      <c r="V65" s="636">
        <f t="shared" si="114"/>
        <v>-1.5645047185462311</v>
      </c>
      <c r="W65" s="585">
        <f t="shared" si="224"/>
        <v>56.91999178176998</v>
      </c>
      <c r="X65" s="629">
        <f t="shared" si="83"/>
        <v>4.1905126385861182</v>
      </c>
      <c r="Y65" s="630">
        <f t="shared" si="223"/>
        <v>-1.5645047185462311</v>
      </c>
      <c r="Z65" s="632">
        <f t="shared" si="243"/>
        <v>0.93451544989605073</v>
      </c>
      <c r="AA65" s="629">
        <f t="shared" si="244"/>
        <v>0.35592256728896149</v>
      </c>
      <c r="AB65" s="629">
        <f t="shared" si="245"/>
        <v>-1.3008419215807546E-7</v>
      </c>
      <c r="AC65" s="636">
        <f t="shared" si="84"/>
        <v>1</v>
      </c>
      <c r="AD65" s="637">
        <f t="shared" si="115"/>
        <v>0.93451544989605073</v>
      </c>
      <c r="AE65" s="629">
        <f t="shared" si="85"/>
        <v>0.35592256728896149</v>
      </c>
      <c r="AF65" s="633">
        <f t="shared" si="86"/>
        <v>-1.3008419215807546E-7</v>
      </c>
      <c r="AG65" s="602">
        <f t="shared" si="87"/>
        <v>89.999979059278971</v>
      </c>
      <c r="AH65" s="603">
        <f t="shared" si="88"/>
        <v>20.849996989634814</v>
      </c>
      <c r="AI65" s="585">
        <f t="shared" si="89"/>
        <v>-89.999992546724812</v>
      </c>
      <c r="AJ65" s="586">
        <f t="shared" si="90"/>
        <v>110.84999698963357</v>
      </c>
      <c r="AK65" s="635">
        <f t="shared" si="211"/>
        <v>0.81915209487729213</v>
      </c>
      <c r="AL65" s="629">
        <f t="shared" si="91"/>
        <v>-0.57357636410344481</v>
      </c>
      <c r="AM65" s="634">
        <f t="shared" si="92"/>
        <v>-1.3008419215807546E-7</v>
      </c>
      <c r="AN65" s="581">
        <f t="shared" si="93"/>
        <v>-89.999987005609626</v>
      </c>
      <c r="AO65" s="582">
        <f t="shared" si="461"/>
        <v>34.999994946625939</v>
      </c>
      <c r="AP65" s="585">
        <f t="shared" si="95"/>
        <v>-34.999994946625279</v>
      </c>
      <c r="AQ65" s="586">
        <f t="shared" si="246"/>
        <v>0.54400459401772039</v>
      </c>
      <c r="AS65" s="52">
        <f t="shared" si="406"/>
        <v>-303.08000821823003</v>
      </c>
      <c r="AT65" s="72">
        <f t="shared" si="247"/>
        <v>-1.3532894351686331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6.1310000000000002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>
        <f t="shared" si="112"/>
        <v>1313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-1.6190710514706694</v>
      </c>
      <c r="C66" s="708">
        <v>2.1681995063700752</v>
      </c>
      <c r="D66" s="709">
        <v>-1.8710776450977129E-2</v>
      </c>
      <c r="E66" s="710">
        <v>-1.8172028820667464E-7</v>
      </c>
      <c r="F66" s="708">
        <v>-1.356969491762922E-7</v>
      </c>
      <c r="G66" s="711">
        <v>0.99999999999997435</v>
      </c>
      <c r="H66" s="710">
        <v>0.25700000000000001</v>
      </c>
      <c r="I66" s="708">
        <v>0.41499999999999992</v>
      </c>
      <c r="J66" s="570">
        <v>6.2130000000000001</v>
      </c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CPS-32193r1</v>
      </c>
      <c r="L66" s="320"/>
      <c r="M66" s="168">
        <f t="shared" si="239"/>
        <v>6.2130000000000001</v>
      </c>
      <c r="N66" s="632">
        <f t="shared" si="240"/>
        <v>-1.6190710514706694</v>
      </c>
      <c r="O66" s="629">
        <f t="shared" si="241"/>
        <v>2.1681995063700752</v>
      </c>
      <c r="P66" s="633">
        <f t="shared" si="242"/>
        <v>-1.8710776450977129E-2</v>
      </c>
      <c r="Q66" s="585">
        <f t="shared" si="113"/>
        <v>126.74999469395726</v>
      </c>
      <c r="R66" s="629">
        <f t="shared" si="79"/>
        <v>2.7060081613206153</v>
      </c>
      <c r="S66" s="634">
        <f t="shared" si="80"/>
        <v>-1.8710776450977129E-2</v>
      </c>
      <c r="T66" s="635">
        <f t="shared" si="81"/>
        <v>2.1375870033757409</v>
      </c>
      <c r="U66" s="629">
        <f t="shared" si="82"/>
        <v>1.6592775452385589</v>
      </c>
      <c r="V66" s="636">
        <f t="shared" si="114"/>
        <v>-1.8710776450977129E-2</v>
      </c>
      <c r="W66" s="585">
        <f t="shared" si="224"/>
        <v>37.819994539468397</v>
      </c>
      <c r="X66" s="629">
        <f t="shared" si="83"/>
        <v>2.7060081613206153</v>
      </c>
      <c r="Y66" s="630">
        <f t="shared" si="223"/>
        <v>-1.8710776450977129E-2</v>
      </c>
      <c r="Z66" s="632">
        <f t="shared" si="243"/>
        <v>1.8172028820667464E-7</v>
      </c>
      <c r="AA66" s="629">
        <f t="shared" si="244"/>
        <v>1.356969491762922E-7</v>
      </c>
      <c r="AB66" s="629">
        <f t="shared" si="245"/>
        <v>-0.99999999999997435</v>
      </c>
      <c r="AC66" s="636">
        <f t="shared" si="84"/>
        <v>1</v>
      </c>
      <c r="AD66" s="637">
        <f t="shared" si="115"/>
        <v>1.8172028820667464E-7</v>
      </c>
      <c r="AE66" s="629">
        <f t="shared" si="85"/>
        <v>1.356969491762922E-7</v>
      </c>
      <c r="AF66" s="633">
        <f t="shared" si="86"/>
        <v>-0.99999999999997435</v>
      </c>
      <c r="AG66" s="602">
        <f t="shared" si="87"/>
        <v>7.7748624806029284E-6</v>
      </c>
      <c r="AH66" s="603">
        <f t="shared" si="88"/>
        <v>89.999989588194438</v>
      </c>
      <c r="AI66" s="585">
        <f t="shared" si="89"/>
        <v>-1.2976235990044085E-5</v>
      </c>
      <c r="AJ66" s="586">
        <f t="shared" si="90"/>
        <v>126.74999470512572</v>
      </c>
      <c r="AK66" s="635">
        <f t="shared" si="211"/>
        <v>2.2679489668347944E-7</v>
      </c>
      <c r="AL66" s="629">
        <f t="shared" si="91"/>
        <v>4.4208317113316842E-17</v>
      </c>
      <c r="AM66" s="634">
        <f t="shared" si="92"/>
        <v>-0.99999999999997435</v>
      </c>
      <c r="AN66" s="581">
        <f t="shared" si="93"/>
        <v>2.5329499899690907E-15</v>
      </c>
      <c r="AO66" s="582">
        <f t="shared" si="461"/>
        <v>0</v>
      </c>
      <c r="AP66" s="585">
        <f t="shared" si="95"/>
        <v>1.116846113827717E-8</v>
      </c>
      <c r="AQ66" s="586">
        <f t="shared" si="246"/>
        <v>0.84240779134754296</v>
      </c>
      <c r="AS66" s="52">
        <f t="shared" si="406"/>
        <v>-322.18000546053162</v>
      </c>
      <c r="AT66" s="72">
        <f t="shared" si="247"/>
        <v>0.20576839390044144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6.2130000000000001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0.113</v>
      </c>
      <c r="II66" s="734" cm="1">
        <f t="array" ref="II66">IFERROR(IF($IH66&lt;1,$IH66+LARGE((IF($M$9:$M$150="",0,$M$9:$M$150)-MOD(IF($M$9:$M$150="",0,$M$9:$M$150),1)),1),$IH66),"")</f>
        <v>6.1130000000000004</v>
      </c>
      <c r="IJ66" s="533">
        <f t="shared" si="112"/>
        <v>1613</v>
      </c>
      <c r="IK66" s="533" t="str">
        <f t="shared" si="382"/>
        <v>CPS-32193r1</v>
      </c>
      <c r="IL66" s="727">
        <f t="shared" si="225"/>
        <v>21.959996829368748</v>
      </c>
      <c r="IM66" s="759">
        <v>3.6257855404998603E-2</v>
      </c>
      <c r="IN66" s="5">
        <f t="shared" si="226"/>
        <v>0.57999999999999996</v>
      </c>
      <c r="IO66" s="771">
        <v>290</v>
      </c>
      <c r="IP66" s="9">
        <f t="shared" si="227"/>
        <v>-2.7060081613206148</v>
      </c>
      <c r="IQ66" s="5">
        <f t="shared" si="228"/>
        <v>-2.6600080225841961E-2</v>
      </c>
      <c r="IR66" s="5">
        <f t="shared" si="383"/>
        <v>0.314</v>
      </c>
      <c r="IS66" s="5">
        <f t="shared" si="229"/>
        <v>0.30091396425546968</v>
      </c>
      <c r="IT66" s="727">
        <f t="shared" si="230"/>
        <v>15.86791000542639</v>
      </c>
      <c r="IU66" s="9">
        <f t="shared" si="231"/>
        <v>-2.7060081613206153</v>
      </c>
      <c r="IV66" s="5">
        <f t="shared" si="232"/>
        <v>-1.8710776450977129E-2</v>
      </c>
      <c r="IW66" s="5">
        <f t="shared" si="384"/>
        <v>0.25700000000000001</v>
      </c>
      <c r="IX66" s="5">
        <f t="shared" si="233"/>
        <v>0.25700000000000001</v>
      </c>
      <c r="IY66" s="762">
        <f t="shared" si="234"/>
        <v>-2.5329499899690907E-15</v>
      </c>
    </row>
    <row r="67" spans="1:259" ht="15" customHeight="1" x14ac:dyDescent="0.25">
      <c r="A67" s="79"/>
      <c r="B67" s="707">
        <v>-2.3083930357724731</v>
      </c>
      <c r="C67" s="708">
        <v>2.6054969382974504</v>
      </c>
      <c r="D67" s="709">
        <v>-0.20639999999999967</v>
      </c>
      <c r="E67" s="710">
        <v>-0.86116003404108743</v>
      </c>
      <c r="F67" s="708">
        <v>-0.40656198530674104</v>
      </c>
      <c r="G67" s="711">
        <v>0.30514053790637946</v>
      </c>
      <c r="H67" s="710">
        <v>0.26600000000000001</v>
      </c>
      <c r="I67" s="708">
        <v>0.52</v>
      </c>
      <c r="J67" s="570">
        <v>6.2190000000000003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6.2190000000000003</v>
      </c>
      <c r="N67" s="632">
        <f t="shared" si="240"/>
        <v>-2.3083930357724731</v>
      </c>
      <c r="O67" s="629">
        <f t="shared" si="241"/>
        <v>2.6054969382974504</v>
      </c>
      <c r="P67" s="633">
        <f t="shared" si="242"/>
        <v>-0.20639999999999967</v>
      </c>
      <c r="Q67" s="585">
        <f t="shared" si="113"/>
        <v>131.53999133707308</v>
      </c>
      <c r="R67" s="629">
        <f>IF(M67="","",SQRT(N67^2+O67^2))</f>
        <v>3.4809901900293028</v>
      </c>
      <c r="S67" s="634">
        <f>IF(M67="","",P67)</f>
        <v>-0.20639999999999967</v>
      </c>
      <c r="T67" s="635">
        <f>IF(M67="","",X67*COS(RADIANS(W67)))</f>
        <v>2.5619358285835552</v>
      </c>
      <c r="U67" s="629">
        <f>IF(M67="","",X67*SIN(RADIANS(W67)))</f>
        <v>2.3566453940506484</v>
      </c>
      <c r="V67" s="636">
        <f>IF(M67="","",Y67)</f>
        <v>-0.20639999999999967</v>
      </c>
      <c r="W67" s="585">
        <f t="shared" si="224"/>
        <v>42.60999118258421</v>
      </c>
      <c r="X67" s="629">
        <f>IF(M67="","",R67)</f>
        <v>3.4809901900293028</v>
      </c>
      <c r="Y67" s="630">
        <f t="shared" si="223"/>
        <v>-0.20639999999999967</v>
      </c>
      <c r="Z67" s="632">
        <f t="shared" si="243"/>
        <v>0.86116003404108743</v>
      </c>
      <c r="AA67" s="629">
        <f t="shared" si="244"/>
        <v>0.40656198530674104</v>
      </c>
      <c r="AB67" s="629">
        <f t="shared" si="245"/>
        <v>-0.30514053790637946</v>
      </c>
      <c r="AC67" s="636">
        <f>IF(M67="","",SQRT(Z67^2+AA67^2+AB67^2))</f>
        <v>1</v>
      </c>
      <c r="AD67" s="637">
        <f>IF(M67="","",Z67*(1/SQRT(Z67^2+AA67^2+AB67^2)))</f>
        <v>0.86116003404108743</v>
      </c>
      <c r="AE67" s="629">
        <f>IF(M67="","",AA67*(1/SQRT(Z67^2+AA67^2+AB67^2)))</f>
        <v>0.40656198530674104</v>
      </c>
      <c r="AF67" s="633">
        <f>IF(M67="","",AB67*(1/SQRT(Z67^2+AA67^2+AB67^2)))</f>
        <v>-0.30514053790637946</v>
      </c>
      <c r="AG67" s="602">
        <f>IF(M67="","",DEGREES(ATAN2(-AF67,AE67)))</f>
        <v>53.110350646521724</v>
      </c>
      <c r="AH67" s="603">
        <f>IF(M67="","",DEGREES(ACOS(AD67)))</f>
        <v>30.552917991331455</v>
      </c>
      <c r="AI67" s="585">
        <f>IF(M67="","",DEGREES(-ACOS(-AF67)))</f>
        <v>-72.233380799343735</v>
      </c>
      <c r="AJ67" s="586">
        <f>IF(M67="","",DEGREES(ATAN2(-AE67,AD67)))</f>
        <v>115.27244938767592</v>
      </c>
      <c r="AK67" s="635">
        <f>IF(M67="","",(COS(RADIANS((90-$Q$8)-W67))*AD67)+(-SIN(RADIANS((90-$Q$8)-W67))*AE67))</f>
        <v>0.9141808835558094</v>
      </c>
      <c r="AL67" s="629">
        <f>IF(M67="","",(SIN(RADIANS((90-$Q$8)-W67))*AD67)+(COS(RADIANS((90-$Q$8)-W67))*AE67))</f>
        <v>-0.26676312388957601</v>
      </c>
      <c r="AM67" s="634">
        <f>IF(M67="","",AF67)</f>
        <v>-0.30514053790637946</v>
      </c>
      <c r="AN67" s="581">
        <f>IF(M67="","",DEGREES(ATAN2(-AM67,AL67)))</f>
        <v>-41.160940444269883</v>
      </c>
      <c r="AO67" s="582">
        <f t="shared" si="461"/>
        <v>23.910331813061376</v>
      </c>
      <c r="AP67" s="585">
        <f>IF(M67="","",DEGREES(ATAN2(AK67,AL67)))</f>
        <v>-16.267541949397142</v>
      </c>
      <c r="AQ67" s="586">
        <f t="shared" si="246"/>
        <v>0.65487899476571554</v>
      </c>
      <c r="AS67" s="52">
        <f t="shared" si="406"/>
        <v>-317.39000881741578</v>
      </c>
      <c r="AT67" s="72">
        <f t="shared" si="247"/>
        <v>1.475278379369957E-2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6.2190000000000003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0.11899999999999999</v>
      </c>
      <c r="II67" s="734" cm="1">
        <f t="array" ref="II67">IFERROR(IF($IH67&lt;1,$IH67+LARGE((IF($M$9:$M$150="",0,$M$9:$M$150)-MOD(IF($M$9:$M$150="",0,$M$9:$M$150),1)),1),$IH67),"")</f>
        <v>6.1189999999999998</v>
      </c>
      <c r="IJ67" s="533">
        <f t="shared" si="112"/>
        <v>1613</v>
      </c>
      <c r="IK67" s="533">
        <f t="shared" si="382"/>
        <v>1313</v>
      </c>
      <c r="IL67" s="727">
        <f t="shared" si="225"/>
        <v>15.800000384056403</v>
      </c>
      <c r="IM67" s="759">
        <v>8.1042681075177703E-3</v>
      </c>
      <c r="IN67" s="5">
        <f t="shared" si="226"/>
        <v>0.18</v>
      </c>
      <c r="IO67" s="771">
        <v>90</v>
      </c>
      <c r="IP67" s="9">
        <f t="shared" si="227"/>
        <v>-3.458810431772263</v>
      </c>
      <c r="IQ67" s="5">
        <f t="shared" si="228"/>
        <v>-0.2463007428430404</v>
      </c>
      <c r="IR67" s="5">
        <f t="shared" si="383"/>
        <v>0.314</v>
      </c>
      <c r="IS67" s="5">
        <f t="shared" si="229"/>
        <v>0.29658011014926594</v>
      </c>
      <c r="IT67" s="727">
        <f t="shared" si="230"/>
        <v>45.251637964749392</v>
      </c>
      <c r="IU67" s="9">
        <f t="shared" si="231"/>
        <v>-3.4809901900293028</v>
      </c>
      <c r="IV67" s="5">
        <f t="shared" si="232"/>
        <v>-0.20639999999999967</v>
      </c>
      <c r="IW67" s="5">
        <f t="shared" si="384"/>
        <v>0.26600000000000001</v>
      </c>
      <c r="IX67" s="5">
        <f t="shared" si="233"/>
        <v>0.24317211502584532</v>
      </c>
      <c r="IY67" s="762">
        <f t="shared" si="234"/>
        <v>41.160940444269883</v>
      </c>
    </row>
    <row r="68" spans="1:259" ht="15" customHeight="1" x14ac:dyDescent="0.25">
      <c r="A68" s="79"/>
      <c r="B68" s="707">
        <v>-2.6684521782766284</v>
      </c>
      <c r="C68" s="708">
        <v>3.0034386330836296</v>
      </c>
      <c r="D68" s="709">
        <v>-0.80759999999999965</v>
      </c>
      <c r="E68" s="710">
        <v>-0.9490732790816534</v>
      </c>
      <c r="F68" s="708">
        <v>-0.23524658791419048</v>
      </c>
      <c r="G68" s="711">
        <v>0.20956849431135671</v>
      </c>
      <c r="H68" s="710">
        <v>0.26600000000000001</v>
      </c>
      <c r="I68" s="708">
        <v>0.52</v>
      </c>
      <c r="J68" s="570">
        <v>6.2249999999999996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6.2249999999999996</v>
      </c>
      <c r="N68" s="632">
        <f t="shared" si="240"/>
        <v>-2.6684521782766284</v>
      </c>
      <c r="O68" s="629">
        <f t="shared" si="241"/>
        <v>3.0034386330836296</v>
      </c>
      <c r="P68" s="633">
        <f t="shared" si="242"/>
        <v>-0.80759999999999965</v>
      </c>
      <c r="Q68" s="585">
        <f t="shared" si="113"/>
        <v>131.61999133707306</v>
      </c>
      <c r="R68" s="629">
        <f>IF(M68="","",SQRT(N68^2+O68^2))</f>
        <v>4.0176212676717729</v>
      </c>
      <c r="S68" s="634">
        <f>IF(M68="","",P68)</f>
        <v>-0.80759999999999965</v>
      </c>
      <c r="T68" s="635">
        <f>IF(M68="","",X68*COS(RADIANS(W68)))</f>
        <v>2.9530844120772346</v>
      </c>
      <c r="U68" s="629">
        <f>IF(M68="","",X68*SIN(RADIANS(W68)))</f>
        <v>2.7240728891854191</v>
      </c>
      <c r="V68" s="636">
        <f>IF(M68="","",Y68)</f>
        <v>-0.80759999999999965</v>
      </c>
      <c r="W68" s="585">
        <f t="shared" si="224"/>
        <v>42.689991182584194</v>
      </c>
      <c r="X68" s="629">
        <f>IF(M68="","",R68)</f>
        <v>4.0176212676717729</v>
      </c>
      <c r="Y68" s="630">
        <f t="shared" si="223"/>
        <v>-0.80759999999999965</v>
      </c>
      <c r="Z68" s="632">
        <f t="shared" si="243"/>
        <v>0.9490732790816534</v>
      </c>
      <c r="AA68" s="629">
        <f t="shared" si="244"/>
        <v>0.23524658791419048</v>
      </c>
      <c r="AB68" s="629">
        <f t="shared" si="245"/>
        <v>-0.20956849431135671</v>
      </c>
      <c r="AC68" s="636">
        <f>IF(M68="","",SQRT(Z68^2+AA68^2+AB68^2))</f>
        <v>1</v>
      </c>
      <c r="AD68" s="637">
        <f>IF(M68="","",Z68*(1/SQRT(Z68^2+AA68^2+AB68^2)))</f>
        <v>0.9490732790816534</v>
      </c>
      <c r="AE68" s="629">
        <f>IF(M68="","",AA68*(1/SQRT(Z68^2+AA68^2+AB68^2)))</f>
        <v>0.23524658791419048</v>
      </c>
      <c r="AF68" s="633">
        <f>IF(M68="","",AB68*(1/SQRT(Z68^2+AA68^2+AB68^2)))</f>
        <v>-0.20956849431135671</v>
      </c>
      <c r="AG68" s="602">
        <f>IF(M68="","",DEGREES(ATAN2(-AF68,AE68)))</f>
        <v>48.303879324595293</v>
      </c>
      <c r="AH68" s="603">
        <f>IF(M68="","",DEGREES(ACOS(AD68)))</f>
        <v>18.364158834512658</v>
      </c>
      <c r="AI68" s="585">
        <f>IF(M68="","",DEGREES(-ACOS(-AF68)))</f>
        <v>-77.902933884711942</v>
      </c>
      <c r="AJ68" s="586">
        <f>IF(M68="","",DEGREES(ATAN2(-AE68,AD68)))</f>
        <v>103.92131313777659</v>
      </c>
      <c r="AK68" s="635">
        <f>IF(M68="","",(COS(RADIANS((90-$Q$8)-W68))*AD68)+(-SIN(RADIANS((90-$Q$8)-W68))*AE68))</f>
        <v>0.86574303306309697</v>
      </c>
      <c r="AL68" s="629">
        <f>IF(M68="","",(SIN(RADIANS((90-$Q$8)-W68))*AD68)+(COS(RADIANS((90-$Q$8)-W68))*AE68))</f>
        <v>-0.45449977656185947</v>
      </c>
      <c r="AM68" s="634">
        <f>IF(M68="","",AF68)</f>
        <v>-0.20956849431135671</v>
      </c>
      <c r="AN68" s="581">
        <f>IF(M68="","",DEGREES(ATAN2(-AM68,AL68)))</f>
        <v>-65.245713836994682</v>
      </c>
      <c r="AO68" s="582">
        <f t="shared" si="461"/>
        <v>30.032341493035908</v>
      </c>
      <c r="AP68" s="585">
        <f>IF(M68="","",DEGREES(ATAN2(AK68,AL68)))</f>
        <v>-27.698678199296467</v>
      </c>
      <c r="AQ68" s="586">
        <f t="shared" si="246"/>
        <v>0.56741339023274562</v>
      </c>
      <c r="AS68" s="52">
        <f t="shared" si="406"/>
        <v>-317.31000881741579</v>
      </c>
      <c r="AT68" s="72">
        <f t="shared" si="247"/>
        <v>-0.58650277176185595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6.2249999999999996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0.125</v>
      </c>
      <c r="II68" s="734" cm="1">
        <f t="array" ref="II68">IFERROR(IF($IH68&lt;1,$IH68+LARGE((IF($M$9:$M$150="",0,$M$9:$M$150)-MOD(IF($M$9:$M$150="",0,$M$9:$M$150),1)),1),$IH68),"")</f>
        <v>6.125</v>
      </c>
      <c r="IJ68" s="533">
        <f t="shared" si="112"/>
        <v>1613</v>
      </c>
      <c r="IK68" s="533">
        <f t="shared" si="382"/>
        <v>1313</v>
      </c>
      <c r="IL68" s="727">
        <f t="shared" si="225"/>
        <v>14.680000534213832</v>
      </c>
      <c r="IM68" s="759">
        <v>5.0435451518943599E-3</v>
      </c>
      <c r="IN68" s="5">
        <f t="shared" si="226"/>
        <v>0.16</v>
      </c>
      <c r="IO68" s="771">
        <v>80</v>
      </c>
      <c r="IP68" s="9">
        <f t="shared" si="227"/>
        <v>-3.9769119943665761</v>
      </c>
      <c r="IQ68" s="5">
        <f t="shared" si="228"/>
        <v>-0.83490251806599514</v>
      </c>
      <c r="IR68" s="5">
        <f t="shared" si="383"/>
        <v>0.314</v>
      </c>
      <c r="IS68" s="5">
        <f t="shared" si="229"/>
        <v>0.28394194392944233</v>
      </c>
      <c r="IT68" s="727">
        <f t="shared" si="230"/>
        <v>68.191738773408247</v>
      </c>
      <c r="IU68" s="9">
        <f t="shared" si="231"/>
        <v>-4.0176212676717729</v>
      </c>
      <c r="IV68" s="5">
        <f t="shared" si="232"/>
        <v>-0.80759999999999965</v>
      </c>
      <c r="IW68" s="5">
        <f t="shared" si="384"/>
        <v>0.26600000000000001</v>
      </c>
      <c r="IX68" s="5">
        <f t="shared" si="233"/>
        <v>0.23028764679478383</v>
      </c>
      <c r="IY68" s="762">
        <f t="shared" si="234"/>
        <v>65.245713836994682</v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5.3503723084143334E-2</v>
      </c>
      <c r="G154" s="170">
        <f t="shared" si="929"/>
        <v>-0.33780926224850866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0.95105653031184811</v>
      </c>
      <c r="F155" s="170">
        <f t="shared" si="929"/>
        <v>4.8340894532903508E-2</v>
      </c>
      <c r="G155" s="170">
        <f t="shared" si="929"/>
        <v>-0.30521244087839472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0.95083829046286139</v>
      </c>
      <c r="F156" s="170">
        <f t="shared" si="929"/>
        <v>2.2555379785505012E-2</v>
      </c>
      <c r="G156" s="170">
        <f t="shared" si="929"/>
        <v>-0.30886534320378994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0.95763056682876135</v>
      </c>
      <c r="F157" s="170">
        <f t="shared" si="929"/>
        <v>-7.4210173948495925E-2</v>
      </c>
      <c r="G157" s="170">
        <f t="shared" si="929"/>
        <v>-0.27827423085467223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0.94080759491040611</v>
      </c>
      <c r="F158" s="170">
        <f t="shared" si="929"/>
        <v>-0.24533728727131662</v>
      </c>
      <c r="G158" s="170">
        <f t="shared" si="929"/>
        <v>-0.23386039603414852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0.89035711051072752</v>
      </c>
      <c r="F159" s="170">
        <f t="shared" si="929"/>
        <v>-0.42171109045089927</v>
      </c>
      <c r="G159" s="170">
        <f t="shared" si="929"/>
        <v>-0.17153417138780705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0.81858306260352998</v>
      </c>
      <c r="F160" s="170">
        <f t="shared" si="929"/>
        <v>-0.57362652679059778</v>
      </c>
      <c r="G160" s="170">
        <f t="shared" si="929"/>
        <v>-2.9569872857032622E-2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0.77549580545883434</v>
      </c>
      <c r="F161" s="170">
        <f t="shared" si="929"/>
        <v>-0.63135271894222245</v>
      </c>
      <c r="G161" s="170">
        <f t="shared" si="929"/>
        <v>-1.3008419228767658E-7</v>
      </c>
      <c r="H161" s="139"/>
      <c r="I161" s="86"/>
      <c r="J161" s="79">
        <f t="shared" si="930"/>
        <v>1.1359999999999999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7.6532647568068143E-2</v>
      </c>
      <c r="F162" s="170">
        <f t="shared" si="929"/>
        <v>0.13643492478228592</v>
      </c>
      <c r="G162" s="170">
        <f t="shared" si="929"/>
        <v>-0.98768834414296591</v>
      </c>
      <c r="H162" s="139"/>
      <c r="I162" s="86"/>
      <c r="J162" s="79">
        <f t="shared" si="930"/>
        <v>1.2070000000000001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1.9529352065302197E-2</v>
      </c>
      <c r="F163" s="170">
        <f t="shared" si="929"/>
        <v>4.8555699290678149E-2</v>
      </c>
      <c r="G163" s="170">
        <f t="shared" si="929"/>
        <v>-0.99862953515019914</v>
      </c>
      <c r="H163" s="139"/>
      <c r="I163" s="86"/>
      <c r="J163" s="79">
        <f t="shared" si="930"/>
        <v>1.212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-0.12206704888025019</v>
      </c>
      <c r="F164" s="170">
        <f t="shared" si="929"/>
        <v>-0.32492699679198522</v>
      </c>
      <c r="G164" s="170">
        <f t="shared" si="929"/>
        <v>-0.93782838639775024</v>
      </c>
      <c r="H164" s="139"/>
      <c r="I164" s="86"/>
      <c r="J164" s="79">
        <f t="shared" si="930"/>
        <v>1.218</v>
      </c>
    </row>
    <row r="165" spans="5:16" x14ac:dyDescent="0.25">
      <c r="E165" s="170">
        <f t="shared" si="929"/>
        <v>0.70109113386916544</v>
      </c>
      <c r="F165" s="170">
        <f t="shared" si="929"/>
        <v>-0.67590905026372028</v>
      </c>
      <c r="G165" s="170">
        <f t="shared" si="929"/>
        <v>-0.22719634191959096</v>
      </c>
      <c r="H165" s="139"/>
      <c r="I165" s="86"/>
      <c r="J165" s="79">
        <f t="shared" si="930"/>
        <v>1.224</v>
      </c>
    </row>
    <row r="166" spans="5:16" x14ac:dyDescent="0.25">
      <c r="E166" s="170">
        <f t="shared" si="929"/>
        <v>0.58423867409295049</v>
      </c>
      <c r="F166" s="170">
        <f t="shared" si="929"/>
        <v>-0.8097529074572638</v>
      </c>
      <c r="G166" s="170">
        <f t="shared" si="929"/>
        <v>-5.4455491537762767E-2</v>
      </c>
      <c r="H166" s="139"/>
      <c r="I166" s="86"/>
      <c r="J166" s="79">
        <f t="shared" si="930"/>
        <v>1.23</v>
      </c>
    </row>
    <row r="167" spans="5:16" x14ac:dyDescent="0.25">
      <c r="E167" s="170">
        <f t="shared" si="929"/>
        <v>0.36047935648378354</v>
      </c>
      <c r="F167" s="170">
        <f t="shared" si="929"/>
        <v>-0.88967869281215628</v>
      </c>
      <c r="G167" s="170">
        <f t="shared" si="929"/>
        <v>-0.28022572527355549</v>
      </c>
      <c r="H167" s="139"/>
      <c r="I167" s="86"/>
      <c r="J167" s="79">
        <f t="shared" si="930"/>
        <v>2.1110000000000002</v>
      </c>
    </row>
    <row r="168" spans="5:16" x14ac:dyDescent="0.25">
      <c r="E168" s="170">
        <f t="shared" si="929"/>
        <v>0.20023129245053417</v>
      </c>
      <c r="F168" s="170">
        <f t="shared" si="929"/>
        <v>-0.94739798001255082</v>
      </c>
      <c r="G168" s="170">
        <f t="shared" si="929"/>
        <v>-0.2496888002929385</v>
      </c>
      <c r="H168" s="139"/>
      <c r="I168" s="86"/>
      <c r="J168" s="79">
        <f t="shared" si="930"/>
        <v>2.117</v>
      </c>
    </row>
    <row r="169" spans="5:16" x14ac:dyDescent="0.25">
      <c r="E169" s="170">
        <f t="shared" si="929"/>
        <v>2.9420295619311882E-2</v>
      </c>
      <c r="F169" s="170">
        <f t="shared" si="929"/>
        <v>-0.98302714037493077</v>
      </c>
      <c r="G169" s="170">
        <f t="shared" si="929"/>
        <v>-0.18108585668670671</v>
      </c>
      <c r="H169" s="139"/>
      <c r="I169" s="86"/>
      <c r="J169" s="79">
        <f t="shared" si="930"/>
        <v>2.1230000000000002</v>
      </c>
    </row>
    <row r="170" spans="5:16" x14ac:dyDescent="0.25">
      <c r="E170" s="170">
        <f t="shared" si="929"/>
        <v>-0.15370352901053719</v>
      </c>
      <c r="F170" s="170">
        <f t="shared" si="929"/>
        <v>-0.98576110199432887</v>
      </c>
      <c r="G170" s="170">
        <f t="shared" si="929"/>
        <v>-6.8192924593636892E-2</v>
      </c>
      <c r="H170" s="139"/>
      <c r="I170" s="86"/>
      <c r="J170" s="79">
        <f t="shared" si="930"/>
        <v>2.129</v>
      </c>
    </row>
    <row r="171" spans="5:16" x14ac:dyDescent="0.25">
      <c r="E171" s="170">
        <f t="shared" si="929"/>
        <v>-0.24446191708215073</v>
      </c>
      <c r="F171" s="170">
        <f t="shared" si="929"/>
        <v>-0.9696588941975951</v>
      </c>
      <c r="G171" s="170">
        <f t="shared" si="929"/>
        <v>-1.3008419203324075E-7</v>
      </c>
      <c r="H171" s="139"/>
      <c r="I171" s="86"/>
      <c r="J171" s="79">
        <f t="shared" si="930"/>
        <v>2.1349999999999998</v>
      </c>
    </row>
    <row r="172" spans="5:16" x14ac:dyDescent="0.25">
      <c r="E172" s="170">
        <f t="shared" si="929"/>
        <v>-0.27913362756144322</v>
      </c>
      <c r="F172" s="170">
        <f t="shared" si="929"/>
        <v>-1.971479282345099E-2</v>
      </c>
      <c r="G172" s="170">
        <f t="shared" si="929"/>
        <v>-0.96004986584464347</v>
      </c>
      <c r="H172" s="139"/>
      <c r="I172" s="86"/>
      <c r="J172" s="79">
        <f t="shared" si="930"/>
        <v>2.2170000000000001</v>
      </c>
    </row>
    <row r="173" spans="5:16" x14ac:dyDescent="0.25">
      <c r="E173" s="170">
        <f t="shared" si="929"/>
        <v>-0.28025861409167369</v>
      </c>
      <c r="F173" s="170">
        <f t="shared" si="929"/>
        <v>-0.92911673665778305</v>
      </c>
      <c r="G173" s="170">
        <f t="shared" si="929"/>
        <v>-0.24124095607878498</v>
      </c>
      <c r="H173" s="139"/>
      <c r="I173" s="86"/>
      <c r="J173" s="79">
        <f t="shared" si="930"/>
        <v>2.2229999999999999</v>
      </c>
    </row>
    <row r="174" spans="5:16" x14ac:dyDescent="0.25">
      <c r="E174" s="170">
        <f t="shared" ref="E174:G193" si="933">E29*-1</f>
        <v>-0.46606448198203931</v>
      </c>
      <c r="F174" s="170">
        <f t="shared" si="933"/>
        <v>-0.87916278048607299</v>
      </c>
      <c r="G174" s="170">
        <f t="shared" si="933"/>
        <v>-9.9280934941258947E-2</v>
      </c>
      <c r="H174" s="139"/>
      <c r="I174" s="86"/>
      <c r="J174" s="79">
        <f t="shared" si="930"/>
        <v>2.2290000000000001</v>
      </c>
    </row>
    <row r="175" spans="5:16" x14ac:dyDescent="0.25">
      <c r="E175" s="170">
        <f t="shared" si="933"/>
        <v>-0.43366433519237196</v>
      </c>
      <c r="F175" s="170">
        <f t="shared" si="933"/>
        <v>-0.84780930067746407</v>
      </c>
      <c r="G175" s="170">
        <f t="shared" si="933"/>
        <v>-0.30521244087839472</v>
      </c>
      <c r="H175" s="139"/>
      <c r="I175" s="86"/>
      <c r="J175" s="79">
        <f t="shared" si="930"/>
        <v>3.1030000000000002</v>
      </c>
    </row>
    <row r="176" spans="5:16" x14ac:dyDescent="0.25">
      <c r="E176" s="170">
        <f t="shared" si="933"/>
        <v>-0.43843341855812967</v>
      </c>
      <c r="F176" s="170">
        <f t="shared" si="933"/>
        <v>-0.84504843977145339</v>
      </c>
      <c r="G176" s="170">
        <f t="shared" si="933"/>
        <v>-0.30605436107212131</v>
      </c>
      <c r="H176" s="139"/>
      <c r="I176" s="86"/>
      <c r="J176" s="79">
        <f t="shared" si="930"/>
        <v>3.1059999999999999</v>
      </c>
    </row>
    <row r="177" spans="5:21" x14ac:dyDescent="0.25">
      <c r="E177" s="170">
        <f t="shared" si="933"/>
        <v>-0.49590379549549607</v>
      </c>
      <c r="F177" s="170">
        <f t="shared" si="933"/>
        <v>-0.81596241277190595</v>
      </c>
      <c r="G177" s="170">
        <f t="shared" si="933"/>
        <v>-0.29712752574712975</v>
      </c>
      <c r="H177" s="139"/>
      <c r="I177" s="86"/>
      <c r="J177" s="79">
        <f t="shared" si="930"/>
        <v>3.11</v>
      </c>
    </row>
    <row r="178" spans="5:21" x14ac:dyDescent="0.25">
      <c r="E178" s="170">
        <f t="shared" si="933"/>
        <v>-0.63790201191425189</v>
      </c>
      <c r="F178" s="170">
        <f t="shared" si="933"/>
        <v>-0.72362868660719182</v>
      </c>
      <c r="G178" s="170">
        <f t="shared" si="933"/>
        <v>-0.26351953839307674</v>
      </c>
      <c r="H178" s="139"/>
      <c r="I178" s="86"/>
      <c r="J178" s="79">
        <f t="shared" si="930"/>
        <v>3.1160000000000001</v>
      </c>
    </row>
    <row r="179" spans="5:21" x14ac:dyDescent="0.25">
      <c r="E179" s="170">
        <f t="shared" si="933"/>
        <v>-0.76822689520200427</v>
      </c>
      <c r="F179" s="170">
        <f t="shared" si="933"/>
        <v>-0.61012055605624438</v>
      </c>
      <c r="G179" s="170">
        <f t="shared" si="933"/>
        <v>-0.19385650509051305</v>
      </c>
      <c r="H179" s="139"/>
      <c r="I179" s="86"/>
      <c r="J179" s="79">
        <f t="shared" si="930"/>
        <v>3.1219999999999999</v>
      </c>
      <c r="M179" t="s">
        <v>392</v>
      </c>
    </row>
    <row r="180" spans="5:21" x14ac:dyDescent="0.25">
      <c r="E180" s="170">
        <f t="shared" si="933"/>
        <v>-0.8837841831304597</v>
      </c>
      <c r="F180" s="170">
        <f t="shared" si="933"/>
        <v>-0.45783871311893215</v>
      </c>
      <c r="G180" s="170">
        <f t="shared" si="933"/>
        <v>-9.6484353229040393E-2</v>
      </c>
      <c r="H180" s="139"/>
      <c r="I180" s="86"/>
      <c r="J180" s="79">
        <f t="shared" si="930"/>
        <v>3.1280000000000001</v>
      </c>
      <c r="M180">
        <v>1.4939793715351438E-17</v>
      </c>
      <c r="N180">
        <v>0.34330103539592266</v>
      </c>
      <c r="O180">
        <v>-0.46490149352770443</v>
      </c>
      <c r="P180">
        <v>-0.93969263802333458</v>
      </c>
      <c r="Q180">
        <v>-8.852130215629557E-2</v>
      </c>
      <c r="R180">
        <v>0.33036604714967344</v>
      </c>
      <c r="S180">
        <v>0.314</v>
      </c>
      <c r="T180">
        <v>0.52</v>
      </c>
      <c r="U180">
        <v>1.101</v>
      </c>
    </row>
    <row r="181" spans="5:21" x14ac:dyDescent="0.25">
      <c r="E181" s="170">
        <f t="shared" si="933"/>
        <v>-0.93451561133879835</v>
      </c>
      <c r="F181" s="170">
        <f t="shared" si="933"/>
        <v>-0.35592214340225503</v>
      </c>
      <c r="G181" s="170">
        <f t="shared" si="933"/>
        <v>-1.3008419221766473E-7</v>
      </c>
      <c r="H181" s="139"/>
      <c r="I181" s="86"/>
      <c r="J181" s="79">
        <f t="shared" si="930"/>
        <v>3.1339999999999999</v>
      </c>
      <c r="M181">
        <v>-2.1342562450502056E-18</v>
      </c>
      <c r="N181">
        <v>1.0693032250185268</v>
      </c>
      <c r="O181">
        <v>-0.27040090691393531</v>
      </c>
      <c r="P181">
        <v>-0.96592583607220739</v>
      </c>
      <c r="Q181">
        <v>-6.6987279208207212E-2</v>
      </c>
      <c r="R181">
        <v>0.24999996726497564</v>
      </c>
      <c r="S181">
        <v>0.314</v>
      </c>
      <c r="T181">
        <v>0.52</v>
      </c>
      <c r="U181">
        <v>1.1040000000000001</v>
      </c>
    </row>
    <row r="182" spans="5:21" x14ac:dyDescent="0.25">
      <c r="E182" s="170">
        <f t="shared" si="933"/>
        <v>6.8723270111866297E-2</v>
      </c>
      <c r="F182" s="170">
        <f t="shared" si="933"/>
        <v>-0.14053059093755221</v>
      </c>
      <c r="G182" s="170">
        <f t="shared" si="933"/>
        <v>-0.98768834414296602</v>
      </c>
      <c r="H182" s="139"/>
      <c r="I182" s="86"/>
      <c r="J182" s="79">
        <f t="shared" si="930"/>
        <v>3.206</v>
      </c>
      <c r="M182">
        <v>-8.5370249802008226E-18</v>
      </c>
      <c r="N182">
        <v>1.794305411625122</v>
      </c>
      <c r="O182">
        <v>-7.6200321204968724E-2</v>
      </c>
      <c r="P182">
        <v>-0.96592582628906831</v>
      </c>
      <c r="Q182">
        <v>-4.4943455527547763E-2</v>
      </c>
      <c r="R182">
        <v>0.25488700224417882</v>
      </c>
      <c r="S182">
        <v>0.314</v>
      </c>
      <c r="T182">
        <v>0.52</v>
      </c>
      <c r="U182">
        <v>1.107</v>
      </c>
    </row>
    <row r="183" spans="5:21" x14ac:dyDescent="0.25">
      <c r="E183" s="170">
        <f t="shared" si="933"/>
        <v>9.2742974902361233E-2</v>
      </c>
      <c r="F183" s="170">
        <f t="shared" si="933"/>
        <v>-0.12597807527655816</v>
      </c>
      <c r="G183" s="170">
        <f t="shared" si="933"/>
        <v>-0.98768834414296591</v>
      </c>
      <c r="H183" s="139"/>
      <c r="I183" s="86"/>
      <c r="J183" s="79">
        <f t="shared" si="930"/>
        <v>3.21</v>
      </c>
      <c r="M183">
        <v>4.1525127014845939E-2</v>
      </c>
      <c r="N183">
        <v>2.6171784885812936</v>
      </c>
      <c r="O183">
        <v>-7.0500304013716944E-2</v>
      </c>
      <c r="P183">
        <v>-0.96101099711342941</v>
      </c>
      <c r="Q183">
        <v>0.1360338541838359</v>
      </c>
      <c r="R183">
        <v>0.24073357460674871</v>
      </c>
      <c r="S183">
        <v>0.314</v>
      </c>
      <c r="T183">
        <v>0.52</v>
      </c>
      <c r="U183">
        <v>1.113</v>
      </c>
    </row>
    <row r="184" spans="5:21" x14ac:dyDescent="0.25">
      <c r="E184" s="170">
        <f t="shared" si="933"/>
        <v>-0.13173486598532902</v>
      </c>
      <c r="F184" s="170">
        <f t="shared" si="933"/>
        <v>0.16502123929571064</v>
      </c>
      <c r="G184" s="170">
        <f t="shared" si="933"/>
        <v>-0.97745276902013811</v>
      </c>
      <c r="H184" s="139"/>
      <c r="I184" s="86"/>
      <c r="J184" s="79">
        <f t="shared" si="930"/>
        <v>3.2160000000000002</v>
      </c>
      <c r="M184">
        <v>0.1091638821707743</v>
      </c>
      <c r="N184">
        <v>3.283095543207676</v>
      </c>
      <c r="O184">
        <v>-0.49440158249997229</v>
      </c>
      <c r="P184">
        <v>-0.93948851336091654</v>
      </c>
      <c r="Q184">
        <v>0.29625628196016235</v>
      </c>
      <c r="R184">
        <v>0.17202775549903504</v>
      </c>
      <c r="S184">
        <v>0.314</v>
      </c>
      <c r="T184">
        <v>0.52</v>
      </c>
      <c r="U184">
        <v>1.119</v>
      </c>
    </row>
    <row r="185" spans="5:21" x14ac:dyDescent="0.25">
      <c r="E185" s="170">
        <f t="shared" si="933"/>
        <v>-0.90753072477553731</v>
      </c>
      <c r="F185" s="170">
        <f t="shared" si="933"/>
        <v>-0.33137257886796301</v>
      </c>
      <c r="G185" s="170">
        <f t="shared" si="933"/>
        <v>-0.25803138871614761</v>
      </c>
      <c r="H185" s="139"/>
      <c r="I185" s="86"/>
      <c r="J185" s="79">
        <f t="shared" si="930"/>
        <v>3.222</v>
      </c>
      <c r="M185">
        <v>0.15588234920333313</v>
      </c>
      <c r="N185">
        <v>3.6207569275582907</v>
      </c>
      <c r="O185">
        <v>-1.1885036759118863</v>
      </c>
      <c r="P185">
        <v>-0.87691222519662104</v>
      </c>
      <c r="Q185">
        <v>0.46662143319308103</v>
      </c>
      <c r="R185">
        <v>0.11527960524544598</v>
      </c>
      <c r="S185">
        <v>0.314</v>
      </c>
      <c r="T185">
        <v>0.52</v>
      </c>
      <c r="U185">
        <v>1.125</v>
      </c>
    </row>
    <row r="186" spans="5:21" x14ac:dyDescent="0.25">
      <c r="E186" s="170">
        <f t="shared" si="933"/>
        <v>-0.98053490328671233</v>
      </c>
      <c r="F186" s="170">
        <f t="shared" si="933"/>
        <v>-0.14480976821114033</v>
      </c>
      <c r="G186" s="170">
        <f t="shared" si="933"/>
        <v>-0.13259500166730928</v>
      </c>
      <c r="H186" s="139"/>
      <c r="I186" s="86"/>
      <c r="J186" s="79">
        <f t="shared" si="930"/>
        <v>3.2280000000000002</v>
      </c>
      <c r="M186">
        <v>0.16481988122623625</v>
      </c>
      <c r="N186">
        <v>3.6792100788210416</v>
      </c>
      <c r="O186">
        <v>-1.9736999999999998</v>
      </c>
      <c r="P186">
        <v>-0.84278135614737548</v>
      </c>
      <c r="Q186">
        <v>0.5382560596318241</v>
      </c>
      <c r="R186">
        <v>1.1339744831728188E-7</v>
      </c>
      <c r="S186">
        <v>0.314</v>
      </c>
      <c r="T186">
        <v>0.52</v>
      </c>
      <c r="U186">
        <v>1.131</v>
      </c>
    </row>
    <row r="187" spans="5:21" x14ac:dyDescent="0.25">
      <c r="E187" s="170">
        <f t="shared" si="933"/>
        <v>-0.95414224591463748</v>
      </c>
      <c r="F187" s="170">
        <f t="shared" si="933"/>
        <v>4.4388571399703779E-2</v>
      </c>
      <c r="G187" s="170">
        <f t="shared" si="933"/>
        <v>-0.29604430291776429</v>
      </c>
      <c r="H187" s="139"/>
      <c r="I187" s="86"/>
      <c r="J187" s="79">
        <f t="shared" si="930"/>
        <v>4.109</v>
      </c>
      <c r="M187">
        <v>2.0514231182241853</v>
      </c>
      <c r="N187">
        <v>1.39768152604278</v>
      </c>
      <c r="O187">
        <v>-3.7800205390219409E-2</v>
      </c>
      <c r="P187">
        <v>-0.45738172233859925</v>
      </c>
      <c r="Q187">
        <v>0.85452443201725636</v>
      </c>
      <c r="R187">
        <v>0.24615026946189156</v>
      </c>
      <c r="S187">
        <v>0.314</v>
      </c>
      <c r="T187">
        <v>0.52</v>
      </c>
      <c r="U187">
        <v>2.1120000000000001</v>
      </c>
    </row>
    <row r="188" spans="5:21" x14ac:dyDescent="0.25">
      <c r="E188" s="170">
        <f t="shared" si="933"/>
        <v>-0.94664367504683422</v>
      </c>
      <c r="F188" s="170">
        <f t="shared" si="933"/>
        <v>0.19224310158300983</v>
      </c>
      <c r="G188" s="170">
        <f t="shared" si="933"/>
        <v>-0.25866646939170213</v>
      </c>
      <c r="H188" s="139"/>
      <c r="I188" s="86"/>
      <c r="J188" s="79">
        <f t="shared" si="930"/>
        <v>4.1150000000000002</v>
      </c>
      <c r="M188">
        <v>2.6694433370615047</v>
      </c>
      <c r="N188">
        <v>1.7497774035637161</v>
      </c>
      <c r="O188">
        <v>-0.39960129658231047</v>
      </c>
      <c r="P188">
        <v>-0.32316837426443368</v>
      </c>
      <c r="Q188">
        <v>0.92946837998477394</v>
      </c>
      <c r="R188">
        <v>0.17790652737817955</v>
      </c>
      <c r="S188">
        <v>0.314</v>
      </c>
      <c r="T188">
        <v>0.52</v>
      </c>
      <c r="U188">
        <v>2.1179999999999999</v>
      </c>
    </row>
    <row r="189" spans="5:21" x14ac:dyDescent="0.25">
      <c r="E189" s="170">
        <f t="shared" si="933"/>
        <v>-0.90934762122261648</v>
      </c>
      <c r="F189" s="170">
        <f t="shared" si="933"/>
        <v>0.36259767107479507</v>
      </c>
      <c r="G189" s="170">
        <f t="shared" si="933"/>
        <v>-0.20398488352793118</v>
      </c>
      <c r="H189" s="139"/>
      <c r="I189" s="86"/>
      <c r="J189" s="79">
        <f t="shared" si="930"/>
        <v>4.1210000000000004</v>
      </c>
      <c r="M189">
        <v>3.0324059417669931</v>
      </c>
      <c r="N189">
        <v>1.9376569042580503</v>
      </c>
      <c r="O189">
        <v>-1.0615032928787316</v>
      </c>
      <c r="P189">
        <v>-0.1435454277288527</v>
      </c>
      <c r="Q189">
        <v>0.98056810289493512</v>
      </c>
      <c r="R189">
        <v>0.13371950404921806</v>
      </c>
      <c r="S189">
        <v>0.314</v>
      </c>
      <c r="T189">
        <v>0.52</v>
      </c>
      <c r="U189">
        <v>2.1240000000000001</v>
      </c>
    </row>
    <row r="190" spans="5:21" x14ac:dyDescent="0.25">
      <c r="E190" s="170">
        <f t="shared" si="933"/>
        <v>-0.83893164203788206</v>
      </c>
      <c r="F190" s="170">
        <f t="shared" si="933"/>
        <v>0.53209801995835893</v>
      </c>
      <c r="G190" s="170">
        <f t="shared" si="933"/>
        <v>-0.11430396819015957</v>
      </c>
      <c r="H190" s="139"/>
      <c r="I190" s="86"/>
      <c r="J190" s="79">
        <f t="shared" si="930"/>
        <v>4.1269999999999998</v>
      </c>
      <c r="M190">
        <v>3.108369257402487</v>
      </c>
      <c r="N190">
        <v>1.9752956663839238</v>
      </c>
      <c r="O190">
        <v>-1.8556999999999999</v>
      </c>
      <c r="P190">
        <v>-4.2485975283767075E-2</v>
      </c>
      <c r="Q190">
        <v>0.99909706330474934</v>
      </c>
      <c r="R190">
        <v>1.1339744821699087E-7</v>
      </c>
      <c r="S190">
        <v>0.314</v>
      </c>
      <c r="T190">
        <v>0.52</v>
      </c>
      <c r="U190">
        <v>2.13</v>
      </c>
    </row>
    <row r="191" spans="5:21" x14ac:dyDescent="0.25">
      <c r="E191" s="170">
        <f t="shared" si="933"/>
        <v>-0.75298920707399963</v>
      </c>
      <c r="F191" s="170">
        <f t="shared" si="933"/>
        <v>0.65803286698314134</v>
      </c>
      <c r="G191" s="170">
        <f t="shared" si="933"/>
        <v>-1.300841921700934E-7</v>
      </c>
      <c r="H191" s="139"/>
      <c r="I191" s="86"/>
      <c r="J191" s="79">
        <f t="shared" si="930"/>
        <v>4.133</v>
      </c>
      <c r="M191">
        <v>0.55066153657573658</v>
      </c>
      <c r="N191">
        <v>-0.20042440846885767</v>
      </c>
      <c r="O191">
        <v>-0.39990129748711323</v>
      </c>
      <c r="P191">
        <v>0.25305567148571528</v>
      </c>
      <c r="Q191">
        <v>0.92281966229859713</v>
      </c>
      <c r="R191">
        <v>0.29045946017304536</v>
      </c>
      <c r="S191">
        <v>0.314</v>
      </c>
      <c r="T191">
        <v>0.52</v>
      </c>
      <c r="U191">
        <v>3.1019999999999999</v>
      </c>
    </row>
    <row r="192" spans="5:21" x14ac:dyDescent="0.25">
      <c r="E192" s="170">
        <f t="shared" si="933"/>
        <v>5.7339919923505241E-2</v>
      </c>
      <c r="F192" s="170">
        <f t="shared" si="933"/>
        <v>0.12927346074575721</v>
      </c>
      <c r="G192" s="170">
        <f t="shared" si="933"/>
        <v>-0.98994974919436252</v>
      </c>
      <c r="H192" s="139"/>
      <c r="I192" s="86"/>
      <c r="J192" s="79">
        <f t="shared" si="930"/>
        <v>4.2149999999999999</v>
      </c>
      <c r="M192">
        <v>1.2319407413836023</v>
      </c>
      <c r="N192">
        <v>-0.44838976024346844</v>
      </c>
      <c r="O192">
        <v>-0.20570071177814689</v>
      </c>
      <c r="P192">
        <v>0.26741864093690504</v>
      </c>
      <c r="Q192">
        <v>0.93058437921929993</v>
      </c>
      <c r="R192">
        <v>0.24999996726497567</v>
      </c>
      <c r="S192">
        <v>0.314</v>
      </c>
      <c r="T192">
        <v>0.52</v>
      </c>
      <c r="U192">
        <v>3.105</v>
      </c>
    </row>
    <row r="193" spans="5:21" x14ac:dyDescent="0.25">
      <c r="E193" s="170">
        <f t="shared" si="933"/>
        <v>-0.73654304466353737</v>
      </c>
      <c r="F193" s="170">
        <f t="shared" si="933"/>
        <v>0.61934056341742982</v>
      </c>
      <c r="G193" s="170">
        <f t="shared" si="933"/>
        <v>-0.27188528806014356</v>
      </c>
      <c r="H193" s="139"/>
      <c r="I193" s="86"/>
      <c r="J193" s="79">
        <f t="shared" si="930"/>
        <v>4.2210000000000001</v>
      </c>
      <c r="M193">
        <v>1.939502820253167</v>
      </c>
      <c r="N193">
        <v>-0.7164665777021757</v>
      </c>
      <c r="O193">
        <v>-2.0600153514862999E-2</v>
      </c>
      <c r="P193">
        <v>0.35581503309976076</v>
      </c>
      <c r="Q193">
        <v>0.89755212734208956</v>
      </c>
      <c r="R193">
        <v>0.26037634478559218</v>
      </c>
      <c r="S193">
        <v>0.314</v>
      </c>
      <c r="T193">
        <v>0.52</v>
      </c>
      <c r="U193">
        <v>3.109</v>
      </c>
    </row>
    <row r="194" spans="5:21" x14ac:dyDescent="0.25">
      <c r="E194" s="170">
        <f t="shared" ref="E194:G213" si="934">E49*-1</f>
        <v>-0.61812012860707777</v>
      </c>
      <c r="F194" s="170">
        <f t="shared" si="934"/>
        <v>0.77050092745944254</v>
      </c>
      <c r="G194" s="170">
        <f t="shared" si="934"/>
        <v>-0.15574282453746768</v>
      </c>
      <c r="H194" s="139"/>
      <c r="I194" s="86"/>
      <c r="J194" s="79">
        <f t="shared" si="930"/>
        <v>4.2270000000000003</v>
      </c>
      <c r="M194">
        <v>2.6706229524600156</v>
      </c>
      <c r="N194">
        <v>-1.0389831272793715</v>
      </c>
      <c r="O194">
        <v>-0.16970060320181946</v>
      </c>
      <c r="P194">
        <v>0.51079086005111707</v>
      </c>
      <c r="Q194">
        <v>0.83305155999310898</v>
      </c>
      <c r="R194">
        <v>0.21240949997890368</v>
      </c>
      <c r="S194">
        <v>0.314</v>
      </c>
      <c r="T194">
        <v>0.52</v>
      </c>
      <c r="U194">
        <v>3.1150000000000002</v>
      </c>
    </row>
    <row r="195" spans="5:21" x14ac:dyDescent="0.25">
      <c r="E195" s="170">
        <f t="shared" si="934"/>
        <v>-0.51686578639574654</v>
      </c>
      <c r="F195" s="170">
        <f t="shared" si="934"/>
        <v>0.7933782431643065</v>
      </c>
      <c r="G195" s="170">
        <f t="shared" si="934"/>
        <v>-0.32155982666842131</v>
      </c>
      <c r="H195" s="139"/>
      <c r="I195" s="86"/>
      <c r="J195" s="79">
        <f t="shared" si="930"/>
        <v>5.1020000000000003</v>
      </c>
      <c r="M195">
        <v>3.188194676699466</v>
      </c>
      <c r="N195">
        <v>-1.2985732316091709</v>
      </c>
      <c r="O195">
        <v>-0.70410221495708036</v>
      </c>
      <c r="P195">
        <v>0.65195028832248558</v>
      </c>
      <c r="Q195">
        <v>0.73965448314742199</v>
      </c>
      <c r="R195">
        <v>0.16694929504537609</v>
      </c>
      <c r="S195">
        <v>0.314</v>
      </c>
      <c r="T195">
        <v>0.52</v>
      </c>
      <c r="U195">
        <v>3.121</v>
      </c>
    </row>
    <row r="196" spans="5:21" x14ac:dyDescent="0.25">
      <c r="E196" s="170">
        <f t="shared" si="934"/>
        <v>-0.51739246610917367</v>
      </c>
      <c r="F196" s="170">
        <f t="shared" si="934"/>
        <v>0.7994688248746914</v>
      </c>
      <c r="G196" s="170">
        <f t="shared" si="934"/>
        <v>-0.30521244087839472</v>
      </c>
      <c r="H196" s="139"/>
      <c r="I196" s="86"/>
      <c r="J196" s="79">
        <f t="shared" si="930"/>
        <v>5.1050000000000004</v>
      </c>
      <c r="M196">
        <v>3.3769372201904901</v>
      </c>
      <c r="N196">
        <v>-1.3994015758652338</v>
      </c>
      <c r="O196">
        <v>-1.4426044422797981</v>
      </c>
      <c r="P196">
        <v>0.78811709781666373</v>
      </c>
      <c r="Q196">
        <v>0.60929405441301832</v>
      </c>
      <c r="R196">
        <v>8.736243692792256E-2</v>
      </c>
      <c r="S196">
        <v>0.314</v>
      </c>
      <c r="T196">
        <v>0.52</v>
      </c>
      <c r="U196">
        <v>3.1269999999999998</v>
      </c>
    </row>
    <row r="197" spans="5:21" x14ac:dyDescent="0.25">
      <c r="E197" s="170">
        <f t="shared" si="934"/>
        <v>-0.47673844246096075</v>
      </c>
      <c r="F197" s="170">
        <f t="shared" si="934"/>
        <v>0.82206126099954924</v>
      </c>
      <c r="G197" s="170">
        <f t="shared" si="934"/>
        <v>-0.31134505077763519</v>
      </c>
      <c r="H197" s="139"/>
      <c r="I197" s="86"/>
      <c r="J197" s="79">
        <f t="shared" si="930"/>
        <v>5.1079999999999997</v>
      </c>
      <c r="M197">
        <v>3.4009548447176456</v>
      </c>
      <c r="N197">
        <v>-1.4132439825421466</v>
      </c>
      <c r="O197">
        <v>-2.2137000000000007</v>
      </c>
      <c r="P197">
        <v>0.79404344755105172</v>
      </c>
      <c r="Q197">
        <v>0.60786100664644338</v>
      </c>
      <c r="R197">
        <v>1.133974479308639E-7</v>
      </c>
      <c r="S197">
        <v>0.314</v>
      </c>
      <c r="T197">
        <v>0.52</v>
      </c>
      <c r="U197">
        <v>3.133</v>
      </c>
    </row>
    <row r="198" spans="5:21" x14ac:dyDescent="0.25">
      <c r="E198" s="170">
        <f t="shared" si="934"/>
        <v>-0.36503599961138339</v>
      </c>
      <c r="F198" s="170">
        <f t="shared" si="934"/>
        <v>0.89161269278466004</v>
      </c>
      <c r="G198" s="170">
        <f t="shared" si="934"/>
        <v>-0.26790954640140346</v>
      </c>
      <c r="H198" s="139"/>
      <c r="I198" s="86"/>
      <c r="J198" s="79">
        <f t="shared" si="930"/>
        <v>5.1139999999999999</v>
      </c>
      <c r="M198">
        <v>0.3301737809021707</v>
      </c>
      <c r="N198">
        <v>-1.9035780189960076</v>
      </c>
      <c r="O198">
        <v>-4.1700000000000272E-2</v>
      </c>
      <c r="P198">
        <v>0.95096431162806838</v>
      </c>
      <c r="Q198">
        <v>0.16720390295040674</v>
      </c>
      <c r="R198">
        <v>0.26021093913958582</v>
      </c>
      <c r="S198">
        <v>0.314</v>
      </c>
      <c r="T198">
        <v>0.52</v>
      </c>
      <c r="U198">
        <v>4.1079999999999997</v>
      </c>
    </row>
    <row r="199" spans="5:21" x14ac:dyDescent="0.25">
      <c r="E199" s="170">
        <f t="shared" si="934"/>
        <v>-0.20466469002900967</v>
      </c>
      <c r="F199" s="170">
        <f t="shared" si="934"/>
        <v>0.95573254394476814</v>
      </c>
      <c r="G199" s="170">
        <f t="shared" si="934"/>
        <v>-0.21139458152987617</v>
      </c>
      <c r="H199" s="139"/>
      <c r="I199" s="86"/>
      <c r="J199" s="79">
        <f t="shared" si="930"/>
        <v>5.12</v>
      </c>
      <c r="M199">
        <v>0.42531673613359866</v>
      </c>
      <c r="N199">
        <v>-2.7108461948866256</v>
      </c>
      <c r="O199">
        <v>-0.1143004361149155</v>
      </c>
      <c r="P199">
        <v>0.97425626610641647</v>
      </c>
      <c r="Q199">
        <v>-9.7868323153740139E-4</v>
      </c>
      <c r="R199">
        <v>0.22544127867698929</v>
      </c>
      <c r="S199">
        <v>0.314</v>
      </c>
      <c r="T199">
        <v>0.52</v>
      </c>
      <c r="U199">
        <v>4.1139999999999999</v>
      </c>
    </row>
    <row r="200" spans="5:21" x14ac:dyDescent="0.25">
      <c r="E200" s="170">
        <f t="shared" si="934"/>
        <v>-1.8468966883841465E-2</v>
      </c>
      <c r="F200" s="170">
        <f t="shared" si="934"/>
        <v>0.99031054419263975</v>
      </c>
      <c r="G200" s="170">
        <f t="shared" si="934"/>
        <v>-0.1376369257253349</v>
      </c>
      <c r="H200" s="139"/>
      <c r="I200" s="86"/>
      <c r="J200" s="79">
        <f t="shared" si="930"/>
        <v>5.1260000000000003</v>
      </c>
      <c r="M200">
        <v>0.46646028380177207</v>
      </c>
      <c r="N200">
        <v>-3.3355520124079443</v>
      </c>
      <c r="O200">
        <v>-0.59620188952969833</v>
      </c>
      <c r="P200">
        <v>0.9739206972350658</v>
      </c>
      <c r="Q200">
        <v>-0.15636367987350261</v>
      </c>
      <c r="R200">
        <v>0.16440460794509451</v>
      </c>
      <c r="S200">
        <v>0.314</v>
      </c>
      <c r="T200">
        <v>0.52</v>
      </c>
      <c r="U200">
        <v>4.12</v>
      </c>
    </row>
    <row r="201" spans="5:21" x14ac:dyDescent="0.25">
      <c r="E201" s="170">
        <f t="shared" si="934"/>
        <v>0.15901988916828855</v>
      </c>
      <c r="F201" s="170">
        <f t="shared" si="934"/>
        <v>0.98727537944024935</v>
      </c>
      <c r="G201" s="170">
        <f t="shared" si="934"/>
        <v>-1.3008419213987912E-7</v>
      </c>
      <c r="H201" s="139"/>
      <c r="I201" s="86"/>
      <c r="J201" s="79">
        <f t="shared" si="930"/>
        <v>5.1319999999999997</v>
      </c>
      <c r="M201">
        <v>0.47558662080468767</v>
      </c>
      <c r="N201">
        <v>-3.6153644109205287</v>
      </c>
      <c r="O201">
        <v>-1.3117040474842083</v>
      </c>
      <c r="P201">
        <v>0.93354514782553366</v>
      </c>
      <c r="Q201">
        <v>-0.34320816526940162</v>
      </c>
      <c r="R201">
        <v>0.10344859720563496</v>
      </c>
      <c r="S201">
        <v>0.314</v>
      </c>
      <c r="T201">
        <v>0.52</v>
      </c>
      <c r="U201">
        <v>4.1260000000000003</v>
      </c>
    </row>
    <row r="202" spans="5:21" x14ac:dyDescent="0.25">
      <c r="E202" s="170">
        <f t="shared" si="934"/>
        <v>-0.15366351023265451</v>
      </c>
      <c r="F202" s="170">
        <f t="shared" si="934"/>
        <v>2.9313144954184807E-2</v>
      </c>
      <c r="G202" s="170">
        <f t="shared" si="934"/>
        <v>-0.98768834414296602</v>
      </c>
      <c r="H202" s="139"/>
      <c r="I202" s="86"/>
      <c r="J202" s="79">
        <f t="shared" si="930"/>
        <v>5.2050000000000001</v>
      </c>
      <c r="M202">
        <v>0.47657223173183128</v>
      </c>
      <c r="N202">
        <v>-3.6519352839203152</v>
      </c>
      <c r="O202">
        <v>-2.0916999999999999</v>
      </c>
      <c r="P202">
        <v>0.92344479750132735</v>
      </c>
      <c r="Q202">
        <v>-0.38373129396456562</v>
      </c>
      <c r="R202">
        <v>1.1339744835503556E-7</v>
      </c>
      <c r="S202">
        <v>0.314</v>
      </c>
      <c r="T202">
        <v>0.52</v>
      </c>
      <c r="U202">
        <v>4.1319999999999997</v>
      </c>
    </row>
    <row r="203" spans="5:21" x14ac:dyDescent="0.25">
      <c r="E203" s="170">
        <f t="shared" si="934"/>
        <v>-0.15605148771638241</v>
      </c>
      <c r="F203" s="170">
        <f t="shared" si="934"/>
        <v>-1.0939288168336461E-2</v>
      </c>
      <c r="G203" s="170">
        <f t="shared" si="934"/>
        <v>-0.98768834414296591</v>
      </c>
      <c r="H203" s="139"/>
      <c r="I203" s="86"/>
      <c r="J203" s="79">
        <f t="shared" si="930"/>
        <v>5.2080000000000002</v>
      </c>
      <c r="M203">
        <v>-0.67801419194880164</v>
      </c>
      <c r="N203">
        <v>-0.47475064821571616</v>
      </c>
      <c r="O203">
        <v>-0.33520110235132466</v>
      </c>
      <c r="P203">
        <v>0.60890506553846202</v>
      </c>
      <c r="Q203">
        <v>-0.75281779836100604</v>
      </c>
      <c r="R203">
        <v>0.24999996726497561</v>
      </c>
      <c r="S203">
        <v>0.314</v>
      </c>
      <c r="T203">
        <v>0.52</v>
      </c>
      <c r="U203">
        <v>5.1029999999999998</v>
      </c>
    </row>
    <row r="204" spans="5:21" x14ac:dyDescent="0.25">
      <c r="E204" s="170">
        <f t="shared" si="934"/>
        <v>7.0200160682933943E-2</v>
      </c>
      <c r="F204" s="170">
        <f t="shared" si="934"/>
        <v>9.2048464566620788E-3</v>
      </c>
      <c r="G204" s="170">
        <f t="shared" si="934"/>
        <v>-0.99749045521338187</v>
      </c>
      <c r="H204" s="139"/>
      <c r="I204" s="86"/>
      <c r="J204" s="79">
        <f t="shared" si="930"/>
        <v>5.2140000000000004</v>
      </c>
      <c r="M204">
        <v>-1.2718192997700972</v>
      </c>
      <c r="N204">
        <v>-0.89053746093961661</v>
      </c>
      <c r="O204">
        <v>-0.14090051634075718</v>
      </c>
      <c r="P204">
        <v>0.60890506553846202</v>
      </c>
      <c r="Q204">
        <v>-0.75281779836100615</v>
      </c>
      <c r="R204">
        <v>0.24999996726497561</v>
      </c>
      <c r="S204">
        <v>0.314</v>
      </c>
      <c r="T204">
        <v>0.52</v>
      </c>
      <c r="U204">
        <v>5.1059999999999999</v>
      </c>
    </row>
    <row r="205" spans="5:21" x14ac:dyDescent="0.25">
      <c r="E205" s="170">
        <f t="shared" si="934"/>
        <v>0.10279562854540457</v>
      </c>
      <c r="F205" s="170">
        <f t="shared" si="934"/>
        <v>0.95368224575287142</v>
      </c>
      <c r="G205" s="170">
        <f t="shared" si="934"/>
        <v>-0.28270697353923724</v>
      </c>
      <c r="H205" s="139"/>
      <c r="I205" s="86"/>
      <c r="J205" s="79">
        <f t="shared" si="930"/>
        <v>5.22</v>
      </c>
      <c r="M205">
        <v>-1.9338398892513715</v>
      </c>
      <c r="N205">
        <v>-1.3258636937945723</v>
      </c>
      <c r="O205">
        <v>-1.8500147181243591E-2</v>
      </c>
      <c r="P205">
        <v>0.4819646982889132</v>
      </c>
      <c r="Q205">
        <v>-0.83876466970416763</v>
      </c>
      <c r="R205">
        <v>0.25334533439425211</v>
      </c>
      <c r="S205">
        <v>0.314</v>
      </c>
      <c r="T205">
        <v>0.52</v>
      </c>
      <c r="U205">
        <v>5.1109999999999998</v>
      </c>
    </row>
    <row r="206" spans="5:21" x14ac:dyDescent="0.25">
      <c r="E206" s="170">
        <f t="shared" si="934"/>
        <v>0.29918963986181984</v>
      </c>
      <c r="F206" s="170">
        <f t="shared" si="934"/>
        <v>0.93630069595348264</v>
      </c>
      <c r="G206" s="170">
        <f t="shared" si="934"/>
        <v>-0.1839199993376974</v>
      </c>
      <c r="H206" s="139"/>
      <c r="I206" s="86"/>
      <c r="J206" s="79">
        <f t="shared" si="930"/>
        <v>5.226</v>
      </c>
      <c r="M206">
        <v>-2.5799355018057306</v>
      </c>
      <c r="N206">
        <v>-1.7013414048433402</v>
      </c>
      <c r="O206">
        <v>-0.31360103720552862</v>
      </c>
      <c r="P206">
        <v>0.34999648428787478</v>
      </c>
      <c r="Q206">
        <v>-0.91909064943251251</v>
      </c>
      <c r="R206">
        <v>0.18103822555430102</v>
      </c>
      <c r="S206">
        <v>0.314</v>
      </c>
      <c r="T206">
        <v>0.52</v>
      </c>
      <c r="U206">
        <v>5.117</v>
      </c>
    </row>
    <row r="207" spans="5:21" x14ac:dyDescent="0.25">
      <c r="E207" s="170">
        <f t="shared" si="934"/>
        <v>0.56447499454849126</v>
      </c>
      <c r="F207" s="170">
        <f t="shared" si="934"/>
        <v>0.77836726879888984</v>
      </c>
      <c r="G207" s="170">
        <f t="shared" si="934"/>
        <v>-0.27479515168946805</v>
      </c>
      <c r="H207" s="139"/>
      <c r="I207" s="86"/>
      <c r="J207" s="79">
        <f t="shared" si="930"/>
        <v>6.1130000000000004</v>
      </c>
      <c r="M207">
        <v>-2.9957261608019148</v>
      </c>
      <c r="N207">
        <v>-1.9192816266852528</v>
      </c>
      <c r="O207">
        <v>-0.93760291919520555</v>
      </c>
      <c r="P207">
        <v>0.16784912132102703</v>
      </c>
      <c r="Q207">
        <v>-0.97422254466786606</v>
      </c>
      <c r="R207">
        <v>0.15072194907387271</v>
      </c>
      <c r="S207">
        <v>0.314</v>
      </c>
      <c r="T207">
        <v>0.52</v>
      </c>
      <c r="U207">
        <v>5.1230000000000002</v>
      </c>
    </row>
    <row r="208" spans="5:21" x14ac:dyDescent="0.25">
      <c r="E208" s="170">
        <f t="shared" si="934"/>
        <v>0.70609670970216865</v>
      </c>
      <c r="F208" s="170">
        <f t="shared" si="934"/>
        <v>0.66930017842858369</v>
      </c>
      <c r="G208" s="170">
        <f t="shared" si="934"/>
        <v>-0.23122436658630421</v>
      </c>
      <c r="H208" s="139"/>
      <c r="I208" s="86"/>
      <c r="J208" s="79">
        <f t="shared" si="930"/>
        <v>6.1189999999999998</v>
      </c>
      <c r="M208">
        <v>-3.108369257402487</v>
      </c>
      <c r="N208">
        <v>-1.975295666383925</v>
      </c>
      <c r="O208">
        <v>-1.7388000000000001</v>
      </c>
      <c r="P208">
        <v>4.2485975283767526E-2</v>
      </c>
      <c r="Q208">
        <v>-0.99909706330474946</v>
      </c>
      <c r="R208">
        <v>1.1339744821699083E-7</v>
      </c>
      <c r="S208">
        <v>0.314</v>
      </c>
      <c r="T208">
        <v>0.52</v>
      </c>
      <c r="U208">
        <v>5.1289999999999996</v>
      </c>
    </row>
    <row r="209" spans="5:21" x14ac:dyDescent="0.25">
      <c r="E209" s="170">
        <f t="shared" si="934"/>
        <v>0.83151555382680775</v>
      </c>
      <c r="F209" s="170">
        <f t="shared" si="934"/>
        <v>0.53237536468034885</v>
      </c>
      <c r="G209" s="170">
        <f t="shared" si="934"/>
        <v>-0.15861385445654705</v>
      </c>
      <c r="H209" s="139"/>
      <c r="I209" s="86"/>
      <c r="J209" s="79">
        <f t="shared" si="930"/>
        <v>6.125</v>
      </c>
      <c r="M209">
        <v>-1.9925852709492313</v>
      </c>
      <c r="N209">
        <v>0.94660936635495574</v>
      </c>
      <c r="O209">
        <v>-1.2800129989992207E-2</v>
      </c>
      <c r="P209">
        <v>-0.45906968940048559</v>
      </c>
      <c r="Q209">
        <v>-0.85008205648170854</v>
      </c>
      <c r="R209">
        <v>0.25809982084761507</v>
      </c>
      <c r="S209">
        <v>0.314</v>
      </c>
      <c r="T209">
        <v>0.52</v>
      </c>
      <c r="U209">
        <v>6.11</v>
      </c>
    </row>
    <row r="210" spans="5:21" x14ac:dyDescent="0.25">
      <c r="E210" s="170">
        <f t="shared" si="934"/>
        <v>0.93451544989605073</v>
      </c>
      <c r="F210" s="170">
        <f t="shared" si="934"/>
        <v>0.35592256728896149</v>
      </c>
      <c r="G210" s="170">
        <f t="shared" si="934"/>
        <v>-1.3008419215807546E-7</v>
      </c>
      <c r="H210" s="139"/>
      <c r="I210" s="86"/>
      <c r="J210" s="79">
        <f t="shared" si="930"/>
        <v>6.1310000000000002</v>
      </c>
      <c r="M210">
        <v>-2.6699538303051322</v>
      </c>
      <c r="N210">
        <v>1.327154372479308</v>
      </c>
      <c r="O210">
        <v>-0.23650080467122706</v>
      </c>
      <c r="P210">
        <v>-0.60187876238484184</v>
      </c>
      <c r="Q210">
        <v>-0.77373823398964037</v>
      </c>
      <c r="R210">
        <v>0.19766411068447345</v>
      </c>
      <c r="S210">
        <v>0.314</v>
      </c>
      <c r="T210">
        <v>0.52</v>
      </c>
      <c r="U210">
        <v>6.1159999999999997</v>
      </c>
    </row>
    <row r="211" spans="5:21" x14ac:dyDescent="0.25">
      <c r="E211" s="170">
        <f t="shared" si="934"/>
        <v>1.8172028820667464E-7</v>
      </c>
      <c r="F211" s="170">
        <f t="shared" si="934"/>
        <v>1.356969491762922E-7</v>
      </c>
      <c r="G211" s="170">
        <f t="shared" si="934"/>
        <v>-0.99999999999997435</v>
      </c>
      <c r="H211" s="139"/>
      <c r="I211" s="86"/>
      <c r="J211" s="79">
        <f t="shared" si="930"/>
        <v>6.2130000000000001</v>
      </c>
      <c r="M211">
        <v>-3.1158440855294698</v>
      </c>
      <c r="N211">
        <v>1.6058386721470395</v>
      </c>
      <c r="O211">
        <v>-0.81880256089332393</v>
      </c>
      <c r="P211">
        <v>-0.73367246390729779</v>
      </c>
      <c r="Q211">
        <v>-0.66171234148908686</v>
      </c>
      <c r="R211">
        <v>0.15447165702880594</v>
      </c>
      <c r="S211">
        <v>0.314</v>
      </c>
      <c r="T211">
        <v>0.52</v>
      </c>
      <c r="U211">
        <v>6.1219999999999999</v>
      </c>
    </row>
    <row r="212" spans="5:21" x14ac:dyDescent="0.25">
      <c r="E212" s="170">
        <f t="shared" si="934"/>
        <v>0.86116003404108743</v>
      </c>
      <c r="F212" s="170">
        <f t="shared" si="934"/>
        <v>0.40656198530674104</v>
      </c>
      <c r="G212" s="170">
        <f t="shared" si="934"/>
        <v>-0.30514053790637946</v>
      </c>
      <c r="H212" s="139"/>
      <c r="I212" s="86"/>
      <c r="J212" s="79">
        <f t="shared" si="930"/>
        <v>6.2190000000000003</v>
      </c>
      <c r="M212">
        <v>-3.2648408557750335</v>
      </c>
      <c r="N212">
        <v>1.7042789080611622</v>
      </c>
      <c r="O212">
        <v>-1.6198999999999999</v>
      </c>
      <c r="P212">
        <v>-0.84400045002645863</v>
      </c>
      <c r="Q212">
        <v>-0.53634246555267506</v>
      </c>
      <c r="R212">
        <v>1.1339744853067616E-7</v>
      </c>
      <c r="S212">
        <v>0.314</v>
      </c>
      <c r="T212">
        <v>0.52</v>
      </c>
      <c r="U212">
        <v>6.1280000000000001</v>
      </c>
    </row>
    <row r="213" spans="5:21" x14ac:dyDescent="0.25">
      <c r="E213" s="170">
        <f t="shared" si="934"/>
        <v>0.9490732790816534</v>
      </c>
      <c r="F213" s="170">
        <f t="shared" si="934"/>
        <v>0.23524658791419048</v>
      </c>
      <c r="G213" s="170">
        <f t="shared" si="934"/>
        <v>-0.20956849431135671</v>
      </c>
      <c r="H213" s="139"/>
      <c r="I213" s="86"/>
      <c r="J213" s="79">
        <f t="shared" si="930"/>
        <v>6.2249999999999996</v>
      </c>
    </row>
    <row r="214" spans="5:21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21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21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  <c r="M216" t="s">
        <v>391</v>
      </c>
    </row>
    <row r="217" spans="5:21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  <c r="M217">
        <v>0</v>
      </c>
      <c r="N217">
        <v>0.34330103539592277</v>
      </c>
      <c r="O217">
        <v>-0.49520149352770448</v>
      </c>
      <c r="P217">
        <v>-0.93969263802333458</v>
      </c>
      <c r="Q217">
        <v>-8.8521302156295584E-2</v>
      </c>
      <c r="R217">
        <v>0.33036604714967344</v>
      </c>
      <c r="S217">
        <v>0.314</v>
      </c>
      <c r="T217">
        <v>0.52</v>
      </c>
      <c r="U217">
        <v>1.101</v>
      </c>
    </row>
    <row r="218" spans="5:21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  <c r="M218">
        <v>3.9056889284418761E-16</v>
      </c>
      <c r="N218">
        <v>1.0693032250185266</v>
      </c>
      <c r="O218">
        <v>-0.30070090691393542</v>
      </c>
      <c r="P218">
        <v>-0.96592583607220739</v>
      </c>
      <c r="Q218">
        <v>-6.6987279208207184E-2</v>
      </c>
      <c r="R218">
        <v>0.24999996726497564</v>
      </c>
      <c r="S218">
        <v>0.314</v>
      </c>
      <c r="T218">
        <v>0.52</v>
      </c>
      <c r="U218">
        <v>1.1040000000000001</v>
      </c>
    </row>
    <row r="219" spans="5:21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  <c r="M219">
        <v>-8.5370249802008226E-18</v>
      </c>
      <c r="N219">
        <v>1.7943054116251218</v>
      </c>
      <c r="O219">
        <v>-0.1065003212049688</v>
      </c>
      <c r="P219">
        <v>-0.98480775301220813</v>
      </c>
      <c r="Q219">
        <v>-4.4943449187448817E-2</v>
      </c>
      <c r="R219">
        <v>0.16773126119534493</v>
      </c>
      <c r="S219">
        <v>0.314</v>
      </c>
      <c r="T219">
        <v>0.52</v>
      </c>
      <c r="U219">
        <v>1.107</v>
      </c>
    </row>
    <row r="220" spans="5:21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  <c r="M220">
        <v>4.1525127014845876E-2</v>
      </c>
      <c r="N220">
        <v>2.6171784885812936</v>
      </c>
      <c r="O220">
        <v>-0.10080030401371684</v>
      </c>
      <c r="P220">
        <v>-0.96101099711342941</v>
      </c>
      <c r="Q220">
        <v>0.13603385418383587</v>
      </c>
      <c r="R220">
        <v>0.24073357460674868</v>
      </c>
      <c r="S220">
        <v>0.314</v>
      </c>
      <c r="T220">
        <v>0.52</v>
      </c>
      <c r="U220">
        <v>1.113</v>
      </c>
    </row>
    <row r="221" spans="5:21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  <c r="M221">
        <v>0.1091638821707743</v>
      </c>
      <c r="N221">
        <v>3.283095543207676</v>
      </c>
      <c r="O221">
        <v>-0.5247015824999729</v>
      </c>
      <c r="P221">
        <v>-0.93948851336091654</v>
      </c>
      <c r="Q221">
        <v>0.29625628196016229</v>
      </c>
      <c r="R221">
        <v>0.17202775549903498</v>
      </c>
      <c r="S221">
        <v>0.314</v>
      </c>
      <c r="T221">
        <v>0.52</v>
      </c>
      <c r="U221">
        <v>1.119</v>
      </c>
    </row>
    <row r="222" spans="5:21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  <c r="M222">
        <v>0.15588234920333341</v>
      </c>
      <c r="N222">
        <v>3.6207569275582911</v>
      </c>
      <c r="O222">
        <v>-1.2188036759118865</v>
      </c>
      <c r="P222">
        <v>-0.87691222519662104</v>
      </c>
      <c r="Q222">
        <v>0.4666214331930808</v>
      </c>
      <c r="R222">
        <v>0.11527960524544605</v>
      </c>
      <c r="S222">
        <v>0.314</v>
      </c>
      <c r="T222">
        <v>0.52</v>
      </c>
      <c r="U222">
        <v>1.125</v>
      </c>
    </row>
    <row r="223" spans="5:21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  <c r="M223">
        <v>0.16481987833048795</v>
      </c>
      <c r="N223">
        <v>3.6792100806704591</v>
      </c>
      <c r="O223">
        <v>-2.0039999999999996</v>
      </c>
      <c r="P223">
        <v>-0.84278135614737548</v>
      </c>
      <c r="Q223">
        <v>0.5382560596318241</v>
      </c>
      <c r="R223">
        <v>1.1339744831728188E-7</v>
      </c>
      <c r="S223">
        <v>0.314</v>
      </c>
      <c r="T223">
        <v>0.52</v>
      </c>
      <c r="U223">
        <v>1.131</v>
      </c>
    </row>
    <row r="224" spans="5:21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  <c r="M224">
        <v>2.0514241924574272</v>
      </c>
      <c r="N224">
        <v>1.3976799493540377</v>
      </c>
      <c r="O224">
        <v>-6.8100205390219479E-2</v>
      </c>
      <c r="P224">
        <v>-0.45738106556576502</v>
      </c>
      <c r="Q224">
        <v>0.85452478355268535</v>
      </c>
      <c r="R224">
        <v>0.24615026946189161</v>
      </c>
      <c r="S224">
        <v>0.314</v>
      </c>
      <c r="T224">
        <v>0.52</v>
      </c>
      <c r="U224">
        <v>2.1120000000000001</v>
      </c>
    </row>
    <row r="225" spans="5:21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  <c r="M225">
        <v>2.6694446819093658</v>
      </c>
      <c r="N225">
        <v>1.7497753518752186</v>
      </c>
      <c r="O225">
        <v>-0.42990129658231024</v>
      </c>
      <c r="P225">
        <v>-0.3231676598910162</v>
      </c>
      <c r="Q225">
        <v>0.92946862836612276</v>
      </c>
      <c r="R225">
        <v>0.17790652737817927</v>
      </c>
      <c r="S225">
        <v>0.314</v>
      </c>
      <c r="T225">
        <v>0.52</v>
      </c>
      <c r="U225">
        <v>2.1179999999999999</v>
      </c>
    </row>
    <row r="226" spans="5:21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  <c r="M226">
        <v>3.0324074310156819</v>
      </c>
      <c r="N226">
        <v>1.9376545736027169</v>
      </c>
      <c r="O226">
        <v>-1.0918032928787311</v>
      </c>
      <c r="P226">
        <v>-0.14354467408112528</v>
      </c>
      <c r="Q226">
        <v>0.9805682132211786</v>
      </c>
      <c r="R226">
        <v>0.13371950404921776</v>
      </c>
      <c r="S226">
        <v>0.314</v>
      </c>
      <c r="T226">
        <v>0.52</v>
      </c>
      <c r="U226">
        <v>2.1240000000000001</v>
      </c>
    </row>
    <row r="227" spans="5:21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  <c r="M227">
        <v>3.108370775579655</v>
      </c>
      <c r="N227">
        <v>1.9752932773444885</v>
      </c>
      <c r="O227">
        <v>-1.8859999999999997</v>
      </c>
      <c r="P227">
        <v>-4.2485207395031144E-2</v>
      </c>
      <c r="Q227">
        <v>0.99909709595844021</v>
      </c>
      <c r="R227">
        <v>1.1339744825155341E-7</v>
      </c>
      <c r="S227">
        <v>0.314</v>
      </c>
      <c r="T227">
        <v>0.52</v>
      </c>
      <c r="U227">
        <v>2.13</v>
      </c>
    </row>
    <row r="228" spans="5:21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  <c r="M228">
        <v>0.50749224001177151</v>
      </c>
      <c r="N228">
        <v>-0.29300119061511898</v>
      </c>
      <c r="O228">
        <v>-0.43020129748711322</v>
      </c>
      <c r="P228">
        <v>0.40945766295005809</v>
      </c>
      <c r="Q228">
        <v>0.86485705422772596</v>
      </c>
      <c r="R228">
        <v>0.29045946017304536</v>
      </c>
      <c r="S228">
        <v>0.314</v>
      </c>
      <c r="T228">
        <v>0.52</v>
      </c>
      <c r="U228">
        <v>3.1019999999999999</v>
      </c>
    </row>
    <row r="229" spans="5:21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  <c r="M229">
        <v>1.1353623321765061</v>
      </c>
      <c r="N229">
        <v>-0.65550266364577026</v>
      </c>
      <c r="O229">
        <v>-0.23600071177814663</v>
      </c>
      <c r="P229">
        <v>0.42495075868149645</v>
      </c>
      <c r="Q229">
        <v>0.87000969481008195</v>
      </c>
      <c r="R229">
        <v>0.24999996726497564</v>
      </c>
      <c r="S229">
        <v>0.314</v>
      </c>
      <c r="T229">
        <v>0.52</v>
      </c>
      <c r="U229">
        <v>3.105</v>
      </c>
    </row>
    <row r="230" spans="5:21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  <c r="M230">
        <v>1.7856236683838014</v>
      </c>
      <c r="N230">
        <v>-1.0423740507331463</v>
      </c>
      <c r="O230">
        <v>-5.0900153514863183E-2</v>
      </c>
      <c r="P230">
        <v>0.50626819172170889</v>
      </c>
      <c r="Q230">
        <v>0.8221293554708563</v>
      </c>
      <c r="R230">
        <v>0.26037634478559213</v>
      </c>
      <c r="S230">
        <v>0.314</v>
      </c>
      <c r="T230">
        <v>0.52</v>
      </c>
      <c r="U230">
        <v>3.109</v>
      </c>
    </row>
    <row r="231" spans="5:21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  <c r="M231">
        <v>2.4496317629901974</v>
      </c>
      <c r="N231">
        <v>-1.4869489294279801</v>
      </c>
      <c r="O231">
        <v>-0.20000060320181942</v>
      </c>
      <c r="P231">
        <v>0.64768912696222369</v>
      </c>
      <c r="Q231">
        <v>0.73169734120989172</v>
      </c>
      <c r="R231">
        <v>0.21240949997890371</v>
      </c>
      <c r="S231">
        <v>0.314</v>
      </c>
      <c r="T231">
        <v>0.52</v>
      </c>
      <c r="U231">
        <v>3.1150000000000002</v>
      </c>
    </row>
    <row r="232" spans="5:21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  <c r="M232">
        <v>2.9142628522369391</v>
      </c>
      <c r="N232">
        <v>-1.8324709445059475</v>
      </c>
      <c r="O232">
        <v>-0.73440221495708058</v>
      </c>
      <c r="P232">
        <v>0.77048572368923052</v>
      </c>
      <c r="Q232">
        <v>0.61520702407802108</v>
      </c>
      <c r="R232">
        <v>0.16694929504537581</v>
      </c>
      <c r="S232">
        <v>0.314</v>
      </c>
      <c r="T232">
        <v>0.52</v>
      </c>
      <c r="U232">
        <v>3.121</v>
      </c>
    </row>
    <row r="233" spans="5:21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  <c r="M233">
        <v>3.0826292342779262</v>
      </c>
      <c r="N233">
        <v>-1.9645423802038622</v>
      </c>
      <c r="O233">
        <v>-1.4729044422797986</v>
      </c>
      <c r="P233">
        <v>0.88194691054970442</v>
      </c>
      <c r="Q233">
        <v>0.4631818774367647</v>
      </c>
      <c r="R233">
        <v>8.7362436927923726E-2</v>
      </c>
      <c r="S233">
        <v>0.314</v>
      </c>
      <c r="T233">
        <v>0.52</v>
      </c>
      <c r="U233">
        <v>3.1269999999999998</v>
      </c>
    </row>
    <row r="234" spans="5:21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  <c r="M234">
        <v>3.1013094869057443</v>
      </c>
      <c r="N234">
        <v>-1.9865468952422967</v>
      </c>
      <c r="O234">
        <v>-2.2449999999999966</v>
      </c>
      <c r="P234">
        <v>0.88814955723140332</v>
      </c>
      <c r="Q234">
        <v>0.45955452776536726</v>
      </c>
      <c r="R234">
        <v>1.1339744855140686E-7</v>
      </c>
      <c r="S234">
        <v>0.314</v>
      </c>
      <c r="T234">
        <v>0.52</v>
      </c>
      <c r="U234">
        <v>3.133</v>
      </c>
    </row>
    <row r="235" spans="5:21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  <c r="M235">
        <v>-5.4606636246277949E-3</v>
      </c>
      <c r="N235">
        <v>-1.9321922836904144</v>
      </c>
      <c r="O235">
        <v>-7.2099999999999942E-2</v>
      </c>
      <c r="P235">
        <v>0.96533866476084951</v>
      </c>
      <c r="Q235">
        <v>-7.5218781620930764E-2</v>
      </c>
      <c r="R235">
        <v>0.24992678369715235</v>
      </c>
      <c r="S235">
        <v>0.314</v>
      </c>
      <c r="T235">
        <v>0.52</v>
      </c>
      <c r="U235">
        <v>4.1079999999999997</v>
      </c>
    </row>
    <row r="236" spans="5:21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  <c r="M236">
        <v>-5.1879526878857718E-2</v>
      </c>
      <c r="N236">
        <v>-2.7435178025770948</v>
      </c>
      <c r="O236">
        <v>-0.1446004361149153</v>
      </c>
      <c r="P236">
        <v>0.95928510054804406</v>
      </c>
      <c r="Q236">
        <v>-0.1701420751460764</v>
      </c>
      <c r="R236">
        <v>0.22544127867698932</v>
      </c>
      <c r="S236">
        <v>0.314</v>
      </c>
      <c r="T236">
        <v>0.52</v>
      </c>
      <c r="U236">
        <v>4.1139999999999999</v>
      </c>
    </row>
    <row r="237" spans="5:21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  <c r="M237">
        <v>-0.11984035123529128</v>
      </c>
      <c r="N237">
        <v>-3.3658774062729799</v>
      </c>
      <c r="O237">
        <v>-0.6265018895296991</v>
      </c>
      <c r="P237">
        <v>0.93197223883435998</v>
      </c>
      <c r="Q237">
        <v>-0.3231081412290483</v>
      </c>
      <c r="R237">
        <v>0.16440460794509457</v>
      </c>
      <c r="S237">
        <v>0.314</v>
      </c>
      <c r="T237">
        <v>0.52</v>
      </c>
      <c r="U237">
        <v>4.12</v>
      </c>
    </row>
    <row r="238" spans="5:21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  <c r="M238">
        <v>-0.1594417025992213</v>
      </c>
      <c r="N238">
        <v>-3.6430235795437031</v>
      </c>
      <c r="O238">
        <v>-1.342004047484207</v>
      </c>
      <c r="P238">
        <v>0.85976480006460398</v>
      </c>
      <c r="Q238">
        <v>-0.50010286572470042</v>
      </c>
      <c r="R238">
        <v>0.10344859720563496</v>
      </c>
      <c r="S238">
        <v>0.314</v>
      </c>
      <c r="T238">
        <v>0.52</v>
      </c>
      <c r="U238">
        <v>4.1260000000000003</v>
      </c>
    </row>
    <row r="239" spans="5:21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  <c r="M239">
        <v>-0.16707353002586495</v>
      </c>
      <c r="N239">
        <v>-3.6792085338513631</v>
      </c>
      <c r="O239">
        <v>-2.1219999999999999</v>
      </c>
      <c r="P239">
        <v>0.8424521561560816</v>
      </c>
      <c r="Q239">
        <v>-0.53877116161498118</v>
      </c>
      <c r="R239">
        <v>1.1339744832902593E-7</v>
      </c>
      <c r="S239">
        <v>0.314</v>
      </c>
      <c r="T239">
        <v>0.52</v>
      </c>
      <c r="U239">
        <v>4.1319999999999997</v>
      </c>
    </row>
    <row r="240" spans="5:21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  <c r="M240">
        <v>-0.75015331916270234</v>
      </c>
      <c r="N240">
        <v>-0.34980197285665726</v>
      </c>
      <c r="O240">
        <v>-0.36550110235132471</v>
      </c>
      <c r="P240">
        <v>0.46892874510133475</v>
      </c>
      <c r="Q240">
        <v>-0.84711619532694482</v>
      </c>
      <c r="R240">
        <v>0.24999996726497561</v>
      </c>
      <c r="S240">
        <v>0.314</v>
      </c>
      <c r="T240">
        <v>0.52</v>
      </c>
      <c r="U240">
        <v>5.1029999999999998</v>
      </c>
    </row>
    <row r="241" spans="5:21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  <c r="M241">
        <v>-1.4071379042310157</v>
      </c>
      <c r="N241">
        <v>-0.6561586843750703</v>
      </c>
      <c r="O241">
        <v>-0.17120051634075742</v>
      </c>
      <c r="P241">
        <v>0.46892874510133464</v>
      </c>
      <c r="Q241">
        <v>-0.84711619532694504</v>
      </c>
      <c r="R241">
        <v>0.24999996726497573</v>
      </c>
      <c r="S241">
        <v>0.314</v>
      </c>
      <c r="T241">
        <v>0.52</v>
      </c>
      <c r="U241">
        <v>5.1059999999999999</v>
      </c>
    </row>
    <row r="242" spans="5:21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  <c r="M242">
        <v>-2.1346946113555871</v>
      </c>
      <c r="N242">
        <v>-0.96991245379764135</v>
      </c>
      <c r="O242">
        <v>-4.8800147181243897E-2</v>
      </c>
      <c r="P242">
        <v>0.32899235153830914</v>
      </c>
      <c r="Q242">
        <v>-0.9097143365749264</v>
      </c>
      <c r="R242">
        <v>0.25334533439425211</v>
      </c>
      <c r="S242">
        <v>0.314</v>
      </c>
      <c r="T242">
        <v>0.52</v>
      </c>
      <c r="U242">
        <v>5.1109999999999998</v>
      </c>
    </row>
    <row r="243" spans="5:21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  <c r="M243">
        <v>-2.8361756747094442</v>
      </c>
      <c r="N243">
        <v>-1.2274922857184549</v>
      </c>
      <c r="O243">
        <v>-0.34390103720552789</v>
      </c>
      <c r="P243">
        <v>0.18508055495639816</v>
      </c>
      <c r="Q243">
        <v>-0.96590390260376424</v>
      </c>
      <c r="R243">
        <v>0.1810382255543008</v>
      </c>
      <c r="S243">
        <v>0.314</v>
      </c>
      <c r="T243">
        <v>0.52</v>
      </c>
      <c r="U243">
        <v>5.117</v>
      </c>
    </row>
    <row r="244" spans="5:21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  <c r="M244">
        <v>-3.283494502956783</v>
      </c>
      <c r="N244">
        <v>-1.3699200860258784</v>
      </c>
      <c r="O244">
        <v>-0.96790291919520377</v>
      </c>
      <c r="P244">
        <v>-3.8731399911171851E-3</v>
      </c>
      <c r="Q244">
        <v>-0.98856860806621927</v>
      </c>
      <c r="R244">
        <v>0.15072194907387235</v>
      </c>
      <c r="S244">
        <v>0.314</v>
      </c>
      <c r="T244">
        <v>0.52</v>
      </c>
      <c r="U244">
        <v>5.1230000000000002</v>
      </c>
    </row>
    <row r="245" spans="5:21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  <c r="M245">
        <v>-3.4061215488960932</v>
      </c>
      <c r="N245">
        <v>-1.4010085631949847</v>
      </c>
      <c r="O245">
        <v>-1.7620000000000002</v>
      </c>
      <c r="P245">
        <v>-0.13297631490676357</v>
      </c>
      <c r="Q245">
        <v>-0.99111921567175987</v>
      </c>
      <c r="R245">
        <v>1.1339744837938798E-7</v>
      </c>
      <c r="S245">
        <v>0.314</v>
      </c>
      <c r="T245">
        <v>0.52</v>
      </c>
      <c r="U245">
        <v>5.1289999999999996</v>
      </c>
    </row>
    <row r="246" spans="5:21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  <c r="M246">
        <v>-1.9025002711616701</v>
      </c>
      <c r="N246">
        <v>1.1166727688559985</v>
      </c>
      <c r="O246">
        <v>-4.3100129989992145E-2</v>
      </c>
      <c r="P246">
        <v>-0.53141244565546242</v>
      </c>
      <c r="Q246">
        <v>-0.80683659750962544</v>
      </c>
      <c r="R246">
        <v>0.25809982084761501</v>
      </c>
      <c r="S246">
        <v>0.314</v>
      </c>
      <c r="T246">
        <v>0.52</v>
      </c>
      <c r="U246">
        <v>6.11</v>
      </c>
    </row>
    <row r="247" spans="5:21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  <c r="M247">
        <v>-2.5441244897440836</v>
      </c>
      <c r="N247">
        <v>1.5548063432583483</v>
      </c>
      <c r="O247">
        <v>-0.26680080467122691</v>
      </c>
      <c r="P247">
        <v>-0.66702427106749229</v>
      </c>
      <c r="Q247">
        <v>-0.71833663497986566</v>
      </c>
      <c r="R247">
        <v>0.19766411068447354</v>
      </c>
      <c r="S247">
        <v>0.314</v>
      </c>
      <c r="T247">
        <v>0.52</v>
      </c>
      <c r="U247">
        <v>6.1159999999999997</v>
      </c>
    </row>
    <row r="248" spans="5:21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  <c r="M248">
        <v>-2.9640290129481226</v>
      </c>
      <c r="N248">
        <v>1.8712921248949115</v>
      </c>
      <c r="O248">
        <v>-0.84910256089332381</v>
      </c>
      <c r="P248">
        <v>-0.7885527392879812</v>
      </c>
      <c r="Q248">
        <v>-0.5952504385014733</v>
      </c>
      <c r="R248">
        <v>0.15447165702880566</v>
      </c>
      <c r="S248">
        <v>0.314</v>
      </c>
      <c r="T248">
        <v>0.52</v>
      </c>
      <c r="U248">
        <v>6.1219999999999999</v>
      </c>
    </row>
    <row r="249" spans="5:21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  <c r="M249">
        <v>-3.1013103637309221</v>
      </c>
      <c r="N249">
        <v>1.9865455010684185</v>
      </c>
      <c r="O249">
        <v>-1.6359999999999997</v>
      </c>
      <c r="P249">
        <v>-0.88814934878206853</v>
      </c>
      <c r="Q249">
        <v>-0.45955493062089403</v>
      </c>
      <c r="R249">
        <v>1.133974479894842E-7</v>
      </c>
      <c r="S249">
        <v>0.314</v>
      </c>
      <c r="T249">
        <v>0.52</v>
      </c>
      <c r="U249">
        <v>6.1280000000000001</v>
      </c>
    </row>
    <row r="250" spans="5:21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21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21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21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21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21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21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39" priority="134" stopIfTrue="1" operator="between">
      <formula>9</formula>
      <formula>9.99</formula>
    </cfRule>
    <cfRule type="cellIs" dxfId="38" priority="135" stopIfTrue="1" operator="between">
      <formula>8</formula>
      <formula>8.99</formula>
    </cfRule>
    <cfRule type="cellIs" dxfId="37" priority="136" stopIfTrue="1" operator="between">
      <formula>7</formula>
      <formula>7.99</formula>
    </cfRule>
    <cfRule type="cellIs" dxfId="36" priority="137" stopIfTrue="1" operator="between">
      <formula>6</formula>
      <formula>6.99</formula>
    </cfRule>
    <cfRule type="cellIs" dxfId="35" priority="138" stopIfTrue="1" operator="between">
      <formula>5</formula>
      <formula>5.99</formula>
    </cfRule>
    <cfRule type="cellIs" dxfId="34" priority="139" stopIfTrue="1" operator="between">
      <formula>4</formula>
      <formula>4.99</formula>
    </cfRule>
    <cfRule type="cellIs" dxfId="33" priority="140" stopIfTrue="1" operator="between">
      <formula>3</formula>
      <formula>3.99</formula>
    </cfRule>
    <cfRule type="cellIs" dxfId="32" priority="141" stopIfTrue="1" operator="between">
      <formula>2</formula>
      <formula>2.99</formula>
    </cfRule>
    <cfRule type="cellIs" dxfId="31" priority="142" stopIfTrue="1" operator="between">
      <formula>1</formula>
      <formula>1.99</formula>
    </cfRule>
  </conditionalFormatting>
  <conditionalFormatting sqref="HN9:HN40 HN54:HN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0" stopIfTrue="1" operator="between">
      <formula>9</formula>
      <formula>9.99</formula>
    </cfRule>
    <cfRule type="cellIs" dxfId="29" priority="21" stopIfTrue="1" operator="between">
      <formula>8</formula>
      <formula>8.99</formula>
    </cfRule>
    <cfRule type="cellIs" dxfId="28" priority="22" stopIfTrue="1" operator="between">
      <formula>7</formula>
      <formula>7.99</formula>
    </cfRule>
    <cfRule type="cellIs" dxfId="27" priority="23" stopIfTrue="1" operator="between">
      <formula>6</formula>
      <formula>6.99</formula>
    </cfRule>
    <cfRule type="cellIs" dxfId="26" priority="24" stopIfTrue="1" operator="between">
      <formula>5</formula>
      <formula>5.99</formula>
    </cfRule>
    <cfRule type="cellIs" dxfId="25" priority="25" stopIfTrue="1" operator="between">
      <formula>4</formula>
      <formula>4.99</formula>
    </cfRule>
    <cfRule type="cellIs" dxfId="24" priority="26" stopIfTrue="1" operator="between">
      <formula>3</formula>
      <formula>3.99</formula>
    </cfRule>
    <cfRule type="cellIs" dxfId="23" priority="27" stopIfTrue="1" operator="between">
      <formula>2</formula>
      <formula>2.99</formula>
    </cfRule>
    <cfRule type="cellIs" dxfId="22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8.75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1.1359999999999999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1.2070000000000001</v>
      </c>
      <c r="N172" s="869" t="str">
        <f>Assy.Model!K17</f>
        <v>Inactive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1.212</v>
      </c>
      <c r="N173" s="869" t="str">
        <f>Assy.Model!K18</f>
        <v>Inactive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1.218</v>
      </c>
      <c r="N174" s="869" t="str">
        <f>Assy.Model!K19</f>
        <v>CPS-32193r1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1.224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1.23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2.1110000000000002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2.117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2.1230000000000002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2.129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2.1349999999999998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2.2170000000000001</v>
      </c>
      <c r="N182" s="869" t="str">
        <f>Assy.Model!K27</f>
        <v>CPS-32193r1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2.2229999999999999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2.2290000000000001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3.1030000000000002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3.1059999999999999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3.11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3.1160000000000001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3.1219999999999999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3.1280000000000001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3.1339999999999999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3.206</v>
      </c>
      <c r="N192" s="869" t="str">
        <f>Assy.Model!K37</f>
        <v>Inactive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3.21</v>
      </c>
      <c r="N193" s="869" t="str">
        <f>Assy.Model!K38</f>
        <v>Inactive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3.2160000000000002</v>
      </c>
      <c r="N194" s="869" t="str">
        <f>Assy.Model!K39</f>
        <v>CPS-32193r1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3.222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3.2280000000000002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4.109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4.1150000000000002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4.1210000000000004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4.1269999999999998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4.133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4.2149999999999999</v>
      </c>
      <c r="N202" s="869" t="str">
        <f>Assy.Model!K47</f>
        <v>CPS-32193r1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4.2210000000000001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4.2270000000000003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5.1020000000000003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5.1050000000000004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5.1079999999999997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5.1139999999999999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5.12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5.1260000000000003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5.1319999999999997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5.2050000000000001</v>
      </c>
      <c r="N212" s="869" t="str">
        <f>Assy.Model!K57</f>
        <v>Inactive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5.2080000000000002</v>
      </c>
      <c r="N213" s="869" t="str">
        <f>Assy.Model!K58</f>
        <v>Inactive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5.2140000000000004</v>
      </c>
      <c r="N214" s="869" t="str">
        <f>Assy.Model!K59</f>
        <v>CPS-32193r1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5.22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5.226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6.1130000000000004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6.1189999999999998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6.125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6.1310000000000002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6.2130000000000001</v>
      </c>
      <c r="N221" s="869" t="str">
        <f>Assy.Model!K66</f>
        <v>CPS-32193r1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6.2190000000000003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6.2249999999999996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2023-03-28T20:21:29Z</dcterms:modified>
</cp:coreProperties>
</file>