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8\"/>
    </mc:Choice>
  </mc:AlternateContent>
  <xr:revisionPtr revIDLastSave="0" documentId="8_{7E92BA30-DE95-4FBF-A3EB-0144A511A43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K119" i="1"/>
  <c r="IW119" i="1"/>
  <c r="IR119" i="1"/>
  <c r="IN119" i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28" i="1"/>
  <c r="IF9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2" i="1"/>
  <c r="IF12" i="1"/>
  <c r="IF133" i="1"/>
  <c r="IF149" i="1"/>
  <c r="IF130" i="1"/>
  <c r="IF132" i="1"/>
  <c r="IF110" i="1"/>
  <c r="IF125" i="1"/>
  <c r="IF144" i="1"/>
  <c r="IF139" i="1"/>
  <c r="IF126" i="1"/>
  <c r="IF140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V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Q89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113" i="1"/>
  <c r="IQ120" i="1"/>
  <c r="IQ75" i="1"/>
  <c r="IV69" i="1"/>
  <c r="IV81" i="1"/>
  <c r="IQ88" i="1"/>
  <c r="IQ77" i="1"/>
  <c r="IV71" i="1"/>
  <c r="IV62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V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Q69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5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0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1" i="1" l="1"/>
  <c r="IQ14" i="1"/>
  <c r="IQ112" i="1"/>
  <c r="IV105" i="1"/>
  <c r="IQ111" i="1"/>
  <c r="IV104" i="1"/>
  <c r="IQ98" i="1"/>
  <c r="IV89" i="1"/>
  <c r="IV99" i="1"/>
  <c r="IQ106" i="1"/>
  <c r="AQ121" i="1"/>
  <c r="IU121" i="1"/>
  <c r="IE121" i="1" s="1"/>
  <c r="IQ92" i="1"/>
  <c r="IV96" i="1"/>
  <c r="IQ103" i="1"/>
  <c r="IQ114" i="1"/>
  <c r="IV107" i="1"/>
  <c r="IQ57" i="1"/>
  <c r="IQ78" i="1"/>
  <c r="IV72" i="1"/>
  <c r="IQ91" i="1"/>
  <c r="IQ20" i="1"/>
  <c r="IV115" i="1"/>
  <c r="IQ122" i="1"/>
  <c r="IQ56" i="1"/>
  <c r="IV98" i="1"/>
  <c r="IQ105" i="1"/>
  <c r="IV114" i="1"/>
  <c r="IQ121" i="1"/>
  <c r="IV112" i="1"/>
  <c r="IQ119" i="1"/>
  <c r="IV97" i="1"/>
  <c r="IQ104" i="1"/>
  <c r="IQ47" i="1"/>
  <c r="IQ99" i="1"/>
  <c r="IV92" i="1"/>
  <c r="AQ91" i="1"/>
  <c r="IU91" i="1"/>
  <c r="IE91" i="1" s="1"/>
  <c r="R90" i="1"/>
  <c r="X90" i="1" s="1"/>
  <c r="IU90" i="1" s="1"/>
  <c r="IE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U14" i="1" s="1"/>
  <c r="IE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89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9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47" i="1" l="1"/>
  <c r="IP14" i="1"/>
  <c r="IP20" i="1"/>
  <c r="IP15" i="1"/>
  <c r="IP19" i="1"/>
  <c r="IU15" i="1"/>
  <c r="IE15" i="1" s="1"/>
  <c r="AQ73" i="1"/>
  <c r="IU73" i="1"/>
  <c r="IE73" i="1" s="1"/>
  <c r="AQ103" i="1"/>
  <c r="IU103" i="1"/>
  <c r="IE103" i="1" s="1"/>
  <c r="IP117" i="1"/>
  <c r="IP55" i="1"/>
  <c r="IP69" i="1"/>
  <c r="AQ119" i="1"/>
  <c r="IU119" i="1"/>
  <c r="IE119" i="1" s="1"/>
  <c r="AQ122" i="1"/>
  <c r="IU122" i="1"/>
  <c r="IE122" i="1" s="1"/>
  <c r="IP85" i="1"/>
  <c r="IP57" i="1"/>
  <c r="AQ120" i="1"/>
  <c r="IU120" i="1"/>
  <c r="IE120" i="1" s="1"/>
  <c r="IP56" i="1"/>
  <c r="IU86" i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0" i="1" s="1"/>
  <c r="W79" i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IL15" i="1" s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4" i="1" l="1"/>
  <c r="IL73" i="1"/>
  <c r="IL106" i="1"/>
  <c r="IL105" i="1"/>
  <c r="IL71" i="1"/>
  <c r="IL103" i="1"/>
  <c r="IL107" i="1"/>
  <c r="IL88" i="1"/>
  <c r="IL89" i="1"/>
  <c r="IL38" i="1"/>
  <c r="IL70" i="1"/>
  <c r="IL86" i="1"/>
  <c r="IL92" i="1"/>
  <c r="IL91" i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T15" i="1" s="1"/>
  <c r="AK12" i="1"/>
  <c r="U12" i="1"/>
  <c r="AL12" i="1"/>
  <c r="AN12" i="1" s="1"/>
  <c r="IT14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Y15" i="1"/>
  <c r="IY98" i="1"/>
  <c r="IT105" i="1"/>
  <c r="IY113" i="1"/>
  <c r="IT120" i="1"/>
  <c r="IT98" i="1"/>
  <c r="IY89" i="1"/>
  <c r="IF89" i="1" s="1"/>
  <c r="IT111" i="1"/>
  <c r="IY104" i="1"/>
  <c r="IT86" i="1"/>
  <c r="IY97" i="1"/>
  <c r="IT104" i="1"/>
  <c r="IT112" i="1"/>
  <c r="IY105" i="1"/>
  <c r="IY114" i="1"/>
  <c r="IT121" i="1"/>
  <c r="IY99" i="1"/>
  <c r="IT106" i="1"/>
  <c r="IY112" i="1"/>
  <c r="IT119" i="1"/>
  <c r="IT114" i="1"/>
  <c r="IY107" i="1"/>
  <c r="IY96" i="1"/>
  <c r="IT103" i="1"/>
  <c r="IT113" i="1"/>
  <c r="IY106" i="1"/>
  <c r="IY115" i="1"/>
  <c r="IT122" i="1"/>
  <c r="IT78" i="1"/>
  <c r="IY72" i="1"/>
  <c r="IT20" i="1"/>
  <c r="IT32" i="1"/>
  <c r="IT99" i="1"/>
  <c r="IS94" i="1"/>
  <c r="IX85" i="1"/>
  <c r="IY49" i="1"/>
  <c r="IT56" i="1"/>
  <c r="IT76" i="1"/>
  <c r="IY70" i="1"/>
  <c r="IT77" i="1"/>
  <c r="IY71" i="1"/>
  <c r="IY62" i="1"/>
  <c r="IT69" i="1"/>
  <c r="IY64" i="1"/>
  <c r="IT71" i="1"/>
  <c r="IX71" i="1"/>
  <c r="IY63" i="1"/>
  <c r="IT70" i="1"/>
  <c r="IT75" i="1"/>
  <c r="IY69" i="1"/>
  <c r="IX49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X90" i="1" s="1"/>
  <c r="IF90" i="1" s="1"/>
  <c r="AP90" i="1"/>
  <c r="AO87" i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IS89" i="1" s="1"/>
  <c r="AP81" i="1"/>
  <c r="AO82" i="1"/>
  <c r="IS90" i="1" s="1"/>
  <c r="AP82" i="1"/>
  <c r="AO79" i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S77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AO16" i="1"/>
  <c r="AP16" i="1"/>
  <c r="AO13" i="1"/>
  <c r="IS15" i="1" s="1"/>
  <c r="AP13" i="1"/>
  <c r="AO14" i="1"/>
  <c r="IX14" i="1" s="1"/>
  <c r="IF14" i="1" s="1"/>
  <c r="AP14" i="1"/>
  <c r="AP11" i="1"/>
  <c r="AO12" i="1"/>
  <c r="IS14" i="1" s="1"/>
  <c r="AP12" i="1"/>
  <c r="AO10" i="1"/>
  <c r="AP10" i="1"/>
  <c r="AN10" i="1"/>
  <c r="IT16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15" i="1" l="1"/>
  <c r="IS111" i="1"/>
  <c r="IX104" i="1"/>
  <c r="IS113" i="1"/>
  <c r="IX106" i="1"/>
  <c r="IF106" i="1" s="1"/>
  <c r="IF71" i="1"/>
  <c r="IS20" i="1"/>
  <c r="IX112" i="1"/>
  <c r="IF112" i="1" s="1"/>
  <c r="IS119" i="1"/>
  <c r="IX96" i="1"/>
  <c r="IF96" i="1" s="1"/>
  <c r="IS103" i="1"/>
  <c r="IX97" i="1"/>
  <c r="IF97" i="1" s="1"/>
  <c r="IS104" i="1"/>
  <c r="IX114" i="1"/>
  <c r="IF114" i="1" s="1"/>
  <c r="IS121" i="1"/>
  <c r="IX98" i="1"/>
  <c r="IF98" i="1" s="1"/>
  <c r="IS105" i="1"/>
  <c r="IS112" i="1"/>
  <c r="IX105" i="1"/>
  <c r="IF105" i="1" s="1"/>
  <c r="IS78" i="1"/>
  <c r="IX72" i="1"/>
  <c r="IF72" i="1" s="1"/>
  <c r="IS92" i="1"/>
  <c r="IX99" i="1"/>
  <c r="IF99" i="1" s="1"/>
  <c r="IS106" i="1"/>
  <c r="IX115" i="1"/>
  <c r="IF115" i="1" s="1"/>
  <c r="IS122" i="1"/>
  <c r="IS86" i="1"/>
  <c r="IS114" i="1"/>
  <c r="IX107" i="1"/>
  <c r="IF107" i="1" s="1"/>
  <c r="IT55" i="1"/>
  <c r="IS56" i="1"/>
  <c r="IF104" i="1"/>
  <c r="IX113" i="1"/>
  <c r="IF113" i="1" s="1"/>
  <c r="IS120" i="1"/>
  <c r="IF49" i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S93" i="1"/>
  <c r="IX84" i="1"/>
  <c r="IF84" i="1" s="1"/>
  <c r="IT60" i="1"/>
  <c r="IY57" i="1"/>
  <c r="IF57" i="1" s="1"/>
  <c r="IS75" i="1"/>
  <c r="IX69" i="1"/>
  <c r="IF69" i="1" s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<sst xmlns="http://schemas.openxmlformats.org/spreadsheetml/2006/main" count="736" uniqueCount="393">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</sst>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6.125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3.0625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29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1.112's θ about Z Axis</v>
      </c>
      <c r="U5" s="1021"/>
      <c r="V5" s="1072"/>
      <c r="W5" s="1021" t="str">
        <f>CONCATENATE("Relative to ",M8,"'s θ about Z Axis")</f>
        <v>Relative to 1.112's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1.112's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87.902300302870373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-0.19830059807460382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0.29530089062748616</v>
      </c>
      <c r="D9" s="704">
        <v>-0.28730086649941339</v>
      </c>
      <c r="E9" s="705">
        <v>-0.96592583607220739</v>
      </c>
      <c r="F9" s="703">
        <v>-5.6018678339987645E-2</v>
      </c>
      <c r="G9" s="706">
        <v>0.25268396641901963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0.29530089062748616</v>
      </c>
      <c r="P9" s="625">
        <f t="shared" ref="P9:P40" si="4">IF(M9="","",D9)</f>
        <v>-0.28730086649941339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0.29530089062748616</v>
      </c>
      <c r="S9" s="626">
        <f>IF(M9="","",P9)</f>
        <v>-0.28730086649941339</v>
      </c>
      <c r="T9" s="627">
        <f>IF(M9="","",X9*COS(RADIANS(W9)))</f>
        <v>0.29510299891110342</v>
      </c>
      <c r="U9" s="624">
        <f>IF(M9="","",X9*SIN(RADIANS(W9)))</f>
        <v>1.0809072072099057E-2</v>
      </c>
      <c r="V9" s="628">
        <f>IF(M9="","",Y9)</f>
        <v>-0.28730086649941339</v>
      </c>
      <c r="W9" s="583">
        <f t="shared" ref="W9:W14" si="5">IF(M9="","",IF(Q9-$Q$8&lt;0,360+Q9-$Q$8,Q9-$Q$8))</f>
        <v>2.0976996971296273</v>
      </c>
      <c r="X9" s="629">
        <f>IF(M9="","",R9)</f>
        <v>0.29530089062748616</v>
      </c>
      <c r="Y9" s="630">
        <f>IF(M9="","",S9)</f>
        <v>-0.28730086649941339</v>
      </c>
      <c r="Z9" s="623">
        <f t="shared" ref="Z9:Z40" si="6">IF(M9="","",-E9)</f>
        <v>0.96592583607220739</v>
      </c>
      <c r="AA9" s="624">
        <f t="shared" ref="AA9:AA40" si="7">IF(M9="","",-F9)</f>
        <v>5.6018678339987645E-2</v>
      </c>
      <c r="AB9" s="624">
        <f t="shared" ref="AB9:AB40" si="8">IF(M9="","",-G9)</f>
        <v>-0.25268396641901963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5.6018678339987645E-2</v>
      </c>
      <c r="AF9" s="625">
        <f>IF(M9="","",AB9*(1/SQRT(Z9^2+AA9^2+AB9^2)))</f>
        <v>-0.25268396641901963</v>
      </c>
      <c r="AG9" s="599">
        <f>IF(M9="","",DEGREES(ATAN2(-AF9,AE9)))</f>
        <v>12.499998195223556</v>
      </c>
      <c r="AH9" s="600">
        <f>IF(M9="","",DEGREES(ACOS(AD9)))</f>
        <v>14.999997834268255</v>
      </c>
      <c r="AI9" s="583">
        <f>IF(M9="","",DEGREES(-ACOS(-AF9)))</f>
        <v>-75.36360748526684</v>
      </c>
      <c r="AJ9" s="601">
        <f>IF(M9="","",DEGREES(ATAN2(-AE9,AD9)))</f>
        <v>93.31913956845878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5.6018678339987645E-2</v>
      </c>
      <c r="AM9" s="626">
        <f>IF(M9="","",AF9)</f>
        <v>-0.25268396641901963</v>
      </c>
      <c r="AN9" s="581">
        <f>IF(M9="","",DEGREES(ATAN2(-AM9,AL9)))</f>
        <v>12.499998195223556</v>
      </c>
      <c r="AO9" s="582">
        <f>IF(ROUND(IF(M9="",0,DEGREES(ACOS(AK9))),4)=90,0,IF(M9="","",DEGREES(ACOS(AK9))))</f>
        <v>14.999997834268255</v>
      </c>
      <c r="AP9" s="781">
        <f>IF(M9="","",DEGREES(ATAN2(AK9,AL9)))</f>
        <v>3.3191395684587905</v>
      </c>
      <c r="AQ9" s="584">
        <f t="shared" ref="AQ9:AQ40" si="9">IF(M9="","",DEGREES(ATAN(($AS$5*SIN(RADIANS(90)))/(($X9*2*PI())-($AS$5*COS(RADIANS(90)))))))</f>
        <v>7.6737967560026847</v>
      </c>
      <c r="AS9" s="51">
        <f>IF(M9="","",W9)</f>
        <v>2.0976996971296273</v>
      </c>
      <c r="AT9" s="71">
        <f t="shared" ref="AT9:AT40" si="10">IF(M9="","",Y9+(((AS9-$AS$9)*$AS$6)*-1))</f>
        <v>-0.28730086649941339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0.92150277925238233</v>
      </c>
      <c r="D10" s="709">
        <v>-0.14840044757574991</v>
      </c>
      <c r="E10" s="710">
        <v>-0.97629601393762733</v>
      </c>
      <c r="F10" s="708">
        <v>-4.6846093169500239E-2</v>
      </c>
      <c r="G10" s="711">
        <v>0.21130910232229644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0.92150277925238233</v>
      </c>
      <c r="P10" s="633">
        <f t="shared" si="4"/>
        <v>-0.14840044757574991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0.92150277925238233</v>
      </c>
      <c r="S10" s="634">
        <f t="shared" ref="S10:S105" si="80">IF(M10="","",P10)</f>
        <v>-0.14840044757574991</v>
      </c>
      <c r="T10" s="635">
        <f t="shared" ref="T10:T105" si="81">IF(M10="","",X10*COS(RADIANS(W10)))</f>
        <v>0.9208852471946557</v>
      </c>
      <c r="U10" s="629">
        <f t="shared" ref="U10:U105" si="82">IF(M10="","",X10*SIN(RADIANS(W10)))</f>
        <v>3.373030787145033E-2</v>
      </c>
      <c r="V10" s="636">
        <f>IF(M10="","",Y10)</f>
        <v>-0.14840044757574991</v>
      </c>
      <c r="W10" s="585">
        <f t="shared" si="5"/>
        <v>2.0976996971296273</v>
      </c>
      <c r="X10" s="629">
        <f t="shared" ref="X10:X105" si="83">IF(M10="","",R10)</f>
        <v>0.92150277925238233</v>
      </c>
      <c r="Y10" s="630">
        <f>IF(M10="","",S10)</f>
        <v>-0.14840044757574991</v>
      </c>
      <c r="Z10" s="632">
        <f t="shared" si="6"/>
        <v>0.97629601393762733</v>
      </c>
      <c r="AA10" s="629">
        <f t="shared" si="7"/>
        <v>4.6846093169500239E-2</v>
      </c>
      <c r="AB10" s="629">
        <f t="shared" si="8"/>
        <v>-0.21130910232229644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4.6846093169500239E-2</v>
      </c>
      <c r="AF10" s="633">
        <f t="shared" ref="AF10:AF105" si="86">IF(M10="","",AB10*(1/SQRT(Z10^2+AA10^2+AB10^2)))</f>
        <v>-0.21130910232229644</v>
      </c>
      <c r="AG10" s="602">
        <f t="shared" ref="AG10:AG105" si="87">IF(M10="","",DEGREES(ATAN2(-AF10,AE10)))</f>
        <v>12.49999819522356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-77.800919983022339</v>
      </c>
      <c r="AJ10" s="586">
        <f t="shared" ref="AJ10:AJ105" si="90">IF(M10="","",DEGREES(ATAN2(-AE10,AD10)))</f>
        <v>92.747144584757805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4.6846093169500239E-2</v>
      </c>
      <c r="AM10" s="634">
        <f t="shared" ref="AM10:AM105" si="92">IF(M10="","",AF10)</f>
        <v>-0.21130910232229644</v>
      </c>
      <c r="AN10" s="581">
        <f t="shared" ref="AN10:AN105" si="93">IF(M10="","",DEGREES(ATAN2(-AM10,AL10)))</f>
        <v>12.49999819522356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2.7471445847578093</v>
      </c>
      <c r="AQ10" s="586">
        <f t="shared" si="9"/>
        <v>2.4723869871208075</v>
      </c>
      <c r="AS10" s="52">
        <f>IF($M10="","",IF(AND($W10&lt;($AS$9+180),$W10&gt;($AS$9-180)),$W10,IF($W10&gt;($AS$9+180),$W10-360,IF($W10&lt;($AS$9-180),$W10+360,"Error"))))</f>
        <v>2.0976996971296273</v>
      </c>
      <c r="AT10" s="72">
        <f t="shared" si="10"/>
        <v>-0.14840044757574991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1.7211429211167532E-2</v>
      </c>
      <c r="C11" s="708">
        <v>1.5846113103150405</v>
      </c>
      <c r="D11" s="709">
        <v>-3.660011038593293E-2</v>
      </c>
      <c r="E11" s="710">
        <v>-0.97459268930602805</v>
      </c>
      <c r="F11" s="708">
        <v>5.8573570482870367E-2</v>
      </c>
      <c r="G11" s="711">
        <v>0.21619025600644515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1.7211429211167532E-2</v>
      </c>
      <c r="O11" s="629">
        <f t="shared" si="3"/>
        <v>1.5846113103150405</v>
      </c>
      <c r="P11" s="633">
        <f t="shared" si="4"/>
        <v>-3.660011038593293E-2</v>
      </c>
      <c r="Q11" s="585">
        <f t="shared" ref="Q11:Q73" si="113">IF(M11="","",IF(DEGREES(ATAN2(N11,O11))&lt;0,DEGREES(ATAN2(N11,O11))+360,IF(DEGREES(ATAN2(N11,O11))&gt;360,DEGREES(ATAN2(N11,O11))-360,DEGREES(ATAN2(N11,O11)))))</f>
        <v>89.377700089848986</v>
      </c>
      <c r="R11" s="629">
        <f t="shared" si="79"/>
        <v>1.584704779469615</v>
      </c>
      <c r="S11" s="634">
        <f t="shared" si="80"/>
        <v>-3.660011038593293E-2</v>
      </c>
      <c r="T11" s="635">
        <f t="shared" si="81"/>
        <v>1.5841794055113694</v>
      </c>
      <c r="U11" s="629">
        <f t="shared" si="82"/>
        <v>4.0802563981753713E-2</v>
      </c>
      <c r="V11" s="636">
        <f t="shared" ref="V11:V105" si="114">IF(M11="","",Y11)</f>
        <v>-3.660011038593293E-2</v>
      </c>
      <c r="W11" s="585">
        <f t="shared" si="5"/>
        <v>1.4753997869786133</v>
      </c>
      <c r="X11" s="629">
        <f>IF(M11="","",R11)</f>
        <v>1.584704779469615</v>
      </c>
      <c r="Y11" s="630">
        <f>IF(M11="","",S11)</f>
        <v>-3.660011038593293E-2</v>
      </c>
      <c r="Z11" s="632">
        <f t="shared" si="6"/>
        <v>0.97459268930602805</v>
      </c>
      <c r="AA11" s="629">
        <f t="shared" si="7"/>
        <v>-5.8573570482870367E-2</v>
      </c>
      <c r="AB11" s="629">
        <f t="shared" si="8"/>
        <v>-0.21619025600644515</v>
      </c>
      <c r="AC11" s="636">
        <f t="shared" si="84"/>
        <v>1</v>
      </c>
      <c r="AD11" s="637">
        <f t="shared" ref="AD11:AD105" si="115">IF(M11="","",Z11*(1/SQRT(Z11^2+AA11^2+AB11^2)))</f>
        <v>0.97459268930602805</v>
      </c>
      <c r="AE11" s="629">
        <f t="shared" si="85"/>
        <v>-5.8573570482870367E-2</v>
      </c>
      <c r="AF11" s="633">
        <f t="shared" si="86"/>
        <v>-0.21619025600644515</v>
      </c>
      <c r="AG11" s="602">
        <f>IF(M11="","",DEGREES(ATAN2(-AF11,AE11)))</f>
        <v>-15.159510579236455</v>
      </c>
      <c r="AH11" s="603">
        <f t="shared" si="88"/>
        <v>12.943174728976444</v>
      </c>
      <c r="AI11" s="585">
        <f t="shared" si="89"/>
        <v>-77.51463362817374</v>
      </c>
      <c r="AJ11" s="586">
        <f t="shared" si="90"/>
        <v>86.560628436868058</v>
      </c>
      <c r="AK11" s="635">
        <f>IF(M11="","",(COS(RADIANS((90-$Q$8)-W11))*AD11)+(-SIN(RADIANS((90-$Q$8)-W11))*AE11))</f>
        <v>0.97517137154335587</v>
      </c>
      <c r="AL11" s="629">
        <f t="shared" si="91"/>
        <v>-4.7985094874535533E-2</v>
      </c>
      <c r="AM11" s="634">
        <f t="shared" si="92"/>
        <v>-0.21619025600644515</v>
      </c>
      <c r="AN11" s="581">
        <f>IF(M11="","",DEGREES(ATAN2(-AM11,AL11)))</f>
        <v>-12.514364847003476</v>
      </c>
      <c r="AO11" s="582">
        <f>IF(ROUND(IF(M11="",0,DEGREES(ACOS(AK11))),4)=90,0,IF(M11="","",DEGREES(ACOS(AK11))))</f>
        <v>12.794304764697037</v>
      </c>
      <c r="AP11" s="585">
        <f t="shared" si="95"/>
        <v>-2.8170716529809363</v>
      </c>
      <c r="AQ11" s="586">
        <f t="shared" si="9"/>
        <v>1.4382790964896361</v>
      </c>
      <c r="AS11" s="52">
        <f t="shared" ref="AS11:AS42" si="116">IF(G11="","",IF(AND(W11&lt;(AS10+180),W11&gt;(AS10-180)),W11,IF(W11&gt;(AS10+180),W11-360,IF(W11&lt;(AS10-180),W11+360,"Error"))))</f>
        <v>1.4753997869786133</v>
      </c>
      <c r="AT11" s="72">
        <f t="shared" si="10"/>
        <v>-3.6167957670550283E-2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8.3796846239947431E-2</v>
      </c>
      <c r="C12" s="708">
        <v>2.2877727578976934</v>
      </c>
      <c r="D12" s="709">
        <v>-0.19830059807460382</v>
      </c>
      <c r="E12" s="710">
        <v>-0.96542638179380624</v>
      </c>
      <c r="F12" s="708">
        <v>0.19851257892375579</v>
      </c>
      <c r="G12" s="711">
        <v>0.16895164203274135</v>
      </c>
      <c r="H12" s="710">
        <v>0.26600000000000001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1.1120000000000001</v>
      </c>
      <c r="N12" s="632">
        <f t="shared" si="2"/>
        <v>8.3796846239947431E-2</v>
      </c>
      <c r="O12" s="629">
        <f t="shared" si="3"/>
        <v>2.2877727578976934</v>
      </c>
      <c r="P12" s="633">
        <f t="shared" si="4"/>
        <v>-0.19830059807460382</v>
      </c>
      <c r="Q12" s="585">
        <f>IF(M12="","",IF(DEGREES(ATAN2(N12,O12))&lt;0,DEGREES(ATAN2(N12,O12))+360,IF(DEGREES(ATAN2(N12,O12))&gt;360,DEGREES(ATAN2(N12,O12))-360,DEGREES(ATAN2(N12,O12)))))</f>
        <v>87.902300302870373</v>
      </c>
      <c r="R12" s="629">
        <f t="shared" si="79"/>
        <v>2.2893069045496239</v>
      </c>
      <c r="S12" s="634">
        <f t="shared" si="80"/>
        <v>-0.19830059807460382</v>
      </c>
      <c r="T12" s="635">
        <f>IF(M12="","",X12*COS(RADIANS(W12)))</f>
        <v>2.2893069045496239</v>
      </c>
      <c r="U12" s="629">
        <f t="shared" si="82"/>
        <v>0</v>
      </c>
      <c r="V12" s="636">
        <f t="shared" si="114"/>
        <v>-0.19830059807460382</v>
      </c>
      <c r="W12" s="585">
        <f>IF(M12="","",IF(Q12-$Q$8&lt;0,360+Q12-$Q$8,Q12-$Q$8))</f>
        <v>0</v>
      </c>
      <c r="X12" s="629">
        <f t="shared" si="83"/>
        <v>2.2893069045496239</v>
      </c>
      <c r="Y12" s="630">
        <f>IF(M12="","",S12)</f>
        <v>-0.19830059807460382</v>
      </c>
      <c r="Z12" s="632">
        <f t="shared" si="6"/>
        <v>0.96542638179380624</v>
      </c>
      <c r="AA12" s="629">
        <f t="shared" si="7"/>
        <v>-0.19851257892375579</v>
      </c>
      <c r="AB12" s="629">
        <f t="shared" si="8"/>
        <v>-0.16895164203274135</v>
      </c>
      <c r="AC12" s="636">
        <f t="shared" si="84"/>
        <v>1</v>
      </c>
      <c r="AD12" s="637">
        <f t="shared" si="115"/>
        <v>0.96542638179380624</v>
      </c>
      <c r="AE12" s="629">
        <f t="shared" si="85"/>
        <v>-0.19851257892375579</v>
      </c>
      <c r="AF12" s="633">
        <f t="shared" si="86"/>
        <v>-0.16895164203274135</v>
      </c>
      <c r="AG12" s="602">
        <f t="shared" si="87"/>
        <v>-49.599297854571965</v>
      </c>
      <c r="AH12" s="603">
        <f t="shared" si="88"/>
        <v>15.110168753771859</v>
      </c>
      <c r="AI12" s="585">
        <f t="shared" si="89"/>
        <v>-80.273129088119845</v>
      </c>
      <c r="AJ12" s="586">
        <f t="shared" si="90"/>
        <v>78.380695753057083</v>
      </c>
      <c r="AK12" s="635">
        <f t="shared" ref="AK12:AK105" si="211">IF(M12="","",(COS(RADIANS((90-$Q$8)-W12))*AD12)+(-SIN(RADIANS((90-$Q$8)-W12))*AE12))</f>
        <v>0.97204568756331233</v>
      </c>
      <c r="AL12" s="629">
        <f>IF(M12="","",(SIN(RADIANS((90-$Q$8)-W12))*AD12)+(COS(RADIANS((90-$Q$8)-W12))*AE12))</f>
        <v>-0.1630414792131378</v>
      </c>
      <c r="AM12" s="634">
        <f t="shared" si="92"/>
        <v>-0.16895164203274135</v>
      </c>
      <c r="AN12" s="581">
        <f>IF(M12="","",DEGREES(ATAN2(-AM12,AL12)))</f>
        <v>-43.980124589731048</v>
      </c>
      <c r="AO12" s="582">
        <f t="shared" si="94"/>
        <v>13.579349407241546</v>
      </c>
      <c r="AP12" s="585">
        <f t="shared" si="95"/>
        <v>-9.52160454981329</v>
      </c>
      <c r="AQ12" s="586">
        <f t="shared" si="9"/>
        <v>0.99571495673471544</v>
      </c>
      <c r="AS12" s="52">
        <f t="shared" si="116"/>
        <v>0</v>
      </c>
      <c r="AT12" s="72">
        <f>IF(M12="","",Y12+(((AS12-$AS$9)*$AS$6)*-1))</f>
        <v>-0.19684386217381936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0.15019455534807946</v>
      </c>
      <c r="C13" s="708">
        <v>2.8201117910862332</v>
      </c>
      <c r="D13" s="709">
        <v>-0.63160190491134527</v>
      </c>
      <c r="E13" s="710">
        <v>-0.93790828944938665</v>
      </c>
      <c r="F13" s="708">
        <v>0.32395434230679326</v>
      </c>
      <c r="G13" s="711">
        <v>0.12402267809839726</v>
      </c>
      <c r="H13" s="710">
        <v>0.26600000000000001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1.117</v>
      </c>
      <c r="N13" s="632">
        <f t="shared" si="2"/>
        <v>0.15019455534807946</v>
      </c>
      <c r="O13" s="629">
        <f t="shared" si="3"/>
        <v>2.8201117910862332</v>
      </c>
      <c r="P13" s="633">
        <f t="shared" si="4"/>
        <v>-0.63160190491134527</v>
      </c>
      <c r="Q13" s="585">
        <f t="shared" si="113"/>
        <v>86.951400440163326</v>
      </c>
      <c r="R13" s="629">
        <f t="shared" si="79"/>
        <v>2.8241085175112888</v>
      </c>
      <c r="S13" s="634">
        <f t="shared" si="80"/>
        <v>-0.63160190491134527</v>
      </c>
      <c r="T13" s="635">
        <f>IF(M13="","",X13*COS(RADIANS(W13)))</f>
        <v>2.8237195926360394</v>
      </c>
      <c r="U13" s="629">
        <f t="shared" si="82"/>
        <v>-4.6867695091273635E-2</v>
      </c>
      <c r="V13" s="636">
        <f t="shared" si="114"/>
        <v>-0.63160190491134527</v>
      </c>
      <c r="W13" s="585">
        <f t="shared" si="5"/>
        <v>359.04910013729295</v>
      </c>
      <c r="X13" s="629">
        <f t="shared" si="83"/>
        <v>2.8241085175112888</v>
      </c>
      <c r="Y13" s="630">
        <f>IF(M13="","",S13)</f>
        <v>-0.63160190491134527</v>
      </c>
      <c r="Z13" s="632">
        <f t="shared" si="6"/>
        <v>0.93790828944938665</v>
      </c>
      <c r="AA13" s="629">
        <f t="shared" si="7"/>
        <v>-0.32395434230679326</v>
      </c>
      <c r="AB13" s="629">
        <f t="shared" si="8"/>
        <v>-0.12402267809839726</v>
      </c>
      <c r="AC13" s="636">
        <f t="shared" si="84"/>
        <v>1</v>
      </c>
      <c r="AD13" s="637">
        <f>IF(M13="","",Z13*(1/SQRT(Z13^2+AA13^2+AB13^2)))</f>
        <v>0.93790828944938665</v>
      </c>
      <c r="AE13" s="629">
        <f t="shared" si="85"/>
        <v>-0.32395434230679326</v>
      </c>
      <c r="AF13" s="633">
        <f t="shared" si="86"/>
        <v>-0.12402267809839726</v>
      </c>
      <c r="AG13" s="602">
        <f>IF(M13="","",DEGREES(ATAN2(-AF13,AE13)))</f>
        <v>-69.051155537362575</v>
      </c>
      <c r="AH13" s="603">
        <f t="shared" si="88"/>
        <v>20.296803343408651</v>
      </c>
      <c r="AI13" s="585">
        <f t="shared" si="89"/>
        <v>-82.875679812456696</v>
      </c>
      <c r="AJ13" s="586">
        <f t="shared" si="90"/>
        <v>70.94504285764944</v>
      </c>
      <c r="AK13" s="635">
        <f t="shared" si="211"/>
        <v>0.95380980855627351</v>
      </c>
      <c r="AL13" s="629">
        <f t="shared" si="91"/>
        <v>-0.27361510268833167</v>
      </c>
      <c r="AM13" s="634">
        <f t="shared" si="92"/>
        <v>-0.12402267809839726</v>
      </c>
      <c r="AN13" s="581">
        <f t="shared" si="93"/>
        <v>-65.616437495574786</v>
      </c>
      <c r="AO13" s="582">
        <f t="shared" si="94"/>
        <v>17.482298417622602</v>
      </c>
      <c r="AP13" s="585">
        <f t="shared" si="95"/>
        <v>-16.00635758251385</v>
      </c>
      <c r="AQ13" s="586">
        <f t="shared" si="9"/>
        <v>0.80718421225926906</v>
      </c>
      <c r="AS13" s="52">
        <f t="shared" si="116"/>
        <v>-0.95089986270704685</v>
      </c>
      <c r="AT13" s="72">
        <f t="shared" si="10"/>
        <v>-0.62948482188368093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0.22712101604732507</v>
      </c>
      <c r="C14" s="708">
        <v>3.1124336585037313</v>
      </c>
      <c r="D14" s="709">
        <v>-1.2526037778529937</v>
      </c>
      <c r="E14" s="710">
        <v>-0.85479015462253582</v>
      </c>
      <c r="F14" s="708">
        <v>0.51257768317886843</v>
      </c>
      <c r="G14" s="711">
        <v>8.1227521612843009E-2</v>
      </c>
      <c r="H14" s="710">
        <v>0.26600000000000001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1.1220000000000001</v>
      </c>
      <c r="N14" s="632">
        <f t="shared" si="2"/>
        <v>0.22712101604732507</v>
      </c>
      <c r="O14" s="629">
        <f t="shared" si="3"/>
        <v>3.1124336585037313</v>
      </c>
      <c r="P14" s="633">
        <f t="shared" si="4"/>
        <v>-1.2526037778529937</v>
      </c>
      <c r="Q14" s="585">
        <f t="shared" si="113"/>
        <v>85.826400602593196</v>
      </c>
      <c r="R14" s="629">
        <f t="shared" si="79"/>
        <v>3.1207094120595866</v>
      </c>
      <c r="S14" s="634">
        <f t="shared" si="80"/>
        <v>-1.2526037778529937</v>
      </c>
      <c r="T14" s="635">
        <f t="shared" si="81"/>
        <v>3.1186613491443773</v>
      </c>
      <c r="U14" s="629">
        <f t="shared" si="82"/>
        <v>-0.1130425754760733</v>
      </c>
      <c r="V14" s="636">
        <f t="shared" si="114"/>
        <v>-1.2526037778529937</v>
      </c>
      <c r="W14" s="585">
        <f t="shared" si="5"/>
        <v>357.9241002997228</v>
      </c>
      <c r="X14" s="629">
        <f t="shared" si="83"/>
        <v>3.1207094120595866</v>
      </c>
      <c r="Y14" s="630">
        <f t="shared" ref="Y14:Y75" si="223">IF(M14="","",S14)</f>
        <v>-1.2526037778529937</v>
      </c>
      <c r="Z14" s="632">
        <f t="shared" si="6"/>
        <v>0.85479015462253582</v>
      </c>
      <c r="AA14" s="629">
        <f t="shared" si="7"/>
        <v>-0.51257768317886843</v>
      </c>
      <c r="AB14" s="629">
        <f t="shared" si="8"/>
        <v>-8.1227521612843009E-2</v>
      </c>
      <c r="AC14" s="636">
        <f t="shared" si="84"/>
        <v>1</v>
      </c>
      <c r="AD14" s="637">
        <f>IF(M14="","",Z14*(1/SQRT(Z14^2+AA14^2+AB14^2)))</f>
        <v>0.85479015462253582</v>
      </c>
      <c r="AE14" s="629">
        <f t="shared" si="85"/>
        <v>-0.51257768317886843</v>
      </c>
      <c r="AF14" s="633">
        <f t="shared" si="86"/>
        <v>-8.1227521612843009E-2</v>
      </c>
      <c r="AG14" s="602">
        <f t="shared" si="87"/>
        <v>-80.995290206600274</v>
      </c>
      <c r="AH14" s="603">
        <f t="shared" si="88"/>
        <v>31.263440300289542</v>
      </c>
      <c r="AI14" s="585">
        <f t="shared" si="89"/>
        <v>-85.340872803707711</v>
      </c>
      <c r="AJ14" s="586">
        <f t="shared" si="90"/>
        <v>59.050854567679082</v>
      </c>
      <c r="AK14" s="635">
        <f>IF(M14="","",(COS(RADIANS((90-$Q$8)-W14))*AD14)+(-SIN(RADIANS((90-$Q$8)-W14))*AE14))</f>
        <v>0.88982806335014752</v>
      </c>
      <c r="AL14" s="629">
        <f t="shared" si="91"/>
        <v>-0.44900791463754958</v>
      </c>
      <c r="AM14" s="634">
        <f t="shared" si="92"/>
        <v>-8.1227521612843009E-2</v>
      </c>
      <c r="AN14" s="581">
        <f t="shared" si="93"/>
        <v>-79.745840367626755</v>
      </c>
      <c r="AO14" s="582">
        <f t="shared" si="94"/>
        <v>27.148350648795923</v>
      </c>
      <c r="AP14" s="585">
        <f>IF(M14="","",DEGREES(ATAN2(AK14,AL14)))</f>
        <v>-26.775546034914058</v>
      </c>
      <c r="AQ14" s="586">
        <f t="shared" si="9"/>
        <v>0.73047593102514252</v>
      </c>
      <c r="AS14" s="52">
        <f t="shared" si="116"/>
        <v>-2.0758997002772048</v>
      </c>
      <c r="AT14" s="72">
        <f t="shared" si="10"/>
        <v>-1.2497054449381277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0.24178277922766142</v>
      </c>
      <c r="C15" s="708">
        <v>3.1787275440640306</v>
      </c>
      <c r="D15" s="709">
        <v>-1.9081057548469567</v>
      </c>
      <c r="E15" s="710">
        <v>-0.77329056882830915</v>
      </c>
      <c r="F15" s="708">
        <v>0.63405180873582667</v>
      </c>
      <c r="G15" s="711">
        <v>1.3008419228602682E-7</v>
      </c>
      <c r="H15" s="710">
        <v>0.26600000000000001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872">
        <f>IF($L14=$JH$22,$JH$29,IF($L14=$JI$22,$JI$29,""))</f>
        <v>60</v>
      </c>
      <c r="M15" s="168">
        <f t="shared" si="1"/>
        <v>1.127</v>
      </c>
      <c r="N15" s="632">
        <f t="shared" si="2"/>
        <v>0.24178277922766142</v>
      </c>
      <c r="O15" s="629">
        <f t="shared" si="3"/>
        <v>3.1787275440640306</v>
      </c>
      <c r="P15" s="633">
        <f t="shared" si="4"/>
        <v>-1.9081057548469567</v>
      </c>
      <c r="Q15" s="585">
        <f t="shared" si="113"/>
        <v>85.650300628018883</v>
      </c>
      <c r="R15" s="629">
        <f t="shared" si="79"/>
        <v>3.1879096147353985</v>
      </c>
      <c r="S15" s="634">
        <f t="shared" si="80"/>
        <v>-1.9081057548469567</v>
      </c>
      <c r="T15" s="635">
        <f t="shared" si="81"/>
        <v>3.1854474819302512</v>
      </c>
      <c r="U15" s="629">
        <f t="shared" si="82"/>
        <v>-0.12526791922363156</v>
      </c>
      <c r="V15" s="636">
        <f t="shared" si="114"/>
        <v>-1.9081057548469567</v>
      </c>
      <c r="W15" s="585">
        <f>IF(M15="","",IF(Q15-$Q$8&lt;0,360+Q15-$Q$8,Q15-$Q$8))</f>
        <v>357.7480003251485</v>
      </c>
      <c r="X15" s="629">
        <f>IF(M15="","",R15)</f>
        <v>3.1879096147353985</v>
      </c>
      <c r="Y15" s="630">
        <f>IF(M15="","",S15)</f>
        <v>-1.9081057548469567</v>
      </c>
      <c r="Z15" s="632">
        <f t="shared" si="6"/>
        <v>0.77329056882830915</v>
      </c>
      <c r="AA15" s="629">
        <f t="shared" si="7"/>
        <v>-0.63405180873582667</v>
      </c>
      <c r="AB15" s="629">
        <f t="shared" si="8"/>
        <v>-1.3008419228602682E-7</v>
      </c>
      <c r="AC15" s="636">
        <f t="shared" si="84"/>
        <v>1</v>
      </c>
      <c r="AD15" s="637">
        <f t="shared" si="115"/>
        <v>0.77329056882830915</v>
      </c>
      <c r="AE15" s="629">
        <f t="shared" si="85"/>
        <v>-0.63405180873582667</v>
      </c>
      <c r="AF15" s="633">
        <f t="shared" si="86"/>
        <v>-1.3008419228602682E-7</v>
      </c>
      <c r="AG15" s="602">
        <f t="shared" si="87"/>
        <v>-89.999988245006023</v>
      </c>
      <c r="AH15" s="603">
        <f t="shared" si="88"/>
        <v>39.349694318606971</v>
      </c>
      <c r="AI15" s="585">
        <f t="shared" si="89"/>
        <v>-89.999992546724798</v>
      </c>
      <c r="AJ15" s="586">
        <f t="shared" si="90"/>
        <v>50.650305681393618</v>
      </c>
      <c r="AK15" s="635">
        <f t="shared" si="211"/>
        <v>0.81915209487729268</v>
      </c>
      <c r="AL15" s="629">
        <f t="shared" si="91"/>
        <v>-0.57357636410344359</v>
      </c>
      <c r="AM15" s="634">
        <f t="shared" si="92"/>
        <v>-1.3008419228602682E-7</v>
      </c>
      <c r="AN15" s="581">
        <f>IF(M15="","",DEGREES(ATAN2(-AM15,AL15)))</f>
        <v>-89.999987005609611</v>
      </c>
      <c r="AO15" s="582">
        <f t="shared" si="94"/>
        <v>34.999994946625883</v>
      </c>
      <c r="AP15" s="585">
        <f t="shared" si="95"/>
        <v>-34.999994946625193</v>
      </c>
      <c r="AQ15" s="586">
        <f t="shared" si="9"/>
        <v>0.71507932809813046</v>
      </c>
      <c r="AS15" s="52">
        <f t="shared" si="116"/>
        <v>-2.2519996748515041</v>
      </c>
      <c r="AT15" s="72">
        <f t="shared" si="10"/>
        <v>-1.9050851302830809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0.79746764211369803</v>
      </c>
      <c r="C16" s="708">
        <v>0.44722352077613392</v>
      </c>
      <c r="D16" s="709">
        <v>-0.16912343100932264</v>
      </c>
      <c r="E16" s="710">
        <v>-1.1093389246717E-7</v>
      </c>
      <c r="F16" s="708">
        <v>1.9781202356335968E-7</v>
      </c>
      <c r="G16" s="711">
        <v>0.99999999999997435</v>
      </c>
      <c r="H16" s="710">
        <v>0.19500000000000001</v>
      </c>
      <c r="I16" s="708">
        <v>0.21199999999999999</v>
      </c>
      <c r="J16" s="570">
        <v>1.204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1.204</v>
      </c>
      <c r="N16" s="632">
        <f t="shared" si="2"/>
        <v>0.79746764211369803</v>
      </c>
      <c r="O16" s="629">
        <f t="shared" si="3"/>
        <v>0.44722352077613392</v>
      </c>
      <c r="P16" s="633">
        <f t="shared" si="4"/>
        <v>-0.16912343100932264</v>
      </c>
      <c r="Q16" s="585">
        <f>IF(M16="","",IF(DEGREES(ATAN2(N16,O16))&lt;0,DEGREES(ATAN2(N16,O16))+360,IF(DEGREES(ATAN2(N16,O16))&gt;360,DEGREES(ATAN2(N16,O16))-360,DEGREES(ATAN2(N16,O16)))))</f>
        <v>29.283908766318959</v>
      </c>
      <c r="R16" s="629">
        <f t="shared" si="79"/>
        <v>0.91431040558104892</v>
      </c>
      <c r="S16" s="634">
        <f t="shared" si="80"/>
        <v>-0.16912343100932264</v>
      </c>
      <c r="T16" s="635">
        <f t="shared" si="81"/>
        <v>0.47611399709847924</v>
      </c>
      <c r="U16" s="629">
        <f t="shared" si="82"/>
        <v>-0.78056324504853003</v>
      </c>
      <c r="V16" s="636">
        <f t="shared" si="114"/>
        <v>-0.16912343100932264</v>
      </c>
      <c r="W16" s="585">
        <f>IF(M16="","",IF(Q16-$Q$8&lt;0,360+Q16-$Q$8,Q16-$Q$8))</f>
        <v>301.38160846344863</v>
      </c>
      <c r="X16" s="629">
        <f t="shared" si="83"/>
        <v>0.91431040558104892</v>
      </c>
      <c r="Y16" s="630">
        <f t="shared" si="223"/>
        <v>-0.16912343100932264</v>
      </c>
      <c r="Z16" s="632">
        <f t="shared" si="6"/>
        <v>1.1093389246717E-7</v>
      </c>
      <c r="AA16" s="629">
        <f t="shared" si="7"/>
        <v>-1.9781202356335968E-7</v>
      </c>
      <c r="AB16" s="629">
        <f t="shared" si="8"/>
        <v>-0.99999999999997435</v>
      </c>
      <c r="AC16" s="636">
        <f t="shared" si="84"/>
        <v>1</v>
      </c>
      <c r="AD16" s="637">
        <f t="shared" si="115"/>
        <v>1.1093389246717E-7</v>
      </c>
      <c r="AE16" s="629">
        <f t="shared" si="85"/>
        <v>-1.9781202356335968E-7</v>
      </c>
      <c r="AF16" s="633">
        <f t="shared" si="86"/>
        <v>-0.99999999999997435</v>
      </c>
      <c r="AG16" s="602">
        <f t="shared" si="87"/>
        <v>-1.1333794087123046E-5</v>
      </c>
      <c r="AH16" s="603">
        <f t="shared" si="88"/>
        <v>89.999993643956159</v>
      </c>
      <c r="AI16" s="585">
        <f t="shared" si="89"/>
        <v>-1.2976235990044085E-5</v>
      </c>
      <c r="AJ16" s="586">
        <f t="shared" si="90"/>
        <v>29.283908773622173</v>
      </c>
      <c r="AK16" s="635">
        <f t="shared" si="211"/>
        <v>2.2679489668894405E-7</v>
      </c>
      <c r="AL16" s="629">
        <f t="shared" si="91"/>
        <v>2.890844039640122E-17</v>
      </c>
      <c r="AM16" s="634">
        <f t="shared" si="92"/>
        <v>-0.99999999999997435</v>
      </c>
      <c r="AN16" s="581">
        <f t="shared" si="93"/>
        <v>1.6563316270193288E-15</v>
      </c>
      <c r="AO16" s="582">
        <f t="shared" si="94"/>
        <v>0</v>
      </c>
      <c r="AP16" s="585">
        <f t="shared" si="95"/>
        <v>7.3032138341763248E-9</v>
      </c>
      <c r="AQ16" s="586">
        <f t="shared" si="9"/>
        <v>2.4918114673817993</v>
      </c>
      <c r="AS16" s="52">
        <f t="shared" si="116"/>
        <v>-58.618391536551371</v>
      </c>
      <c r="AT16" s="72">
        <f t="shared" si="10"/>
        <v>-0.12695947876371083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1.204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1.1040000000000001</v>
      </c>
      <c r="II16" s="734" cm="1">
        <f t="array" ref="II16">IFERROR(IF($IH16&lt;1,$IH16+LARGE((IF($M$9:$M$150="",0,$M$9:$M$150)-MOD(IF($M$9:$M$150="",0,$M$9:$M$150),1)),1),$IH16),"")</f>
        <v>1.1040000000000001</v>
      </c>
      <c r="IJ16" s="533">
        <f t="shared" si="112"/>
        <v>1313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60.716091233681027</v>
      </c>
      <c r="IM16" s="759">
        <v>7.1663092959146996E-2</v>
      </c>
      <c r="IN16" s="5">
        <f>IF(ISNUMBER($II16),(($IO16*12)/60)/$AS$3,"")</f>
        <v>0.5</v>
      </c>
      <c r="IO16" s="771">
        <v>250</v>
      </c>
      <c r="IP16" s="9">
        <f>IF(ISNUMBER($II16),(INDEX($X$9:$X$150,MATCH($II16,$M$9:$M$150,0))*-1),"")</f>
        <v>-0.92150277925238233</v>
      </c>
      <c r="IQ16" s="5">
        <f>IF(ISNUMBER($II16),INDEX($Y$9:$Y$150,MATCH($II16,$M$9:$M$150,0)),"")</f>
        <v>-0.14840044757574991</v>
      </c>
      <c r="IR16" s="5">
        <f t="shared" si="71"/>
        <v>0.26600000000000001</v>
      </c>
      <c r="IS16" s="5">
        <f>IF(ISNUMBER($II16),$IR16*COS(RADIANS(INDEX($AO$9:$AO$150,MATCH($II16,$M$9:$M$150,0)))),"")</f>
        <v>0.25969473970740886</v>
      </c>
      <c r="IT16" s="727">
        <f>IF(ISNUMBER($II16),(-1*INDEX($AN$9:$AN$150,MATCH($II16,$M$9:$M$150,0))),"")</f>
        <v>-12.49999819522356</v>
      </c>
      <c r="IU16" s="9">
        <f>IF(ISNUMBER($II16),-$X16,"")</f>
        <v>-0.91431040558104892</v>
      </c>
      <c r="IV16" s="5">
        <f>IF(ISNUMBER($II16),$Y16,"")</f>
        <v>-0.16912343100932264</v>
      </c>
      <c r="IW16" s="5">
        <f t="shared" si="76"/>
        <v>0.19500000000000001</v>
      </c>
      <c r="IX16" s="5">
        <f>IF(ISNUMBER($II16),$IW16*COS(RADIANS($AO16)),"")</f>
        <v>0.19500000000000001</v>
      </c>
      <c r="IY16" s="762">
        <f>IF(ISNUMBER($II16),(-1*$AN16),"")</f>
        <v>-1.6563316270193288E-15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0.86560026117683142</v>
      </c>
      <c r="C17" s="708">
        <v>1.3274130577647796</v>
      </c>
      <c r="D17" s="709">
        <v>-4.3439685186423709E-2</v>
      </c>
      <c r="E17" s="710">
        <v>-1.8997261267832656E-7</v>
      </c>
      <c r="F17" s="708">
        <v>1.2388031154952201E-7</v>
      </c>
      <c r="G17" s="711">
        <v>0.99999999999997435</v>
      </c>
      <c r="H17" s="710">
        <v>0.19500000000000001</v>
      </c>
      <c r="I17" s="708">
        <v>0.21199999999999999</v>
      </c>
      <c r="J17" s="570">
        <v>1.2070000000000001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1.2070000000000001</v>
      </c>
      <c r="N17" s="632">
        <f t="shared" si="2"/>
        <v>0.86560026117683142</v>
      </c>
      <c r="O17" s="629">
        <f t="shared" si="3"/>
        <v>1.3274130577647796</v>
      </c>
      <c r="P17" s="633">
        <f t="shared" si="4"/>
        <v>-4.3439685186423709E-2</v>
      </c>
      <c r="Q17" s="585">
        <f>IF(M17="","",IF(DEGREES(ATAN2(N17,O17))&lt;0,DEGREES(ATAN2(N17,O17))+360,IF(DEGREES(ATAN2(N17,O17))&gt;360,DEGREES(ATAN2(N17,O17))-360,DEGREES(ATAN2(N17,O17)))))</f>
        <v>56.891804780231958</v>
      </c>
      <c r="R17" s="629">
        <f>IF(M17="","",SQRT(N17^2+O17^2))</f>
        <v>1.584704779469615</v>
      </c>
      <c r="S17" s="634">
        <f>IF(M17="","",P17)</f>
        <v>-4.3439685186423709E-2</v>
      </c>
      <c r="T17" s="635">
        <f>IF(M17="","",X17*COS(RADIANS(W17)))</f>
        <v>1.3582075858172187</v>
      </c>
      <c r="U17" s="629">
        <f>IF(M17="","",X17*SIN(RADIANS(W17)))</f>
        <v>-0.81643211101867097</v>
      </c>
      <c r="V17" s="636">
        <f>IF(M17="","",Y17)</f>
        <v>-4.3439685186423709E-2</v>
      </c>
      <c r="W17" s="585">
        <f t="shared" ref="W17:W78" si="224">IF(M17="","",IF(Q17-$Q$8&lt;0,360+Q17-$Q$8,Q17-$Q$8))</f>
        <v>328.98950447736161</v>
      </c>
      <c r="X17" s="629">
        <f>IF(M17="","",R17)</f>
        <v>1.584704779469615</v>
      </c>
      <c r="Y17" s="630">
        <f t="shared" si="223"/>
        <v>-4.3439685186423709E-2</v>
      </c>
      <c r="Z17" s="632">
        <f t="shared" si="6"/>
        <v>1.8997261267832656E-7</v>
      </c>
      <c r="AA17" s="629">
        <f t="shared" si="7"/>
        <v>-1.2388031154952201E-7</v>
      </c>
      <c r="AB17" s="629">
        <f t="shared" si="8"/>
        <v>-0.99999999999997435</v>
      </c>
      <c r="AC17" s="636">
        <f>IF(M17="","",SQRT(Z17^2+AA17^2+AB17^2))</f>
        <v>1</v>
      </c>
      <c r="AD17" s="637">
        <f>IF(M17="","",Z17*(1/SQRT(Z17^2+AA17^2+AB17^2)))</f>
        <v>1.8997261267832656E-7</v>
      </c>
      <c r="AE17" s="629">
        <f>IF(M17="","",AA17*(1/SQRT(Z17^2+AA17^2+AB17^2)))</f>
        <v>-1.2388031154952201E-7</v>
      </c>
      <c r="AF17" s="633">
        <f>IF(M17="","",AB17*(1/SQRT(Z17^2+AA17^2+AB17^2)))</f>
        <v>-0.99999999999997435</v>
      </c>
      <c r="AG17" s="602">
        <f>IF(M17="","",DEGREES(ATAN2(-AF17,AE17)))</f>
        <v>-7.0978190165535043E-6</v>
      </c>
      <c r="AH17" s="603">
        <f>IF(M17="","",DEGREES(ACOS(AD17)))</f>
        <v>89.999989115371065</v>
      </c>
      <c r="AI17" s="585">
        <f>IF(M17="","",DEGREES(-ACOS(-AF17)))</f>
        <v>-1.2976235990044085E-5</v>
      </c>
      <c r="AJ17" s="586">
        <f>IF(M17="","",DEGREES(ATAN2(-AE17,AD17)))</f>
        <v>56.891804780231958</v>
      </c>
      <c r="AK17" s="635">
        <f>IF(M17="","",(COS(RADIANS((90-$Q$8)-W17))*AD17)+(-SIN(RADIANS((90-$Q$8)-W17))*AE17))</f>
        <v>2.2679489667414501E-7</v>
      </c>
      <c r="AL17" s="629">
        <f>IF(M17="","",(SIN(RADIANS((90-$Q$8)-W17))*AD17)+(COS(RADIANS((90-$Q$8)-W17))*AE17))</f>
        <v>-2.6469779601696886E-23</v>
      </c>
      <c r="AM17" s="634">
        <f>IF(M17="","",AF17)</f>
        <v>-0.99999999999997435</v>
      </c>
      <c r="AN17" s="581">
        <f>IF(M17="","",DEGREES(ATAN2(-AM17,AL17)))</f>
        <v>-1.5166066558187479E-21</v>
      </c>
      <c r="AO17" s="582">
        <f t="shared" si="94"/>
        <v>0</v>
      </c>
      <c r="AP17" s="585">
        <f>IF(M17="","",DEGREES(ATAN2(AK17,AL17)))</f>
        <v>-6.6871286702616728E-15</v>
      </c>
      <c r="AQ17" s="586">
        <f t="shared" si="9"/>
        <v>1.4382790964896361</v>
      </c>
      <c r="AS17" s="52">
        <f t="shared" si="116"/>
        <v>-31.010495522638394</v>
      </c>
      <c r="AT17" s="72">
        <f t="shared" si="10"/>
        <v>-2.0447882950473693E-2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734" cm="1">
        <f t="array" ref="II17">IFERROR(IF($IH17&lt;1,$IH17+LARGE((IF($M$9:$M$150="",0,$M$9:$M$150)-MOD(IF($M$9:$M$150="",0,$M$9:$M$150),1)),1),$IH17),"")</f>
        <v>1.107</v>
      </c>
      <c r="IJ17" s="533">
        <f t="shared" si="112"/>
        <v>1313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32.485895309617035</v>
      </c>
      <c r="IM17" s="759">
        <v>7.0910419298945301E-2</v>
      </c>
      <c r="IN17" s="5">
        <f t="shared" ref="IN17:IN80" si="226">IF(ISNUMBER($II17),(($IO17*12)/60)/$AS$3,"")</f>
        <v>0.78</v>
      </c>
      <c r="IO17" s="771">
        <v>390</v>
      </c>
      <c r="IP17" s="9">
        <f t="shared" ref="IP17:IP80" si="227">IF(ISNUMBER($II17),(INDEX($X$9:$X$150,MATCH($II17,$M$9:$M$150,0))*-1),"")</f>
        <v>-1.584704779469615</v>
      </c>
      <c r="IQ17" s="5">
        <f t="shared" ref="IQ17:IQ80" si="228">IF(ISNUMBER($II17),INDEX($Y$9:$Y$150,MATCH($II17,$M$9:$M$150,0)),"")</f>
        <v>-3.660011038593293E-2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0.25939558483053266</v>
      </c>
      <c r="IT17" s="727">
        <f t="shared" ref="IT17:IT80" si="230">IF(ISNUMBER($II17),(-1*INDEX($AN$9:$AN$150,MATCH($II17,$M$9:$M$150,0))),"")</f>
        <v>12.514364847003476</v>
      </c>
      <c r="IU17" s="9">
        <f t="shared" ref="IU17:IU80" si="231">IF(ISNUMBER($II17),-$X17,"")</f>
        <v>-1.584704779469615</v>
      </c>
      <c r="IV17" s="5">
        <f t="shared" ref="IV17:IV80" si="232">IF(ISNUMBER($II17),$Y17,"")</f>
        <v>-4.3439685186423709E-2</v>
      </c>
      <c r="IW17" s="5">
        <f t="shared" si="76"/>
        <v>0.19500000000000001</v>
      </c>
      <c r="IX17" s="5">
        <f t="shared" ref="IX17:IX80" si="233">IF(ISNUMBER($II17),$IW17*COS(RADIANS($AO17)),"")</f>
        <v>0.19500000000000001</v>
      </c>
      <c r="IY17" s="762">
        <f t="shared" ref="IY17:IY80" si="234">IF(ISNUMBER($II17),(-1*$AN17),"")</f>
        <v>1.5166066558187479E-21</v>
      </c>
    </row>
    <row r="18" spans="1:269" ht="15" customHeight="1" x14ac:dyDescent="0.25">
      <c r="A18" s="79"/>
      <c r="B18" s="707">
        <v>1.0088493745432137</v>
      </c>
      <c r="C18" s="708">
        <v>2.077449844952111</v>
      </c>
      <c r="D18" s="709">
        <v>-0.15571597883653987</v>
      </c>
      <c r="E18" s="710">
        <v>-0.77227844461631112</v>
      </c>
      <c r="F18" s="708">
        <v>0.52464425155177463</v>
      </c>
      <c r="G18" s="711">
        <v>0.35823792833072499</v>
      </c>
      <c r="H18" s="710">
        <v>0.219</v>
      </c>
      <c r="I18" s="708">
        <v>0.42</v>
      </c>
      <c r="J18" s="570">
        <v>1.212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1111</v>
      </c>
      <c r="L18" s="779" t="s">
        <v>331</v>
      </c>
      <c r="M18" s="168">
        <f t="shared" si="1"/>
        <v>1.212</v>
      </c>
      <c r="N18" s="632">
        <f t="shared" si="2"/>
        <v>1.0088493745432137</v>
      </c>
      <c r="O18" s="629">
        <f t="shared" si="3"/>
        <v>2.077449844952111</v>
      </c>
      <c r="P18" s="633">
        <f t="shared" si="4"/>
        <v>-0.15571597883653987</v>
      </c>
      <c r="Q18" s="585">
        <f t="shared" si="113"/>
        <v>64.097903739799989</v>
      </c>
      <c r="R18" s="629">
        <f>IF(M18="","",SQRT(N18^2+O18^2))</f>
        <v>2.3094533809557154</v>
      </c>
      <c r="S18" s="634">
        <f>IF(M18="","",P18)</f>
        <v>-0.15571597883653987</v>
      </c>
      <c r="T18" s="635">
        <f>IF(M18="","",X18*COS(RADIANS(W18)))</f>
        <v>2.1129851779526838</v>
      </c>
      <c r="U18" s="629">
        <f>IF(M18="","",X18*SIN(RADIANS(W18)))</f>
        <v>-0.9321311906379115</v>
      </c>
      <c r="V18" s="636">
        <f>IF(M18="","",Y18)</f>
        <v>-0.15571597883653987</v>
      </c>
      <c r="W18" s="585">
        <f t="shared" si="224"/>
        <v>336.19560343692967</v>
      </c>
      <c r="X18" s="629">
        <f>IF(M18="","",R18)</f>
        <v>2.3094533809557154</v>
      </c>
      <c r="Y18" s="630">
        <f t="shared" si="223"/>
        <v>-0.15571597883653987</v>
      </c>
      <c r="Z18" s="632">
        <f t="shared" si="6"/>
        <v>0.77227844461631112</v>
      </c>
      <c r="AA18" s="629">
        <f t="shared" si="7"/>
        <v>-0.52464425155177463</v>
      </c>
      <c r="AB18" s="629">
        <f t="shared" si="8"/>
        <v>-0.35823792833072499</v>
      </c>
      <c r="AC18" s="636">
        <f>IF(M18="","",SQRT(Z18^2+AA18^2+AB18^2))</f>
        <v>1</v>
      </c>
      <c r="AD18" s="637">
        <f>IF(M18="","",Z18*(1/SQRT(Z18^2+AA18^2+AB18^2)))</f>
        <v>0.77227844461631112</v>
      </c>
      <c r="AE18" s="629">
        <f>IF(M18="","",AA18*(1/SQRT(Z18^2+AA18^2+AB18^2)))</f>
        <v>-0.52464425155177463</v>
      </c>
      <c r="AF18" s="633">
        <f>IF(M18="","",AB18*(1/SQRT(Z18^2+AA18^2+AB18^2)))</f>
        <v>-0.35823792833072499</v>
      </c>
      <c r="AG18" s="602">
        <f>IF(M18="","",DEGREES(ATAN2(-AF18,AE18)))</f>
        <v>-55.673931760013524</v>
      </c>
      <c r="AH18" s="603">
        <f>IF(M18="","",DEGREES(ACOS(AD18)))</f>
        <v>39.441065607831227</v>
      </c>
      <c r="AI18" s="585">
        <f>IF(M18="","",DEGREES(-ACOS(-AF18)))</f>
        <v>-69.007979460077564</v>
      </c>
      <c r="AJ18" s="586">
        <f>IF(M18="","",DEGREES(ATAN2(-AE18,AD18)))</f>
        <v>55.809929959651086</v>
      </c>
      <c r="AK18" s="635">
        <f>IF(M18="","",(COS(RADIANS((90-$Q$8)-W18))*AD18)+(-SIN(RADIANS((90-$Q$8)-W18))*AE18))</f>
        <v>0.92387955420894774</v>
      </c>
      <c r="AL18" s="629">
        <f>IF(M18="","",(SIN(RADIANS((90-$Q$8)-W18))*AD18)+(COS(RADIANS((90-$Q$8)-W18))*AE18))</f>
        <v>-0.13458141038043336</v>
      </c>
      <c r="AM18" s="634">
        <f>IF(M18="","",AF18)</f>
        <v>-0.35823792833072499</v>
      </c>
      <c r="AN18" s="581">
        <f>IF(M18="","",DEGREES(ATAN2(-AM18,AL18)))</f>
        <v>-20.589997027172288</v>
      </c>
      <c r="AO18" s="582">
        <f t="shared" si="94"/>
        <v>22.499996751402389</v>
      </c>
      <c r="AP18" s="585">
        <f>IF(M18="","",DEGREES(ATAN2(AK18,AL18)))</f>
        <v>-8.2879737801489384</v>
      </c>
      <c r="AQ18" s="586">
        <f t="shared" si="9"/>
        <v>0.98703058058277759</v>
      </c>
      <c r="AS18" s="52">
        <f t="shared" si="116"/>
        <v>-23.804396563070327</v>
      </c>
      <c r="AT18" s="72">
        <f t="shared" si="10"/>
        <v>-0.13772841198917879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1.212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1.1120000000000001</v>
      </c>
      <c r="II18" s="734" cm="1">
        <f t="array" ref="II18">IFERROR(IF($IH18&lt;1,$IH18+LARGE((IF($M$9:$M$150="",0,$M$9:$M$150)-MOD(IF($M$9:$M$150="",0,$M$9:$M$150),1)),1),$IH18),"")</f>
        <v>1.1120000000000001</v>
      </c>
      <c r="IJ18" s="533">
        <f t="shared" si="112"/>
        <v>1313</v>
      </c>
      <c r="IK18" s="533">
        <f t="shared" si="66"/>
        <v>1111</v>
      </c>
      <c r="IL18" s="727">
        <f t="shared" si="225"/>
        <v>23.804396563070327</v>
      </c>
      <c r="IM18" s="759">
        <v>8.7918476173723704E-3</v>
      </c>
      <c r="IN18" s="5">
        <f t="shared" si="226"/>
        <v>0.14000000000000001</v>
      </c>
      <c r="IO18" s="771">
        <v>70</v>
      </c>
      <c r="IP18" s="9">
        <f t="shared" si="227"/>
        <v>-2.2893069045496239</v>
      </c>
      <c r="IQ18" s="5">
        <f t="shared" si="228"/>
        <v>-0.19830059807460382</v>
      </c>
      <c r="IR18" s="5">
        <f t="shared" si="71"/>
        <v>0.26600000000000001</v>
      </c>
      <c r="IS18" s="5">
        <f t="shared" si="229"/>
        <v>0.25856415289184109</v>
      </c>
      <c r="IT18" s="727">
        <f t="shared" si="230"/>
        <v>43.980124589731048</v>
      </c>
      <c r="IU18" s="9">
        <f t="shared" si="231"/>
        <v>-2.3094533809557154</v>
      </c>
      <c r="IV18" s="5">
        <f t="shared" si="232"/>
        <v>-0.15571597883653987</v>
      </c>
      <c r="IW18" s="5">
        <f t="shared" si="76"/>
        <v>0.219</v>
      </c>
      <c r="IX18" s="5">
        <f t="shared" si="233"/>
        <v>0.20232962237175955</v>
      </c>
      <c r="IY18" s="762">
        <f t="shared" si="234"/>
        <v>20.589997027172288</v>
      </c>
    </row>
    <row r="19" spans="1:269" ht="15" customHeight="1" thickBot="1" x14ac:dyDescent="0.3">
      <c r="A19" s="79"/>
      <c r="B19" s="707">
        <v>2.0542781107035282</v>
      </c>
      <c r="C19" s="708">
        <v>0.67523581768569174</v>
      </c>
      <c r="D19" s="709">
        <v>-0.14240042947969533</v>
      </c>
      <c r="E19" s="710">
        <v>-0.16774167303800847</v>
      </c>
      <c r="F19" s="708">
        <v>0.96878196724400734</v>
      </c>
      <c r="G19" s="711">
        <v>0.18254925655625415</v>
      </c>
      <c r="H19" s="710">
        <v>0.26600000000000001</v>
      </c>
      <c r="I19" s="708">
        <v>0.52</v>
      </c>
      <c r="J19" s="570">
        <v>2.1110000000000002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2.1110000000000002</v>
      </c>
      <c r="N19" s="632">
        <f t="shared" si="2"/>
        <v>2.0542781107035282</v>
      </c>
      <c r="O19" s="629">
        <f t="shared" si="3"/>
        <v>0.67523581768569174</v>
      </c>
      <c r="P19" s="633">
        <f t="shared" si="4"/>
        <v>-0.14240042947969533</v>
      </c>
      <c r="Q19" s="585">
        <f t="shared" si="113"/>
        <v>18.195558389709586</v>
      </c>
      <c r="R19" s="629">
        <f>IF(M19="","",SQRT(N19^2+O19^2))</f>
        <v>2.1624065218180695</v>
      </c>
      <c r="S19" s="634">
        <f>IF(M19="","",P19)</f>
        <v>-0.14240042947969533</v>
      </c>
      <c r="T19" s="635">
        <f>IF(M19="","",X19*COS(RADIANS(W19)))</f>
        <v>0.74997726710328527</v>
      </c>
      <c r="U19" s="629">
        <f>IF(M19="","",X19*SIN(RADIANS(W19)))</f>
        <v>-2.0281854117485434</v>
      </c>
      <c r="V19" s="636">
        <f>IF(M19="","",Y19)</f>
        <v>-0.14240042947969533</v>
      </c>
      <c r="W19" s="585">
        <f t="shared" si="224"/>
        <v>290.29325808683916</v>
      </c>
      <c r="X19" s="629">
        <f>IF(M19="","",R19)</f>
        <v>2.1624065218180695</v>
      </c>
      <c r="Y19" s="630">
        <f t="shared" si="223"/>
        <v>-0.14240042947969533</v>
      </c>
      <c r="Z19" s="632">
        <f t="shared" si="6"/>
        <v>0.16774167303800847</v>
      </c>
      <c r="AA19" s="629">
        <f t="shared" si="7"/>
        <v>-0.96878196724400734</v>
      </c>
      <c r="AB19" s="629">
        <f t="shared" si="8"/>
        <v>-0.18254925655625415</v>
      </c>
      <c r="AC19" s="636">
        <f>IF(M19="","",SQRT(Z19^2+AA19^2+AB19^2))</f>
        <v>1</v>
      </c>
      <c r="AD19" s="637">
        <f>IF(M19="","",Z19*(1/SQRT(Z19^2+AA19^2+AB19^2)))</f>
        <v>0.16774167303800847</v>
      </c>
      <c r="AE19" s="629">
        <f>IF(M19="","",AA19*(1/SQRT(Z19^2+AA19^2+AB19^2)))</f>
        <v>-0.96878196724400734</v>
      </c>
      <c r="AF19" s="633">
        <f>IF(M19="","",AB19*(1/SQRT(Z19^2+AA19^2+AB19^2)))</f>
        <v>-0.18254925655625415</v>
      </c>
      <c r="AG19" s="602">
        <f>IF(M19="","",DEGREES(ATAN2(-AF19,AE19)))</f>
        <v>-79.328782606822372</v>
      </c>
      <c r="AH19" s="603">
        <f>IF(M19="","",DEGREES(ACOS(AD19)))</f>
        <v>80.343458967878362</v>
      </c>
      <c r="AI19" s="585">
        <f>IF(M19="","",DEGREES(-ACOS(-AF19)))</f>
        <v>-79.481717866262315</v>
      </c>
      <c r="AJ19" s="586">
        <f>IF(M19="","",DEGREES(ATAN2(-AE19,AD19)))</f>
        <v>9.8231978801316693</v>
      </c>
      <c r="AK19" s="635">
        <f>IF(M19="","",(COS(RADIANS((90-$Q$8)-W19))*AD19)+(-SIN(RADIANS((90-$Q$8)-W19))*AE19))</f>
        <v>0.97271847540442247</v>
      </c>
      <c r="AL19" s="629">
        <f>IF(M19="","",(SIN(RADIANS((90-$Q$8)-W19))*AD19)+(COS(RADIANS((90-$Q$8)-W19))*AE19))</f>
        <v>-0.14315913012328302</v>
      </c>
      <c r="AM19" s="634">
        <f>IF(M19="","",AF19)</f>
        <v>-0.18254925655625415</v>
      </c>
      <c r="AN19" s="581">
        <f>IF(M19="","",DEGREES(ATAN2(-AM19,AL19)))</f>
        <v>-38.104320344393088</v>
      </c>
      <c r="AO19" s="582">
        <f t="shared" si="94"/>
        <v>13.414184510139632</v>
      </c>
      <c r="AP19" s="585">
        <f>IF(M19="","",DEGREES(ATAN2(AK19,AL19)))</f>
        <v>-8.3723605095778488</v>
      </c>
      <c r="AQ19" s="586">
        <f t="shared" si="9"/>
        <v>1.0541354646137349</v>
      </c>
      <c r="AS19" s="52">
        <f t="shared" si="116"/>
        <v>-69.70674191316084</v>
      </c>
      <c r="AT19" s="72">
        <f t="shared" si="10"/>
        <v>-9.2536233916993615E-2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2.1110000000000002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2.6164613592865416</v>
      </c>
      <c r="C20" s="708">
        <v>0.79098077315753335</v>
      </c>
      <c r="D20" s="709">
        <v>-0.52660158823039005</v>
      </c>
      <c r="E20" s="710">
        <v>-4.922355143672083E-2</v>
      </c>
      <c r="F20" s="708">
        <v>0.99156608803523882</v>
      </c>
      <c r="G20" s="711">
        <v>0.11989051272911233</v>
      </c>
      <c r="H20" s="710">
        <v>0.26600000000000001</v>
      </c>
      <c r="I20" s="708">
        <v>0.52</v>
      </c>
      <c r="J20" s="570">
        <v>2.1160000000000001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250</v>
      </c>
      <c r="M20" s="168">
        <f t="shared" si="1"/>
        <v>2.1160000000000001</v>
      </c>
      <c r="N20" s="632">
        <f t="shared" si="2"/>
        <v>2.6164613592865416</v>
      </c>
      <c r="O20" s="629">
        <f t="shared" si="3"/>
        <v>0.79098077315753335</v>
      </c>
      <c r="P20" s="633">
        <f t="shared" si="4"/>
        <v>-0.52660158823039005</v>
      </c>
      <c r="Q20" s="585">
        <f t="shared" si="113"/>
        <v>16.820558588235002</v>
      </c>
      <c r="R20" s="629">
        <f>IF(M20="","",SQRT(N20^2+O20^2))</f>
        <v>2.7334082439592637</v>
      </c>
      <c r="S20" s="634">
        <f>IF(M20="","",P20)</f>
        <v>-0.52660158823039005</v>
      </c>
      <c r="T20" s="635">
        <f>IF(M20="","",X20*COS(RADIANS(W20)))</f>
        <v>0.88622258161873479</v>
      </c>
      <c r="U20" s="629">
        <f>IF(M20="","",X20*SIN(RADIANS(W20)))</f>
        <v>-2.585755240538727</v>
      </c>
      <c r="V20" s="636">
        <f>IF(M20="","",Y20)</f>
        <v>-0.52660158823039005</v>
      </c>
      <c r="W20" s="585">
        <f t="shared" si="224"/>
        <v>288.91825828536469</v>
      </c>
      <c r="X20" s="629">
        <f>IF(M20="","",R20)</f>
        <v>2.7334082439592637</v>
      </c>
      <c r="Y20" s="630">
        <f t="shared" si="223"/>
        <v>-0.52660158823039005</v>
      </c>
      <c r="Z20" s="632">
        <f t="shared" si="6"/>
        <v>4.922355143672083E-2</v>
      </c>
      <c r="AA20" s="629">
        <f t="shared" si="7"/>
        <v>-0.99156608803523882</v>
      </c>
      <c r="AB20" s="629">
        <f t="shared" si="8"/>
        <v>-0.11989051272911233</v>
      </c>
      <c r="AC20" s="636">
        <f>IF(M20="","",SQRT(Z20^2+AA20^2+AB20^2))</f>
        <v>1</v>
      </c>
      <c r="AD20" s="637">
        <f>IF(M20="","",Z20*(1/SQRT(Z20^2+AA20^2+AB20^2)))</f>
        <v>4.922355143672083E-2</v>
      </c>
      <c r="AE20" s="629">
        <f>IF(M20="","",AA20*(1/SQRT(Z20^2+AA20^2+AB20^2)))</f>
        <v>-0.99156608803523882</v>
      </c>
      <c r="AF20" s="633">
        <f>IF(M20="","",AB20*(1/SQRT(Z20^2+AA20^2+AB20^2)))</f>
        <v>-0.11989051272911233</v>
      </c>
      <c r="AG20" s="602">
        <f>IF(M20="","",DEGREES(ATAN2(-AF20,AE20)))</f>
        <v>-83.105818482390831</v>
      </c>
      <c r="AH20" s="603">
        <f>IF(M20="","",DEGREES(ACOS(AD20)))</f>
        <v>87.178558094323421</v>
      </c>
      <c r="AI20" s="585">
        <f>IF(M20="","",DEGREES(-ACOS(-AF20)))</f>
        <v>-83.114216197553532</v>
      </c>
      <c r="AJ20" s="586">
        <f>IF(M20="","",DEGREES(ATAN2(-AE20,AD20)))</f>
        <v>2.8419572489717546</v>
      </c>
      <c r="AK20" s="635">
        <f>IF(M20="","",(COS(RADIANS((90-$Q$8)-W20))*AD20)+(-SIN(RADIANS((90-$Q$8)-W20))*AE20))</f>
        <v>0.96338673270473274</v>
      </c>
      <c r="AL20" s="629">
        <f>IF(M20="","",(SIN(RADIANS((90-$Q$8)-W20))*AD20)+(COS(RADIANS((90-$Q$8)-W20))*AE20))</f>
        <v>-0.23981715577925228</v>
      </c>
      <c r="AM20" s="634">
        <f>IF(M20="","",AF20)</f>
        <v>-0.11989051272911233</v>
      </c>
      <c r="AN20" s="581">
        <f>IF(M20="","",DEGREES(ATAN2(-AM20,AL20)))</f>
        <v>-63.438401749007753</v>
      </c>
      <c r="AO20" s="582">
        <f t="shared" si="94"/>
        <v>15.552167928275882</v>
      </c>
      <c r="AP20" s="585">
        <f>IF(M20="","",DEGREES(ATAN2(AK20,AL20)))</f>
        <v>-13.978601339263264</v>
      </c>
      <c r="AQ20" s="586">
        <f t="shared" si="9"/>
        <v>0.83396457154254866</v>
      </c>
      <c r="AS20" s="52">
        <f t="shared" si="116"/>
        <v>-71.081741714635314</v>
      </c>
      <c r="AT20" s="72">
        <f t="shared" si="10"/>
        <v>-0.47578253169444218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2.1160000000000001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2.965690689717567</v>
      </c>
      <c r="C21" s="708">
        <v>0.84604497745207508</v>
      </c>
      <c r="D21" s="709">
        <v>-1.1188033743109771</v>
      </c>
      <c r="E21" s="710">
        <v>0.15048720236162419</v>
      </c>
      <c r="F21" s="708">
        <v>0.98371988872073224</v>
      </c>
      <c r="G21" s="711">
        <v>9.8228216214292924E-2</v>
      </c>
      <c r="H21" s="710">
        <v>0.26600000000000001</v>
      </c>
      <c r="I21" s="708">
        <v>0.52</v>
      </c>
      <c r="J21" s="570">
        <v>2.121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2.121</v>
      </c>
      <c r="N21" s="632">
        <f t="shared" si="2"/>
        <v>2.965690689717567</v>
      </c>
      <c r="O21" s="629">
        <f t="shared" si="3"/>
        <v>0.84604497745207508</v>
      </c>
      <c r="P21" s="633">
        <f t="shared" si="4"/>
        <v>-1.1188033743109771</v>
      </c>
      <c r="Q21" s="585">
        <f t="shared" si="113"/>
        <v>15.922258717933449</v>
      </c>
      <c r="R21" s="629">
        <f>IF(M21="","",SQRT(N21^2+O21^2))</f>
        <v>3.0840093013720535</v>
      </c>
      <c r="S21" s="634">
        <f>IF(M21="","",P21)</f>
        <v>-1.1188033743109771</v>
      </c>
      <c r="T21" s="635">
        <f>IF(M21="","",X21*COS(RADIANS(W21)))</f>
        <v>0.95403293186773941</v>
      </c>
      <c r="U21" s="629">
        <f>IF(M21="","",X21*SIN(RADIANS(W21)))</f>
        <v>-2.9327349924364436</v>
      </c>
      <c r="V21" s="636">
        <f>IF(M21="","",Y21)</f>
        <v>-1.1188033743109771</v>
      </c>
      <c r="W21" s="585">
        <f t="shared" si="224"/>
        <v>288.01995841506312</v>
      </c>
      <c r="X21" s="629">
        <f>IF(M21="","",R21)</f>
        <v>3.0840093013720535</v>
      </c>
      <c r="Y21" s="630">
        <f t="shared" si="223"/>
        <v>-1.1188033743109771</v>
      </c>
      <c r="Z21" s="632">
        <f t="shared" si="6"/>
        <v>-0.15048720236162419</v>
      </c>
      <c r="AA21" s="629">
        <f t="shared" si="7"/>
        <v>-0.98371988872073224</v>
      </c>
      <c r="AB21" s="629">
        <f t="shared" si="8"/>
        <v>-9.8228216214292924E-2</v>
      </c>
      <c r="AC21" s="636">
        <f>IF(M21="","",SQRT(Z21^2+AA21^2+AB21^2))</f>
        <v>1</v>
      </c>
      <c r="AD21" s="637">
        <f>IF(M21="","",Z21*(1/SQRT(Z21^2+AA21^2+AB21^2)))</f>
        <v>-0.15048720236162419</v>
      </c>
      <c r="AE21" s="629">
        <f>IF(M21="","",AA21*(1/SQRT(Z21^2+AA21^2+AB21^2)))</f>
        <v>-0.98371988872073224</v>
      </c>
      <c r="AF21" s="633">
        <f>IF(M21="","",AB21*(1/SQRT(Z21^2+AA21^2+AB21^2)))</f>
        <v>-9.8228216214292924E-2</v>
      </c>
      <c r="AG21" s="602">
        <f>IF(M21="","",DEGREES(ATAN2(-AF21,AE21)))</f>
        <v>-84.297697967006428</v>
      </c>
      <c r="AH21" s="603">
        <f>IF(M21="","",DEGREES(ACOS(AD21)))</f>
        <v>98.655161694885948</v>
      </c>
      <c r="AI21" s="585">
        <f>IF(M21="","",DEGREES(-ACOS(-AF21)))</f>
        <v>-84.362847599104839</v>
      </c>
      <c r="AJ21" s="586">
        <f>IF(M21="","",DEGREES(ATAN2(-AE21,AD21)))</f>
        <v>-8.6975474718545485</v>
      </c>
      <c r="AK21" s="635">
        <f>IF(M21="","",(COS(RADIANS((90-$Q$8)-W21))*AD21)+(-SIN(RADIANS((90-$Q$8)-W21))*AE21))</f>
        <v>0.90469570642958796</v>
      </c>
      <c r="AL21" s="629">
        <f>IF(M21="","",(SIN(RADIANS((90-$Q$8)-W21))*AD21)+(COS(RADIANS((90-$Q$8)-W21))*AE21))</f>
        <v>-0.41458038582068363</v>
      </c>
      <c r="AM21" s="634">
        <f>IF(M21="","",AF21)</f>
        <v>-9.8228216214292924E-2</v>
      </c>
      <c r="AN21" s="581">
        <f>IF(M21="","",DEGREES(ATAN2(-AM21,AL21)))</f>
        <v>-76.670479775443994</v>
      </c>
      <c r="AO21" s="582">
        <f>IF(ROUND(IF(M21="",0,DEGREES(ACOS(AK21))),4)=90,0,IF(M21="","",DEGREES(ACOS(AK21))))</f>
        <v>25.217669033438064</v>
      </c>
      <c r="AP21" s="585">
        <f>IF(M21="","",DEGREES(ATAN2(AK21,AL21)))</f>
        <v>-24.619806189788019</v>
      </c>
      <c r="AQ21" s="586">
        <f t="shared" si="9"/>
        <v>0.7391677305398684</v>
      </c>
      <c r="AS21" s="52">
        <f t="shared" si="116"/>
        <v>-71.980041584936885</v>
      </c>
      <c r="AT21" s="72">
        <f t="shared" si="10"/>
        <v>-1.0673604984206531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3.069722025914805</v>
      </c>
      <c r="C22" s="708">
        <v>0.85998511343854023</v>
      </c>
      <c r="D22" s="709">
        <v>-1.7843053814650307</v>
      </c>
      <c r="E22" s="710">
        <v>0.33133354418634597</v>
      </c>
      <c r="F22" s="708">
        <v>0.94351368961817283</v>
      </c>
      <c r="G22" s="711">
        <v>1.300841922942013E-7</v>
      </c>
      <c r="H22" s="710">
        <v>0.26600000000000001</v>
      </c>
      <c r="I22" s="708">
        <v>0.52</v>
      </c>
      <c r="J22" s="570">
        <v>2.1259999999999999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2" t="str">
        <f>IF($L21=$JH$22,$JH$30,IF($L21=$JI$22,$JI$30,""))</f>
        <v/>
      </c>
      <c r="M22" s="168">
        <f t="shared" si="1"/>
        <v>2.1259999999999999</v>
      </c>
      <c r="N22" s="632">
        <f t="shared" si="2"/>
        <v>3.069722025914805</v>
      </c>
      <c r="O22" s="629">
        <f t="shared" si="3"/>
        <v>0.85998511343854023</v>
      </c>
      <c r="P22" s="633">
        <f t="shared" si="4"/>
        <v>-1.7843053814650307</v>
      </c>
      <c r="Q22" s="585">
        <f t="shared" si="113"/>
        <v>15.650258757205389</v>
      </c>
      <c r="R22" s="629">
        <f t="shared" si="79"/>
        <v>3.187909614735398</v>
      </c>
      <c r="S22" s="634">
        <f t="shared" si="80"/>
        <v>-1.7843053814650307</v>
      </c>
      <c r="T22" s="635">
        <f t="shared" si="81"/>
        <v>0.97177164621572509</v>
      </c>
      <c r="U22" s="629">
        <f t="shared" si="82"/>
        <v>-3.0361863545134335</v>
      </c>
      <c r="V22" s="636">
        <f t="shared" si="114"/>
        <v>-1.7843053814650307</v>
      </c>
      <c r="W22" s="585">
        <f t="shared" si="224"/>
        <v>287.74795845433505</v>
      </c>
      <c r="X22" s="629">
        <f t="shared" si="83"/>
        <v>3.187909614735398</v>
      </c>
      <c r="Y22" s="630">
        <f t="shared" si="223"/>
        <v>-1.7843053814650307</v>
      </c>
      <c r="Z22" s="632">
        <f t="shared" si="6"/>
        <v>-0.33133354418634597</v>
      </c>
      <c r="AA22" s="629">
        <f t="shared" si="7"/>
        <v>-0.94351368961817283</v>
      </c>
      <c r="AB22" s="629">
        <f t="shared" si="8"/>
        <v>-1.300841922942013E-7</v>
      </c>
      <c r="AC22" s="636">
        <f t="shared" si="84"/>
        <v>1</v>
      </c>
      <c r="AD22" s="637">
        <f t="shared" si="115"/>
        <v>-0.33133354418634597</v>
      </c>
      <c r="AE22" s="629">
        <f t="shared" si="85"/>
        <v>-0.94351368961817283</v>
      </c>
      <c r="AF22" s="633">
        <f t="shared" si="86"/>
        <v>-1.300841922942013E-7</v>
      </c>
      <c r="AG22" s="602">
        <f t="shared" si="87"/>
        <v>-89.999992100511875</v>
      </c>
      <c r="AH22" s="603">
        <f t="shared" si="88"/>
        <v>109.34973618941972</v>
      </c>
      <c r="AI22" s="585">
        <f t="shared" si="89"/>
        <v>-89.999992546724798</v>
      </c>
      <c r="AJ22" s="586">
        <f t="shared" si="90"/>
        <v>-19.349736189419886</v>
      </c>
      <c r="AK22" s="635">
        <f t="shared" si="211"/>
        <v>0.8191520948772919</v>
      </c>
      <c r="AL22" s="629">
        <f t="shared" si="91"/>
        <v>-0.57357636410344448</v>
      </c>
      <c r="AM22" s="634">
        <f t="shared" si="92"/>
        <v>-1.300841922942013E-7</v>
      </c>
      <c r="AN22" s="581">
        <f t="shared" si="93"/>
        <v>-89.999987005609611</v>
      </c>
      <c r="AO22" s="582">
        <f t="shared" si="94"/>
        <v>34.999994946625968</v>
      </c>
      <c r="AP22" s="585">
        <f t="shared" si="95"/>
        <v>-34.999994946625264</v>
      </c>
      <c r="AQ22" s="586">
        <f t="shared" si="9"/>
        <v>0.71507932809813046</v>
      </c>
      <c r="AS22" s="52">
        <f t="shared" si="116"/>
        <v>-72.252041545664952</v>
      </c>
      <c r="AT22" s="72">
        <f t="shared" si="10"/>
        <v>-1.7326736167130901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2.1259999999999999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2.7562559774298965</v>
      </c>
      <c r="C23" s="708">
        <v>-0.25827346319043165</v>
      </c>
      <c r="D23" s="709">
        <v>-0.49064560612684166</v>
      </c>
      <c r="E23" s="710">
        <v>0.3292810007808511</v>
      </c>
      <c r="F23" s="708">
        <v>0.88669232445103519</v>
      </c>
      <c r="G23" s="711">
        <v>0.32457779388673746</v>
      </c>
      <c r="H23" s="710">
        <v>0.219</v>
      </c>
      <c r="I23" s="708">
        <v>0.42</v>
      </c>
      <c r="J23" s="570">
        <v>2.2160000000000002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1111</v>
      </c>
      <c r="M23" s="168">
        <f t="shared" si="1"/>
        <v>2.2160000000000002</v>
      </c>
      <c r="N23" s="632">
        <f t="shared" si="2"/>
        <v>2.7562559774298965</v>
      </c>
      <c r="O23" s="629">
        <f t="shared" si="3"/>
        <v>-0.25827346319043165</v>
      </c>
      <c r="P23" s="633">
        <f t="shared" si="4"/>
        <v>-0.49064560612684166</v>
      </c>
      <c r="Q23" s="585">
        <f t="shared" si="113"/>
        <v>354.64676178973514</v>
      </c>
      <c r="R23" s="629">
        <f t="shared" si="79"/>
        <v>2.7683302178220019</v>
      </c>
      <c r="S23" s="634">
        <f t="shared" si="80"/>
        <v>-0.49064560612684166</v>
      </c>
      <c r="T23" s="635">
        <f t="shared" si="81"/>
        <v>-0.15721152726228077</v>
      </c>
      <c r="U23" s="629">
        <f t="shared" si="82"/>
        <v>-2.76386264684088</v>
      </c>
      <c r="V23" s="636">
        <f t="shared" si="114"/>
        <v>-0.49064560612684166</v>
      </c>
      <c r="W23" s="585">
        <f t="shared" si="224"/>
        <v>266.74446148686479</v>
      </c>
      <c r="X23" s="629">
        <f t="shared" si="83"/>
        <v>2.7683302178220019</v>
      </c>
      <c r="Y23" s="630">
        <f t="shared" si="223"/>
        <v>-0.49064560612684166</v>
      </c>
      <c r="Z23" s="632">
        <f t="shared" si="6"/>
        <v>-0.3292810007808511</v>
      </c>
      <c r="AA23" s="629">
        <f t="shared" si="7"/>
        <v>-0.88669232445103519</v>
      </c>
      <c r="AB23" s="629">
        <f t="shared" si="8"/>
        <v>-0.32457779388673746</v>
      </c>
      <c r="AC23" s="636">
        <f t="shared" si="84"/>
        <v>1</v>
      </c>
      <c r="AD23" s="637">
        <f t="shared" si="115"/>
        <v>-0.3292810007808511</v>
      </c>
      <c r="AE23" s="629">
        <f t="shared" si="85"/>
        <v>-0.88669232445103519</v>
      </c>
      <c r="AF23" s="633">
        <f t="shared" si="86"/>
        <v>-0.32457779388673746</v>
      </c>
      <c r="AG23" s="602">
        <f t="shared" si="87"/>
        <v>-69.894616054810214</v>
      </c>
      <c r="AH23" s="603">
        <f t="shared" si="88"/>
        <v>109.2251409854517</v>
      </c>
      <c r="AI23" s="585">
        <f t="shared" si="89"/>
        <v>-71.060002271680787</v>
      </c>
      <c r="AJ23" s="586">
        <f t="shared" si="90"/>
        <v>-20.372922352857433</v>
      </c>
      <c r="AK23" s="635">
        <f t="shared" si="211"/>
        <v>0.91354548224147791</v>
      </c>
      <c r="AL23" s="629">
        <f t="shared" si="91"/>
        <v>-0.24512019009417446</v>
      </c>
      <c r="AM23" s="634">
        <f t="shared" si="92"/>
        <v>-0.32457779388673746</v>
      </c>
      <c r="AN23" s="581">
        <f t="shared" si="93"/>
        <v>-37.059994649198806</v>
      </c>
      <c r="AO23" s="582">
        <f t="shared" si="94"/>
        <v>23.999996534829219</v>
      </c>
      <c r="AP23" s="585">
        <f t="shared" si="95"/>
        <v>-15.019684142592576</v>
      </c>
      <c r="AQ23" s="586">
        <f t="shared" si="9"/>
        <v>0.82344572050027154</v>
      </c>
      <c r="AS23" s="52">
        <f t="shared" si="116"/>
        <v>-93.255538513135207</v>
      </c>
      <c r="AT23" s="72">
        <f t="shared" si="10"/>
        <v>-0.42442807959193551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2.2160000000000002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2.1160000000000001</v>
      </c>
      <c r="II23" s="734" cm="1">
        <f t="array" ref="II23">IFERROR(IF($IH23&lt;1,$IH23+LARGE((IF($M$9:$M$150="",0,$M$9:$M$150)-MOD(IF($M$9:$M$150="",0,$M$9:$M$150),1)),1),$IH23),"")</f>
        <v>2.1160000000000001</v>
      </c>
      <c r="IJ23" s="533">
        <f t="shared" si="112"/>
        <v>1313</v>
      </c>
      <c r="IK23" s="533">
        <f t="shared" si="66"/>
        <v>1111</v>
      </c>
      <c r="IL23" s="727">
        <f t="shared" si="225"/>
        <v>22.173796798499893</v>
      </c>
      <c r="IM23" s="759">
        <v>4.9935384995767797E-3</v>
      </c>
      <c r="IN23" s="5">
        <f t="shared" si="226"/>
        <v>0.12</v>
      </c>
      <c r="IO23" s="771">
        <v>60</v>
      </c>
      <c r="IP23" s="9">
        <f t="shared" si="227"/>
        <v>-2.7334082439592637</v>
      </c>
      <c r="IQ23" s="5">
        <f t="shared" si="228"/>
        <v>-0.52660158823039005</v>
      </c>
      <c r="IR23" s="5">
        <f t="shared" si="71"/>
        <v>0.26600000000000001</v>
      </c>
      <c r="IS23" s="5">
        <f t="shared" si="229"/>
        <v>0.25626087089945893</v>
      </c>
      <c r="IT23" s="727">
        <f t="shared" si="230"/>
        <v>63.438401749007753</v>
      </c>
      <c r="IU23" s="9">
        <f t="shared" si="231"/>
        <v>-2.7683302178220019</v>
      </c>
      <c r="IV23" s="5">
        <f t="shared" si="232"/>
        <v>-0.49064560612684166</v>
      </c>
      <c r="IW23" s="5">
        <f t="shared" si="76"/>
        <v>0.219</v>
      </c>
      <c r="IX23" s="5">
        <f t="shared" si="233"/>
        <v>0.20006646061088365</v>
      </c>
      <c r="IY23" s="762">
        <f t="shared" si="234"/>
        <v>37.059994649198806</v>
      </c>
      <c r="JA23" s="855" cm="1">
        <f t="array" ref="JA23:JA24">IFERROR(_xlfn._xlws.SORT(_xlfn.UNIQUE(_xlfn._xlws.FILTER($IK$9:$IK$150,$IK$9:$IK$150&lt;&gt;"")),,1),"")</f>
        <v>1111</v>
      </c>
      <c r="JB23" s="859" cm="1">
        <f t="array" ref="JB23">IF($JA23="","",COUNT(IF(IF($II$9:$II$150&lt;&gt;"",$IK$9:$IK$150,"")=$JA23,$IG$9:$IG$150,"")))</f>
        <v>5</v>
      </c>
      <c r="JC23" s="199"/>
      <c r="JD23" s="199"/>
      <c r="JE23" s="871"/>
      <c r="JF23" s="796" t="str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5</v>
      </c>
      <c r="JH23" s="800" t="str" cm="1">
        <f t="array" ref="JH23:JI24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60</v>
      </c>
    </row>
    <row r="24" spans="1:269" ht="15" customHeight="1" x14ac:dyDescent="0.25">
      <c r="A24" s="79"/>
      <c r="B24" s="707">
        <v>0.4087888427935229</v>
      </c>
      <c r="C24" s="708">
        <v>-0.58381164421691256</v>
      </c>
      <c r="D24" s="709">
        <v>-0.19470058721697109</v>
      </c>
      <c r="E24" s="710">
        <v>0.77023109612123153</v>
      </c>
      <c r="F24" s="708">
        <v>0.5987584213801338</v>
      </c>
      <c r="G24" s="711">
        <v>0.21961878652395964</v>
      </c>
      <c r="H24" s="710">
        <v>0.26600000000000001</v>
      </c>
      <c r="I24" s="708">
        <v>0.52</v>
      </c>
      <c r="J24" s="570">
        <v>3.1030000000000002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3.1030000000000002</v>
      </c>
      <c r="N24" s="632">
        <f t="shared" si="2"/>
        <v>0.4087888427935229</v>
      </c>
      <c r="O24" s="629">
        <f t="shared" si="3"/>
        <v>-0.58381164421691256</v>
      </c>
      <c r="P24" s="633">
        <f t="shared" si="4"/>
        <v>-0.19470058721697109</v>
      </c>
      <c r="Q24" s="585">
        <f t="shared" si="113"/>
        <v>304.99996895784517</v>
      </c>
      <c r="R24" s="629">
        <f t="shared" si="79"/>
        <v>0.71270214950968291</v>
      </c>
      <c r="S24" s="634">
        <f t="shared" si="80"/>
        <v>-0.19470058721697109</v>
      </c>
      <c r="T24" s="635">
        <f t="shared" si="81"/>
        <v>-0.56845727280709779</v>
      </c>
      <c r="U24" s="629">
        <f t="shared" si="82"/>
        <v>-0.42988449949775948</v>
      </c>
      <c r="V24" s="636">
        <f t="shared" si="114"/>
        <v>-0.19470058721697109</v>
      </c>
      <c r="W24" s="585">
        <f t="shared" si="224"/>
        <v>217.0976686549748</v>
      </c>
      <c r="X24" s="629">
        <f t="shared" si="83"/>
        <v>0.71270214950968291</v>
      </c>
      <c r="Y24" s="630">
        <f t="shared" si="223"/>
        <v>-0.19470058721697109</v>
      </c>
      <c r="Z24" s="632">
        <f t="shared" si="6"/>
        <v>-0.77023109612123153</v>
      </c>
      <c r="AA24" s="629">
        <f t="shared" si="7"/>
        <v>-0.5987584213801338</v>
      </c>
      <c r="AB24" s="629">
        <f t="shared" si="8"/>
        <v>-0.21961878652395964</v>
      </c>
      <c r="AC24" s="636">
        <f t="shared" si="84"/>
        <v>1</v>
      </c>
      <c r="AD24" s="637">
        <f t="shared" si="115"/>
        <v>-0.77023109612123153</v>
      </c>
      <c r="AE24" s="629">
        <f t="shared" si="85"/>
        <v>-0.5987584213801338</v>
      </c>
      <c r="AF24" s="633">
        <f t="shared" si="86"/>
        <v>-0.21961878652395964</v>
      </c>
      <c r="AG24" s="602">
        <f t="shared" si="87"/>
        <v>-69.857452182101014</v>
      </c>
      <c r="AH24" s="603">
        <f t="shared" si="88"/>
        <v>140.37464561922309</v>
      </c>
      <c r="AI24" s="585">
        <f t="shared" si="89"/>
        <v>-77.313356512819013</v>
      </c>
      <c r="AJ24" s="586">
        <f t="shared" si="90"/>
        <v>-52.139397124823695</v>
      </c>
      <c r="AK24" s="635">
        <f>IF(M24="","",(COS(RADIANS((90-$Q$8)-W24))*AD24)+(-SIN(RADIANS((90-$Q$8)-W24))*AE24))</f>
        <v>0.97437007215446547</v>
      </c>
      <c r="AL24" s="629">
        <f t="shared" si="91"/>
        <v>4.8688305530643627E-2</v>
      </c>
      <c r="AM24" s="634">
        <f t="shared" si="92"/>
        <v>-0.21961878652395964</v>
      </c>
      <c r="AN24" s="581">
        <f t="shared" si="93"/>
        <v>12.499998195223569</v>
      </c>
      <c r="AO24" s="582">
        <f t="shared" si="94"/>
        <v>12.999998123032478</v>
      </c>
      <c r="AP24" s="585">
        <f t="shared" si="95"/>
        <v>2.8606339173311399</v>
      </c>
      <c r="AQ24" s="586">
        <f t="shared" si="9"/>
        <v>3.1953917846094333</v>
      </c>
      <c r="AS24" s="52">
        <f t="shared" si="116"/>
        <v>-142.9023313450252</v>
      </c>
      <c r="AT24" s="72">
        <f t="shared" si="10"/>
        <v>-9.4006121215474678E-2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3.1030000000000002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250</v>
      </c>
      <c r="JI24" s="803" t="str">
        <v/>
      </c>
    </row>
    <row r="25" spans="1:269" ht="15" customHeight="1" x14ac:dyDescent="0.25">
      <c r="A25" s="79"/>
      <c r="B25" s="707">
        <v>0.77455049086144678</v>
      </c>
      <c r="C25" s="708">
        <v>-1.1175270820084737</v>
      </c>
      <c r="D25" s="709">
        <v>-5.4700164975697574E-2</v>
      </c>
      <c r="E25" s="710">
        <v>0.80638067723593831</v>
      </c>
      <c r="F25" s="708">
        <v>0.54956593690309763</v>
      </c>
      <c r="G25" s="711">
        <v>0.21846620877456141</v>
      </c>
      <c r="H25" s="710">
        <v>0.26600000000000001</v>
      </c>
      <c r="I25" s="708">
        <v>0.52</v>
      </c>
      <c r="J25" s="570">
        <v>3.1059999999999999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3.1059999999999999</v>
      </c>
      <c r="N25" s="632">
        <f t="shared" si="2"/>
        <v>0.77455049086144678</v>
      </c>
      <c r="O25" s="629">
        <f t="shared" si="3"/>
        <v>-1.1175270820084737</v>
      </c>
      <c r="P25" s="633">
        <f t="shared" si="4"/>
        <v>-5.4700164975697574E-2</v>
      </c>
      <c r="Q25" s="585">
        <f t="shared" si="113"/>
        <v>304.7255689974636</v>
      </c>
      <c r="R25" s="629">
        <f>IF(M25="","",SQRT(N25^2+O25^2))</f>
        <v>1.3597041008675683</v>
      </c>
      <c r="S25" s="634">
        <f>IF(M25="","",P25)</f>
        <v>-5.4700164975697574E-2</v>
      </c>
      <c r="T25" s="635">
        <f>IF(M25="","",X25*COS(RADIANS(W25)))</f>
        <v>-1.0884268601523734</v>
      </c>
      <c r="U25" s="629">
        <f>IF(M25="","",X25*SIN(RADIANS(W25)))</f>
        <v>-0.81493693744665163</v>
      </c>
      <c r="V25" s="636">
        <f>IF(M25="","",Y25)</f>
        <v>-5.4700164975697574E-2</v>
      </c>
      <c r="W25" s="585">
        <f t="shared" si="224"/>
        <v>216.82326869459322</v>
      </c>
      <c r="X25" s="629">
        <f>IF(M25="","",R25)</f>
        <v>1.3597041008675683</v>
      </c>
      <c r="Y25" s="630">
        <f t="shared" si="223"/>
        <v>-5.4700164975697574E-2</v>
      </c>
      <c r="Z25" s="632">
        <f t="shared" si="6"/>
        <v>-0.80638067723593831</v>
      </c>
      <c r="AA25" s="629">
        <f t="shared" si="7"/>
        <v>-0.54956593690309763</v>
      </c>
      <c r="AB25" s="629">
        <f t="shared" si="8"/>
        <v>-0.21846620877456141</v>
      </c>
      <c r="AC25" s="636">
        <f>IF(M25="","",SQRT(Z25^2+AA25^2+AB25^2))</f>
        <v>1</v>
      </c>
      <c r="AD25" s="637">
        <f>IF(M25="","",Z25*(1/SQRT(Z25^2+AA25^2+AB25^2)))</f>
        <v>-0.80638067723593831</v>
      </c>
      <c r="AE25" s="629">
        <f>IF(M25="","",AA25*(1/SQRT(Z25^2+AA25^2+AB25^2)))</f>
        <v>-0.54956593690309763</v>
      </c>
      <c r="AF25" s="633">
        <f>IF(M25="","",AB25*(1/SQRT(Z25^2+AA25^2+AB25^2)))</f>
        <v>-0.21846620877456141</v>
      </c>
      <c r="AG25" s="602">
        <f>IF(M25="","",DEGREES(ATAN2(-AF25,AE25)))</f>
        <v>-68.320941335340692</v>
      </c>
      <c r="AH25" s="603">
        <f>IF(M25="","",DEGREES(ACOS(AD25)))</f>
        <v>143.74380615700269</v>
      </c>
      <c r="AI25" s="585">
        <f>IF(M25="","",DEGREES(-ACOS(-AF25)))</f>
        <v>-77.381037980679778</v>
      </c>
      <c r="AJ25" s="586">
        <f>IF(M25="","",DEGREES(ATAN2(-AE25,AD25)))</f>
        <v>-55.724720598225879</v>
      </c>
      <c r="AK25" s="635">
        <f>IF(M25="","",(COS(RADIANS((90-$Q$8)-W25))*AD25)+(-SIN(RADIANS((90-$Q$8)-W25))*AE25))</f>
        <v>0.97581437796792314</v>
      </c>
      <c r="AL25" s="629">
        <f>IF(M25="","",(SIN(RADIANS((90-$Q$8)-W25))*AD25)+(COS(RADIANS((90-$Q$8)-W25))*AE25))</f>
        <v>-7.6691182508432099E-3</v>
      </c>
      <c r="AM25" s="634">
        <f>IF(M25="","",AF25)</f>
        <v>-0.21846620877456141</v>
      </c>
      <c r="AN25" s="581">
        <f>IF(M25="","",DEGREES(ATAN2(-AM25,AL25)))</f>
        <v>-2.0105065562214461</v>
      </c>
      <c r="AO25" s="582">
        <f>IF(ROUND(IF(M25="",0,DEGREES(ACOS(AK25))),4)=90,0,IF(M25="","",DEGREES(ACOS(AK25))))</f>
        <v>12.626863192451641</v>
      </c>
      <c r="AP25" s="585">
        <f>IF(M25="","",DEGREES(ATAN2(AK25,AL25)))</f>
        <v>-0.45028959568948096</v>
      </c>
      <c r="AQ25" s="586">
        <f t="shared" si="9"/>
        <v>1.6761560448182649</v>
      </c>
      <c r="AS25" s="52">
        <f t="shared" si="116"/>
        <v>-143.17673130540678</v>
      </c>
      <c r="AT25" s="72">
        <f t="shared" si="10"/>
        <v>4.6184856553841594E-2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3.1059999999999999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1.1206150037514193</v>
      </c>
      <c r="C26" s="708">
        <v>-1.6937537314481039</v>
      </c>
      <c r="D26" s="709">
        <v>-9.8000295568891449E-2</v>
      </c>
      <c r="E26" s="710">
        <v>0.87896877171011334</v>
      </c>
      <c r="F26" s="708">
        <v>0.43552811764986399</v>
      </c>
      <c r="G26" s="711">
        <v>0.19423994721678872</v>
      </c>
      <c r="H26" s="710">
        <v>0.26600000000000001</v>
      </c>
      <c r="I26" s="708">
        <v>0.52</v>
      </c>
      <c r="J26" s="570">
        <v>3.11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3.11</v>
      </c>
      <c r="N26" s="632">
        <f t="shared" si="2"/>
        <v>1.1206150037514193</v>
      </c>
      <c r="O26" s="629">
        <f t="shared" si="3"/>
        <v>-1.6937537314481039</v>
      </c>
      <c r="P26" s="633">
        <f t="shared" si="4"/>
        <v>-9.8000295568891449E-2</v>
      </c>
      <c r="Q26" s="585">
        <f t="shared" si="113"/>
        <v>303.48926917596322</v>
      </c>
      <c r="R26" s="629">
        <f>IF(M26="","",SQRT(N26^2+O26^2))</f>
        <v>2.0309061252128737</v>
      </c>
      <c r="S26" s="634">
        <f>IF(M26="","",P26)</f>
        <v>-9.8000295568891449E-2</v>
      </c>
      <c r="T26" s="635">
        <f>IF(M26="","",X26*COS(RADIANS(W26)))</f>
        <v>-1.6516001566748628</v>
      </c>
      <c r="U26" s="629">
        <f>IF(M26="","",X26*SIN(RADIANS(W26)))</f>
        <v>-1.1818615028414869</v>
      </c>
      <c r="V26" s="636">
        <f>IF(M26="","",Y26)</f>
        <v>-9.8000295568891449E-2</v>
      </c>
      <c r="W26" s="585">
        <f t="shared" si="224"/>
        <v>215.58696887309284</v>
      </c>
      <c r="X26" s="629">
        <f>IF(M26="","",R26)</f>
        <v>2.0309061252128737</v>
      </c>
      <c r="Y26" s="630">
        <f t="shared" si="223"/>
        <v>-9.8000295568891449E-2</v>
      </c>
      <c r="Z26" s="632">
        <f t="shared" si="6"/>
        <v>-0.87896877171011334</v>
      </c>
      <c r="AA26" s="629">
        <f t="shared" si="7"/>
        <v>-0.43552811764986399</v>
      </c>
      <c r="AB26" s="629">
        <f t="shared" si="8"/>
        <v>-0.19423994721678872</v>
      </c>
      <c r="AC26" s="636">
        <f>IF(M26="","",SQRT(Z26^2+AA26^2+AB26^2))</f>
        <v>1</v>
      </c>
      <c r="AD26" s="637">
        <f>IF(M26="","",Z26*(1/SQRT(Z26^2+AA26^2+AB26^2)))</f>
        <v>-0.87896877171011334</v>
      </c>
      <c r="AE26" s="629">
        <f>IF(M26="","",AA26*(1/SQRT(Z26^2+AA26^2+AB26^2)))</f>
        <v>-0.43552811764986399</v>
      </c>
      <c r="AF26" s="633">
        <f>IF(M26="","",AB26*(1/SQRT(Z26^2+AA26^2+AB26^2)))</f>
        <v>-0.19423994721678872</v>
      </c>
      <c r="AG26" s="602">
        <f>IF(M26="","",DEGREES(ATAN2(-AF26,AE26)))</f>
        <v>-65.96374230405776</v>
      </c>
      <c r="AH26" s="603">
        <f>IF(M26="","",DEGREES(ACOS(AD26)))</f>
        <v>151.51821609298611</v>
      </c>
      <c r="AI26" s="585">
        <f>IF(M26="","",DEGREES(-ACOS(-AF26)))</f>
        <v>-78.799673147973067</v>
      </c>
      <c r="AJ26" s="586">
        <f>IF(M26="","",DEGREES(ATAN2(-AE26,AD26)))</f>
        <v>-63.641632238647311</v>
      </c>
      <c r="AK26" s="635">
        <f>IF(M26="","",(COS(RADIANS((90-$Q$8)-W26))*AD26)+(-SIN(RADIANS((90-$Q$8)-W26))*AE26))</f>
        <v>0.97336649664061059</v>
      </c>
      <c r="AL26" s="629">
        <f>IF(M26="","",(SIN(RADIANS((90-$Q$8)-W26))*AD26)+(COS(RADIANS((90-$Q$8)-W26))*AE26))</f>
        <v>-0.12177235368836165</v>
      </c>
      <c r="AM26" s="634">
        <f>IF(M26="","",AF26)</f>
        <v>-0.19423994721678872</v>
      </c>
      <c r="AN26" s="581">
        <f>IF(M26="","",DEGREES(ATAN2(-AM26,AL26)))</f>
        <v>-32.084304441735078</v>
      </c>
      <c r="AO26" s="582">
        <f t="shared" si="94"/>
        <v>13.253189837428474</v>
      </c>
      <c r="AP26" s="585">
        <f>IF(M26="","",DEGREES(ATAN2(AK26,AL26)))</f>
        <v>-7.1309014146105119</v>
      </c>
      <c r="AQ26" s="586">
        <f t="shared" si="9"/>
        <v>1.1223734045929958</v>
      </c>
      <c r="AS26" s="52">
        <f t="shared" si="116"/>
        <v>-144.41303112690716</v>
      </c>
      <c r="AT26" s="72">
        <f t="shared" si="10"/>
        <v>3.7432675033563234E-3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1.3984127076556938</v>
      </c>
      <c r="C27" s="708">
        <v>-2.2319019204821458</v>
      </c>
      <c r="D27" s="709">
        <v>-0.43000129688391142</v>
      </c>
      <c r="E27" s="710">
        <v>0.93542134923759546</v>
      </c>
      <c r="F27" s="708">
        <v>0.33035773010844482</v>
      </c>
      <c r="G27" s="711">
        <v>0.12589944220731283</v>
      </c>
      <c r="H27" s="710">
        <v>0.26600000000000001</v>
      </c>
      <c r="I27" s="708">
        <v>0.52</v>
      </c>
      <c r="J27" s="570">
        <v>3.1150000000000002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3.1150000000000002</v>
      </c>
      <c r="N27" s="632">
        <f t="shared" si="2"/>
        <v>1.3984127076556938</v>
      </c>
      <c r="O27" s="629">
        <f t="shared" si="3"/>
        <v>-2.2319019204821458</v>
      </c>
      <c r="P27" s="633">
        <f t="shared" si="4"/>
        <v>-0.43000129688391142</v>
      </c>
      <c r="Q27" s="585">
        <f t="shared" si="113"/>
        <v>302.06946938095695</v>
      </c>
      <c r="R27" s="629">
        <f t="shared" si="79"/>
        <v>2.6338079435647583</v>
      </c>
      <c r="S27" s="634">
        <f t="shared" si="80"/>
        <v>-0.43000129688391142</v>
      </c>
      <c r="T27" s="635">
        <f t="shared" si="81"/>
        <v>-2.1792193206688708</v>
      </c>
      <c r="U27" s="629">
        <f t="shared" si="82"/>
        <v>-1.479171199019345</v>
      </c>
      <c r="V27" s="636">
        <f t="shared" si="114"/>
        <v>-0.43000129688391142</v>
      </c>
      <c r="W27" s="585">
        <f t="shared" si="224"/>
        <v>214.16716907808657</v>
      </c>
      <c r="X27" s="629">
        <f t="shared" si="83"/>
        <v>2.6338079435647583</v>
      </c>
      <c r="Y27" s="630">
        <f t="shared" si="223"/>
        <v>-0.43000129688391142</v>
      </c>
      <c r="Z27" s="632">
        <f t="shared" si="6"/>
        <v>-0.93542134923759546</v>
      </c>
      <c r="AA27" s="629">
        <f t="shared" si="7"/>
        <v>-0.33035773010844482</v>
      </c>
      <c r="AB27" s="629">
        <f t="shared" si="8"/>
        <v>-0.12589944220731283</v>
      </c>
      <c r="AC27" s="636">
        <f t="shared" si="84"/>
        <v>1</v>
      </c>
      <c r="AD27" s="637">
        <f t="shared" si="115"/>
        <v>-0.93542134923759546</v>
      </c>
      <c r="AE27" s="629">
        <f t="shared" si="85"/>
        <v>-0.33035773010844482</v>
      </c>
      <c r="AF27" s="633">
        <f t="shared" si="86"/>
        <v>-0.12589944220731283</v>
      </c>
      <c r="AG27" s="602">
        <f t="shared" si="87"/>
        <v>-69.138139423426679</v>
      </c>
      <c r="AH27" s="603">
        <f t="shared" si="88"/>
        <v>159.2963237859486</v>
      </c>
      <c r="AI27" s="585">
        <f t="shared" si="89"/>
        <v>-82.767299610782644</v>
      </c>
      <c r="AJ27" s="586">
        <f t="shared" si="90"/>
        <v>-70.548581448374961</v>
      </c>
      <c r="AK27" s="635">
        <f t="shared" si="211"/>
        <v>0.96808317398737365</v>
      </c>
      <c r="AL27" s="629">
        <f t="shared" si="91"/>
        <v>-0.21671247932322635</v>
      </c>
      <c r="AM27" s="634">
        <f t="shared" si="92"/>
        <v>-0.12589944220731283</v>
      </c>
      <c r="AN27" s="581">
        <f t="shared" si="93"/>
        <v>-59.845489370293144</v>
      </c>
      <c r="AO27" s="582">
        <f t="shared" si="94"/>
        <v>14.514744848860675</v>
      </c>
      <c r="AP27" s="585">
        <f t="shared" si="95"/>
        <v>-12.618050829331883</v>
      </c>
      <c r="AQ27" s="586">
        <f t="shared" si="9"/>
        <v>0.86549713524536953</v>
      </c>
      <c r="AS27" s="52">
        <f t="shared" si="116"/>
        <v>-145.83283092191343</v>
      </c>
      <c r="AT27" s="72">
        <f t="shared" si="10"/>
        <v>-0.32727176173179817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3.1150000000000002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1.5655897330148782</v>
      </c>
      <c r="C28" s="708">
        <v>-2.6006238902516601</v>
      </c>
      <c r="D28" s="709">
        <v>-0.98880298222979446</v>
      </c>
      <c r="E28" s="710">
        <v>0.98261724977486553</v>
      </c>
      <c r="F28" s="708">
        <v>0.14872798566289422</v>
      </c>
      <c r="G28" s="711">
        <v>0.11110052531620937</v>
      </c>
      <c r="H28" s="710">
        <v>0.26600000000000001</v>
      </c>
      <c r="I28" s="708">
        <v>0.52</v>
      </c>
      <c r="J28" s="570">
        <v>3.12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3.12</v>
      </c>
      <c r="N28" s="632">
        <f t="shared" si="2"/>
        <v>1.5655897330148782</v>
      </c>
      <c r="O28" s="629">
        <f t="shared" si="3"/>
        <v>-2.6006238902516601</v>
      </c>
      <c r="P28" s="633">
        <f t="shared" si="4"/>
        <v>-0.98880298222979446</v>
      </c>
      <c r="Q28" s="585">
        <f t="shared" si="113"/>
        <v>301.04816952841441</v>
      </c>
      <c r="R28" s="629">
        <f t="shared" si="79"/>
        <v>3.0355091550956121</v>
      </c>
      <c r="S28" s="634">
        <f t="shared" si="80"/>
        <v>-0.98880298222979446</v>
      </c>
      <c r="T28" s="635">
        <f t="shared" si="81"/>
        <v>-2.5415749177011491</v>
      </c>
      <c r="U28" s="629">
        <f t="shared" si="82"/>
        <v>-1.6597327400463227</v>
      </c>
      <c r="V28" s="636">
        <f t="shared" si="114"/>
        <v>-0.98880298222979446</v>
      </c>
      <c r="W28" s="585">
        <f t="shared" si="224"/>
        <v>213.14586922554403</v>
      </c>
      <c r="X28" s="629">
        <f t="shared" si="83"/>
        <v>3.0355091550956121</v>
      </c>
      <c r="Y28" s="630">
        <f t="shared" si="223"/>
        <v>-0.98880298222979446</v>
      </c>
      <c r="Z28" s="632">
        <f t="shared" si="6"/>
        <v>-0.98261724977486553</v>
      </c>
      <c r="AA28" s="629">
        <f t="shared" si="7"/>
        <v>-0.14872798566289422</v>
      </c>
      <c r="AB28" s="629">
        <f t="shared" si="8"/>
        <v>-0.11110052531620937</v>
      </c>
      <c r="AC28" s="636">
        <f t="shared" si="84"/>
        <v>1</v>
      </c>
      <c r="AD28" s="637">
        <f t="shared" si="115"/>
        <v>-0.98261724977486553</v>
      </c>
      <c r="AE28" s="629">
        <f t="shared" si="85"/>
        <v>-0.14872798566289422</v>
      </c>
      <c r="AF28" s="633">
        <f t="shared" si="86"/>
        <v>-0.11110052531620937</v>
      </c>
      <c r="AG28" s="602">
        <f t="shared" si="87"/>
        <v>-53.240090719143794</v>
      </c>
      <c r="AH28" s="603">
        <f t="shared" si="88"/>
        <v>169.30137433189876</v>
      </c>
      <c r="AI28" s="585">
        <f t="shared" si="89"/>
        <v>-83.621240091550376</v>
      </c>
      <c r="AJ28" s="586">
        <f t="shared" si="90"/>
        <v>-81.39309684209239</v>
      </c>
      <c r="AK28" s="635">
        <f t="shared" si="211"/>
        <v>0.91854933048814513</v>
      </c>
      <c r="AL28" s="629">
        <f t="shared" si="91"/>
        <v>-0.37937290458629619</v>
      </c>
      <c r="AM28" s="634">
        <f t="shared" si="92"/>
        <v>-0.11110052531620937</v>
      </c>
      <c r="AN28" s="581">
        <f t="shared" si="93"/>
        <v>-73.677167925971517</v>
      </c>
      <c r="AO28" s="582">
        <f t="shared" si="94"/>
        <v>23.285083043549911</v>
      </c>
      <c r="AP28" s="585">
        <f t="shared" si="95"/>
        <v>-22.441266370506799</v>
      </c>
      <c r="AQ28" s="586">
        <f t="shared" si="9"/>
        <v>0.75097651377838404</v>
      </c>
      <c r="AS28" s="52">
        <f t="shared" si="116"/>
        <v>-146.85413077445597</v>
      </c>
      <c r="AT28" s="72">
        <f t="shared" si="10"/>
        <v>-0.88536421106897112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1.6251848731008489</v>
      </c>
      <c r="C29" s="708">
        <v>-2.7425429513439843</v>
      </c>
      <c r="D29" s="709">
        <v>-1.6605050080831045</v>
      </c>
      <c r="E29" s="710">
        <v>0.99711968611046031</v>
      </c>
      <c r="F29" s="708">
        <v>-7.5844126805971371E-2</v>
      </c>
      <c r="G29" s="711">
        <v>1.300841921663709E-7</v>
      </c>
      <c r="H29" s="710">
        <v>0.26600000000000001</v>
      </c>
      <c r="I29" s="708">
        <v>0.52</v>
      </c>
      <c r="J29" s="570">
        <v>3.125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3.125</v>
      </c>
      <c r="N29" s="632">
        <f t="shared" si="2"/>
        <v>1.6251848731008489</v>
      </c>
      <c r="O29" s="629">
        <f t="shared" si="3"/>
        <v>-2.7425429513439843</v>
      </c>
      <c r="P29" s="633">
        <f t="shared" si="4"/>
        <v>-1.6605050080831045</v>
      </c>
      <c r="Q29" s="585">
        <f t="shared" si="113"/>
        <v>300.65026958586407</v>
      </c>
      <c r="R29" s="629">
        <f>IF(M29="","",SQRT(N29^2+O29^2))</f>
        <v>3.1879096147353985</v>
      </c>
      <c r="S29" s="634">
        <f>IF(M29="","",P29)</f>
        <v>-1.6605050080831045</v>
      </c>
      <c r="T29" s="635">
        <f>IF(M29="","",X29*COS(RADIANS(W29)))</f>
        <v>-2.6812174777998776</v>
      </c>
      <c r="U29" s="629">
        <f>IF(M29="","",X29*SIN(RADIANS(W29)))</f>
        <v>-1.7244826901024146</v>
      </c>
      <c r="V29" s="636">
        <f>IF(M29="","",Y29)</f>
        <v>-1.6605050080831045</v>
      </c>
      <c r="W29" s="585">
        <f t="shared" si="224"/>
        <v>212.74796928299369</v>
      </c>
      <c r="X29" s="629">
        <f>IF(M29="","",R29)</f>
        <v>3.1879096147353985</v>
      </c>
      <c r="Y29" s="630">
        <f t="shared" si="223"/>
        <v>-1.6605050080831045</v>
      </c>
      <c r="Z29" s="632">
        <f t="shared" si="6"/>
        <v>-0.99711968611046031</v>
      </c>
      <c r="AA29" s="629">
        <f t="shared" si="7"/>
        <v>7.5844126805971371E-2</v>
      </c>
      <c r="AB29" s="629">
        <f t="shared" si="8"/>
        <v>-1.300841921663709E-7</v>
      </c>
      <c r="AC29" s="636">
        <f>IF(M29="","",SQRT(Z29^2+AA29^2+AB29^2))</f>
        <v>1</v>
      </c>
      <c r="AD29" s="637">
        <f>IF(M29="","",Z29*(1/SQRT(Z29^2+AA29^2+AB29^2)))</f>
        <v>-0.99711968611046031</v>
      </c>
      <c r="AE29" s="629">
        <f>IF(M29="","",AA29*(1/SQRT(Z29^2+AA29^2+AB29^2)))</f>
        <v>7.5844126805971371E-2</v>
      </c>
      <c r="AF29" s="633">
        <f>IF(M29="","",AB29*(1/SQRT(Z29^2+AA29^2+AB29^2)))</f>
        <v>-1.300841921663709E-7</v>
      </c>
      <c r="AG29" s="602">
        <f>IF(M29="","",DEGREES(ATAN2(-AF29,AE29)))</f>
        <v>89.999901729039465</v>
      </c>
      <c r="AH29" s="603">
        <f>IF(M29="","",DEGREES(ACOS(AD29)))</f>
        <v>175.65027463923244</v>
      </c>
      <c r="AI29" s="585">
        <f>IF(M29="","",DEGREES(-ACOS(-AF29)))</f>
        <v>-89.999992546724812</v>
      </c>
      <c r="AJ29" s="586">
        <f>IF(M29="","",DEGREES(ATAN2(-AE29,AD29)))</f>
        <v>-94.349725360761227</v>
      </c>
      <c r="AK29" s="635">
        <f>IF(M29="","",(COS(RADIANS((90-$Q$8)-W29))*AD29)+(-SIN(RADIANS((90-$Q$8)-W29))*AE29))</f>
        <v>0.81915209487729179</v>
      </c>
      <c r="AL29" s="629">
        <f>IF(M29="","",(SIN(RADIANS((90-$Q$8)-W29))*AD29)+(COS(RADIANS((90-$Q$8)-W29))*AE29))</f>
        <v>-0.57357636410344492</v>
      </c>
      <c r="AM29" s="634">
        <f>IF(M29="","",AF29)</f>
        <v>-1.300841921663709E-7</v>
      </c>
      <c r="AN29" s="581">
        <f>IF(M29="","",DEGREES(ATAN2(-AM29,AL29)))</f>
        <v>-89.999987005609626</v>
      </c>
      <c r="AO29" s="582">
        <f t="shared" si="94"/>
        <v>34.999994946625968</v>
      </c>
      <c r="AP29" s="585">
        <f>IF(M29="","",DEGREES(ATAN2(AK29,AL29)))</f>
        <v>-34.999994946625293</v>
      </c>
      <c r="AQ29" s="586">
        <f t="shared" si="9"/>
        <v>0.71507932809813046</v>
      </c>
      <c r="AS29" s="52">
        <f t="shared" si="116"/>
        <v>-147.25203071700631</v>
      </c>
      <c r="AT29" s="72">
        <f t="shared" si="10"/>
        <v>-1.5567899175177324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3.125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5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60</v>
      </c>
    </row>
    <row r="30" spans="1:269" ht="15" customHeight="1" x14ac:dyDescent="0.25">
      <c r="A30" s="79"/>
      <c r="B30" s="707">
        <v>-7.8775980178783137E-2</v>
      </c>
      <c r="C30" s="708">
        <v>-1.3537964030733955</v>
      </c>
      <c r="D30" s="709">
        <v>-6.4321072514524902E-2</v>
      </c>
      <c r="E30" s="710">
        <v>2.2641191058242821E-7</v>
      </c>
      <c r="F30" s="708">
        <v>-1.3174669499631419E-8</v>
      </c>
      <c r="G30" s="711">
        <v>0.99999999999997435</v>
      </c>
      <c r="H30" s="710">
        <v>0.19500000000000001</v>
      </c>
      <c r="I30" s="708">
        <v>0.21199999999999999</v>
      </c>
      <c r="J30" s="570">
        <v>3.206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3.206</v>
      </c>
      <c r="N30" s="632">
        <f t="shared" si="2"/>
        <v>-7.8775980178783137E-2</v>
      </c>
      <c r="O30" s="629">
        <f t="shared" si="3"/>
        <v>-1.3537964030733955</v>
      </c>
      <c r="P30" s="633">
        <f t="shared" si="4"/>
        <v>-6.4321072514524902E-2</v>
      </c>
      <c r="Q30" s="585">
        <f t="shared" si="113"/>
        <v>266.66977449204052</v>
      </c>
      <c r="R30" s="629">
        <f>IF(M30="","",SQRT(N30^2+O30^2))</f>
        <v>1.3560864117111386</v>
      </c>
      <c r="S30" s="634">
        <f>IF(M30="","",P30)</f>
        <v>-6.4321072514524902E-2</v>
      </c>
      <c r="T30" s="635">
        <f>IF(M30="","",X30*COS(RADIANS(W30)))</f>
        <v>-1.3557726590617392</v>
      </c>
      <c r="U30" s="629">
        <f>IF(M30="","",X30*SIN(RADIANS(W30)))</f>
        <v>2.9169384091082474E-2</v>
      </c>
      <c r="V30" s="636">
        <f>IF(M30="","",Y30)</f>
        <v>-6.4321072514524902E-2</v>
      </c>
      <c r="W30" s="585">
        <f t="shared" si="224"/>
        <v>178.76747418917014</v>
      </c>
      <c r="X30" s="629">
        <f>IF(M30="","",R30)</f>
        <v>1.3560864117111386</v>
      </c>
      <c r="Y30" s="630">
        <f t="shared" si="223"/>
        <v>-6.4321072514524902E-2</v>
      </c>
      <c r="Z30" s="632">
        <f t="shared" si="6"/>
        <v>-2.2641191058242821E-7</v>
      </c>
      <c r="AA30" s="629">
        <f t="shared" si="7"/>
        <v>1.3174669499631419E-8</v>
      </c>
      <c r="AB30" s="629">
        <f t="shared" si="8"/>
        <v>-0.99999999999997435</v>
      </c>
      <c r="AC30" s="636">
        <f>IF(M30="","",SQRT(Z30^2+AA30^2+AB30^2))</f>
        <v>1</v>
      </c>
      <c r="AD30" s="637">
        <f>IF(M30="","",Z30*(1/SQRT(Z30^2+AA30^2+AB30^2)))</f>
        <v>-2.2641191058242821E-7</v>
      </c>
      <c r="AE30" s="629">
        <f>IF(M30="","",AA30*(1/SQRT(Z30^2+AA30^2+AB30^2)))</f>
        <v>1.3174669499631419E-8</v>
      </c>
      <c r="AF30" s="633">
        <f>IF(M30="","",AB30*(1/SQRT(Z30^2+AA30^2+AB30^2)))</f>
        <v>-0.99999999999997435</v>
      </c>
      <c r="AG30" s="602">
        <f>IF(M30="","",DEGREES(ATAN2(-AF30,AE30)))</f>
        <v>7.5485295880863175E-7</v>
      </c>
      <c r="AH30" s="603">
        <f>IF(M30="","",DEGREES(ACOS(AD30)))</f>
        <v>90.00001297244691</v>
      </c>
      <c r="AI30" s="585">
        <f>IF(M30="","",DEGREES(-ACOS(-AF30)))</f>
        <v>-1.2976235990044085E-5</v>
      </c>
      <c r="AJ30" s="586">
        <f>IF(M30="","",DEGREES(ATAN2(-AE30,AD30)))</f>
        <v>-93.330225507959469</v>
      </c>
      <c r="AK30" s="635">
        <f>IF(M30="","",(COS(RADIANS((90-$Q$8)-W30))*AD30)+(-SIN(RADIANS((90-$Q$8)-W30))*AE30))</f>
        <v>2.2679489670186583E-7</v>
      </c>
      <c r="AL30" s="629">
        <f>IF(M30="","",(SIN(RADIANS((90-$Q$8)-W30))*AD30)+(COS(RADIANS((90-$Q$8)-W30))*AE30))</f>
        <v>8.9335506155726989E-23</v>
      </c>
      <c r="AM30" s="634">
        <f>IF(M30="","",AF30)</f>
        <v>-0.99999999999997435</v>
      </c>
      <c r="AN30" s="581">
        <f>IF(M30="","",DEGREES(ATAN2(-AM30,AL30)))</f>
        <v>5.1185474633882736E-21</v>
      </c>
      <c r="AO30" s="582">
        <f>IF(ROUND(IF(M30="",0,DEGREES(ACOS(AK30))),4)=90,0,IF(M30="","",DEGREES(ACOS(AK30))))</f>
        <v>0</v>
      </c>
      <c r="AP30" s="585">
        <f>IF(M30="","",DEGREES(ATAN2(AK30,AL30)))</f>
        <v>2.256905925937456E-14</v>
      </c>
      <c r="AQ30" s="586">
        <f t="shared" si="9"/>
        <v>1.6806250362820934</v>
      </c>
      <c r="AS30" s="52">
        <f t="shared" si="116"/>
        <v>-181.23252581082986</v>
      </c>
      <c r="AT30" s="72">
        <f t="shared" si="10"/>
        <v>6.299158408822475E-2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3.206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3.1059999999999999</v>
      </c>
      <c r="II30" s="734" cm="1">
        <f t="array" ref="II30">IFERROR(IF($IH30&lt;1,$IH30+LARGE((IF($M$9:$M$150="",0,$M$9:$M$150)-MOD(IF($M$9:$M$150="",0,$M$9:$M$150),1)),1),$IH30),"")</f>
        <v>3.1059999999999999</v>
      </c>
      <c r="IJ30" s="533">
        <f t="shared" si="112"/>
        <v>1313</v>
      </c>
      <c r="IK30" s="533" t="str">
        <f t="shared" si="66"/>
        <v>Inactive</v>
      </c>
      <c r="IL30" s="727">
        <f t="shared" si="225"/>
        <v>38.05579450542308</v>
      </c>
      <c r="IM30" s="759">
        <v>7.1524221076291805E-2</v>
      </c>
      <c r="IN30" s="5">
        <f t="shared" si="226"/>
        <v>0.7</v>
      </c>
      <c r="IO30" s="771">
        <v>350</v>
      </c>
      <c r="IP30" s="9">
        <f t="shared" si="227"/>
        <v>-1.3597041008675683</v>
      </c>
      <c r="IQ30" s="5">
        <f t="shared" si="228"/>
        <v>-5.4700164975697574E-2</v>
      </c>
      <c r="IR30" s="5">
        <f t="shared" si="71"/>
        <v>0.26600000000000001</v>
      </c>
      <c r="IS30" s="5">
        <f t="shared" si="229"/>
        <v>0.25956662453946755</v>
      </c>
      <c r="IT30" s="727">
        <f t="shared" si="230"/>
        <v>2.0105065562214461</v>
      </c>
      <c r="IU30" s="9">
        <f t="shared" si="231"/>
        <v>-1.3560864117111386</v>
      </c>
      <c r="IV30" s="5">
        <f t="shared" si="232"/>
        <v>-6.4321072514524902E-2</v>
      </c>
      <c r="IW30" s="5">
        <f t="shared" si="76"/>
        <v>0.19500000000000001</v>
      </c>
      <c r="IX30" s="5">
        <f t="shared" si="233"/>
        <v>0.19500000000000001</v>
      </c>
      <c r="IY30" s="762">
        <f t="shared" si="234"/>
        <v>-5.1185474633882736E-21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0.27858372073582133</v>
      </c>
      <c r="C31" s="708">
        <v>-2.0188834285048745</v>
      </c>
      <c r="D31" s="709">
        <v>-0.10242971208366647</v>
      </c>
      <c r="E31" s="710">
        <v>2.9236682172189041E-2</v>
      </c>
      <c r="F31" s="708">
        <v>-0.21187523368172362</v>
      </c>
      <c r="G31" s="711">
        <v>0.97685930500143037</v>
      </c>
      <c r="H31" s="710">
        <v>0.19500000000000001</v>
      </c>
      <c r="I31" s="708">
        <v>0.21199999999999999</v>
      </c>
      <c r="J31" s="570">
        <v>3.21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320"/>
      <c r="M31" s="168">
        <f t="shared" si="1"/>
        <v>3.21</v>
      </c>
      <c r="N31" s="632">
        <f t="shared" si="2"/>
        <v>0.27858372073582133</v>
      </c>
      <c r="O31" s="629">
        <f t="shared" si="3"/>
        <v>-2.0188834285048745</v>
      </c>
      <c r="P31" s="633">
        <f t="shared" si="4"/>
        <v>-0.10242971208366647</v>
      </c>
      <c r="Q31" s="585">
        <f t="shared" si="113"/>
        <v>277.85657287686666</v>
      </c>
      <c r="R31" s="629">
        <f>IF(M31="","",SQRT(N31^2+O31^2))</f>
        <v>2.0380135395405525</v>
      </c>
      <c r="S31" s="634">
        <f>IF(M31="","",P31)</f>
        <v>-0.10242971208366647</v>
      </c>
      <c r="T31" s="635">
        <f>IF(M31="","",X31*COS(RADIANS(W31)))</f>
        <v>-2.0073333386451964</v>
      </c>
      <c r="U31" s="629">
        <f>IF(M31="","",X31*SIN(RADIANS(W31)))</f>
        <v>-0.3522954085907738</v>
      </c>
      <c r="V31" s="636">
        <f>IF(M31="","",Y31)</f>
        <v>-0.10242971208366647</v>
      </c>
      <c r="W31" s="585">
        <f t="shared" si="224"/>
        <v>189.95427257399629</v>
      </c>
      <c r="X31" s="629">
        <f>IF(M31="","",R31)</f>
        <v>2.0380135395405525</v>
      </c>
      <c r="Y31" s="630">
        <f t="shared" si="223"/>
        <v>-0.10242971208366647</v>
      </c>
      <c r="Z31" s="632">
        <f t="shared" si="6"/>
        <v>-2.9236682172189041E-2</v>
      </c>
      <c r="AA31" s="629">
        <f t="shared" si="7"/>
        <v>0.21187523368172362</v>
      </c>
      <c r="AB31" s="629">
        <f t="shared" si="8"/>
        <v>-0.97685930500143037</v>
      </c>
      <c r="AC31" s="636">
        <f>IF(M31="","",SQRT(Z31^2+AA31^2+AB31^2))</f>
        <v>1</v>
      </c>
      <c r="AD31" s="637">
        <f>IF(M31="","",Z31*(1/SQRT(Z31^2+AA31^2+AB31^2)))</f>
        <v>-2.9236682172189041E-2</v>
      </c>
      <c r="AE31" s="629">
        <f>IF(M31="","",AA31*(1/SQRT(Z31^2+AA31^2+AB31^2)))</f>
        <v>0.21187523368172362</v>
      </c>
      <c r="AF31" s="633">
        <f>IF(M31="","",AB31*(1/SQRT(Z31^2+AA31^2+AB31^2)))</f>
        <v>-0.97685930500143037</v>
      </c>
      <c r="AG31" s="602">
        <f>IF(M31="","",DEGREES(ATAN2(-AF31,AE31)))</f>
        <v>12.23758073995805</v>
      </c>
      <c r="AH31" s="603">
        <f>IF(M31="","",DEGREES(ACOS(AD31)))</f>
        <v>91.675377234089254</v>
      </c>
      <c r="AI31" s="585">
        <f>IF(M31="","",DEGREES(-ACOS(-AF31)))</f>
        <v>-12.349998216887583</v>
      </c>
      <c r="AJ31" s="586">
        <f>IF(M31="","",DEGREES(ATAN2(-AE31,AD31)))</f>
        <v>-172.14336636844033</v>
      </c>
      <c r="AK31" s="635">
        <f>IF(M31="","",(COS(RADIANS((90-$Q$8)-W31))*AD31)+(-SIN(RADIANS((90-$Q$8)-W31))*AE31))</f>
        <v>2.267948967932254E-7</v>
      </c>
      <c r="AL31" s="629">
        <f>IF(M31="","",(SIN(RADIANS((90-$Q$8)-W31))*AD31)+(COS(RADIANS((90-$Q$8)-W31))*AE31))</f>
        <v>-0.21388290776046401</v>
      </c>
      <c r="AM31" s="634">
        <f>IF(M31="","",AF31)</f>
        <v>-0.97685930500143037</v>
      </c>
      <c r="AN31" s="581">
        <f>IF(M31="","",DEGREES(ATAN2(-AM31,AL31)))</f>
        <v>-12.34999821688087</v>
      </c>
      <c r="AO31" s="582">
        <f t="shared" si="94"/>
        <v>0</v>
      </c>
      <c r="AP31" s="585">
        <f>IF(M31="","",DEGREES(ATAN2(AK31,AL31)))</f>
        <v>-89.99993924530699</v>
      </c>
      <c r="AQ31" s="586">
        <f t="shared" si="9"/>
        <v>1.1184602103282018</v>
      </c>
      <c r="AS31" s="52">
        <f t="shared" si="116"/>
        <v>-170.04572742600371</v>
      </c>
      <c r="AT31" s="72">
        <f t="shared" si="10"/>
        <v>1.7114334529620578E-2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3.21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</v>
      </c>
      <c r="II31" s="734" cm="1">
        <f t="array" ref="II31">IFERROR(IF($IH31&lt;1,$IH31+LARGE((IF($M$9:$M$150="",0,$M$9:$M$150)-MOD(IF($M$9:$M$150="",0,$M$9:$M$150),1)),1),$IH31),"")</f>
        <v>3.11</v>
      </c>
      <c r="IJ31" s="533">
        <f t="shared" si="112"/>
        <v>1313</v>
      </c>
      <c r="IK31" s="533" t="str">
        <f t="shared" si="66"/>
        <v>Inactive</v>
      </c>
      <c r="IL31" s="727">
        <f t="shared" si="225"/>
        <v>25.632696299096551</v>
      </c>
      <c r="IM31" s="759">
        <v>6.1444370909459901E-2</v>
      </c>
      <c r="IN31" s="5">
        <f t="shared" si="226"/>
        <v>0.96</v>
      </c>
      <c r="IO31" s="771">
        <v>480</v>
      </c>
      <c r="IP31" s="9">
        <f t="shared" si="227"/>
        <v>-2.0309061252128737</v>
      </c>
      <c r="IQ31" s="5">
        <f t="shared" si="228"/>
        <v>-9.8000295568891449E-2</v>
      </c>
      <c r="IR31" s="5">
        <f t="shared" si="71"/>
        <v>0.26600000000000001</v>
      </c>
      <c r="IS31" s="5">
        <f t="shared" si="229"/>
        <v>0.25891548810640241</v>
      </c>
      <c r="IT31" s="727">
        <f t="shared" si="230"/>
        <v>32.084304441735078</v>
      </c>
      <c r="IU31" s="9">
        <f t="shared" si="231"/>
        <v>-2.0380135395405525</v>
      </c>
      <c r="IV31" s="5">
        <f t="shared" si="232"/>
        <v>-0.10242971208366647</v>
      </c>
      <c r="IW31" s="5">
        <f t="shared" si="76"/>
        <v>0.19500000000000001</v>
      </c>
      <c r="IX31" s="5">
        <f t="shared" si="233"/>
        <v>0.19500000000000001</v>
      </c>
      <c r="IY31" s="762">
        <f t="shared" si="234"/>
        <v>12.34999821688087</v>
      </c>
    </row>
    <row r="32" spans="1:269" ht="15" customHeight="1" x14ac:dyDescent="0.25">
      <c r="A32" s="79"/>
      <c r="B32" s="707">
        <v>0.44359776824935976</v>
      </c>
      <c r="C32" s="708">
        <v>-2.6279029595369447</v>
      </c>
      <c r="D32" s="709">
        <v>-0.39216754061692366</v>
      </c>
      <c r="E32" s="710">
        <v>0.94302828152535245</v>
      </c>
      <c r="F32" s="708">
        <v>-5.6283896976699506E-2</v>
      </c>
      <c r="G32" s="711">
        <v>0.32791734200017081</v>
      </c>
      <c r="H32" s="710">
        <v>0.219</v>
      </c>
      <c r="I32" s="708">
        <v>0.42</v>
      </c>
      <c r="J32" s="570">
        <v>3.2149999999999999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1111</v>
      </c>
      <c r="L32" s="320"/>
      <c r="M32" s="168">
        <f t="shared" si="1"/>
        <v>3.2149999999999999</v>
      </c>
      <c r="N32" s="632">
        <f t="shared" si="2"/>
        <v>0.44359776824935976</v>
      </c>
      <c r="O32" s="629">
        <f t="shared" si="3"/>
        <v>-2.6279029595369447</v>
      </c>
      <c r="P32" s="633">
        <f t="shared" si="4"/>
        <v>-0.39216754061692366</v>
      </c>
      <c r="Q32" s="585">
        <f t="shared" si="113"/>
        <v>279.5813726278364</v>
      </c>
      <c r="R32" s="629">
        <f t="shared" si="79"/>
        <v>2.6650802886102412</v>
      </c>
      <c r="S32" s="634">
        <f t="shared" si="80"/>
        <v>-0.39216754061692366</v>
      </c>
      <c r="T32" s="635">
        <f t="shared" si="81"/>
        <v>-2.6099046376765336</v>
      </c>
      <c r="U32" s="629">
        <f t="shared" si="82"/>
        <v>-0.53949117413852898</v>
      </c>
      <c r="V32" s="636">
        <f t="shared" si="114"/>
        <v>-0.39216754061692366</v>
      </c>
      <c r="W32" s="585">
        <f t="shared" si="224"/>
        <v>191.67907232496603</v>
      </c>
      <c r="X32" s="629">
        <f t="shared" si="83"/>
        <v>2.6650802886102412</v>
      </c>
      <c r="Y32" s="630">
        <f t="shared" si="223"/>
        <v>-0.39216754061692366</v>
      </c>
      <c r="Z32" s="632">
        <f t="shared" si="6"/>
        <v>-0.94302828152535245</v>
      </c>
      <c r="AA32" s="629">
        <f t="shared" si="7"/>
        <v>5.6283896976699506E-2</v>
      </c>
      <c r="AB32" s="629">
        <f t="shared" si="8"/>
        <v>-0.32791734200017081</v>
      </c>
      <c r="AC32" s="636">
        <f t="shared" si="84"/>
        <v>1</v>
      </c>
      <c r="AD32" s="637">
        <f t="shared" si="115"/>
        <v>-0.94302828152535245</v>
      </c>
      <c r="AE32" s="629">
        <f t="shared" si="85"/>
        <v>5.6283896976699506E-2</v>
      </c>
      <c r="AF32" s="633">
        <f t="shared" si="86"/>
        <v>-0.32791734200017081</v>
      </c>
      <c r="AG32" s="602">
        <f t="shared" si="87"/>
        <v>9.7393741651545476</v>
      </c>
      <c r="AH32" s="603">
        <f t="shared" si="88"/>
        <v>160.56649905649257</v>
      </c>
      <c r="AI32" s="585">
        <f t="shared" si="89"/>
        <v>-70.857584718609289</v>
      </c>
      <c r="AJ32" s="586">
        <f t="shared" si="90"/>
        <v>-93.415601429794648</v>
      </c>
      <c r="AK32" s="635">
        <f t="shared" si="211"/>
        <v>0.92050487609870557</v>
      </c>
      <c r="AL32" s="629">
        <f t="shared" si="91"/>
        <v>-0.21246409083431017</v>
      </c>
      <c r="AM32" s="634">
        <f t="shared" si="92"/>
        <v>-0.32791734200017081</v>
      </c>
      <c r="AN32" s="581">
        <f t="shared" si="93"/>
        <v>-32.93999524405308</v>
      </c>
      <c r="AO32" s="582">
        <f t="shared" si="94"/>
        <v>22.999996679211311</v>
      </c>
      <c r="AP32" s="585">
        <f t="shared" si="95"/>
        <v>-12.996974057631048</v>
      </c>
      <c r="AQ32" s="586">
        <f t="shared" si="9"/>
        <v>0.85534281451253313</v>
      </c>
      <c r="AS32" s="52">
        <f t="shared" si="116"/>
        <v>-168.32092767503397</v>
      </c>
      <c r="AT32" s="72">
        <f t="shared" si="10"/>
        <v>-0.27382127160847669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3.2149999999999999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3.1150000000000002</v>
      </c>
      <c r="II32" s="734" cm="1">
        <f t="array" ref="II32">IFERROR(IF($IH32&lt;1,$IH32+LARGE((IF($M$9:$M$150="",0,$M$9:$M$150)-MOD(IF($M$9:$M$150="",0,$M$9:$M$150),1)),1),$IH32),"")</f>
        <v>3.1150000000000002</v>
      </c>
      <c r="IJ32" s="533">
        <f t="shared" si="112"/>
        <v>1313</v>
      </c>
      <c r="IK32" s="533">
        <f t="shared" si="66"/>
        <v>1111</v>
      </c>
      <c r="IL32" s="727">
        <f t="shared" si="225"/>
        <v>22.488096753120544</v>
      </c>
      <c r="IM32" s="759">
        <v>6.1163144213848301E-3</v>
      </c>
      <c r="IN32" s="5">
        <f t="shared" si="226"/>
        <v>0.12</v>
      </c>
      <c r="IO32" s="771">
        <v>60</v>
      </c>
      <c r="IP32" s="9">
        <f t="shared" si="227"/>
        <v>-2.6338079435647583</v>
      </c>
      <c r="IQ32" s="5">
        <f t="shared" si="228"/>
        <v>-0.43000129688391142</v>
      </c>
      <c r="IR32" s="5">
        <f t="shared" si="71"/>
        <v>0.26600000000000001</v>
      </c>
      <c r="IS32" s="5">
        <f t="shared" si="229"/>
        <v>0.25751012428064141</v>
      </c>
      <c r="IT32" s="727">
        <f t="shared" si="230"/>
        <v>59.845489370293144</v>
      </c>
      <c r="IU32" s="9">
        <f t="shared" si="231"/>
        <v>-2.6650802886102412</v>
      </c>
      <c r="IV32" s="5">
        <f t="shared" si="232"/>
        <v>-0.39216754061692366</v>
      </c>
      <c r="IW32" s="5">
        <f t="shared" si="76"/>
        <v>0.219</v>
      </c>
      <c r="IX32" s="5">
        <f t="shared" si="233"/>
        <v>0.20159056786561655</v>
      </c>
      <c r="IY32" s="762">
        <f t="shared" si="234"/>
        <v>32.93999524405308</v>
      </c>
    </row>
    <row r="33" spans="1:267" ht="15" customHeight="1" x14ac:dyDescent="0.25">
      <c r="A33" s="79"/>
      <c r="B33" s="707">
        <v>-0.35638301380753529</v>
      </c>
      <c r="C33" s="708">
        <v>-0.3563827713300714</v>
      </c>
      <c r="D33" s="709">
        <v>-0.24100072685819221</v>
      </c>
      <c r="E33" s="710">
        <v>0.72312762130389852</v>
      </c>
      <c r="F33" s="708">
        <v>-0.64907779156957934</v>
      </c>
      <c r="G33" s="711">
        <v>0.23618734893834467</v>
      </c>
      <c r="H33" s="710">
        <v>0.26600000000000001</v>
      </c>
      <c r="I33" s="708">
        <v>0.52</v>
      </c>
      <c r="J33" s="570">
        <v>4.1020000000000003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4.1020000000000003</v>
      </c>
      <c r="N33" s="632">
        <f t="shared" si="2"/>
        <v>-0.35638301380753529</v>
      </c>
      <c r="O33" s="629">
        <f t="shared" si="3"/>
        <v>-0.3563827713300714</v>
      </c>
      <c r="P33" s="633">
        <f t="shared" si="4"/>
        <v>-0.24100072685819221</v>
      </c>
      <c r="Q33" s="585">
        <f t="shared" si="113"/>
        <v>224.99998050841441</v>
      </c>
      <c r="R33" s="629">
        <f t="shared" si="79"/>
        <v>0.50400152006858456</v>
      </c>
      <c r="S33" s="634">
        <f t="shared" si="80"/>
        <v>-0.24100072685819221</v>
      </c>
      <c r="T33" s="635">
        <f t="shared" si="81"/>
        <v>-0.36918884338482938</v>
      </c>
      <c r="U33" s="629">
        <f t="shared" si="82"/>
        <v>0.34309930071571959</v>
      </c>
      <c r="V33" s="636">
        <f t="shared" si="114"/>
        <v>-0.24100072685819221</v>
      </c>
      <c r="W33" s="585">
        <f t="shared" si="224"/>
        <v>137.09768020554404</v>
      </c>
      <c r="X33" s="629">
        <f t="shared" si="83"/>
        <v>0.50400152006858456</v>
      </c>
      <c r="Y33" s="630">
        <f t="shared" si="223"/>
        <v>-0.24100072685819221</v>
      </c>
      <c r="Z33" s="632">
        <f t="shared" si="6"/>
        <v>-0.72312762130389852</v>
      </c>
      <c r="AA33" s="629">
        <f t="shared" si="7"/>
        <v>0.64907779156957934</v>
      </c>
      <c r="AB33" s="629">
        <f t="shared" si="8"/>
        <v>-0.23618734893834467</v>
      </c>
      <c r="AC33" s="636">
        <f t="shared" si="84"/>
        <v>1</v>
      </c>
      <c r="AD33" s="637">
        <f t="shared" si="115"/>
        <v>-0.72312762130389852</v>
      </c>
      <c r="AE33" s="629">
        <f t="shared" si="85"/>
        <v>0.64907779156957934</v>
      </c>
      <c r="AF33" s="633">
        <f t="shared" si="86"/>
        <v>-0.23618734893834467</v>
      </c>
      <c r="AG33" s="602">
        <f t="shared" si="87"/>
        <v>70.004493512884594</v>
      </c>
      <c r="AH33" s="603">
        <f t="shared" si="88"/>
        <v>136.31331005167669</v>
      </c>
      <c r="AI33" s="585">
        <f t="shared" si="89"/>
        <v>-76.338376739579061</v>
      </c>
      <c r="AJ33" s="586">
        <f t="shared" si="90"/>
        <v>-131.91108095446486</v>
      </c>
      <c r="AK33" s="635">
        <f t="shared" si="211"/>
        <v>0.97029573481080833</v>
      </c>
      <c r="AL33" s="629">
        <f t="shared" si="91"/>
        <v>5.2361466838030724E-2</v>
      </c>
      <c r="AM33" s="634">
        <f t="shared" si="92"/>
        <v>-0.23618734893834467</v>
      </c>
      <c r="AN33" s="581">
        <f t="shared" si="93"/>
        <v>12.499998195223567</v>
      </c>
      <c r="AO33" s="582">
        <f t="shared" si="94"/>
        <v>13.999997978650374</v>
      </c>
      <c r="AP33" s="585">
        <f t="shared" si="95"/>
        <v>3.0889385371207498</v>
      </c>
      <c r="AQ33" s="586">
        <f t="shared" si="9"/>
        <v>4.5138915326195166</v>
      </c>
      <c r="AS33" s="52">
        <f t="shared" si="116"/>
        <v>-222.90231979445596</v>
      </c>
      <c r="AT33" s="72">
        <f t="shared" si="10"/>
        <v>-8.4750713322368887E-2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4.1020000000000003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-0.80708786522193465</v>
      </c>
      <c r="C34" s="708">
        <v>-0.80568553576214785</v>
      </c>
      <c r="D34" s="709">
        <v>-9.9900301299308727E-2</v>
      </c>
      <c r="E34" s="710">
        <v>0.71367672548626415</v>
      </c>
      <c r="F34" s="708">
        <v>-0.66693420083961663</v>
      </c>
      <c r="G34" s="711">
        <v>0.21415952757144743</v>
      </c>
      <c r="H34" s="710">
        <v>0.26600000000000001</v>
      </c>
      <c r="I34" s="708">
        <v>0.52</v>
      </c>
      <c r="J34" s="570">
        <v>4.1050000000000004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4.1050000000000004</v>
      </c>
      <c r="N34" s="632">
        <f t="shared" si="2"/>
        <v>-0.80708786522193465</v>
      </c>
      <c r="O34" s="629">
        <f t="shared" si="3"/>
        <v>-0.80568553576214785</v>
      </c>
      <c r="P34" s="633">
        <f t="shared" si="4"/>
        <v>-9.9900301299308727E-2</v>
      </c>
      <c r="Q34" s="585">
        <f t="shared" si="113"/>
        <v>224.95018051560464</v>
      </c>
      <c r="R34" s="629">
        <f>IF(M34="","",SQRT(N34^2+O34^2))</f>
        <v>1.1404034394567735</v>
      </c>
      <c r="S34" s="634">
        <f>IF(M34="","",P34)</f>
        <v>-9.9900301299308727E-2</v>
      </c>
      <c r="T34" s="635">
        <f>IF(M34="","",X34*COS(RADIANS(W34)))</f>
        <v>-0.83468792851472351</v>
      </c>
      <c r="U34" s="629">
        <f>IF(M34="","",X34*SIN(RADIANS(W34)))</f>
        <v>0.77705602546833041</v>
      </c>
      <c r="V34" s="636">
        <f>IF(M34="","",Y34)</f>
        <v>-9.9900301299308727E-2</v>
      </c>
      <c r="W34" s="585">
        <f t="shared" si="224"/>
        <v>137.04788021273427</v>
      </c>
      <c r="X34" s="629">
        <f>IF(M34="","",R34)</f>
        <v>1.1404034394567735</v>
      </c>
      <c r="Y34" s="630">
        <f t="shared" si="223"/>
        <v>-9.9900301299308727E-2</v>
      </c>
      <c r="Z34" s="632">
        <f t="shared" si="6"/>
        <v>-0.71367672548626415</v>
      </c>
      <c r="AA34" s="629">
        <f t="shared" si="7"/>
        <v>0.66693420083961663</v>
      </c>
      <c r="AB34" s="629">
        <f t="shared" si="8"/>
        <v>-0.21415952757144743</v>
      </c>
      <c r="AC34" s="636">
        <f>IF(M34="","",SQRT(Z34^2+AA34^2+AB34^2))</f>
        <v>1</v>
      </c>
      <c r="AD34" s="637">
        <f>IF(M34="","",Z34*(1/SQRT(Z34^2+AA34^2+AB34^2)))</f>
        <v>-0.71367672548626415</v>
      </c>
      <c r="AE34" s="629">
        <f>IF(M34="","",AA34*(1/SQRT(Z34^2+AA34^2+AB34^2)))</f>
        <v>0.66693420083961663</v>
      </c>
      <c r="AF34" s="633">
        <f>IF(M34="","",AB34*(1/SQRT(Z34^2+AA34^2+AB34^2)))</f>
        <v>-0.21415952757144743</v>
      </c>
      <c r="AG34" s="602">
        <f>IF(M34="","",DEGREES(ATAN2(-AF34,AE34)))</f>
        <v>72.197633897461742</v>
      </c>
      <c r="AH34" s="603">
        <f>IF(M34="","",DEGREES(ACOS(AD34)))</f>
        <v>135.53485672102698</v>
      </c>
      <c r="AI34" s="585">
        <f>IF(M34="","",DEGREES(-ACOS(-AF34)))</f>
        <v>-77.633776683775153</v>
      </c>
      <c r="AJ34" s="586">
        <f>IF(M34="","",DEGREES(ATAN2(-AE34,AD34)))</f>
        <v>-133.06091147306509</v>
      </c>
      <c r="AK34" s="635">
        <f>IF(M34="","",(COS(RADIANS((90-$Q$8)-W34))*AD34)+(-SIN(RADIANS((90-$Q$8)-W34))*AE34))</f>
        <v>0.97621024000403089</v>
      </c>
      <c r="AL34" s="629">
        <f>IF(M34="","",(SIN(RADIANS((90-$Q$8)-W34))*AD34)+(COS(RADIANS((90-$Q$8)-W34))*AE34))</f>
        <v>3.3900797360045254E-2</v>
      </c>
      <c r="AM34" s="634">
        <f>IF(M34="","",AF34)</f>
        <v>-0.21415952757144743</v>
      </c>
      <c r="AN34" s="581">
        <f>IF(M34="","",DEGREES(ATAN2(-AM34,AL34)))</f>
        <v>8.9951090838234187</v>
      </c>
      <c r="AO34" s="582">
        <f t="shared" si="94"/>
        <v>12.522683970999918</v>
      </c>
      <c r="AP34" s="585">
        <f>IF(M34="","",DEGREES(ATAN2(AK34,AL34)))</f>
        <v>1.9889080113302462</v>
      </c>
      <c r="AQ34" s="586">
        <f t="shared" si="9"/>
        <v>1.9982421826496652</v>
      </c>
      <c r="AS34" s="52">
        <f t="shared" si="116"/>
        <v>-222.95211978726573</v>
      </c>
      <c r="AT34" s="72">
        <f t="shared" si="10"/>
        <v>5.6384295564854733E-2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4.1050000000000004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-1.3689680404436684</v>
      </c>
      <c r="C35" s="708">
        <v>-1.3117790165542496</v>
      </c>
      <c r="D35" s="709">
        <v>-6.5400197246994904E-2</v>
      </c>
      <c r="E35" s="710">
        <v>0.60231033102853038</v>
      </c>
      <c r="F35" s="708">
        <v>-0.77180090346870256</v>
      </c>
      <c r="G35" s="711">
        <v>0.20382745286441764</v>
      </c>
      <c r="H35" s="710">
        <v>0.26600000000000001</v>
      </c>
      <c r="I35" s="708">
        <v>0.52</v>
      </c>
      <c r="J35" s="570">
        <v>4.109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4.109</v>
      </c>
      <c r="N35" s="632">
        <f t="shared" si="2"/>
        <v>-1.3689680404436684</v>
      </c>
      <c r="O35" s="629">
        <f t="shared" si="3"/>
        <v>-1.3117790165542496</v>
      </c>
      <c r="P35" s="633">
        <f t="shared" si="4"/>
        <v>-6.5400197246994904E-2</v>
      </c>
      <c r="Q35" s="585">
        <f t="shared" si="113"/>
        <v>223.77788068486379</v>
      </c>
      <c r="R35" s="629">
        <f>IF(M35="","",SQRT(N35^2+O35^2))</f>
        <v>1.8960057183532468</v>
      </c>
      <c r="S35" s="634">
        <f>IF(M35="","",P35)</f>
        <v>-6.5400197246994904E-2</v>
      </c>
      <c r="T35" s="635">
        <f>IF(M35="","",X35*COS(RADIANS(W35)))</f>
        <v>-1.3610090882332204</v>
      </c>
      <c r="U35" s="629">
        <f>IF(M35="","",X35*SIN(RADIANS(W35)))</f>
        <v>1.320034827485544</v>
      </c>
      <c r="V35" s="636">
        <f>IF(M35="","",Y35)</f>
        <v>-6.5400197246994904E-2</v>
      </c>
      <c r="W35" s="585">
        <f t="shared" si="224"/>
        <v>135.87558038199342</v>
      </c>
      <c r="X35" s="629">
        <f>IF(M35="","",R35)</f>
        <v>1.8960057183532468</v>
      </c>
      <c r="Y35" s="630">
        <f t="shared" si="223"/>
        <v>-6.5400197246994904E-2</v>
      </c>
      <c r="Z35" s="632">
        <f t="shared" si="6"/>
        <v>-0.60231033102853038</v>
      </c>
      <c r="AA35" s="629">
        <f t="shared" si="7"/>
        <v>0.77180090346870256</v>
      </c>
      <c r="AB35" s="629">
        <f t="shared" si="8"/>
        <v>-0.20382745286441764</v>
      </c>
      <c r="AC35" s="636">
        <f>IF(M35="","",SQRT(Z35^2+AA35^2+AB35^2))</f>
        <v>1</v>
      </c>
      <c r="AD35" s="637">
        <f>IF(M35="","",Z35*(1/SQRT(Z35^2+AA35^2+AB35^2)))</f>
        <v>-0.60231033102853038</v>
      </c>
      <c r="AE35" s="629">
        <f>IF(M35="","",AA35*(1/SQRT(Z35^2+AA35^2+AB35^2)))</f>
        <v>0.77180090346870256</v>
      </c>
      <c r="AF35" s="633">
        <f>IF(M35="","",AB35*(1/SQRT(Z35^2+AA35^2+AB35^2)))</f>
        <v>-0.20382745286441764</v>
      </c>
      <c r="AG35" s="602">
        <f>IF(M35="","",DEGREES(ATAN2(-AF35,AE35)))</f>
        <v>75.206324733818334</v>
      </c>
      <c r="AH35" s="603">
        <f>IF(M35="","",DEGREES(ACOS(AD35)))</f>
        <v>127.0355427311999</v>
      </c>
      <c r="AI35" s="585">
        <f>IF(M35="","",DEGREES(-ACOS(-AF35)))</f>
        <v>-78.239132133996407</v>
      </c>
      <c r="AJ35" s="586">
        <f>IF(M35="","",DEGREES(ATAN2(-AE35,AD35)))</f>
        <v>-142.0316655035009</v>
      </c>
      <c r="AK35" s="635">
        <f>IF(M35="","",(COS(RADIANS((90-$Q$8)-W35))*AD35)+(-SIN(RADIANS((90-$Q$8)-W35))*AE35))</f>
        <v>0.97397850979857536</v>
      </c>
      <c r="AL35" s="629">
        <f>IF(M35="","",(SIN(RADIANS((90-$Q$8)-W35))*AD35)+(COS(RADIANS((90-$Q$8)-W35))*AE35))</f>
        <v>-9.9097083253493423E-2</v>
      </c>
      <c r="AM35" s="634">
        <f>IF(M35="","",AF35)</f>
        <v>-0.20382745286441764</v>
      </c>
      <c r="AN35" s="581">
        <f>IF(M35="","",DEGREES(ATAN2(-AM35,AL35)))</f>
        <v>-25.928151380254921</v>
      </c>
      <c r="AO35" s="582">
        <f t="shared" si="94"/>
        <v>13.09935725431704</v>
      </c>
      <c r="AP35" s="585">
        <f>IF(M35="","",DEGREES(ATAN2(AK35,AL35)))</f>
        <v>-5.809546188364699</v>
      </c>
      <c r="AQ35" s="586">
        <f t="shared" si="9"/>
        <v>1.2022073769537407</v>
      </c>
      <c r="AS35" s="52">
        <f t="shared" si="116"/>
        <v>-224.12441961800658</v>
      </c>
      <c r="AT35" s="72">
        <f t="shared" si="10"/>
        <v>9.1698496721849695E-2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4.109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-1.8672695691747052</v>
      </c>
      <c r="C36" s="708">
        <v>-1.7011816024298712</v>
      </c>
      <c r="D36" s="709">
        <v>-0.34270103358631737</v>
      </c>
      <c r="E36" s="710">
        <v>0.50761952531043952</v>
      </c>
      <c r="F36" s="708">
        <v>-0.85063971157809271</v>
      </c>
      <c r="G36" s="711">
        <v>0.1368740245990579</v>
      </c>
      <c r="H36" s="710">
        <v>0.26600000000000001</v>
      </c>
      <c r="I36" s="708">
        <v>0.52</v>
      </c>
      <c r="J36" s="570">
        <v>4.1139999999999999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4.1139999999999999</v>
      </c>
      <c r="N36" s="632">
        <f t="shared" si="2"/>
        <v>-1.8672695691747052</v>
      </c>
      <c r="O36" s="629">
        <f t="shared" si="3"/>
        <v>-1.7011816024298712</v>
      </c>
      <c r="P36" s="633">
        <f t="shared" si="4"/>
        <v>-0.34270103358631737</v>
      </c>
      <c r="Q36" s="585">
        <f t="shared" si="113"/>
        <v>222.33518089316385</v>
      </c>
      <c r="R36" s="629">
        <f>IF(M36="","",SQRT(N36^2+O36^2))</f>
        <v>2.5260076184389773</v>
      </c>
      <c r="S36" s="634">
        <f>IF(M36="","",P36)</f>
        <v>-0.34270103358631737</v>
      </c>
      <c r="T36" s="635">
        <f>IF(M36="","",X36*COS(RADIANS(W36)))</f>
        <v>-1.7683903452206247</v>
      </c>
      <c r="U36" s="629">
        <f>IF(M36="","",X36*SIN(RADIANS(W36)))</f>
        <v>1.8037488947584233</v>
      </c>
      <c r="V36" s="636">
        <f>IF(M36="","",Y36)</f>
        <v>-0.34270103358631737</v>
      </c>
      <c r="W36" s="585">
        <f t="shared" si="224"/>
        <v>134.43288059029348</v>
      </c>
      <c r="X36" s="629">
        <f>IF(M36="","",R36)</f>
        <v>2.5260076184389773</v>
      </c>
      <c r="Y36" s="630">
        <f t="shared" si="223"/>
        <v>-0.34270103358631737</v>
      </c>
      <c r="Z36" s="632">
        <f t="shared" si="6"/>
        <v>-0.50761952531043952</v>
      </c>
      <c r="AA36" s="629">
        <f t="shared" si="7"/>
        <v>0.85063971157809271</v>
      </c>
      <c r="AB36" s="629">
        <f t="shared" si="8"/>
        <v>-0.1368740245990579</v>
      </c>
      <c r="AC36" s="636">
        <f>IF(M36="","",SQRT(Z36^2+AA36^2+AB36^2))</f>
        <v>1</v>
      </c>
      <c r="AD36" s="637">
        <f>IF(M36="","",Z36*(1/SQRT(Z36^2+AA36^2+AB36^2)))</f>
        <v>-0.50761952531043952</v>
      </c>
      <c r="AE36" s="629">
        <f>IF(M36="","",AA36*(1/SQRT(Z36^2+AA36^2+AB36^2)))</f>
        <v>0.85063971157809271</v>
      </c>
      <c r="AF36" s="633">
        <f>IF(M36="","",AB36*(1/SQRT(Z36^2+AA36^2+AB36^2)))</f>
        <v>-0.1368740245990579</v>
      </c>
      <c r="AG36" s="602">
        <f>IF(M36="","",DEGREES(ATAN2(-AF36,AE36)))</f>
        <v>80.859050917503069</v>
      </c>
      <c r="AH36" s="603">
        <f>IF(M36="","",DEGREES(ACOS(AD36)))</f>
        <v>120.5053972048936</v>
      </c>
      <c r="AI36" s="585">
        <f>IF(M36="","",DEGREES(-ACOS(-AF36)))</f>
        <v>-82.133000357227445</v>
      </c>
      <c r="AJ36" s="586">
        <f>IF(M36="","",DEGREES(ATAN2(-AE36,AD36)))</f>
        <v>-149.17334608923173</v>
      </c>
      <c r="AK36" s="635">
        <f>IF(M36="","",(COS(RADIANS((90-$Q$8)-W36))*AD36)+(-SIN(RADIANS((90-$Q$8)-W36))*AE36))</f>
        <v>0.97067270397579675</v>
      </c>
      <c r="AL36" s="629">
        <f>IF(M36="","",(SIN(RADIANS((90-$Q$8)-W36))*AD36)+(COS(RADIANS((90-$Q$8)-W36))*AE36))</f>
        <v>-0.19763603706402294</v>
      </c>
      <c r="AM36" s="634">
        <f>IF(M36="","",AF36)</f>
        <v>-0.1368740245990579</v>
      </c>
      <c r="AN36" s="581">
        <f>IF(M36="","",DEGREES(ATAN2(-AM36,AL36)))</f>
        <v>-55.29522988850254</v>
      </c>
      <c r="AO36" s="582">
        <f t="shared" si="94"/>
        <v>13.910437370308022</v>
      </c>
      <c r="AP36" s="585">
        <f>IF(M36="","",DEGREES(ATAN2(AK36,AL36)))</f>
        <v>-11.508526982395585</v>
      </c>
      <c r="AQ36" s="586">
        <f t="shared" si="9"/>
        <v>0.90242725298048876</v>
      </c>
      <c r="AS36" s="52">
        <f t="shared" si="116"/>
        <v>-225.56711940970652</v>
      </c>
      <c r="AT36" s="72">
        <f t="shared" si="10"/>
        <v>-0.1846004647621256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4.1139999999999999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-2.2388658132155248</v>
      </c>
      <c r="C37" s="708">
        <v>-1.9601846272105743</v>
      </c>
      <c r="D37" s="709">
        <v>-0.86360260462545535</v>
      </c>
      <c r="E37" s="710">
        <v>0.35482171748575747</v>
      </c>
      <c r="F37" s="708">
        <v>-0.92723909468997134</v>
      </c>
      <c r="G37" s="711">
        <v>0.11970467860104593</v>
      </c>
      <c r="H37" s="710">
        <v>0.26600000000000001</v>
      </c>
      <c r="I37" s="708">
        <v>0.52</v>
      </c>
      <c r="J37" s="570">
        <v>4.1189999999999998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4.1189999999999998</v>
      </c>
      <c r="N37" s="632">
        <f t="shared" si="2"/>
        <v>-2.2388658132155248</v>
      </c>
      <c r="O37" s="629">
        <f t="shared" si="3"/>
        <v>-1.9601846272105743</v>
      </c>
      <c r="P37" s="633">
        <f t="shared" si="4"/>
        <v>-0.86360260462545535</v>
      </c>
      <c r="Q37" s="585">
        <f t="shared" si="113"/>
        <v>221.20298105663329</v>
      </c>
      <c r="R37" s="629">
        <f t="shared" si="79"/>
        <v>2.9757089747382675</v>
      </c>
      <c r="S37" s="634">
        <f t="shared" si="80"/>
        <v>-0.86360260462545535</v>
      </c>
      <c r="T37" s="635">
        <f t="shared" si="81"/>
        <v>-2.040821558524601</v>
      </c>
      <c r="U37" s="629">
        <f t="shared" si="82"/>
        <v>2.1656156788772769</v>
      </c>
      <c r="V37" s="636">
        <f t="shared" si="114"/>
        <v>-0.86360260462545535</v>
      </c>
      <c r="W37" s="585">
        <f t="shared" si="224"/>
        <v>133.30068075376292</v>
      </c>
      <c r="X37" s="629">
        <f t="shared" si="83"/>
        <v>2.9757089747382675</v>
      </c>
      <c r="Y37" s="630">
        <f t="shared" si="223"/>
        <v>-0.86360260462545535</v>
      </c>
      <c r="Z37" s="632">
        <f t="shared" si="6"/>
        <v>-0.35482171748575747</v>
      </c>
      <c r="AA37" s="629">
        <f t="shared" si="7"/>
        <v>0.92723909468997134</v>
      </c>
      <c r="AB37" s="629">
        <f t="shared" si="8"/>
        <v>-0.11970467860104593</v>
      </c>
      <c r="AC37" s="636">
        <f t="shared" si="84"/>
        <v>1</v>
      </c>
      <c r="AD37" s="637">
        <f t="shared" si="115"/>
        <v>-0.35482171748575747</v>
      </c>
      <c r="AE37" s="629">
        <f t="shared" si="85"/>
        <v>0.92723909468997134</v>
      </c>
      <c r="AF37" s="633">
        <f t="shared" si="86"/>
        <v>-0.11970467860104593</v>
      </c>
      <c r="AG37" s="602">
        <f t="shared" si="87"/>
        <v>82.643917691375293</v>
      </c>
      <c r="AH37" s="603">
        <f t="shared" si="88"/>
        <v>110.7825182557677</v>
      </c>
      <c r="AI37" s="585">
        <f t="shared" si="89"/>
        <v>-83.124940944823194</v>
      </c>
      <c r="AJ37" s="586">
        <f t="shared" si="90"/>
        <v>-159.05991315847163</v>
      </c>
      <c r="AK37" s="635">
        <f t="shared" si="211"/>
        <v>0.93136795611475898</v>
      </c>
      <c r="AL37" s="629">
        <f t="shared" si="91"/>
        <v>-0.34383792729080492</v>
      </c>
      <c r="AM37" s="634">
        <f t="shared" si="92"/>
        <v>-0.11970467860104593</v>
      </c>
      <c r="AN37" s="581">
        <f t="shared" si="93"/>
        <v>-70.804808695829863</v>
      </c>
      <c r="AO37" s="582">
        <f t="shared" si="94"/>
        <v>21.350931699248701</v>
      </c>
      <c r="AP37" s="585">
        <f t="shared" si="95"/>
        <v>-20.262894215104946</v>
      </c>
      <c r="AQ37" s="586">
        <f t="shared" si="9"/>
        <v>0.76606644096403198</v>
      </c>
      <c r="AS37" s="52">
        <f t="shared" si="116"/>
        <v>-226.69931924623708</v>
      </c>
      <c r="AT37" s="72">
        <f t="shared" si="10"/>
        <v>-0.70471578591478401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4.1189999999999998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-2.3931571010202042</v>
      </c>
      <c r="C38" s="708">
        <v>-2.0605395524055279</v>
      </c>
      <c r="D38" s="709">
        <v>-1.527304606350693</v>
      </c>
      <c r="E38" s="710">
        <v>0.16981300547269951</v>
      </c>
      <c r="F38" s="708">
        <v>-0.98485755240905881</v>
      </c>
      <c r="G38" s="711">
        <v>3.4916251734213248E-2</v>
      </c>
      <c r="H38" s="710">
        <v>0.26600000000000001</v>
      </c>
      <c r="I38" s="708">
        <v>0.52</v>
      </c>
      <c r="J38" s="570">
        <v>4.1239999999999997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4.1239999999999997</v>
      </c>
      <c r="N38" s="632">
        <f t="shared" si="2"/>
        <v>-2.3931571010202042</v>
      </c>
      <c r="O38" s="629">
        <f t="shared" si="3"/>
        <v>-2.0605395524055279</v>
      </c>
      <c r="P38" s="633">
        <f t="shared" si="4"/>
        <v>-1.527304606350693</v>
      </c>
      <c r="Q38" s="585">
        <f t="shared" si="113"/>
        <v>220.72888112508488</v>
      </c>
      <c r="R38" s="629">
        <f t="shared" si="79"/>
        <v>3.1580095245567263</v>
      </c>
      <c r="S38" s="634">
        <f t="shared" si="80"/>
        <v>-1.527304606350693</v>
      </c>
      <c r="T38" s="635">
        <f t="shared" si="81"/>
        <v>-2.1467568469825378</v>
      </c>
      <c r="U38" s="629">
        <f t="shared" si="82"/>
        <v>2.3161302202433682</v>
      </c>
      <c r="V38" s="636">
        <f t="shared" si="114"/>
        <v>-1.527304606350693</v>
      </c>
      <c r="W38" s="585">
        <f t="shared" si="224"/>
        <v>132.82658082221451</v>
      </c>
      <c r="X38" s="629">
        <f t="shared" si="83"/>
        <v>3.1580095245567263</v>
      </c>
      <c r="Y38" s="630">
        <f t="shared" si="223"/>
        <v>-1.527304606350693</v>
      </c>
      <c r="Z38" s="632">
        <f t="shared" si="6"/>
        <v>-0.16981300547269951</v>
      </c>
      <c r="AA38" s="629">
        <f t="shared" si="7"/>
        <v>0.98485755240905881</v>
      </c>
      <c r="AB38" s="629">
        <f t="shared" si="8"/>
        <v>-3.4916251734213248E-2</v>
      </c>
      <c r="AC38" s="636">
        <f t="shared" si="84"/>
        <v>1</v>
      </c>
      <c r="AD38" s="637">
        <f t="shared" si="115"/>
        <v>-0.16981300547269951</v>
      </c>
      <c r="AE38" s="629">
        <f t="shared" si="85"/>
        <v>0.98485755240905881</v>
      </c>
      <c r="AF38" s="633">
        <f t="shared" si="86"/>
        <v>-3.4916251734213248E-2</v>
      </c>
      <c r="AG38" s="602">
        <f t="shared" si="87"/>
        <v>87.969537516094235</v>
      </c>
      <c r="AH38" s="603">
        <f t="shared" si="88"/>
        <v>99.776946981551234</v>
      </c>
      <c r="AI38" s="585">
        <f t="shared" si="89"/>
        <v>-87.999039421958031</v>
      </c>
      <c r="AJ38" s="586">
        <f t="shared" si="90"/>
        <v>-170.21702917204928</v>
      </c>
      <c r="AK38" s="635">
        <f t="shared" si="211"/>
        <v>0.85713017591687379</v>
      </c>
      <c r="AL38" s="629">
        <f t="shared" si="91"/>
        <v>-0.51391508724451951</v>
      </c>
      <c r="AM38" s="634">
        <f t="shared" si="92"/>
        <v>-3.4916251734213248E-2</v>
      </c>
      <c r="AN38" s="581">
        <f t="shared" si="93"/>
        <v>-86.113202015358937</v>
      </c>
      <c r="AO38" s="582">
        <f t="shared" si="94"/>
        <v>31.004129725631842</v>
      </c>
      <c r="AP38" s="585">
        <f t="shared" si="95"/>
        <v>-30.94591029713418</v>
      </c>
      <c r="AQ38" s="586">
        <f t="shared" si="9"/>
        <v>0.72184899881576325</v>
      </c>
      <c r="AS38" s="52">
        <f t="shared" si="116"/>
        <v>-227.17341917778549</v>
      </c>
      <c r="AT38" s="72">
        <f t="shared" si="10"/>
        <v>-1.3680885515764465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4.1239999999999997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-2.4186667512068651</v>
      </c>
      <c r="C39" s="708">
        <v>-2.0767327363743324</v>
      </c>
      <c r="D39" s="709">
        <v>-2.15580650191241</v>
      </c>
      <c r="E39" s="710">
        <v>9.8456332925929896E-2</v>
      </c>
      <c r="F39" s="708">
        <v>-0.99514137212094733</v>
      </c>
      <c r="G39" s="711">
        <v>1.3008419224361226E-7</v>
      </c>
      <c r="H39" s="710">
        <v>0.26600000000000001</v>
      </c>
      <c r="I39" s="708">
        <v>0.52</v>
      </c>
      <c r="J39" s="570">
        <v>4.1289999999999996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4.1289999999999996</v>
      </c>
      <c r="N39" s="632">
        <f t="shared" si="2"/>
        <v>-2.4186667512068651</v>
      </c>
      <c r="O39" s="629">
        <f t="shared" si="3"/>
        <v>-2.0767327363743324</v>
      </c>
      <c r="P39" s="633">
        <f t="shared" si="4"/>
        <v>-2.15580650191241</v>
      </c>
      <c r="Q39" s="585">
        <f t="shared" si="113"/>
        <v>220.65028113643328</v>
      </c>
      <c r="R39" s="629">
        <f t="shared" si="79"/>
        <v>3.187909614735398</v>
      </c>
      <c r="S39" s="634">
        <f t="shared" si="80"/>
        <v>-2.15580650191241</v>
      </c>
      <c r="T39" s="635">
        <f t="shared" si="81"/>
        <v>-2.1638729240379595</v>
      </c>
      <c r="U39" s="629">
        <f t="shared" si="82"/>
        <v>2.3410300468677896</v>
      </c>
      <c r="V39" s="636">
        <f t="shared" si="114"/>
        <v>-2.15580650191241</v>
      </c>
      <c r="W39" s="585">
        <f t="shared" si="224"/>
        <v>132.74798083356291</v>
      </c>
      <c r="X39" s="629">
        <f t="shared" si="83"/>
        <v>3.187909614735398</v>
      </c>
      <c r="Y39" s="630">
        <f t="shared" si="223"/>
        <v>-2.15580650191241</v>
      </c>
      <c r="Z39" s="632">
        <f t="shared" si="6"/>
        <v>-9.8456332925929896E-2</v>
      </c>
      <c r="AA39" s="629">
        <f t="shared" si="7"/>
        <v>0.99514137212094733</v>
      </c>
      <c r="AB39" s="629">
        <f t="shared" si="8"/>
        <v>-1.3008419224361226E-7</v>
      </c>
      <c r="AC39" s="636">
        <f t="shared" si="84"/>
        <v>1</v>
      </c>
      <c r="AD39" s="637">
        <f t="shared" si="115"/>
        <v>-9.8456332925929896E-2</v>
      </c>
      <c r="AE39" s="629">
        <f t="shared" si="85"/>
        <v>0.99514137212094733</v>
      </c>
      <c r="AF39" s="633">
        <f t="shared" si="86"/>
        <v>-1.3008419224361226E-7</v>
      </c>
      <c r="AG39" s="602">
        <f t="shared" si="87"/>
        <v>89.999992510335304</v>
      </c>
      <c r="AH39" s="603">
        <f t="shared" si="88"/>
        <v>95.650286189807971</v>
      </c>
      <c r="AI39" s="585">
        <f t="shared" si="89"/>
        <v>-89.999992546724798</v>
      </c>
      <c r="AJ39" s="586">
        <f t="shared" si="90"/>
        <v>-174.34971381019199</v>
      </c>
      <c r="AK39" s="635">
        <f t="shared" si="211"/>
        <v>0.81915209487729213</v>
      </c>
      <c r="AL39" s="629">
        <f t="shared" si="91"/>
        <v>-0.57357636410344448</v>
      </c>
      <c r="AM39" s="634">
        <f t="shared" si="92"/>
        <v>-1.3008419224361226E-7</v>
      </c>
      <c r="AN39" s="581">
        <f t="shared" si="93"/>
        <v>-89.999987005609611</v>
      </c>
      <c r="AO39" s="582">
        <f t="shared" si="94"/>
        <v>34.999994946625939</v>
      </c>
      <c r="AP39" s="585">
        <f t="shared" si="95"/>
        <v>-34.999994946625257</v>
      </c>
      <c r="AQ39" s="586">
        <f t="shared" si="9"/>
        <v>0.71507932809813046</v>
      </c>
      <c r="AS39" s="52">
        <f t="shared" si="116"/>
        <v>-227.25201916643709</v>
      </c>
      <c r="AT39" s="72">
        <f t="shared" si="10"/>
        <v>-1.9965358638127109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4.1289999999999996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-1.1328950217838931</v>
      </c>
      <c r="C40" s="708">
        <v>2.6761712124712175E-2</v>
      </c>
      <c r="D40" s="709">
        <v>-0.11393737317928336</v>
      </c>
      <c r="E40" s="710">
        <v>-5.3559481725358593E-9</v>
      </c>
      <c r="F40" s="708">
        <v>-2.2673164531933603E-7</v>
      </c>
      <c r="G40" s="711">
        <v>0.99999999999997435</v>
      </c>
      <c r="H40" s="710">
        <v>0.19500000000000001</v>
      </c>
      <c r="I40" s="708">
        <v>0.21199999999999999</v>
      </c>
      <c r="J40" s="570">
        <v>4.2050000000000001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Inactive</v>
      </c>
      <c r="L40" s="320"/>
      <c r="M40" s="168">
        <f t="shared" si="1"/>
        <v>4.2050000000000001</v>
      </c>
      <c r="N40" s="632">
        <f t="shared" si="2"/>
        <v>-1.1328950217838931</v>
      </c>
      <c r="O40" s="629">
        <f t="shared" si="3"/>
        <v>2.6761712124712175E-2</v>
      </c>
      <c r="P40" s="633">
        <f t="shared" si="4"/>
        <v>-0.11393737317928336</v>
      </c>
      <c r="Q40" s="585">
        <f t="shared" si="113"/>
        <v>178.64678720098746</v>
      </c>
      <c r="R40" s="629">
        <f t="shared" si="79"/>
        <v>1.1332110657854404</v>
      </c>
      <c r="S40" s="634">
        <f t="shared" si="80"/>
        <v>-0.11393737317928336</v>
      </c>
      <c r="T40" s="635">
        <f t="shared" si="81"/>
        <v>-1.4724244235588773E-2</v>
      </c>
      <c r="U40" s="629">
        <f t="shared" si="82"/>
        <v>1.1331154028828063</v>
      </c>
      <c r="V40" s="636">
        <f t="shared" si="114"/>
        <v>-0.11393737317928336</v>
      </c>
      <c r="W40" s="585">
        <f t="shared" si="224"/>
        <v>90.744486898117088</v>
      </c>
      <c r="X40" s="629">
        <f t="shared" si="83"/>
        <v>1.1332110657854404</v>
      </c>
      <c r="Y40" s="630">
        <f t="shared" si="223"/>
        <v>-0.11393737317928336</v>
      </c>
      <c r="Z40" s="632">
        <f t="shared" si="6"/>
        <v>5.3559481725358593E-9</v>
      </c>
      <c r="AA40" s="629">
        <f t="shared" si="7"/>
        <v>2.2673164531933603E-7</v>
      </c>
      <c r="AB40" s="629">
        <f t="shared" si="8"/>
        <v>-0.99999999999997435</v>
      </c>
      <c r="AC40" s="636">
        <f t="shared" si="84"/>
        <v>1</v>
      </c>
      <c r="AD40" s="637">
        <f t="shared" si="115"/>
        <v>5.3559481725358593E-9</v>
      </c>
      <c r="AE40" s="629">
        <f t="shared" si="85"/>
        <v>2.2673164531933603E-7</v>
      </c>
      <c r="AF40" s="633">
        <f t="shared" si="86"/>
        <v>-0.99999999999997435</v>
      </c>
      <c r="AG40" s="602">
        <f t="shared" si="87"/>
        <v>1.2990766358855172E-5</v>
      </c>
      <c r="AH40" s="603">
        <f t="shared" si="88"/>
        <v>89.999999693126782</v>
      </c>
      <c r="AI40" s="585">
        <f t="shared" si="89"/>
        <v>-1.2976235990044085E-5</v>
      </c>
      <c r="AJ40" s="586">
        <f t="shared" si="90"/>
        <v>178.64678720098746</v>
      </c>
      <c r="AK40" s="635">
        <f t="shared" si="211"/>
        <v>2.2679489670193216E-7</v>
      </c>
      <c r="AL40" s="629">
        <f t="shared" si="91"/>
        <v>5.8729823491264965E-23</v>
      </c>
      <c r="AM40" s="634">
        <f t="shared" si="92"/>
        <v>-0.99999999999997435</v>
      </c>
      <c r="AN40" s="581">
        <f t="shared" si="93"/>
        <v>3.3649710175978462E-21</v>
      </c>
      <c r="AO40" s="582">
        <f t="shared" si="94"/>
        <v>0</v>
      </c>
      <c r="AP40" s="585">
        <f t="shared" si="95"/>
        <v>1.4837066735325233E-14</v>
      </c>
      <c r="AQ40" s="586">
        <f t="shared" si="9"/>
        <v>2.0109144398714625</v>
      </c>
      <c r="AS40" s="52">
        <f t="shared" si="116"/>
        <v>-269.25551310188291</v>
      </c>
      <c r="AT40" s="72">
        <f t="shared" si="10"/>
        <v>7.450235793114203E-2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4.2050000000000001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4.1050000000000004</v>
      </c>
      <c r="II40" s="734" cm="1">
        <f t="array" ref="II40">IFERROR(IF($IH40&lt;1,$IH40+LARGE((IF($M$9:$M$150="",0,$M$9:$M$150)-MOD(IF($M$9:$M$150="",0,$M$9:$M$150),1)),1),$IH40),"")</f>
        <v>4.1050000000000004</v>
      </c>
      <c r="IJ40" s="533">
        <f t="shared" si="112"/>
        <v>1313</v>
      </c>
      <c r="IK40" s="533" t="str">
        <f t="shared" si="66"/>
        <v>Inactive</v>
      </c>
      <c r="IL40" s="727">
        <f t="shared" si="225"/>
        <v>46.303393314617182</v>
      </c>
      <c r="IM40" s="759">
        <v>6.9062486044458707E-2</v>
      </c>
      <c r="IN40" s="5">
        <f t="shared" si="226"/>
        <v>0.6</v>
      </c>
      <c r="IO40" s="771">
        <v>300</v>
      </c>
      <c r="IP40" s="9">
        <f t="shared" si="227"/>
        <v>-1.1404034394567735</v>
      </c>
      <c r="IQ40" s="5">
        <f t="shared" si="228"/>
        <v>-9.9900301299308727E-2</v>
      </c>
      <c r="IR40" s="5">
        <f t="shared" si="71"/>
        <v>0.26600000000000001</v>
      </c>
      <c r="IS40" s="5">
        <f t="shared" si="229"/>
        <v>0.25967192384107224</v>
      </c>
      <c r="IT40" s="727">
        <f t="shared" si="230"/>
        <v>-8.9951090838234187</v>
      </c>
      <c r="IU40" s="9">
        <f t="shared" si="231"/>
        <v>-1.1332110657854404</v>
      </c>
      <c r="IV40" s="5">
        <f t="shared" si="232"/>
        <v>-0.11393737317928336</v>
      </c>
      <c r="IW40" s="5">
        <f t="shared" si="76"/>
        <v>0.19500000000000001</v>
      </c>
      <c r="IX40" s="5">
        <f t="shared" si="233"/>
        <v>0.19500000000000001</v>
      </c>
      <c r="IY40" s="762">
        <f t="shared" si="234"/>
        <v>-3.3649710175978462E-21</v>
      </c>
    </row>
    <row r="41" spans="1:267" ht="15" customHeight="1" x14ac:dyDescent="0.25">
      <c r="A41" s="79"/>
      <c r="B41" s="707">
        <v>-1.8228688574362486</v>
      </c>
      <c r="C41" s="708">
        <v>-0.53858076406458211</v>
      </c>
      <c r="D41" s="709">
        <v>-7.0185351028259207E-2</v>
      </c>
      <c r="E41" s="710">
        <v>-0.13744611102639631</v>
      </c>
      <c r="F41" s="708">
        <v>-4.0609757677776276E-2</v>
      </c>
      <c r="G41" s="711">
        <v>0.9896764189092675</v>
      </c>
      <c r="H41" s="710">
        <v>0.19500000000000001</v>
      </c>
      <c r="I41" s="708">
        <v>0.21199999999999999</v>
      </c>
      <c r="J41" s="570">
        <v>4.2089999999999996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4.2089999999999996</v>
      </c>
      <c r="N41" s="632">
        <f t="shared" ref="N41:N72" si="240">IF(M41="","",B41)</f>
        <v>-1.8228688574362486</v>
      </c>
      <c r="O41" s="629">
        <f t="shared" ref="O41:O72" si="241">IF(M41="","",C41)</f>
        <v>-0.53858076406458211</v>
      </c>
      <c r="P41" s="633">
        <f t="shared" ref="P41:P72" si="242">IF(M41="","",D41)</f>
        <v>-7.0185351028259207E-2</v>
      </c>
      <c r="Q41" s="585">
        <f t="shared" si="113"/>
        <v>196.4601846290511</v>
      </c>
      <c r="R41" s="629">
        <f t="shared" si="79"/>
        <v>1.9007682948827096</v>
      </c>
      <c r="S41" s="634">
        <f t="shared" si="80"/>
        <v>-7.0185351028259207E-2</v>
      </c>
      <c r="T41" s="635">
        <f t="shared" si="81"/>
        <v>-0.60494338201862907</v>
      </c>
      <c r="U41" s="629">
        <f t="shared" si="82"/>
        <v>1.8019332993713131</v>
      </c>
      <c r="V41" s="636">
        <f t="shared" si="114"/>
        <v>-7.0185351028259207E-2</v>
      </c>
      <c r="W41" s="585">
        <f t="shared" si="224"/>
        <v>108.55788432618073</v>
      </c>
      <c r="X41" s="629">
        <f t="shared" si="83"/>
        <v>1.9007682948827096</v>
      </c>
      <c r="Y41" s="630">
        <f t="shared" si="223"/>
        <v>-7.0185351028259207E-2</v>
      </c>
      <c r="Z41" s="632">
        <f t="shared" ref="Z41:Z72" si="243">IF(M41="","",-E41)</f>
        <v>0.13744611102639631</v>
      </c>
      <c r="AA41" s="629">
        <f t="shared" ref="AA41:AA72" si="244">IF(M41="","",-F41)</f>
        <v>4.0609757677776276E-2</v>
      </c>
      <c r="AB41" s="629">
        <f t="shared" ref="AB41:AB72" si="245">IF(M41="","",-G41)</f>
        <v>-0.9896764189092675</v>
      </c>
      <c r="AC41" s="636">
        <f t="shared" si="84"/>
        <v>1</v>
      </c>
      <c r="AD41" s="637">
        <f t="shared" si="115"/>
        <v>0.13744611102639631</v>
      </c>
      <c r="AE41" s="629">
        <f t="shared" si="85"/>
        <v>4.0609757677776276E-2</v>
      </c>
      <c r="AF41" s="633">
        <f t="shared" si="86"/>
        <v>-0.9896764189092675</v>
      </c>
      <c r="AG41" s="602">
        <f t="shared" si="87"/>
        <v>2.3497206830887074</v>
      </c>
      <c r="AH41" s="603">
        <f t="shared" si="88"/>
        <v>82.09990947356674</v>
      </c>
      <c r="AI41" s="585">
        <f t="shared" si="89"/>
        <v>-8.23999881030152</v>
      </c>
      <c r="AJ41" s="586">
        <f t="shared" si="90"/>
        <v>106.46027529610353</v>
      </c>
      <c r="AK41" s="635">
        <f t="shared" si="211"/>
        <v>2.2679489669608088E-7</v>
      </c>
      <c r="AL41" s="629">
        <f t="shared" si="91"/>
        <v>-0.14331987250509517</v>
      </c>
      <c r="AM41" s="634">
        <f t="shared" si="92"/>
        <v>-0.9896764189092675</v>
      </c>
      <c r="AN41" s="581">
        <f t="shared" si="93"/>
        <v>-8.2399988102913682</v>
      </c>
      <c r="AO41" s="582">
        <f t="shared" si="94"/>
        <v>0</v>
      </c>
      <c r="AP41" s="585">
        <f t="shared" si="95"/>
        <v>-89.999909332947567</v>
      </c>
      <c r="AQ41" s="586">
        <f t="shared" ref="AQ41:AQ72" si="246">IF(M41="","",DEGREES(ATAN(($AS$5*SIN(RADIANS(90)))/(($X41*2*PI())-($AS$5*COS(RADIANS(90)))))))</f>
        <v>1.1991959996129378</v>
      </c>
      <c r="AS41" s="52">
        <f t="shared" si="116"/>
        <v>-251.44211567381927</v>
      </c>
      <c r="AT41" s="72">
        <f t="shared" ref="AT41:AT72" si="247">IF(M41="","",Y41+(((AS41-$AS$9)*$AS$6)*-1))</f>
        <v>0.10588396520156643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4.2089999999999996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4.109</v>
      </c>
      <c r="II41" s="734" cm="1">
        <f t="array" ref="II41">IFERROR(IF($IH41&lt;1,$IH41+LARGE((IF($M$9:$M$150="",0,$M$9:$M$150)-MOD(IF($M$9:$M$150="",0,$M$9:$M$150),1)),1),$IH41),"")</f>
        <v>4.109</v>
      </c>
      <c r="IJ41" s="533">
        <f t="shared" si="112"/>
        <v>1313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27.317696055812689</v>
      </c>
      <c r="IM41" s="759">
        <v>6.45382384768457E-2</v>
      </c>
      <c r="IN41" s="5">
        <f t="shared" si="226"/>
        <v>0.9</v>
      </c>
      <c r="IO41" s="771">
        <v>450</v>
      </c>
      <c r="IP41" s="9">
        <f t="shared" si="227"/>
        <v>-1.8960057183532468</v>
      </c>
      <c r="IQ41" s="5">
        <f t="shared" si="228"/>
        <v>-6.5400197246994904E-2</v>
      </c>
      <c r="IR41" s="5">
        <f t="shared" ref="IR41:IR72" si="383">IF(ISNUMBER($II41),INDEX($H$9:$H$150,MATCH($II41,$M$9:$M$150,0)),"")</f>
        <v>0.26600000000000001</v>
      </c>
      <c r="IS41" s="5">
        <f t="shared" si="229"/>
        <v>0.25907828360642104</v>
      </c>
      <c r="IT41" s="727">
        <f t="shared" si="230"/>
        <v>25.928151380254921</v>
      </c>
      <c r="IU41" s="9">
        <f t="shared" si="231"/>
        <v>-1.9007682948827096</v>
      </c>
      <c r="IV41" s="5">
        <f t="shared" si="232"/>
        <v>-7.0185351028259207E-2</v>
      </c>
      <c r="IW41" s="5">
        <f t="shared" ref="IW41:IW72" si="384">IF(ISNUMBER($II41),$H41,"")</f>
        <v>0.19500000000000001</v>
      </c>
      <c r="IX41" s="5">
        <f t="shared" si="233"/>
        <v>0.19500000000000001</v>
      </c>
      <c r="IY41" s="762">
        <f t="shared" si="234"/>
        <v>8.2399988102913682</v>
      </c>
    </row>
    <row r="42" spans="1:267" ht="15" customHeight="1" x14ac:dyDescent="0.25">
      <c r="A42" s="79"/>
      <c r="B42" s="707">
        <v>-2.4074993510248692</v>
      </c>
      <c r="C42" s="708">
        <v>-0.85143310834474117</v>
      </c>
      <c r="D42" s="709">
        <v>-0.30311386258012007</v>
      </c>
      <c r="E42" s="710">
        <v>0.1341213673658429</v>
      </c>
      <c r="F42" s="708">
        <v>-0.93252149488089719</v>
      </c>
      <c r="G42" s="711">
        <v>0.33528364171401759</v>
      </c>
      <c r="H42" s="710">
        <v>0.219</v>
      </c>
      <c r="I42" s="708">
        <v>0.42</v>
      </c>
      <c r="J42" s="570">
        <v>4.2140000000000004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1111</v>
      </c>
      <c r="L42" s="320"/>
      <c r="M42" s="168">
        <f t="shared" si="239"/>
        <v>4.2140000000000004</v>
      </c>
      <c r="N42" s="632">
        <f t="shared" si="240"/>
        <v>-2.4074993510248692</v>
      </c>
      <c r="O42" s="629">
        <f t="shared" si="241"/>
        <v>-0.85143310834474117</v>
      </c>
      <c r="P42" s="633">
        <f t="shared" si="242"/>
        <v>-0.30311386258012007</v>
      </c>
      <c r="Q42" s="585">
        <f t="shared" si="113"/>
        <v>199.47658419353689</v>
      </c>
      <c r="R42" s="629">
        <f t="shared" ref="R42:R47" si="385">IF(M42="","",SQRT(N42^2+O42^2))</f>
        <v>2.5536232030530179</v>
      </c>
      <c r="S42" s="634">
        <f t="shared" ref="S42:S47" si="386">IF(M42="","",P42)</f>
        <v>-0.30311386258012007</v>
      </c>
      <c r="T42" s="635">
        <f t="shared" ref="T42:T47" si="387">IF(M42="","",X42*COS(RADIANS(W42)))</f>
        <v>-0.93898564631584591</v>
      </c>
      <c r="U42" s="629">
        <f t="shared" ref="U42:U47" si="388">IF(M42="","",X42*SIN(RADIANS(W42)))</f>
        <v>2.3747204928545944</v>
      </c>
      <c r="V42" s="636">
        <f t="shared" ref="V42:V47" si="389">IF(M42="","",Y42)</f>
        <v>-0.30311386258012007</v>
      </c>
      <c r="W42" s="585">
        <f t="shared" si="224"/>
        <v>111.57428389066652</v>
      </c>
      <c r="X42" s="629">
        <f t="shared" ref="X42:X47" si="390">IF(M42="","",R42)</f>
        <v>2.5536232030530179</v>
      </c>
      <c r="Y42" s="630">
        <f t="shared" si="223"/>
        <v>-0.30311386258012007</v>
      </c>
      <c r="Z42" s="632">
        <f t="shared" si="243"/>
        <v>-0.1341213673658429</v>
      </c>
      <c r="AA42" s="629">
        <f t="shared" si="244"/>
        <v>0.93252149488089719</v>
      </c>
      <c r="AB42" s="629">
        <f t="shared" si="245"/>
        <v>-0.33528364171401759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-0.1341213673658429</v>
      </c>
      <c r="AE42" s="629">
        <f t="shared" ref="AE42:AE47" si="393">IF(M42="","",AA42*(1/SQRT(Z42^2+AA42^2+AB42^2)))</f>
        <v>0.93252149488089719</v>
      </c>
      <c r="AF42" s="633">
        <f t="shared" ref="AF42:AF47" si="394">IF(M42="","",AB42*(1/SQRT(Z42^2+AA42^2+AB42^2)))</f>
        <v>-0.33528364171401759</v>
      </c>
      <c r="AG42" s="602">
        <f t="shared" ref="AG42:AG47" si="395">IF(M42="","",DEGREES(ATAN2(-AF42,AE42)))</f>
        <v>70.224194657980973</v>
      </c>
      <c r="AH42" s="603">
        <f t="shared" ref="AH42:AH47" si="396">IF(M42="","",DEGREES(ACOS(AD42)))</f>
        <v>97.707815900930285</v>
      </c>
      <c r="AI42" s="585">
        <f t="shared" ref="AI42:AI47" si="397">IF(M42="","",DEGREES(-ACOS(-AF42)))</f>
        <v>-70.410213031507595</v>
      </c>
      <c r="AJ42" s="586">
        <f t="shared" ref="AJ42:AJ47" si="398">IF(M42="","",DEGREES(ATAN2(-AE42,AD42)))</f>
        <v>-171.81547188850567</v>
      </c>
      <c r="AK42" s="635">
        <f t="shared" ref="AK42:AK47" si="399">IF(M42="","",(COS(RADIANS((90-$Q$8)-W42))*AD42)+(-SIN(RADIANS((90-$Q$8)-W42))*AE42))</f>
        <v>0.92387955420894785</v>
      </c>
      <c r="AL42" s="629">
        <f t="shared" ref="AL42:AL47" si="400">IF(M42="","",(SIN(RADIANS((90-$Q$8)-W42))*AD42)+(COS(RADIANS((90-$Q$8)-W42))*AE42))</f>
        <v>-0.18447614727563674</v>
      </c>
      <c r="AM42" s="634">
        <f t="shared" ref="AM42:AM47" si="401">IF(M42="","",AF42)</f>
        <v>-0.33528364171401759</v>
      </c>
      <c r="AN42" s="581">
        <f t="shared" ref="AN42:AN47" si="402">IF(M42="","",DEGREES(ATAN2(-AM42,AL42)))</f>
        <v>-28.81999583890741</v>
      </c>
      <c r="AO42" s="582">
        <f t="shared" si="94"/>
        <v>22.499996751402364</v>
      </c>
      <c r="AP42" s="585">
        <f t="shared" ref="AP42:AP47" si="403">IF(M42="","",DEGREES(ATAN2(AK42,AL42)))</f>
        <v>-11.292056082042544</v>
      </c>
      <c r="AQ42" s="586">
        <f t="shared" si="246"/>
        <v>0.89266974394556131</v>
      </c>
      <c r="AS42" s="52">
        <f t="shared" si="116"/>
        <v>-248.42571610933348</v>
      </c>
      <c r="AT42" s="72">
        <f t="shared" si="247"/>
        <v>-0.12913926827007624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4.2140000000000004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4.1139999999999999</v>
      </c>
      <c r="II42" s="734" cm="1">
        <f t="array" ref="II42">IFERROR(IF($IH42&lt;1,$IH42+LARGE((IF($M$9:$M$150="",0,$M$9:$M$150)-MOD(IF($M$9:$M$150="",0,$M$9:$M$150),1)),1),$IH42),"")</f>
        <v>4.1139999999999999</v>
      </c>
      <c r="IJ42" s="533">
        <f t="shared" si="112"/>
        <v>1313</v>
      </c>
      <c r="IK42" s="533">
        <f t="shared" si="382"/>
        <v>1111</v>
      </c>
      <c r="IL42" s="727">
        <f t="shared" si="225"/>
        <v>22.858596699626958</v>
      </c>
      <c r="IM42" s="759">
        <v>7.0898236141573E-3</v>
      </c>
      <c r="IN42" s="5">
        <f t="shared" si="226"/>
        <v>0.14000000000000001</v>
      </c>
      <c r="IO42" s="771">
        <v>70</v>
      </c>
      <c r="IP42" s="9">
        <f t="shared" si="227"/>
        <v>-2.5260076184389773</v>
      </c>
      <c r="IQ42" s="5">
        <f t="shared" si="228"/>
        <v>-0.34270103358631737</v>
      </c>
      <c r="IR42" s="5">
        <f t="shared" si="383"/>
        <v>0.26600000000000001</v>
      </c>
      <c r="IS42" s="5">
        <f t="shared" si="229"/>
        <v>0.25819893925756193</v>
      </c>
      <c r="IT42" s="727">
        <f t="shared" si="230"/>
        <v>55.29522988850254</v>
      </c>
      <c r="IU42" s="9">
        <f t="shared" si="231"/>
        <v>-2.5536232030530179</v>
      </c>
      <c r="IV42" s="5">
        <f t="shared" si="232"/>
        <v>-0.30311386258012007</v>
      </c>
      <c r="IW42" s="5">
        <f t="shared" si="384"/>
        <v>0.219</v>
      </c>
      <c r="IX42" s="5">
        <f t="shared" si="233"/>
        <v>0.20232962237175958</v>
      </c>
      <c r="IY42" s="762">
        <f t="shared" si="234"/>
        <v>28.81999583890741</v>
      </c>
    </row>
    <row r="43" spans="1:267" ht="15" customHeight="1" x14ac:dyDescent="0.25">
      <c r="A43" s="79"/>
      <c r="B43" s="707">
        <v>-1.581548371699032</v>
      </c>
      <c r="C43" s="708">
        <v>0.76948089470322389</v>
      </c>
      <c r="D43" s="709">
        <v>-4.5000135720409333E-2</v>
      </c>
      <c r="E43" s="710">
        <v>-0.49403465783209394</v>
      </c>
      <c r="F43" s="708">
        <v>-0.84340290138537999</v>
      </c>
      <c r="G43" s="711">
        <v>0.211190205254526</v>
      </c>
      <c r="H43" s="710">
        <v>0.26600000000000001</v>
      </c>
      <c r="I43" s="708">
        <v>0.52</v>
      </c>
      <c r="J43" s="570">
        <v>5.1079999999999997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5.1079999999999997</v>
      </c>
      <c r="N43" s="632">
        <f t="shared" si="240"/>
        <v>-1.581548371699032</v>
      </c>
      <c r="O43" s="629">
        <f t="shared" si="241"/>
        <v>0.76948089470322389</v>
      </c>
      <c r="P43" s="633">
        <f t="shared" si="242"/>
        <v>-4.5000135720409333E-2</v>
      </c>
      <c r="Q43" s="585">
        <f t="shared" si="113"/>
        <v>154.05539075154584</v>
      </c>
      <c r="R43" s="629">
        <f t="shared" si="385"/>
        <v>1.7588053045567986</v>
      </c>
      <c r="S43" s="634">
        <f t="shared" si="386"/>
        <v>-4.5000135720409333E-2</v>
      </c>
      <c r="T43" s="635">
        <f t="shared" si="387"/>
        <v>0.71107489330738216</v>
      </c>
      <c r="U43" s="629">
        <f t="shared" si="388"/>
        <v>1.6086542808960005</v>
      </c>
      <c r="V43" s="636">
        <f t="shared" si="389"/>
        <v>-4.5000135720409333E-2</v>
      </c>
      <c r="W43" s="585">
        <f t="shared" si="224"/>
        <v>66.153090448675471</v>
      </c>
      <c r="X43" s="629">
        <f t="shared" si="390"/>
        <v>1.7588053045567986</v>
      </c>
      <c r="Y43" s="630">
        <f t="shared" si="223"/>
        <v>-4.5000135720409333E-2</v>
      </c>
      <c r="Z43" s="632">
        <f t="shared" si="243"/>
        <v>0.49403465783209394</v>
      </c>
      <c r="AA43" s="629">
        <f t="shared" si="244"/>
        <v>0.84340290138537999</v>
      </c>
      <c r="AB43" s="629">
        <f t="shared" si="245"/>
        <v>-0.211190205254526</v>
      </c>
      <c r="AC43" s="636">
        <f t="shared" si="391"/>
        <v>1</v>
      </c>
      <c r="AD43" s="637">
        <f t="shared" si="392"/>
        <v>0.49403465783209394</v>
      </c>
      <c r="AE43" s="629">
        <f t="shared" si="393"/>
        <v>0.84340290138537999</v>
      </c>
      <c r="AF43" s="633">
        <f t="shared" si="394"/>
        <v>-0.211190205254526</v>
      </c>
      <c r="AG43" s="602">
        <f t="shared" si="395"/>
        <v>75.94205294446725</v>
      </c>
      <c r="AH43" s="603">
        <f t="shared" si="396"/>
        <v>60.393885291478462</v>
      </c>
      <c r="AI43" s="585">
        <f t="shared" si="397"/>
        <v>-77.807889571929735</v>
      </c>
      <c r="AJ43" s="586">
        <f t="shared" si="398"/>
        <v>149.63978394269978</v>
      </c>
      <c r="AK43" s="635">
        <f t="shared" si="399"/>
        <v>0.97454374935902677</v>
      </c>
      <c r="AL43" s="629">
        <f t="shared" si="400"/>
        <v>-7.5254088193276336E-2</v>
      </c>
      <c r="AM43" s="634">
        <f t="shared" si="401"/>
        <v>-0.211190205254526</v>
      </c>
      <c r="AN43" s="581">
        <f t="shared" si="402"/>
        <v>-19.612672880612077</v>
      </c>
      <c r="AO43" s="582">
        <f t="shared" si="94"/>
        <v>12.955687736937028</v>
      </c>
      <c r="AP43" s="585">
        <f t="shared" si="403"/>
        <v>-4.4156068088460563</v>
      </c>
      <c r="AQ43" s="586">
        <f t="shared" si="246"/>
        <v>1.2959580221715419</v>
      </c>
      <c r="AS43" s="52">
        <f t="shared" ref="AS43:AS74" si="406">IF(G43="","",IF(AND(W43&lt;(AS42+180),W43&gt;(AS42-180)),W43,IF(W43&gt;(AS42+180),W43-360,IF(W43&lt;(AS42-180),W43+360,"Error"))))</f>
        <v>-293.84690955132453</v>
      </c>
      <c r="AT43" s="72">
        <f t="shared" si="247"/>
        <v>0.16051695403546162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5.1079999999999997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-2.1407133659909099</v>
      </c>
      <c r="C44" s="708">
        <v>1.1089725674954209</v>
      </c>
      <c r="D44" s="709">
        <v>-0.26520079984561234</v>
      </c>
      <c r="E44" s="710">
        <v>-0.60775032688755648</v>
      </c>
      <c r="F44" s="708">
        <v>-0.77912332794064898</v>
      </c>
      <c r="G44" s="711">
        <v>0.15364367877253024</v>
      </c>
      <c r="H44" s="710">
        <v>0.26600000000000001</v>
      </c>
      <c r="I44" s="708">
        <v>0.52</v>
      </c>
      <c r="J44" s="570">
        <v>5.1130000000000004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5.1130000000000004</v>
      </c>
      <c r="N44" s="632">
        <f t="shared" si="240"/>
        <v>-2.1407133659909099</v>
      </c>
      <c r="O44" s="629">
        <f t="shared" si="241"/>
        <v>1.1089725674954209</v>
      </c>
      <c r="P44" s="633">
        <f t="shared" si="242"/>
        <v>-0.26520079984561234</v>
      </c>
      <c r="Q44" s="585">
        <f t="shared" si="113"/>
        <v>152.61409095964376</v>
      </c>
      <c r="R44" s="629">
        <f t="shared" si="385"/>
        <v>2.4109072712963302</v>
      </c>
      <c r="S44" s="634">
        <f t="shared" si="386"/>
        <v>-0.26520079984561234</v>
      </c>
      <c r="T44" s="635">
        <f t="shared" si="387"/>
        <v>1.0298716156023551</v>
      </c>
      <c r="U44" s="629">
        <f t="shared" si="388"/>
        <v>2.1798711719195958</v>
      </c>
      <c r="V44" s="636">
        <f t="shared" si="389"/>
        <v>-0.26520079984561234</v>
      </c>
      <c r="W44" s="585">
        <f t="shared" si="224"/>
        <v>64.711790656773388</v>
      </c>
      <c r="X44" s="629">
        <f t="shared" si="390"/>
        <v>2.4109072712963302</v>
      </c>
      <c r="Y44" s="630">
        <f t="shared" si="223"/>
        <v>-0.26520079984561234</v>
      </c>
      <c r="Z44" s="632">
        <f t="shared" si="243"/>
        <v>0.60775032688755648</v>
      </c>
      <c r="AA44" s="629">
        <f t="shared" si="244"/>
        <v>0.77912332794064898</v>
      </c>
      <c r="AB44" s="629">
        <f t="shared" si="245"/>
        <v>-0.15364367877253024</v>
      </c>
      <c r="AC44" s="636">
        <f t="shared" si="391"/>
        <v>1</v>
      </c>
      <c r="AD44" s="637">
        <f t="shared" si="392"/>
        <v>0.60775032688755648</v>
      </c>
      <c r="AE44" s="629">
        <f t="shared" si="393"/>
        <v>0.77912332794064898</v>
      </c>
      <c r="AF44" s="633">
        <f t="shared" si="394"/>
        <v>-0.15364367877253024</v>
      </c>
      <c r="AG44" s="602">
        <f t="shared" si="395"/>
        <v>78.844368593065795</v>
      </c>
      <c r="AH44" s="603">
        <f t="shared" si="396"/>
        <v>52.57298589145757</v>
      </c>
      <c r="AI44" s="585">
        <f t="shared" si="397"/>
        <v>-81.161857457270258</v>
      </c>
      <c r="AJ44" s="586">
        <f t="shared" si="398"/>
        <v>142.04420862642061</v>
      </c>
      <c r="AK44" s="635">
        <f t="shared" si="399"/>
        <v>0.97135969938127809</v>
      </c>
      <c r="AL44" s="629">
        <f t="shared" si="400"/>
        <v>-0.18125659820033202</v>
      </c>
      <c r="AM44" s="634">
        <f t="shared" si="401"/>
        <v>-0.15364367877253024</v>
      </c>
      <c r="AN44" s="581">
        <f t="shared" si="402"/>
        <v>-49.713442342672444</v>
      </c>
      <c r="AO44" s="582">
        <f t="shared" si="94"/>
        <v>13.74574963003681</v>
      </c>
      <c r="AP44" s="585">
        <f t="shared" si="403"/>
        <v>-10.569882333223147</v>
      </c>
      <c r="AQ44" s="586">
        <f t="shared" si="246"/>
        <v>0.94550284721888789</v>
      </c>
      <c r="AS44" s="52">
        <f t="shared" si="406"/>
        <v>-295.28820934322664</v>
      </c>
      <c r="AT44" s="72">
        <f t="shared" si="247"/>
        <v>-5.8682807456476027E-2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5.1130000000000004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-2.5502643752233278</v>
      </c>
      <c r="C45" s="708">
        <v>1.3913333656606284</v>
      </c>
      <c r="D45" s="709">
        <v>-0.74430224481557039</v>
      </c>
      <c r="E45" s="710">
        <v>-0.72244279832966263</v>
      </c>
      <c r="F45" s="708">
        <v>-0.68021729966228595</v>
      </c>
      <c r="G45" s="711">
        <v>0.12401946775306866</v>
      </c>
      <c r="H45" s="710">
        <v>0.26600000000000001</v>
      </c>
      <c r="I45" s="708">
        <v>0.52</v>
      </c>
      <c r="J45" s="570">
        <v>5.1180000000000003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5.1180000000000003</v>
      </c>
      <c r="N45" s="632">
        <f t="shared" si="240"/>
        <v>-2.5502643752233278</v>
      </c>
      <c r="O45" s="629">
        <f t="shared" si="241"/>
        <v>1.3913333656606284</v>
      </c>
      <c r="P45" s="633">
        <f t="shared" si="242"/>
        <v>-0.74430224481557039</v>
      </c>
      <c r="Q45" s="585">
        <f t="shared" si="113"/>
        <v>151.38469113714714</v>
      </c>
      <c r="R45" s="629">
        <f t="shared" si="385"/>
        <v>2.9051087618080262</v>
      </c>
      <c r="S45" s="634">
        <f t="shared" si="386"/>
        <v>-0.74430224481557039</v>
      </c>
      <c r="T45" s="635">
        <f t="shared" si="387"/>
        <v>1.2970521573536486</v>
      </c>
      <c r="U45" s="629">
        <f t="shared" si="388"/>
        <v>2.5994831445958653</v>
      </c>
      <c r="V45" s="636">
        <f t="shared" si="389"/>
        <v>-0.74430224481557039</v>
      </c>
      <c r="W45" s="585">
        <f t="shared" si="224"/>
        <v>63.482390834276771</v>
      </c>
      <c r="X45" s="629">
        <f t="shared" si="390"/>
        <v>2.9051087618080262</v>
      </c>
      <c r="Y45" s="630">
        <f t="shared" si="223"/>
        <v>-0.74430224481557039</v>
      </c>
      <c r="Z45" s="632">
        <f t="shared" si="243"/>
        <v>0.72244279832966263</v>
      </c>
      <c r="AA45" s="629">
        <f t="shared" si="244"/>
        <v>0.68021729966228595</v>
      </c>
      <c r="AB45" s="629">
        <f t="shared" si="245"/>
        <v>-0.12401946775306866</v>
      </c>
      <c r="AC45" s="636">
        <f t="shared" si="391"/>
        <v>1</v>
      </c>
      <c r="AD45" s="637">
        <f t="shared" si="392"/>
        <v>0.72244279832966263</v>
      </c>
      <c r="AE45" s="629">
        <f t="shared" si="393"/>
        <v>0.68021729966228595</v>
      </c>
      <c r="AF45" s="633">
        <f t="shared" si="394"/>
        <v>-0.12401946775306866</v>
      </c>
      <c r="AG45" s="602">
        <f t="shared" si="395"/>
        <v>79.667140595834283</v>
      </c>
      <c r="AH45" s="603">
        <f t="shared" si="396"/>
        <v>43.743467578797038</v>
      </c>
      <c r="AI45" s="585">
        <f t="shared" si="397"/>
        <v>-82.875865182831149</v>
      </c>
      <c r="AJ45" s="586">
        <f t="shared" si="398"/>
        <v>133.27569599754071</v>
      </c>
      <c r="AK45" s="635">
        <f t="shared" si="399"/>
        <v>0.94312913611242177</v>
      </c>
      <c r="AL45" s="629">
        <f t="shared" si="400"/>
        <v>-0.30842601095575994</v>
      </c>
      <c r="AM45" s="634">
        <f t="shared" si="401"/>
        <v>-0.12401946775306866</v>
      </c>
      <c r="AN45" s="581">
        <f t="shared" si="402"/>
        <v>-68.094721685498868</v>
      </c>
      <c r="AO45" s="582">
        <f t="shared" si="94"/>
        <v>19.416125505477766</v>
      </c>
      <c r="AP45" s="585">
        <f t="shared" si="403"/>
        <v>-18.108995139606435</v>
      </c>
      <c r="AQ45" s="586">
        <f t="shared" si="246"/>
        <v>0.78468115594006149</v>
      </c>
      <c r="AS45" s="52">
        <f t="shared" si="406"/>
        <v>-296.51760916572323</v>
      </c>
      <c r="AT45" s="72">
        <f t="shared" si="247"/>
        <v>-0.53693050254970032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5.1180000000000003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-2.7447580282291484</v>
      </c>
      <c r="C46" s="708">
        <v>1.5364027136062297</v>
      </c>
      <c r="D46" s="709">
        <v>-1.3892041898398366</v>
      </c>
      <c r="E46" s="710">
        <v>-0.84770218108287554</v>
      </c>
      <c r="F46" s="708">
        <v>-0.52706231999351005</v>
      </c>
      <c r="G46" s="711">
        <v>6.0052668803264653E-2</v>
      </c>
      <c r="H46" s="710">
        <v>0.26600000000000001</v>
      </c>
      <c r="I46" s="708">
        <v>0.52</v>
      </c>
      <c r="J46" s="570">
        <v>5.1230000000000002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5.1230000000000002</v>
      </c>
      <c r="N46" s="632">
        <f t="shared" si="240"/>
        <v>-2.7447580282291484</v>
      </c>
      <c r="O46" s="629">
        <f t="shared" si="241"/>
        <v>1.5364027136062297</v>
      </c>
      <c r="P46" s="633">
        <f t="shared" si="242"/>
        <v>-1.3892041898398366</v>
      </c>
      <c r="Q46" s="585">
        <f t="shared" si="113"/>
        <v>150.7616912270972</v>
      </c>
      <c r="R46" s="629">
        <f t="shared" si="385"/>
        <v>3.1455094868566125</v>
      </c>
      <c r="S46" s="634">
        <f t="shared" si="386"/>
        <v>-1.3892041898398366</v>
      </c>
      <c r="T46" s="635">
        <f t="shared" si="387"/>
        <v>1.4349051236261812</v>
      </c>
      <c r="U46" s="629">
        <f t="shared" si="388"/>
        <v>2.7991565190421706</v>
      </c>
      <c r="V46" s="636">
        <f t="shared" si="389"/>
        <v>-1.3892041898398366</v>
      </c>
      <c r="W46" s="585">
        <f t="shared" si="224"/>
        <v>62.85939092422683</v>
      </c>
      <c r="X46" s="629">
        <f t="shared" si="390"/>
        <v>3.1455094868566125</v>
      </c>
      <c r="Y46" s="630">
        <f t="shared" si="223"/>
        <v>-1.3892041898398366</v>
      </c>
      <c r="Z46" s="632">
        <f t="shared" si="243"/>
        <v>0.84770218108287554</v>
      </c>
      <c r="AA46" s="629">
        <f t="shared" si="244"/>
        <v>0.52706231999351005</v>
      </c>
      <c r="AB46" s="629">
        <f t="shared" si="245"/>
        <v>-6.0052668803264653E-2</v>
      </c>
      <c r="AC46" s="636">
        <f t="shared" si="391"/>
        <v>1</v>
      </c>
      <c r="AD46" s="637">
        <f t="shared" si="392"/>
        <v>0.84770218108287554</v>
      </c>
      <c r="AE46" s="629">
        <f t="shared" si="393"/>
        <v>0.52706231999351005</v>
      </c>
      <c r="AF46" s="633">
        <f t="shared" si="394"/>
        <v>-6.0052668803264653E-2</v>
      </c>
      <c r="AG46" s="602">
        <f t="shared" si="395"/>
        <v>83.499838731602864</v>
      </c>
      <c r="AH46" s="603">
        <f t="shared" si="396"/>
        <v>32.037381418501575</v>
      </c>
      <c r="AI46" s="585">
        <f t="shared" si="397"/>
        <v>-86.557164080979874</v>
      </c>
      <c r="AJ46" s="586">
        <f t="shared" si="398"/>
        <v>121.87145290142115</v>
      </c>
      <c r="AK46" s="635">
        <f t="shared" si="399"/>
        <v>0.87396667440101505</v>
      </c>
      <c r="AL46" s="629">
        <f t="shared" si="400"/>
        <v>-0.48226126633396099</v>
      </c>
      <c r="AM46" s="634">
        <f t="shared" si="401"/>
        <v>-6.0052668803264653E-2</v>
      </c>
      <c r="AN46" s="581">
        <f t="shared" si="402"/>
        <v>-82.901889104478769</v>
      </c>
      <c r="AO46" s="582">
        <f t="shared" si="94"/>
        <v>29.077083206654379</v>
      </c>
      <c r="AP46" s="585">
        <f t="shared" si="403"/>
        <v>-28.890238325676048</v>
      </c>
      <c r="AQ46" s="586">
        <f t="shared" si="246"/>
        <v>0.72471727159181543</v>
      </c>
      <c r="AS46" s="52">
        <f t="shared" si="406"/>
        <v>-297.14060907577317</v>
      </c>
      <c r="AT46" s="72">
        <f t="shared" si="247"/>
        <v>-1.181399808747543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-2.7787234522423727</v>
      </c>
      <c r="C47" s="708">
        <v>1.5625183799496962</v>
      </c>
      <c r="D47" s="709">
        <v>-2.0320061285304836</v>
      </c>
      <c r="E47" s="710">
        <v>-0.90145287856435807</v>
      </c>
      <c r="F47" s="708">
        <v>-0.43287724325496241</v>
      </c>
      <c r="G47" s="711">
        <v>1.300841922710724E-7</v>
      </c>
      <c r="H47" s="710">
        <v>0.26600000000000001</v>
      </c>
      <c r="I47" s="708">
        <v>0.52</v>
      </c>
      <c r="J47" s="570">
        <v>5.1280000000000001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5.1280000000000001</v>
      </c>
      <c r="N47" s="632">
        <f t="shared" si="240"/>
        <v>-2.7787234522423727</v>
      </c>
      <c r="O47" s="629">
        <f t="shared" si="241"/>
        <v>1.5625183799496962</v>
      </c>
      <c r="P47" s="633">
        <f t="shared" si="242"/>
        <v>-2.0320061285304836</v>
      </c>
      <c r="Q47" s="585">
        <f t="shared" si="113"/>
        <v>150.65029124318139</v>
      </c>
      <c r="R47" s="629">
        <f t="shared" si="385"/>
        <v>3.1879096147353976</v>
      </c>
      <c r="S47" s="634">
        <f t="shared" si="386"/>
        <v>-2.0320061285304836</v>
      </c>
      <c r="T47" s="635">
        <f t="shared" si="387"/>
        <v>1.4597600325457043</v>
      </c>
      <c r="U47" s="629">
        <f t="shared" si="388"/>
        <v>2.834055108692235</v>
      </c>
      <c r="V47" s="636">
        <f t="shared" si="389"/>
        <v>-2.0320061285304836</v>
      </c>
      <c r="W47" s="585">
        <f t="shared" si="224"/>
        <v>62.747990940311013</v>
      </c>
      <c r="X47" s="629">
        <f t="shared" si="390"/>
        <v>3.1879096147353976</v>
      </c>
      <c r="Y47" s="630">
        <f t="shared" si="223"/>
        <v>-2.0320061285304836</v>
      </c>
      <c r="Z47" s="632">
        <f t="shared" si="243"/>
        <v>0.90145287856435807</v>
      </c>
      <c r="AA47" s="629">
        <f t="shared" si="244"/>
        <v>0.43287724325496241</v>
      </c>
      <c r="AB47" s="629">
        <f t="shared" si="245"/>
        <v>-1.300841922710724E-7</v>
      </c>
      <c r="AC47" s="636">
        <f t="shared" si="391"/>
        <v>1</v>
      </c>
      <c r="AD47" s="637">
        <f t="shared" si="392"/>
        <v>0.90145287856435807</v>
      </c>
      <c r="AE47" s="629">
        <f t="shared" si="393"/>
        <v>0.43287724325496241</v>
      </c>
      <c r="AF47" s="633">
        <f t="shared" si="394"/>
        <v>-1.300841922710724E-7</v>
      </c>
      <c r="AG47" s="602">
        <f t="shared" si="395"/>
        <v>89.999982782011969</v>
      </c>
      <c r="AH47" s="603">
        <f t="shared" si="396"/>
        <v>25.650296296557102</v>
      </c>
      <c r="AI47" s="585">
        <f t="shared" si="397"/>
        <v>-89.999992546724798</v>
      </c>
      <c r="AJ47" s="586">
        <f t="shared" si="398"/>
        <v>115.65029629655609</v>
      </c>
      <c r="AK47" s="635">
        <f t="shared" si="399"/>
        <v>0.8191520948772919</v>
      </c>
      <c r="AL47" s="629">
        <f t="shared" si="400"/>
        <v>-0.5735763641034447</v>
      </c>
      <c r="AM47" s="634">
        <f t="shared" si="401"/>
        <v>-1.300841922710724E-7</v>
      </c>
      <c r="AN47" s="581">
        <f t="shared" si="402"/>
        <v>-89.999987005609611</v>
      </c>
      <c r="AO47" s="582">
        <f t="shared" si="94"/>
        <v>34.999994946625968</v>
      </c>
      <c r="AP47" s="585">
        <f t="shared" si="403"/>
        <v>-34.999994946625279</v>
      </c>
      <c r="AQ47" s="586">
        <f t="shared" si="246"/>
        <v>0.71507932809813057</v>
      </c>
      <c r="AS47" s="52">
        <f t="shared" si="406"/>
        <v>-297.25200905968899</v>
      </c>
      <c r="AT47" s="72">
        <f t="shared" si="247"/>
        <v>-1.8241243863382484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5.1280000000000001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-1.5428575983425383</v>
      </c>
      <c r="C48" s="708">
        <v>1.8836420025708045</v>
      </c>
      <c r="D48" s="709">
        <v>-0.22396533958584128</v>
      </c>
      <c r="E48" s="710">
        <v>-0.81609452673604754</v>
      </c>
      <c r="F48" s="708">
        <v>-0.46166439734499587</v>
      </c>
      <c r="G48" s="711">
        <v>0.34764307508642917</v>
      </c>
      <c r="H48" s="710">
        <v>0.219</v>
      </c>
      <c r="I48" s="708">
        <v>0.42</v>
      </c>
      <c r="J48" s="570">
        <v>5.2130000000000001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1111</v>
      </c>
      <c r="L48" s="320"/>
      <c r="M48" s="168">
        <f t="shared" si="239"/>
        <v>5.2130000000000001</v>
      </c>
      <c r="N48" s="632">
        <f t="shared" si="240"/>
        <v>-1.5428575983425383</v>
      </c>
      <c r="O48" s="629">
        <f t="shared" si="241"/>
        <v>1.8836420025708045</v>
      </c>
      <c r="P48" s="633">
        <f t="shared" si="242"/>
        <v>-0.22396533958584128</v>
      </c>
      <c r="Q48" s="585">
        <f t="shared" si="113"/>
        <v>129.32029432285188</v>
      </c>
      <c r="R48" s="629">
        <f t="shared" si="79"/>
        <v>2.4348545670352175</v>
      </c>
      <c r="S48" s="634">
        <f t="shared" si="80"/>
        <v>-0.22396533958584128</v>
      </c>
      <c r="T48" s="635">
        <f t="shared" si="81"/>
        <v>1.8259055829813464</v>
      </c>
      <c r="U48" s="629">
        <f t="shared" si="82"/>
        <v>1.6107717295289878</v>
      </c>
      <c r="V48" s="636">
        <f t="shared" si="114"/>
        <v>-0.22396533958584128</v>
      </c>
      <c r="W48" s="585">
        <f t="shared" si="224"/>
        <v>41.417994019981506</v>
      </c>
      <c r="X48" s="629">
        <f t="shared" si="83"/>
        <v>2.4348545670352175</v>
      </c>
      <c r="Y48" s="630">
        <f t="shared" si="223"/>
        <v>-0.22396533958584128</v>
      </c>
      <c r="Z48" s="632">
        <f t="shared" si="243"/>
        <v>0.81609452673604754</v>
      </c>
      <c r="AA48" s="629">
        <f t="shared" si="244"/>
        <v>0.46166439734499587</v>
      </c>
      <c r="AB48" s="629">
        <f t="shared" si="245"/>
        <v>-0.34764307508642917</v>
      </c>
      <c r="AC48" s="636">
        <f t="shared" si="84"/>
        <v>1</v>
      </c>
      <c r="AD48" s="637">
        <f t="shared" si="115"/>
        <v>0.81609452673604754</v>
      </c>
      <c r="AE48" s="629">
        <f t="shared" si="85"/>
        <v>0.46166439734499587</v>
      </c>
      <c r="AF48" s="633">
        <f t="shared" si="86"/>
        <v>-0.34764307508642917</v>
      </c>
      <c r="AG48" s="602">
        <f t="shared" si="87"/>
        <v>53.019477900577073</v>
      </c>
      <c r="AH48" s="603">
        <f t="shared" si="88"/>
        <v>35.304269595026248</v>
      </c>
      <c r="AI48" s="585">
        <f t="shared" si="89"/>
        <v>-69.656777353792222</v>
      </c>
      <c r="AJ48" s="586">
        <f t="shared" si="90"/>
        <v>119.49682643334535</v>
      </c>
      <c r="AK48" s="635">
        <f t="shared" si="211"/>
        <v>0.92387955420894774</v>
      </c>
      <c r="AL48" s="629">
        <f t="shared" si="91"/>
        <v>-0.15997144013581754</v>
      </c>
      <c r="AM48" s="634">
        <f t="shared" si="92"/>
        <v>-0.34764307508642917</v>
      </c>
      <c r="AN48" s="581">
        <f t="shared" si="93"/>
        <v>-24.709996432317844</v>
      </c>
      <c r="AO48" s="582">
        <f t="shared" si="94"/>
        <v>22.499996751402389</v>
      </c>
      <c r="AP48" s="585">
        <f t="shared" si="95"/>
        <v>-9.8234678895065333</v>
      </c>
      <c r="AQ48" s="586">
        <f t="shared" si="246"/>
        <v>0.93620529547508879</v>
      </c>
      <c r="AS48" s="52">
        <f t="shared" si="406"/>
        <v>-318.58200598001849</v>
      </c>
      <c r="AT48" s="72">
        <f t="shared" si="247"/>
        <v>-1.2710995322661733E-3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5.2130000000000001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0.113</v>
      </c>
      <c r="II48" s="734" cm="1">
        <f t="array" ref="II48">IFERROR(IF($IH48&lt;1,$IH48+LARGE((IF($M$9:$M$150="",0,$M$9:$M$150)-MOD(IF($M$9:$M$150="",0,$M$9:$M$150),1)),1),$IH48),"")</f>
        <v>5.1130000000000004</v>
      </c>
      <c r="IJ48" s="533">
        <f t="shared" si="112"/>
        <v>1313</v>
      </c>
      <c r="IK48" s="533">
        <f t="shared" si="382"/>
        <v>1111</v>
      </c>
      <c r="IL48" s="727">
        <f t="shared" si="225"/>
        <v>23.293796636791882</v>
      </c>
      <c r="IM48" s="759">
        <v>7.9420422015080601E-3</v>
      </c>
      <c r="IN48" s="5">
        <f t="shared" si="226"/>
        <v>0.14000000000000001</v>
      </c>
      <c r="IO48" s="771">
        <v>70</v>
      </c>
      <c r="IP48" s="9">
        <f t="shared" si="227"/>
        <v>-2.4109072712963302</v>
      </c>
      <c r="IQ48" s="5">
        <f t="shared" si="228"/>
        <v>-0.26520079984561234</v>
      </c>
      <c r="IR48" s="5">
        <f t="shared" si="383"/>
        <v>0.26600000000000001</v>
      </c>
      <c r="IS48" s="5">
        <f t="shared" si="229"/>
        <v>0.25838168003542</v>
      </c>
      <c r="IT48" s="727">
        <f t="shared" si="230"/>
        <v>49.713442342672444</v>
      </c>
      <c r="IU48" s="9">
        <f t="shared" si="231"/>
        <v>-2.4348545670352175</v>
      </c>
      <c r="IV48" s="5">
        <f t="shared" si="232"/>
        <v>-0.22396533958584128</v>
      </c>
      <c r="IW48" s="5">
        <f t="shared" si="384"/>
        <v>0.219</v>
      </c>
      <c r="IX48" s="5">
        <f t="shared" si="233"/>
        <v>0.20232962237175955</v>
      </c>
      <c r="IY48" s="762">
        <f t="shared" si="234"/>
        <v>24.709996432317844</v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5.6018678339987645E-2</v>
      </c>
      <c r="G154" s="170">
        <f t="shared" si="929"/>
        <v>-0.25268396641901963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4.6846093169500239E-2</v>
      </c>
      <c r="G155" s="170">
        <f t="shared" si="929"/>
        <v>-0.21130910232229644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0.97459268930602805</v>
      </c>
      <c r="F156" s="170">
        <f t="shared" si="929"/>
        <v>-5.8573570482870367E-2</v>
      </c>
      <c r="G156" s="170">
        <f t="shared" si="929"/>
        <v>-0.21619025600644515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0.96542638179380624</v>
      </c>
      <c r="F157" s="170">
        <f t="shared" si="929"/>
        <v>-0.19851257892375579</v>
      </c>
      <c r="G157" s="170">
        <f t="shared" si="929"/>
        <v>-0.16895164203274135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0.93790828944938665</v>
      </c>
      <c r="F158" s="170">
        <f t="shared" si="929"/>
        <v>-0.32395434230679326</v>
      </c>
      <c r="G158" s="170">
        <f t="shared" si="929"/>
        <v>-0.12402267809839726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0.85479015462253582</v>
      </c>
      <c r="F159" s="170">
        <f t="shared" si="929"/>
        <v>-0.51257768317886843</v>
      </c>
      <c r="G159" s="170">
        <f t="shared" si="929"/>
        <v>-8.1227521612843009E-2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0.77329056882830915</v>
      </c>
      <c r="F160" s="170">
        <f t="shared" si="929"/>
        <v>-0.63405180873582667</v>
      </c>
      <c r="G160" s="170">
        <f t="shared" si="929"/>
        <v>-1.3008419228602682E-7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1.1093389246717E-7</v>
      </c>
      <c r="F161" s="170">
        <f t="shared" si="929"/>
        <v>-1.9781202356335968E-7</v>
      </c>
      <c r="G161" s="170">
        <f t="shared" si="929"/>
        <v>-0.99999999999997435</v>
      </c>
      <c r="H161" s="139"/>
      <c r="I161" s="86"/>
      <c r="J161" s="79">
        <f t="shared" si="930"/>
        <v>1.204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1.8997261267832656E-7</v>
      </c>
      <c r="F162" s="170">
        <f t="shared" si="929"/>
        <v>-1.2388031154952201E-7</v>
      </c>
      <c r="G162" s="170">
        <f t="shared" si="929"/>
        <v>-0.99999999999997435</v>
      </c>
      <c r="H162" s="139"/>
      <c r="I162" s="86"/>
      <c r="J162" s="79">
        <f t="shared" si="930"/>
        <v>1.2070000000000001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0.77227844461631112</v>
      </c>
      <c r="F163" s="170">
        <f t="shared" si="929"/>
        <v>-0.52464425155177463</v>
      </c>
      <c r="G163" s="170">
        <f t="shared" si="929"/>
        <v>-0.35823792833072499</v>
      </c>
      <c r="H163" s="139"/>
      <c r="I163" s="86"/>
      <c r="J163" s="79">
        <f t="shared" si="930"/>
        <v>1.212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0.16774167303800847</v>
      </c>
      <c r="F164" s="170">
        <f t="shared" si="929"/>
        <v>-0.96878196724400734</v>
      </c>
      <c r="G164" s="170">
        <f t="shared" si="929"/>
        <v>-0.18254925655625415</v>
      </c>
      <c r="H164" s="139"/>
      <c r="I164" s="86"/>
      <c r="J164" s="79">
        <f t="shared" si="930"/>
        <v>2.1110000000000002</v>
      </c>
    </row>
    <row r="165" spans="5:16" x14ac:dyDescent="0.25">
      <c r="E165" s="170">
        <f t="shared" si="929"/>
        <v>4.922355143672083E-2</v>
      </c>
      <c r="F165" s="170">
        <f t="shared" si="929"/>
        <v>-0.99156608803523882</v>
      </c>
      <c r="G165" s="170">
        <f t="shared" si="929"/>
        <v>-0.11989051272911233</v>
      </c>
      <c r="H165" s="139"/>
      <c r="I165" s="86"/>
      <c r="J165" s="79">
        <f t="shared" si="930"/>
        <v>2.1160000000000001</v>
      </c>
    </row>
    <row r="166" spans="5:16" x14ac:dyDescent="0.25">
      <c r="E166" s="170">
        <f t="shared" si="929"/>
        <v>-0.15048720236162419</v>
      </c>
      <c r="F166" s="170">
        <f t="shared" si="929"/>
        <v>-0.98371988872073224</v>
      </c>
      <c r="G166" s="170">
        <f t="shared" si="929"/>
        <v>-9.8228216214292924E-2</v>
      </c>
      <c r="H166" s="139"/>
      <c r="I166" s="86"/>
      <c r="J166" s="79">
        <f t="shared" si="930"/>
        <v>2.121</v>
      </c>
    </row>
    <row r="167" spans="5:16" x14ac:dyDescent="0.25">
      <c r="E167" s="170">
        <f t="shared" si="929"/>
        <v>-0.33133354418634597</v>
      </c>
      <c r="F167" s="170">
        <f t="shared" si="929"/>
        <v>-0.94351368961817283</v>
      </c>
      <c r="G167" s="170">
        <f t="shared" si="929"/>
        <v>-1.300841922942013E-7</v>
      </c>
      <c r="H167" s="139"/>
      <c r="I167" s="86"/>
      <c r="J167" s="79">
        <f t="shared" si="930"/>
        <v>2.1259999999999999</v>
      </c>
    </row>
    <row r="168" spans="5:16" x14ac:dyDescent="0.25">
      <c r="E168" s="170">
        <f t="shared" si="929"/>
        <v>-0.3292810007808511</v>
      </c>
      <c r="F168" s="170">
        <f t="shared" si="929"/>
        <v>-0.88669232445103519</v>
      </c>
      <c r="G168" s="170">
        <f t="shared" si="929"/>
        <v>-0.32457779388673746</v>
      </c>
      <c r="H168" s="139"/>
      <c r="I168" s="86"/>
      <c r="J168" s="79">
        <f t="shared" si="930"/>
        <v>2.2160000000000002</v>
      </c>
    </row>
    <row r="169" spans="5:16" x14ac:dyDescent="0.25">
      <c r="E169" s="170">
        <f t="shared" si="929"/>
        <v>-0.77023109612123153</v>
      </c>
      <c r="F169" s="170">
        <f t="shared" si="929"/>
        <v>-0.5987584213801338</v>
      </c>
      <c r="G169" s="170">
        <f t="shared" si="929"/>
        <v>-0.21961878652395964</v>
      </c>
      <c r="H169" s="139"/>
      <c r="I169" s="86"/>
      <c r="J169" s="79">
        <f t="shared" si="930"/>
        <v>3.1030000000000002</v>
      </c>
    </row>
    <row r="170" spans="5:16" x14ac:dyDescent="0.25">
      <c r="E170" s="170">
        <f t="shared" si="929"/>
        <v>-0.80638067723593831</v>
      </c>
      <c r="F170" s="170">
        <f t="shared" si="929"/>
        <v>-0.54956593690309763</v>
      </c>
      <c r="G170" s="170">
        <f t="shared" si="929"/>
        <v>-0.21846620877456141</v>
      </c>
      <c r="H170" s="139"/>
      <c r="I170" s="86"/>
      <c r="J170" s="79">
        <f t="shared" si="930"/>
        <v>3.1059999999999999</v>
      </c>
    </row>
    <row r="171" spans="5:16" x14ac:dyDescent="0.25">
      <c r="E171" s="170">
        <f t="shared" si="929"/>
        <v>-0.87896877171011334</v>
      </c>
      <c r="F171" s="170">
        <f t="shared" si="929"/>
        <v>-0.43552811764986399</v>
      </c>
      <c r="G171" s="170">
        <f t="shared" si="929"/>
        <v>-0.19423994721678872</v>
      </c>
      <c r="H171" s="139"/>
      <c r="I171" s="86"/>
      <c r="J171" s="79">
        <f t="shared" si="930"/>
        <v>3.11</v>
      </c>
    </row>
    <row r="172" spans="5:16" x14ac:dyDescent="0.25">
      <c r="E172" s="170">
        <f t="shared" si="929"/>
        <v>-0.93542134923759546</v>
      </c>
      <c r="F172" s="170">
        <f t="shared" si="929"/>
        <v>-0.33035773010844482</v>
      </c>
      <c r="G172" s="170">
        <f t="shared" si="929"/>
        <v>-0.12589944220731283</v>
      </c>
      <c r="H172" s="139"/>
      <c r="I172" s="86"/>
      <c r="J172" s="79">
        <f t="shared" si="930"/>
        <v>3.1150000000000002</v>
      </c>
    </row>
    <row r="173" spans="5:16" x14ac:dyDescent="0.25">
      <c r="E173" s="170">
        <f t="shared" si="929"/>
        <v>-0.98261724977486553</v>
      </c>
      <c r="F173" s="170">
        <f t="shared" si="929"/>
        <v>-0.14872798566289422</v>
      </c>
      <c r="G173" s="170">
        <f t="shared" si="929"/>
        <v>-0.11110052531620937</v>
      </c>
      <c r="H173" s="139"/>
      <c r="I173" s="86"/>
      <c r="J173" s="79">
        <f t="shared" si="930"/>
        <v>3.12</v>
      </c>
    </row>
    <row r="174" spans="5:16" x14ac:dyDescent="0.25">
      <c r="E174" s="170">
        <f t="shared" ref="E174:G193" si="933">E29*-1</f>
        <v>-0.99711968611046031</v>
      </c>
      <c r="F174" s="170">
        <f t="shared" si="933"/>
        <v>7.5844126805971371E-2</v>
      </c>
      <c r="G174" s="170">
        <f t="shared" si="933"/>
        <v>-1.300841921663709E-7</v>
      </c>
      <c r="H174" s="139"/>
      <c r="I174" s="86"/>
      <c r="J174" s="79">
        <f t="shared" si="930"/>
        <v>3.125</v>
      </c>
    </row>
    <row r="175" spans="5:16" x14ac:dyDescent="0.25">
      <c r="E175" s="170">
        <f t="shared" si="933"/>
        <v>-2.2641191058242821E-7</v>
      </c>
      <c r="F175" s="170">
        <f t="shared" si="933"/>
        <v>1.3174669499631419E-8</v>
      </c>
      <c r="G175" s="170">
        <f t="shared" si="933"/>
        <v>-0.99999999999997435</v>
      </c>
      <c r="H175" s="139"/>
      <c r="I175" s="86"/>
      <c r="J175" s="79">
        <f t="shared" si="930"/>
        <v>3.206</v>
      </c>
    </row>
    <row r="176" spans="5:16" x14ac:dyDescent="0.25">
      <c r="E176" s="170">
        <f t="shared" si="933"/>
        <v>-2.9236682172189041E-2</v>
      </c>
      <c r="F176" s="170">
        <f t="shared" si="933"/>
        <v>0.21187523368172362</v>
      </c>
      <c r="G176" s="170">
        <f t="shared" si="933"/>
        <v>-0.97685930500143037</v>
      </c>
      <c r="H176" s="139"/>
      <c r="I176" s="86"/>
      <c r="J176" s="79">
        <f t="shared" si="930"/>
        <v>3.21</v>
      </c>
    </row>
    <row r="177" spans="5:21" x14ac:dyDescent="0.25">
      <c r="E177" s="170">
        <f t="shared" si="933"/>
        <v>-0.94302828152535245</v>
      </c>
      <c r="F177" s="170">
        <f t="shared" si="933"/>
        <v>5.6283896976699506E-2</v>
      </c>
      <c r="G177" s="170">
        <f t="shared" si="933"/>
        <v>-0.32791734200017081</v>
      </c>
      <c r="H177" s="139"/>
      <c r="I177" s="86"/>
      <c r="J177" s="79">
        <f t="shared" si="930"/>
        <v>3.2149999999999999</v>
      </c>
    </row>
    <row r="178" spans="5:21" x14ac:dyDescent="0.25">
      <c r="E178" s="170">
        <f t="shared" si="933"/>
        <v>-0.72312762130389852</v>
      </c>
      <c r="F178" s="170">
        <f t="shared" si="933"/>
        <v>0.64907779156957934</v>
      </c>
      <c r="G178" s="170">
        <f t="shared" si="933"/>
        <v>-0.23618734893834467</v>
      </c>
      <c r="H178" s="139"/>
      <c r="I178" s="86"/>
      <c r="J178" s="79">
        <f t="shared" si="930"/>
        <v>4.1020000000000003</v>
      </c>
    </row>
    <row r="179" spans="5:21" x14ac:dyDescent="0.25">
      <c r="E179" s="170">
        <f t="shared" si="933"/>
        <v>-0.71367672548626415</v>
      </c>
      <c r="F179" s="170">
        <f t="shared" si="933"/>
        <v>0.66693420083961663</v>
      </c>
      <c r="G179" s="170">
        <f t="shared" si="933"/>
        <v>-0.21415952757144743</v>
      </c>
      <c r="H179" s="139"/>
      <c r="I179" s="86"/>
      <c r="J179" s="79">
        <f t="shared" si="930"/>
        <v>4.1050000000000004</v>
      </c>
      <c r="M179" t="s">
        <v>392</v>
      </c>
    </row>
    <row r="180" spans="5:21" x14ac:dyDescent="0.25">
      <c r="E180" s="170">
        <f t="shared" si="933"/>
        <v>-0.60231033102853038</v>
      </c>
      <c r="F180" s="170">
        <f t="shared" si="933"/>
        <v>0.77180090346870256</v>
      </c>
      <c r="G180" s="170">
        <f t="shared" si="933"/>
        <v>-0.20382745286441764</v>
      </c>
      <c r="H180" s="139"/>
      <c r="I180" s="86"/>
      <c r="J180" s="79">
        <f t="shared" si="930"/>
        <v>4.109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-0.50761952531043952</v>
      </c>
      <c r="F181" s="170">
        <f t="shared" si="933"/>
        <v>0.85063971157809271</v>
      </c>
      <c r="G181" s="170">
        <f t="shared" si="933"/>
        <v>-0.1368740245990579</v>
      </c>
      <c r="H181" s="139"/>
      <c r="I181" s="86"/>
      <c r="J181" s="79">
        <f t="shared" si="930"/>
        <v>4.1139999999999999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-0.35482171748575747</v>
      </c>
      <c r="F182" s="170">
        <f t="shared" si="933"/>
        <v>0.92723909468997134</v>
      </c>
      <c r="G182" s="170">
        <f t="shared" si="933"/>
        <v>-0.11970467860104593</v>
      </c>
      <c r="H182" s="139"/>
      <c r="I182" s="86"/>
      <c r="J182" s="79">
        <f t="shared" si="930"/>
        <v>4.1189999999999998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-0.16981300547269951</v>
      </c>
      <c r="F183" s="170">
        <f t="shared" si="933"/>
        <v>0.98485755240905881</v>
      </c>
      <c r="G183" s="170">
        <f t="shared" si="933"/>
        <v>-3.4916251734213248E-2</v>
      </c>
      <c r="H183" s="139"/>
      <c r="I183" s="86"/>
      <c r="J183" s="79">
        <f t="shared" si="930"/>
        <v>4.1239999999999997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-9.8456332925929896E-2</v>
      </c>
      <c r="F184" s="170">
        <f t="shared" si="933"/>
        <v>0.99514137212094733</v>
      </c>
      <c r="G184" s="170">
        <f t="shared" si="933"/>
        <v>-1.3008419224361226E-7</v>
      </c>
      <c r="H184" s="139"/>
      <c r="I184" s="86"/>
      <c r="J184" s="79">
        <f t="shared" si="930"/>
        <v>4.1289999999999996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5.3559481725358593E-9</v>
      </c>
      <c r="F185" s="170">
        <f t="shared" si="933"/>
        <v>2.2673164531933603E-7</v>
      </c>
      <c r="G185" s="170">
        <f t="shared" si="933"/>
        <v>-0.99999999999997435</v>
      </c>
      <c r="H185" s="139"/>
      <c r="I185" s="86"/>
      <c r="J185" s="79">
        <f t="shared" si="930"/>
        <v>4.2050000000000001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0.13744611102639631</v>
      </c>
      <c r="F186" s="170">
        <f t="shared" si="933"/>
        <v>4.0609757677776276E-2</v>
      </c>
      <c r="G186" s="170">
        <f t="shared" si="933"/>
        <v>-0.9896764189092675</v>
      </c>
      <c r="H186" s="139"/>
      <c r="I186" s="86"/>
      <c r="J186" s="79">
        <f t="shared" si="930"/>
        <v>4.2089999999999996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-0.1341213673658429</v>
      </c>
      <c r="F187" s="170">
        <f t="shared" si="933"/>
        <v>0.93252149488089719</v>
      </c>
      <c r="G187" s="170">
        <f t="shared" si="933"/>
        <v>-0.33528364171401759</v>
      </c>
      <c r="H187" s="139"/>
      <c r="I187" s="86"/>
      <c r="J187" s="79">
        <f t="shared" si="930"/>
        <v>4.2140000000000004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0.49403465783209394</v>
      </c>
      <c r="F188" s="170">
        <f t="shared" si="933"/>
        <v>0.84340290138537999</v>
      </c>
      <c r="G188" s="170">
        <f t="shared" si="933"/>
        <v>-0.211190205254526</v>
      </c>
      <c r="H188" s="139"/>
      <c r="I188" s="86"/>
      <c r="J188" s="79">
        <f t="shared" si="930"/>
        <v>5.1079999999999997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0.60775032688755648</v>
      </c>
      <c r="F189" s="170">
        <f t="shared" si="933"/>
        <v>0.77912332794064898</v>
      </c>
      <c r="G189" s="170">
        <f t="shared" si="933"/>
        <v>-0.15364367877253024</v>
      </c>
      <c r="H189" s="139"/>
      <c r="I189" s="86"/>
      <c r="J189" s="79">
        <f t="shared" si="930"/>
        <v>5.1130000000000004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0.72244279832966263</v>
      </c>
      <c r="F190" s="170">
        <f t="shared" si="933"/>
        <v>0.68021729966228595</v>
      </c>
      <c r="G190" s="170">
        <f t="shared" si="933"/>
        <v>-0.12401946775306866</v>
      </c>
      <c r="H190" s="139"/>
      <c r="I190" s="86"/>
      <c r="J190" s="79">
        <f t="shared" si="930"/>
        <v>5.1180000000000003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0.84770218108287554</v>
      </c>
      <c r="F191" s="170">
        <f t="shared" si="933"/>
        <v>0.52706231999351005</v>
      </c>
      <c r="G191" s="170">
        <f t="shared" si="933"/>
        <v>-6.0052668803264653E-2</v>
      </c>
      <c r="H191" s="139"/>
      <c r="I191" s="86"/>
      <c r="J191" s="79">
        <f t="shared" si="930"/>
        <v>5.1230000000000002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0.90145287856435807</v>
      </c>
      <c r="F192" s="170">
        <f t="shared" si="933"/>
        <v>0.43287724325496241</v>
      </c>
      <c r="G192" s="170">
        <f t="shared" si="933"/>
        <v>-1.300841922710724E-7</v>
      </c>
      <c r="H192" s="139"/>
      <c r="I192" s="86"/>
      <c r="J192" s="79">
        <f t="shared" si="930"/>
        <v>5.1280000000000001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0.81609452673604754</v>
      </c>
      <c r="F193" s="170">
        <f t="shared" si="933"/>
        <v>0.46166439734499587</v>
      </c>
      <c r="G193" s="170">
        <f t="shared" si="933"/>
        <v>-0.34764307508642917</v>
      </c>
      <c r="H193" s="139"/>
      <c r="I193" s="86"/>
      <c r="J193" s="79">
        <f t="shared" si="930"/>
        <v>5.2130000000000001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21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21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21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  <c r="M216" t="s">
        <v>391</v>
      </c>
    </row>
    <row r="217" spans="5:21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21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21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21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21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21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21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1.204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1.2070000000000001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1.212</v>
      </c>
      <c r="N173" s="869">
        <f>Assy.Model!K18</f>
        <v>1111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2.1110000000000002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2.1160000000000001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2.1259999999999999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2.2160000000000002</v>
      </c>
      <c r="N178" s="869">
        <f>Assy.Model!K23</f>
        <v>1111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3.1030000000000002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3.1059999999999999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3.1150000000000002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3.125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3.206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3.2149999999999999</v>
      </c>
      <c r="N187" s="869">
        <f>Assy.Model!K32</f>
        <v>1111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4.1020000000000003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4.1050000000000004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4.109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4.1139999999999999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4.1189999999999998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4.1239999999999997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4.1289999999999996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4.2050000000000001</v>
      </c>
      <c r="N195" s="869" t="str">
        <f>Assy.Model!K40</f>
        <v>Inactive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4.2089999999999996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4.2140000000000004</v>
      </c>
      <c r="N197" s="869">
        <f>Assy.Model!K42</f>
        <v>1111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5.1079999999999997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5.1130000000000004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5.1180000000000003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5.1230000000000002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5.1280000000000001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5.2130000000000001</v>
      </c>
      <c r="N203" s="869">
        <f>Assy.Model!K48</f>
        <v>1111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2023-03-28T20:14:12Z</dcterms:modified>
</cp:coreProperties>
</file>