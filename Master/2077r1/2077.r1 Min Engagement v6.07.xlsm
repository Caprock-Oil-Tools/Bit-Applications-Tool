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77\"/>
    </mc:Choice>
  </mc:AlternateContent>
  <xr:revisionPtr revIDLastSave="0" documentId="13_ncr:1_{D99092F0-D14B-4BE9-AE47-FFFE6DABF69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1" l="1"/>
  <c r="L15" i="1"/>
  <c r="L6" i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N11" i="1"/>
  <c r="IW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T10" i="1"/>
  <c r="IW10" i="1"/>
  <c r="IV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Q11" i="1" l="1"/>
  <c r="IL11" i="1"/>
  <c r="IV11" i="1"/>
  <c r="IP11" i="1"/>
  <c r="IR11" i="1"/>
  <c r="IT11" i="1"/>
  <c r="IK11" i="1"/>
  <c r="IX11" i="1"/>
  <c r="IY11" i="1"/>
  <c r="IN10" i="1"/>
  <c r="IL10" i="1"/>
  <c r="IY10" i="1"/>
  <c r="IX10" i="1"/>
  <c r="IQ10" i="1"/>
  <c r="IS10" i="1"/>
  <c r="IK10" i="1"/>
  <c r="IU10" i="1"/>
  <c r="IE10" i="1" s="1"/>
  <c r="IP10" i="1"/>
  <c r="IS11" i="1"/>
  <c r="IR10" i="1"/>
  <c r="JA9" i="1" a="1"/>
  <c r="JA9" i="1" s="1"/>
  <c r="IF85" i="1"/>
  <c r="IF129" i="1"/>
  <c r="IF73" i="1"/>
  <c r="IF49" i="1"/>
  <c r="IF138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F11" i="1" l="1"/>
  <c r="JA23" i="1" a="1"/>
  <c r="JA23" i="1" s="1"/>
  <c r="IF10" i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IQ20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7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02" i="1" l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AI47" i="1" s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2" i="1" l="1"/>
  <c r="V10" i="1"/>
  <c r="IQ19" i="1"/>
  <c r="AM47" i="1"/>
  <c r="AQ11" i="1"/>
  <c r="IP20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6" i="1" l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37" i="1" l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IS37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1" i="1" l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<sst xmlns="http://schemas.openxmlformats.org/spreadsheetml/2006/main" count="734" uniqueCount="391">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</sst>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8.75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>Undefined Element</v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45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-9.0400272647222252E-2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0.24870075008146225</v>
      </c>
      <c r="D9" s="704">
        <v>-0.31010093526442079</v>
      </c>
      <c r="E9" s="705">
        <v>-0.93969263802333458</v>
      </c>
      <c r="F9" s="703">
        <v>-4.4642574380474441E-2</v>
      </c>
      <c r="G9" s="706">
        <v>0.33909406747601789</v>
      </c>
      <c r="H9" s="705">
        <v>0.219</v>
      </c>
      <c r="I9" s="703">
        <v>0.42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1111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0.24870075008146225</v>
      </c>
      <c r="P9" s="625">
        <f t="shared" ref="P9:P40" si="4">IF(M9="","",D9)</f>
        <v>-0.31010093526442079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0.24870075008146225</v>
      </c>
      <c r="S9" s="626">
        <f>IF(M9="","",P9)</f>
        <v>-0.31010093526442079</v>
      </c>
      <c r="T9" s="627">
        <f>IF(M9="","",X9*COS(RADIANS(W9)))</f>
        <v>0.24870075008146225</v>
      </c>
      <c r="U9" s="624">
        <f>IF(M9="","",X9*SIN(RADIANS(W9)))</f>
        <v>0</v>
      </c>
      <c r="V9" s="628">
        <f>IF(M9="","",Y9)</f>
        <v>-0.31010093526442079</v>
      </c>
      <c r="W9" s="583">
        <f t="shared" ref="W9:W14" si="5">IF(M9="","",IF(Q9-$Q$8&lt;0,360+Q9-$Q$8,Q9-$Q$8))</f>
        <v>0</v>
      </c>
      <c r="X9" s="629">
        <f>IF(M9="","",R9)</f>
        <v>0.24870075008146225</v>
      </c>
      <c r="Y9" s="630">
        <f>IF(M9="","",S9)</f>
        <v>-0.31010093526442079</v>
      </c>
      <c r="Z9" s="623">
        <f t="shared" ref="Z9:Z40" si="6">IF(M9="","",-E9)</f>
        <v>0.93969263802333458</v>
      </c>
      <c r="AA9" s="624">
        <f t="shared" ref="AA9:AA40" si="7">IF(M9="","",-F9)</f>
        <v>4.4642574380474441E-2</v>
      </c>
      <c r="AB9" s="624">
        <f t="shared" ref="AB9:AB40" si="8">IF(M9="","",-G9)</f>
        <v>-0.33909406747601789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4.4642574380474441E-2</v>
      </c>
      <c r="AF9" s="625">
        <f>IF(M9="","",AB9*(1/SQRT(Z9^2+AA9^2+AB9^2)))</f>
        <v>-0.33909406747601789</v>
      </c>
      <c r="AG9" s="599">
        <f>IF(M9="","",DEGREES(ATAN2(-AF9,AE9)))</f>
        <v>7.4999989171341337</v>
      </c>
      <c r="AH9" s="600">
        <f>IF(M9="","",DEGREES(ACOS(AD9)))</f>
        <v>19.999997112357679</v>
      </c>
      <c r="AI9" s="583">
        <f>IF(M9="","",DEGREES(-ACOS(-AF9)))</f>
        <v>-70.178310615991393</v>
      </c>
      <c r="AJ9" s="601">
        <f>IF(M9="","",DEGREES(ATAN2(-AE9,AD9)))</f>
        <v>92.719941900473401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4.4642574380474441E-2</v>
      </c>
      <c r="AM9" s="626">
        <f>IF(M9="","",AF9)</f>
        <v>-0.33909406747601789</v>
      </c>
      <c r="AN9" s="581">
        <f>IF(M9="","",DEGREES(ATAN2(-AM9,AL9)))</f>
        <v>7.4999989171341337</v>
      </c>
      <c r="AO9" s="582">
        <f>IF(ROUND(IF(M9="",0,DEGREES(ACOS(AK9))),4)=90,0,IF(M9="","",DEGREES(ACOS(AK9))))</f>
        <v>19.999997112357679</v>
      </c>
      <c r="AP9" s="781">
        <f>IF(M9="","",DEGREES(ATAN2(AK9,AL9)))</f>
        <v>2.7199419004734033</v>
      </c>
      <c r="AQ9" s="584">
        <f t="shared" ref="AQ9:AQ40" si="9">IF(M9="","",DEGREES(ATAN(($AS$5*SIN(RADIANS(90)))/(($X9*2*PI())-($AS$5*COS(RADIANS(90)))))))</f>
        <v>9.0895167177699019</v>
      </c>
      <c r="AS9" s="51">
        <f>IF(M9="","",W9)</f>
        <v>0</v>
      </c>
      <c r="AT9" s="71">
        <f t="shared" ref="AT9:AT40" si="10">IF(M9="","",Y9+(((AS9-$AS$9)*$AS$6)*-1))</f>
        <v>-0.31010093526442079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1111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6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5.7624918616355551E-17</v>
      </c>
      <c r="C10" s="708">
        <v>0.80480242728412077</v>
      </c>
      <c r="D10" s="709">
        <v>-0.23680071419095397</v>
      </c>
      <c r="E10" s="710">
        <v>-0.93969263802333458</v>
      </c>
      <c r="F10" s="708">
        <v>-4.4642574380474427E-2</v>
      </c>
      <c r="G10" s="711">
        <v>0.33909406747601789</v>
      </c>
      <c r="H10" s="710">
        <v>0.219</v>
      </c>
      <c r="I10" s="708">
        <v>0.42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1111</v>
      </c>
      <c r="M10" s="168">
        <f t="shared" si="1"/>
        <v>1.1040000000000001</v>
      </c>
      <c r="N10" s="632">
        <f t="shared" si="2"/>
        <v>5.7624918616355551E-17</v>
      </c>
      <c r="O10" s="629">
        <f t="shared" si="3"/>
        <v>0.80480242728412077</v>
      </c>
      <c r="P10" s="633">
        <f t="shared" si="4"/>
        <v>-0.23680071419095397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0.80480242728412077</v>
      </c>
      <c r="S10" s="634">
        <f t="shared" ref="S10:S105" si="80">IF(M10="","",P10)</f>
        <v>-0.23680071419095397</v>
      </c>
      <c r="T10" s="635">
        <f t="shared" ref="T10:T105" si="81">IF(M10="","",X10*COS(RADIANS(W10)))</f>
        <v>0.80480242728412077</v>
      </c>
      <c r="U10" s="629">
        <f t="shared" ref="U10:U105" si="82">IF(M10="","",X10*SIN(RADIANS(W10)))</f>
        <v>0</v>
      </c>
      <c r="V10" s="636">
        <f>IF(M10="","",Y10)</f>
        <v>-0.23680071419095397</v>
      </c>
      <c r="W10" s="585">
        <f t="shared" si="5"/>
        <v>0</v>
      </c>
      <c r="X10" s="629">
        <f t="shared" ref="X10:X105" si="83">IF(M10="","",R10)</f>
        <v>0.80480242728412077</v>
      </c>
      <c r="Y10" s="630">
        <f>IF(M10="","",S10)</f>
        <v>-0.23680071419095397</v>
      </c>
      <c r="Z10" s="632">
        <f t="shared" si="6"/>
        <v>0.93969263802333458</v>
      </c>
      <c r="AA10" s="629">
        <f t="shared" si="7"/>
        <v>4.4642574380474427E-2</v>
      </c>
      <c r="AB10" s="629">
        <f t="shared" si="8"/>
        <v>-0.33909406747601789</v>
      </c>
      <c r="AC10" s="636">
        <f t="shared" ref="AC10:AC105" si="84">IF(M10="","",SQRT(Z10^2+AA10^2+AB10^2))</f>
        <v>1</v>
      </c>
      <c r="AD10" s="637">
        <f>IF(M10="","",Z10*(1/SQRT(Z10^2+AA10^2+AB10^2)))</f>
        <v>0.93969263802333458</v>
      </c>
      <c r="AE10" s="629">
        <f t="shared" ref="AE10:AE105" si="85">IF(M10="","",AA10*(1/SQRT(Z10^2+AA10^2+AB10^2)))</f>
        <v>4.4642574380474427E-2</v>
      </c>
      <c r="AF10" s="633">
        <f t="shared" ref="AF10:AF105" si="86">IF(M10="","",AB10*(1/SQRT(Z10^2+AA10^2+AB10^2)))</f>
        <v>-0.33909406747601789</v>
      </c>
      <c r="AG10" s="602">
        <f t="shared" ref="AG10:AG105" si="87">IF(M10="","",DEGREES(ATAN2(-AF10,AE10)))</f>
        <v>7.4999989171341319</v>
      </c>
      <c r="AH10" s="603">
        <f t="shared" ref="AH10:AH105" si="88">IF(M10="","",DEGREES(ACOS(AD10)))</f>
        <v>19.999997112357679</v>
      </c>
      <c r="AI10" s="585">
        <f t="shared" ref="AI10:AI105" si="89">IF(M10="","",DEGREES(-ACOS(-AF10)))</f>
        <v>-70.178310615991393</v>
      </c>
      <c r="AJ10" s="586">
        <f t="shared" ref="AJ10:AJ105" si="90">IF(M10="","",DEGREES(ATAN2(-AE10,AD10)))</f>
        <v>92.719941900473401</v>
      </c>
      <c r="AK10" s="635">
        <f>IF(M10="","",(COS(RADIANS((90-$Q$8)-W10))*AD10)+(-SIN(RADIANS((90-$Q$8)-W10))*AE10))</f>
        <v>0.93969263802333458</v>
      </c>
      <c r="AL10" s="629">
        <f t="shared" ref="AL10:AL105" si="91">IF(M10="","",(SIN(RADIANS((90-$Q$8)-W10))*AD10)+(COS(RADIANS((90-$Q$8)-W10))*AE10))</f>
        <v>4.4642574380474427E-2</v>
      </c>
      <c r="AM10" s="634">
        <f t="shared" ref="AM10:AM105" si="92">IF(M10="","",AF10)</f>
        <v>-0.33909406747601789</v>
      </c>
      <c r="AN10" s="581">
        <f t="shared" ref="AN10:AN105" si="93">IF(M10="","",DEGREES(ATAN2(-AM10,AL10)))</f>
        <v>7.4999989171341319</v>
      </c>
      <c r="AO10" s="582">
        <f t="shared" ref="AO10:AO54" si="94">IF(ROUND(IF(M10="",0,DEGREES(ACOS(AK10))),4)=90,0,IF(M10="","",DEGREES(ACOS(AK10))))</f>
        <v>19.999997112357679</v>
      </c>
      <c r="AP10" s="585">
        <f t="shared" ref="AP10:AP105" si="95">IF(M10="","",DEGREES(ATAN2(AK10,AL10)))</f>
        <v>2.7199419004734025</v>
      </c>
      <c r="AQ10" s="586">
        <f t="shared" si="9"/>
        <v>2.8303492674886983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-0.23680071419095397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1111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1111</v>
      </c>
      <c r="JB10" s="787" cm="1">
        <f t="array" ref="JB10">IF($JA10="","",COUNT(IF(IF($II$9:$II$150="",$IJ$9:$IJ$150,"")=$JA10,$IG$9:$IG$150,"")))</f>
        <v>39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3.2227269300258103E-16</v>
      </c>
      <c r="C11" s="708">
        <v>1.3610041047883799</v>
      </c>
      <c r="D11" s="709">
        <v>-0.16360049341908836</v>
      </c>
      <c r="E11" s="710">
        <v>-0.93969263802333469</v>
      </c>
      <c r="F11" s="708">
        <v>-4.4642574380474427E-2</v>
      </c>
      <c r="G11" s="711">
        <v>0.33909406747601795</v>
      </c>
      <c r="H11" s="710">
        <v>0.219</v>
      </c>
      <c r="I11" s="708">
        <v>0.42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1111</v>
      </c>
      <c r="L11" s="779" t="s">
        <v>332</v>
      </c>
      <c r="M11" s="168">
        <f t="shared" si="1"/>
        <v>1.107</v>
      </c>
      <c r="N11" s="632">
        <f t="shared" si="2"/>
        <v>3.2227269300258103E-16</v>
      </c>
      <c r="O11" s="629">
        <f t="shared" si="3"/>
        <v>1.3610041047883799</v>
      </c>
      <c r="P11" s="633">
        <f t="shared" si="4"/>
        <v>-0.16360049341908836</v>
      </c>
      <c r="Q11" s="585">
        <f t="shared" ref="Q11:Q73" si="113">IF(M11="","",IF(DEGREES(ATAN2(N11,O11))&lt;0,DEGREES(ATAN2(N11,O11))+360,IF(DEGREES(ATAN2(N11,O11))&gt;360,DEGREES(ATAN2(N11,O11))-360,DEGREES(ATAN2(N11,O11)))))</f>
        <v>89.999999999999986</v>
      </c>
      <c r="R11" s="629">
        <f t="shared" si="79"/>
        <v>1.3610041047883799</v>
      </c>
      <c r="S11" s="634">
        <f t="shared" si="80"/>
        <v>-0.16360049341908836</v>
      </c>
      <c r="T11" s="635">
        <f t="shared" si="81"/>
        <v>1.3610041047883799</v>
      </c>
      <c r="U11" s="629">
        <f t="shared" si="82"/>
        <v>-3.3348641522115462E-16</v>
      </c>
      <c r="V11" s="636">
        <f t="shared" ref="V11:V105" si="114">IF(M11="","",Y11)</f>
        <v>-0.16360049341908836</v>
      </c>
      <c r="W11" s="585">
        <f t="shared" si="5"/>
        <v>360</v>
      </c>
      <c r="X11" s="629">
        <f>IF(M11="","",R11)</f>
        <v>1.3610041047883799</v>
      </c>
      <c r="Y11" s="630">
        <f>IF(M11="","",S11)</f>
        <v>-0.16360049341908836</v>
      </c>
      <c r="Z11" s="632">
        <f t="shared" si="6"/>
        <v>0.93969263802333469</v>
      </c>
      <c r="AA11" s="629">
        <f t="shared" si="7"/>
        <v>4.4642574380474427E-2</v>
      </c>
      <c r="AB11" s="629">
        <f t="shared" si="8"/>
        <v>-0.33909406747601795</v>
      </c>
      <c r="AC11" s="636">
        <f t="shared" si="84"/>
        <v>1</v>
      </c>
      <c r="AD11" s="637">
        <f t="shared" ref="AD11:AD105" si="115">IF(M11="","",Z11*(1/SQRT(Z11^2+AA11^2+AB11^2)))</f>
        <v>0.93969263802333469</v>
      </c>
      <c r="AE11" s="629">
        <f t="shared" si="85"/>
        <v>4.4642574380474427E-2</v>
      </c>
      <c r="AF11" s="633">
        <f t="shared" si="86"/>
        <v>-0.33909406747601795</v>
      </c>
      <c r="AG11" s="602">
        <f>IF(M11="","",DEGREES(ATAN2(-AF11,AE11)))</f>
        <v>7.499998917134131</v>
      </c>
      <c r="AH11" s="603">
        <f t="shared" si="88"/>
        <v>19.999997112357665</v>
      </c>
      <c r="AI11" s="585">
        <f t="shared" si="89"/>
        <v>-70.178310615991393</v>
      </c>
      <c r="AJ11" s="586">
        <f t="shared" si="90"/>
        <v>92.719941900473401</v>
      </c>
      <c r="AK11" s="635">
        <f>IF(M11="","",(COS(RADIANS((90-$Q$8)-W11))*AD11)+(-SIN(RADIANS((90-$Q$8)-W11))*AE11))</f>
        <v>0.93969263802333469</v>
      </c>
      <c r="AL11" s="629">
        <f t="shared" si="91"/>
        <v>4.4642574380474656E-2</v>
      </c>
      <c r="AM11" s="634">
        <f t="shared" si="92"/>
        <v>-0.33909406747601795</v>
      </c>
      <c r="AN11" s="581">
        <f>IF(M11="","",DEGREES(ATAN2(-AM11,AL11)))</f>
        <v>7.4999989171341701</v>
      </c>
      <c r="AO11" s="582">
        <f>IF(ROUND(IF(M11="",0,DEGREES(ACOS(AK11))),4)=90,0,IF(M11="","",DEGREES(ACOS(AK11))))</f>
        <v>19.999997112357665</v>
      </c>
      <c r="AP11" s="585">
        <f t="shared" si="95"/>
        <v>2.7199419004734162</v>
      </c>
      <c r="AQ11" s="586">
        <f t="shared" si="9"/>
        <v>1.6745559260644358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-0.16360049341908836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1111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-1.4939793715351439E-16</v>
      </c>
      <c r="C12" s="708">
        <v>1.9171057819910382</v>
      </c>
      <c r="D12" s="709">
        <v>-9.0400272647222252E-2</v>
      </c>
      <c r="E12" s="710">
        <v>-0.93969263802333458</v>
      </c>
      <c r="F12" s="708">
        <v>-4.4642574380474434E-2</v>
      </c>
      <c r="G12" s="711">
        <v>0.33909406747601789</v>
      </c>
      <c r="H12" s="710">
        <v>0.219</v>
      </c>
      <c r="I12" s="708">
        <v>0.42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1111</v>
      </c>
      <c r="L12" s="773" t="s">
        <v>366</v>
      </c>
      <c r="M12" s="168">
        <f t="shared" si="1"/>
        <v>1.1100000000000001</v>
      </c>
      <c r="N12" s="632">
        <f t="shared" si="2"/>
        <v>-1.4939793715351439E-16</v>
      </c>
      <c r="O12" s="629">
        <f t="shared" si="3"/>
        <v>1.9171057819910382</v>
      </c>
      <c r="P12" s="633">
        <f t="shared" si="4"/>
        <v>-9.0400272647222252E-2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1.9171057819910382</v>
      </c>
      <c r="S12" s="634">
        <f t="shared" si="80"/>
        <v>-9.0400272647222252E-2</v>
      </c>
      <c r="T12" s="635">
        <f>IF(M12="","",X12*COS(RADIANS(W12)))</f>
        <v>1.9171057819910382</v>
      </c>
      <c r="U12" s="629">
        <f t="shared" si="82"/>
        <v>0</v>
      </c>
      <c r="V12" s="636">
        <f t="shared" si="114"/>
        <v>-9.0400272647222252E-2</v>
      </c>
      <c r="W12" s="585">
        <f>IF(M12="","",IF(Q12-$Q$8&lt;0,360+Q12-$Q$8,Q12-$Q$8))</f>
        <v>0</v>
      </c>
      <c r="X12" s="629">
        <f t="shared" si="83"/>
        <v>1.9171057819910382</v>
      </c>
      <c r="Y12" s="630">
        <f>IF(M12="","",S12)</f>
        <v>-9.0400272647222252E-2</v>
      </c>
      <c r="Z12" s="632">
        <f t="shared" si="6"/>
        <v>0.93969263802333458</v>
      </c>
      <c r="AA12" s="629">
        <f t="shared" si="7"/>
        <v>4.4642574380474434E-2</v>
      </c>
      <c r="AB12" s="629">
        <f t="shared" si="8"/>
        <v>-0.33909406747601789</v>
      </c>
      <c r="AC12" s="636">
        <f t="shared" si="84"/>
        <v>1</v>
      </c>
      <c r="AD12" s="637">
        <f t="shared" si="115"/>
        <v>0.93969263802333458</v>
      </c>
      <c r="AE12" s="629">
        <f t="shared" si="85"/>
        <v>4.4642574380474434E-2</v>
      </c>
      <c r="AF12" s="633">
        <f t="shared" si="86"/>
        <v>-0.33909406747601789</v>
      </c>
      <c r="AG12" s="602">
        <f t="shared" si="87"/>
        <v>7.4999989171341337</v>
      </c>
      <c r="AH12" s="603">
        <f t="shared" si="88"/>
        <v>19.999997112357679</v>
      </c>
      <c r="AI12" s="585">
        <f t="shared" si="89"/>
        <v>-70.178310615991393</v>
      </c>
      <c r="AJ12" s="586">
        <f t="shared" si="90"/>
        <v>92.719941900473401</v>
      </c>
      <c r="AK12" s="635">
        <f t="shared" ref="AK12:AK105" si="211">IF(M12="","",(COS(RADIANS((90-$Q$8)-W12))*AD12)+(-SIN(RADIANS((90-$Q$8)-W12))*AE12))</f>
        <v>0.93969263802333458</v>
      </c>
      <c r="AL12" s="629">
        <f>IF(M12="","",(SIN(RADIANS((90-$Q$8)-W12))*AD12)+(COS(RADIANS((90-$Q$8)-W12))*AE12))</f>
        <v>4.4642574380474434E-2</v>
      </c>
      <c r="AM12" s="634">
        <f t="shared" si="92"/>
        <v>-0.33909406747601789</v>
      </c>
      <c r="AN12" s="581">
        <f>IF(M12="","",DEGREES(ATAN2(-AM12,AL12)))</f>
        <v>7.4999989171341337</v>
      </c>
      <c r="AO12" s="582">
        <f t="shared" si="94"/>
        <v>19.999997112357679</v>
      </c>
      <c r="AP12" s="585">
        <f t="shared" si="95"/>
        <v>2.7199419004734029</v>
      </c>
      <c r="AQ12" s="586">
        <f t="shared" si="9"/>
        <v>1.188979452802666</v>
      </c>
      <c r="AS12" s="52">
        <f t="shared" si="116"/>
        <v>0</v>
      </c>
      <c r="AT12" s="72">
        <f>IF(M12="","",Y12+(((AS12-$AS$9)*$AS$6)*-1))</f>
        <v>-9.0400272647222252E-2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1111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-7.6833224821807409E-17</v>
      </c>
      <c r="C13" s="708">
        <v>2.4682074441136512</v>
      </c>
      <c r="D13" s="709">
        <v>-2.780008384505285E-2</v>
      </c>
      <c r="E13" s="710">
        <v>-0.93969263802333458</v>
      </c>
      <c r="F13" s="708">
        <v>0</v>
      </c>
      <c r="G13" s="711">
        <v>0.3420200959662259</v>
      </c>
      <c r="H13" s="710">
        <v>0.219</v>
      </c>
      <c r="I13" s="708">
        <v>0.42</v>
      </c>
      <c r="J13" s="570">
        <v>1.1140000000000001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1111</v>
      </c>
      <c r="L13" s="774" t="str">
        <f>IF($L12=$JH$22,$JH$29,IF($L12=$JI$22,$JI$29,""))</f>
        <v/>
      </c>
      <c r="M13" s="168">
        <f t="shared" si="1"/>
        <v>1.1140000000000001</v>
      </c>
      <c r="N13" s="632">
        <f t="shared" si="2"/>
        <v>-7.6833224821807409E-17</v>
      </c>
      <c r="O13" s="629">
        <f t="shared" si="3"/>
        <v>2.4682074441136512</v>
      </c>
      <c r="P13" s="633">
        <f t="shared" si="4"/>
        <v>-2.780008384505285E-2</v>
      </c>
      <c r="Q13" s="585">
        <f t="shared" si="113"/>
        <v>90</v>
      </c>
      <c r="R13" s="629">
        <f t="shared" si="79"/>
        <v>2.4682074441136512</v>
      </c>
      <c r="S13" s="634">
        <f t="shared" si="80"/>
        <v>-2.780008384505285E-2</v>
      </c>
      <c r="T13" s="635">
        <f>IF(M13="","",X13*COS(RADIANS(W13)))</f>
        <v>2.4682074441136512</v>
      </c>
      <c r="U13" s="629">
        <f t="shared" si="82"/>
        <v>0</v>
      </c>
      <c r="V13" s="636">
        <f t="shared" si="114"/>
        <v>-2.780008384505285E-2</v>
      </c>
      <c r="W13" s="585">
        <f t="shared" si="5"/>
        <v>0</v>
      </c>
      <c r="X13" s="629">
        <f t="shared" si="83"/>
        <v>2.4682074441136512</v>
      </c>
      <c r="Y13" s="630">
        <f>IF(M13="","",S13)</f>
        <v>-2.780008384505285E-2</v>
      </c>
      <c r="Z13" s="632">
        <f t="shared" si="6"/>
        <v>0.93969263802333458</v>
      </c>
      <c r="AA13" s="629">
        <f t="shared" si="7"/>
        <v>0</v>
      </c>
      <c r="AB13" s="629">
        <f t="shared" si="8"/>
        <v>-0.3420200959662259</v>
      </c>
      <c r="AC13" s="636">
        <f t="shared" si="84"/>
        <v>1</v>
      </c>
      <c r="AD13" s="637">
        <f>IF(M13="","",Z13*(1/SQRT(Z13^2+AA13^2+AB13^2)))</f>
        <v>0.93969263802333458</v>
      </c>
      <c r="AE13" s="629">
        <f t="shared" si="85"/>
        <v>0</v>
      </c>
      <c r="AF13" s="633">
        <f t="shared" si="86"/>
        <v>-0.3420200959662259</v>
      </c>
      <c r="AG13" s="602">
        <f>IF(M13="","",DEGREES(ATAN2(-AF13,AE13)))</f>
        <v>0</v>
      </c>
      <c r="AH13" s="603">
        <f t="shared" si="88"/>
        <v>19.999997112357679</v>
      </c>
      <c r="AI13" s="585">
        <f t="shared" si="89"/>
        <v>-70.00000288764231</v>
      </c>
      <c r="AJ13" s="586">
        <f t="shared" si="90"/>
        <v>90</v>
      </c>
      <c r="AK13" s="635">
        <f t="shared" si="211"/>
        <v>0.93969263802333458</v>
      </c>
      <c r="AL13" s="629">
        <f t="shared" si="91"/>
        <v>0</v>
      </c>
      <c r="AM13" s="634">
        <f t="shared" si="92"/>
        <v>-0.3420200959662259</v>
      </c>
      <c r="AN13" s="581">
        <f t="shared" si="93"/>
        <v>0</v>
      </c>
      <c r="AO13" s="582">
        <f t="shared" si="94"/>
        <v>19.999997112357679</v>
      </c>
      <c r="AP13" s="585">
        <f t="shared" si="95"/>
        <v>0</v>
      </c>
      <c r="AQ13" s="586">
        <f t="shared" si="9"/>
        <v>0.92355656340082104</v>
      </c>
      <c r="AS13" s="52">
        <f t="shared" si="116"/>
        <v>0</v>
      </c>
      <c r="AT13" s="72">
        <f t="shared" si="10"/>
        <v>-2.780008384505285E-2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1.1140000000000001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1111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2.4514876243238885E-2</v>
      </c>
      <c r="C14" s="708">
        <v>3.0534107998489675</v>
      </c>
      <c r="D14" s="709">
        <v>-0.11910035920668341</v>
      </c>
      <c r="E14" s="710">
        <v>-0.93574676445514848</v>
      </c>
      <c r="F14" s="708">
        <v>0.15961891554586755</v>
      </c>
      <c r="G14" s="711">
        <v>0.31448337732173126</v>
      </c>
      <c r="H14" s="710">
        <v>0.219</v>
      </c>
      <c r="I14" s="708">
        <v>0.42</v>
      </c>
      <c r="J14" s="570">
        <v>1.1200000000000001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1111</v>
      </c>
      <c r="L14" s="776" t="s">
        <v>367</v>
      </c>
      <c r="M14" s="168">
        <f t="shared" si="1"/>
        <v>1.1200000000000001</v>
      </c>
      <c r="N14" s="632">
        <f t="shared" si="2"/>
        <v>2.4514876243238885E-2</v>
      </c>
      <c r="O14" s="629">
        <f t="shared" si="3"/>
        <v>3.0534107998489675</v>
      </c>
      <c r="P14" s="633">
        <f t="shared" si="4"/>
        <v>-0.11910035920668341</v>
      </c>
      <c r="Q14" s="585">
        <f t="shared" si="113"/>
        <v>89.540000066415772</v>
      </c>
      <c r="R14" s="629">
        <f t="shared" si="79"/>
        <v>3.0535092093837761</v>
      </c>
      <c r="S14" s="634">
        <f t="shared" si="80"/>
        <v>-0.11910035920668341</v>
      </c>
      <c r="T14" s="635">
        <f t="shared" si="81"/>
        <v>3.0534107998489679</v>
      </c>
      <c r="U14" s="629">
        <f t="shared" si="82"/>
        <v>-2.4514876243240304E-2</v>
      </c>
      <c r="V14" s="636">
        <f t="shared" si="114"/>
        <v>-0.11910035920668341</v>
      </c>
      <c r="W14" s="585">
        <f t="shared" si="5"/>
        <v>359.54000006641576</v>
      </c>
      <c r="X14" s="629">
        <f t="shared" si="83"/>
        <v>3.0535092093837761</v>
      </c>
      <c r="Y14" s="630">
        <f t="shared" ref="Y14:Y75" si="223">IF(M14="","",S14)</f>
        <v>-0.11910035920668341</v>
      </c>
      <c r="Z14" s="632">
        <f t="shared" si="6"/>
        <v>0.93574676445514848</v>
      </c>
      <c r="AA14" s="629">
        <f t="shared" si="7"/>
        <v>-0.15961891554586755</v>
      </c>
      <c r="AB14" s="629">
        <f t="shared" si="8"/>
        <v>-0.31448337732173126</v>
      </c>
      <c r="AC14" s="636">
        <f t="shared" si="84"/>
        <v>1</v>
      </c>
      <c r="AD14" s="637">
        <f>IF(M14="","",Z14*(1/SQRT(Z14^2+AA14^2+AB14^2)))</f>
        <v>0.93574676445514848</v>
      </c>
      <c r="AE14" s="629">
        <f t="shared" si="85"/>
        <v>-0.15961891554586755</v>
      </c>
      <c r="AF14" s="633">
        <f t="shared" si="86"/>
        <v>-0.31448337732173126</v>
      </c>
      <c r="AG14" s="602">
        <f t="shared" si="87"/>
        <v>-26.910488387751691</v>
      </c>
      <c r="AH14" s="603">
        <f t="shared" si="88"/>
        <v>20.650873271326027</v>
      </c>
      <c r="AI14" s="585">
        <f t="shared" si="89"/>
        <v>-71.67037142040418</v>
      </c>
      <c r="AJ14" s="586">
        <f t="shared" si="90"/>
        <v>80.319705313548525</v>
      </c>
      <c r="AK14" s="635">
        <f>IF(M14="","",(COS(RADIANS((90-$Q$8)-W14))*AD14)+(-SIN(RADIANS((90-$Q$8)-W14))*AE14))</f>
        <v>0.9369980957251367</v>
      </c>
      <c r="AL14" s="629">
        <f t="shared" si="91"/>
        <v>-0.15210119656263626</v>
      </c>
      <c r="AM14" s="634">
        <f t="shared" si="92"/>
        <v>-0.31448337732173126</v>
      </c>
      <c r="AN14" s="581">
        <f t="shared" si="93"/>
        <v>-25.810926024672348</v>
      </c>
      <c r="AO14" s="582">
        <f t="shared" si="94"/>
        <v>20.446613445999088</v>
      </c>
      <c r="AP14" s="585">
        <f>IF(M14="","",DEGREES(ATAN2(AK14,AL14)))</f>
        <v>-9.2202947528672219</v>
      </c>
      <c r="AQ14" s="586">
        <f t="shared" si="9"/>
        <v>0.74655010382125209</v>
      </c>
      <c r="AS14" s="52">
        <f t="shared" si="116"/>
        <v>-0.45999993358424263</v>
      </c>
      <c r="AT14" s="72">
        <f t="shared" si="10"/>
        <v>-0.11878091480836102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1.1200000000000001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1111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6.8321973952098033E-2</v>
      </c>
      <c r="C15" s="708">
        <v>3.5582548697557908</v>
      </c>
      <c r="D15" s="709">
        <v>-0.39660119614920764</v>
      </c>
      <c r="E15" s="710">
        <v>-0.90918848198811375</v>
      </c>
      <c r="F15" s="708">
        <v>0.29750802067879556</v>
      </c>
      <c r="G15" s="711">
        <v>0.29131646340695361</v>
      </c>
      <c r="H15" s="710">
        <v>0.219</v>
      </c>
      <c r="I15" s="708">
        <v>0.42</v>
      </c>
      <c r="J15" s="570">
        <v>1.1259999999999999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1111</v>
      </c>
      <c r="L15" s="1313" t="str">
        <f>IF($L14=$JH$22,$JH$29,IF($L14=$JI$22,$JI$29,""))</f>
        <v/>
      </c>
      <c r="M15" s="168">
        <f t="shared" si="1"/>
        <v>1.1259999999999999</v>
      </c>
      <c r="N15" s="632">
        <f t="shared" si="2"/>
        <v>6.8321973952098033E-2</v>
      </c>
      <c r="O15" s="629">
        <f t="shared" si="3"/>
        <v>3.5582548697557908</v>
      </c>
      <c r="P15" s="633">
        <f t="shared" si="4"/>
        <v>-0.39660119614920764</v>
      </c>
      <c r="Q15" s="585">
        <f t="shared" si="113"/>
        <v>88.900000158820333</v>
      </c>
      <c r="R15" s="629">
        <f t="shared" si="79"/>
        <v>3.558910733674773</v>
      </c>
      <c r="S15" s="634">
        <f t="shared" si="80"/>
        <v>-0.39660119614920764</v>
      </c>
      <c r="T15" s="635">
        <f t="shared" si="81"/>
        <v>3.5582548697557908</v>
      </c>
      <c r="U15" s="629">
        <f t="shared" si="82"/>
        <v>-6.8321973952098963E-2</v>
      </c>
      <c r="V15" s="636">
        <f t="shared" si="114"/>
        <v>-0.39660119614920764</v>
      </c>
      <c r="W15" s="585">
        <f t="shared" ref="W15:W78" si="224">IF(M15="","",IF(Q15-$Q$8&lt;0,360+Q15-$Q$8,Q15-$Q$8))</f>
        <v>358.90000015882032</v>
      </c>
      <c r="X15" s="629">
        <f>IF(M15="","",R15)</f>
        <v>3.558910733674773</v>
      </c>
      <c r="Y15" s="630">
        <f>IF(M15="","",S15)</f>
        <v>-0.39660119614920764</v>
      </c>
      <c r="Z15" s="632">
        <f t="shared" si="6"/>
        <v>0.90918848198811375</v>
      </c>
      <c r="AA15" s="629">
        <f t="shared" si="7"/>
        <v>-0.29750802067879556</v>
      </c>
      <c r="AB15" s="629">
        <f t="shared" si="8"/>
        <v>-0.29131646340695361</v>
      </c>
      <c r="AC15" s="636">
        <f t="shared" si="84"/>
        <v>1</v>
      </c>
      <c r="AD15" s="637">
        <f t="shared" si="115"/>
        <v>0.90918848198811375</v>
      </c>
      <c r="AE15" s="629">
        <f t="shared" si="85"/>
        <v>-0.29750802067879556</v>
      </c>
      <c r="AF15" s="633">
        <f t="shared" si="86"/>
        <v>-0.29131646340695361</v>
      </c>
      <c r="AG15" s="602">
        <f t="shared" si="87"/>
        <v>-45.602449517839247</v>
      </c>
      <c r="AH15" s="603">
        <f t="shared" si="88"/>
        <v>24.606554442698449</v>
      </c>
      <c r="AI15" s="585">
        <f t="shared" si="89"/>
        <v>-73.063212789148352</v>
      </c>
      <c r="AJ15" s="586">
        <f t="shared" si="90"/>
        <v>71.880676990362915</v>
      </c>
      <c r="AK15" s="635">
        <f t="shared" si="211"/>
        <v>0.91473232188602949</v>
      </c>
      <c r="AL15" s="629">
        <f t="shared" si="91"/>
        <v>-0.2799991025790235</v>
      </c>
      <c r="AM15" s="634">
        <f t="shared" si="92"/>
        <v>-0.29131646340695361</v>
      </c>
      <c r="AN15" s="581">
        <f>IF(M15="","",DEGREES(ATAN2(-AM15,AL15)))</f>
        <v>-43.865159201198736</v>
      </c>
      <c r="AO15" s="582">
        <f t="shared" si="94"/>
        <v>23.832258228190909</v>
      </c>
      <c r="AP15" s="585">
        <f t="shared" si="95"/>
        <v>-17.019323168457397</v>
      </c>
      <c r="AQ15" s="586">
        <f t="shared" si="9"/>
        <v>0.64054195968661976</v>
      </c>
      <c r="AS15" s="52">
        <f t="shared" si="116"/>
        <v>-1.099999841179681</v>
      </c>
      <c r="AT15" s="72">
        <f t="shared" si="10"/>
        <v>-0.39583730737061062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1.1259999999999999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1111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45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0.11470958679788265</v>
      </c>
      <c r="C16" s="708">
        <v>3.9344400331166529</v>
      </c>
      <c r="D16" s="709">
        <v>-0.82740249544592648</v>
      </c>
      <c r="E16" s="710">
        <v>-0.87818013633098391</v>
      </c>
      <c r="F16" s="708">
        <v>0.4207455006397498</v>
      </c>
      <c r="G16" s="711">
        <v>0.22753652859508278</v>
      </c>
      <c r="H16" s="710">
        <v>0.219</v>
      </c>
      <c r="I16" s="708">
        <v>0.42</v>
      </c>
      <c r="J16" s="570">
        <v>1.1319999999999999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1111</v>
      </c>
      <c r="L16" s="320"/>
      <c r="M16" s="168">
        <f t="shared" si="1"/>
        <v>1.1319999999999999</v>
      </c>
      <c r="N16" s="632">
        <f t="shared" si="2"/>
        <v>0.11470958679788265</v>
      </c>
      <c r="O16" s="629">
        <f t="shared" si="3"/>
        <v>3.9344400331166529</v>
      </c>
      <c r="P16" s="633">
        <f t="shared" si="4"/>
        <v>-0.82740249544592648</v>
      </c>
      <c r="Q16" s="585">
        <f>IF(M16="","",IF(DEGREES(ATAN2(N16,O16))&lt;0,DEGREES(ATAN2(N16,O16))+360,IF(DEGREES(ATAN2(N16,O16))&gt;360,DEGREES(ATAN2(N16,O16))-360,DEGREES(ATAN2(N16,O16)))))</f>
        <v>88.330000241118128</v>
      </c>
      <c r="R16" s="629">
        <f t="shared" si="79"/>
        <v>3.9361118713134045</v>
      </c>
      <c r="S16" s="634">
        <f t="shared" si="80"/>
        <v>-0.82740249544592648</v>
      </c>
      <c r="T16" s="635">
        <f t="shared" si="81"/>
        <v>3.9344400331166529</v>
      </c>
      <c r="U16" s="629">
        <f t="shared" si="82"/>
        <v>-0.1147095867978854</v>
      </c>
      <c r="V16" s="636">
        <f t="shared" si="114"/>
        <v>-0.82740249544592648</v>
      </c>
      <c r="W16" s="585">
        <f>IF(M16="","",IF(Q16-$Q$8&lt;0,360+Q16-$Q$8,Q16-$Q$8))</f>
        <v>358.33000024111811</v>
      </c>
      <c r="X16" s="629">
        <f t="shared" si="83"/>
        <v>3.9361118713134045</v>
      </c>
      <c r="Y16" s="630">
        <f t="shared" si="223"/>
        <v>-0.82740249544592648</v>
      </c>
      <c r="Z16" s="632">
        <f t="shared" si="6"/>
        <v>0.87818013633098391</v>
      </c>
      <c r="AA16" s="629">
        <f t="shared" si="7"/>
        <v>-0.4207455006397498</v>
      </c>
      <c r="AB16" s="629">
        <f t="shared" si="8"/>
        <v>-0.22753652859508278</v>
      </c>
      <c r="AC16" s="636">
        <f t="shared" si="84"/>
        <v>1</v>
      </c>
      <c r="AD16" s="637">
        <f t="shared" si="115"/>
        <v>0.87818013633098391</v>
      </c>
      <c r="AE16" s="629">
        <f t="shared" si="85"/>
        <v>-0.4207455006397498</v>
      </c>
      <c r="AF16" s="633">
        <f t="shared" si="86"/>
        <v>-0.22753652859508278</v>
      </c>
      <c r="AG16" s="602">
        <f t="shared" si="87"/>
        <v>-61.595755288959076</v>
      </c>
      <c r="AH16" s="603">
        <f t="shared" si="88"/>
        <v>28.576392416448101</v>
      </c>
      <c r="AI16" s="585">
        <f t="shared" si="89"/>
        <v>-76.847919856601692</v>
      </c>
      <c r="AJ16" s="586">
        <f t="shared" si="90"/>
        <v>64.400420345414361</v>
      </c>
      <c r="AK16" s="635">
        <f t="shared" si="211"/>
        <v>0.89006886535084628</v>
      </c>
      <c r="AL16" s="629">
        <f t="shared" si="91"/>
        <v>-0.39497410432578517</v>
      </c>
      <c r="AM16" s="634">
        <f t="shared" si="92"/>
        <v>-0.22753652859508278</v>
      </c>
      <c r="AN16" s="581">
        <f t="shared" si="93"/>
        <v>-60.054632532531997</v>
      </c>
      <c r="AO16" s="582">
        <f t="shared" si="94"/>
        <v>27.118098254541728</v>
      </c>
      <c r="AP16" s="585">
        <f t="shared" si="95"/>
        <v>-23.929579895703746</v>
      </c>
      <c r="AQ16" s="586">
        <f t="shared" si="9"/>
        <v>0.57916265092690766</v>
      </c>
      <c r="AS16" s="52">
        <f t="shared" si="116"/>
        <v>-1.669999758881886</v>
      </c>
      <c r="AT16" s="72">
        <f t="shared" si="10"/>
        <v>-0.82624277339114738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1.1319999999999999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1111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0.14629868757587736</v>
      </c>
      <c r="C17" s="708">
        <v>4.1479333234320421</v>
      </c>
      <c r="D17" s="709">
        <v>-1.36430411474121</v>
      </c>
      <c r="E17" s="710">
        <v>-0.84651863164207264</v>
      </c>
      <c r="F17" s="708">
        <v>0.51540894512742397</v>
      </c>
      <c r="G17" s="711">
        <v>0.13326599553325352</v>
      </c>
      <c r="H17" s="710">
        <v>0.219</v>
      </c>
      <c r="I17" s="708">
        <v>0.42</v>
      </c>
      <c r="J17" s="570">
        <v>1.1379999999999999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1111</v>
      </c>
      <c r="M17" s="168">
        <f t="shared" si="1"/>
        <v>1.1379999999999999</v>
      </c>
      <c r="N17" s="632">
        <f t="shared" si="2"/>
        <v>0.14629868757587736</v>
      </c>
      <c r="O17" s="629">
        <f t="shared" si="3"/>
        <v>4.1479333234320421</v>
      </c>
      <c r="P17" s="633">
        <f t="shared" si="4"/>
        <v>-1.36430411474121</v>
      </c>
      <c r="Q17" s="585">
        <f>IF(M17="","",IF(DEGREES(ATAN2(N17,O17))&lt;0,DEGREES(ATAN2(N17,O17))+360,IF(DEGREES(ATAN2(N17,O17))&gt;360,DEGREES(ATAN2(N17,O17))-360,DEGREES(ATAN2(N17,O17)))))</f>
        <v>87.980000291651876</v>
      </c>
      <c r="R17" s="629">
        <f>IF(M17="","",SQRT(N17^2+O17^2))</f>
        <v>4.1505125179457547</v>
      </c>
      <c r="S17" s="634">
        <f>IF(M17="","",P17)</f>
        <v>-1.36430411474121</v>
      </c>
      <c r="T17" s="635">
        <f>IF(M17="","",X17*COS(RADIANS(W17)))</f>
        <v>4.1479333234320421</v>
      </c>
      <c r="U17" s="629">
        <f>IF(M17="","",X17*SIN(RADIANS(W17)))</f>
        <v>-0.14629868757587605</v>
      </c>
      <c r="V17" s="636">
        <f>IF(M17="","",Y17)</f>
        <v>-1.36430411474121</v>
      </c>
      <c r="W17" s="585">
        <f t="shared" si="224"/>
        <v>357.98000029165189</v>
      </c>
      <c r="X17" s="629">
        <f>IF(M17="","",R17)</f>
        <v>4.1505125179457547</v>
      </c>
      <c r="Y17" s="630">
        <f t="shared" si="223"/>
        <v>-1.36430411474121</v>
      </c>
      <c r="Z17" s="632">
        <f t="shared" si="6"/>
        <v>0.84651863164207264</v>
      </c>
      <c r="AA17" s="629">
        <f t="shared" si="7"/>
        <v>-0.51540894512742397</v>
      </c>
      <c r="AB17" s="629">
        <f t="shared" si="8"/>
        <v>-0.13326599553325352</v>
      </c>
      <c r="AC17" s="636">
        <f>IF(M17="","",SQRT(Z17^2+AA17^2+AB17^2))</f>
        <v>1</v>
      </c>
      <c r="AD17" s="637">
        <f>IF(M17="","",Z17*(1/SQRT(Z17^2+AA17^2+AB17^2)))</f>
        <v>0.84651863164207264</v>
      </c>
      <c r="AE17" s="629">
        <f>IF(M17="","",AA17*(1/SQRT(Z17^2+AA17^2+AB17^2)))</f>
        <v>-0.51540894512742397</v>
      </c>
      <c r="AF17" s="633">
        <f>IF(M17="","",AB17*(1/SQRT(Z17^2+AA17^2+AB17^2)))</f>
        <v>-0.13326599553325352</v>
      </c>
      <c r="AG17" s="602">
        <f>IF(M17="","",DEGREES(ATAN2(-AF17,AE17)))</f>
        <v>-75.502898873951267</v>
      </c>
      <c r="AH17" s="603">
        <f>IF(M17="","",DEGREES(ACOS(AD17)))</f>
        <v>32.164988395465642</v>
      </c>
      <c r="AI17" s="585">
        <f>IF(M17="","",DEGREES(-ACOS(-AF17)))</f>
        <v>-82.341637252197117</v>
      </c>
      <c r="AJ17" s="586">
        <f>IF(M17="","",DEGREES(ATAN2(-AE17,AD17)))</f>
        <v>58.664554844694734</v>
      </c>
      <c r="AK17" s="635">
        <f>IF(M17="","",(COS(RADIANS((90-$Q$8)-W17))*AD17)+(-SIN(RADIANS((90-$Q$8)-W17))*AE17))</f>
        <v>0.86415990262003883</v>
      </c>
      <c r="AL17" s="629">
        <f>IF(M17="","",(SIN(RADIANS((90-$Q$8)-W17))*AD17)+(COS(RADIANS((90-$Q$8)-W17))*AE17))</f>
        <v>-0.48525028298627082</v>
      </c>
      <c r="AM17" s="634">
        <f>IF(M17="","",AF17)</f>
        <v>-0.13326599553325352</v>
      </c>
      <c r="AN17" s="581">
        <f>IF(M17="","",DEGREES(ATAN2(-AM17,AL17)))</f>
        <v>-74.643271781992752</v>
      </c>
      <c r="AO17" s="582">
        <f t="shared" si="94"/>
        <v>30.213084879943374</v>
      </c>
      <c r="AP17" s="585">
        <f>IF(M17="","",DEGREES(ATAN2(AK17,AL17)))</f>
        <v>-29.315445446957153</v>
      </c>
      <c r="AQ17" s="586">
        <f t="shared" si="9"/>
        <v>0.54924706047975169</v>
      </c>
      <c r="AS17" s="52">
        <f t="shared" si="116"/>
        <v>-2.0199997083481094</v>
      </c>
      <c r="AT17" s="72">
        <f t="shared" si="10"/>
        <v>-1.3629013371659684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1.1379999999999999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1111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0.14920384015870383</v>
      </c>
      <c r="C18" s="708">
        <v>4.1683430946497628</v>
      </c>
      <c r="D18" s="709">
        <v>-1.9591059086634206</v>
      </c>
      <c r="E18" s="710">
        <v>-0.83654335954280312</v>
      </c>
      <c r="F18" s="708">
        <v>0.54371724283037681</v>
      </c>
      <c r="G18" s="711">
        <v>6.7577862157466306E-2</v>
      </c>
      <c r="H18" s="710">
        <v>0.26600000000000001</v>
      </c>
      <c r="I18" s="708">
        <v>0.52</v>
      </c>
      <c r="J18" s="570">
        <v>1.1439999999999999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1.1439999999999999</v>
      </c>
      <c r="N18" s="632">
        <f t="shared" si="2"/>
        <v>0.14920384015870383</v>
      </c>
      <c r="O18" s="629">
        <f t="shared" si="3"/>
        <v>4.1683430946497628</v>
      </c>
      <c r="P18" s="633">
        <f t="shared" si="4"/>
        <v>-1.9591059086634206</v>
      </c>
      <c r="Q18" s="585">
        <f t="shared" si="113"/>
        <v>87.950000295983344</v>
      </c>
      <c r="R18" s="629">
        <f>IF(M18="","",SQRT(N18^2+O18^2))</f>
        <v>4.171012579773941</v>
      </c>
      <c r="S18" s="634">
        <f>IF(M18="","",P18)</f>
        <v>-1.9591059086634206</v>
      </c>
      <c r="T18" s="635">
        <f>IF(M18="","",X18*COS(RADIANS(W18)))</f>
        <v>4.1683430946497628</v>
      </c>
      <c r="U18" s="629">
        <f>IF(M18="","",X18*SIN(RADIANS(W18)))</f>
        <v>-0.14920384015870344</v>
      </c>
      <c r="V18" s="636">
        <f>IF(M18="","",Y18)</f>
        <v>-1.9591059086634206</v>
      </c>
      <c r="W18" s="585">
        <f t="shared" si="224"/>
        <v>357.95000029598333</v>
      </c>
      <c r="X18" s="629">
        <f>IF(M18="","",R18)</f>
        <v>4.171012579773941</v>
      </c>
      <c r="Y18" s="630">
        <f t="shared" si="223"/>
        <v>-1.9591059086634206</v>
      </c>
      <c r="Z18" s="632">
        <f t="shared" si="6"/>
        <v>0.83654335954280312</v>
      </c>
      <c r="AA18" s="629">
        <f t="shared" si="7"/>
        <v>-0.54371724283037681</v>
      </c>
      <c r="AB18" s="629">
        <f t="shared" si="8"/>
        <v>-6.7577862157466306E-2</v>
      </c>
      <c r="AC18" s="636">
        <f>IF(M18="","",SQRT(Z18^2+AA18^2+AB18^2))</f>
        <v>1</v>
      </c>
      <c r="AD18" s="637">
        <f>IF(M18="","",Z18*(1/SQRT(Z18^2+AA18^2+AB18^2)))</f>
        <v>0.83654335954280312</v>
      </c>
      <c r="AE18" s="629">
        <f>IF(M18="","",AA18*(1/SQRT(Z18^2+AA18^2+AB18^2)))</f>
        <v>-0.54371724283037681</v>
      </c>
      <c r="AF18" s="633">
        <f>IF(M18="","",AB18*(1/SQRT(Z18^2+AA18^2+AB18^2)))</f>
        <v>-6.7577862157466306E-2</v>
      </c>
      <c r="AG18" s="602">
        <f>IF(M18="","",DEGREES(ATAN2(-AF18,AE18)))</f>
        <v>-82.915119543660126</v>
      </c>
      <c r="AH18" s="603">
        <f>IF(M18="","",DEGREES(ACOS(AD18)))</f>
        <v>33.223112995503513</v>
      </c>
      <c r="AI18" s="585">
        <f>IF(M18="","",DEGREES(-ACOS(-AF18)))</f>
        <v>-86.125120605902566</v>
      </c>
      <c r="AJ18" s="586">
        <f>IF(M18="","",DEGREES(ATAN2(-AE18,AD18)))</f>
        <v>56.977862973843983</v>
      </c>
      <c r="AK18" s="635">
        <f>IF(M18="","",(COS(RADIANS((90-$Q$8)-W18))*AD18)+(-SIN(RADIANS((90-$Q$8)-W18))*AE18))</f>
        <v>0.85545760615028776</v>
      </c>
      <c r="AL18" s="629">
        <f>IF(M18="","",(SIN(RADIANS((90-$Q$8)-W18))*AD18)+(COS(RADIANS((90-$Q$8)-W18))*AE18))</f>
        <v>-0.51344475518389088</v>
      </c>
      <c r="AM18" s="634">
        <f>IF(M18="","",AF18)</f>
        <v>-6.7577862157466306E-2</v>
      </c>
      <c r="AN18" s="581">
        <f>IF(M18="","",DEGREES(ATAN2(-AM18,AL18)))</f>
        <v>-82.50202073978609</v>
      </c>
      <c r="AO18" s="582">
        <f t="shared" si="94"/>
        <v>31.189674038065696</v>
      </c>
      <c r="AP18" s="585">
        <f>IF(M18="","",DEGREES(ATAN2(AK18,AL18)))</f>
        <v>-30.972137322139368</v>
      </c>
      <c r="AQ18" s="586">
        <f t="shared" si="9"/>
        <v>0.54654773656862787</v>
      </c>
      <c r="AS18" s="52">
        <f t="shared" si="116"/>
        <v>-2.0499997040166704</v>
      </c>
      <c r="AT18" s="72">
        <f t="shared" si="10"/>
        <v>-1.9576822977578534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1.1439999999999999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0.67564706189733603</v>
      </c>
      <c r="C19" s="708">
        <v>1.081261322599443</v>
      </c>
      <c r="D19" s="709">
        <v>-4.2700000000000016E-2</v>
      </c>
      <c r="E19" s="710">
        <v>-6.9168343744411651E-2</v>
      </c>
      <c r="F19" s="708">
        <v>-0.11069248881076245</v>
      </c>
      <c r="G19" s="711">
        <v>0.99144486137381049</v>
      </c>
      <c r="H19" s="710">
        <v>0.19500000000000001</v>
      </c>
      <c r="I19" s="708">
        <v>0.438</v>
      </c>
      <c r="J19" s="570">
        <v>1.304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Undefined</v>
      </c>
      <c r="L19" s="775" t="s">
        <v>366</v>
      </c>
      <c r="M19" s="168">
        <f t="shared" si="1"/>
        <v>1.304</v>
      </c>
      <c r="N19" s="632">
        <f t="shared" si="2"/>
        <v>0.67564706189733603</v>
      </c>
      <c r="O19" s="629">
        <f t="shared" si="3"/>
        <v>1.081261322599443</v>
      </c>
      <c r="P19" s="633">
        <f t="shared" si="4"/>
        <v>-4.2700000000000016E-2</v>
      </c>
      <c r="Q19" s="585">
        <f t="shared" si="113"/>
        <v>58.000000000000007</v>
      </c>
      <c r="R19" s="629">
        <f>IF(M19="","",SQRT(N19^2+O19^2))</f>
        <v>1.2749999999999997</v>
      </c>
      <c r="S19" s="634">
        <f>IF(M19="","",P19)</f>
        <v>-4.2700000000000016E-2</v>
      </c>
      <c r="T19" s="635">
        <f>IF(M19="","",X19*COS(RADIANS(W19)))</f>
        <v>1.0812613225994427</v>
      </c>
      <c r="U19" s="629">
        <f>IF(M19="","",X19*SIN(RADIANS(W19)))</f>
        <v>-0.67564706189733625</v>
      </c>
      <c r="V19" s="636">
        <f>IF(M19="","",Y19)</f>
        <v>-4.2700000000000016E-2</v>
      </c>
      <c r="W19" s="585">
        <f t="shared" si="224"/>
        <v>328</v>
      </c>
      <c r="X19" s="629">
        <f>IF(M19="","",R19)</f>
        <v>1.2749999999999997</v>
      </c>
      <c r="Y19" s="630">
        <f t="shared" si="223"/>
        <v>-4.2700000000000016E-2</v>
      </c>
      <c r="Z19" s="632">
        <f t="shared" si="6"/>
        <v>6.9168343744411651E-2</v>
      </c>
      <c r="AA19" s="629">
        <f t="shared" si="7"/>
        <v>0.11069248881076245</v>
      </c>
      <c r="AB19" s="629">
        <f t="shared" si="8"/>
        <v>-0.99144486137381049</v>
      </c>
      <c r="AC19" s="636">
        <f>IF(M19="","",SQRT(Z19^2+AA19^2+AB19^2))</f>
        <v>1</v>
      </c>
      <c r="AD19" s="637">
        <f>IF(M19="","",Z19*(1/SQRT(Z19^2+AA19^2+AB19^2)))</f>
        <v>6.9168343744411651E-2</v>
      </c>
      <c r="AE19" s="629">
        <f>IF(M19="","",AA19*(1/SQRT(Z19^2+AA19^2+AB19^2)))</f>
        <v>0.11069248881076245</v>
      </c>
      <c r="AF19" s="633">
        <f>IF(M19="","",AB19*(1/SQRT(Z19^2+AA19^2+AB19^2)))</f>
        <v>-0.99144486137381049</v>
      </c>
      <c r="AG19" s="602">
        <f>IF(M19="","",DEGREES(ATAN2(-AF19,AE19)))</f>
        <v>6.3705564697445132</v>
      </c>
      <c r="AH19" s="603">
        <f>IF(M19="","",DEGREES(ACOS(AD19)))</f>
        <v>86.03377895800125</v>
      </c>
      <c r="AI19" s="585">
        <f>IF(M19="","",DEGREES(-ACOS(-AF19)))</f>
        <v>-7.4999999999999662</v>
      </c>
      <c r="AJ19" s="586">
        <f>IF(M19="","",DEGREES(ATAN2(-AE19,AD19)))</f>
        <v>147.99999999999997</v>
      </c>
      <c r="AK19" s="635">
        <f>IF(M19="","",(COS(RADIANS((90-$Q$8)-W19))*AD19)+(-SIN(RADIANS((90-$Q$8)-W19))*AE19))</f>
        <v>2.0816681711721685E-17</v>
      </c>
      <c r="AL19" s="629">
        <f>IF(M19="","",(SIN(RADIANS((90-$Q$8)-W19))*AD19)+(COS(RADIANS((90-$Q$8)-W19))*AE19))</f>
        <v>0.1305261922200516</v>
      </c>
      <c r="AM19" s="634">
        <f>IF(M19="","",AF19)</f>
        <v>-0.99144486137381049</v>
      </c>
      <c r="AN19" s="581">
        <f>IF(M19="","",DEGREES(ATAN2(-AM19,AL19)))</f>
        <v>7.5000000000000009</v>
      </c>
      <c r="AO19" s="582">
        <f t="shared" si="94"/>
        <v>0</v>
      </c>
      <c r="AP19" s="585">
        <f>IF(M19="","",DEGREES(ATAN2(AK19,AL19)))</f>
        <v>90</v>
      </c>
      <c r="AQ19" s="586">
        <f t="shared" si="9"/>
        <v>1.7874407948666013</v>
      </c>
      <c r="AS19" s="52">
        <f t="shared" si="116"/>
        <v>-32</v>
      </c>
      <c r="AT19" s="72">
        <f t="shared" si="10"/>
        <v>-2.0477777777777793E-2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1.304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1.1040000000000001</v>
      </c>
      <c r="II19" s="734" cm="1">
        <f t="array" ref="II19">IFERROR(ROUND(VALUE(IF($IH19&lt;1,$IH19+LARGE((IF($M$9:$M$150="",0,$M$9:$M$150)-MOD(IF($M$9:$M$150="",0,$M$9:$M$150),1)),1),$IH19)),4),"")</f>
        <v>1.1040000000000001</v>
      </c>
      <c r="IJ19" s="533">
        <f t="shared" si="112"/>
        <v>1111</v>
      </c>
      <c r="IK19" s="533" t="str">
        <f t="shared" si="66"/>
        <v>Undefined</v>
      </c>
      <c r="IL19" s="727">
        <f t="shared" si="225"/>
        <v>32</v>
      </c>
      <c r="IM19" s="759">
        <v>0.180913880212972</v>
      </c>
      <c r="IN19" s="5">
        <f t="shared" si="226"/>
        <v>0</v>
      </c>
      <c r="IO19" s="771">
        <v>0</v>
      </c>
      <c r="IP19" s="9">
        <f t="shared" si="227"/>
        <v>-0.80480242728412077</v>
      </c>
      <c r="IQ19" s="5">
        <f t="shared" si="228"/>
        <v>-0.23680071419095397</v>
      </c>
      <c r="IR19" s="5">
        <f t="shared" si="71"/>
        <v>0.219</v>
      </c>
      <c r="IS19" s="5">
        <f t="shared" si="229"/>
        <v>0.20579268772711026</v>
      </c>
      <c r="IT19" s="727">
        <f t="shared" si="230"/>
        <v>-7.4999989171341319</v>
      </c>
      <c r="IU19" s="9">
        <f t="shared" si="231"/>
        <v>-1.2749999999999997</v>
      </c>
      <c r="IV19" s="5">
        <f t="shared" si="232"/>
        <v>-4.2700000000000016E-2</v>
      </c>
      <c r="IW19" s="5">
        <f t="shared" si="76"/>
        <v>0.19500000000000001</v>
      </c>
      <c r="IX19" s="5">
        <f t="shared" si="233"/>
        <v>0.19500000000000001</v>
      </c>
      <c r="IY19" s="762">
        <f t="shared" si="234"/>
        <v>-7.5000000000000009</v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0.70331603128069264</v>
      </c>
      <c r="C20" s="708">
        <v>1.6569087362143928</v>
      </c>
      <c r="D20" s="709">
        <v>2.640000000000034E-2</v>
      </c>
      <c r="E20" s="710">
        <v>-5.100064638354862E-2</v>
      </c>
      <c r="F20" s="708">
        <v>-0.12014999344122367</v>
      </c>
      <c r="G20" s="711">
        <v>0.99144486137381049</v>
      </c>
      <c r="H20" s="710">
        <v>0.19500000000000001</v>
      </c>
      <c r="I20" s="708">
        <v>0.438</v>
      </c>
      <c r="J20" s="570">
        <v>1.3069999999999999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Undefined</v>
      </c>
      <c r="L20" s="774">
        <f>IF($L19=$JH$22,$JH$30,IF($L19=$JI$22,$JI$30,""))</f>
        <v>0</v>
      </c>
      <c r="M20" s="168">
        <f t="shared" si="1"/>
        <v>1.3069999999999999</v>
      </c>
      <c r="N20" s="632">
        <f t="shared" si="2"/>
        <v>0.70331603128069264</v>
      </c>
      <c r="O20" s="629">
        <f t="shared" si="3"/>
        <v>1.6569087362143928</v>
      </c>
      <c r="P20" s="633">
        <f t="shared" si="4"/>
        <v>2.640000000000034E-2</v>
      </c>
      <c r="Q20" s="585">
        <f t="shared" si="113"/>
        <v>67</v>
      </c>
      <c r="R20" s="629">
        <f>IF(M20="","",SQRT(N20^2+O20^2))</f>
        <v>1.8000000000000003</v>
      </c>
      <c r="S20" s="634">
        <f>IF(M20="","",P20)</f>
        <v>2.640000000000034E-2</v>
      </c>
      <c r="T20" s="635">
        <f>IF(M20="","",X20*COS(RADIANS(W20)))</f>
        <v>1.6569087362143928</v>
      </c>
      <c r="U20" s="629">
        <f>IF(M20="","",X20*SIN(RADIANS(W20)))</f>
        <v>-0.70331603128069309</v>
      </c>
      <c r="V20" s="636">
        <f>IF(M20="","",Y20)</f>
        <v>2.640000000000034E-2</v>
      </c>
      <c r="W20" s="585">
        <f t="shared" si="224"/>
        <v>337</v>
      </c>
      <c r="X20" s="629">
        <f>IF(M20="","",R20)</f>
        <v>1.8000000000000003</v>
      </c>
      <c r="Y20" s="630">
        <f t="shared" si="223"/>
        <v>2.640000000000034E-2</v>
      </c>
      <c r="Z20" s="632">
        <f t="shared" si="6"/>
        <v>5.100064638354862E-2</v>
      </c>
      <c r="AA20" s="629">
        <f t="shared" si="7"/>
        <v>0.12014999344122367</v>
      </c>
      <c r="AB20" s="629">
        <f t="shared" si="8"/>
        <v>-0.99144486137381049</v>
      </c>
      <c r="AC20" s="636">
        <f>IF(M20="","",SQRT(Z20^2+AA20^2+AB20^2))</f>
        <v>1</v>
      </c>
      <c r="AD20" s="637">
        <f>IF(M20="","",Z20*(1/SQRT(Z20^2+AA20^2+AB20^2)))</f>
        <v>5.100064638354862E-2</v>
      </c>
      <c r="AE20" s="629">
        <f>IF(M20="","",AA20*(1/SQRT(Z20^2+AA20^2+AB20^2)))</f>
        <v>0.12014999344122367</v>
      </c>
      <c r="AF20" s="633">
        <f>IF(M20="","",AB20*(1/SQRT(Z20^2+AA20^2+AB20^2)))</f>
        <v>-0.99144486137381049</v>
      </c>
      <c r="AG20" s="602">
        <f>IF(M20="","",DEGREES(ATAN2(-AF20,AE20)))</f>
        <v>6.9097952337972286</v>
      </c>
      <c r="AH20" s="603">
        <f>IF(M20="","",DEGREES(ACOS(AD20)))</f>
        <v>87.076609952846994</v>
      </c>
      <c r="AI20" s="585">
        <f>IF(M20="","",DEGREES(-ACOS(-AF20)))</f>
        <v>-7.4999999999999662</v>
      </c>
      <c r="AJ20" s="586">
        <f>IF(M20="","",DEGREES(ATAN2(-AE20,AD20)))</f>
        <v>157</v>
      </c>
      <c r="AK20" s="635">
        <f>IF(M20="","",(COS(RADIANS((90-$Q$8)-W20))*AD20)+(-SIN(RADIANS((90-$Q$8)-W20))*AE20))</f>
        <v>-2.7755575615628914E-17</v>
      </c>
      <c r="AL20" s="629">
        <f>IF(M20="","",(SIN(RADIANS((90-$Q$8)-W20))*AD20)+(COS(RADIANS((90-$Q$8)-W20))*AE20))</f>
        <v>0.1305261922200516</v>
      </c>
      <c r="AM20" s="634">
        <f>IF(M20="","",AF20)</f>
        <v>-0.99144486137381049</v>
      </c>
      <c r="AN20" s="581">
        <f>IF(M20="","",DEGREES(ATAN2(-AM20,AL20)))</f>
        <v>7.5000000000000009</v>
      </c>
      <c r="AO20" s="582">
        <f t="shared" si="94"/>
        <v>0</v>
      </c>
      <c r="AP20" s="585">
        <f>IF(M20="","",DEGREES(ATAN2(AK20,AL20)))</f>
        <v>90.000000000000014</v>
      </c>
      <c r="AQ20" s="586">
        <f t="shared" si="9"/>
        <v>1.2663085725840573</v>
      </c>
      <c r="AS20" s="52">
        <f t="shared" si="116"/>
        <v>-23</v>
      </c>
      <c r="AT20" s="72">
        <f t="shared" si="10"/>
        <v>4.2372222222222561E-2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1.3069999999999999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1.107</v>
      </c>
      <c r="II20" s="734" cm="1">
        <f t="array" ref="II20">IFERROR(ROUND(VALUE(IF($IH20&lt;1,$IH20+LARGE((IF($M$9:$M$150="",0,$M$9:$M$150)-MOD(IF($M$9:$M$150="",0,$M$9:$M$150),1)),1),$IH20)),4),"")</f>
        <v>1.107</v>
      </c>
      <c r="IJ20" s="533">
        <f t="shared" si="112"/>
        <v>1111</v>
      </c>
      <c r="IK20" s="533" t="str">
        <f t="shared" si="66"/>
        <v>Undefined</v>
      </c>
      <c r="IL20" s="727">
        <f t="shared" si="225"/>
        <v>23</v>
      </c>
      <c r="IM20" s="759">
        <v>0.15633034236894799</v>
      </c>
      <c r="IN20" s="5">
        <f t="shared" si="226"/>
        <v>0</v>
      </c>
      <c r="IO20" s="771">
        <v>0</v>
      </c>
      <c r="IP20" s="9">
        <f t="shared" si="227"/>
        <v>-1.3610041047883799</v>
      </c>
      <c r="IQ20" s="5">
        <f t="shared" si="228"/>
        <v>-0.16360049341908836</v>
      </c>
      <c r="IR20" s="5">
        <f t="shared" si="71"/>
        <v>0.219</v>
      </c>
      <c r="IS20" s="5">
        <f t="shared" si="229"/>
        <v>0.20579268772711029</v>
      </c>
      <c r="IT20" s="727">
        <f t="shared" si="230"/>
        <v>-7.4999989171341701</v>
      </c>
      <c r="IU20" s="9">
        <f t="shared" si="231"/>
        <v>-1.8000000000000003</v>
      </c>
      <c r="IV20" s="5">
        <f t="shared" si="232"/>
        <v>2.640000000000034E-2</v>
      </c>
      <c r="IW20" s="5">
        <f t="shared" si="76"/>
        <v>0.19500000000000001</v>
      </c>
      <c r="IX20" s="5">
        <f t="shared" si="233"/>
        <v>0.19500000000000001</v>
      </c>
      <c r="IY20" s="762">
        <f t="shared" si="234"/>
        <v>-7.5000000000000009</v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2.054392555576229</v>
      </c>
      <c r="C21" s="708">
        <v>1.186102024202903</v>
      </c>
      <c r="D21" s="709">
        <v>-3.2600098321896663E-2</v>
      </c>
      <c r="E21" s="710">
        <v>-0.47501507478678401</v>
      </c>
      <c r="F21" s="708">
        <v>0.81081351894957987</v>
      </c>
      <c r="G21" s="711">
        <v>0.34196800466404048</v>
      </c>
      <c r="H21" s="710">
        <v>0.219</v>
      </c>
      <c r="I21" s="708">
        <v>0.42</v>
      </c>
      <c r="J21" s="570">
        <v>2.113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1111</v>
      </c>
      <c r="L21" s="776" t="s">
        <v>367</v>
      </c>
      <c r="M21" s="168">
        <f t="shared" si="1"/>
        <v>2.113</v>
      </c>
      <c r="N21" s="632">
        <f t="shared" si="2"/>
        <v>2.054392555576229</v>
      </c>
      <c r="O21" s="629">
        <f t="shared" si="3"/>
        <v>1.186102024202903</v>
      </c>
      <c r="P21" s="633">
        <f t="shared" si="4"/>
        <v>-3.2600098321896663E-2</v>
      </c>
      <c r="Q21" s="585">
        <f t="shared" si="113"/>
        <v>29.999956685365344</v>
      </c>
      <c r="R21" s="629">
        <f>IF(M21="","",SQRT(N21^2+O21^2))</f>
        <v>2.372207154576778</v>
      </c>
      <c r="S21" s="634">
        <f>IF(M21="","",P21)</f>
        <v>-3.2600098321896663E-2</v>
      </c>
      <c r="T21" s="635">
        <f>IF(M21="","",X21*COS(RADIANS(W21)))</f>
        <v>1.1861020242029032</v>
      </c>
      <c r="U21" s="629">
        <f>IF(M21="","",X21*SIN(RADIANS(W21)))</f>
        <v>-2.054392555576229</v>
      </c>
      <c r="V21" s="636">
        <f>IF(M21="","",Y21)</f>
        <v>-3.2600098321896663E-2</v>
      </c>
      <c r="W21" s="585">
        <f t="shared" si="224"/>
        <v>299.99995668536536</v>
      </c>
      <c r="X21" s="629">
        <f>IF(M21="","",R21)</f>
        <v>2.372207154576778</v>
      </c>
      <c r="Y21" s="630">
        <f t="shared" si="223"/>
        <v>-3.2600098321896663E-2</v>
      </c>
      <c r="Z21" s="632">
        <f t="shared" si="6"/>
        <v>0.47501507478678401</v>
      </c>
      <c r="AA21" s="629">
        <f t="shared" si="7"/>
        <v>-0.81081351894957987</v>
      </c>
      <c r="AB21" s="629">
        <f t="shared" si="8"/>
        <v>-0.34196800466404048</v>
      </c>
      <c r="AC21" s="636">
        <f>IF(M21="","",SQRT(Z21^2+AA21^2+AB21^2))</f>
        <v>1</v>
      </c>
      <c r="AD21" s="637">
        <f>IF(M21="","",Z21*(1/SQRT(Z21^2+AA21^2+AB21^2)))</f>
        <v>0.47501507478678401</v>
      </c>
      <c r="AE21" s="629">
        <f>IF(M21="","",AA21*(1/SQRT(Z21^2+AA21^2+AB21^2)))</f>
        <v>-0.81081351894957987</v>
      </c>
      <c r="AF21" s="633">
        <f>IF(M21="","",AB21*(1/SQRT(Z21^2+AA21^2+AB21^2)))</f>
        <v>-0.34196800466404048</v>
      </c>
      <c r="AG21" s="602">
        <f>IF(M21="","",DEGREES(ATAN2(-AF21,AE21)))</f>
        <v>-67.131970833103139</v>
      </c>
      <c r="AH21" s="603">
        <f>IF(M21="","",DEGREES(ACOS(AD21)))</f>
        <v>61.639668449575012</v>
      </c>
      <c r="AI21" s="585">
        <f>IF(M21="","",DEGREES(-ACOS(-AF21)))</f>
        <v>-70.003179013043805</v>
      </c>
      <c r="AJ21" s="586">
        <f>IF(M21="","",DEGREES(ATAN2(-AE21,AD21)))</f>
        <v>30.363903436670345</v>
      </c>
      <c r="AK21" s="635">
        <f>IF(M21="","",(COS(RADIANS((90-$Q$8)-W21))*AD21)+(-SIN(RADIANS((90-$Q$8)-W21))*AE21))</f>
        <v>0.93969263802333447</v>
      </c>
      <c r="AL21" s="629">
        <f>IF(M21="","",(SIN(RADIANS((90-$Q$8)-W21))*AD21)+(COS(RADIANS((90-$Q$8)-W21))*AE21))</f>
        <v>5.969072862780922E-3</v>
      </c>
      <c r="AM21" s="634">
        <f>IF(M21="","",AF21)</f>
        <v>-0.34196800466404048</v>
      </c>
      <c r="AN21" s="581">
        <f>IF(M21="","",DEGREES(ATAN2(-AM21,AL21)))</f>
        <v>0.99999985561782034</v>
      </c>
      <c r="AO21" s="582">
        <f>IF(ROUND(IF(M21="",0,DEGREES(ACOS(AK21))),4)=90,0,IF(M21="","",DEGREES(ACOS(AK21))))</f>
        <v>19.999997112357704</v>
      </c>
      <c r="AP21" s="585">
        <f>IF(M21="","",DEGREES(ATAN2(AK21,AL21)))</f>
        <v>0.36394675130499848</v>
      </c>
      <c r="AQ21" s="586">
        <f t="shared" si="9"/>
        <v>0.96092488337531567</v>
      </c>
      <c r="AS21" s="52">
        <f t="shared" si="116"/>
        <v>-60.000043314634638</v>
      </c>
      <c r="AT21" s="72">
        <f t="shared" si="10"/>
        <v>9.0665984243773895E-3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2.113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1111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2.5708672917838085</v>
      </c>
      <c r="C22" s="708">
        <v>1.462828271972797</v>
      </c>
      <c r="D22" s="709">
        <v>-9.0200272044020438E-2</v>
      </c>
      <c r="E22" s="710">
        <v>-0.34923766782078758</v>
      </c>
      <c r="F22" s="708">
        <v>0.87987733684978797</v>
      </c>
      <c r="G22" s="711">
        <v>0.32225599059322713</v>
      </c>
      <c r="H22" s="710">
        <v>0.219</v>
      </c>
      <c r="I22" s="708">
        <v>0.42</v>
      </c>
      <c r="J22" s="570">
        <v>2.1190000000000002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1111</v>
      </c>
      <c r="L22" s="1313" t="str">
        <f>IF($L21=$JH$22,$JH$30,IF($L21=$JI$22,$JI$30,""))</f>
        <v/>
      </c>
      <c r="M22" s="168">
        <f t="shared" si="1"/>
        <v>2.1190000000000002</v>
      </c>
      <c r="N22" s="632">
        <f t="shared" si="2"/>
        <v>2.5708672917838085</v>
      </c>
      <c r="O22" s="629">
        <f t="shared" si="3"/>
        <v>1.462828271972797</v>
      </c>
      <c r="P22" s="633">
        <f t="shared" si="4"/>
        <v>-9.0200272044020438E-2</v>
      </c>
      <c r="Q22" s="585">
        <f t="shared" si="113"/>
        <v>29.639956737342906</v>
      </c>
      <c r="R22" s="629">
        <f t="shared" si="79"/>
        <v>2.9579089210533058</v>
      </c>
      <c r="S22" s="634">
        <f t="shared" si="80"/>
        <v>-9.0200272044020438E-2</v>
      </c>
      <c r="T22" s="635">
        <f t="shared" si="81"/>
        <v>1.4628282719727967</v>
      </c>
      <c r="U22" s="629">
        <f t="shared" si="82"/>
        <v>-2.570867291783808</v>
      </c>
      <c r="V22" s="636">
        <f t="shared" si="114"/>
        <v>-9.0200272044020438E-2</v>
      </c>
      <c r="W22" s="585">
        <f t="shared" si="224"/>
        <v>299.63995673734291</v>
      </c>
      <c r="X22" s="629">
        <f t="shared" si="83"/>
        <v>2.9579089210533058</v>
      </c>
      <c r="Y22" s="630">
        <f t="shared" si="223"/>
        <v>-9.0200272044020438E-2</v>
      </c>
      <c r="Z22" s="632">
        <f t="shared" si="6"/>
        <v>0.34923766782078758</v>
      </c>
      <c r="AA22" s="629">
        <f t="shared" si="7"/>
        <v>-0.87987733684978797</v>
      </c>
      <c r="AB22" s="629">
        <f t="shared" si="8"/>
        <v>-0.32225599059322713</v>
      </c>
      <c r="AC22" s="636">
        <f t="shared" si="84"/>
        <v>1</v>
      </c>
      <c r="AD22" s="637">
        <f t="shared" si="115"/>
        <v>0.34923766782078758</v>
      </c>
      <c r="AE22" s="629">
        <f t="shared" si="85"/>
        <v>-0.87987733684978797</v>
      </c>
      <c r="AF22" s="633">
        <f t="shared" si="86"/>
        <v>-0.32225599059322713</v>
      </c>
      <c r="AG22" s="602">
        <f t="shared" si="87"/>
        <v>-69.884690807093506</v>
      </c>
      <c r="AH22" s="603">
        <f t="shared" si="88"/>
        <v>69.559305431602382</v>
      </c>
      <c r="AI22" s="585">
        <f t="shared" si="89"/>
        <v>-71.20058737043513</v>
      </c>
      <c r="AJ22" s="586">
        <f t="shared" si="90"/>
        <v>21.648935394690305</v>
      </c>
      <c r="AK22" s="635">
        <f t="shared" si="211"/>
        <v>0.93746044054244371</v>
      </c>
      <c r="AL22" s="629">
        <f t="shared" si="91"/>
        <v>-0.13160166771262977</v>
      </c>
      <c r="AM22" s="634">
        <f t="shared" si="92"/>
        <v>-0.32225599059322713</v>
      </c>
      <c r="AN22" s="581">
        <f t="shared" si="93"/>
        <v>-22.213934345432957</v>
      </c>
      <c r="AO22" s="582">
        <f t="shared" si="94"/>
        <v>20.370647274391292</v>
      </c>
      <c r="AP22" s="585">
        <f t="shared" si="95"/>
        <v>-7.991021342652604</v>
      </c>
      <c r="AQ22" s="586">
        <f t="shared" si="9"/>
        <v>0.7706759081201352</v>
      </c>
      <c r="AS22" s="52">
        <f t="shared" si="116"/>
        <v>-60.360043262657086</v>
      </c>
      <c r="AT22" s="72">
        <f t="shared" si="10"/>
        <v>-4.8283575333841908E-2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2.1190000000000002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1111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Nose</v>
      </c>
      <c r="JG22" s="862"/>
      <c r="JH22" s="863" t="str" cm="1">
        <f t="array" ref="JH22">IFERROR(TRANSPOSE(_xlfn._xlws.SORT(_xlfn.UNIQUE(_xlfn._xlws.FILTER($IE$9:$IE$150,$IE$9:$IE$150&lt;&gt;"")),,1)),"")</f>
        <v>Nose</v>
      </c>
      <c r="JI22" s="862"/>
    </row>
    <row r="23" spans="1:269" ht="15" customHeight="1" thickTop="1" x14ac:dyDescent="0.25">
      <c r="A23" s="79"/>
      <c r="B23" s="707">
        <v>3.0431301625344349</v>
      </c>
      <c r="C23" s="708">
        <v>1.6875259824791109</v>
      </c>
      <c r="D23" s="709">
        <v>-0.33790101910947334</v>
      </c>
      <c r="E23" s="710">
        <v>-0.22342778259242918</v>
      </c>
      <c r="F23" s="708">
        <v>0.93029985130839044</v>
      </c>
      <c r="G23" s="711">
        <v>0.29089897322166131</v>
      </c>
      <c r="H23" s="710">
        <v>0.219</v>
      </c>
      <c r="I23" s="708">
        <v>0.42</v>
      </c>
      <c r="J23" s="570">
        <v>2.125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1111</v>
      </c>
      <c r="M23" s="168">
        <f t="shared" si="1"/>
        <v>2.125</v>
      </c>
      <c r="N23" s="632">
        <f t="shared" si="2"/>
        <v>3.0431301625344349</v>
      </c>
      <c r="O23" s="629">
        <f t="shared" si="3"/>
        <v>1.6875259824791109</v>
      </c>
      <c r="P23" s="633">
        <f t="shared" si="4"/>
        <v>-0.33790101910947334</v>
      </c>
      <c r="Q23" s="585">
        <f t="shared" si="113"/>
        <v>29.009956828303636</v>
      </c>
      <c r="R23" s="629">
        <f t="shared" si="79"/>
        <v>3.4797104948068518</v>
      </c>
      <c r="S23" s="634">
        <f t="shared" si="80"/>
        <v>-0.33790101910947334</v>
      </c>
      <c r="T23" s="635">
        <f t="shared" si="81"/>
        <v>1.6875259824791118</v>
      </c>
      <c r="U23" s="629">
        <f t="shared" si="82"/>
        <v>-3.0431301625344345</v>
      </c>
      <c r="V23" s="636">
        <f t="shared" si="114"/>
        <v>-0.33790101910947334</v>
      </c>
      <c r="W23" s="585">
        <f t="shared" si="224"/>
        <v>299.00995682830364</v>
      </c>
      <c r="X23" s="629">
        <f t="shared" si="83"/>
        <v>3.4797104948068518</v>
      </c>
      <c r="Y23" s="630">
        <f t="shared" si="223"/>
        <v>-0.33790101910947334</v>
      </c>
      <c r="Z23" s="632">
        <f t="shared" si="6"/>
        <v>0.22342778259242918</v>
      </c>
      <c r="AA23" s="629">
        <f t="shared" si="7"/>
        <v>-0.93029985130839044</v>
      </c>
      <c r="AB23" s="629">
        <f t="shared" si="8"/>
        <v>-0.29089897322166131</v>
      </c>
      <c r="AC23" s="636">
        <f t="shared" si="84"/>
        <v>1</v>
      </c>
      <c r="AD23" s="637">
        <f t="shared" si="115"/>
        <v>0.22342778259242918</v>
      </c>
      <c r="AE23" s="629">
        <f t="shared" si="85"/>
        <v>-0.93029985130839044</v>
      </c>
      <c r="AF23" s="633">
        <f t="shared" si="86"/>
        <v>-0.29089897322166131</v>
      </c>
      <c r="AG23" s="602">
        <f t="shared" si="87"/>
        <v>-72.635861151329181</v>
      </c>
      <c r="AH23" s="603">
        <f t="shared" si="88"/>
        <v>77.089556664877563</v>
      </c>
      <c r="AI23" s="585">
        <f t="shared" si="89"/>
        <v>-73.088216101389818</v>
      </c>
      <c r="AJ23" s="586">
        <f t="shared" si="90"/>
        <v>13.504806891243774</v>
      </c>
      <c r="AK23" s="635">
        <f t="shared" si="211"/>
        <v>0.92193408929795206</v>
      </c>
      <c r="AL23" s="629">
        <f t="shared" si="91"/>
        <v>-0.25576419289833952</v>
      </c>
      <c r="AM23" s="634">
        <f t="shared" si="92"/>
        <v>-0.29089897322166131</v>
      </c>
      <c r="AN23" s="581">
        <f t="shared" si="93"/>
        <v>-41.32258083751811</v>
      </c>
      <c r="AO23" s="582">
        <f t="shared" si="94"/>
        <v>22.789509281965358</v>
      </c>
      <c r="AP23" s="585">
        <f t="shared" si="95"/>
        <v>-15.505149937059887</v>
      </c>
      <c r="AQ23" s="586">
        <f t="shared" si="9"/>
        <v>0.65511981149328158</v>
      </c>
      <c r="AS23" s="52">
        <f t="shared" si="116"/>
        <v>-60.990043171696357</v>
      </c>
      <c r="AT23" s="72">
        <f t="shared" si="10"/>
        <v>-0.295546822462462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2.125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1111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Undefined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6</v>
      </c>
      <c r="JG23" s="801"/>
      <c r="JH23" s="800" cm="1">
        <f t="array" ref="JH23">IF(_xlfn.ANCHORARRAY($JF$23)="","",_xlfn.MINIFS($IO$9:$IO$150,$IK$9:$IK$150,_xlfn.ANCHORARRAY($JA$23),$IE$9:$IE$150,_xlfn.ANCHORARRAY($JH$22),$II$9:$II$150,"&lt;&gt;"&amp;"",$IF$9:$IF$150,"&lt;&gt;"&amp;"Gage"))</f>
        <v>0</v>
      </c>
      <c r="JI23" s="801"/>
    </row>
    <row r="24" spans="1:269" ht="15" customHeight="1" x14ac:dyDescent="0.25">
      <c r="A24" s="79"/>
      <c r="B24" s="707">
        <v>3.4142506810519908</v>
      </c>
      <c r="C24" s="708">
        <v>1.8476156537040263</v>
      </c>
      <c r="D24" s="709">
        <v>-0.74350224240276319</v>
      </c>
      <c r="E24" s="710">
        <v>-0.10041427078595482</v>
      </c>
      <c r="F24" s="708">
        <v>0.96672483401970799</v>
      </c>
      <c r="G24" s="711">
        <v>0.23528720643522696</v>
      </c>
      <c r="H24" s="710">
        <v>0.219</v>
      </c>
      <c r="I24" s="708">
        <v>0.42</v>
      </c>
      <c r="J24" s="570">
        <v>2.1309999999999998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1111</v>
      </c>
      <c r="M24" s="168">
        <f t="shared" si="1"/>
        <v>2.1309999999999998</v>
      </c>
      <c r="N24" s="632">
        <f t="shared" si="2"/>
        <v>3.4142506810519908</v>
      </c>
      <c r="O24" s="629">
        <f t="shared" si="3"/>
        <v>1.8476156537040263</v>
      </c>
      <c r="P24" s="633">
        <f t="shared" si="4"/>
        <v>-0.74350224240276319</v>
      </c>
      <c r="Q24" s="585">
        <f t="shared" si="113"/>
        <v>28.419956913489081</v>
      </c>
      <c r="R24" s="629">
        <f t="shared" si="79"/>
        <v>3.882111708448913</v>
      </c>
      <c r="S24" s="634">
        <f t="shared" si="80"/>
        <v>-0.74350224240276319</v>
      </c>
      <c r="T24" s="635">
        <f t="shared" si="81"/>
        <v>1.847615653704026</v>
      </c>
      <c r="U24" s="629">
        <f t="shared" si="82"/>
        <v>-3.4142506810519908</v>
      </c>
      <c r="V24" s="636">
        <f t="shared" si="114"/>
        <v>-0.74350224240276319</v>
      </c>
      <c r="W24" s="585">
        <f t="shared" si="224"/>
        <v>298.4199569134891</v>
      </c>
      <c r="X24" s="629">
        <f t="shared" si="83"/>
        <v>3.882111708448913</v>
      </c>
      <c r="Y24" s="630">
        <f t="shared" si="223"/>
        <v>-0.74350224240276319</v>
      </c>
      <c r="Z24" s="632">
        <f t="shared" si="6"/>
        <v>0.10041427078595482</v>
      </c>
      <c r="AA24" s="629">
        <f t="shared" si="7"/>
        <v>-0.96672483401970799</v>
      </c>
      <c r="AB24" s="629">
        <f t="shared" si="8"/>
        <v>-0.23528720643522696</v>
      </c>
      <c r="AC24" s="636">
        <f t="shared" si="84"/>
        <v>1</v>
      </c>
      <c r="AD24" s="637">
        <f t="shared" si="115"/>
        <v>0.10041427078595482</v>
      </c>
      <c r="AE24" s="629">
        <f t="shared" si="85"/>
        <v>-0.96672483401970799</v>
      </c>
      <c r="AF24" s="633">
        <f t="shared" si="86"/>
        <v>-0.23528720643522696</v>
      </c>
      <c r="AG24" s="602">
        <f t="shared" si="87"/>
        <v>-76.32097537838294</v>
      </c>
      <c r="AH24" s="603">
        <f t="shared" si="88"/>
        <v>84.236973477868403</v>
      </c>
      <c r="AI24" s="585">
        <f t="shared" si="89"/>
        <v>-76.391446790827388</v>
      </c>
      <c r="AJ24" s="586">
        <f t="shared" si="90"/>
        <v>5.930080219282087</v>
      </c>
      <c r="AK24" s="635">
        <f>IF(M24="","",(COS(RADIANS((90-$Q$8)-W24))*AD24)+(-SIN(RADIANS((90-$Q$8)-W24))*AE24))</f>
        <v>0.89800813663189383</v>
      </c>
      <c r="AL24" s="629">
        <f t="shared" si="91"/>
        <v>-0.37178127579374026</v>
      </c>
      <c r="AM24" s="634">
        <f t="shared" si="92"/>
        <v>-0.23528720643522696</v>
      </c>
      <c r="AN24" s="581">
        <f t="shared" si="93"/>
        <v>-57.671728737355934</v>
      </c>
      <c r="AO24" s="582">
        <f t="shared" si="94"/>
        <v>26.102531554100715</v>
      </c>
      <c r="AP24" s="585">
        <f t="shared" si="95"/>
        <v>-22.489876694206988</v>
      </c>
      <c r="AQ24" s="586">
        <f t="shared" si="9"/>
        <v>0.58721824149715141</v>
      </c>
      <c r="AS24" s="52">
        <f t="shared" si="116"/>
        <v>-61.580043086510898</v>
      </c>
      <c r="AT24" s="72">
        <f t="shared" si="10"/>
        <v>-0.70073832359268617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2.1309999999999998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1111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3.6416716035312313</v>
      </c>
      <c r="C25" s="708">
        <v>1.9379384976571621</v>
      </c>
      <c r="D25" s="709">
        <v>-1.264003812235498</v>
      </c>
      <c r="E25" s="710">
        <v>1.2284938161293557E-3</v>
      </c>
      <c r="F25" s="708">
        <v>0.98914523412307176</v>
      </c>
      <c r="G25" s="711">
        <v>0.14693602898730307</v>
      </c>
      <c r="H25" s="710">
        <v>0.219</v>
      </c>
      <c r="I25" s="708">
        <v>0.42</v>
      </c>
      <c r="J25" s="570">
        <v>2.137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1111</v>
      </c>
      <c r="L25" s="320"/>
      <c r="M25" s="168">
        <f t="shared" si="1"/>
        <v>2.137</v>
      </c>
      <c r="N25" s="632">
        <f t="shared" si="2"/>
        <v>3.6416716035312313</v>
      </c>
      <c r="O25" s="629">
        <f t="shared" si="3"/>
        <v>1.9379384976571621</v>
      </c>
      <c r="P25" s="633">
        <f t="shared" si="4"/>
        <v>-1.264003812235498</v>
      </c>
      <c r="Q25" s="585">
        <f t="shared" si="113"/>
        <v>28.019956971241946</v>
      </c>
      <c r="R25" s="629">
        <f>IF(M25="","",SQRT(N25^2+O25^2))</f>
        <v>4.1252124416407243</v>
      </c>
      <c r="S25" s="634">
        <f>IF(M25="","",P25)</f>
        <v>-1.264003812235498</v>
      </c>
      <c r="T25" s="635">
        <f>IF(M25="","",X25*COS(RADIANS(W25)))</f>
        <v>1.9379384976571603</v>
      </c>
      <c r="U25" s="629">
        <f>IF(M25="","",X25*SIN(RADIANS(W25)))</f>
        <v>-3.6416716035312318</v>
      </c>
      <c r="V25" s="636">
        <f>IF(M25="","",Y25)</f>
        <v>-1.264003812235498</v>
      </c>
      <c r="W25" s="585">
        <f t="shared" si="224"/>
        <v>298.01995697124192</v>
      </c>
      <c r="X25" s="629">
        <f>IF(M25="","",R25)</f>
        <v>4.1252124416407243</v>
      </c>
      <c r="Y25" s="630">
        <f t="shared" si="223"/>
        <v>-1.264003812235498</v>
      </c>
      <c r="Z25" s="632">
        <f t="shared" si="6"/>
        <v>-1.2284938161293557E-3</v>
      </c>
      <c r="AA25" s="629">
        <f t="shared" si="7"/>
        <v>-0.98914523412307176</v>
      </c>
      <c r="AB25" s="629">
        <f t="shared" si="8"/>
        <v>-0.14693602898730307</v>
      </c>
      <c r="AC25" s="636">
        <f>IF(M25="","",SQRT(Z25^2+AA25^2+AB25^2))</f>
        <v>1</v>
      </c>
      <c r="AD25" s="637">
        <f>IF(M25="","",Z25*(1/SQRT(Z25^2+AA25^2+AB25^2)))</f>
        <v>-1.2284938161293557E-3</v>
      </c>
      <c r="AE25" s="629">
        <f>IF(M25="","",AA25*(1/SQRT(Z25^2+AA25^2+AB25^2)))</f>
        <v>-0.98914523412307176</v>
      </c>
      <c r="AF25" s="633">
        <f>IF(M25="","",AB25*(1/SQRT(Z25^2+AA25^2+AB25^2)))</f>
        <v>-0.14693602898730307</v>
      </c>
      <c r="AG25" s="602">
        <f>IF(M25="","",DEGREES(ATAN2(-AF25,AE25)))</f>
        <v>-81.550587119277807</v>
      </c>
      <c r="AH25" s="603">
        <f>IF(M25="","",DEGREES(ACOS(AD25)))</f>
        <v>90.070387528526922</v>
      </c>
      <c r="AI25" s="585">
        <f>IF(M25="","",DEGREES(-ACOS(-AF25)))</f>
        <v>-81.550593541820234</v>
      </c>
      <c r="AJ25" s="586">
        <f>IF(M25="","",DEGREES(ATAN2(-AE25,AD25)))</f>
        <v>-7.1159898671100827E-2</v>
      </c>
      <c r="AK25" s="635">
        <f>IF(M25="","",(COS(RADIANS((90-$Q$8)-W25))*AD25)+(-SIN(RADIANS((90-$Q$8)-W25))*AE25))</f>
        <v>0.87262448088178834</v>
      </c>
      <c r="AL25" s="629">
        <f>IF(M25="","",(SIN(RADIANS((90-$Q$8)-W25))*AD25)+(COS(RADIANS((90-$Q$8)-W25))*AE25))</f>
        <v>-0.4657642308628176</v>
      </c>
      <c r="AM25" s="634">
        <f>IF(M25="","",AF25)</f>
        <v>-0.14693602898730307</v>
      </c>
      <c r="AN25" s="581">
        <f>IF(M25="","",DEGREES(ATAN2(-AM25,AL25)))</f>
        <v>-72.490922607145478</v>
      </c>
      <c r="AO25" s="582">
        <f>IF(ROUND(IF(M25="",0,DEGREES(ACOS(AK25))),4)=90,0,IF(M25="","",DEGREES(ACOS(AK25))))</f>
        <v>29.234931609000888</v>
      </c>
      <c r="AP25" s="585">
        <f>IF(M25="","",DEGREES(ATAN2(AK25,AL25)))</f>
        <v>-28.091116869913019</v>
      </c>
      <c r="AQ25" s="586">
        <f t="shared" si="9"/>
        <v>0.55261540419395816</v>
      </c>
      <c r="AS25" s="52">
        <f t="shared" si="116"/>
        <v>-61.980043028758075</v>
      </c>
      <c r="AT25" s="72">
        <f t="shared" si="10"/>
        <v>-1.2209621156877493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2.137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1111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3.6844944096488481</v>
      </c>
      <c r="C26" s="708">
        <v>1.9549544459907127</v>
      </c>
      <c r="D26" s="709">
        <v>-1.8631056191265474</v>
      </c>
      <c r="E26" s="710">
        <v>5.2602018201148723E-2</v>
      </c>
      <c r="F26" s="708">
        <v>0.9963263823804891</v>
      </c>
      <c r="G26" s="711">
        <v>6.7577862157466778E-2</v>
      </c>
      <c r="H26" s="710">
        <v>0.26600000000000001</v>
      </c>
      <c r="I26" s="708">
        <v>0.52</v>
      </c>
      <c r="J26" s="570">
        <v>2.1429999999999998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843"/>
      <c r="M26" s="168">
        <f t="shared" si="1"/>
        <v>2.1429999999999998</v>
      </c>
      <c r="N26" s="632">
        <f t="shared" si="2"/>
        <v>3.6844944096488481</v>
      </c>
      <c r="O26" s="629">
        <f t="shared" si="3"/>
        <v>1.9549544459907127</v>
      </c>
      <c r="P26" s="633">
        <f t="shared" si="4"/>
        <v>-1.8631056191265474</v>
      </c>
      <c r="Q26" s="585">
        <f t="shared" si="113"/>
        <v>27.949956981348681</v>
      </c>
      <c r="R26" s="629">
        <f>IF(M26="","",SQRT(N26^2+O26^2))</f>
        <v>4.171012579773941</v>
      </c>
      <c r="S26" s="634">
        <f>IF(M26="","",P26)</f>
        <v>-1.8631056191265474</v>
      </c>
      <c r="T26" s="635">
        <f>IF(M26="","",X26*COS(RADIANS(W26)))</f>
        <v>1.9549544459907142</v>
      </c>
      <c r="U26" s="629">
        <f>IF(M26="","",X26*SIN(RADIANS(W26)))</f>
        <v>-3.6844944096488468</v>
      </c>
      <c r="V26" s="636">
        <f>IF(M26="","",Y26)</f>
        <v>-1.8631056191265474</v>
      </c>
      <c r="W26" s="585">
        <f t="shared" si="224"/>
        <v>297.94995698134869</v>
      </c>
      <c r="X26" s="629">
        <f>IF(M26="","",R26)</f>
        <v>4.171012579773941</v>
      </c>
      <c r="Y26" s="630">
        <f t="shared" si="223"/>
        <v>-1.8631056191265474</v>
      </c>
      <c r="Z26" s="632">
        <f t="shared" si="6"/>
        <v>-5.2602018201148723E-2</v>
      </c>
      <c r="AA26" s="629">
        <f t="shared" si="7"/>
        <v>-0.9963263823804891</v>
      </c>
      <c r="AB26" s="629">
        <f t="shared" si="8"/>
        <v>-6.7577862157466778E-2</v>
      </c>
      <c r="AC26" s="636">
        <f>IF(M26="","",SQRT(Z26^2+AA26^2+AB26^2))</f>
        <v>1</v>
      </c>
      <c r="AD26" s="637">
        <f>IF(M26="","",Z26*(1/SQRT(Z26^2+AA26^2+AB26^2)))</f>
        <v>-5.2602018201148723E-2</v>
      </c>
      <c r="AE26" s="629">
        <f>IF(M26="","",AA26*(1/SQRT(Z26^2+AA26^2+AB26^2)))</f>
        <v>-0.9963263823804891</v>
      </c>
      <c r="AF26" s="633">
        <f>IF(M26="","",AB26*(1/SQRT(Z26^2+AA26^2+AB26^2)))</f>
        <v>-6.7577862157466778E-2</v>
      </c>
      <c r="AG26" s="602">
        <f>IF(M26="","",DEGREES(ATAN2(-AF26,AE26)))</f>
        <v>-86.11974039104598</v>
      </c>
      <c r="AH26" s="603">
        <f>IF(M26="","",DEGREES(ACOS(AD26)))</f>
        <v>93.015265254403033</v>
      </c>
      <c r="AI26" s="585">
        <f>IF(M26="","",DEGREES(-ACOS(-AF26)))</f>
        <v>-86.125120605902524</v>
      </c>
      <c r="AJ26" s="586">
        <f>IF(M26="","",DEGREES(ATAN2(-AE26,AD26)))</f>
        <v>-3.0221803407906678</v>
      </c>
      <c r="AK26" s="635">
        <f>IF(M26="","",(COS(RADIANS((90-$Q$8)-W26))*AD26)+(-SIN(RADIANS((90-$Q$8)-W26))*AE26))</f>
        <v>0.85545760615028776</v>
      </c>
      <c r="AL26" s="629">
        <f>IF(M26="","",(SIN(RADIANS((90-$Q$8)-W26))*AD26)+(COS(RADIANS((90-$Q$8)-W26))*AE26))</f>
        <v>-0.51344475518389099</v>
      </c>
      <c r="AM26" s="634">
        <f>IF(M26="","",AF26)</f>
        <v>-6.7577862157466778E-2</v>
      </c>
      <c r="AN26" s="581">
        <f>IF(M26="","",DEGREES(ATAN2(-AM26,AL26)))</f>
        <v>-82.502020739786047</v>
      </c>
      <c r="AO26" s="582">
        <f t="shared" si="94"/>
        <v>31.189674038065696</v>
      </c>
      <c r="AP26" s="585">
        <f>IF(M26="","",DEGREES(ATAN2(AK26,AL26)))</f>
        <v>-30.972137322139375</v>
      </c>
      <c r="AQ26" s="586">
        <f t="shared" si="9"/>
        <v>0.54654773656862787</v>
      </c>
      <c r="AS26" s="52">
        <f t="shared" si="116"/>
        <v>-62.050043018651309</v>
      </c>
      <c r="AT26" s="72">
        <f t="shared" si="10"/>
        <v>-1.8200153114747062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2.1429999999999998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0.50738409611486546</v>
      </c>
      <c r="C27" s="708">
        <v>-0.3552746166493379</v>
      </c>
      <c r="D27" s="709">
        <v>-0.26120078778157579</v>
      </c>
      <c r="E27" s="710">
        <v>0.50241696951642112</v>
      </c>
      <c r="F27" s="708">
        <v>0.79535677663832438</v>
      </c>
      <c r="G27" s="711">
        <v>0.339094067476018</v>
      </c>
      <c r="H27" s="710">
        <v>0.219</v>
      </c>
      <c r="I27" s="708">
        <v>0.42</v>
      </c>
      <c r="J27" s="570">
        <v>3.1030000000000002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1111</v>
      </c>
      <c r="L27" s="320"/>
      <c r="M27" s="168">
        <f t="shared" si="1"/>
        <v>3.1030000000000002</v>
      </c>
      <c r="N27" s="632">
        <f t="shared" si="2"/>
        <v>0.50738409611486546</v>
      </c>
      <c r="O27" s="629">
        <f t="shared" si="3"/>
        <v>-0.3552746166493379</v>
      </c>
      <c r="P27" s="633">
        <f t="shared" si="4"/>
        <v>-0.26120078778157579</v>
      </c>
      <c r="Q27" s="585">
        <f t="shared" si="113"/>
        <v>324.9999660702029</v>
      </c>
      <c r="R27" s="629">
        <f t="shared" si="79"/>
        <v>0.61940186811603426</v>
      </c>
      <c r="S27" s="634">
        <f t="shared" si="80"/>
        <v>-0.26120078778157579</v>
      </c>
      <c r="T27" s="635">
        <f t="shared" si="81"/>
        <v>-0.35527461664933829</v>
      </c>
      <c r="U27" s="629">
        <f t="shared" si="82"/>
        <v>-0.50738409611486524</v>
      </c>
      <c r="V27" s="636">
        <f t="shared" si="114"/>
        <v>-0.26120078778157579</v>
      </c>
      <c r="W27" s="585">
        <f t="shared" si="224"/>
        <v>234.9999660702029</v>
      </c>
      <c r="X27" s="629">
        <f t="shared" si="83"/>
        <v>0.61940186811603426</v>
      </c>
      <c r="Y27" s="630">
        <f t="shared" si="223"/>
        <v>-0.26120078778157579</v>
      </c>
      <c r="Z27" s="632">
        <f t="shared" si="6"/>
        <v>-0.50241696951642112</v>
      </c>
      <c r="AA27" s="629">
        <f t="shared" si="7"/>
        <v>-0.79535677663832438</v>
      </c>
      <c r="AB27" s="629">
        <f t="shared" si="8"/>
        <v>-0.339094067476018</v>
      </c>
      <c r="AC27" s="636">
        <f t="shared" si="84"/>
        <v>1</v>
      </c>
      <c r="AD27" s="637">
        <f t="shared" si="115"/>
        <v>-0.50241696951642112</v>
      </c>
      <c r="AE27" s="629">
        <f t="shared" si="85"/>
        <v>-0.79535677663832438</v>
      </c>
      <c r="AF27" s="633">
        <f t="shared" si="86"/>
        <v>-0.339094067476018</v>
      </c>
      <c r="AG27" s="602">
        <f t="shared" si="87"/>
        <v>-66.909407969549108</v>
      </c>
      <c r="AH27" s="603">
        <f t="shared" si="88"/>
        <v>120.16003466123145</v>
      </c>
      <c r="AI27" s="585">
        <f t="shared" si="89"/>
        <v>-70.178310615991379</v>
      </c>
      <c r="AJ27" s="586">
        <f t="shared" si="90"/>
        <v>-32.280092029323704</v>
      </c>
      <c r="AK27" s="635">
        <f t="shared" si="211"/>
        <v>0.93969263802333458</v>
      </c>
      <c r="AL27" s="629">
        <f t="shared" si="91"/>
        <v>4.4642574380474587E-2</v>
      </c>
      <c r="AM27" s="634">
        <f t="shared" si="92"/>
        <v>-0.339094067476018</v>
      </c>
      <c r="AN27" s="581">
        <f t="shared" si="93"/>
        <v>7.4999989171341559</v>
      </c>
      <c r="AO27" s="582">
        <f t="shared" si="94"/>
        <v>19.999997112357679</v>
      </c>
      <c r="AP27" s="585">
        <f t="shared" si="95"/>
        <v>2.7199419004734122</v>
      </c>
      <c r="AQ27" s="586">
        <f t="shared" si="9"/>
        <v>3.6754791574542733</v>
      </c>
      <c r="AS27" s="52">
        <f t="shared" si="116"/>
        <v>-125.0000339297971</v>
      </c>
      <c r="AT27" s="72">
        <f t="shared" si="10"/>
        <v>-0.17439520866366115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3.1030000000000002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1111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0.96299764835750012</v>
      </c>
      <c r="C28" s="708">
        <v>-0.67429906253303495</v>
      </c>
      <c r="D28" s="709">
        <v>-0.18800056700971002</v>
      </c>
      <c r="E28" s="710">
        <v>0.50241696951642112</v>
      </c>
      <c r="F28" s="708">
        <v>0.79535677663832438</v>
      </c>
      <c r="G28" s="711">
        <v>0.339094067476018</v>
      </c>
      <c r="H28" s="710">
        <v>0.219</v>
      </c>
      <c r="I28" s="708">
        <v>0.42</v>
      </c>
      <c r="J28" s="570">
        <v>3.1059999999999999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1111</v>
      </c>
      <c r="L28" s="320"/>
      <c r="M28" s="168">
        <f t="shared" si="1"/>
        <v>3.1059999999999999</v>
      </c>
      <c r="N28" s="632">
        <f t="shared" si="2"/>
        <v>0.96299764835750012</v>
      </c>
      <c r="O28" s="629">
        <f t="shared" si="3"/>
        <v>-0.67429906253303495</v>
      </c>
      <c r="P28" s="633">
        <f t="shared" si="4"/>
        <v>-0.18800056700971002</v>
      </c>
      <c r="Q28" s="585">
        <f t="shared" si="113"/>
        <v>324.9999660702029</v>
      </c>
      <c r="R28" s="629">
        <f t="shared" si="79"/>
        <v>1.1756035456202933</v>
      </c>
      <c r="S28" s="634">
        <f t="shared" si="80"/>
        <v>-0.18800056700971002</v>
      </c>
      <c r="T28" s="635">
        <f t="shared" si="81"/>
        <v>-0.67429906253303518</v>
      </c>
      <c r="U28" s="629">
        <f t="shared" si="82"/>
        <v>-0.9629976483574999</v>
      </c>
      <c r="V28" s="636">
        <f t="shared" si="114"/>
        <v>-0.18800056700971002</v>
      </c>
      <c r="W28" s="585">
        <f t="shared" si="224"/>
        <v>234.9999660702029</v>
      </c>
      <c r="X28" s="629">
        <f t="shared" si="83"/>
        <v>1.1756035456202933</v>
      </c>
      <c r="Y28" s="630">
        <f t="shared" si="223"/>
        <v>-0.18800056700971002</v>
      </c>
      <c r="Z28" s="632">
        <f t="shared" si="6"/>
        <v>-0.50241696951642112</v>
      </c>
      <c r="AA28" s="629">
        <f t="shared" si="7"/>
        <v>-0.79535677663832438</v>
      </c>
      <c r="AB28" s="629">
        <f t="shared" si="8"/>
        <v>-0.339094067476018</v>
      </c>
      <c r="AC28" s="636">
        <f t="shared" si="84"/>
        <v>1</v>
      </c>
      <c r="AD28" s="637">
        <f t="shared" si="115"/>
        <v>-0.50241696951642112</v>
      </c>
      <c r="AE28" s="629">
        <f t="shared" si="85"/>
        <v>-0.79535677663832438</v>
      </c>
      <c r="AF28" s="633">
        <f t="shared" si="86"/>
        <v>-0.339094067476018</v>
      </c>
      <c r="AG28" s="602">
        <f t="shared" si="87"/>
        <v>-66.909407969549108</v>
      </c>
      <c r="AH28" s="603">
        <f t="shared" si="88"/>
        <v>120.16003466123145</v>
      </c>
      <c r="AI28" s="585">
        <f t="shared" si="89"/>
        <v>-70.178310615991379</v>
      </c>
      <c r="AJ28" s="586">
        <f t="shared" si="90"/>
        <v>-32.280092029323704</v>
      </c>
      <c r="AK28" s="635">
        <f t="shared" si="211"/>
        <v>0.93969263802333458</v>
      </c>
      <c r="AL28" s="629">
        <f t="shared" si="91"/>
        <v>4.4642574380474587E-2</v>
      </c>
      <c r="AM28" s="634">
        <f t="shared" si="92"/>
        <v>-0.339094067476018</v>
      </c>
      <c r="AN28" s="581">
        <f t="shared" si="93"/>
        <v>7.4999989171341559</v>
      </c>
      <c r="AO28" s="582">
        <f t="shared" si="94"/>
        <v>19.999997112357679</v>
      </c>
      <c r="AP28" s="585">
        <f t="shared" si="95"/>
        <v>2.7199419004734122</v>
      </c>
      <c r="AQ28" s="586">
        <f t="shared" si="9"/>
        <v>1.9384568511906815</v>
      </c>
      <c r="AS28" s="52">
        <f t="shared" si="116"/>
        <v>-125.0000339297971</v>
      </c>
      <c r="AT28" s="72">
        <f t="shared" si="10"/>
        <v>-0.10119498789179536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3.1059999999999999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1111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1.4185292851826157</v>
      </c>
      <c r="C29" s="708">
        <v>-0.99326615055159706</v>
      </c>
      <c r="D29" s="709">
        <v>-0.1148003462378442</v>
      </c>
      <c r="E29" s="710">
        <v>0.50241696951642134</v>
      </c>
      <c r="F29" s="708">
        <v>0.79535677663832427</v>
      </c>
      <c r="G29" s="711">
        <v>0.33909406747601806</v>
      </c>
      <c r="H29" s="710">
        <v>0.219</v>
      </c>
      <c r="I29" s="708">
        <v>0.42</v>
      </c>
      <c r="J29" s="570">
        <v>3.109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1111</v>
      </c>
      <c r="L29" s="320"/>
      <c r="M29" s="168">
        <f t="shared" si="1"/>
        <v>3.109</v>
      </c>
      <c r="N29" s="632">
        <f t="shared" si="2"/>
        <v>1.4185292851826157</v>
      </c>
      <c r="O29" s="629">
        <f t="shared" si="3"/>
        <v>-0.99326615055159706</v>
      </c>
      <c r="P29" s="633">
        <f t="shared" si="4"/>
        <v>-0.1148003462378442</v>
      </c>
      <c r="Q29" s="585">
        <f t="shared" si="113"/>
        <v>324.99996607020285</v>
      </c>
      <c r="R29" s="629">
        <f>IF(M29="","",SQRT(N29^2+O29^2))</f>
        <v>1.7317052228229521</v>
      </c>
      <c r="S29" s="634">
        <f>IF(M29="","",P29)</f>
        <v>-0.1148003462378442</v>
      </c>
      <c r="T29" s="635">
        <f>IF(M29="","",X29*COS(RADIANS(W29)))</f>
        <v>-0.99326615055159828</v>
      </c>
      <c r="U29" s="629">
        <f>IF(M29="","",X29*SIN(RADIANS(W29)))</f>
        <v>-1.4185292851826148</v>
      </c>
      <c r="V29" s="636">
        <f>IF(M29="","",Y29)</f>
        <v>-0.1148003462378442</v>
      </c>
      <c r="W29" s="585">
        <f t="shared" si="224"/>
        <v>234.99996607020285</v>
      </c>
      <c r="X29" s="629">
        <f>IF(M29="","",R29)</f>
        <v>1.7317052228229521</v>
      </c>
      <c r="Y29" s="630">
        <f t="shared" si="223"/>
        <v>-0.1148003462378442</v>
      </c>
      <c r="Z29" s="632">
        <f t="shared" si="6"/>
        <v>-0.50241696951642134</v>
      </c>
      <c r="AA29" s="629">
        <f t="shared" si="7"/>
        <v>-0.79535677663832427</v>
      </c>
      <c r="AB29" s="629">
        <f t="shared" si="8"/>
        <v>-0.33909406747601806</v>
      </c>
      <c r="AC29" s="636">
        <f>IF(M29="","",SQRT(Z29^2+AA29^2+AB29^2))</f>
        <v>1</v>
      </c>
      <c r="AD29" s="637">
        <f>IF(M29="","",Z29*(1/SQRT(Z29^2+AA29^2+AB29^2)))</f>
        <v>-0.50241696951642134</v>
      </c>
      <c r="AE29" s="629">
        <f>IF(M29="","",AA29*(1/SQRT(Z29^2+AA29^2+AB29^2)))</f>
        <v>-0.79535677663832427</v>
      </c>
      <c r="AF29" s="633">
        <f>IF(M29="","",AB29*(1/SQRT(Z29^2+AA29^2+AB29^2)))</f>
        <v>-0.33909406747601806</v>
      </c>
      <c r="AG29" s="602">
        <f>IF(M29="","",DEGREES(ATAN2(-AF29,AE29)))</f>
        <v>-66.909407969549108</v>
      </c>
      <c r="AH29" s="603">
        <f>IF(M29="","",DEGREES(ACOS(AD29)))</f>
        <v>120.16003466123148</v>
      </c>
      <c r="AI29" s="585">
        <f>IF(M29="","",DEGREES(-ACOS(-AF29)))</f>
        <v>-70.178310615991379</v>
      </c>
      <c r="AJ29" s="586">
        <f>IF(M29="","",DEGREES(ATAN2(-AE29,AD29)))</f>
        <v>-32.280092029323725</v>
      </c>
      <c r="AK29" s="635">
        <f>IF(M29="","",(COS(RADIANS((90-$Q$8)-W29))*AD29)+(-SIN(RADIANS((90-$Q$8)-W29))*AE29))</f>
        <v>0.93969263802333458</v>
      </c>
      <c r="AL29" s="629">
        <f>IF(M29="","",(SIN(RADIANS((90-$Q$8)-W29))*AD29)+(COS(RADIANS((90-$Q$8)-W29))*AE29))</f>
        <v>4.4642574380475253E-2</v>
      </c>
      <c r="AM29" s="634">
        <f>IF(M29="","",AF29)</f>
        <v>-0.33909406747601806</v>
      </c>
      <c r="AN29" s="581">
        <f>IF(M29="","",DEGREES(ATAN2(-AM29,AL29)))</f>
        <v>7.499998917134266</v>
      </c>
      <c r="AO29" s="582">
        <f t="shared" si="94"/>
        <v>19.999997112357679</v>
      </c>
      <c r="AP29" s="585">
        <f>IF(M29="","",DEGREES(ATAN2(AK29,AL29)))</f>
        <v>2.7199419004734526</v>
      </c>
      <c r="AQ29" s="586">
        <f t="shared" si="9"/>
        <v>1.3162318585952943</v>
      </c>
      <c r="AS29" s="52">
        <f t="shared" si="116"/>
        <v>-125.00003392979715</v>
      </c>
      <c r="AT29" s="72">
        <f t="shared" si="10"/>
        <v>-2.7994767119929501E-2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3.109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1111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1.8741428374252511</v>
      </c>
      <c r="C30" s="708">
        <v>-1.3122905964352942</v>
      </c>
      <c r="D30" s="709">
        <v>-4.1600125465978292E-2</v>
      </c>
      <c r="E30" s="710">
        <v>0.5267653278693456</v>
      </c>
      <c r="F30" s="708">
        <v>0.77830785108840406</v>
      </c>
      <c r="G30" s="711">
        <v>0.34169456871430015</v>
      </c>
      <c r="H30" s="710">
        <v>0.219</v>
      </c>
      <c r="I30" s="708">
        <v>0.42</v>
      </c>
      <c r="J30" s="570">
        <v>3.1120000000000001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1111</v>
      </c>
      <c r="L30" s="320"/>
      <c r="M30" s="168">
        <f t="shared" si="1"/>
        <v>3.1120000000000001</v>
      </c>
      <c r="N30" s="632">
        <f t="shared" si="2"/>
        <v>1.8741428374252511</v>
      </c>
      <c r="O30" s="629">
        <f t="shared" si="3"/>
        <v>-1.3122905964352942</v>
      </c>
      <c r="P30" s="633">
        <f t="shared" si="4"/>
        <v>-4.1600125465978292E-2</v>
      </c>
      <c r="Q30" s="585">
        <f t="shared" si="113"/>
        <v>324.9999660702029</v>
      </c>
      <c r="R30" s="629">
        <f>IF(M30="","",SQRT(N30^2+O30^2))</f>
        <v>2.2879069003272119</v>
      </c>
      <c r="S30" s="634">
        <f>IF(M30="","",P30)</f>
        <v>-4.1600125465978292E-2</v>
      </c>
      <c r="T30" s="635">
        <f>IF(M30="","",X30*COS(RADIANS(W30)))</f>
        <v>-1.3122905964352942</v>
      </c>
      <c r="U30" s="629">
        <f>IF(M30="","",X30*SIN(RADIANS(W30)))</f>
        <v>-1.8741428374252509</v>
      </c>
      <c r="V30" s="636">
        <f>IF(M30="","",Y30)</f>
        <v>-4.1600125465978292E-2</v>
      </c>
      <c r="W30" s="585">
        <f t="shared" si="224"/>
        <v>234.9999660702029</v>
      </c>
      <c r="X30" s="629">
        <f>IF(M30="","",R30)</f>
        <v>2.2879069003272119</v>
      </c>
      <c r="Y30" s="630">
        <f t="shared" si="223"/>
        <v>-4.1600125465978292E-2</v>
      </c>
      <c r="Z30" s="632">
        <f t="shared" si="6"/>
        <v>-0.5267653278693456</v>
      </c>
      <c r="AA30" s="629">
        <f t="shared" si="7"/>
        <v>-0.77830785108840406</v>
      </c>
      <c r="AB30" s="629">
        <f t="shared" si="8"/>
        <v>-0.34169456871430015</v>
      </c>
      <c r="AC30" s="636">
        <f>IF(M30="","",SQRT(Z30^2+AA30^2+AB30^2))</f>
        <v>1</v>
      </c>
      <c r="AD30" s="637">
        <f>IF(M30="","",Z30*(1/SQRT(Z30^2+AA30^2+AB30^2)))</f>
        <v>-0.5267653278693456</v>
      </c>
      <c r="AE30" s="629">
        <f>IF(M30="","",AA30*(1/SQRT(Z30^2+AA30^2+AB30^2)))</f>
        <v>-0.77830785108840406</v>
      </c>
      <c r="AF30" s="633">
        <f>IF(M30="","",AB30*(1/SQRT(Z30^2+AA30^2+AB30^2)))</f>
        <v>-0.34169456871430015</v>
      </c>
      <c r="AG30" s="602">
        <f>IF(M30="","",DEGREES(ATAN2(-AF30,AE30)))</f>
        <v>-66.297450395687662</v>
      </c>
      <c r="AH30" s="603">
        <f>IF(M30="","",DEGREES(ACOS(AD30)))</f>
        <v>121.78716045770062</v>
      </c>
      <c r="AI30" s="585">
        <f>IF(M30="","",DEGREES(-ACOS(-AF30)))</f>
        <v>-70.019849975488725</v>
      </c>
      <c r="AJ30" s="586">
        <f>IF(M30="","",DEGREES(ATAN2(-AE30,AD30)))</f>
        <v>-34.090473732625696</v>
      </c>
      <c r="AK30" s="635">
        <f>IF(M30="","",(COS(RADIANS((90-$Q$8)-W30))*AD30)+(-SIN(RADIANS((90-$Q$8)-W30))*AE30))</f>
        <v>0.93969263802333458</v>
      </c>
      <c r="AL30" s="629">
        <f>IF(M30="","",(SIN(RADIANS((90-$Q$8)-W30))*AD30)+(COS(RADIANS((90-$Q$8)-W30))*AE30))</f>
        <v>1.4918704900052704E-2</v>
      </c>
      <c r="AM30" s="634">
        <f>IF(M30="","",AF30)</f>
        <v>-0.34169456871430015</v>
      </c>
      <c r="AN30" s="581">
        <f>IF(M30="","",DEGREES(ATAN2(-AM30,AL30)))</f>
        <v>2.499999639044685</v>
      </c>
      <c r="AO30" s="582">
        <f>IF(ROUND(IF(M30="",0,DEGREES(ACOS(AK30))),4)=90,0,IF(M30="","",DEGREES(ACOS(AK30))))</f>
        <v>19.999997112357679</v>
      </c>
      <c r="AP30" s="585">
        <f>IF(M30="","",DEGREES(ATAN2(AK30,AL30)))</f>
        <v>0.90956019717141534</v>
      </c>
      <c r="AQ30" s="586">
        <f t="shared" si="9"/>
        <v>0.99632412672833082</v>
      </c>
      <c r="AS30" s="52">
        <f t="shared" si="116"/>
        <v>-125.0000339297971</v>
      </c>
      <c r="AT30" s="72">
        <f t="shared" si="10"/>
        <v>4.5205453651936366E-2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3.1120000000000001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1111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2.3367391192226057</v>
      </c>
      <c r="C31" s="708">
        <v>-1.6526693894268423</v>
      </c>
      <c r="D31" s="709">
        <v>-6.6100199358201342E-2</v>
      </c>
      <c r="E31" s="710">
        <v>0.63182275307218705</v>
      </c>
      <c r="F31" s="708">
        <v>0.70189586248794567</v>
      </c>
      <c r="G31" s="711">
        <v>0.32884982427026654</v>
      </c>
      <c r="H31" s="710">
        <v>0.219</v>
      </c>
      <c r="I31" s="708">
        <v>0.42</v>
      </c>
      <c r="J31" s="570">
        <v>3.1179999999999999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1111</v>
      </c>
      <c r="L31" s="320"/>
      <c r="M31" s="168">
        <f t="shared" si="1"/>
        <v>3.1179999999999999</v>
      </c>
      <c r="N31" s="632">
        <f t="shared" si="2"/>
        <v>2.3367391192226057</v>
      </c>
      <c r="O31" s="629">
        <f t="shared" si="3"/>
        <v>-1.6526693894268423</v>
      </c>
      <c r="P31" s="633">
        <f t="shared" si="4"/>
        <v>-6.6100199358201342E-2</v>
      </c>
      <c r="Q31" s="585">
        <f t="shared" si="113"/>
        <v>324.72996610918608</v>
      </c>
      <c r="R31" s="629">
        <f>IF(M31="","",SQRT(N31^2+O31^2))</f>
        <v>2.8621086321196354</v>
      </c>
      <c r="S31" s="634">
        <f>IF(M31="","",P31)</f>
        <v>-6.6100199358201342E-2</v>
      </c>
      <c r="T31" s="635">
        <f>IF(M31="","",X31*COS(RADIANS(W31)))</f>
        <v>-1.6526693894268418</v>
      </c>
      <c r="U31" s="629">
        <f>IF(M31="","",X31*SIN(RADIANS(W31)))</f>
        <v>-2.3367391192226061</v>
      </c>
      <c r="V31" s="636">
        <f>IF(M31="","",Y31)</f>
        <v>-6.6100199358201342E-2</v>
      </c>
      <c r="W31" s="585">
        <f t="shared" si="224"/>
        <v>234.72996610918608</v>
      </c>
      <c r="X31" s="629">
        <f>IF(M31="","",R31)</f>
        <v>2.8621086321196354</v>
      </c>
      <c r="Y31" s="630">
        <f t="shared" si="223"/>
        <v>-6.6100199358201342E-2</v>
      </c>
      <c r="Z31" s="632">
        <f t="shared" si="6"/>
        <v>-0.63182275307218705</v>
      </c>
      <c r="AA31" s="629">
        <f t="shared" si="7"/>
        <v>-0.70189586248794567</v>
      </c>
      <c r="AB31" s="629">
        <f t="shared" si="8"/>
        <v>-0.32884982427026654</v>
      </c>
      <c r="AC31" s="636">
        <f>IF(M31="","",SQRT(Z31^2+AA31^2+AB31^2))</f>
        <v>1</v>
      </c>
      <c r="AD31" s="637">
        <f>IF(M31="","",Z31*(1/SQRT(Z31^2+AA31^2+AB31^2)))</f>
        <v>-0.63182275307218705</v>
      </c>
      <c r="AE31" s="629">
        <f>IF(M31="","",AA31*(1/SQRT(Z31^2+AA31^2+AB31^2)))</f>
        <v>-0.70189586248794567</v>
      </c>
      <c r="AF31" s="633">
        <f>IF(M31="","",AB31*(1/SQRT(Z31^2+AA31^2+AB31^2)))</f>
        <v>-0.32884982427026654</v>
      </c>
      <c r="AG31" s="602">
        <f>IF(M31="","",DEGREES(ATAN2(-AF31,AE31)))</f>
        <v>-64.896132490240547</v>
      </c>
      <c r="AH31" s="603">
        <f>IF(M31="","",DEGREES(ACOS(AD31)))</f>
        <v>129.18473034620359</v>
      </c>
      <c r="AI31" s="585">
        <f>IF(M31="","",DEGREES(-ACOS(-AF31)))</f>
        <v>-70.801020624272752</v>
      </c>
      <c r="AJ31" s="586">
        <f>IF(M31="","",DEGREES(ATAN2(-AE31,AD31)))</f>
        <v>-41.992465105060397</v>
      </c>
      <c r="AK31" s="635">
        <f>IF(M31="","",(COS(RADIANS((90-$Q$8)-W31))*AD31)+(-SIN(RADIANS((90-$Q$8)-W31))*AE31))</f>
        <v>0.93788950318558917</v>
      </c>
      <c r="AL31" s="629">
        <f>IF(M31="","",(SIN(RADIANS((90-$Q$8)-W31))*AD31)+(COS(RADIANS((90-$Q$8)-W31))*AE31))</f>
        <v>-0.11054896151345639</v>
      </c>
      <c r="AM31" s="634">
        <f>IF(M31="","",AF31)</f>
        <v>-0.32884982427026654</v>
      </c>
      <c r="AN31" s="581">
        <f>IF(M31="","",DEGREES(ATAN2(-AM31,AL31)))</f>
        <v>-18.581024504264068</v>
      </c>
      <c r="AO31" s="582">
        <f t="shared" si="94"/>
        <v>20.299906100901183</v>
      </c>
      <c r="AP31" s="585">
        <f>IF(M31="","",DEGREES(ATAN2(AK31,AL31)))</f>
        <v>-6.7224312142464591</v>
      </c>
      <c r="AQ31" s="586">
        <f t="shared" si="9"/>
        <v>0.7964686460019833</v>
      </c>
      <c r="AS31" s="52">
        <f t="shared" si="116"/>
        <v>-125.27003389081392</v>
      </c>
      <c r="AT31" s="72">
        <f t="shared" si="10"/>
        <v>2.0892879732641659E-2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3.1179999999999999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1111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2.754682413733847</v>
      </c>
      <c r="C32" s="708">
        <v>-1.9925949316149565</v>
      </c>
      <c r="D32" s="709">
        <v>-0.28420085714978538</v>
      </c>
      <c r="E32" s="710">
        <v>0.7332081033430341</v>
      </c>
      <c r="F32" s="708">
        <v>0.60816140009241937</v>
      </c>
      <c r="G32" s="711">
        <v>0.30421306452836439</v>
      </c>
      <c r="H32" s="710">
        <v>0.219</v>
      </c>
      <c r="I32" s="708">
        <v>0.42</v>
      </c>
      <c r="J32" s="570">
        <v>3.1240000000000001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1111</v>
      </c>
      <c r="L32" s="320"/>
      <c r="M32" s="168">
        <f t="shared" si="1"/>
        <v>3.1240000000000001</v>
      </c>
      <c r="N32" s="632">
        <f t="shared" si="2"/>
        <v>2.754682413733847</v>
      </c>
      <c r="O32" s="629">
        <f t="shared" si="3"/>
        <v>-1.9925949316149565</v>
      </c>
      <c r="P32" s="633">
        <f t="shared" si="4"/>
        <v>-0.28420085714978538</v>
      </c>
      <c r="Q32" s="585">
        <f t="shared" si="113"/>
        <v>324.11996619725915</v>
      </c>
      <c r="R32" s="629">
        <f t="shared" si="79"/>
        <v>3.3998102538277259</v>
      </c>
      <c r="S32" s="634">
        <f t="shared" si="80"/>
        <v>-0.28420085714978538</v>
      </c>
      <c r="T32" s="635">
        <f t="shared" si="81"/>
        <v>-1.9925949316149567</v>
      </c>
      <c r="U32" s="629">
        <f t="shared" si="82"/>
        <v>-2.7546824137338466</v>
      </c>
      <c r="V32" s="636">
        <f t="shared" si="114"/>
        <v>-0.28420085714978538</v>
      </c>
      <c r="W32" s="585">
        <f t="shared" si="224"/>
        <v>234.11996619725915</v>
      </c>
      <c r="X32" s="629">
        <f t="shared" si="83"/>
        <v>3.3998102538277259</v>
      </c>
      <c r="Y32" s="630">
        <f t="shared" si="223"/>
        <v>-0.28420085714978538</v>
      </c>
      <c r="Z32" s="632">
        <f t="shared" si="6"/>
        <v>-0.7332081033430341</v>
      </c>
      <c r="AA32" s="629">
        <f t="shared" si="7"/>
        <v>-0.60816140009241937</v>
      </c>
      <c r="AB32" s="629">
        <f t="shared" si="8"/>
        <v>-0.30421306452836439</v>
      </c>
      <c r="AC32" s="636">
        <f t="shared" si="84"/>
        <v>1</v>
      </c>
      <c r="AD32" s="637">
        <f t="shared" si="115"/>
        <v>-0.7332081033430341</v>
      </c>
      <c r="AE32" s="629">
        <f t="shared" si="85"/>
        <v>-0.60816140009241937</v>
      </c>
      <c r="AF32" s="633">
        <f t="shared" si="86"/>
        <v>-0.30421306452836439</v>
      </c>
      <c r="AG32" s="602">
        <f t="shared" si="87"/>
        <v>-63.424973489509277</v>
      </c>
      <c r="AH32" s="603">
        <f t="shared" si="88"/>
        <v>137.15601926205875</v>
      </c>
      <c r="AI32" s="585">
        <f t="shared" si="89"/>
        <v>-72.289173743264854</v>
      </c>
      <c r="AJ32" s="586">
        <f t="shared" si="90"/>
        <v>-50.325900839732768</v>
      </c>
      <c r="AK32" s="635">
        <f t="shared" si="211"/>
        <v>0.92248626538956469</v>
      </c>
      <c r="AL32" s="629">
        <f t="shared" si="91"/>
        <v>-0.23764154000905419</v>
      </c>
      <c r="AM32" s="634">
        <f t="shared" si="92"/>
        <v>-0.30421306452836439</v>
      </c>
      <c r="AN32" s="581">
        <f t="shared" si="93"/>
        <v>-37.995818164046078</v>
      </c>
      <c r="AO32" s="582">
        <f t="shared" si="94"/>
        <v>22.707693126070559</v>
      </c>
      <c r="AP32" s="585">
        <f t="shared" si="95"/>
        <v>-14.44586703699189</v>
      </c>
      <c r="AQ32" s="586">
        <f t="shared" si="9"/>
        <v>0.67051464319304444</v>
      </c>
      <c r="AS32" s="52">
        <f t="shared" si="116"/>
        <v>-125.88003380274085</v>
      </c>
      <c r="AT32" s="72">
        <f t="shared" si="10"/>
        <v>-0.19678416700899312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3.1240000000000001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1111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3.0753231278509241</v>
      </c>
      <c r="C33" s="708">
        <v>-2.2756222080870381</v>
      </c>
      <c r="D33" s="709">
        <v>-0.66630200956686092</v>
      </c>
      <c r="E33" s="710">
        <v>0.8226899251767702</v>
      </c>
      <c r="F33" s="708">
        <v>0.50896774336223594</v>
      </c>
      <c r="G33" s="711">
        <v>0.25324518402013818</v>
      </c>
      <c r="H33" s="710">
        <v>0.219</v>
      </c>
      <c r="I33" s="708">
        <v>0.42</v>
      </c>
      <c r="J33" s="570">
        <v>3.13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1111</v>
      </c>
      <c r="L33" s="320"/>
      <c r="M33" s="168">
        <f t="shared" si="1"/>
        <v>3.13</v>
      </c>
      <c r="N33" s="632">
        <f t="shared" si="2"/>
        <v>3.0753231278509241</v>
      </c>
      <c r="O33" s="629">
        <f t="shared" si="3"/>
        <v>-2.2756222080870381</v>
      </c>
      <c r="P33" s="633">
        <f t="shared" si="4"/>
        <v>-0.66630200956686092</v>
      </c>
      <c r="Q33" s="585">
        <f t="shared" si="113"/>
        <v>323.49996628677604</v>
      </c>
      <c r="R33" s="629">
        <f t="shared" si="79"/>
        <v>3.8257115383459999</v>
      </c>
      <c r="S33" s="634">
        <f t="shared" si="80"/>
        <v>-0.66630200956686092</v>
      </c>
      <c r="T33" s="635">
        <f t="shared" si="81"/>
        <v>-2.2756222080870381</v>
      </c>
      <c r="U33" s="629">
        <f t="shared" si="82"/>
        <v>-3.0753231278509241</v>
      </c>
      <c r="V33" s="636">
        <f t="shared" si="114"/>
        <v>-0.66630200956686092</v>
      </c>
      <c r="W33" s="585">
        <f t="shared" si="224"/>
        <v>233.49996628677604</v>
      </c>
      <c r="X33" s="629">
        <f t="shared" si="83"/>
        <v>3.8257115383459999</v>
      </c>
      <c r="Y33" s="630">
        <f t="shared" si="223"/>
        <v>-0.66630200956686092</v>
      </c>
      <c r="Z33" s="632">
        <f t="shared" si="6"/>
        <v>-0.8226899251767702</v>
      </c>
      <c r="AA33" s="629">
        <f t="shared" si="7"/>
        <v>-0.50896774336223594</v>
      </c>
      <c r="AB33" s="629">
        <f t="shared" si="8"/>
        <v>-0.25324518402013818</v>
      </c>
      <c r="AC33" s="636">
        <f t="shared" si="84"/>
        <v>1</v>
      </c>
      <c r="AD33" s="637">
        <f t="shared" si="115"/>
        <v>-0.8226899251767702</v>
      </c>
      <c r="AE33" s="629">
        <f t="shared" si="85"/>
        <v>-0.50896774336223594</v>
      </c>
      <c r="AF33" s="633">
        <f t="shared" si="86"/>
        <v>-0.25324518402013818</v>
      </c>
      <c r="AG33" s="602">
        <f t="shared" si="87"/>
        <v>-63.546611133228815</v>
      </c>
      <c r="AH33" s="603">
        <f t="shared" si="88"/>
        <v>145.35497922872523</v>
      </c>
      <c r="AI33" s="585">
        <f t="shared" si="89"/>
        <v>-75.330371089004942</v>
      </c>
      <c r="AJ33" s="586">
        <f t="shared" si="90"/>
        <v>-58.256458077588505</v>
      </c>
      <c r="AK33" s="635">
        <f t="shared" si="211"/>
        <v>0.89849213725084087</v>
      </c>
      <c r="AL33" s="629">
        <f t="shared" si="91"/>
        <v>-0.3585788003619606</v>
      </c>
      <c r="AM33" s="634">
        <f t="shared" si="92"/>
        <v>-0.25324518402013818</v>
      </c>
      <c r="AN33" s="581">
        <f t="shared" si="93"/>
        <v>-54.76846677082748</v>
      </c>
      <c r="AO33" s="582">
        <f t="shared" si="94"/>
        <v>26.039432156984713</v>
      </c>
      <c r="AP33" s="585">
        <f t="shared" si="95"/>
        <v>-21.756424364364559</v>
      </c>
      <c r="AQ33" s="586">
        <f t="shared" si="9"/>
        <v>0.59587462807227753</v>
      </c>
      <c r="AS33" s="52">
        <f t="shared" si="116"/>
        <v>-126.50003371322396</v>
      </c>
      <c r="AT33" s="72">
        <f t="shared" si="10"/>
        <v>-0.57845476393267758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3.13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1111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3.2757474515127676</v>
      </c>
      <c r="C34" s="708">
        <v>-2.4621869016062585</v>
      </c>
      <c r="D34" s="709">
        <v>-1.1715035332546564</v>
      </c>
      <c r="E34" s="710">
        <v>0.89038563780192348</v>
      </c>
      <c r="F34" s="708">
        <v>0.42274026814745358</v>
      </c>
      <c r="G34" s="711">
        <v>0.16883151862931564</v>
      </c>
      <c r="H34" s="710">
        <v>0.219</v>
      </c>
      <c r="I34" s="708">
        <v>0.42</v>
      </c>
      <c r="J34" s="570">
        <v>3.1360000000000001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1111</v>
      </c>
      <c r="L34" s="320"/>
      <c r="M34" s="168">
        <f t="shared" si="1"/>
        <v>3.1360000000000001</v>
      </c>
      <c r="N34" s="632">
        <f t="shared" si="2"/>
        <v>3.2757474515127676</v>
      </c>
      <c r="O34" s="629">
        <f t="shared" si="3"/>
        <v>-2.4621869016062585</v>
      </c>
      <c r="P34" s="633">
        <f t="shared" si="4"/>
        <v>-1.1715035332546564</v>
      </c>
      <c r="Q34" s="585">
        <f t="shared" si="113"/>
        <v>323.06996634886036</v>
      </c>
      <c r="R34" s="629">
        <f>IF(M34="","",SQRT(N34^2+O34^2))</f>
        <v>4.0979123593036757</v>
      </c>
      <c r="S34" s="634">
        <f>IF(M34="","",P34)</f>
        <v>-1.1715035332546564</v>
      </c>
      <c r="T34" s="635">
        <f>IF(M34="","",X34*COS(RADIANS(W34)))</f>
        <v>-2.4621869016062594</v>
      </c>
      <c r="U34" s="629">
        <f>IF(M34="","",X34*SIN(RADIANS(W34)))</f>
        <v>-3.2757474515127663</v>
      </c>
      <c r="V34" s="636">
        <f>IF(M34="","",Y34)</f>
        <v>-1.1715035332546564</v>
      </c>
      <c r="W34" s="585">
        <f t="shared" si="224"/>
        <v>233.06996634886036</v>
      </c>
      <c r="X34" s="629">
        <f>IF(M34="","",R34)</f>
        <v>4.0979123593036757</v>
      </c>
      <c r="Y34" s="630">
        <f t="shared" si="223"/>
        <v>-1.1715035332546564</v>
      </c>
      <c r="Z34" s="632">
        <f t="shared" si="6"/>
        <v>-0.89038563780192348</v>
      </c>
      <c r="AA34" s="629">
        <f t="shared" si="7"/>
        <v>-0.42274026814745358</v>
      </c>
      <c r="AB34" s="629">
        <f t="shared" si="8"/>
        <v>-0.16883151862931564</v>
      </c>
      <c r="AC34" s="636">
        <f>IF(M34="","",SQRT(Z34^2+AA34^2+AB34^2))</f>
        <v>1</v>
      </c>
      <c r="AD34" s="637">
        <f>IF(M34="","",Z34*(1/SQRT(Z34^2+AA34^2+AB34^2)))</f>
        <v>-0.89038563780192348</v>
      </c>
      <c r="AE34" s="629">
        <f>IF(M34="","",AA34*(1/SQRT(Z34^2+AA34^2+AB34^2)))</f>
        <v>-0.42274026814745358</v>
      </c>
      <c r="AF34" s="633">
        <f>IF(M34="","",AB34*(1/SQRT(Z34^2+AA34^2+AB34^2)))</f>
        <v>-0.16883151862931564</v>
      </c>
      <c r="AG34" s="602">
        <f>IF(M34="","",DEGREES(ATAN2(-AF34,AE34)))</f>
        <v>-68.229511682388576</v>
      </c>
      <c r="AH34" s="603">
        <f>IF(M34="","",DEGREES(ACOS(AD34)))</f>
        <v>152.92174601481992</v>
      </c>
      <c r="AI34" s="585">
        <f>IF(M34="","",DEGREES(-ACOS(-AF34)))</f>
        <v>-80.280111963716877</v>
      </c>
      <c r="AJ34" s="586">
        <f>IF(M34="","",DEGREES(ATAN2(-AE34,AD34)))</f>
        <v>-64.602411149419069</v>
      </c>
      <c r="AK34" s="635">
        <f>IF(M34="","",(COS(RADIANS((90-$Q$8)-W34))*AD34)+(-SIN(RADIANS((90-$Q$8)-W34))*AE34))</f>
        <v>0.87290451751337605</v>
      </c>
      <c r="AL34" s="629">
        <f>IF(M34="","",(SIN(RADIANS((90-$Q$8)-W34))*AD34)+(COS(RADIANS((90-$Q$8)-W34))*AE34))</f>
        <v>-0.4577484261273424</v>
      </c>
      <c r="AM34" s="634">
        <f>IF(M34="","",AF34)</f>
        <v>-0.16883151862931564</v>
      </c>
      <c r="AN34" s="581">
        <f>IF(M34="","",DEGREES(ATAN2(-AM34,AL34)))</f>
        <v>-69.75449427487672</v>
      </c>
      <c r="AO34" s="582">
        <f t="shared" si="94"/>
        <v>29.202062206863392</v>
      </c>
      <c r="AP34" s="585">
        <f>IF(M34="","",DEGREES(ATAN2(AK34,AL34)))</f>
        <v>-27.672377498279417</v>
      </c>
      <c r="AQ34" s="586">
        <f t="shared" si="9"/>
        <v>0.55629666912771536</v>
      </c>
      <c r="AS34" s="52">
        <f t="shared" si="116"/>
        <v>-126.93003365113964</v>
      </c>
      <c r="AT34" s="72">
        <f t="shared" si="10"/>
        <v>-1.0833576765524762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3.1360000000000001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1111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3.3289254721366897</v>
      </c>
      <c r="C35" s="708">
        <v>-2.5130859797452167</v>
      </c>
      <c r="D35" s="709">
        <v>-1.7776053612577696</v>
      </c>
      <c r="E35" s="710">
        <v>0.92520887111745087</v>
      </c>
      <c r="F35" s="708">
        <v>0.37339225668430581</v>
      </c>
      <c r="G35" s="711">
        <v>6.757786215746775E-2</v>
      </c>
      <c r="H35" s="710">
        <v>0.26600000000000001</v>
      </c>
      <c r="I35" s="708">
        <v>0.52</v>
      </c>
      <c r="J35" s="570">
        <v>3.1419999999999999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3.1419999999999999</v>
      </c>
      <c r="N35" s="632">
        <f t="shared" si="2"/>
        <v>3.3289254721366897</v>
      </c>
      <c r="O35" s="629">
        <f t="shared" si="3"/>
        <v>-2.5130859797452167</v>
      </c>
      <c r="P35" s="633">
        <f t="shared" si="4"/>
        <v>-1.7776053612577696</v>
      </c>
      <c r="Q35" s="585">
        <f t="shared" si="113"/>
        <v>322.94996636618623</v>
      </c>
      <c r="R35" s="629">
        <f>IF(M35="","",SQRT(N35^2+O35^2))</f>
        <v>4.1710125797739401</v>
      </c>
      <c r="S35" s="634">
        <f>IF(M35="","",P35)</f>
        <v>-1.7776053612577696</v>
      </c>
      <c r="T35" s="635">
        <f>IF(M35="","",X35*COS(RADIANS(W35)))</f>
        <v>-2.5130859797452159</v>
      </c>
      <c r="U35" s="629">
        <f>IF(M35="","",X35*SIN(RADIANS(W35)))</f>
        <v>-3.328925472136691</v>
      </c>
      <c r="V35" s="636">
        <f>IF(M35="","",Y35)</f>
        <v>-1.7776053612577696</v>
      </c>
      <c r="W35" s="585">
        <f t="shared" si="224"/>
        <v>232.94996636618623</v>
      </c>
      <c r="X35" s="629">
        <f>IF(M35="","",R35)</f>
        <v>4.1710125797739401</v>
      </c>
      <c r="Y35" s="630">
        <f t="shared" si="223"/>
        <v>-1.7776053612577696</v>
      </c>
      <c r="Z35" s="632">
        <f t="shared" si="6"/>
        <v>-0.92520887111745087</v>
      </c>
      <c r="AA35" s="629">
        <f t="shared" si="7"/>
        <v>-0.37339225668430581</v>
      </c>
      <c r="AB35" s="629">
        <f t="shared" si="8"/>
        <v>-6.757786215746775E-2</v>
      </c>
      <c r="AC35" s="636">
        <f>IF(M35="","",SQRT(Z35^2+AA35^2+AB35^2))</f>
        <v>1</v>
      </c>
      <c r="AD35" s="637">
        <f>IF(M35="","",Z35*(1/SQRT(Z35^2+AA35^2+AB35^2)))</f>
        <v>-0.92520887111745087</v>
      </c>
      <c r="AE35" s="629">
        <f>IF(M35="","",AA35*(1/SQRT(Z35^2+AA35^2+AB35^2)))</f>
        <v>-0.37339225668430581</v>
      </c>
      <c r="AF35" s="633">
        <f>IF(M35="","",AB35*(1/SQRT(Z35^2+AA35^2+AB35^2)))</f>
        <v>-6.757786215746775E-2</v>
      </c>
      <c r="AG35" s="602">
        <f>IF(M35="","",DEGREES(ATAN2(-AF35,AE35)))</f>
        <v>-79.741450042960849</v>
      </c>
      <c r="AH35" s="603">
        <f>IF(M35="","",DEGREES(ACOS(AD35)))</f>
        <v>157.69987206752049</v>
      </c>
      <c r="AI35" s="585">
        <f>IF(M35="","",DEGREES(-ACOS(-AF35)))</f>
        <v>-86.125120605902481</v>
      </c>
      <c r="AJ35" s="586">
        <f>IF(M35="","",DEGREES(ATAN2(-AE35,AD35)))</f>
        <v>-68.022170955953115</v>
      </c>
      <c r="AK35" s="635">
        <f>IF(M35="","",(COS(RADIANS((90-$Q$8)-W35))*AD35)+(-SIN(RADIANS((90-$Q$8)-W35))*AE35))</f>
        <v>0.85545760615028787</v>
      </c>
      <c r="AL35" s="629">
        <f>IF(M35="","",(SIN(RADIANS((90-$Q$8)-W35))*AD35)+(COS(RADIANS((90-$Q$8)-W35))*AE35))</f>
        <v>-0.51344475518389077</v>
      </c>
      <c r="AM35" s="634">
        <f>IF(M35="","",AF35)</f>
        <v>-6.757786215746775E-2</v>
      </c>
      <c r="AN35" s="581">
        <f>IF(M35="","",DEGREES(ATAN2(-AM35,AL35)))</f>
        <v>-82.502020739785934</v>
      </c>
      <c r="AO35" s="582">
        <f t="shared" si="94"/>
        <v>31.189674038065668</v>
      </c>
      <c r="AP35" s="585">
        <f>IF(M35="","",DEGREES(ATAN2(AK35,AL35)))</f>
        <v>-30.972137322139353</v>
      </c>
      <c r="AQ35" s="586">
        <f t="shared" si="9"/>
        <v>0.54654773656862798</v>
      </c>
      <c r="AS35" s="52">
        <f t="shared" si="116"/>
        <v>-127.05003363381377</v>
      </c>
      <c r="AT35" s="72">
        <f t="shared" si="10"/>
        <v>-1.6893761712342878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3.1419999999999999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0.32957355625668305</v>
      </c>
      <c r="C36" s="708">
        <v>-1.0452737780200569</v>
      </c>
      <c r="D36" s="709">
        <v>-6.6299999999999998E-2</v>
      </c>
      <c r="E36" s="710">
        <v>-3.9249982987779007E-2</v>
      </c>
      <c r="F36" s="708">
        <v>0.12448504203688454</v>
      </c>
      <c r="G36" s="711">
        <v>0.99144486137381049</v>
      </c>
      <c r="H36" s="710">
        <v>0.19500000000000001</v>
      </c>
      <c r="I36" s="708">
        <v>0.438</v>
      </c>
      <c r="J36" s="570">
        <v>3.3029999999999999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Undefined</v>
      </c>
      <c r="L36" s="320"/>
      <c r="M36" s="168">
        <f t="shared" si="1"/>
        <v>3.3029999999999999</v>
      </c>
      <c r="N36" s="632">
        <f t="shared" si="2"/>
        <v>0.32957355625668305</v>
      </c>
      <c r="O36" s="629">
        <f t="shared" si="3"/>
        <v>-1.0452737780200569</v>
      </c>
      <c r="P36" s="633">
        <f t="shared" si="4"/>
        <v>-6.6299999999999998E-2</v>
      </c>
      <c r="Q36" s="585">
        <f t="shared" si="113"/>
        <v>287.5</v>
      </c>
      <c r="R36" s="629">
        <f>IF(M36="","",SQRT(N36^2+O36^2))</f>
        <v>1.0960000000000001</v>
      </c>
      <c r="S36" s="634">
        <f>IF(M36="","",P36)</f>
        <v>-6.6299999999999998E-2</v>
      </c>
      <c r="T36" s="635">
        <f>IF(M36="","",X36*COS(RADIANS(W36)))</f>
        <v>-1.0452737780200567</v>
      </c>
      <c r="U36" s="629">
        <f>IF(M36="","",X36*SIN(RADIANS(W36)))</f>
        <v>-0.32957355625668333</v>
      </c>
      <c r="V36" s="636">
        <f>IF(M36="","",Y36)</f>
        <v>-6.6299999999999998E-2</v>
      </c>
      <c r="W36" s="585">
        <f t="shared" si="224"/>
        <v>197.5</v>
      </c>
      <c r="X36" s="629">
        <f>IF(M36="","",R36)</f>
        <v>1.0960000000000001</v>
      </c>
      <c r="Y36" s="630">
        <f t="shared" si="223"/>
        <v>-6.6299999999999998E-2</v>
      </c>
      <c r="Z36" s="632">
        <f t="shared" si="6"/>
        <v>3.9249982987779007E-2</v>
      </c>
      <c r="AA36" s="629">
        <f t="shared" si="7"/>
        <v>-0.12448504203688454</v>
      </c>
      <c r="AB36" s="629">
        <f t="shared" si="8"/>
        <v>-0.99144486137381049</v>
      </c>
      <c r="AC36" s="636">
        <f>IF(M36="","",SQRT(Z36^2+AA36^2+AB36^2))</f>
        <v>1</v>
      </c>
      <c r="AD36" s="637">
        <f>IF(M36="","",Z36*(1/SQRT(Z36^2+AA36^2+AB36^2)))</f>
        <v>3.9249982987779007E-2</v>
      </c>
      <c r="AE36" s="629">
        <f>IF(M36="","",AA36*(1/SQRT(Z36^2+AA36^2+AB36^2)))</f>
        <v>-0.12448504203688454</v>
      </c>
      <c r="AF36" s="633">
        <f>IF(M36="","",AB36*(1/SQRT(Z36^2+AA36^2+AB36^2)))</f>
        <v>-0.99144486137381049</v>
      </c>
      <c r="AG36" s="602">
        <f>IF(M36="","",DEGREES(ATAN2(-AF36,AE36)))</f>
        <v>-7.156562101327971</v>
      </c>
      <c r="AH36" s="603">
        <f>IF(M36="","",DEGREES(ACOS(AD36)))</f>
        <v>87.750563810864662</v>
      </c>
      <c r="AI36" s="585">
        <f>IF(M36="","",DEGREES(-ACOS(-AF36)))</f>
        <v>-7.4999999999999662</v>
      </c>
      <c r="AJ36" s="586">
        <f>IF(M36="","",DEGREES(ATAN2(-AE36,AD36)))</f>
        <v>17.499999999999982</v>
      </c>
      <c r="AK36" s="635">
        <f>IF(M36="","",(COS(RADIANS((90-$Q$8)-W36))*AD36)+(-SIN(RADIANS((90-$Q$8)-W36))*AE36))</f>
        <v>2.7755575615628914E-17</v>
      </c>
      <c r="AL36" s="629">
        <f>IF(M36="","",(SIN(RADIANS((90-$Q$8)-W36))*AD36)+(COS(RADIANS((90-$Q$8)-W36))*AE36))</f>
        <v>0.13052619222005157</v>
      </c>
      <c r="AM36" s="634">
        <f>IF(M36="","",AF36)</f>
        <v>-0.99144486137381049</v>
      </c>
      <c r="AN36" s="581">
        <f>IF(M36="","",DEGREES(ATAN2(-AM36,AL36)))</f>
        <v>7.4999999999999991</v>
      </c>
      <c r="AO36" s="582">
        <f t="shared" si="94"/>
        <v>0</v>
      </c>
      <c r="AP36" s="585">
        <f>IF(M36="","",DEGREES(ATAN2(AK36,AL36)))</f>
        <v>89.999999999999986</v>
      </c>
      <c r="AQ36" s="586">
        <f t="shared" si="9"/>
        <v>2.0791294714677697</v>
      </c>
      <c r="AS36" s="52">
        <f t="shared" si="116"/>
        <v>-162.5</v>
      </c>
      <c r="AT36" s="72">
        <f t="shared" si="10"/>
        <v>4.6547222222222226E-2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Nose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3.3029999999999999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3.1030000000000002</v>
      </c>
      <c r="II36" s="734" cm="1">
        <f t="array" ref="II36">IFERROR(ROUND(VALUE(IF($IH36&lt;1,$IH36+LARGE((IF($M$9:$M$150="",0,$M$9:$M$150)-MOD(IF($M$9:$M$150="",0,$M$9:$M$150),1)),1),$IH36)),4),"")</f>
        <v>3.1030000000000002</v>
      </c>
      <c r="IJ36" s="533">
        <f t="shared" si="112"/>
        <v>1111</v>
      </c>
      <c r="IK36" s="533" t="str">
        <f t="shared" si="66"/>
        <v>Undefined</v>
      </c>
      <c r="IL36" s="727">
        <f t="shared" si="225"/>
        <v>37.499966070202902</v>
      </c>
      <c r="IM36" s="759">
        <v>0.18605060349156999</v>
      </c>
      <c r="IN36" s="5">
        <f t="shared" si="226"/>
        <v>0</v>
      </c>
      <c r="IO36" s="771">
        <v>0</v>
      </c>
      <c r="IP36" s="9">
        <f t="shared" si="227"/>
        <v>-0.61940186811603426</v>
      </c>
      <c r="IQ36" s="5">
        <f t="shared" si="228"/>
        <v>-0.26120078778157579</v>
      </c>
      <c r="IR36" s="5">
        <f t="shared" si="71"/>
        <v>0.219</v>
      </c>
      <c r="IS36" s="5">
        <f t="shared" si="229"/>
        <v>0.20579268772711026</v>
      </c>
      <c r="IT36" s="727">
        <f t="shared" si="230"/>
        <v>-7.4999989171341559</v>
      </c>
      <c r="IU36" s="9">
        <f t="shared" si="231"/>
        <v>-1.0960000000000001</v>
      </c>
      <c r="IV36" s="5">
        <f t="shared" si="232"/>
        <v>-6.6299999999999998E-2</v>
      </c>
      <c r="IW36" s="5">
        <f t="shared" si="76"/>
        <v>0.19500000000000001</v>
      </c>
      <c r="IX36" s="5">
        <f t="shared" si="233"/>
        <v>0.19500000000000001</v>
      </c>
      <c r="IY36" s="762">
        <f t="shared" si="234"/>
        <v>-7.4999999999999991</v>
      </c>
    </row>
    <row r="37" spans="1:267" ht="15" customHeight="1" x14ac:dyDescent="0.25">
      <c r="A37" s="79"/>
      <c r="B37" s="707">
        <v>0.8029999999999996</v>
      </c>
      <c r="C37" s="708">
        <v>-1.3908367984778089</v>
      </c>
      <c r="D37" s="709">
        <v>-8.9999999999964154E-4</v>
      </c>
      <c r="E37" s="710">
        <v>-6.5263096110025759E-2</v>
      </c>
      <c r="F37" s="708">
        <v>0.11303899832181548</v>
      </c>
      <c r="G37" s="711">
        <v>0.99144486137381049</v>
      </c>
      <c r="H37" s="710">
        <v>0.19500000000000001</v>
      </c>
      <c r="I37" s="708">
        <v>0.438</v>
      </c>
      <c r="J37" s="570">
        <v>3.306</v>
      </c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Undefined</v>
      </c>
      <c r="L37" s="320"/>
      <c r="M37" s="168">
        <f t="shared" si="1"/>
        <v>3.306</v>
      </c>
      <c r="N37" s="632">
        <f t="shared" si="2"/>
        <v>0.8029999999999996</v>
      </c>
      <c r="O37" s="629">
        <f t="shared" si="3"/>
        <v>-1.3908367984778089</v>
      </c>
      <c r="P37" s="633">
        <f t="shared" si="4"/>
        <v>-8.9999999999964154E-4</v>
      </c>
      <c r="Q37" s="585">
        <f t="shared" si="113"/>
        <v>300</v>
      </c>
      <c r="R37" s="629">
        <f t="shared" si="79"/>
        <v>1.6060000000000003</v>
      </c>
      <c r="S37" s="634">
        <f t="shared" si="80"/>
        <v>-8.9999999999964154E-4</v>
      </c>
      <c r="T37" s="635">
        <f t="shared" si="81"/>
        <v>-1.3908367984778087</v>
      </c>
      <c r="U37" s="629">
        <f t="shared" si="82"/>
        <v>-0.80300000000000038</v>
      </c>
      <c r="V37" s="636">
        <f t="shared" si="114"/>
        <v>-8.9999999999964154E-4</v>
      </c>
      <c r="W37" s="585">
        <f t="shared" si="224"/>
        <v>210</v>
      </c>
      <c r="X37" s="629">
        <f t="shared" si="83"/>
        <v>1.6060000000000003</v>
      </c>
      <c r="Y37" s="630">
        <f t="shared" si="223"/>
        <v>-8.9999999999964154E-4</v>
      </c>
      <c r="Z37" s="632">
        <f t="shared" si="6"/>
        <v>6.5263096110025759E-2</v>
      </c>
      <c r="AA37" s="629">
        <f t="shared" si="7"/>
        <v>-0.11303899832181548</v>
      </c>
      <c r="AB37" s="629">
        <f t="shared" si="8"/>
        <v>-0.99144486137381049</v>
      </c>
      <c r="AC37" s="636">
        <f t="shared" si="84"/>
        <v>1</v>
      </c>
      <c r="AD37" s="637">
        <f t="shared" si="115"/>
        <v>6.5263096110025759E-2</v>
      </c>
      <c r="AE37" s="629">
        <f t="shared" si="85"/>
        <v>-0.11303899832181548</v>
      </c>
      <c r="AF37" s="633">
        <f t="shared" si="86"/>
        <v>-0.99144486137381049</v>
      </c>
      <c r="AG37" s="602">
        <f t="shared" si="87"/>
        <v>-6.5044569575258411</v>
      </c>
      <c r="AH37" s="603">
        <f t="shared" si="88"/>
        <v>86.258040485198464</v>
      </c>
      <c r="AI37" s="585">
        <f t="shared" si="89"/>
        <v>-7.4999999999999662</v>
      </c>
      <c r="AJ37" s="586">
        <f t="shared" si="90"/>
        <v>29.999999999999979</v>
      </c>
      <c r="AK37" s="635">
        <f t="shared" si="211"/>
        <v>6.9388939039072284E-17</v>
      </c>
      <c r="AL37" s="629">
        <f t="shared" si="91"/>
        <v>0.1305261922200516</v>
      </c>
      <c r="AM37" s="634">
        <f t="shared" si="92"/>
        <v>-0.99144486137381049</v>
      </c>
      <c r="AN37" s="581">
        <f t="shared" si="93"/>
        <v>7.5000000000000009</v>
      </c>
      <c r="AO37" s="582">
        <f t="shared" si="94"/>
        <v>0</v>
      </c>
      <c r="AP37" s="585">
        <f t="shared" si="95"/>
        <v>89.999999999999972</v>
      </c>
      <c r="AQ37" s="586">
        <f t="shared" si="9"/>
        <v>1.419215671919005</v>
      </c>
      <c r="AS37" s="52">
        <f t="shared" si="116"/>
        <v>-150</v>
      </c>
      <c r="AT37" s="72">
        <f t="shared" si="10"/>
        <v>0.10326666666666703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3.306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3.1059999999999999</v>
      </c>
      <c r="II37" s="734" cm="1">
        <f t="array" ref="II37">IFERROR(ROUND(VALUE(IF($IH37&lt;1,$IH37+LARGE((IF($M$9:$M$150="",0,$M$9:$M$150)-MOD(IF($M$9:$M$150="",0,$M$9:$M$150),1)),1),$IH37)),4),"")</f>
        <v>3.1059999999999999</v>
      </c>
      <c r="IJ37" s="533">
        <f t="shared" si="112"/>
        <v>1111</v>
      </c>
      <c r="IK37" s="533" t="str">
        <f t="shared" si="66"/>
        <v>Undefined</v>
      </c>
      <c r="IL37" s="727">
        <f t="shared" si="225"/>
        <v>24.999966070202902</v>
      </c>
      <c r="IM37" s="759">
        <v>0.14841992011152799</v>
      </c>
      <c r="IN37" s="5">
        <f t="shared" si="226"/>
        <v>0</v>
      </c>
      <c r="IO37" s="771">
        <v>0</v>
      </c>
      <c r="IP37" s="9">
        <f t="shared" si="227"/>
        <v>-1.1756035456202933</v>
      </c>
      <c r="IQ37" s="5">
        <f t="shared" si="228"/>
        <v>-0.18800056700971002</v>
      </c>
      <c r="IR37" s="5">
        <f t="shared" si="71"/>
        <v>0.219</v>
      </c>
      <c r="IS37" s="5">
        <f t="shared" si="229"/>
        <v>0.20579268772711026</v>
      </c>
      <c r="IT37" s="727">
        <f t="shared" si="230"/>
        <v>-7.4999989171341559</v>
      </c>
      <c r="IU37" s="9">
        <f t="shared" si="231"/>
        <v>-1.6060000000000003</v>
      </c>
      <c r="IV37" s="5">
        <f t="shared" si="232"/>
        <v>-8.9999999999964154E-4</v>
      </c>
      <c r="IW37" s="5">
        <f t="shared" si="76"/>
        <v>0.19500000000000001</v>
      </c>
      <c r="IX37" s="5">
        <f t="shared" si="233"/>
        <v>0.19500000000000001</v>
      </c>
      <c r="IY37" s="762">
        <f t="shared" si="234"/>
        <v>-7.5000000000000009</v>
      </c>
    </row>
    <row r="38" spans="1:267" ht="15" customHeight="1" x14ac:dyDescent="0.25">
      <c r="A38" s="79"/>
      <c r="B38" s="707">
        <v>-0.25010235850396895</v>
      </c>
      <c r="C38" s="708">
        <v>-2.7534730722862366</v>
      </c>
      <c r="D38" s="709">
        <v>-4.7800144165234926E-2</v>
      </c>
      <c r="E38" s="710">
        <v>0.92630619100873368</v>
      </c>
      <c r="F38" s="708">
        <v>-0.17427048067968132</v>
      </c>
      <c r="G38" s="711">
        <v>0.33404586520800428</v>
      </c>
      <c r="H38" s="710">
        <v>0.219</v>
      </c>
      <c r="I38" s="708">
        <v>0.42</v>
      </c>
      <c r="J38" s="570">
        <v>4.117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1111</v>
      </c>
      <c r="L38" s="320"/>
      <c r="M38" s="168">
        <f t="shared" si="1"/>
        <v>4.117</v>
      </c>
      <c r="N38" s="632">
        <f t="shared" si="2"/>
        <v>-0.25010235850396895</v>
      </c>
      <c r="O38" s="629">
        <f t="shared" si="3"/>
        <v>-2.7534730722862366</v>
      </c>
      <c r="P38" s="633">
        <f t="shared" si="4"/>
        <v>-4.7800144165234926E-2</v>
      </c>
      <c r="Q38" s="585">
        <f t="shared" si="113"/>
        <v>264.8099747605624</v>
      </c>
      <c r="R38" s="629">
        <f t="shared" si="79"/>
        <v>2.7648083386619504</v>
      </c>
      <c r="S38" s="634">
        <f t="shared" si="80"/>
        <v>-4.7800144165234926E-2</v>
      </c>
      <c r="T38" s="635">
        <f t="shared" si="81"/>
        <v>-2.7534730722862366</v>
      </c>
      <c r="U38" s="629">
        <f t="shared" si="82"/>
        <v>0.25010235850396895</v>
      </c>
      <c r="V38" s="636">
        <f t="shared" si="114"/>
        <v>-4.7800144165234926E-2</v>
      </c>
      <c r="W38" s="585">
        <f t="shared" si="224"/>
        <v>174.8099747605624</v>
      </c>
      <c r="X38" s="629">
        <f t="shared" si="83"/>
        <v>2.7648083386619504</v>
      </c>
      <c r="Y38" s="630">
        <f t="shared" si="223"/>
        <v>-4.7800144165234926E-2</v>
      </c>
      <c r="Z38" s="632">
        <f t="shared" si="6"/>
        <v>-0.92630619100873368</v>
      </c>
      <c r="AA38" s="629">
        <f t="shared" si="7"/>
        <v>0.17427048067968132</v>
      </c>
      <c r="AB38" s="629">
        <f t="shared" si="8"/>
        <v>-0.33404586520800428</v>
      </c>
      <c r="AC38" s="636">
        <f t="shared" si="84"/>
        <v>1</v>
      </c>
      <c r="AD38" s="637">
        <f t="shared" si="115"/>
        <v>-0.92630619100873368</v>
      </c>
      <c r="AE38" s="629">
        <f t="shared" si="85"/>
        <v>0.17427048067968132</v>
      </c>
      <c r="AF38" s="633">
        <f t="shared" si="86"/>
        <v>-0.33404586520800428</v>
      </c>
      <c r="AG38" s="602">
        <f t="shared" si="87"/>
        <v>27.550881102100135</v>
      </c>
      <c r="AH38" s="603">
        <f t="shared" si="88"/>
        <v>157.86614891113999</v>
      </c>
      <c r="AI38" s="585">
        <f t="shared" si="89"/>
        <v>-70.4854720498696</v>
      </c>
      <c r="AJ38" s="586">
        <f t="shared" si="90"/>
        <v>-100.65479036777202</v>
      </c>
      <c r="AK38" s="635">
        <f t="shared" si="211"/>
        <v>0.93827285443071384</v>
      </c>
      <c r="AL38" s="629">
        <f t="shared" si="91"/>
        <v>-8.9763080249489022E-2</v>
      </c>
      <c r="AM38" s="634">
        <f t="shared" si="92"/>
        <v>-0.33404586520800428</v>
      </c>
      <c r="AN38" s="581">
        <f t="shared" si="93"/>
        <v>-15.040921754947931</v>
      </c>
      <c r="AO38" s="582">
        <f t="shared" si="94"/>
        <v>20.236501218934887</v>
      </c>
      <c r="AP38" s="585">
        <f t="shared" si="95"/>
        <v>-5.4647651283344096</v>
      </c>
      <c r="AQ38" s="586">
        <f t="shared" si="9"/>
        <v>0.82449450069786157</v>
      </c>
      <c r="AS38" s="52">
        <f t="shared" si="116"/>
        <v>-185.1900252394376</v>
      </c>
      <c r="AT38" s="72">
        <f t="shared" si="10"/>
        <v>8.0804040028818969E-2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4.117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1111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-0.33343804609278277</v>
      </c>
      <c r="C39" s="708">
        <v>-3.2998062035104594</v>
      </c>
      <c r="D39" s="709">
        <v>-0.23580071117494505</v>
      </c>
      <c r="E39" s="710">
        <v>0.90324158901141405</v>
      </c>
      <c r="F39" s="708">
        <v>-0.30577343560866521</v>
      </c>
      <c r="G39" s="711">
        <v>0.30109340403969254</v>
      </c>
      <c r="H39" s="710">
        <v>0.219</v>
      </c>
      <c r="I39" s="708">
        <v>0.42</v>
      </c>
      <c r="J39" s="570">
        <v>4.1230000000000002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1111</v>
      </c>
      <c r="L39" s="320"/>
      <c r="M39" s="168">
        <f t="shared" si="1"/>
        <v>4.1230000000000002</v>
      </c>
      <c r="N39" s="632">
        <f t="shared" si="2"/>
        <v>-0.33343804609278277</v>
      </c>
      <c r="O39" s="629">
        <f t="shared" si="3"/>
        <v>-3.2998062035104594</v>
      </c>
      <c r="P39" s="633">
        <f t="shared" si="4"/>
        <v>-0.23580071117494505</v>
      </c>
      <c r="Q39" s="585">
        <f t="shared" si="113"/>
        <v>264.22997484430402</v>
      </c>
      <c r="R39" s="629">
        <f t="shared" si="79"/>
        <v>3.3166100028957706</v>
      </c>
      <c r="S39" s="634">
        <f t="shared" si="80"/>
        <v>-0.23580071117494505</v>
      </c>
      <c r="T39" s="635">
        <f t="shared" si="81"/>
        <v>-3.2998062035104594</v>
      </c>
      <c r="U39" s="629">
        <f t="shared" si="82"/>
        <v>0.33343804609278294</v>
      </c>
      <c r="V39" s="636">
        <f t="shared" si="114"/>
        <v>-0.23580071117494505</v>
      </c>
      <c r="W39" s="585">
        <f t="shared" si="224"/>
        <v>174.22997484430402</v>
      </c>
      <c r="X39" s="629">
        <f t="shared" si="83"/>
        <v>3.3166100028957706</v>
      </c>
      <c r="Y39" s="630">
        <f t="shared" si="223"/>
        <v>-0.23580071117494505</v>
      </c>
      <c r="Z39" s="632">
        <f t="shared" si="6"/>
        <v>-0.90324158901141405</v>
      </c>
      <c r="AA39" s="629">
        <f t="shared" si="7"/>
        <v>0.30577343560866521</v>
      </c>
      <c r="AB39" s="629">
        <f t="shared" si="8"/>
        <v>-0.30109340403969254</v>
      </c>
      <c r="AC39" s="636">
        <f t="shared" si="84"/>
        <v>1</v>
      </c>
      <c r="AD39" s="637">
        <f t="shared" si="115"/>
        <v>-0.90324158901141405</v>
      </c>
      <c r="AE39" s="629">
        <f t="shared" si="85"/>
        <v>0.30577343560866521</v>
      </c>
      <c r="AF39" s="633">
        <f t="shared" si="86"/>
        <v>-0.30109340403969254</v>
      </c>
      <c r="AG39" s="602">
        <f t="shared" si="87"/>
        <v>45.441844444045891</v>
      </c>
      <c r="AH39" s="603">
        <f t="shared" si="88"/>
        <v>154.58748621781749</v>
      </c>
      <c r="AI39" s="585">
        <f t="shared" si="89"/>
        <v>-72.476712663361937</v>
      </c>
      <c r="AJ39" s="586">
        <f t="shared" si="90"/>
        <v>-108.70244865100672</v>
      </c>
      <c r="AK39" s="635">
        <f t="shared" si="211"/>
        <v>0.92940643998347461</v>
      </c>
      <c r="AL39" s="629">
        <f t="shared" si="91"/>
        <v>-0.21341609911399562</v>
      </c>
      <c r="AM39" s="634">
        <f t="shared" si="92"/>
        <v>-0.30109340403969254</v>
      </c>
      <c r="AN39" s="581">
        <f t="shared" si="93"/>
        <v>-35.329152873850937</v>
      </c>
      <c r="AO39" s="582">
        <f t="shared" si="94"/>
        <v>21.657521904420616</v>
      </c>
      <c r="AP39" s="585">
        <f t="shared" si="95"/>
        <v>-12.932423495310735</v>
      </c>
      <c r="AQ39" s="586">
        <f t="shared" si="9"/>
        <v>0.68733353355437077</v>
      </c>
      <c r="AS39" s="52">
        <f t="shared" si="116"/>
        <v>-185.77002515569598</v>
      </c>
      <c r="AT39" s="72">
        <f t="shared" si="10"/>
        <v>-0.10679374926126728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4.1230000000000002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1111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-0.41958310956968659</v>
      </c>
      <c r="C40" s="708">
        <v>-3.7406529227707961</v>
      </c>
      <c r="D40" s="709">
        <v>-0.59320178909659593</v>
      </c>
      <c r="E40" s="710">
        <v>0.86320273208335363</v>
      </c>
      <c r="F40" s="708">
        <v>-0.43400424630854484</v>
      </c>
      <c r="G40" s="711">
        <v>0.25791734627586804</v>
      </c>
      <c r="H40" s="710">
        <v>0.219</v>
      </c>
      <c r="I40" s="708">
        <v>0.42</v>
      </c>
      <c r="J40" s="570">
        <v>4.1289999999999996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1111</v>
      </c>
      <c r="L40" s="320"/>
      <c r="M40" s="168">
        <f t="shared" si="1"/>
        <v>4.1289999999999996</v>
      </c>
      <c r="N40" s="632">
        <f t="shared" si="2"/>
        <v>-0.41958310956968659</v>
      </c>
      <c r="O40" s="629">
        <f t="shared" si="3"/>
        <v>-3.7406529227707961</v>
      </c>
      <c r="P40" s="633">
        <f t="shared" si="4"/>
        <v>-0.59320178909659593</v>
      </c>
      <c r="Q40" s="585">
        <f t="shared" si="113"/>
        <v>263.59997493526475</v>
      </c>
      <c r="R40" s="629">
        <f t="shared" si="79"/>
        <v>3.7641113525598398</v>
      </c>
      <c r="S40" s="634">
        <f t="shared" si="80"/>
        <v>-0.59320178909659593</v>
      </c>
      <c r="T40" s="635">
        <f t="shared" si="81"/>
        <v>-3.7406529227707961</v>
      </c>
      <c r="U40" s="629">
        <f t="shared" si="82"/>
        <v>0.41958310956968586</v>
      </c>
      <c r="V40" s="636">
        <f t="shared" si="114"/>
        <v>-0.59320178909659593</v>
      </c>
      <c r="W40" s="585">
        <f t="shared" si="224"/>
        <v>173.59997493526475</v>
      </c>
      <c r="X40" s="629">
        <f t="shared" si="83"/>
        <v>3.7641113525598398</v>
      </c>
      <c r="Y40" s="630">
        <f t="shared" si="223"/>
        <v>-0.59320178909659593</v>
      </c>
      <c r="Z40" s="632">
        <f t="shared" si="6"/>
        <v>-0.86320273208335363</v>
      </c>
      <c r="AA40" s="629">
        <f t="shared" si="7"/>
        <v>0.43400424630854484</v>
      </c>
      <c r="AB40" s="629">
        <f t="shared" si="8"/>
        <v>-0.25791734627586804</v>
      </c>
      <c r="AC40" s="636">
        <f t="shared" si="84"/>
        <v>1</v>
      </c>
      <c r="AD40" s="637">
        <f t="shared" si="115"/>
        <v>-0.86320273208335363</v>
      </c>
      <c r="AE40" s="629">
        <f t="shared" si="85"/>
        <v>0.43400424630854484</v>
      </c>
      <c r="AF40" s="633">
        <f t="shared" si="86"/>
        <v>-0.25791734627586804</v>
      </c>
      <c r="AG40" s="602">
        <f t="shared" si="87"/>
        <v>59.27809414552457</v>
      </c>
      <c r="AH40" s="603">
        <f t="shared" si="88"/>
        <v>149.67811006369675</v>
      </c>
      <c r="AI40" s="585">
        <f t="shared" si="89"/>
        <v>-75.053479349555161</v>
      </c>
      <c r="AJ40" s="586">
        <f t="shared" si="90"/>
        <v>-116.69250354892809</v>
      </c>
      <c r="AK40" s="635">
        <f t="shared" si="211"/>
        <v>0.90620131936962756</v>
      </c>
      <c r="AL40" s="629">
        <f t="shared" si="91"/>
        <v>-0.33507881350924029</v>
      </c>
      <c r="AM40" s="634">
        <f t="shared" si="92"/>
        <v>-0.25791734627586804</v>
      </c>
      <c r="AN40" s="581">
        <f t="shared" si="93"/>
        <v>-52.413749920916821</v>
      </c>
      <c r="AO40" s="582">
        <f t="shared" si="94"/>
        <v>25.014430283001257</v>
      </c>
      <c r="AP40" s="585">
        <f t="shared" si="95"/>
        <v>-20.292478484192831</v>
      </c>
      <c r="AQ40" s="586">
        <f t="shared" si="9"/>
        <v>0.60562547557977708</v>
      </c>
      <c r="AS40" s="52">
        <f t="shared" si="116"/>
        <v>-186.40002506473525</v>
      </c>
      <c r="AT40" s="72">
        <f t="shared" si="10"/>
        <v>-0.46375732724608532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4.1289999999999996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1111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-0.4868669199251493</v>
      </c>
      <c r="C41" s="708">
        <v>-4.0350458154193758</v>
      </c>
      <c r="D41" s="709">
        <v>-1.0812032609090345</v>
      </c>
      <c r="E41" s="710">
        <v>0.82244232670806783</v>
      </c>
      <c r="F41" s="708">
        <v>-0.53972048424455443</v>
      </c>
      <c r="G41" s="711">
        <v>0.17969534809182888</v>
      </c>
      <c r="H41" s="710">
        <v>0.219</v>
      </c>
      <c r="I41" s="708">
        <v>0.42</v>
      </c>
      <c r="J41" s="570">
        <v>4.1349999999999998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1111</v>
      </c>
      <c r="L41" s="320"/>
      <c r="M41" s="168">
        <f t="shared" ref="M41:M72" si="239">IF(J41="","",VALUE(J41))</f>
        <v>4.1349999999999998</v>
      </c>
      <c r="N41" s="632">
        <f t="shared" ref="N41:N72" si="240">IF(M41="","",B41)</f>
        <v>-0.4868669199251493</v>
      </c>
      <c r="O41" s="629">
        <f t="shared" ref="O41:O72" si="241">IF(M41="","",C41)</f>
        <v>-4.0350458154193758</v>
      </c>
      <c r="P41" s="633">
        <f t="shared" ref="P41:P72" si="242">IF(M41="","",D41)</f>
        <v>-1.0812032609090345</v>
      </c>
      <c r="Q41" s="585">
        <f t="shared" si="113"/>
        <v>263.11997500456818</v>
      </c>
      <c r="R41" s="629">
        <f t="shared" si="79"/>
        <v>4.0643122579657698</v>
      </c>
      <c r="S41" s="634">
        <f t="shared" si="80"/>
        <v>-1.0812032609090345</v>
      </c>
      <c r="T41" s="635">
        <f t="shared" si="81"/>
        <v>-4.0350458154193758</v>
      </c>
      <c r="U41" s="629">
        <f t="shared" si="82"/>
        <v>0.48686691992514752</v>
      </c>
      <c r="V41" s="636">
        <f t="shared" si="114"/>
        <v>-1.0812032609090345</v>
      </c>
      <c r="W41" s="585">
        <f t="shared" si="224"/>
        <v>173.11997500456818</v>
      </c>
      <c r="X41" s="629">
        <f t="shared" si="83"/>
        <v>4.0643122579657698</v>
      </c>
      <c r="Y41" s="630">
        <f t="shared" si="223"/>
        <v>-1.0812032609090345</v>
      </c>
      <c r="Z41" s="632">
        <f t="shared" ref="Z41:Z72" si="243">IF(M41="","",-E41)</f>
        <v>-0.82244232670806783</v>
      </c>
      <c r="AA41" s="629">
        <f t="shared" ref="AA41:AA72" si="244">IF(M41="","",-F41)</f>
        <v>0.53972048424455443</v>
      </c>
      <c r="AB41" s="629">
        <f t="shared" ref="AB41:AB72" si="245">IF(M41="","",-G41)</f>
        <v>-0.17969534809182888</v>
      </c>
      <c r="AC41" s="636">
        <f t="shared" si="84"/>
        <v>1</v>
      </c>
      <c r="AD41" s="637">
        <f t="shared" si="115"/>
        <v>-0.82244232670806783</v>
      </c>
      <c r="AE41" s="629">
        <f t="shared" si="85"/>
        <v>0.53972048424455443</v>
      </c>
      <c r="AF41" s="633">
        <f t="shared" si="86"/>
        <v>-0.17969534809182888</v>
      </c>
      <c r="AG41" s="602">
        <f t="shared" si="87"/>
        <v>71.585258861790905</v>
      </c>
      <c r="AH41" s="603">
        <f t="shared" si="88"/>
        <v>145.33003266700001</v>
      </c>
      <c r="AI41" s="585">
        <f t="shared" si="89"/>
        <v>-79.647984798292697</v>
      </c>
      <c r="AJ41" s="586">
        <f t="shared" si="90"/>
        <v>-123.27453287140096</v>
      </c>
      <c r="AK41" s="635">
        <f t="shared" si="211"/>
        <v>0.88117356425372917</v>
      </c>
      <c r="AL41" s="629">
        <f t="shared" si="91"/>
        <v>-0.4373130818241498</v>
      </c>
      <c r="AM41" s="634">
        <f t="shared" si="92"/>
        <v>-0.17969534809182888</v>
      </c>
      <c r="AN41" s="581">
        <f t="shared" si="93"/>
        <v>-67.661858001347923</v>
      </c>
      <c r="AO41" s="582">
        <f t="shared" si="94"/>
        <v>28.215744587774232</v>
      </c>
      <c r="AP41" s="585">
        <f t="shared" si="95"/>
        <v>-26.394507875969161</v>
      </c>
      <c r="AQ41" s="586">
        <f t="shared" ref="AQ41:AQ72" si="246">IF(M41="","",DEGREES(ATAN(($AS$5*SIN(RADIANS(90)))/(($X41*2*PI())-($AS$5*COS(RADIANS(90)))))))</f>
        <v>0.56089534019340392</v>
      </c>
      <c r="AS41" s="52">
        <f t="shared" si="116"/>
        <v>-186.88002499543182</v>
      </c>
      <c r="AT41" s="72">
        <f t="shared" ref="AT41:AT72" si="247">IF(M41="","",Y41+(((AS41-$AS$9)*$AS$6)*-1))</f>
        <v>-0.95142546577331799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4.1349999999999998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1111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-0.51193293841067344</v>
      </c>
      <c r="C42" s="708">
        <v>-4.1394770934506546</v>
      </c>
      <c r="D42" s="709">
        <v>-1.688905093737763</v>
      </c>
      <c r="E42" s="710">
        <v>0.78597170834284236</v>
      </c>
      <c r="F42" s="708">
        <v>-0.61455813901604184</v>
      </c>
      <c r="G42" s="711">
        <v>6.7577862157466362E-2</v>
      </c>
      <c r="H42" s="710">
        <v>0.26600000000000001</v>
      </c>
      <c r="I42" s="708">
        <v>0.52</v>
      </c>
      <c r="J42" s="570">
        <v>4.141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4.141</v>
      </c>
      <c r="N42" s="632">
        <f t="shared" si="240"/>
        <v>-0.51193293841067344</v>
      </c>
      <c r="O42" s="629">
        <f t="shared" si="241"/>
        <v>-4.1394770934506546</v>
      </c>
      <c r="P42" s="633">
        <f t="shared" si="242"/>
        <v>-1.688905093737763</v>
      </c>
      <c r="Q42" s="585">
        <f t="shared" si="113"/>
        <v>262.94997502911315</v>
      </c>
      <c r="R42" s="629">
        <f t="shared" ref="R42:R47" si="385">IF(M42="","",SQRT(N42^2+O42^2))</f>
        <v>4.171012579773941</v>
      </c>
      <c r="S42" s="634">
        <f t="shared" ref="S42:S47" si="386">IF(M42="","",P42)</f>
        <v>-1.688905093737763</v>
      </c>
      <c r="T42" s="635">
        <f t="shared" ref="T42:T47" si="387">IF(M42="","",X42*COS(RADIANS(W42)))</f>
        <v>-4.1394770934506546</v>
      </c>
      <c r="U42" s="629">
        <f t="shared" ref="U42:U47" si="388">IF(M42="","",X42*SIN(RADIANS(W42)))</f>
        <v>0.51193293841067133</v>
      </c>
      <c r="V42" s="636">
        <f t="shared" ref="V42:V47" si="389">IF(M42="","",Y42)</f>
        <v>-1.688905093737763</v>
      </c>
      <c r="W42" s="585">
        <f t="shared" si="224"/>
        <v>172.94997502911315</v>
      </c>
      <c r="X42" s="629">
        <f t="shared" ref="X42:X47" si="390">IF(M42="","",R42)</f>
        <v>4.171012579773941</v>
      </c>
      <c r="Y42" s="630">
        <f t="shared" si="223"/>
        <v>-1.688905093737763</v>
      </c>
      <c r="Z42" s="632">
        <f t="shared" si="243"/>
        <v>-0.78597170834284236</v>
      </c>
      <c r="AA42" s="629">
        <f t="shared" si="244"/>
        <v>0.61455813901604184</v>
      </c>
      <c r="AB42" s="629">
        <f t="shared" si="245"/>
        <v>-6.7577862157466362E-2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-0.78597170834284236</v>
      </c>
      <c r="AE42" s="629">
        <f t="shared" ref="AE42:AE47" si="393">IF(M42="","",AA42*(1/SQRT(Z42^2+AA42^2+AB42^2)))</f>
        <v>0.61455813901604184</v>
      </c>
      <c r="AF42" s="633">
        <f t="shared" ref="AF42:AF47" si="394">IF(M42="","",AB42*(1/SQRT(Z42^2+AA42^2+AB42^2)))</f>
        <v>-6.7577862157466362E-2</v>
      </c>
      <c r="AG42" s="602">
        <f t="shared" ref="AG42:AG47" si="395">IF(M42="","",DEGREES(ATAN2(-AF42,AE42)))</f>
        <v>83.724869303421244</v>
      </c>
      <c r="AH42" s="603">
        <f t="shared" ref="AH42:AH47" si="396">IF(M42="","",DEGREES(ACOS(AD42)))</f>
        <v>141.81063892539035</v>
      </c>
      <c r="AI42" s="585">
        <f t="shared" ref="AI42:AI47" si="397">IF(M42="","",DEGREES(-ACOS(-AF42)))</f>
        <v>-86.125120605902552</v>
      </c>
      <c r="AJ42" s="586">
        <f t="shared" ref="AJ42:AJ47" si="398">IF(M42="","",DEGREES(ATAN2(-AE42,AD42)))</f>
        <v>-128.02216229302624</v>
      </c>
      <c r="AK42" s="635">
        <f t="shared" ref="AK42:AK47" si="399">IF(M42="","",(COS(RADIANS((90-$Q$8)-W42))*AD42)+(-SIN(RADIANS((90-$Q$8)-W42))*AE42))</f>
        <v>0.85545760615028754</v>
      </c>
      <c r="AL42" s="629">
        <f t="shared" ref="AL42:AL47" si="400">IF(M42="","",(SIN(RADIANS((90-$Q$8)-W42))*AD42)+(COS(RADIANS((90-$Q$8)-W42))*AE42))</f>
        <v>-0.51344475518389132</v>
      </c>
      <c r="AM42" s="634">
        <f t="shared" ref="AM42:AM47" si="401">IF(M42="","",AF42)</f>
        <v>-6.7577862157466362E-2</v>
      </c>
      <c r="AN42" s="581">
        <f t="shared" ref="AN42:AN47" si="402">IF(M42="","",DEGREES(ATAN2(-AM42,AL42)))</f>
        <v>-82.50202073978609</v>
      </c>
      <c r="AO42" s="582">
        <f t="shared" si="94"/>
        <v>31.189674038065721</v>
      </c>
      <c r="AP42" s="585">
        <f t="shared" ref="AP42:AP47" si="403">IF(M42="","",DEGREES(ATAN2(AK42,AL42)))</f>
        <v>-30.972137322139393</v>
      </c>
      <c r="AQ42" s="586">
        <f t="shared" si="246"/>
        <v>0.54654773656862787</v>
      </c>
      <c r="AS42" s="52">
        <f t="shared" si="116"/>
        <v>-187.05002497088685</v>
      </c>
      <c r="AT42" s="72">
        <f t="shared" si="247"/>
        <v>-1.5590092430635361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4.141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1313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-0.37585622444412564</v>
      </c>
      <c r="C43" s="708">
        <v>-0.21700054081761902</v>
      </c>
      <c r="D43" s="709">
        <v>-0.28560086137219792</v>
      </c>
      <c r="E43" s="710">
        <v>0.5085076831783909</v>
      </c>
      <c r="F43" s="708">
        <v>-0.79147656285648482</v>
      </c>
      <c r="G43" s="711">
        <v>0.339094067476018</v>
      </c>
      <c r="H43" s="710">
        <v>0.219</v>
      </c>
      <c r="I43" s="708">
        <v>0.42</v>
      </c>
      <c r="J43" s="570">
        <v>5.1020000000000003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1111</v>
      </c>
      <c r="L43" s="320"/>
      <c r="M43" s="168">
        <f t="shared" si="239"/>
        <v>5.1020000000000003</v>
      </c>
      <c r="N43" s="632">
        <f t="shared" si="240"/>
        <v>-0.37585622444412564</v>
      </c>
      <c r="O43" s="629">
        <f t="shared" si="241"/>
        <v>-0.21700054081761902</v>
      </c>
      <c r="P43" s="633">
        <f t="shared" si="242"/>
        <v>-0.28560086137219792</v>
      </c>
      <c r="Q43" s="585">
        <f t="shared" si="113"/>
        <v>209.99998267414614</v>
      </c>
      <c r="R43" s="629">
        <f t="shared" si="385"/>
        <v>0.43400130894794792</v>
      </c>
      <c r="S43" s="634">
        <f t="shared" si="386"/>
        <v>-0.28560086137219792</v>
      </c>
      <c r="T43" s="635">
        <f t="shared" si="387"/>
        <v>-0.21700054081761908</v>
      </c>
      <c r="U43" s="629">
        <f t="shared" si="388"/>
        <v>0.3758562244441257</v>
      </c>
      <c r="V43" s="636">
        <f t="shared" si="389"/>
        <v>-0.28560086137219792</v>
      </c>
      <c r="W43" s="585">
        <f t="shared" si="224"/>
        <v>119.99998267414614</v>
      </c>
      <c r="X43" s="629">
        <f t="shared" si="390"/>
        <v>0.43400130894794792</v>
      </c>
      <c r="Y43" s="630">
        <f t="shared" si="223"/>
        <v>-0.28560086137219792</v>
      </c>
      <c r="Z43" s="632">
        <f t="shared" si="243"/>
        <v>-0.5085076831783909</v>
      </c>
      <c r="AA43" s="629">
        <f t="shared" si="244"/>
        <v>0.79147656285648482</v>
      </c>
      <c r="AB43" s="629">
        <f t="shared" si="245"/>
        <v>-0.339094067476018</v>
      </c>
      <c r="AC43" s="636">
        <f t="shared" si="391"/>
        <v>1</v>
      </c>
      <c r="AD43" s="637">
        <f t="shared" si="392"/>
        <v>-0.5085076831783909</v>
      </c>
      <c r="AE43" s="629">
        <f t="shared" si="393"/>
        <v>0.79147656285648482</v>
      </c>
      <c r="AF43" s="633">
        <f t="shared" si="394"/>
        <v>-0.339094067476018</v>
      </c>
      <c r="AG43" s="602">
        <f t="shared" si="395"/>
        <v>66.808147822486589</v>
      </c>
      <c r="AH43" s="603">
        <f t="shared" si="396"/>
        <v>120.56447829941716</v>
      </c>
      <c r="AI43" s="585">
        <f t="shared" si="397"/>
        <v>-70.178310615991379</v>
      </c>
      <c r="AJ43" s="586">
        <f t="shared" si="398"/>
        <v>-147.28007542538043</v>
      </c>
      <c r="AK43" s="635">
        <f t="shared" si="399"/>
        <v>0.93969263802333458</v>
      </c>
      <c r="AL43" s="629">
        <f t="shared" si="400"/>
        <v>4.4642574380474753E-2</v>
      </c>
      <c r="AM43" s="634">
        <f t="shared" si="401"/>
        <v>-0.339094067476018</v>
      </c>
      <c r="AN43" s="581">
        <f t="shared" si="402"/>
        <v>7.4999989171341852</v>
      </c>
      <c r="AO43" s="582">
        <f t="shared" si="94"/>
        <v>19.999997112357679</v>
      </c>
      <c r="AP43" s="585">
        <f t="shared" si="403"/>
        <v>2.7199419004734224</v>
      </c>
      <c r="AQ43" s="586">
        <f t="shared" si="246"/>
        <v>5.2381676313257781</v>
      </c>
      <c r="AS43" s="52">
        <f t="shared" ref="AS43:AS74" si="406">IF(G43="","",IF(AND(W43&lt;(AS42+180),W43&gt;(AS42-180)),W43,IF(W43&gt;(AS42+180),W43-360,IF(W43&lt;(AS42-180),W43+360,"Error"))))</f>
        <v>-240.00001732585386</v>
      </c>
      <c r="AT43" s="72">
        <f t="shared" si="247"/>
        <v>-0.1189341826736883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5.1020000000000003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1111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-0.85754109088611341</v>
      </c>
      <c r="C44" s="708">
        <v>-0.49510123391153499</v>
      </c>
      <c r="D44" s="709">
        <v>-0.21240064060033229</v>
      </c>
      <c r="E44" s="710">
        <v>0.50850768317839068</v>
      </c>
      <c r="F44" s="708">
        <v>-0.79147656285648493</v>
      </c>
      <c r="G44" s="711">
        <v>0.339094067476018</v>
      </c>
      <c r="H44" s="710">
        <v>0.219</v>
      </c>
      <c r="I44" s="708">
        <v>0.42</v>
      </c>
      <c r="J44" s="570">
        <v>5.1050000000000004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1111</v>
      </c>
      <c r="L44" s="320"/>
      <c r="M44" s="168">
        <f t="shared" si="239"/>
        <v>5.1050000000000004</v>
      </c>
      <c r="N44" s="632">
        <f t="shared" si="240"/>
        <v>-0.85754109088611341</v>
      </c>
      <c r="O44" s="629">
        <f t="shared" si="241"/>
        <v>-0.49510123391153499</v>
      </c>
      <c r="P44" s="633">
        <f t="shared" si="242"/>
        <v>-0.21240064060033229</v>
      </c>
      <c r="Q44" s="585">
        <f t="shared" si="113"/>
        <v>209.99998267414611</v>
      </c>
      <c r="R44" s="629">
        <f t="shared" si="385"/>
        <v>0.99020298645220717</v>
      </c>
      <c r="S44" s="634">
        <f t="shared" si="386"/>
        <v>-0.21240064060033229</v>
      </c>
      <c r="T44" s="635">
        <f t="shared" si="387"/>
        <v>-0.49510123391153499</v>
      </c>
      <c r="U44" s="629">
        <f t="shared" si="388"/>
        <v>0.85754109088611341</v>
      </c>
      <c r="V44" s="636">
        <f t="shared" si="389"/>
        <v>-0.21240064060033229</v>
      </c>
      <c r="W44" s="585">
        <f t="shared" si="224"/>
        <v>119.99998267414611</v>
      </c>
      <c r="X44" s="629">
        <f t="shared" si="390"/>
        <v>0.99020298645220717</v>
      </c>
      <c r="Y44" s="630">
        <f t="shared" si="223"/>
        <v>-0.21240064060033229</v>
      </c>
      <c r="Z44" s="632">
        <f t="shared" si="243"/>
        <v>-0.50850768317839068</v>
      </c>
      <c r="AA44" s="629">
        <f t="shared" si="244"/>
        <v>0.79147656285648493</v>
      </c>
      <c r="AB44" s="629">
        <f t="shared" si="245"/>
        <v>-0.339094067476018</v>
      </c>
      <c r="AC44" s="636">
        <f t="shared" si="391"/>
        <v>1</v>
      </c>
      <c r="AD44" s="637">
        <f t="shared" si="392"/>
        <v>-0.50850768317839068</v>
      </c>
      <c r="AE44" s="629">
        <f t="shared" si="393"/>
        <v>0.79147656285648493</v>
      </c>
      <c r="AF44" s="633">
        <f t="shared" si="394"/>
        <v>-0.339094067476018</v>
      </c>
      <c r="AG44" s="602">
        <f t="shared" si="395"/>
        <v>66.808147822486603</v>
      </c>
      <c r="AH44" s="603">
        <f t="shared" si="396"/>
        <v>120.56447829941715</v>
      </c>
      <c r="AI44" s="585">
        <f t="shared" si="397"/>
        <v>-70.178310615991379</v>
      </c>
      <c r="AJ44" s="586">
        <f t="shared" si="398"/>
        <v>-147.28007542538046</v>
      </c>
      <c r="AK44" s="635">
        <f t="shared" si="399"/>
        <v>0.93969263802333458</v>
      </c>
      <c r="AL44" s="629">
        <f t="shared" si="400"/>
        <v>4.4642574380474864E-2</v>
      </c>
      <c r="AM44" s="634">
        <f t="shared" si="401"/>
        <v>-0.339094067476018</v>
      </c>
      <c r="AN44" s="581">
        <f t="shared" si="402"/>
        <v>7.4999989171342039</v>
      </c>
      <c r="AO44" s="582">
        <f t="shared" si="94"/>
        <v>19.999997112357679</v>
      </c>
      <c r="AP44" s="585">
        <f t="shared" si="403"/>
        <v>2.7199419004734291</v>
      </c>
      <c r="AQ44" s="586">
        <f t="shared" si="246"/>
        <v>2.3010442122828829</v>
      </c>
      <c r="AS44" s="52">
        <f t="shared" si="406"/>
        <v>-240.00001732585389</v>
      </c>
      <c r="AT44" s="72">
        <f t="shared" si="247"/>
        <v>-4.5733961901822634E-2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5.1050000000000004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1111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-1.3392259573281009</v>
      </c>
      <c r="C45" s="708">
        <v>-0.77320192700545165</v>
      </c>
      <c r="D45" s="709">
        <v>-0.13920041982846626</v>
      </c>
      <c r="E45" s="710">
        <v>0.50850768317839068</v>
      </c>
      <c r="F45" s="708">
        <v>-0.79147656285648493</v>
      </c>
      <c r="G45" s="711">
        <v>0.339094067476018</v>
      </c>
      <c r="H45" s="710">
        <v>0.219</v>
      </c>
      <c r="I45" s="708">
        <v>0.42</v>
      </c>
      <c r="J45" s="570">
        <v>5.1079999999999997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1111</v>
      </c>
      <c r="L45" s="320"/>
      <c r="M45" s="168">
        <f t="shared" si="239"/>
        <v>5.1079999999999997</v>
      </c>
      <c r="N45" s="632">
        <f t="shared" si="240"/>
        <v>-1.3392259573281009</v>
      </c>
      <c r="O45" s="629">
        <f t="shared" si="241"/>
        <v>-0.77320192700545165</v>
      </c>
      <c r="P45" s="633">
        <f t="shared" si="242"/>
        <v>-0.13920041982846626</v>
      </c>
      <c r="Q45" s="585">
        <f t="shared" si="113"/>
        <v>209.99998267414614</v>
      </c>
      <c r="R45" s="629">
        <f t="shared" si="385"/>
        <v>1.5464046639564664</v>
      </c>
      <c r="S45" s="634">
        <f t="shared" si="386"/>
        <v>-0.13920041982846626</v>
      </c>
      <c r="T45" s="635">
        <f t="shared" si="387"/>
        <v>-0.77320192700545165</v>
      </c>
      <c r="U45" s="629">
        <f t="shared" si="388"/>
        <v>1.3392259573281007</v>
      </c>
      <c r="V45" s="636">
        <f t="shared" si="389"/>
        <v>-0.13920041982846626</v>
      </c>
      <c r="W45" s="585">
        <f t="shared" si="224"/>
        <v>119.99998267414614</v>
      </c>
      <c r="X45" s="629">
        <f t="shared" si="390"/>
        <v>1.5464046639564664</v>
      </c>
      <c r="Y45" s="630">
        <f t="shared" si="223"/>
        <v>-0.13920041982846626</v>
      </c>
      <c r="Z45" s="632">
        <f t="shared" si="243"/>
        <v>-0.50850768317839068</v>
      </c>
      <c r="AA45" s="629">
        <f t="shared" si="244"/>
        <v>0.79147656285648493</v>
      </c>
      <c r="AB45" s="629">
        <f t="shared" si="245"/>
        <v>-0.339094067476018</v>
      </c>
      <c r="AC45" s="636">
        <f t="shared" si="391"/>
        <v>1</v>
      </c>
      <c r="AD45" s="637">
        <f t="shared" si="392"/>
        <v>-0.50850768317839068</v>
      </c>
      <c r="AE45" s="629">
        <f t="shared" si="393"/>
        <v>0.79147656285648493</v>
      </c>
      <c r="AF45" s="633">
        <f t="shared" si="394"/>
        <v>-0.339094067476018</v>
      </c>
      <c r="AG45" s="602">
        <f t="shared" si="395"/>
        <v>66.808147822486603</v>
      </c>
      <c r="AH45" s="603">
        <f t="shared" si="396"/>
        <v>120.56447829941715</v>
      </c>
      <c r="AI45" s="585">
        <f t="shared" si="397"/>
        <v>-70.178310615991379</v>
      </c>
      <c r="AJ45" s="586">
        <f t="shared" si="398"/>
        <v>-147.28007542538046</v>
      </c>
      <c r="AK45" s="635">
        <f t="shared" si="399"/>
        <v>0.93969263802333458</v>
      </c>
      <c r="AL45" s="629">
        <f t="shared" si="400"/>
        <v>4.4642574380474476E-2</v>
      </c>
      <c r="AM45" s="634">
        <f t="shared" si="401"/>
        <v>-0.339094067476018</v>
      </c>
      <c r="AN45" s="581">
        <f t="shared" si="402"/>
        <v>7.499998917134139</v>
      </c>
      <c r="AO45" s="582">
        <f t="shared" si="94"/>
        <v>19.999997112357679</v>
      </c>
      <c r="AP45" s="585">
        <f t="shared" si="403"/>
        <v>2.7199419004734051</v>
      </c>
      <c r="AQ45" s="586">
        <f t="shared" si="246"/>
        <v>1.47388572125646</v>
      </c>
      <c r="AS45" s="52">
        <f t="shared" si="406"/>
        <v>-240.00001732585386</v>
      </c>
      <c r="AT45" s="72">
        <f t="shared" si="247"/>
        <v>2.7466258870043364E-2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5.1079999999999997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1111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-1.8208242209533967</v>
      </c>
      <c r="C46" s="708">
        <v>-1.0512526199747561</v>
      </c>
      <c r="D46" s="709">
        <v>-6.6000199056600373E-2</v>
      </c>
      <c r="E46" s="710">
        <v>0.49566143839752774</v>
      </c>
      <c r="F46" s="708">
        <v>-0.7988933405593035</v>
      </c>
      <c r="G46" s="711">
        <v>0.34071860661796938</v>
      </c>
      <c r="H46" s="710">
        <v>0.219</v>
      </c>
      <c r="I46" s="708">
        <v>0.42</v>
      </c>
      <c r="J46" s="570">
        <v>5.1109999999999998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1111</v>
      </c>
      <c r="L46" s="320"/>
      <c r="M46" s="168">
        <f t="shared" si="239"/>
        <v>5.1109999999999998</v>
      </c>
      <c r="N46" s="632">
        <f t="shared" si="240"/>
        <v>-1.8208242209533967</v>
      </c>
      <c r="O46" s="629">
        <f t="shared" si="241"/>
        <v>-1.0512526199747561</v>
      </c>
      <c r="P46" s="633">
        <f t="shared" si="242"/>
        <v>-6.6000199056600373E-2</v>
      </c>
      <c r="Q46" s="585">
        <f t="shared" si="113"/>
        <v>209.99998267414614</v>
      </c>
      <c r="R46" s="629">
        <f t="shared" si="385"/>
        <v>2.1025063411591254</v>
      </c>
      <c r="S46" s="634">
        <f t="shared" si="386"/>
        <v>-6.6000199056600373E-2</v>
      </c>
      <c r="T46" s="635">
        <f t="shared" si="387"/>
        <v>-1.0512526199747561</v>
      </c>
      <c r="U46" s="629">
        <f t="shared" si="388"/>
        <v>1.8208242209533967</v>
      </c>
      <c r="V46" s="636">
        <f t="shared" si="389"/>
        <v>-6.6000199056600373E-2</v>
      </c>
      <c r="W46" s="585">
        <f t="shared" si="224"/>
        <v>119.99998267414614</v>
      </c>
      <c r="X46" s="629">
        <f t="shared" si="390"/>
        <v>2.1025063411591254</v>
      </c>
      <c r="Y46" s="630">
        <f t="shared" si="223"/>
        <v>-6.6000199056600373E-2</v>
      </c>
      <c r="Z46" s="632">
        <f t="shared" si="243"/>
        <v>-0.49566143839752774</v>
      </c>
      <c r="AA46" s="629">
        <f t="shared" si="244"/>
        <v>0.7988933405593035</v>
      </c>
      <c r="AB46" s="629">
        <f t="shared" si="245"/>
        <v>-0.34071860661796938</v>
      </c>
      <c r="AC46" s="636">
        <f t="shared" si="391"/>
        <v>1</v>
      </c>
      <c r="AD46" s="637">
        <f t="shared" si="392"/>
        <v>-0.49566143839752774</v>
      </c>
      <c r="AE46" s="629">
        <f t="shared" si="393"/>
        <v>0.7988933405593035</v>
      </c>
      <c r="AF46" s="633">
        <f t="shared" si="394"/>
        <v>-0.34071860661796938</v>
      </c>
      <c r="AG46" s="602">
        <f t="shared" si="395"/>
        <v>66.902322848255409</v>
      </c>
      <c r="AH46" s="603">
        <f t="shared" si="396"/>
        <v>119.71337579478272</v>
      </c>
      <c r="AI46" s="585">
        <f t="shared" si="397"/>
        <v>-70.079338493247803</v>
      </c>
      <c r="AJ46" s="586">
        <f t="shared" si="398"/>
        <v>-148.18308493911192</v>
      </c>
      <c r="AK46" s="635">
        <f t="shared" si="399"/>
        <v>0.93969263802333458</v>
      </c>
      <c r="AL46" s="629">
        <f t="shared" si="400"/>
        <v>2.9809011205603975E-2</v>
      </c>
      <c r="AM46" s="634">
        <f t="shared" si="401"/>
        <v>-0.34071860661796938</v>
      </c>
      <c r="AN46" s="581">
        <f t="shared" si="402"/>
        <v>4.9999992780894349</v>
      </c>
      <c r="AO46" s="582">
        <f t="shared" si="94"/>
        <v>19.999997112357679</v>
      </c>
      <c r="AP46" s="585">
        <f t="shared" si="403"/>
        <v>1.8169323867419536</v>
      </c>
      <c r="AQ46" s="586">
        <f t="shared" si="246"/>
        <v>1.0841606022899519</v>
      </c>
      <c r="AS46" s="52">
        <f t="shared" si="406"/>
        <v>-240.00001732585386</v>
      </c>
      <c r="AT46" s="72">
        <f t="shared" si="247"/>
        <v>0.10066647964190925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5.1109999999999998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1111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-2.311819511960405</v>
      </c>
      <c r="C47" s="708">
        <v>-1.3288174002374447</v>
      </c>
      <c r="D47" s="709">
        <v>-3.5200106163520345E-2</v>
      </c>
      <c r="E47" s="710">
        <v>0.40865488405366546</v>
      </c>
      <c r="F47" s="708">
        <v>-0.84772390357094451</v>
      </c>
      <c r="G47" s="711">
        <v>0.33817949236097272</v>
      </c>
      <c r="H47" s="710">
        <v>0.219</v>
      </c>
      <c r="I47" s="708">
        <v>0.42</v>
      </c>
      <c r="J47" s="570">
        <v>5.1159999999999997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1111</v>
      </c>
      <c r="L47" s="320"/>
      <c r="M47" s="168">
        <f t="shared" si="239"/>
        <v>5.1159999999999997</v>
      </c>
      <c r="N47" s="632">
        <f t="shared" si="240"/>
        <v>-2.311819511960405</v>
      </c>
      <c r="O47" s="629">
        <f t="shared" si="241"/>
        <v>-1.3288174002374447</v>
      </c>
      <c r="P47" s="633">
        <f t="shared" si="242"/>
        <v>-3.5200106163520345E-2</v>
      </c>
      <c r="Q47" s="585">
        <f t="shared" si="113"/>
        <v>209.88998269002815</v>
      </c>
      <c r="R47" s="629">
        <f t="shared" si="385"/>
        <v>2.6665080421882563</v>
      </c>
      <c r="S47" s="634">
        <f t="shared" si="386"/>
        <v>-3.5200106163520345E-2</v>
      </c>
      <c r="T47" s="635">
        <f t="shared" si="387"/>
        <v>-1.3288174002374447</v>
      </c>
      <c r="U47" s="629">
        <f t="shared" si="388"/>
        <v>2.3118195119604055</v>
      </c>
      <c r="V47" s="636">
        <f t="shared" si="389"/>
        <v>-3.5200106163520345E-2</v>
      </c>
      <c r="W47" s="585">
        <f t="shared" si="224"/>
        <v>119.88998269002815</v>
      </c>
      <c r="X47" s="629">
        <f t="shared" si="390"/>
        <v>2.6665080421882563</v>
      </c>
      <c r="Y47" s="630">
        <f t="shared" si="223"/>
        <v>-3.5200106163520345E-2</v>
      </c>
      <c r="Z47" s="632">
        <f t="shared" si="243"/>
        <v>-0.40865488405366546</v>
      </c>
      <c r="AA47" s="629">
        <f t="shared" si="244"/>
        <v>0.84772390357094451</v>
      </c>
      <c r="AB47" s="629">
        <f t="shared" si="245"/>
        <v>-0.33817949236097272</v>
      </c>
      <c r="AC47" s="636">
        <f t="shared" si="391"/>
        <v>1</v>
      </c>
      <c r="AD47" s="637">
        <f t="shared" si="392"/>
        <v>-0.40865488405366546</v>
      </c>
      <c r="AE47" s="629">
        <f t="shared" si="393"/>
        <v>0.84772390357094451</v>
      </c>
      <c r="AF47" s="633">
        <f t="shared" si="394"/>
        <v>-0.33817949236097272</v>
      </c>
      <c r="AG47" s="602">
        <f t="shared" si="395"/>
        <v>68.251635610084136</v>
      </c>
      <c r="AH47" s="603">
        <f t="shared" si="396"/>
        <v>114.12036469037622</v>
      </c>
      <c r="AI47" s="585">
        <f t="shared" si="397"/>
        <v>-70.23400233718074</v>
      </c>
      <c r="AJ47" s="586">
        <f t="shared" si="398"/>
        <v>-154.2630834272706</v>
      </c>
      <c r="AK47" s="635">
        <f t="shared" si="399"/>
        <v>0.93861047559382438</v>
      </c>
      <c r="AL47" s="629">
        <f t="shared" si="400"/>
        <v>-6.8154281244905135E-2</v>
      </c>
      <c r="AM47" s="634">
        <f t="shared" si="401"/>
        <v>-0.33817949236097272</v>
      </c>
      <c r="AN47" s="581">
        <f t="shared" si="402"/>
        <v>-11.394356151922432</v>
      </c>
      <c r="AO47" s="582">
        <f t="shared" si="94"/>
        <v>20.180501880831262</v>
      </c>
      <c r="AP47" s="585">
        <f t="shared" si="403"/>
        <v>-4.1530661172987511</v>
      </c>
      <c r="AQ47" s="586">
        <f t="shared" si="246"/>
        <v>0.85488489822033475</v>
      </c>
      <c r="AS47" s="52">
        <f t="shared" si="406"/>
        <v>-240.11001730997185</v>
      </c>
      <c r="AT47" s="72">
        <f t="shared" si="247"/>
        <v>0.13154296141284899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5.1159999999999997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1111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-2.8170108560512133</v>
      </c>
      <c r="C48" s="708">
        <v>-1.5827717002764718</v>
      </c>
      <c r="D48" s="709">
        <v>-0.19130057696254024</v>
      </c>
      <c r="E48" s="710">
        <v>0.28559780833839066</v>
      </c>
      <c r="F48" s="708">
        <v>-0.90619300869629948</v>
      </c>
      <c r="G48" s="711">
        <v>0.31184631288866727</v>
      </c>
      <c r="H48" s="710">
        <v>0.219</v>
      </c>
      <c r="I48" s="708">
        <v>0.42</v>
      </c>
      <c r="J48" s="570">
        <v>5.1219999999999999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1111</v>
      </c>
      <c r="L48" s="320"/>
      <c r="M48" s="168">
        <f t="shared" si="239"/>
        <v>5.1219999999999999</v>
      </c>
      <c r="N48" s="632">
        <f t="shared" si="240"/>
        <v>-2.8170108560512133</v>
      </c>
      <c r="O48" s="629">
        <f t="shared" si="241"/>
        <v>-1.5827717002764718</v>
      </c>
      <c r="P48" s="633">
        <f t="shared" si="242"/>
        <v>-0.19130057696254024</v>
      </c>
      <c r="Q48" s="585">
        <f t="shared" si="113"/>
        <v>209.32998277088217</v>
      </c>
      <c r="R48" s="629">
        <f t="shared" si="79"/>
        <v>3.231209745328592</v>
      </c>
      <c r="S48" s="634">
        <f t="shared" si="80"/>
        <v>-0.19130057696254024</v>
      </c>
      <c r="T48" s="635">
        <f t="shared" si="81"/>
        <v>-1.5827717002764723</v>
      </c>
      <c r="U48" s="629">
        <f t="shared" si="82"/>
        <v>2.8170108560512133</v>
      </c>
      <c r="V48" s="636">
        <f t="shared" si="114"/>
        <v>-0.19130057696254024</v>
      </c>
      <c r="W48" s="585">
        <f t="shared" si="224"/>
        <v>119.32998277088217</v>
      </c>
      <c r="X48" s="629">
        <f t="shared" si="83"/>
        <v>3.231209745328592</v>
      </c>
      <c r="Y48" s="630">
        <f t="shared" si="223"/>
        <v>-0.19130057696254024</v>
      </c>
      <c r="Z48" s="632">
        <f t="shared" si="243"/>
        <v>-0.28559780833839066</v>
      </c>
      <c r="AA48" s="629">
        <f t="shared" si="244"/>
        <v>0.90619300869629948</v>
      </c>
      <c r="AB48" s="629">
        <f t="shared" si="245"/>
        <v>-0.31184631288866727</v>
      </c>
      <c r="AC48" s="636">
        <f t="shared" si="84"/>
        <v>1</v>
      </c>
      <c r="AD48" s="637">
        <f t="shared" si="115"/>
        <v>-0.28559780833839066</v>
      </c>
      <c r="AE48" s="629">
        <f t="shared" si="85"/>
        <v>0.90619300869629948</v>
      </c>
      <c r="AF48" s="633">
        <f t="shared" si="86"/>
        <v>-0.31184631288866727</v>
      </c>
      <c r="AG48" s="602">
        <f t="shared" si="87"/>
        <v>71.010229595895055</v>
      </c>
      <c r="AH48" s="603">
        <f t="shared" si="88"/>
        <v>106.59458576957768</v>
      </c>
      <c r="AI48" s="585">
        <f t="shared" si="89"/>
        <v>-71.829466840219411</v>
      </c>
      <c r="AJ48" s="586">
        <f t="shared" si="90"/>
        <v>-162.50711708938451</v>
      </c>
      <c r="AK48" s="635">
        <f t="shared" si="211"/>
        <v>0.9299277696900512</v>
      </c>
      <c r="AL48" s="629">
        <f t="shared" si="91"/>
        <v>-0.19490053949907576</v>
      </c>
      <c r="AM48" s="634">
        <f t="shared" si="92"/>
        <v>-0.31184631288866727</v>
      </c>
      <c r="AN48" s="581">
        <f t="shared" si="93"/>
        <v>-32.004933194165652</v>
      </c>
      <c r="AO48" s="582">
        <f t="shared" si="94"/>
        <v>21.576441596476979</v>
      </c>
      <c r="AP48" s="585">
        <f t="shared" si="95"/>
        <v>-11.837099860266653</v>
      </c>
      <c r="AQ48" s="586">
        <f t="shared" si="246"/>
        <v>0.70549781531873679</v>
      </c>
      <c r="AS48" s="52">
        <f t="shared" si="406"/>
        <v>-240.67001722911783</v>
      </c>
      <c r="AT48" s="72">
        <f t="shared" si="247"/>
        <v>-2.4168620553430636E-2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5.1219999999999999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1111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-3.2451471286346174</v>
      </c>
      <c r="C49" s="708">
        <v>-1.7759288135297364</v>
      </c>
      <c r="D49" s="709">
        <v>-0.52290157707115625</v>
      </c>
      <c r="E49" s="710">
        <v>0.15443106994395278</v>
      </c>
      <c r="F49" s="708">
        <v>-0.9491218747665191</v>
      </c>
      <c r="G49" s="711">
        <v>0.27444254676644847</v>
      </c>
      <c r="H49" s="710">
        <v>0.219</v>
      </c>
      <c r="I49" s="708">
        <v>0.42</v>
      </c>
      <c r="J49" s="570">
        <v>5.1280000000000001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1111</v>
      </c>
      <c r="L49" s="320"/>
      <c r="M49" s="168">
        <f t="shared" si="239"/>
        <v>5.1280000000000001</v>
      </c>
      <c r="N49" s="632">
        <f t="shared" si="240"/>
        <v>-3.2451471286346174</v>
      </c>
      <c r="O49" s="629">
        <f t="shared" si="241"/>
        <v>-1.7759288135297364</v>
      </c>
      <c r="P49" s="633">
        <f t="shared" si="242"/>
        <v>-0.52290157707115625</v>
      </c>
      <c r="Q49" s="585">
        <f t="shared" si="113"/>
        <v>208.6899828632867</v>
      </c>
      <c r="R49" s="629">
        <f t="shared" si="79"/>
        <v>3.69931115712245</v>
      </c>
      <c r="S49" s="634">
        <f t="shared" si="80"/>
        <v>-0.52290157707115625</v>
      </c>
      <c r="T49" s="635">
        <f t="shared" si="81"/>
        <v>-1.7759288135297362</v>
      </c>
      <c r="U49" s="629">
        <f t="shared" si="82"/>
        <v>3.2451471286346174</v>
      </c>
      <c r="V49" s="636">
        <f t="shared" si="114"/>
        <v>-0.52290157707115625</v>
      </c>
      <c r="W49" s="585">
        <f t="shared" si="224"/>
        <v>118.6899828632867</v>
      </c>
      <c r="X49" s="629">
        <f t="shared" si="83"/>
        <v>3.69931115712245</v>
      </c>
      <c r="Y49" s="630">
        <f t="shared" si="223"/>
        <v>-0.52290157707115625</v>
      </c>
      <c r="Z49" s="632">
        <f t="shared" si="243"/>
        <v>-0.15443106994395278</v>
      </c>
      <c r="AA49" s="629">
        <f t="shared" si="244"/>
        <v>0.9491218747665191</v>
      </c>
      <c r="AB49" s="629">
        <f t="shared" si="245"/>
        <v>-0.27444254676644847</v>
      </c>
      <c r="AC49" s="636">
        <f t="shared" si="84"/>
        <v>1</v>
      </c>
      <c r="AD49" s="637">
        <f t="shared" si="115"/>
        <v>-0.15443106994395278</v>
      </c>
      <c r="AE49" s="629">
        <f t="shared" si="85"/>
        <v>0.9491218747665191</v>
      </c>
      <c r="AF49" s="633">
        <f t="shared" si="86"/>
        <v>-0.27444254676644847</v>
      </c>
      <c r="AG49" s="602">
        <f t="shared" si="87"/>
        <v>73.872554126121145</v>
      </c>
      <c r="AH49" s="603">
        <f t="shared" si="88"/>
        <v>98.883801675715802</v>
      </c>
      <c r="AI49" s="585">
        <f t="shared" si="89"/>
        <v>-74.071203646833354</v>
      </c>
      <c r="AJ49" s="586">
        <f t="shared" si="90"/>
        <v>-170.75842394464189</v>
      </c>
      <c r="AK49" s="635">
        <f t="shared" si="211"/>
        <v>0.906736030296447</v>
      </c>
      <c r="AL49" s="629">
        <f t="shared" si="91"/>
        <v>-0.32017348404667539</v>
      </c>
      <c r="AM49" s="634">
        <f t="shared" si="92"/>
        <v>-0.27444254676644847</v>
      </c>
      <c r="AN49" s="581">
        <f t="shared" si="93"/>
        <v>-49.397866475915258</v>
      </c>
      <c r="AO49" s="582">
        <f t="shared" si="94"/>
        <v>24.941878391256655</v>
      </c>
      <c r="AP49" s="585">
        <f t="shared" si="95"/>
        <v>-19.448406807928599</v>
      </c>
      <c r="AQ49" s="586">
        <f t="shared" si="246"/>
        <v>0.61623330151664513</v>
      </c>
      <c r="AS49" s="52">
        <f t="shared" si="406"/>
        <v>-241.3100171367133</v>
      </c>
      <c r="AT49" s="72">
        <f t="shared" si="247"/>
        <v>-0.35532517628177201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5.1280000000000001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1111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-3.5495286260895798</v>
      </c>
      <c r="C50" s="708">
        <v>-1.9024416422164203</v>
      </c>
      <c r="D50" s="709">
        <v>-0.99220299248422561</v>
      </c>
      <c r="E50" s="710">
        <v>3.9505207149841223E-2</v>
      </c>
      <c r="F50" s="708">
        <v>-0.97899964120396166</v>
      </c>
      <c r="G50" s="711">
        <v>0.19999760281203982</v>
      </c>
      <c r="H50" s="710">
        <v>0.219</v>
      </c>
      <c r="I50" s="708">
        <v>0.42</v>
      </c>
      <c r="J50" s="570">
        <v>5.1340000000000003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1111</v>
      </c>
      <c r="L50" s="320"/>
      <c r="M50" s="168">
        <f t="shared" si="239"/>
        <v>5.1340000000000003</v>
      </c>
      <c r="N50" s="632">
        <f t="shared" si="240"/>
        <v>-3.5495286260895798</v>
      </c>
      <c r="O50" s="629">
        <f t="shared" si="241"/>
        <v>-1.9024416422164203</v>
      </c>
      <c r="P50" s="633">
        <f t="shared" si="242"/>
        <v>-0.99220299248422561</v>
      </c>
      <c r="Q50" s="585">
        <f t="shared" si="113"/>
        <v>208.18998293547779</v>
      </c>
      <c r="R50" s="629">
        <f t="shared" si="79"/>
        <v>4.0272121460718315</v>
      </c>
      <c r="S50" s="634">
        <f t="shared" si="80"/>
        <v>-0.99220299248422561</v>
      </c>
      <c r="T50" s="635">
        <f t="shared" si="81"/>
        <v>-1.9024416422164205</v>
      </c>
      <c r="U50" s="629">
        <f t="shared" si="82"/>
        <v>3.5495286260895793</v>
      </c>
      <c r="V50" s="636">
        <f t="shared" si="114"/>
        <v>-0.99220299248422561</v>
      </c>
      <c r="W50" s="585">
        <f t="shared" si="224"/>
        <v>118.18998293547779</v>
      </c>
      <c r="X50" s="629">
        <f t="shared" si="83"/>
        <v>4.0272121460718315</v>
      </c>
      <c r="Y50" s="630">
        <f t="shared" si="223"/>
        <v>-0.99220299248422561</v>
      </c>
      <c r="Z50" s="632">
        <f t="shared" si="243"/>
        <v>-3.9505207149841223E-2</v>
      </c>
      <c r="AA50" s="629">
        <f t="shared" si="244"/>
        <v>0.97899964120396166</v>
      </c>
      <c r="AB50" s="629">
        <f t="shared" si="245"/>
        <v>-0.19999760281203982</v>
      </c>
      <c r="AC50" s="636">
        <f t="shared" si="84"/>
        <v>1</v>
      </c>
      <c r="AD50" s="637">
        <f t="shared" si="115"/>
        <v>-3.9505207149841223E-2</v>
      </c>
      <c r="AE50" s="629">
        <f t="shared" si="85"/>
        <v>0.97899964120396166</v>
      </c>
      <c r="AF50" s="633">
        <f t="shared" si="86"/>
        <v>-0.19999760281203982</v>
      </c>
      <c r="AG50" s="602">
        <f t="shared" si="87"/>
        <v>78.454044097013622</v>
      </c>
      <c r="AH50" s="603">
        <f t="shared" si="88"/>
        <v>92.264070807075612</v>
      </c>
      <c r="AI50" s="585">
        <f t="shared" si="89"/>
        <v>-78.463181148133344</v>
      </c>
      <c r="AJ50" s="586">
        <f t="shared" si="90"/>
        <v>-177.68921849020694</v>
      </c>
      <c r="AK50" s="635">
        <f t="shared" si="211"/>
        <v>0.88153876025974087</v>
      </c>
      <c r="AL50" s="629">
        <f t="shared" si="91"/>
        <v>-0.42765684026934098</v>
      </c>
      <c r="AM50" s="634">
        <f t="shared" si="92"/>
        <v>-0.19999760281203982</v>
      </c>
      <c r="AN50" s="581">
        <f t="shared" si="93"/>
        <v>-64.936431960314593</v>
      </c>
      <c r="AO50" s="582">
        <f t="shared" si="94"/>
        <v>28.171456118310616</v>
      </c>
      <c r="AP50" s="585">
        <f t="shared" si="95"/>
        <v>-25.879201425684705</v>
      </c>
      <c r="AQ50" s="586">
        <f t="shared" si="246"/>
        <v>0.56606217303936002</v>
      </c>
      <c r="AS50" s="52">
        <f t="shared" si="406"/>
        <v>-241.81001706452221</v>
      </c>
      <c r="AT50" s="72">
        <f t="shared" si="247"/>
        <v>-0.82427936952275183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5.1340000000000003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1111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-3.6844935229010853</v>
      </c>
      <c r="C51" s="708">
        <v>-1.9549561172395691</v>
      </c>
      <c r="D51" s="709">
        <v>-1.6030048346625807</v>
      </c>
      <c r="E51" s="710">
        <v>-5.2601566277665587E-2</v>
      </c>
      <c r="F51" s="708">
        <v>-0.99632640624012514</v>
      </c>
      <c r="G51" s="711">
        <v>6.7577862157466251E-2</v>
      </c>
      <c r="H51" s="710">
        <v>0.26600000000000001</v>
      </c>
      <c r="I51" s="708">
        <v>0.52</v>
      </c>
      <c r="J51" s="570">
        <v>5.14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5.14</v>
      </c>
      <c r="N51" s="632">
        <f t="shared" si="240"/>
        <v>-3.6844935229010853</v>
      </c>
      <c r="O51" s="629">
        <f t="shared" si="241"/>
        <v>-1.9549561172395691</v>
      </c>
      <c r="P51" s="633">
        <f t="shared" si="242"/>
        <v>-1.6030048346625807</v>
      </c>
      <c r="Q51" s="585">
        <f t="shared" si="113"/>
        <v>207.94998297012947</v>
      </c>
      <c r="R51" s="629">
        <f t="shared" si="79"/>
        <v>4.1710125797739401</v>
      </c>
      <c r="S51" s="634">
        <f t="shared" si="80"/>
        <v>-1.6030048346625807</v>
      </c>
      <c r="T51" s="635">
        <f t="shared" si="81"/>
        <v>-1.9549561172395691</v>
      </c>
      <c r="U51" s="629">
        <f t="shared" si="82"/>
        <v>3.6844935229010849</v>
      </c>
      <c r="V51" s="636">
        <f t="shared" si="114"/>
        <v>-1.6030048346625807</v>
      </c>
      <c r="W51" s="585">
        <f t="shared" si="224"/>
        <v>117.94998297012947</v>
      </c>
      <c r="X51" s="629">
        <f t="shared" si="83"/>
        <v>4.1710125797739401</v>
      </c>
      <c r="Y51" s="630">
        <f t="shared" si="223"/>
        <v>-1.6030048346625807</v>
      </c>
      <c r="Z51" s="632">
        <f t="shared" si="243"/>
        <v>5.2601566277665587E-2</v>
      </c>
      <c r="AA51" s="629">
        <f t="shared" si="244"/>
        <v>0.99632640624012514</v>
      </c>
      <c r="AB51" s="629">
        <f t="shared" si="245"/>
        <v>-6.7577862157466251E-2</v>
      </c>
      <c r="AC51" s="636">
        <f t="shared" si="84"/>
        <v>1</v>
      </c>
      <c r="AD51" s="637">
        <f t="shared" si="115"/>
        <v>5.2601566277665587E-2</v>
      </c>
      <c r="AE51" s="629">
        <f t="shared" si="85"/>
        <v>0.99632640624012514</v>
      </c>
      <c r="AF51" s="633">
        <f t="shared" si="86"/>
        <v>-6.7577862157466251E-2</v>
      </c>
      <c r="AG51" s="602">
        <f t="shared" si="87"/>
        <v>86.119740483685092</v>
      </c>
      <c r="AH51" s="603">
        <f t="shared" si="88"/>
        <v>86.984760674802445</v>
      </c>
      <c r="AI51" s="585">
        <f t="shared" si="89"/>
        <v>-86.125120605902566</v>
      </c>
      <c r="AJ51" s="586">
        <f t="shared" si="90"/>
        <v>176.97784564799011</v>
      </c>
      <c r="AK51" s="635">
        <f t="shared" si="211"/>
        <v>0.85545760615028787</v>
      </c>
      <c r="AL51" s="629">
        <f t="shared" si="91"/>
        <v>-0.51344475518389088</v>
      </c>
      <c r="AM51" s="634">
        <f t="shared" si="92"/>
        <v>-6.7577862157466251E-2</v>
      </c>
      <c r="AN51" s="581">
        <f t="shared" si="93"/>
        <v>-82.50202073978609</v>
      </c>
      <c r="AO51" s="582">
        <f t="shared" si="94"/>
        <v>31.189674038065668</v>
      </c>
      <c r="AP51" s="585">
        <f t="shared" si="95"/>
        <v>-30.972137322139361</v>
      </c>
      <c r="AQ51" s="586">
        <f t="shared" si="246"/>
        <v>0.54654773656862798</v>
      </c>
      <c r="AS51" s="52">
        <f t="shared" si="406"/>
        <v>-242.05001702987053</v>
      </c>
      <c r="AT51" s="72">
        <f t="shared" si="247"/>
        <v>-1.4349145450585039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5.14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-1.4137846409511374</v>
      </c>
      <c r="C52" s="708">
        <v>-2.4677702702318418E-2</v>
      </c>
      <c r="D52" s="709">
        <v>-2.4400000000000446E-2</v>
      </c>
      <c r="E52" s="710">
        <v>0.13050631244875865</v>
      </c>
      <c r="F52" s="708">
        <v>2.2779961573353006E-3</v>
      </c>
      <c r="G52" s="711">
        <v>0.99144486137381049</v>
      </c>
      <c r="H52" s="710">
        <v>0.19500000000000001</v>
      </c>
      <c r="I52" s="708">
        <v>0.438</v>
      </c>
      <c r="J52" s="570">
        <v>5.3049999999999997</v>
      </c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Undefined</v>
      </c>
      <c r="L52" s="320"/>
      <c r="M52" s="168">
        <f t="shared" si="239"/>
        <v>5.3049999999999997</v>
      </c>
      <c r="N52" s="632">
        <f t="shared" si="240"/>
        <v>-1.4137846409511374</v>
      </c>
      <c r="O52" s="629">
        <f t="shared" si="241"/>
        <v>-2.4677702702318418E-2</v>
      </c>
      <c r="P52" s="633">
        <f t="shared" si="242"/>
        <v>-2.4400000000000446E-2</v>
      </c>
      <c r="Q52" s="585">
        <f t="shared" si="113"/>
        <v>181</v>
      </c>
      <c r="R52" s="629">
        <f t="shared" si="79"/>
        <v>1.4140000000000001</v>
      </c>
      <c r="S52" s="634">
        <f t="shared" si="80"/>
        <v>-2.4400000000000446E-2</v>
      </c>
      <c r="T52" s="635">
        <f t="shared" si="81"/>
        <v>-2.4677702702318838E-2</v>
      </c>
      <c r="U52" s="629">
        <f t="shared" si="82"/>
        <v>1.4137846409511374</v>
      </c>
      <c r="V52" s="636">
        <f t="shared" si="114"/>
        <v>-2.4400000000000446E-2</v>
      </c>
      <c r="W52" s="585">
        <f t="shared" si="224"/>
        <v>91</v>
      </c>
      <c r="X52" s="629">
        <f t="shared" si="83"/>
        <v>1.4140000000000001</v>
      </c>
      <c r="Y52" s="630">
        <f t="shared" si="223"/>
        <v>-2.4400000000000446E-2</v>
      </c>
      <c r="Z52" s="632">
        <f t="shared" si="243"/>
        <v>-0.13050631244875865</v>
      </c>
      <c r="AA52" s="629">
        <f t="shared" si="244"/>
        <v>-2.2779961573353006E-3</v>
      </c>
      <c r="AB52" s="629">
        <f t="shared" si="245"/>
        <v>-0.99144486137381049</v>
      </c>
      <c r="AC52" s="636">
        <f t="shared" si="84"/>
        <v>1</v>
      </c>
      <c r="AD52" s="637">
        <f t="shared" si="115"/>
        <v>-0.13050631244875865</v>
      </c>
      <c r="AE52" s="629">
        <f t="shared" si="85"/>
        <v>-2.2779961573353006E-3</v>
      </c>
      <c r="AF52" s="633">
        <f t="shared" si="86"/>
        <v>-0.99144486137381049</v>
      </c>
      <c r="AG52" s="602">
        <f t="shared" si="87"/>
        <v>-0.13164558208732777</v>
      </c>
      <c r="AH52" s="603">
        <f t="shared" si="88"/>
        <v>97.498851145904496</v>
      </c>
      <c r="AI52" s="585">
        <f t="shared" si="89"/>
        <v>-7.4999999999999662</v>
      </c>
      <c r="AJ52" s="586">
        <f t="shared" si="90"/>
        <v>-89.000000000000028</v>
      </c>
      <c r="AK52" s="635">
        <f t="shared" si="211"/>
        <v>2.7755575615628914E-17</v>
      </c>
      <c r="AL52" s="629">
        <f t="shared" si="91"/>
        <v>0.1305261922200516</v>
      </c>
      <c r="AM52" s="634">
        <f t="shared" si="92"/>
        <v>-0.99144486137381049</v>
      </c>
      <c r="AN52" s="581">
        <f t="shared" si="93"/>
        <v>7.5000000000000009</v>
      </c>
      <c r="AO52" s="582">
        <f t="shared" si="94"/>
        <v>0</v>
      </c>
      <c r="AP52" s="585">
        <f t="shared" si="95"/>
        <v>89.999999999999986</v>
      </c>
      <c r="AQ52" s="586">
        <f t="shared" si="246"/>
        <v>1.6118282981189249</v>
      </c>
      <c r="AS52" s="52">
        <f t="shared" si="406"/>
        <v>-269</v>
      </c>
      <c r="AT52" s="72">
        <f t="shared" si="247"/>
        <v>0.16240555555555511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5.3049999999999997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5.1050000000000004</v>
      </c>
      <c r="II52" s="734" cm="1">
        <f t="array" ref="II52">IFERROR(ROUND(VALUE(IF($IH52&lt;1,$IH52+LARGE((IF($M$9:$M$150="",0,$M$9:$M$150)-MOD(IF($M$9:$M$150="",0,$M$9:$M$150),1)),1),$IH52)),4),"")</f>
        <v>5.1050000000000004</v>
      </c>
      <c r="IJ52" s="533">
        <f t="shared" si="112"/>
        <v>1111</v>
      </c>
      <c r="IK52" s="533" t="str">
        <f t="shared" si="382"/>
        <v>Undefined</v>
      </c>
      <c r="IL52" s="727">
        <f t="shared" si="225"/>
        <v>28.999982674146111</v>
      </c>
      <c r="IM52" s="759">
        <v>0.14474858888629799</v>
      </c>
      <c r="IN52" s="5">
        <f t="shared" si="226"/>
        <v>0</v>
      </c>
      <c r="IO52" s="771">
        <v>0</v>
      </c>
      <c r="IP52" s="9">
        <f t="shared" si="227"/>
        <v>-0.99020298645220717</v>
      </c>
      <c r="IQ52" s="5">
        <f t="shared" si="228"/>
        <v>-0.21240064060033229</v>
      </c>
      <c r="IR52" s="5">
        <f t="shared" si="383"/>
        <v>0.219</v>
      </c>
      <c r="IS52" s="5">
        <f t="shared" si="229"/>
        <v>0.20579268772711026</v>
      </c>
      <c r="IT52" s="727">
        <f t="shared" si="230"/>
        <v>-7.4999989171342039</v>
      </c>
      <c r="IU52" s="9">
        <f t="shared" si="231"/>
        <v>-1.4140000000000001</v>
      </c>
      <c r="IV52" s="5">
        <f t="shared" si="232"/>
        <v>-2.4400000000000446E-2</v>
      </c>
      <c r="IW52" s="5">
        <f t="shared" si="384"/>
        <v>0.19500000000000001</v>
      </c>
      <c r="IX52" s="5">
        <f t="shared" si="233"/>
        <v>0.19500000000000001</v>
      </c>
      <c r="IY52" s="762">
        <f t="shared" si="234"/>
        <v>-7.5000000000000009</v>
      </c>
    </row>
    <row r="53" spans="1:259" ht="15" customHeight="1" x14ac:dyDescent="0.25">
      <c r="A53" s="79"/>
      <c r="B53" s="707">
        <v>-1.9092368365337475</v>
      </c>
      <c r="C53" s="708">
        <v>-0.26832573865100567</v>
      </c>
      <c r="D53" s="709">
        <v>4.3200000000000224E-2</v>
      </c>
      <c r="E53" s="710">
        <v>0.12925592028994146</v>
      </c>
      <c r="F53" s="708">
        <v>1.8165734927774131E-2</v>
      </c>
      <c r="G53" s="711">
        <v>0.99144486137381038</v>
      </c>
      <c r="H53" s="710">
        <v>0.19500000000000001</v>
      </c>
      <c r="I53" s="708">
        <v>0.438</v>
      </c>
      <c r="J53" s="570">
        <v>5.3079999999999998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Undefined</v>
      </c>
      <c r="L53" s="320"/>
      <c r="M53" s="168">
        <f t="shared" si="239"/>
        <v>5.3079999999999998</v>
      </c>
      <c r="N53" s="632">
        <f t="shared" si="240"/>
        <v>-1.9092368365337475</v>
      </c>
      <c r="O53" s="629">
        <f t="shared" si="241"/>
        <v>-0.26832573865100567</v>
      </c>
      <c r="P53" s="633">
        <f t="shared" si="242"/>
        <v>4.3200000000000224E-2</v>
      </c>
      <c r="Q53" s="585">
        <f t="shared" si="113"/>
        <v>188</v>
      </c>
      <c r="R53" s="629">
        <f t="shared" ref="R53:R58" si="410">IF(M53="","",SQRT(N53^2+O53^2))</f>
        <v>1.9279999999999999</v>
      </c>
      <c r="S53" s="634">
        <f t="shared" ref="S53:S58" si="411">IF(M53="","",P53)</f>
        <v>4.3200000000000224E-2</v>
      </c>
      <c r="T53" s="635">
        <f t="shared" ref="T53:T58" si="412">IF(M53="","",X53*COS(RADIANS(W53)))</f>
        <v>-0.26832573865100601</v>
      </c>
      <c r="U53" s="629">
        <f t="shared" ref="U53:U58" si="413">IF(M53="","",X53*SIN(RADIANS(W53)))</f>
        <v>1.9092368365337475</v>
      </c>
      <c r="V53" s="636">
        <f t="shared" ref="V53:V58" si="414">IF(M53="","",Y53)</f>
        <v>4.3200000000000224E-2</v>
      </c>
      <c r="W53" s="585">
        <f t="shared" si="224"/>
        <v>98</v>
      </c>
      <c r="X53" s="629">
        <f t="shared" ref="X53:X58" si="415">IF(M53="","",R53)</f>
        <v>1.9279999999999999</v>
      </c>
      <c r="Y53" s="630">
        <f t="shared" si="223"/>
        <v>4.3200000000000224E-2</v>
      </c>
      <c r="Z53" s="632">
        <f t="shared" si="243"/>
        <v>-0.12925592028994146</v>
      </c>
      <c r="AA53" s="629">
        <f t="shared" si="244"/>
        <v>-1.8165734927774131E-2</v>
      </c>
      <c r="AB53" s="629">
        <f t="shared" si="245"/>
        <v>-0.99144486137381038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-0.12925592028994146</v>
      </c>
      <c r="AE53" s="629">
        <f t="shared" ref="AE53:AE58" si="418">IF(M53="","",AA53*(1/SQRT(Z53^2+AA53^2+AB53^2)))</f>
        <v>-1.8165734927774131E-2</v>
      </c>
      <c r="AF53" s="633">
        <f t="shared" ref="AF53:AF58" si="419">IF(M53="","",AB53*(1/SQRT(Z53^2+AA53^2+AB53^2)))</f>
        <v>-0.99144486137381038</v>
      </c>
      <c r="AG53" s="602">
        <f t="shared" ref="AG53:AG58" si="420">IF(M53="","",DEGREES(ATAN2(-AF53,AE53)))</f>
        <v>-1.0496836835592678</v>
      </c>
      <c r="AH53" s="603">
        <f t="shared" ref="AH53:AH58" si="421">IF(M53="","",DEGREES(ACOS(AD53)))</f>
        <v>97.426596923413214</v>
      </c>
      <c r="AI53" s="585">
        <f t="shared" ref="AI53:AI58" si="422">IF(M53="","",DEGREES(-ACOS(-AF53)))</f>
        <v>-7.5000000000000044</v>
      </c>
      <c r="AJ53" s="586">
        <f t="shared" ref="AJ53:AJ58" si="423">IF(M53="","",DEGREES(ATAN2(-AE53,AD53)))</f>
        <v>-82.000000000000014</v>
      </c>
      <c r="AK53" s="635">
        <f t="shared" ref="AK53:AK58" si="424">IF(M53="","",(COS(RADIANS((90-$Q$8)-W53))*AD53)+(-SIN(RADIANS((90-$Q$8)-W53))*AE53))</f>
        <v>0</v>
      </c>
      <c r="AL53" s="629">
        <f t="shared" ref="AL53:AL58" si="425">IF(M53="","",(SIN(RADIANS((90-$Q$8)-W53))*AD53)+(COS(RADIANS((90-$Q$8)-W53))*AE53))</f>
        <v>0.13052619222005157</v>
      </c>
      <c r="AM53" s="634">
        <f t="shared" ref="AM53:AM58" si="426">IF(M53="","",AF53)</f>
        <v>-0.99144486137381038</v>
      </c>
      <c r="AN53" s="581">
        <f t="shared" ref="AN53:AN58" si="427">IF(M53="","",DEGREES(ATAN2(-AM53,AL53)))</f>
        <v>7.4999999999999991</v>
      </c>
      <c r="AO53" s="582">
        <f t="shared" si="94"/>
        <v>0</v>
      </c>
      <c r="AP53" s="585">
        <f t="shared" ref="AP53:AP58" si="428">IF(M53="","",DEGREES(ATAN2(AK53,AL53)))</f>
        <v>90</v>
      </c>
      <c r="AQ53" s="586">
        <f t="shared" si="246"/>
        <v>1.1822630033700747</v>
      </c>
      <c r="AS53" s="52">
        <f t="shared" si="406"/>
        <v>-262</v>
      </c>
      <c r="AT53" s="72">
        <f t="shared" si="247"/>
        <v>0.2251444444444447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Nose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5.3079999999999998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5.1079999999999997</v>
      </c>
      <c r="II53" s="734" cm="1">
        <f t="array" ref="II53">IFERROR(ROUND(VALUE(IF($IH53&lt;1,$IH53+LARGE((IF($M$9:$M$150="",0,$M$9:$M$150)-MOD(IF($M$9:$M$150="",0,$M$9:$M$150),1)),1),$IH53)),4),"")</f>
        <v>5.1079999999999997</v>
      </c>
      <c r="IJ53" s="533">
        <f t="shared" si="112"/>
        <v>1111</v>
      </c>
      <c r="IK53" s="533" t="str">
        <f t="shared" si="382"/>
        <v>Undefined</v>
      </c>
      <c r="IL53" s="727">
        <f t="shared" si="225"/>
        <v>21.999982674146139</v>
      </c>
      <c r="IM53" s="759">
        <v>0.114188923065138</v>
      </c>
      <c r="IN53" s="5">
        <f t="shared" si="226"/>
        <v>0</v>
      </c>
      <c r="IO53" s="771">
        <v>0</v>
      </c>
      <c r="IP53" s="9">
        <f t="shared" si="227"/>
        <v>-1.5464046639564664</v>
      </c>
      <c r="IQ53" s="5">
        <f t="shared" si="228"/>
        <v>-0.13920041982846626</v>
      </c>
      <c r="IR53" s="5">
        <f t="shared" si="383"/>
        <v>0.219</v>
      </c>
      <c r="IS53" s="5">
        <f t="shared" si="229"/>
        <v>0.20579268772711026</v>
      </c>
      <c r="IT53" s="727">
        <f t="shared" si="230"/>
        <v>-7.499998917134139</v>
      </c>
      <c r="IU53" s="9">
        <f t="shared" si="231"/>
        <v>-1.9279999999999999</v>
      </c>
      <c r="IV53" s="5">
        <f t="shared" si="232"/>
        <v>4.3200000000000224E-2</v>
      </c>
      <c r="IW53" s="5">
        <f t="shared" si="384"/>
        <v>0.19500000000000001</v>
      </c>
      <c r="IX53" s="5">
        <f t="shared" si="233"/>
        <v>0.19500000000000001</v>
      </c>
      <c r="IY53" s="762">
        <f t="shared" si="234"/>
        <v>-7.4999999999999991</v>
      </c>
    </row>
    <row r="54" spans="1:259" ht="15" customHeight="1" x14ac:dyDescent="0.25">
      <c r="A54" s="79"/>
      <c r="B54" s="707">
        <v>-2.1019749374329795</v>
      </c>
      <c r="C54" s="708">
        <v>1.4745544713452676</v>
      </c>
      <c r="D54" s="709">
        <v>-2.8500085956259164E-2</v>
      </c>
      <c r="E54" s="710">
        <v>-0.57702235941633273</v>
      </c>
      <c r="F54" s="708">
        <v>-0.74211126283527684</v>
      </c>
      <c r="G54" s="711">
        <v>0.34105141886032259</v>
      </c>
      <c r="H54" s="710">
        <v>0.219</v>
      </c>
      <c r="I54" s="708">
        <v>0.42</v>
      </c>
      <c r="J54" s="570">
        <v>6.1150000000000002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1111</v>
      </c>
      <c r="L54" s="320"/>
      <c r="M54" s="168">
        <f t="shared" si="239"/>
        <v>6.1150000000000002</v>
      </c>
      <c r="N54" s="632">
        <f t="shared" si="240"/>
        <v>-2.1019749374329795</v>
      </c>
      <c r="O54" s="629">
        <f t="shared" si="241"/>
        <v>1.4745544713452676</v>
      </c>
      <c r="P54" s="633">
        <f t="shared" si="242"/>
        <v>-2.8500085956259164E-2</v>
      </c>
      <c r="Q54" s="585">
        <f t="shared" si="113"/>
        <v>144.94999206620275</v>
      </c>
      <c r="R54" s="629">
        <f t="shared" si="410"/>
        <v>2.5676077439049561</v>
      </c>
      <c r="S54" s="634">
        <f t="shared" si="411"/>
        <v>-2.8500085956259164E-2</v>
      </c>
      <c r="T54" s="635">
        <f t="shared" si="412"/>
        <v>1.4745544713452674</v>
      </c>
      <c r="U54" s="629">
        <f t="shared" si="413"/>
        <v>2.1019749374329795</v>
      </c>
      <c r="V54" s="636">
        <f t="shared" si="414"/>
        <v>-2.8500085956259164E-2</v>
      </c>
      <c r="W54" s="585">
        <f t="shared" si="224"/>
        <v>54.949992066202753</v>
      </c>
      <c r="X54" s="629">
        <f t="shared" si="415"/>
        <v>2.5676077439049561</v>
      </c>
      <c r="Y54" s="630">
        <f t="shared" si="223"/>
        <v>-2.8500085956259164E-2</v>
      </c>
      <c r="Z54" s="632">
        <f t="shared" si="243"/>
        <v>0.57702235941633273</v>
      </c>
      <c r="AA54" s="629">
        <f t="shared" si="244"/>
        <v>0.74211126283527684</v>
      </c>
      <c r="AB54" s="629">
        <f t="shared" si="245"/>
        <v>-0.34105141886032259</v>
      </c>
      <c r="AC54" s="636">
        <f t="shared" si="416"/>
        <v>1</v>
      </c>
      <c r="AD54" s="637">
        <f t="shared" si="417"/>
        <v>0.57702235941633273</v>
      </c>
      <c r="AE54" s="629">
        <f t="shared" si="418"/>
        <v>0.74211126283527684</v>
      </c>
      <c r="AF54" s="633">
        <f t="shared" si="419"/>
        <v>-0.34105141886032259</v>
      </c>
      <c r="AG54" s="602">
        <f t="shared" si="420"/>
        <v>65.317949214287253</v>
      </c>
      <c r="AH54" s="603">
        <f t="shared" si="421"/>
        <v>54.758617369696381</v>
      </c>
      <c r="AI54" s="585">
        <f t="shared" si="422"/>
        <v>-70.05905486851691</v>
      </c>
      <c r="AJ54" s="586">
        <f t="shared" si="423"/>
        <v>142.13344971164122</v>
      </c>
      <c r="AK54" s="635">
        <f t="shared" si="424"/>
        <v>0.93890906083015668</v>
      </c>
      <c r="AL54" s="629">
        <f t="shared" si="425"/>
        <v>-4.6192046765584915E-2</v>
      </c>
      <c r="AM54" s="634">
        <f t="shared" si="426"/>
        <v>-0.34105141886032259</v>
      </c>
      <c r="AN54" s="581">
        <f t="shared" si="427"/>
        <v>-7.7132122628820543</v>
      </c>
      <c r="AO54" s="582">
        <f t="shared" si="94"/>
        <v>20.130852839605566</v>
      </c>
      <c r="AP54" s="585">
        <f t="shared" si="428"/>
        <v>-2.8165423545615509</v>
      </c>
      <c r="AQ54" s="586">
        <f t="shared" si="246"/>
        <v>0.88780857582240014</v>
      </c>
      <c r="AS54" s="52">
        <f t="shared" si="406"/>
        <v>-305.05000793379725</v>
      </c>
      <c r="AT54" s="72">
        <f t="shared" si="247"/>
        <v>0.18334019733110005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6.1150000000000002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1111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-2.5566157875086946</v>
      </c>
      <c r="C55" s="708">
        <v>1.8276593174770266</v>
      </c>
      <c r="D55" s="709">
        <v>-0.15310046175099287</v>
      </c>
      <c r="E55" s="710">
        <v>-0.68398111366018477</v>
      </c>
      <c r="F55" s="708">
        <v>-0.66225194208392923</v>
      </c>
      <c r="G55" s="711">
        <v>0.30592842522759717</v>
      </c>
      <c r="H55" s="710">
        <v>0.219</v>
      </c>
      <c r="I55" s="708">
        <v>0.42</v>
      </c>
      <c r="J55" s="570">
        <v>6.1210000000000004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1111</v>
      </c>
      <c r="L55" s="320"/>
      <c r="M55" s="168">
        <f t="shared" si="239"/>
        <v>6.1210000000000004</v>
      </c>
      <c r="N55" s="632">
        <f t="shared" si="240"/>
        <v>-2.5566157875086946</v>
      </c>
      <c r="O55" s="629">
        <f t="shared" si="241"/>
        <v>1.8276593174770266</v>
      </c>
      <c r="P55" s="633">
        <f t="shared" si="242"/>
        <v>-0.15310046175099287</v>
      </c>
      <c r="Q55" s="585">
        <f t="shared" si="113"/>
        <v>144.43999213983764</v>
      </c>
      <c r="R55" s="629">
        <f t="shared" si="410"/>
        <v>3.1427094784117879</v>
      </c>
      <c r="S55" s="634">
        <f t="shared" si="411"/>
        <v>-0.15310046175099287</v>
      </c>
      <c r="T55" s="635">
        <f t="shared" si="412"/>
        <v>1.8276593174770259</v>
      </c>
      <c r="U55" s="629">
        <f t="shared" si="413"/>
        <v>2.556615787508695</v>
      </c>
      <c r="V55" s="636">
        <f t="shared" si="414"/>
        <v>-0.15310046175099287</v>
      </c>
      <c r="W55" s="585">
        <f t="shared" si="224"/>
        <v>54.439992139837642</v>
      </c>
      <c r="X55" s="629">
        <f t="shared" si="415"/>
        <v>3.1427094784117879</v>
      </c>
      <c r="Y55" s="630">
        <f t="shared" si="223"/>
        <v>-0.15310046175099287</v>
      </c>
      <c r="Z55" s="632">
        <f t="shared" si="243"/>
        <v>0.68398111366018477</v>
      </c>
      <c r="AA55" s="629">
        <f t="shared" si="244"/>
        <v>0.66225194208392923</v>
      </c>
      <c r="AB55" s="629">
        <f t="shared" si="245"/>
        <v>-0.30592842522759717</v>
      </c>
      <c r="AC55" s="636">
        <f t="shared" si="416"/>
        <v>1</v>
      </c>
      <c r="AD55" s="637">
        <f t="shared" si="417"/>
        <v>0.68398111366018477</v>
      </c>
      <c r="AE55" s="629">
        <f t="shared" si="418"/>
        <v>0.66225194208392923</v>
      </c>
      <c r="AF55" s="633">
        <f t="shared" si="419"/>
        <v>-0.30592842522759717</v>
      </c>
      <c r="AG55" s="602">
        <f t="shared" si="420"/>
        <v>65.205342509265691</v>
      </c>
      <c r="AH55" s="603">
        <f t="shared" si="421"/>
        <v>46.844469894369446</v>
      </c>
      <c r="AI55" s="585">
        <f t="shared" si="422"/>
        <v>-72.185971095379401</v>
      </c>
      <c r="AJ55" s="586">
        <f t="shared" si="423"/>
        <v>134.07528513052262</v>
      </c>
      <c r="AK55" s="635">
        <f t="shared" si="424"/>
        <v>0.93651934613020871</v>
      </c>
      <c r="AL55" s="629">
        <f t="shared" si="425"/>
        <v>-0.17128722357960341</v>
      </c>
      <c r="AM55" s="634">
        <f t="shared" si="426"/>
        <v>-0.30592842522759717</v>
      </c>
      <c r="AN55" s="581">
        <f t="shared" si="427"/>
        <v>-29.244164738931524</v>
      </c>
      <c r="AO55" s="582">
        <f>IF(ROUND(IF(M55="",0,DEGREES(ACOS(AK55))),4)=90,0,IF(M55="","",DEGREES(ACOS(AK55))))</f>
        <v>20.524991365458988</v>
      </c>
      <c r="AP55" s="585">
        <f t="shared" si="428"/>
        <v>-10.36470700931503</v>
      </c>
      <c r="AQ55" s="586">
        <f t="shared" si="246"/>
        <v>0.72536289212294069</v>
      </c>
      <c r="AS55" s="52">
        <f t="shared" si="406"/>
        <v>-305.56000786016239</v>
      </c>
      <c r="AT55" s="72">
        <f t="shared" si="247"/>
        <v>5.9093988151897675E-2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6.1210000000000004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1111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-2.9288709957862085</v>
      </c>
      <c r="C56" s="708">
        <v>2.1436101328291808</v>
      </c>
      <c r="D56" s="709">
        <v>-0.45760138012576207</v>
      </c>
      <c r="E56" s="710">
        <v>-0.77904736383733164</v>
      </c>
      <c r="F56" s="708">
        <v>-0.5626931407044502</v>
      </c>
      <c r="G56" s="711">
        <v>0.27651696928446551</v>
      </c>
      <c r="H56" s="710">
        <v>0.219</v>
      </c>
      <c r="I56" s="708">
        <v>0.42</v>
      </c>
      <c r="J56" s="570">
        <v>6.1269999999999998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1111</v>
      </c>
      <c r="L56" s="320"/>
      <c r="M56" s="168">
        <f t="shared" si="239"/>
        <v>6.1269999999999998</v>
      </c>
      <c r="N56" s="632">
        <f t="shared" si="240"/>
        <v>-2.9288709957862085</v>
      </c>
      <c r="O56" s="629">
        <f t="shared" si="241"/>
        <v>2.1436101328291808</v>
      </c>
      <c r="P56" s="633">
        <f t="shared" si="242"/>
        <v>-0.45760138012576207</v>
      </c>
      <c r="Q56" s="585">
        <f t="shared" si="113"/>
        <v>143.7999922322422</v>
      </c>
      <c r="R56" s="629">
        <f t="shared" si="410"/>
        <v>3.6295109466050155</v>
      </c>
      <c r="S56" s="634">
        <f t="shared" si="411"/>
        <v>-0.45760138012576207</v>
      </c>
      <c r="T56" s="635">
        <f t="shared" si="412"/>
        <v>2.1436101328291803</v>
      </c>
      <c r="U56" s="629">
        <f t="shared" si="413"/>
        <v>2.9288709957862089</v>
      </c>
      <c r="V56" s="636">
        <f t="shared" si="414"/>
        <v>-0.45760138012576207</v>
      </c>
      <c r="W56" s="585">
        <f t="shared" si="224"/>
        <v>53.799992232242204</v>
      </c>
      <c r="X56" s="629">
        <f t="shared" si="415"/>
        <v>3.6295109466050155</v>
      </c>
      <c r="Y56" s="630">
        <f t="shared" si="223"/>
        <v>-0.45760138012576207</v>
      </c>
      <c r="Z56" s="632">
        <f t="shared" si="243"/>
        <v>0.77904736383733164</v>
      </c>
      <c r="AA56" s="629">
        <f t="shared" si="244"/>
        <v>0.5626931407044502</v>
      </c>
      <c r="AB56" s="629">
        <f t="shared" si="245"/>
        <v>-0.27651696928446551</v>
      </c>
      <c r="AC56" s="636">
        <f t="shared" si="416"/>
        <v>1</v>
      </c>
      <c r="AD56" s="637">
        <f t="shared" si="417"/>
        <v>0.77904736383733164</v>
      </c>
      <c r="AE56" s="629">
        <f t="shared" si="418"/>
        <v>0.5626931407044502</v>
      </c>
      <c r="AF56" s="633">
        <f t="shared" si="419"/>
        <v>-0.27651696928446551</v>
      </c>
      <c r="AG56" s="602">
        <f t="shared" si="420"/>
        <v>63.829714123683722</v>
      </c>
      <c r="AH56" s="603">
        <f t="shared" si="421"/>
        <v>38.826564500926963</v>
      </c>
      <c r="AI56" s="585">
        <f t="shared" si="422"/>
        <v>-73.947563956569468</v>
      </c>
      <c r="AJ56" s="586">
        <f t="shared" si="423"/>
        <v>125.83996435566998</v>
      </c>
      <c r="AK56" s="635">
        <f t="shared" si="424"/>
        <v>0.91418086106512708</v>
      </c>
      <c r="AL56" s="629">
        <f t="shared" si="425"/>
        <v>-0.29633042192788223</v>
      </c>
      <c r="AM56" s="634">
        <f t="shared" si="426"/>
        <v>-0.27651696928446551</v>
      </c>
      <c r="AN56" s="581">
        <f t="shared" si="427"/>
        <v>-46.980937441462984</v>
      </c>
      <c r="AO56" s="582">
        <f t="shared" ref="AO56:AO119" si="461">IF(ROUND(IF(M56="",0,DEGREES(ACOS(AK56))),4)=90,0,IF(M56="","",DEGREES(ACOS(AK56))))</f>
        <v>23.910334992436198</v>
      </c>
      <c r="AP56" s="585">
        <f t="shared" si="428"/>
        <v>-17.960027876572237</v>
      </c>
      <c r="AQ56" s="586">
        <f t="shared" si="246"/>
        <v>0.62808332801208899</v>
      </c>
      <c r="AS56" s="52">
        <f t="shared" si="406"/>
        <v>-306.20000776775782</v>
      </c>
      <c r="AT56" s="72">
        <f t="shared" si="247"/>
        <v>-0.24496248584259692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6.1269999999999998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1111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-3.1914985839756622</v>
      </c>
      <c r="C57" s="708">
        <v>2.3823381840297206</v>
      </c>
      <c r="D57" s="709">
        <v>-0.90680273491704932</v>
      </c>
      <c r="E57" s="710">
        <v>-0.85751154763595694</v>
      </c>
      <c r="F57" s="708">
        <v>-0.47007603463212183</v>
      </c>
      <c r="G57" s="711">
        <v>0.20905135095360278</v>
      </c>
      <c r="H57" s="710">
        <v>0.219</v>
      </c>
      <c r="I57" s="708">
        <v>0.42</v>
      </c>
      <c r="J57" s="570">
        <v>6.133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1111</v>
      </c>
      <c r="L57" s="320"/>
      <c r="M57" s="168">
        <f t="shared" si="239"/>
        <v>6.133</v>
      </c>
      <c r="N57" s="632">
        <f t="shared" si="240"/>
        <v>-3.1914985839756622</v>
      </c>
      <c r="O57" s="629">
        <f t="shared" si="241"/>
        <v>2.3823381840297206</v>
      </c>
      <c r="P57" s="633">
        <f t="shared" si="242"/>
        <v>-0.90680273491704932</v>
      </c>
      <c r="Q57" s="585">
        <f t="shared" si="113"/>
        <v>143.25999231020853</v>
      </c>
      <c r="R57" s="629">
        <f t="shared" si="410"/>
        <v>3.9826120115578276</v>
      </c>
      <c r="S57" s="634">
        <f t="shared" si="411"/>
        <v>-0.90680273491704932</v>
      </c>
      <c r="T57" s="635">
        <f t="shared" si="412"/>
        <v>2.3823381840297206</v>
      </c>
      <c r="U57" s="629">
        <f t="shared" si="413"/>
        <v>3.1914985839756622</v>
      </c>
      <c r="V57" s="636">
        <f t="shared" si="414"/>
        <v>-0.90680273491704932</v>
      </c>
      <c r="W57" s="585">
        <f t="shared" si="224"/>
        <v>53.259992310208531</v>
      </c>
      <c r="X57" s="629">
        <f t="shared" si="415"/>
        <v>3.9826120115578276</v>
      </c>
      <c r="Y57" s="630">
        <f t="shared" si="223"/>
        <v>-0.90680273491704932</v>
      </c>
      <c r="Z57" s="632">
        <f t="shared" si="243"/>
        <v>0.85751154763595694</v>
      </c>
      <c r="AA57" s="629">
        <f t="shared" si="244"/>
        <v>0.47007603463212183</v>
      </c>
      <c r="AB57" s="629">
        <f t="shared" si="245"/>
        <v>-0.20905135095360278</v>
      </c>
      <c r="AC57" s="636">
        <f t="shared" si="416"/>
        <v>1</v>
      </c>
      <c r="AD57" s="637">
        <f t="shared" si="417"/>
        <v>0.85751154763595694</v>
      </c>
      <c r="AE57" s="629">
        <f t="shared" si="418"/>
        <v>0.47007603463212183</v>
      </c>
      <c r="AF57" s="633">
        <f t="shared" si="419"/>
        <v>-0.20905135095360278</v>
      </c>
      <c r="AG57" s="602">
        <f t="shared" si="420"/>
        <v>66.024416274153822</v>
      </c>
      <c r="AH57" s="603">
        <f t="shared" si="421"/>
        <v>30.961682676671284</v>
      </c>
      <c r="AI57" s="585">
        <f t="shared" si="422"/>
        <v>-77.933235210900833</v>
      </c>
      <c r="AJ57" s="586">
        <f t="shared" si="423"/>
        <v>118.73094718714935</v>
      </c>
      <c r="AK57" s="635">
        <f t="shared" si="424"/>
        <v>0.88964968010603451</v>
      </c>
      <c r="AL57" s="629">
        <f t="shared" si="425"/>
        <v>-0.40598150124322668</v>
      </c>
      <c r="AM57" s="634">
        <f t="shared" si="426"/>
        <v>-0.20905135095360278</v>
      </c>
      <c r="AN57" s="581">
        <f t="shared" si="427"/>
        <v>-62.754781091404141</v>
      </c>
      <c r="AO57" s="582">
        <f t="shared" si="461"/>
        <v>27.170741190981932</v>
      </c>
      <c r="AP57" s="585">
        <f t="shared" si="428"/>
        <v>-24.529045123059163</v>
      </c>
      <c r="AQ57" s="586">
        <f t="shared" si="246"/>
        <v>0.57240092220579364</v>
      </c>
      <c r="AS57" s="52">
        <f t="shared" si="406"/>
        <v>-306.74000768979147</v>
      </c>
      <c r="AT57" s="72">
        <f t="shared" si="247"/>
        <v>-0.69378884068802749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6.133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1111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-3.3225005067937063</v>
      </c>
      <c r="C58" s="708">
        <v>2.5073230048578266</v>
      </c>
      <c r="D58" s="709">
        <v>-1.434404326163448</v>
      </c>
      <c r="E58" s="710">
        <v>-0.91127337719640267</v>
      </c>
      <c r="F58" s="708">
        <v>-0.3947755876915659</v>
      </c>
      <c r="G58" s="711">
        <v>0.11718817080167122</v>
      </c>
      <c r="H58" s="710">
        <v>0.219</v>
      </c>
      <c r="I58" s="708">
        <v>0.42</v>
      </c>
      <c r="J58" s="570">
        <v>6.1390000000000002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1111</v>
      </c>
      <c r="L58" s="320"/>
      <c r="M58" s="168">
        <f t="shared" si="239"/>
        <v>6.1390000000000002</v>
      </c>
      <c r="N58" s="632">
        <f t="shared" si="240"/>
        <v>-3.3225005067937063</v>
      </c>
      <c r="O58" s="629">
        <f t="shared" si="241"/>
        <v>2.5073230048578266</v>
      </c>
      <c r="P58" s="633">
        <f t="shared" si="242"/>
        <v>-1.434404326163448</v>
      </c>
      <c r="Q58" s="585">
        <f t="shared" si="113"/>
        <v>142.95999235352318</v>
      </c>
      <c r="R58" s="629">
        <f t="shared" si="410"/>
        <v>4.1624125538362629</v>
      </c>
      <c r="S58" s="634">
        <f t="shared" si="411"/>
        <v>-1.434404326163448</v>
      </c>
      <c r="T58" s="635">
        <f t="shared" si="412"/>
        <v>2.5073230048578261</v>
      </c>
      <c r="U58" s="629">
        <f t="shared" si="413"/>
        <v>3.3225005067937072</v>
      </c>
      <c r="V58" s="636">
        <f t="shared" si="414"/>
        <v>-1.434404326163448</v>
      </c>
      <c r="W58" s="585">
        <f t="shared" si="224"/>
        <v>52.959992353523177</v>
      </c>
      <c r="X58" s="629">
        <f t="shared" si="415"/>
        <v>4.1624125538362629</v>
      </c>
      <c r="Y58" s="630">
        <f t="shared" si="223"/>
        <v>-1.434404326163448</v>
      </c>
      <c r="Z58" s="632">
        <f t="shared" si="243"/>
        <v>0.91127337719640267</v>
      </c>
      <c r="AA58" s="629">
        <f t="shared" si="244"/>
        <v>0.3947755876915659</v>
      </c>
      <c r="AB58" s="629">
        <f t="shared" si="245"/>
        <v>-0.11718817080167122</v>
      </c>
      <c r="AC58" s="636">
        <f t="shared" si="416"/>
        <v>1</v>
      </c>
      <c r="AD58" s="637">
        <f t="shared" si="417"/>
        <v>0.91127337719640267</v>
      </c>
      <c r="AE58" s="629">
        <f t="shared" si="418"/>
        <v>0.3947755876915659</v>
      </c>
      <c r="AF58" s="633">
        <f t="shared" si="419"/>
        <v>-0.11718817080167122</v>
      </c>
      <c r="AG58" s="602">
        <f t="shared" si="420"/>
        <v>73.466606894677099</v>
      </c>
      <c r="AH58" s="603">
        <f t="shared" si="421"/>
        <v>24.31807978205336</v>
      </c>
      <c r="AI58" s="585">
        <f t="shared" si="422"/>
        <v>-83.270148457407529</v>
      </c>
      <c r="AJ58" s="586">
        <f t="shared" si="423"/>
        <v>113.42289398167816</v>
      </c>
      <c r="AK58" s="635">
        <f t="shared" si="424"/>
        <v>0.86404188580955132</v>
      </c>
      <c r="AL58" s="629">
        <f t="shared" si="425"/>
        <v>-0.48959018800506282</v>
      </c>
      <c r="AM58" s="634">
        <f t="shared" si="426"/>
        <v>-0.11718817080167122</v>
      </c>
      <c r="AN58" s="581">
        <f t="shared" si="427"/>
        <v>-76.538959052231263</v>
      </c>
      <c r="AO58" s="582">
        <f t="shared" si="461"/>
        <v>30.226519441838043</v>
      </c>
      <c r="AP58" s="585">
        <f t="shared" si="428"/>
        <v>-29.537098371845012</v>
      </c>
      <c r="AQ58" s="586">
        <f t="shared" si="246"/>
        <v>0.54767689871625935</v>
      </c>
      <c r="AS58" s="52">
        <f t="shared" si="406"/>
        <v>-307.04000764647685</v>
      </c>
      <c r="AT58" s="72">
        <f t="shared" si="247"/>
        <v>-1.2211820986311723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6.1390000000000002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1111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-3.3289266120464971</v>
      </c>
      <c r="C59" s="708">
        <v>2.513084469778343</v>
      </c>
      <c r="D59" s="709">
        <v>-2.0224060995767972</v>
      </c>
      <c r="E59" s="710">
        <v>-0.92520870175043968</v>
      </c>
      <c r="F59" s="708">
        <v>-0.37339267634956713</v>
      </c>
      <c r="G59" s="711">
        <v>6.7577862157466334E-2</v>
      </c>
      <c r="H59" s="710">
        <v>0.26600000000000001</v>
      </c>
      <c r="I59" s="708">
        <v>0.52</v>
      </c>
      <c r="J59" s="570">
        <v>6.1449999999999996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6.1449999999999996</v>
      </c>
      <c r="N59" s="632">
        <f t="shared" si="240"/>
        <v>-3.3289266120464971</v>
      </c>
      <c r="O59" s="629">
        <f t="shared" si="241"/>
        <v>2.513084469778343</v>
      </c>
      <c r="P59" s="633">
        <f t="shared" si="242"/>
        <v>-2.0224060995767972</v>
      </c>
      <c r="Q59" s="585">
        <f t="shared" si="113"/>
        <v>142.94999235496698</v>
      </c>
      <c r="R59" s="629">
        <f t="shared" si="79"/>
        <v>4.1710125797739401</v>
      </c>
      <c r="S59" s="634">
        <f t="shared" si="80"/>
        <v>-2.0224060995767972</v>
      </c>
      <c r="T59" s="635">
        <f t="shared" si="81"/>
        <v>2.513084469778343</v>
      </c>
      <c r="U59" s="629">
        <f t="shared" si="82"/>
        <v>3.3289266120464966</v>
      </c>
      <c r="V59" s="636">
        <f t="shared" si="114"/>
        <v>-2.0224060995767972</v>
      </c>
      <c r="W59" s="585">
        <f t="shared" si="224"/>
        <v>52.94999235496698</v>
      </c>
      <c r="X59" s="629">
        <f t="shared" si="83"/>
        <v>4.1710125797739401</v>
      </c>
      <c r="Y59" s="630">
        <f t="shared" si="223"/>
        <v>-2.0224060995767972</v>
      </c>
      <c r="Z59" s="632">
        <f t="shared" si="243"/>
        <v>0.92520870175043968</v>
      </c>
      <c r="AA59" s="629">
        <f t="shared" si="244"/>
        <v>0.37339267634956713</v>
      </c>
      <c r="AB59" s="629">
        <f t="shared" si="245"/>
        <v>-6.7577862157466334E-2</v>
      </c>
      <c r="AC59" s="636">
        <f t="shared" si="84"/>
        <v>1</v>
      </c>
      <c r="AD59" s="637">
        <f t="shared" si="115"/>
        <v>0.92520870175043968</v>
      </c>
      <c r="AE59" s="629">
        <f t="shared" si="85"/>
        <v>0.37339267634956713</v>
      </c>
      <c r="AF59" s="633">
        <f t="shared" si="86"/>
        <v>-6.7577862157466334E-2</v>
      </c>
      <c r="AG59" s="602">
        <f t="shared" si="87"/>
        <v>79.741461327964274</v>
      </c>
      <c r="AH59" s="603">
        <f t="shared" si="88"/>
        <v>22.300153505807472</v>
      </c>
      <c r="AI59" s="585">
        <f t="shared" si="89"/>
        <v>-86.125120605902552</v>
      </c>
      <c r="AJ59" s="586">
        <f t="shared" si="90"/>
        <v>111.97785503282761</v>
      </c>
      <c r="AK59" s="635">
        <f t="shared" si="211"/>
        <v>0.85545760615028787</v>
      </c>
      <c r="AL59" s="629">
        <f t="shared" si="91"/>
        <v>-0.51344475518389099</v>
      </c>
      <c r="AM59" s="634">
        <f t="shared" si="92"/>
        <v>-6.7577862157466334E-2</v>
      </c>
      <c r="AN59" s="581">
        <f t="shared" si="93"/>
        <v>-82.50202073978609</v>
      </c>
      <c r="AO59" s="582">
        <f t="shared" si="461"/>
        <v>31.189674038065668</v>
      </c>
      <c r="AP59" s="585">
        <f t="shared" si="95"/>
        <v>-30.972137322139368</v>
      </c>
      <c r="AQ59" s="586">
        <f t="shared" si="246"/>
        <v>0.54654773656862798</v>
      </c>
      <c r="AS59" s="52">
        <f t="shared" si="406"/>
        <v>-307.05000764503302</v>
      </c>
      <c r="AT59" s="72">
        <f t="shared" si="247"/>
        <v>-1.8091769276010798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6.1449999999999996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1313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4.4642574380474441E-2</v>
      </c>
      <c r="G154" s="170">
        <f t="shared" si="929"/>
        <v>-0.33909406747601789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0.93969263802333458</v>
      </c>
      <c r="F155" s="170">
        <f t="shared" si="929"/>
        <v>4.4642574380474427E-2</v>
      </c>
      <c r="G155" s="170">
        <f t="shared" si="929"/>
        <v>-0.33909406747601789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0</v>
      </c>
      <c r="AM155">
        <v>0.24870075008146225</v>
      </c>
      <c r="AN155">
        <v>-0.31010093526442079</v>
      </c>
      <c r="AO155">
        <v>-0.93969263802333458</v>
      </c>
      <c r="AP155">
        <v>-4.4642574380474441E-2</v>
      </c>
      <c r="AQ155">
        <v>0.33909406747601789</v>
      </c>
      <c r="AR155">
        <v>0.219</v>
      </c>
      <c r="AS155">
        <v>0.42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0.93969263802333469</v>
      </c>
      <c r="F156" s="170">
        <f t="shared" si="929"/>
        <v>4.4642574380474427E-2</v>
      </c>
      <c r="G156" s="170">
        <f t="shared" si="929"/>
        <v>-0.33909406747601795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5.7624918616355551E-17</v>
      </c>
      <c r="AM156">
        <v>0.80480242728412077</v>
      </c>
      <c r="AN156">
        <v>-0.23680071419095397</v>
      </c>
      <c r="AO156">
        <v>-0.93969263802333458</v>
      </c>
      <c r="AP156">
        <v>-4.4642574380474427E-2</v>
      </c>
      <c r="AQ156">
        <v>0.33909406747601789</v>
      </c>
      <c r="AR156">
        <v>0.219</v>
      </c>
      <c r="AS156">
        <v>0.42</v>
      </c>
      <c r="AT156">
        <v>1.1040000000000001</v>
      </c>
    </row>
    <row r="157" spans="1:259" x14ac:dyDescent="0.25">
      <c r="E157" s="170">
        <f t="shared" si="929"/>
        <v>0.93969263802333458</v>
      </c>
      <c r="F157" s="170">
        <f t="shared" si="929"/>
        <v>4.4642574380474434E-2</v>
      </c>
      <c r="G157" s="170">
        <f t="shared" si="929"/>
        <v>-0.33909406747601789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3.2227269300258103E-16</v>
      </c>
      <c r="AM157">
        <v>1.3610041047883799</v>
      </c>
      <c r="AN157">
        <v>-0.16360049341908836</v>
      </c>
      <c r="AO157">
        <v>-0.93969263802333469</v>
      </c>
      <c r="AP157">
        <v>-4.4642574380474427E-2</v>
      </c>
      <c r="AQ157">
        <v>0.33909406747601795</v>
      </c>
      <c r="AR157">
        <v>0.219</v>
      </c>
      <c r="AS157">
        <v>0.42</v>
      </c>
      <c r="AT157">
        <v>1.107</v>
      </c>
    </row>
    <row r="158" spans="1:259" x14ac:dyDescent="0.25">
      <c r="E158" s="170">
        <f t="shared" si="929"/>
        <v>0.93969263802333458</v>
      </c>
      <c r="F158" s="170">
        <f t="shared" si="929"/>
        <v>0</v>
      </c>
      <c r="G158" s="170">
        <f t="shared" si="929"/>
        <v>-0.3420200959662259</v>
      </c>
      <c r="H158" s="139"/>
      <c r="I158" s="86"/>
      <c r="J158" s="79">
        <f t="shared" si="930"/>
        <v>1.1140000000000001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-1.4939793715351439E-16</v>
      </c>
      <c r="AM158">
        <v>1.9171057819910382</v>
      </c>
      <c r="AN158">
        <v>-9.0400272647222252E-2</v>
      </c>
      <c r="AO158">
        <v>-0.93969263802333458</v>
      </c>
      <c r="AP158">
        <v>-4.4642574380474434E-2</v>
      </c>
      <c r="AQ158">
        <v>0.33909406747601789</v>
      </c>
      <c r="AR158">
        <v>0.219</v>
      </c>
      <c r="AS158">
        <v>0.42</v>
      </c>
      <c r="AT158">
        <v>1.1100000000000001</v>
      </c>
    </row>
    <row r="159" spans="1:259" x14ac:dyDescent="0.25">
      <c r="E159" s="170">
        <f t="shared" si="929"/>
        <v>0.93574676445514848</v>
      </c>
      <c r="F159" s="170">
        <f t="shared" si="929"/>
        <v>-0.15961891554586755</v>
      </c>
      <c r="G159" s="170">
        <f t="shared" si="929"/>
        <v>-0.31448337732173126</v>
      </c>
      <c r="H159" s="139"/>
      <c r="I159" s="86"/>
      <c r="J159" s="79">
        <f t="shared" si="930"/>
        <v>1.1200000000000001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-7.6833224821807409E-17</v>
      </c>
      <c r="AM159">
        <v>2.4682074441136512</v>
      </c>
      <c r="AN159">
        <v>-2.780008384505285E-2</v>
      </c>
      <c r="AO159">
        <v>-0.93969263802333458</v>
      </c>
      <c r="AP159">
        <v>0</v>
      </c>
      <c r="AQ159">
        <v>0.3420200959662259</v>
      </c>
      <c r="AR159">
        <v>0.219</v>
      </c>
      <c r="AS159">
        <v>0.42</v>
      </c>
      <c r="AT159">
        <v>1.1140000000000001</v>
      </c>
    </row>
    <row r="160" spans="1:259" x14ac:dyDescent="0.25">
      <c r="E160" s="170">
        <f t="shared" si="929"/>
        <v>0.90918848198811375</v>
      </c>
      <c r="F160" s="170">
        <f t="shared" si="929"/>
        <v>-0.29750802067879556</v>
      </c>
      <c r="G160" s="170">
        <f t="shared" si="929"/>
        <v>-0.29131646340695361</v>
      </c>
      <c r="H160" s="139"/>
      <c r="I160" s="86"/>
      <c r="J160" s="79">
        <f t="shared" si="930"/>
        <v>1.1259999999999999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2.4514876243238885E-2</v>
      </c>
      <c r="AM160">
        <v>3.0534107998489675</v>
      </c>
      <c r="AN160">
        <v>-0.11910035920668341</v>
      </c>
      <c r="AO160">
        <v>-0.93574676445514848</v>
      </c>
      <c r="AP160">
        <v>0.15961891554586755</v>
      </c>
      <c r="AQ160">
        <v>0.31448337732173126</v>
      </c>
      <c r="AR160">
        <v>0.219</v>
      </c>
      <c r="AS160">
        <v>0.42</v>
      </c>
      <c r="AT160">
        <v>1.1200000000000001</v>
      </c>
    </row>
    <row r="161" spans="5:46" x14ac:dyDescent="0.25">
      <c r="E161" s="170">
        <f t="shared" si="929"/>
        <v>0.87818013633098391</v>
      </c>
      <c r="F161" s="170">
        <f t="shared" si="929"/>
        <v>-0.4207455006397498</v>
      </c>
      <c r="G161" s="170">
        <f t="shared" si="929"/>
        <v>-0.22753652859508278</v>
      </c>
      <c r="H161" s="139"/>
      <c r="I161" s="86"/>
      <c r="J161" s="79">
        <f t="shared" si="930"/>
        <v>1.1319999999999999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6.8321973952098033E-2</v>
      </c>
      <c r="AM161">
        <v>3.5582548697557908</v>
      </c>
      <c r="AN161">
        <v>-0.39660119614920764</v>
      </c>
      <c r="AO161">
        <v>-0.90918848198811375</v>
      </c>
      <c r="AP161">
        <v>0.29750802067879556</v>
      </c>
      <c r="AQ161">
        <v>0.29131646340695361</v>
      </c>
      <c r="AR161">
        <v>0.219</v>
      </c>
      <c r="AS161">
        <v>0.42</v>
      </c>
      <c r="AT161">
        <v>1.1259999999999999</v>
      </c>
    </row>
    <row r="162" spans="5:46" x14ac:dyDescent="0.25">
      <c r="E162" s="170">
        <f t="shared" si="929"/>
        <v>0.84651863164207264</v>
      </c>
      <c r="F162" s="170">
        <f t="shared" si="929"/>
        <v>-0.51540894512742397</v>
      </c>
      <c r="G162" s="170">
        <f t="shared" si="929"/>
        <v>-0.13326599553325352</v>
      </c>
      <c r="H162" s="139"/>
      <c r="I162" s="86"/>
      <c r="J162" s="79">
        <f t="shared" si="930"/>
        <v>1.1379999999999999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0.11470958679788265</v>
      </c>
      <c r="AM162">
        <v>3.9344400331166529</v>
      </c>
      <c r="AN162">
        <v>-0.82740249544592648</v>
      </c>
      <c r="AO162">
        <v>-0.87818013633098391</v>
      </c>
      <c r="AP162">
        <v>0.4207455006397498</v>
      </c>
      <c r="AQ162">
        <v>0.22753652859508278</v>
      </c>
      <c r="AR162">
        <v>0.219</v>
      </c>
      <c r="AS162">
        <v>0.42</v>
      </c>
      <c r="AT162">
        <v>1.1319999999999999</v>
      </c>
    </row>
    <row r="163" spans="5:46" x14ac:dyDescent="0.25">
      <c r="E163" s="170">
        <f t="shared" si="929"/>
        <v>0.83654335954280312</v>
      </c>
      <c r="F163" s="170">
        <f t="shared" si="929"/>
        <v>-0.54371724283037681</v>
      </c>
      <c r="G163" s="170">
        <f t="shared" si="929"/>
        <v>-6.7577862157466306E-2</v>
      </c>
      <c r="H163" s="139"/>
      <c r="I163" s="86"/>
      <c r="J163" s="79">
        <f t="shared" si="930"/>
        <v>1.1439999999999999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0.14629868757587736</v>
      </c>
      <c r="AM163">
        <v>4.1479333234320421</v>
      </c>
      <c r="AN163">
        <v>-1.36430411474121</v>
      </c>
      <c r="AO163">
        <v>-0.84651863164207264</v>
      </c>
      <c r="AP163">
        <v>0.51540894512742397</v>
      </c>
      <c r="AQ163">
        <v>0.13326599553325352</v>
      </c>
      <c r="AR163">
        <v>0.219</v>
      </c>
      <c r="AS163">
        <v>0.42</v>
      </c>
      <c r="AT163">
        <v>1.1379999999999999</v>
      </c>
    </row>
    <row r="164" spans="5:46" x14ac:dyDescent="0.25">
      <c r="E164" s="170">
        <f t="shared" si="929"/>
        <v>6.9168343744411651E-2</v>
      </c>
      <c r="F164" s="170">
        <f t="shared" si="929"/>
        <v>0.11069248881076245</v>
      </c>
      <c r="G164" s="170">
        <f t="shared" si="929"/>
        <v>-0.99144486137381049</v>
      </c>
      <c r="H164" s="139"/>
      <c r="I164" s="86"/>
      <c r="J164" s="79">
        <f t="shared" si="930"/>
        <v>1.304</v>
      </c>
      <c r="AL164">
        <v>0.14920384015870383</v>
      </c>
      <c r="AM164">
        <v>4.1683430946497628</v>
      </c>
      <c r="AN164">
        <v>-1.9591059086634206</v>
      </c>
      <c r="AO164">
        <v>-0.83654335954280312</v>
      </c>
      <c r="AP164">
        <v>0.54371724283037681</v>
      </c>
      <c r="AQ164">
        <v>6.7577862157466306E-2</v>
      </c>
      <c r="AR164">
        <v>0.26600000000000001</v>
      </c>
      <c r="AS164">
        <v>0.52</v>
      </c>
      <c r="AT164">
        <v>1.1439999999999999</v>
      </c>
    </row>
    <row r="165" spans="5:46" x14ac:dyDescent="0.25">
      <c r="E165" s="170">
        <f t="shared" si="929"/>
        <v>5.100064638354862E-2</v>
      </c>
      <c r="F165" s="170">
        <f t="shared" si="929"/>
        <v>0.12014999344122367</v>
      </c>
      <c r="G165" s="170">
        <f t="shared" si="929"/>
        <v>-0.99144486137381049</v>
      </c>
      <c r="H165" s="139"/>
      <c r="I165" s="86"/>
      <c r="J165" s="79">
        <f t="shared" si="930"/>
        <v>1.3069999999999999</v>
      </c>
      <c r="AL165">
        <v>0.67564706189733603</v>
      </c>
      <c r="AM165">
        <v>1.081261322599443</v>
      </c>
      <c r="AN165">
        <v>-4.2700000000000016E-2</v>
      </c>
      <c r="AO165">
        <v>-6.9168343744411651E-2</v>
      </c>
      <c r="AP165">
        <v>-0.11069248881076245</v>
      </c>
      <c r="AQ165">
        <v>0.99144486137381049</v>
      </c>
      <c r="AR165">
        <v>0.19500000000000001</v>
      </c>
      <c r="AS165">
        <v>0.438</v>
      </c>
      <c r="AT165">
        <v>1.304</v>
      </c>
    </row>
    <row r="166" spans="5:46" x14ac:dyDescent="0.25">
      <c r="E166" s="170">
        <f t="shared" si="929"/>
        <v>0.47501507478678401</v>
      </c>
      <c r="F166" s="170">
        <f t="shared" si="929"/>
        <v>-0.81081351894957987</v>
      </c>
      <c r="G166" s="170">
        <f t="shared" si="929"/>
        <v>-0.34196800466404048</v>
      </c>
      <c r="H166" s="139"/>
      <c r="I166" s="86"/>
      <c r="J166" s="79">
        <f t="shared" si="930"/>
        <v>2.113</v>
      </c>
      <c r="AL166">
        <v>0.70331603128069264</v>
      </c>
      <c r="AM166">
        <v>1.6569087362143928</v>
      </c>
      <c r="AN166">
        <v>2.640000000000034E-2</v>
      </c>
      <c r="AO166">
        <v>-5.100064638354862E-2</v>
      </c>
      <c r="AP166">
        <v>-0.12014999344122367</v>
      </c>
      <c r="AQ166">
        <v>0.99144486137381049</v>
      </c>
      <c r="AR166">
        <v>0.19500000000000001</v>
      </c>
      <c r="AS166">
        <v>0.438</v>
      </c>
      <c r="AT166">
        <v>1.3069999999999999</v>
      </c>
    </row>
    <row r="167" spans="5:46" x14ac:dyDescent="0.25">
      <c r="E167" s="170">
        <f t="shared" si="929"/>
        <v>0.34923766782078758</v>
      </c>
      <c r="F167" s="170">
        <f t="shared" si="929"/>
        <v>-0.87987733684978797</v>
      </c>
      <c r="G167" s="170">
        <f t="shared" si="929"/>
        <v>-0.32225599059322713</v>
      </c>
      <c r="H167" s="139"/>
      <c r="I167" s="86"/>
      <c r="J167" s="79">
        <f t="shared" si="930"/>
        <v>2.1190000000000002</v>
      </c>
      <c r="AL167">
        <v>2.054392555576229</v>
      </c>
      <c r="AM167">
        <v>1.186102024202903</v>
      </c>
      <c r="AN167">
        <v>-3.2600098321896663E-2</v>
      </c>
      <c r="AO167">
        <v>-0.47501507478678401</v>
      </c>
      <c r="AP167">
        <v>0.81081351894957987</v>
      </c>
      <c r="AQ167">
        <v>0.34196800466404048</v>
      </c>
      <c r="AR167">
        <v>0.219</v>
      </c>
      <c r="AS167">
        <v>0.42</v>
      </c>
      <c r="AT167">
        <v>2.113</v>
      </c>
    </row>
    <row r="168" spans="5:46" x14ac:dyDescent="0.25">
      <c r="E168" s="170">
        <f t="shared" si="929"/>
        <v>0.22342778259242918</v>
      </c>
      <c r="F168" s="170">
        <f t="shared" si="929"/>
        <v>-0.93029985130839044</v>
      </c>
      <c r="G168" s="170">
        <f t="shared" si="929"/>
        <v>-0.29089897322166131</v>
      </c>
      <c r="H168" s="139"/>
      <c r="I168" s="86"/>
      <c r="J168" s="79">
        <f t="shared" si="930"/>
        <v>2.125</v>
      </c>
      <c r="AL168">
        <v>2.5708672917838085</v>
      </c>
      <c r="AM168">
        <v>1.462828271972797</v>
      </c>
      <c r="AN168">
        <v>-9.0200272044020438E-2</v>
      </c>
      <c r="AO168">
        <v>-0.34923766782078758</v>
      </c>
      <c r="AP168">
        <v>0.87987733684978797</v>
      </c>
      <c r="AQ168">
        <v>0.32225599059322713</v>
      </c>
      <c r="AR168">
        <v>0.219</v>
      </c>
      <c r="AS168">
        <v>0.42</v>
      </c>
      <c r="AT168">
        <v>2.1190000000000002</v>
      </c>
    </row>
    <row r="169" spans="5:46" x14ac:dyDescent="0.25">
      <c r="E169" s="170">
        <f t="shared" si="929"/>
        <v>0.10041427078595482</v>
      </c>
      <c r="F169" s="170">
        <f t="shared" si="929"/>
        <v>-0.96672483401970799</v>
      </c>
      <c r="G169" s="170">
        <f t="shared" si="929"/>
        <v>-0.23528720643522696</v>
      </c>
      <c r="H169" s="139"/>
      <c r="I169" s="86"/>
      <c r="J169" s="79">
        <f t="shared" si="930"/>
        <v>2.1309999999999998</v>
      </c>
      <c r="AL169">
        <v>3.0431301625344349</v>
      </c>
      <c r="AM169">
        <v>1.6875259824791109</v>
      </c>
      <c r="AN169">
        <v>-0.33790101910947334</v>
      </c>
      <c r="AO169">
        <v>-0.22342778259242918</v>
      </c>
      <c r="AP169">
        <v>0.93029985130839044</v>
      </c>
      <c r="AQ169">
        <v>0.29089897322166131</v>
      </c>
      <c r="AR169">
        <v>0.219</v>
      </c>
      <c r="AS169">
        <v>0.42</v>
      </c>
      <c r="AT169">
        <v>2.125</v>
      </c>
    </row>
    <row r="170" spans="5:46" x14ac:dyDescent="0.25">
      <c r="E170" s="170">
        <f t="shared" si="929"/>
        <v>-1.2284938161293557E-3</v>
      </c>
      <c r="F170" s="170">
        <f t="shared" si="929"/>
        <v>-0.98914523412307176</v>
      </c>
      <c r="G170" s="170">
        <f t="shared" si="929"/>
        <v>-0.14693602898730307</v>
      </c>
      <c r="H170" s="139"/>
      <c r="I170" s="86"/>
      <c r="J170" s="79">
        <f t="shared" si="930"/>
        <v>2.137</v>
      </c>
      <c r="AL170">
        <v>3.4142506810519908</v>
      </c>
      <c r="AM170">
        <v>1.8476156537040263</v>
      </c>
      <c r="AN170">
        <v>-0.74350224240276319</v>
      </c>
      <c r="AO170">
        <v>-0.10041427078595482</v>
      </c>
      <c r="AP170">
        <v>0.96672483401970799</v>
      </c>
      <c r="AQ170">
        <v>0.23528720643522696</v>
      </c>
      <c r="AR170">
        <v>0.219</v>
      </c>
      <c r="AS170">
        <v>0.42</v>
      </c>
      <c r="AT170">
        <v>2.1309999999999998</v>
      </c>
    </row>
    <row r="171" spans="5:46" x14ac:dyDescent="0.25">
      <c r="E171" s="170">
        <f t="shared" si="929"/>
        <v>-5.2602018201148723E-2</v>
      </c>
      <c r="F171" s="170">
        <f t="shared" si="929"/>
        <v>-0.9963263823804891</v>
      </c>
      <c r="G171" s="170">
        <f t="shared" si="929"/>
        <v>-6.7577862157466778E-2</v>
      </c>
      <c r="H171" s="139"/>
      <c r="I171" s="86"/>
      <c r="J171" s="79">
        <f t="shared" si="930"/>
        <v>2.1429999999999998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1111</v>
      </c>
      <c r="AL171">
        <v>3.6416716035312313</v>
      </c>
      <c r="AM171">
        <v>1.9379384976571621</v>
      </c>
      <c r="AN171">
        <v>-1.264003812235498</v>
      </c>
      <c r="AO171">
        <v>1.2284938161293557E-3</v>
      </c>
      <c r="AP171">
        <v>0.98914523412307176</v>
      </c>
      <c r="AQ171">
        <v>0.14693602898730307</v>
      </c>
      <c r="AR171">
        <v>0.219</v>
      </c>
      <c r="AS171">
        <v>0.42</v>
      </c>
      <c r="AT171">
        <v>2.137</v>
      </c>
    </row>
    <row r="172" spans="5:46" x14ac:dyDescent="0.25">
      <c r="E172" s="170">
        <f t="shared" si="929"/>
        <v>-0.50241696951642112</v>
      </c>
      <c r="F172" s="170">
        <f t="shared" si="929"/>
        <v>-0.79535677663832438</v>
      </c>
      <c r="G172" s="170">
        <f t="shared" si="929"/>
        <v>-0.339094067476018</v>
      </c>
      <c r="H172" s="139"/>
      <c r="I172" s="86"/>
      <c r="J172" s="79">
        <f t="shared" si="930"/>
        <v>3.1030000000000002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3.6844944096488481</v>
      </c>
      <c r="AM172">
        <v>1.9549544459907127</v>
      </c>
      <c r="AN172">
        <v>-1.8631056191265474</v>
      </c>
      <c r="AO172">
        <v>5.2602018201148723E-2</v>
      </c>
      <c r="AP172">
        <v>0.9963263823804891</v>
      </c>
      <c r="AQ172">
        <v>6.7577862157466778E-2</v>
      </c>
      <c r="AR172">
        <v>0.26600000000000001</v>
      </c>
      <c r="AS172">
        <v>0.52</v>
      </c>
      <c r="AT172">
        <v>2.1429999999999998</v>
      </c>
    </row>
    <row r="173" spans="5:46" x14ac:dyDescent="0.25">
      <c r="E173" s="170">
        <f t="shared" si="929"/>
        <v>-0.50241696951642112</v>
      </c>
      <c r="F173" s="170">
        <f t="shared" si="929"/>
        <v>-0.79535677663832438</v>
      </c>
      <c r="G173" s="170">
        <f t="shared" si="929"/>
        <v>-0.339094067476018</v>
      </c>
      <c r="H173" s="139"/>
      <c r="I173" s="86"/>
      <c r="J173" s="79">
        <f t="shared" si="930"/>
        <v>3.1059999999999999</v>
      </c>
      <c r="O173">
        <f>IF($J24="","",IFERROR(INDEX(Settings!$AK$14:$AK$32,MATCH((((ROUND($H24,6)*2)*1000000)+ROUND($I24,6)),Settings!$AI$14:$AI$32,0)),"Undefined"))</f>
        <v>1111</v>
      </c>
      <c r="AL173">
        <v>0.50738409611486546</v>
      </c>
      <c r="AM173">
        <v>-0.3552746166493379</v>
      </c>
      <c r="AN173">
        <v>-0.26120078778157579</v>
      </c>
      <c r="AO173">
        <v>0.50241696951642112</v>
      </c>
      <c r="AP173">
        <v>0.79535677663832438</v>
      </c>
      <c r="AQ173">
        <v>0.339094067476018</v>
      </c>
      <c r="AR173">
        <v>0.219</v>
      </c>
      <c r="AS173">
        <v>0.42</v>
      </c>
      <c r="AT173">
        <v>3.1030000000000002</v>
      </c>
    </row>
    <row r="174" spans="5:46" x14ac:dyDescent="0.25">
      <c r="E174" s="170">
        <f t="shared" ref="E174:G193" si="933">E29*-1</f>
        <v>-0.50241696951642134</v>
      </c>
      <c r="F174" s="170">
        <f t="shared" si="933"/>
        <v>-0.79535677663832427</v>
      </c>
      <c r="G174" s="170">
        <f t="shared" si="933"/>
        <v>-0.33909406747601806</v>
      </c>
      <c r="H174" s="139"/>
      <c r="I174" s="86"/>
      <c r="J174" s="79">
        <f t="shared" si="930"/>
        <v>3.109</v>
      </c>
      <c r="AL174">
        <v>0.96299764835750012</v>
      </c>
      <c r="AM174">
        <v>-0.67429906253303495</v>
      </c>
      <c r="AN174">
        <v>-0.18800056700971002</v>
      </c>
      <c r="AO174">
        <v>0.50241696951642112</v>
      </c>
      <c r="AP174">
        <v>0.79535677663832438</v>
      </c>
      <c r="AQ174">
        <v>0.339094067476018</v>
      </c>
      <c r="AR174">
        <v>0.219</v>
      </c>
      <c r="AS174">
        <v>0.42</v>
      </c>
      <c r="AT174">
        <v>3.1059999999999999</v>
      </c>
    </row>
    <row r="175" spans="5:46" x14ac:dyDescent="0.25">
      <c r="E175" s="170">
        <f t="shared" si="933"/>
        <v>-0.5267653278693456</v>
      </c>
      <c r="F175" s="170">
        <f t="shared" si="933"/>
        <v>-0.77830785108840406</v>
      </c>
      <c r="G175" s="170">
        <f t="shared" si="933"/>
        <v>-0.34169456871430015</v>
      </c>
      <c r="H175" s="139"/>
      <c r="I175" s="86"/>
      <c r="J175" s="79">
        <f t="shared" si="930"/>
        <v>3.1120000000000001</v>
      </c>
      <c r="AL175">
        <v>1.4185292851826157</v>
      </c>
      <c r="AM175">
        <v>-0.99326615055159706</v>
      </c>
      <c r="AN175">
        <v>-0.1148003462378442</v>
      </c>
      <c r="AO175">
        <v>0.50241696951642134</v>
      </c>
      <c r="AP175">
        <v>0.79535677663832427</v>
      </c>
      <c r="AQ175">
        <v>0.33909406747601806</v>
      </c>
      <c r="AR175">
        <v>0.219</v>
      </c>
      <c r="AS175">
        <v>0.42</v>
      </c>
      <c r="AT175">
        <v>3.109</v>
      </c>
    </row>
    <row r="176" spans="5:46" x14ac:dyDescent="0.25">
      <c r="E176" s="170">
        <f t="shared" si="933"/>
        <v>-0.63182275307218705</v>
      </c>
      <c r="F176" s="170">
        <f t="shared" si="933"/>
        <v>-0.70189586248794567</v>
      </c>
      <c r="G176" s="170">
        <f t="shared" si="933"/>
        <v>-0.32884982427026654</v>
      </c>
      <c r="H176" s="139"/>
      <c r="I176" s="86"/>
      <c r="J176" s="79">
        <f t="shared" si="930"/>
        <v>3.1179999999999999</v>
      </c>
      <c r="AL176">
        <v>1.8741428374252511</v>
      </c>
      <c r="AM176">
        <v>-1.3122905964352942</v>
      </c>
      <c r="AN176">
        <v>-4.1600125465978292E-2</v>
      </c>
      <c r="AO176">
        <v>0.5267653278693456</v>
      </c>
      <c r="AP176">
        <v>0.77830785108840406</v>
      </c>
      <c r="AQ176">
        <v>0.34169456871430015</v>
      </c>
      <c r="AR176">
        <v>0.219</v>
      </c>
      <c r="AS176">
        <v>0.42</v>
      </c>
      <c r="AT176">
        <v>3.1120000000000001</v>
      </c>
    </row>
    <row r="177" spans="5:46" x14ac:dyDescent="0.25">
      <c r="E177" s="170">
        <f t="shared" si="933"/>
        <v>-0.7332081033430341</v>
      </c>
      <c r="F177" s="170">
        <f t="shared" si="933"/>
        <v>-0.60816140009241937</v>
      </c>
      <c r="G177" s="170">
        <f t="shared" si="933"/>
        <v>-0.30421306452836439</v>
      </c>
      <c r="H177" s="139"/>
      <c r="I177" s="86"/>
      <c r="J177" s="79">
        <f t="shared" si="930"/>
        <v>3.1240000000000001</v>
      </c>
      <c r="AL177">
        <v>2.3367391192226057</v>
      </c>
      <c r="AM177">
        <v>-1.6526693894268423</v>
      </c>
      <c r="AN177">
        <v>-6.6100199358201342E-2</v>
      </c>
      <c r="AO177">
        <v>0.63182275307218705</v>
      </c>
      <c r="AP177">
        <v>0.70189586248794567</v>
      </c>
      <c r="AQ177">
        <v>0.32884982427026654</v>
      </c>
      <c r="AR177">
        <v>0.219</v>
      </c>
      <c r="AS177">
        <v>0.42</v>
      </c>
      <c r="AT177">
        <v>3.1179999999999999</v>
      </c>
    </row>
    <row r="178" spans="5:46" x14ac:dyDescent="0.25">
      <c r="E178" s="170">
        <f t="shared" si="933"/>
        <v>-0.8226899251767702</v>
      </c>
      <c r="F178" s="170">
        <f t="shared" si="933"/>
        <v>-0.50896774336223594</v>
      </c>
      <c r="G178" s="170">
        <f t="shared" si="933"/>
        <v>-0.25324518402013818</v>
      </c>
      <c r="H178" s="139"/>
      <c r="I178" s="86"/>
      <c r="J178" s="79">
        <f t="shared" si="930"/>
        <v>3.13</v>
      </c>
      <c r="AL178">
        <v>2.754682413733847</v>
      </c>
      <c r="AM178">
        <v>-1.9925949316149565</v>
      </c>
      <c r="AN178">
        <v>-0.28420085714978538</v>
      </c>
      <c r="AO178">
        <v>0.7332081033430341</v>
      </c>
      <c r="AP178">
        <v>0.60816140009241937</v>
      </c>
      <c r="AQ178">
        <v>0.30421306452836439</v>
      </c>
      <c r="AR178">
        <v>0.219</v>
      </c>
      <c r="AS178">
        <v>0.42</v>
      </c>
      <c r="AT178">
        <v>3.1240000000000001</v>
      </c>
    </row>
    <row r="179" spans="5:46" x14ac:dyDescent="0.25">
      <c r="E179" s="170">
        <f t="shared" si="933"/>
        <v>-0.89038563780192348</v>
      </c>
      <c r="F179" s="170">
        <f t="shared" si="933"/>
        <v>-0.42274026814745358</v>
      </c>
      <c r="G179" s="170">
        <f t="shared" si="933"/>
        <v>-0.16883151862931564</v>
      </c>
      <c r="H179" s="139"/>
      <c r="I179" s="86"/>
      <c r="J179" s="79">
        <f t="shared" si="930"/>
        <v>3.1360000000000001</v>
      </c>
      <c r="AL179">
        <v>3.0753231278509241</v>
      </c>
      <c r="AM179">
        <v>-2.2756222080870381</v>
      </c>
      <c r="AN179">
        <v>-0.66630200956686092</v>
      </c>
      <c r="AO179">
        <v>0.8226899251767702</v>
      </c>
      <c r="AP179">
        <v>0.50896774336223594</v>
      </c>
      <c r="AQ179">
        <v>0.25324518402013818</v>
      </c>
      <c r="AR179">
        <v>0.219</v>
      </c>
      <c r="AS179">
        <v>0.42</v>
      </c>
      <c r="AT179">
        <v>3.13</v>
      </c>
    </row>
    <row r="180" spans="5:46" x14ac:dyDescent="0.25">
      <c r="E180" s="170">
        <f t="shared" si="933"/>
        <v>-0.92520887111745087</v>
      </c>
      <c r="F180" s="170">
        <f t="shared" si="933"/>
        <v>-0.37339225668430581</v>
      </c>
      <c r="G180" s="170">
        <f t="shared" si="933"/>
        <v>-6.757786215746775E-2</v>
      </c>
      <c r="H180" s="139"/>
      <c r="I180" s="86"/>
      <c r="J180" s="79">
        <f t="shared" si="930"/>
        <v>3.1419999999999999</v>
      </c>
      <c r="AL180">
        <v>3.2757474515127676</v>
      </c>
      <c r="AM180">
        <v>-2.4621869016062585</v>
      </c>
      <c r="AN180">
        <v>-1.1715035332546564</v>
      </c>
      <c r="AO180">
        <v>0.89038563780192348</v>
      </c>
      <c r="AP180">
        <v>0.42274026814745358</v>
      </c>
      <c r="AQ180">
        <v>0.16883151862931564</v>
      </c>
      <c r="AR180">
        <v>0.219</v>
      </c>
      <c r="AS180">
        <v>0.42</v>
      </c>
      <c r="AT180">
        <v>3.1360000000000001</v>
      </c>
    </row>
    <row r="181" spans="5:46" x14ac:dyDescent="0.25">
      <c r="E181" s="170">
        <f t="shared" si="933"/>
        <v>3.9249982987779007E-2</v>
      </c>
      <c r="F181" s="170">
        <f t="shared" si="933"/>
        <v>-0.12448504203688454</v>
      </c>
      <c r="G181" s="170">
        <f t="shared" si="933"/>
        <v>-0.99144486137381049</v>
      </c>
      <c r="H181" s="139"/>
      <c r="I181" s="86"/>
      <c r="J181" s="79">
        <f t="shared" si="930"/>
        <v>3.3029999999999999</v>
      </c>
      <c r="AL181">
        <v>3.3289254721366897</v>
      </c>
      <c r="AM181">
        <v>-2.5130859797452167</v>
      </c>
      <c r="AN181">
        <v>-1.7776053612577696</v>
      </c>
      <c r="AO181">
        <v>0.92520887111745087</v>
      </c>
      <c r="AP181">
        <v>0.37339225668430581</v>
      </c>
      <c r="AQ181">
        <v>6.757786215746775E-2</v>
      </c>
      <c r="AR181">
        <v>0.26600000000000001</v>
      </c>
      <c r="AS181">
        <v>0.52</v>
      </c>
      <c r="AT181">
        <v>3.1419999999999999</v>
      </c>
    </row>
    <row r="182" spans="5:46" x14ac:dyDescent="0.25">
      <c r="E182" s="170">
        <f t="shared" si="933"/>
        <v>6.5263096110025759E-2</v>
      </c>
      <c r="F182" s="170">
        <f t="shared" si="933"/>
        <v>-0.11303899832181548</v>
      </c>
      <c r="G182" s="170">
        <f t="shared" si="933"/>
        <v>-0.99144486137381049</v>
      </c>
      <c r="H182" s="139"/>
      <c r="I182" s="86"/>
      <c r="J182" s="79">
        <f t="shared" si="930"/>
        <v>3.306</v>
      </c>
      <c r="AL182">
        <v>0.32957355625668305</v>
      </c>
      <c r="AM182">
        <v>-1.0452737780200569</v>
      </c>
      <c r="AN182">
        <v>-6.6299999999999998E-2</v>
      </c>
      <c r="AO182">
        <v>-3.9249982987779007E-2</v>
      </c>
      <c r="AP182">
        <v>0.12448504203688454</v>
      </c>
      <c r="AQ182">
        <v>0.99144486137381049</v>
      </c>
      <c r="AR182">
        <v>0.19500000000000001</v>
      </c>
      <c r="AS182">
        <v>0.438</v>
      </c>
      <c r="AT182">
        <v>3.3029999999999999</v>
      </c>
    </row>
    <row r="183" spans="5:46" x14ac:dyDescent="0.25">
      <c r="E183" s="170">
        <f t="shared" si="933"/>
        <v>-0.92630619100873368</v>
      </c>
      <c r="F183" s="170">
        <f t="shared" si="933"/>
        <v>0.17427048067968132</v>
      </c>
      <c r="G183" s="170">
        <f t="shared" si="933"/>
        <v>-0.33404586520800428</v>
      </c>
      <c r="H183" s="139"/>
      <c r="I183" s="86"/>
      <c r="J183" s="79">
        <f t="shared" si="930"/>
        <v>4.117</v>
      </c>
      <c r="AL183">
        <v>0.8029999999999996</v>
      </c>
      <c r="AM183">
        <v>-1.3908367984778089</v>
      </c>
      <c r="AN183">
        <v>-8.9999999999964154E-4</v>
      </c>
      <c r="AO183">
        <v>-6.5263096110025759E-2</v>
      </c>
      <c r="AP183">
        <v>0.11303899832181548</v>
      </c>
      <c r="AQ183">
        <v>0.99144486137381049</v>
      </c>
      <c r="AR183">
        <v>0.19500000000000001</v>
      </c>
      <c r="AS183">
        <v>0.438</v>
      </c>
      <c r="AT183">
        <v>3.306</v>
      </c>
    </row>
    <row r="184" spans="5:46" x14ac:dyDescent="0.25">
      <c r="E184" s="170">
        <f t="shared" si="933"/>
        <v>-0.90324158901141405</v>
      </c>
      <c r="F184" s="170">
        <f t="shared" si="933"/>
        <v>0.30577343560866521</v>
      </c>
      <c r="G184" s="170">
        <f t="shared" si="933"/>
        <v>-0.30109340403969254</v>
      </c>
      <c r="H184" s="139"/>
      <c r="I184" s="86"/>
      <c r="J184" s="79">
        <f t="shared" si="930"/>
        <v>4.1230000000000002</v>
      </c>
      <c r="AL184">
        <v>-0.25010235850396895</v>
      </c>
      <c r="AM184">
        <v>-2.7534730722862366</v>
      </c>
      <c r="AN184">
        <v>-4.7800144165234926E-2</v>
      </c>
      <c r="AO184">
        <v>0.92630619100873368</v>
      </c>
      <c r="AP184">
        <v>-0.17427048067968132</v>
      </c>
      <c r="AQ184">
        <v>0.33404586520800428</v>
      </c>
      <c r="AR184">
        <v>0.219</v>
      </c>
      <c r="AS184">
        <v>0.42</v>
      </c>
      <c r="AT184">
        <v>4.117</v>
      </c>
    </row>
    <row r="185" spans="5:46" x14ac:dyDescent="0.25">
      <c r="E185" s="170">
        <f t="shared" si="933"/>
        <v>-0.86320273208335363</v>
      </c>
      <c r="F185" s="170">
        <f t="shared" si="933"/>
        <v>0.43400424630854484</v>
      </c>
      <c r="G185" s="170">
        <f t="shared" si="933"/>
        <v>-0.25791734627586804</v>
      </c>
      <c r="H185" s="139"/>
      <c r="I185" s="86"/>
      <c r="J185" s="79">
        <f t="shared" si="930"/>
        <v>4.1289999999999996</v>
      </c>
      <c r="AL185">
        <v>-0.33343804609278277</v>
      </c>
      <c r="AM185">
        <v>-3.2998062035104594</v>
      </c>
      <c r="AN185">
        <v>-0.23580071117494505</v>
      </c>
      <c r="AO185">
        <v>0.90324158901141405</v>
      </c>
      <c r="AP185">
        <v>-0.30577343560866521</v>
      </c>
      <c r="AQ185">
        <v>0.30109340403969254</v>
      </c>
      <c r="AR185">
        <v>0.219</v>
      </c>
      <c r="AS185">
        <v>0.42</v>
      </c>
      <c r="AT185">
        <v>4.1230000000000002</v>
      </c>
    </row>
    <row r="186" spans="5:46" x14ac:dyDescent="0.25">
      <c r="E186" s="170">
        <f t="shared" si="933"/>
        <v>-0.82244232670806783</v>
      </c>
      <c r="F186" s="170">
        <f t="shared" si="933"/>
        <v>0.53972048424455443</v>
      </c>
      <c r="G186" s="170">
        <f t="shared" si="933"/>
        <v>-0.17969534809182888</v>
      </c>
      <c r="H186" s="139"/>
      <c r="I186" s="86"/>
      <c r="J186" s="79">
        <f t="shared" si="930"/>
        <v>4.1349999999999998</v>
      </c>
      <c r="AL186">
        <v>-0.41958310956968659</v>
      </c>
      <c r="AM186">
        <v>-3.7406529227707961</v>
      </c>
      <c r="AN186">
        <v>-0.59320178909659593</v>
      </c>
      <c r="AO186">
        <v>0.86320273208335363</v>
      </c>
      <c r="AP186">
        <v>-0.43400424630854484</v>
      </c>
      <c r="AQ186">
        <v>0.25791734627586804</v>
      </c>
      <c r="AR186">
        <v>0.219</v>
      </c>
      <c r="AS186">
        <v>0.42</v>
      </c>
      <c r="AT186">
        <v>4.1289999999999996</v>
      </c>
    </row>
    <row r="187" spans="5:46" x14ac:dyDescent="0.25">
      <c r="E187" s="170">
        <f t="shared" si="933"/>
        <v>-0.78597170834284236</v>
      </c>
      <c r="F187" s="170">
        <f t="shared" si="933"/>
        <v>0.61455813901604184</v>
      </c>
      <c r="G187" s="170">
        <f t="shared" si="933"/>
        <v>-6.7577862157466362E-2</v>
      </c>
      <c r="H187" s="139"/>
      <c r="I187" s="86"/>
      <c r="J187" s="79">
        <f t="shared" si="930"/>
        <v>4.141</v>
      </c>
      <c r="AL187">
        <v>-0.4868669199251493</v>
      </c>
      <c r="AM187">
        <v>-4.0350458154193758</v>
      </c>
      <c r="AN187">
        <v>-1.0812032609090345</v>
      </c>
      <c r="AO187">
        <v>0.82244232670806783</v>
      </c>
      <c r="AP187">
        <v>-0.53972048424455443</v>
      </c>
      <c r="AQ187">
        <v>0.17969534809182888</v>
      </c>
      <c r="AR187">
        <v>0.219</v>
      </c>
      <c r="AS187">
        <v>0.42</v>
      </c>
      <c r="AT187">
        <v>4.1349999999999998</v>
      </c>
    </row>
    <row r="188" spans="5:46" x14ac:dyDescent="0.25">
      <c r="E188" s="170">
        <f t="shared" si="933"/>
        <v>-0.5085076831783909</v>
      </c>
      <c r="F188" s="170">
        <f t="shared" si="933"/>
        <v>0.79147656285648482</v>
      </c>
      <c r="G188" s="170">
        <f t="shared" si="933"/>
        <v>-0.339094067476018</v>
      </c>
      <c r="H188" s="139"/>
      <c r="I188" s="86"/>
      <c r="J188" s="79">
        <f t="shared" si="930"/>
        <v>5.1020000000000003</v>
      </c>
      <c r="AL188">
        <v>-0.51193293841067344</v>
      </c>
      <c r="AM188">
        <v>-4.1394770934506546</v>
      </c>
      <c r="AN188">
        <v>-1.688905093737763</v>
      </c>
      <c r="AO188">
        <v>0.78597170834284236</v>
      </c>
      <c r="AP188">
        <v>-0.61455813901604184</v>
      </c>
      <c r="AQ188">
        <v>6.7577862157466362E-2</v>
      </c>
      <c r="AR188">
        <v>0.26600000000000001</v>
      </c>
      <c r="AS188">
        <v>0.52</v>
      </c>
      <c r="AT188">
        <v>4.141</v>
      </c>
    </row>
    <row r="189" spans="5:46" x14ac:dyDescent="0.25">
      <c r="E189" s="170">
        <f t="shared" si="933"/>
        <v>-0.50850768317839068</v>
      </c>
      <c r="F189" s="170">
        <f t="shared" si="933"/>
        <v>0.79147656285648493</v>
      </c>
      <c r="G189" s="170">
        <f t="shared" si="933"/>
        <v>-0.339094067476018</v>
      </c>
      <c r="H189" s="139"/>
      <c r="I189" s="86"/>
      <c r="J189" s="79">
        <f t="shared" si="930"/>
        <v>5.1050000000000004</v>
      </c>
      <c r="AL189">
        <v>-0.37585622444412564</v>
      </c>
      <c r="AM189">
        <v>-0.21700054081761902</v>
      </c>
      <c r="AN189">
        <v>-0.28560086137219792</v>
      </c>
      <c r="AO189">
        <v>0.5085076831783909</v>
      </c>
      <c r="AP189">
        <v>-0.79147656285648482</v>
      </c>
      <c r="AQ189">
        <v>0.339094067476018</v>
      </c>
      <c r="AR189">
        <v>0.219</v>
      </c>
      <c r="AS189">
        <v>0.42</v>
      </c>
      <c r="AT189">
        <v>5.1020000000000003</v>
      </c>
    </row>
    <row r="190" spans="5:46" x14ac:dyDescent="0.25">
      <c r="E190" s="170">
        <f t="shared" si="933"/>
        <v>-0.50850768317839068</v>
      </c>
      <c r="F190" s="170">
        <f t="shared" si="933"/>
        <v>0.79147656285648493</v>
      </c>
      <c r="G190" s="170">
        <f t="shared" si="933"/>
        <v>-0.339094067476018</v>
      </c>
      <c r="H190" s="139"/>
      <c r="I190" s="86"/>
      <c r="J190" s="79">
        <f t="shared" si="930"/>
        <v>5.1079999999999997</v>
      </c>
      <c r="AL190">
        <v>-0.85754109088611341</v>
      </c>
      <c r="AM190">
        <v>-0.49510123391153499</v>
      </c>
      <c r="AN190">
        <v>-0.21240064060033229</v>
      </c>
      <c r="AO190">
        <v>0.50850768317839068</v>
      </c>
      <c r="AP190">
        <v>-0.79147656285648493</v>
      </c>
      <c r="AQ190">
        <v>0.339094067476018</v>
      </c>
      <c r="AR190">
        <v>0.219</v>
      </c>
      <c r="AS190">
        <v>0.42</v>
      </c>
      <c r="AT190">
        <v>5.1050000000000004</v>
      </c>
    </row>
    <row r="191" spans="5:46" x14ac:dyDescent="0.25">
      <c r="E191" s="170">
        <f t="shared" si="933"/>
        <v>-0.49566143839752774</v>
      </c>
      <c r="F191" s="170">
        <f t="shared" si="933"/>
        <v>0.7988933405593035</v>
      </c>
      <c r="G191" s="170">
        <f t="shared" si="933"/>
        <v>-0.34071860661796938</v>
      </c>
      <c r="H191" s="139"/>
      <c r="I191" s="86"/>
      <c r="J191" s="79">
        <f t="shared" si="930"/>
        <v>5.1109999999999998</v>
      </c>
      <c r="AL191">
        <v>-1.3392259573281009</v>
      </c>
      <c r="AM191">
        <v>-0.77320192700545165</v>
      </c>
      <c r="AN191">
        <v>-0.13920041982846626</v>
      </c>
      <c r="AO191">
        <v>0.50850768317839068</v>
      </c>
      <c r="AP191">
        <v>-0.79147656285648493</v>
      </c>
      <c r="AQ191">
        <v>0.339094067476018</v>
      </c>
      <c r="AR191">
        <v>0.219</v>
      </c>
      <c r="AS191">
        <v>0.42</v>
      </c>
      <c r="AT191">
        <v>5.1079999999999997</v>
      </c>
    </row>
    <row r="192" spans="5:46" x14ac:dyDescent="0.25">
      <c r="E192" s="170">
        <f t="shared" si="933"/>
        <v>-0.40865488405366546</v>
      </c>
      <c r="F192" s="170">
        <f t="shared" si="933"/>
        <v>0.84772390357094451</v>
      </c>
      <c r="G192" s="170">
        <f t="shared" si="933"/>
        <v>-0.33817949236097272</v>
      </c>
      <c r="H192" s="139"/>
      <c r="I192" s="86"/>
      <c r="J192" s="79">
        <f t="shared" si="930"/>
        <v>5.1159999999999997</v>
      </c>
      <c r="AL192">
        <v>-1.8208242209533967</v>
      </c>
      <c r="AM192">
        <v>-1.0512526199747561</v>
      </c>
      <c r="AN192">
        <v>-6.6000199056600373E-2</v>
      </c>
      <c r="AO192">
        <v>0.49566143839752774</v>
      </c>
      <c r="AP192">
        <v>-0.7988933405593035</v>
      </c>
      <c r="AQ192">
        <v>0.34071860661796938</v>
      </c>
      <c r="AR192">
        <v>0.219</v>
      </c>
      <c r="AS192">
        <v>0.42</v>
      </c>
      <c r="AT192">
        <v>5.1109999999999998</v>
      </c>
    </row>
    <row r="193" spans="5:46" x14ac:dyDescent="0.25">
      <c r="E193" s="170">
        <f t="shared" si="933"/>
        <v>-0.28559780833839066</v>
      </c>
      <c r="F193" s="170">
        <f t="shared" si="933"/>
        <v>0.90619300869629948</v>
      </c>
      <c r="G193" s="170">
        <f t="shared" si="933"/>
        <v>-0.31184631288866727</v>
      </c>
      <c r="H193" s="139"/>
      <c r="I193" s="86"/>
      <c r="J193" s="79">
        <f t="shared" si="930"/>
        <v>5.1219999999999999</v>
      </c>
      <c r="AL193">
        <v>-2.311819511960405</v>
      </c>
      <c r="AM193">
        <v>-1.3288174002374447</v>
      </c>
      <c r="AN193">
        <v>-3.5200106163520345E-2</v>
      </c>
      <c r="AO193">
        <v>0.40865488405366546</v>
      </c>
      <c r="AP193">
        <v>-0.84772390357094451</v>
      </c>
      <c r="AQ193">
        <v>0.33817949236097272</v>
      </c>
      <c r="AR193">
        <v>0.219</v>
      </c>
      <c r="AS193">
        <v>0.42</v>
      </c>
      <c r="AT193">
        <v>5.1159999999999997</v>
      </c>
    </row>
    <row r="194" spans="5:46" x14ac:dyDescent="0.25">
      <c r="E194" s="170">
        <f t="shared" ref="E194:G213" si="934">E49*-1</f>
        <v>-0.15443106994395278</v>
      </c>
      <c r="F194" s="170">
        <f t="shared" si="934"/>
        <v>0.9491218747665191</v>
      </c>
      <c r="G194" s="170">
        <f t="shared" si="934"/>
        <v>-0.27444254676644847</v>
      </c>
      <c r="H194" s="139"/>
      <c r="I194" s="86"/>
      <c r="J194" s="79">
        <f t="shared" si="930"/>
        <v>5.1280000000000001</v>
      </c>
      <c r="AL194">
        <v>-2.8170108560512133</v>
      </c>
      <c r="AM194">
        <v>-1.5827717002764718</v>
      </c>
      <c r="AN194">
        <v>-0.19130057696254024</v>
      </c>
      <c r="AO194">
        <v>0.28559780833839066</v>
      </c>
      <c r="AP194">
        <v>-0.90619300869629948</v>
      </c>
      <c r="AQ194">
        <v>0.31184631288866727</v>
      </c>
      <c r="AR194">
        <v>0.219</v>
      </c>
      <c r="AS194">
        <v>0.42</v>
      </c>
      <c r="AT194">
        <v>5.1219999999999999</v>
      </c>
    </row>
    <row r="195" spans="5:46" x14ac:dyDescent="0.25">
      <c r="E195" s="170">
        <f t="shared" si="934"/>
        <v>-3.9505207149841223E-2</v>
      </c>
      <c r="F195" s="170">
        <f t="shared" si="934"/>
        <v>0.97899964120396166</v>
      </c>
      <c r="G195" s="170">
        <f t="shared" si="934"/>
        <v>-0.19999760281203982</v>
      </c>
      <c r="H195" s="139"/>
      <c r="I195" s="86"/>
      <c r="J195" s="79">
        <f t="shared" si="930"/>
        <v>5.1340000000000003</v>
      </c>
      <c r="AL195">
        <v>-3.2451471286346174</v>
      </c>
      <c r="AM195">
        <v>-1.7759288135297364</v>
      </c>
      <c r="AN195">
        <v>-0.52290157707115625</v>
      </c>
      <c r="AO195">
        <v>0.15443106994395278</v>
      </c>
      <c r="AP195">
        <v>-0.9491218747665191</v>
      </c>
      <c r="AQ195">
        <v>0.27444254676644847</v>
      </c>
      <c r="AR195">
        <v>0.219</v>
      </c>
      <c r="AS195">
        <v>0.42</v>
      </c>
      <c r="AT195">
        <v>5.1280000000000001</v>
      </c>
    </row>
    <row r="196" spans="5:46" x14ac:dyDescent="0.25">
      <c r="E196" s="170">
        <f t="shared" si="934"/>
        <v>5.2601566277665587E-2</v>
      </c>
      <c r="F196" s="170">
        <f t="shared" si="934"/>
        <v>0.99632640624012514</v>
      </c>
      <c r="G196" s="170">
        <f t="shared" si="934"/>
        <v>-6.7577862157466251E-2</v>
      </c>
      <c r="H196" s="139"/>
      <c r="I196" s="86"/>
      <c r="J196" s="79">
        <f t="shared" si="930"/>
        <v>5.14</v>
      </c>
      <c r="AL196">
        <v>-3.5495286260895798</v>
      </c>
      <c r="AM196">
        <v>-1.9024416422164203</v>
      </c>
      <c r="AN196">
        <v>-0.99220299248422561</v>
      </c>
      <c r="AO196">
        <v>3.9505207149841223E-2</v>
      </c>
      <c r="AP196">
        <v>-0.97899964120396166</v>
      </c>
      <c r="AQ196">
        <v>0.19999760281203982</v>
      </c>
      <c r="AR196">
        <v>0.219</v>
      </c>
      <c r="AS196">
        <v>0.42</v>
      </c>
      <c r="AT196">
        <v>5.1340000000000003</v>
      </c>
    </row>
    <row r="197" spans="5:46" x14ac:dyDescent="0.25">
      <c r="E197" s="170">
        <f t="shared" si="934"/>
        <v>-0.13050631244875865</v>
      </c>
      <c r="F197" s="170">
        <f t="shared" si="934"/>
        <v>-2.2779961573353006E-3</v>
      </c>
      <c r="G197" s="170">
        <f t="shared" si="934"/>
        <v>-0.99144486137381049</v>
      </c>
      <c r="H197" s="139"/>
      <c r="I197" s="86"/>
      <c r="J197" s="79">
        <f t="shared" si="930"/>
        <v>5.3049999999999997</v>
      </c>
      <c r="AL197">
        <v>-3.6844935229010853</v>
      </c>
      <c r="AM197">
        <v>-1.9549561172395691</v>
      </c>
      <c r="AN197">
        <v>-1.6030048346625807</v>
      </c>
      <c r="AO197">
        <v>-5.2601566277665587E-2</v>
      </c>
      <c r="AP197">
        <v>-0.99632640624012514</v>
      </c>
      <c r="AQ197">
        <v>6.7577862157466251E-2</v>
      </c>
      <c r="AR197">
        <v>0.26600000000000001</v>
      </c>
      <c r="AS197">
        <v>0.52</v>
      </c>
      <c r="AT197">
        <v>5.14</v>
      </c>
    </row>
    <row r="198" spans="5:46" x14ac:dyDescent="0.25">
      <c r="E198" s="170">
        <f t="shared" si="934"/>
        <v>-0.12925592028994146</v>
      </c>
      <c r="F198" s="170">
        <f t="shared" si="934"/>
        <v>-1.8165734927774131E-2</v>
      </c>
      <c r="G198" s="170">
        <f t="shared" si="934"/>
        <v>-0.99144486137381038</v>
      </c>
      <c r="H198" s="139"/>
      <c r="I198" s="86"/>
      <c r="J198" s="79">
        <f t="shared" si="930"/>
        <v>5.3079999999999998</v>
      </c>
      <c r="AL198">
        <v>-1.4137846409511374</v>
      </c>
      <c r="AM198">
        <v>-2.4677702702318418E-2</v>
      </c>
      <c r="AN198">
        <v>-2.4400000000000446E-2</v>
      </c>
      <c r="AO198">
        <v>0.13050631244875865</v>
      </c>
      <c r="AP198">
        <v>2.2779961573353006E-3</v>
      </c>
      <c r="AQ198">
        <v>0.99144486137381049</v>
      </c>
      <c r="AR198">
        <v>0.19500000000000001</v>
      </c>
      <c r="AS198">
        <v>0.438</v>
      </c>
      <c r="AT198">
        <v>5.3049999999999997</v>
      </c>
    </row>
    <row r="199" spans="5:46" x14ac:dyDescent="0.25">
      <c r="E199" s="170">
        <f t="shared" si="934"/>
        <v>0.57702235941633273</v>
      </c>
      <c r="F199" s="170">
        <f t="shared" si="934"/>
        <v>0.74211126283527684</v>
      </c>
      <c r="G199" s="170">
        <f t="shared" si="934"/>
        <v>-0.34105141886032259</v>
      </c>
      <c r="H199" s="139"/>
      <c r="I199" s="86"/>
      <c r="J199" s="79">
        <f t="shared" si="930"/>
        <v>6.1150000000000002</v>
      </c>
      <c r="AL199">
        <v>-1.9092368365337475</v>
      </c>
      <c r="AM199">
        <v>-0.26832573865100567</v>
      </c>
      <c r="AN199">
        <v>4.3200000000000224E-2</v>
      </c>
      <c r="AO199">
        <v>0.12925592028994146</v>
      </c>
      <c r="AP199">
        <v>1.8165734927774131E-2</v>
      </c>
      <c r="AQ199">
        <v>0.99144486137381038</v>
      </c>
      <c r="AR199">
        <v>0.19500000000000001</v>
      </c>
      <c r="AS199">
        <v>0.438</v>
      </c>
      <c r="AT199">
        <v>5.3079999999999998</v>
      </c>
    </row>
    <row r="200" spans="5:46" x14ac:dyDescent="0.25">
      <c r="E200" s="170">
        <f t="shared" si="934"/>
        <v>0.68398111366018477</v>
      </c>
      <c r="F200" s="170">
        <f t="shared" si="934"/>
        <v>0.66225194208392923</v>
      </c>
      <c r="G200" s="170">
        <f t="shared" si="934"/>
        <v>-0.30592842522759717</v>
      </c>
      <c r="H200" s="139"/>
      <c r="I200" s="86"/>
      <c r="J200" s="79">
        <f t="shared" si="930"/>
        <v>6.1210000000000004</v>
      </c>
      <c r="AL200">
        <v>-2.1019749374329795</v>
      </c>
      <c r="AM200">
        <v>1.4745544713452676</v>
      </c>
      <c r="AN200">
        <v>-2.8500085956259164E-2</v>
      </c>
      <c r="AO200">
        <v>-0.57702235941633273</v>
      </c>
      <c r="AP200">
        <v>-0.74211126283527684</v>
      </c>
      <c r="AQ200">
        <v>0.34105141886032259</v>
      </c>
      <c r="AR200">
        <v>0.219</v>
      </c>
      <c r="AS200">
        <v>0.42</v>
      </c>
      <c r="AT200">
        <v>6.1150000000000002</v>
      </c>
    </row>
    <row r="201" spans="5:46" x14ac:dyDescent="0.25">
      <c r="E201" s="170">
        <f t="shared" si="934"/>
        <v>0.77904736383733164</v>
      </c>
      <c r="F201" s="170">
        <f t="shared" si="934"/>
        <v>0.5626931407044502</v>
      </c>
      <c r="G201" s="170">
        <f t="shared" si="934"/>
        <v>-0.27651696928446551</v>
      </c>
      <c r="H201" s="139"/>
      <c r="I201" s="86"/>
      <c r="J201" s="79">
        <f t="shared" si="930"/>
        <v>6.1269999999999998</v>
      </c>
      <c r="AL201">
        <v>-2.5566157875086946</v>
      </c>
      <c r="AM201">
        <v>1.8276593174770266</v>
      </c>
      <c r="AN201">
        <v>-0.15310046175099287</v>
      </c>
      <c r="AO201">
        <v>-0.68398111366018477</v>
      </c>
      <c r="AP201">
        <v>-0.66225194208392923</v>
      </c>
      <c r="AQ201">
        <v>0.30592842522759717</v>
      </c>
      <c r="AR201">
        <v>0.219</v>
      </c>
      <c r="AS201">
        <v>0.42</v>
      </c>
      <c r="AT201">
        <v>6.1210000000000004</v>
      </c>
    </row>
    <row r="202" spans="5:46" x14ac:dyDescent="0.25">
      <c r="E202" s="170">
        <f t="shared" si="934"/>
        <v>0.85751154763595694</v>
      </c>
      <c r="F202" s="170">
        <f t="shared" si="934"/>
        <v>0.47007603463212183</v>
      </c>
      <c r="G202" s="170">
        <f t="shared" si="934"/>
        <v>-0.20905135095360278</v>
      </c>
      <c r="H202" s="139"/>
      <c r="I202" s="86"/>
      <c r="J202" s="79">
        <f t="shared" si="930"/>
        <v>6.133</v>
      </c>
      <c r="AL202">
        <v>-2.9288709957862085</v>
      </c>
      <c r="AM202">
        <v>2.1436101328291808</v>
      </c>
      <c r="AN202">
        <v>-0.45760138012576207</v>
      </c>
      <c r="AO202">
        <v>-0.77904736383733164</v>
      </c>
      <c r="AP202">
        <v>-0.5626931407044502</v>
      </c>
      <c r="AQ202">
        <v>0.27651696928446551</v>
      </c>
      <c r="AR202">
        <v>0.219</v>
      </c>
      <c r="AS202">
        <v>0.42</v>
      </c>
      <c r="AT202">
        <v>6.1269999999999998</v>
      </c>
    </row>
    <row r="203" spans="5:46" x14ac:dyDescent="0.25">
      <c r="E203" s="170">
        <f t="shared" si="934"/>
        <v>0.91127337719640267</v>
      </c>
      <c r="F203" s="170">
        <f t="shared" si="934"/>
        <v>0.3947755876915659</v>
      </c>
      <c r="G203" s="170">
        <f t="shared" si="934"/>
        <v>-0.11718817080167122</v>
      </c>
      <c r="H203" s="139"/>
      <c r="I203" s="86"/>
      <c r="J203" s="79">
        <f t="shared" si="930"/>
        <v>6.1390000000000002</v>
      </c>
      <c r="AL203">
        <v>-3.1914985839756622</v>
      </c>
      <c r="AM203">
        <v>2.3823381840297206</v>
      </c>
      <c r="AN203">
        <v>-0.90680273491704932</v>
      </c>
      <c r="AO203">
        <v>-0.85751154763595694</v>
      </c>
      <c r="AP203">
        <v>-0.47007603463212183</v>
      </c>
      <c r="AQ203">
        <v>0.20905135095360278</v>
      </c>
      <c r="AR203">
        <v>0.219</v>
      </c>
      <c r="AS203">
        <v>0.42</v>
      </c>
      <c r="AT203">
        <v>6.133</v>
      </c>
    </row>
    <row r="204" spans="5:46" x14ac:dyDescent="0.25">
      <c r="E204" s="170">
        <f t="shared" si="934"/>
        <v>0.92520870175043968</v>
      </c>
      <c r="F204" s="170">
        <f t="shared" si="934"/>
        <v>0.37339267634956713</v>
      </c>
      <c r="G204" s="170">
        <f t="shared" si="934"/>
        <v>-6.7577862157466334E-2</v>
      </c>
      <c r="H204" s="139"/>
      <c r="I204" s="86"/>
      <c r="J204" s="79">
        <f t="shared" si="930"/>
        <v>6.1449999999999996</v>
      </c>
      <c r="AL204">
        <v>-3.3225005067937063</v>
      </c>
      <c r="AM204">
        <v>2.5073230048578266</v>
      </c>
      <c r="AN204">
        <v>-1.434404326163448</v>
      </c>
      <c r="AO204">
        <v>-0.91127337719640267</v>
      </c>
      <c r="AP204">
        <v>-0.3947755876915659</v>
      </c>
      <c r="AQ204">
        <v>0.11718817080167122</v>
      </c>
      <c r="AR204">
        <v>0.219</v>
      </c>
      <c r="AS204">
        <v>0.42</v>
      </c>
      <c r="AT204">
        <v>6.1390000000000002</v>
      </c>
    </row>
    <row r="205" spans="5:46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  <c r="AL205">
        <v>-3.3289266120464971</v>
      </c>
      <c r="AM205">
        <v>2.513084469778343</v>
      </c>
      <c r="AN205">
        <v>-2.0224060995767972</v>
      </c>
      <c r="AO205">
        <v>-0.92520870175043968</v>
      </c>
      <c r="AP205">
        <v>-0.37339267634956713</v>
      </c>
      <c r="AQ205">
        <v>6.7577862157466334E-2</v>
      </c>
      <c r="AR205">
        <v>0.26600000000000001</v>
      </c>
      <c r="AS205">
        <v>0.52</v>
      </c>
      <c r="AT205">
        <v>6.1449999999999996</v>
      </c>
    </row>
    <row r="206" spans="5:46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46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46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6841346F-4FC5-41EE-81B5-FA10505F890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FB29625D-0514-4D95-8530-9F30F59164F7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8.75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1111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1111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1111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1111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1.1140000000000001</v>
      </c>
      <c r="N168" s="869">
        <f>Assy.Model!K13</f>
        <v>1111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1.1200000000000001</v>
      </c>
      <c r="N169" s="869">
        <f>Assy.Model!K14</f>
        <v>1111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1.1259999999999999</v>
      </c>
      <c r="N170" s="869">
        <f>Assy.Model!K15</f>
        <v>1111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1.1319999999999999</v>
      </c>
      <c r="N171" s="869">
        <f>Assy.Model!K16</f>
        <v>1111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1.1379999999999999</v>
      </c>
      <c r="N172" s="869">
        <f>Assy.Model!K17</f>
        <v>1111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1.1439999999999999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1.304</v>
      </c>
      <c r="N174" s="869" t="str">
        <f>Assy.Model!K19</f>
        <v>Undefined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1.3069999999999999</v>
      </c>
      <c r="N175" s="869" t="str">
        <f>Assy.Model!K20</f>
        <v>Undefined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2.113</v>
      </c>
      <c r="N176" s="869">
        <f>Assy.Model!K21</f>
        <v>1111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2.1190000000000002</v>
      </c>
      <c r="N177" s="869">
        <f>Assy.Model!K22</f>
        <v>1111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2.125</v>
      </c>
      <c r="N178" s="869">
        <f>Assy.Model!K23</f>
        <v>1111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2.1309999999999998</v>
      </c>
      <c r="N179" s="869">
        <f>Assy.Model!K24</f>
        <v>1111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2.137</v>
      </c>
      <c r="N180" s="869">
        <f>Assy.Model!K25</f>
        <v>1111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2.1429999999999998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3.1030000000000002</v>
      </c>
      <c r="N182" s="869">
        <f>Assy.Model!K27</f>
        <v>1111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3.1059999999999999</v>
      </c>
      <c r="N183" s="869">
        <f>Assy.Model!K28</f>
        <v>1111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3.109</v>
      </c>
      <c r="N184" s="869">
        <f>Assy.Model!K29</f>
        <v>1111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3.1120000000000001</v>
      </c>
      <c r="N185" s="869">
        <f>Assy.Model!K30</f>
        <v>1111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3.1179999999999999</v>
      </c>
      <c r="N186" s="869">
        <f>Assy.Model!K31</f>
        <v>1111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3.1240000000000001</v>
      </c>
      <c r="N187" s="869">
        <f>Assy.Model!K32</f>
        <v>1111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3.13</v>
      </c>
      <c r="N188" s="869">
        <f>Assy.Model!K33</f>
        <v>1111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3.1360000000000001</v>
      </c>
      <c r="N189" s="869">
        <f>Assy.Model!K34</f>
        <v>1111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3.1419999999999999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3.3029999999999999</v>
      </c>
      <c r="N191" s="869" t="str">
        <f>Assy.Model!K36</f>
        <v>Undefined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3.306</v>
      </c>
      <c r="N192" s="869" t="str">
        <f>Assy.Model!K37</f>
        <v>Undefined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4.117</v>
      </c>
      <c r="N193" s="869">
        <f>Assy.Model!K38</f>
        <v>1111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4.1230000000000002</v>
      </c>
      <c r="N194" s="869">
        <f>Assy.Model!K39</f>
        <v>1111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4.1289999999999996</v>
      </c>
      <c r="N195" s="869">
        <f>Assy.Model!K40</f>
        <v>1111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4.1349999999999998</v>
      </c>
      <c r="N196" s="869">
        <f>Assy.Model!K41</f>
        <v>1111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4.141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5.1020000000000003</v>
      </c>
      <c r="N198" s="869">
        <f>Assy.Model!K43</f>
        <v>1111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5.1050000000000004</v>
      </c>
      <c r="N199" s="869">
        <f>Assy.Model!K44</f>
        <v>1111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5.1079999999999997</v>
      </c>
      <c r="N200" s="869">
        <f>Assy.Model!K45</f>
        <v>1111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5.1109999999999998</v>
      </c>
      <c r="N201" s="869">
        <f>Assy.Model!K46</f>
        <v>1111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5.1159999999999997</v>
      </c>
      <c r="N202" s="869">
        <f>Assy.Model!K47</f>
        <v>1111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5.1219999999999999</v>
      </c>
      <c r="N203" s="869">
        <f>Assy.Model!K48</f>
        <v>1111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5.1280000000000001</v>
      </c>
      <c r="N204" s="869">
        <f>Assy.Model!K49</f>
        <v>1111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5.1340000000000003</v>
      </c>
      <c r="N205" s="869">
        <f>Assy.Model!K50</f>
        <v>1111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5.14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5.3049999999999997</v>
      </c>
      <c r="N207" s="869" t="str">
        <f>Assy.Model!K52</f>
        <v>Undefined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5.3079999999999998</v>
      </c>
      <c r="N208" s="869" t="str">
        <f>Assy.Model!K53</f>
        <v>Undefined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6.1150000000000002</v>
      </c>
      <c r="N209" s="869">
        <f>Assy.Model!K54</f>
        <v>1111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6.1210000000000004</v>
      </c>
      <c r="N210" s="869">
        <f>Assy.Model!K55</f>
        <v>1111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6.1269999999999998</v>
      </c>
      <c r="N211" s="869">
        <f>Assy.Model!K56</f>
        <v>1111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6.133</v>
      </c>
      <c r="N212" s="869">
        <f>Assy.Model!K57</f>
        <v>1111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6.1390000000000002</v>
      </c>
      <c r="N213" s="869">
        <f>Assy.Model!K58</f>
        <v>1111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6.1449999999999996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2023-03-28T18:53:08Z</dcterms:modified>
</cp:coreProperties>
</file>