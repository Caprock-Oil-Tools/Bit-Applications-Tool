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0\"/>
    </mc:Choice>
  </mc:AlternateContent>
  <xr:revisionPtr revIDLastSave="0" documentId="13_ncr:1_{1B239261-D304-4ECA-B650-94F8CFD102FD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T11" i="1"/>
  <c r="IR11" i="1"/>
  <c r="IX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P11" i="1" l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IL47" i="1" s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7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IS47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Y47" i="1"/>
  <c r="IF47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<sst xmlns="http://schemas.openxmlformats.org/spreadsheetml/2006/main" count="734" uniqueCount="391">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</sst>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7.875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30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1.112's θ about Z Axis</v>
      </c>
      <c r="U5" s="1137"/>
      <c r="V5" s="1138"/>
      <c r="W5" s="1137" t="str">
        <f>CONCATENATE("Relative to ",M8,"'s θ about Z Axis")</f>
        <v>Relative to 1.112's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1.112's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88.970000148713581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-0.11780035528587143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0.41130124048454136</v>
      </c>
      <c r="D9" s="704">
        <v>-0.50390151976698372</v>
      </c>
      <c r="E9" s="705">
        <v>-0.93969263802333458</v>
      </c>
      <c r="F9" s="703">
        <v>-8.8521302156295611E-2</v>
      </c>
      <c r="G9" s="706">
        <v>0.33036604714967333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0.41130124048454136</v>
      </c>
      <c r="P9" s="625">
        <f t="shared" ref="P9:P40" si="4">IF(M9="","",D9)</f>
        <v>-0.50390151976698372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0.41130124048454136</v>
      </c>
      <c r="S9" s="626">
        <f>IF(M9="","",P9)</f>
        <v>-0.50390151976698372</v>
      </c>
      <c r="T9" s="627">
        <f>IF(M9="","",X9*COS(RADIANS(W9)))</f>
        <v>0.41123478246624329</v>
      </c>
      <c r="U9" s="624">
        <f>IF(M9="","",X9*SIN(RADIANS(W9)))</f>
        <v>7.3935183819398365E-3</v>
      </c>
      <c r="V9" s="628">
        <f>IF(M9="","",Y9)</f>
        <v>-0.50390151976698372</v>
      </c>
      <c r="W9" s="583">
        <f t="shared" ref="W9:W14" si="5">IF(M9="","",IF(Q9-$Q$8&lt;0,360+Q9-$Q$8,Q9-$Q$8))</f>
        <v>1.0299998512864192</v>
      </c>
      <c r="X9" s="629">
        <f>IF(M9="","",R9)</f>
        <v>0.41130124048454136</v>
      </c>
      <c r="Y9" s="630">
        <f>IF(M9="","",S9)</f>
        <v>-0.50390151976698372</v>
      </c>
      <c r="Z9" s="623">
        <f t="shared" ref="Z9:Z40" si="6">IF(M9="","",-E9)</f>
        <v>0.93969263802333458</v>
      </c>
      <c r="AA9" s="624">
        <f t="shared" ref="AA9:AA40" si="7">IF(M9="","",-F9)</f>
        <v>8.8521302156295611E-2</v>
      </c>
      <c r="AB9" s="624">
        <f t="shared" ref="AB9:AB40" si="8">IF(M9="","",-G9)</f>
        <v>-0.33036604714967333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8.8521302156295611E-2</v>
      </c>
      <c r="AF9" s="625">
        <f>IF(M9="","",AB9*(1/SQRT(Z9^2+AA9^2+AB9^2)))</f>
        <v>-0.33036604714967333</v>
      </c>
      <c r="AG9" s="599">
        <f>IF(M9="","",DEGREES(ATAN2(-AF9,AE9)))</f>
        <v>14.999997834268274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8.8521302156295611E-2</v>
      </c>
      <c r="AM9" s="626">
        <f>IF(M9="","",AF9)</f>
        <v>-0.33036604714967333</v>
      </c>
      <c r="AN9" s="581">
        <f>IF(M9="","",DEGREES(ATAN2(-AM9,AL9)))</f>
        <v>14.999997834268274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5.3815187622394811</v>
      </c>
      <c r="AQ9" s="584">
        <f t="shared" ref="AQ9:AQ40" si="9">IF(M9="","",DEGREES(ATAN(($AS$5*SIN(RADIANS(90)))/(($X9*2*PI())-($AS$5*COS(RADIANS(90)))))))</f>
        <v>5.5255237903706487</v>
      </c>
      <c r="AS9" s="51">
        <f>IF(M9="","",W9)</f>
        <v>1.0299998512864192</v>
      </c>
      <c r="AT9" s="71">
        <f t="shared" ref="AT9:AT40" si="10">IF(M9="","",Y9+(((AS9-$AS$9)*$AS$6)*-1))</f>
        <v>-0.50390151976698372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1.1810035619067427</v>
      </c>
      <c r="D10" s="709">
        <v>-0.29770089786590803</v>
      </c>
      <c r="E10" s="710">
        <v>-0.96592583607220739</v>
      </c>
      <c r="F10" s="708">
        <v>-6.6987279208207198E-2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1.1810035619067427</v>
      </c>
      <c r="P10" s="633">
        <f t="shared" si="4"/>
        <v>-0.29770089786590803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1.1810035619067427</v>
      </c>
      <c r="S10" s="634">
        <f t="shared" ref="S10:S105" si="80">IF(M10="","",P10)</f>
        <v>-0.29770089786590803</v>
      </c>
      <c r="T10" s="635">
        <f t="shared" ref="T10:T105" si="81">IF(M10="","",X10*COS(RADIANS(W10)))</f>
        <v>1.18081273545498</v>
      </c>
      <c r="U10" s="629">
        <f t="shared" ref="U10:U105" si="82">IF(M10="","",X10*SIN(RADIANS(W10)))</f>
        <v>2.1229626085754794E-2</v>
      </c>
      <c r="V10" s="636">
        <f>IF(M10="","",Y10)</f>
        <v>-0.29770089786590803</v>
      </c>
      <c r="W10" s="585">
        <f t="shared" si="5"/>
        <v>1.0299998512864192</v>
      </c>
      <c r="X10" s="629">
        <f t="shared" ref="X10:X105" si="83">IF(M10="","",R10)</f>
        <v>1.1810035619067427</v>
      </c>
      <c r="Y10" s="630">
        <f>IF(M10="","",S10)</f>
        <v>-0.29770089786590803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1.9296001740592692</v>
      </c>
      <c r="AS10" s="52">
        <f>IF($M10="","",IF(AND($W10&lt;($AS$9+180),$W10&gt;($AS$9-180)),$W10,IF($W10&gt;($AS$9+180),$W10-360,IF($W10&lt;($AS$9-180),$W10+360,"Error"))))</f>
        <v>1.0299998512864192</v>
      </c>
      <c r="AT10" s="72">
        <f t="shared" si="10"/>
        <v>-0.29770089786590803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5.3909814677529323E-3</v>
      </c>
      <c r="C11" s="708">
        <v>1.9304982951716338</v>
      </c>
      <c r="D11" s="709">
        <v>-9.6400290743276884E-2</v>
      </c>
      <c r="E11" s="710">
        <v>-0.96559414075354888</v>
      </c>
      <c r="F11" s="708">
        <v>-1.4732087394821057E-2</v>
      </c>
      <c r="G11" s="711">
        <v>0.25963613181413547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5.3909814677529323E-3</v>
      </c>
      <c r="O11" s="629">
        <f t="shared" si="3"/>
        <v>1.9304982951716338</v>
      </c>
      <c r="P11" s="633">
        <f t="shared" si="4"/>
        <v>-9.6400290743276884E-2</v>
      </c>
      <c r="Q11" s="585">
        <f t="shared" ref="Q11:Q73" si="113">IF(M11="","",IF(DEGREES(ATAN2(N11,O11))&lt;0,DEGREES(ATAN2(N11,O11))+360,IF(DEGREES(ATAN2(N11,O11))&gt;360,DEGREES(ATAN2(N11,O11))-360,DEGREES(ATAN2(N11,O11)))))</f>
        <v>89.84000002310114</v>
      </c>
      <c r="R11" s="629">
        <f t="shared" si="79"/>
        <v>1.9305058224055607</v>
      </c>
      <c r="S11" s="634">
        <f t="shared" si="80"/>
        <v>-9.6400290743276884E-2</v>
      </c>
      <c r="T11" s="635">
        <f t="shared" si="81"/>
        <v>1.9302832732807633</v>
      </c>
      <c r="U11" s="629">
        <f t="shared" si="82"/>
        <v>2.9312373398828154E-2</v>
      </c>
      <c r="V11" s="636">
        <f t="shared" ref="V11:V105" si="114">IF(M11="","",Y11)</f>
        <v>-9.6400290743276884E-2</v>
      </c>
      <c r="W11" s="585">
        <f t="shared" si="5"/>
        <v>0.86999987438755966</v>
      </c>
      <c r="X11" s="629">
        <f>IF(M11="","",R11)</f>
        <v>1.9305058224055607</v>
      </c>
      <c r="Y11" s="630">
        <f>IF(M11="","",S11)</f>
        <v>-9.6400290743276884E-2</v>
      </c>
      <c r="Z11" s="632">
        <f t="shared" si="6"/>
        <v>0.96559414075354888</v>
      </c>
      <c r="AA11" s="629">
        <f t="shared" si="7"/>
        <v>1.4732087394821057E-2</v>
      </c>
      <c r="AB11" s="629">
        <f t="shared" si="8"/>
        <v>-0.25963613181413547</v>
      </c>
      <c r="AC11" s="636">
        <f t="shared" si="84"/>
        <v>1</v>
      </c>
      <c r="AD11" s="637">
        <f t="shared" ref="AD11:AD105" si="115">IF(M11="","",Z11*(1/SQRT(Z11^2+AA11^2+AB11^2)))</f>
        <v>0.96559414075354888</v>
      </c>
      <c r="AE11" s="629">
        <f t="shared" si="85"/>
        <v>1.4732087394821057E-2</v>
      </c>
      <c r="AF11" s="633">
        <f t="shared" si="86"/>
        <v>-0.25963613181413547</v>
      </c>
      <c r="AG11" s="602">
        <f>IF(M11="","",DEGREES(ATAN2(-AF11,AE11)))</f>
        <v>3.2475538173376943</v>
      </c>
      <c r="AH11" s="603">
        <f t="shared" si="88"/>
        <v>15.073251782436245</v>
      </c>
      <c r="AI11" s="585">
        <f t="shared" si="89"/>
        <v>-74.951527403839535</v>
      </c>
      <c r="AJ11" s="586">
        <f t="shared" si="90"/>
        <v>90.874094932995078</v>
      </c>
      <c r="AK11" s="635">
        <f>IF(M11="","",(COS(RADIANS((90-$Q$8)-W11))*AD11)+(-SIN(RADIANS((90-$Q$8)-W11))*AE11))</f>
        <v>0.96554923611658972</v>
      </c>
      <c r="AL11" s="629">
        <f t="shared" si="91"/>
        <v>1.7428473578116149E-2</v>
      </c>
      <c r="AM11" s="634">
        <f t="shared" si="92"/>
        <v>-0.25963613181413547</v>
      </c>
      <c r="AN11" s="581">
        <f>IF(M11="","",DEGREES(ATAN2(-AM11,AL11)))</f>
        <v>3.8403058917047961</v>
      </c>
      <c r="AO11" s="582">
        <f>IF(ROUND(IF(M11="",0,DEGREES(ACOS(AK11))),4)=90,0,IF(M11="","",DEGREES(ACOS(AK11))))</f>
        <v>15.083142129654252</v>
      </c>
      <c r="AP11" s="585">
        <f t="shared" si="95"/>
        <v>1.0340949098939405</v>
      </c>
      <c r="AQ11" s="586">
        <f t="shared" si="9"/>
        <v>1.1807288448746387</v>
      </c>
      <c r="AS11" s="52">
        <f t="shared" ref="AS11:AS42" si="116">IF(G11="","",IF(AND(W11&lt;(AS10+180),W11&gt;(AS10-180)),W11,IF(W11&gt;(AS10+180),W11-360,IF(W11&lt;(AS10-180),W11+360,"Error"))))</f>
        <v>0.86999987438755966</v>
      </c>
      <c r="AT11" s="72">
        <f t="shared" si="10"/>
        <v>-9.6289179648208226E-2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4.8651975445466053E-2</v>
      </c>
      <c r="C12" s="708">
        <v>2.7060708454774796</v>
      </c>
      <c r="D12" s="709">
        <v>-0.11780035528587143</v>
      </c>
      <c r="E12" s="710">
        <v>-0.95997932590606116</v>
      </c>
      <c r="F12" s="708">
        <v>0.15176290568465062</v>
      </c>
      <c r="G12" s="711">
        <v>0.23538843278949861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4.8651975445466053E-2</v>
      </c>
      <c r="O12" s="629">
        <f t="shared" si="3"/>
        <v>2.7060708454774796</v>
      </c>
      <c r="P12" s="633">
        <f t="shared" si="4"/>
        <v>-0.11780035528587143</v>
      </c>
      <c r="Q12" s="585">
        <f>IF(M12="","",IF(DEGREES(ATAN2(N12,O12))&lt;0,DEGREES(ATAN2(N12,O12))+360,IF(DEGREES(ATAN2(N12,O12))&gt;360,DEGREES(ATAN2(N12,O12))-360,DEGREES(ATAN2(N12,O12)))))</f>
        <v>88.970000148713581</v>
      </c>
      <c r="R12" s="629">
        <f t="shared" si="79"/>
        <v>2.7065081628286194</v>
      </c>
      <c r="S12" s="634">
        <f t="shared" si="80"/>
        <v>-0.11780035528587143</v>
      </c>
      <c r="T12" s="635">
        <f>IF(M12="","",X12*COS(RADIANS(W12)))</f>
        <v>2.7065081628286194</v>
      </c>
      <c r="U12" s="629">
        <f t="shared" si="82"/>
        <v>0</v>
      </c>
      <c r="V12" s="636">
        <f t="shared" si="114"/>
        <v>-0.11780035528587143</v>
      </c>
      <c r="W12" s="585">
        <f>IF(M12="","",IF(Q12-$Q$8&lt;0,360+Q12-$Q$8,Q12-$Q$8))</f>
        <v>0</v>
      </c>
      <c r="X12" s="629">
        <f t="shared" si="83"/>
        <v>2.7065081628286194</v>
      </c>
      <c r="Y12" s="630">
        <f>IF(M12="","",S12)</f>
        <v>-0.11780035528587143</v>
      </c>
      <c r="Z12" s="632">
        <f t="shared" si="6"/>
        <v>0.95997932590606116</v>
      </c>
      <c r="AA12" s="629">
        <f t="shared" si="7"/>
        <v>-0.15176290568465062</v>
      </c>
      <c r="AB12" s="629">
        <f t="shared" si="8"/>
        <v>-0.23538843278949861</v>
      </c>
      <c r="AC12" s="636">
        <f t="shared" si="84"/>
        <v>1</v>
      </c>
      <c r="AD12" s="637">
        <f t="shared" si="115"/>
        <v>0.95997932590606116</v>
      </c>
      <c r="AE12" s="629">
        <f t="shared" si="85"/>
        <v>-0.15176290568465062</v>
      </c>
      <c r="AF12" s="633">
        <f t="shared" si="86"/>
        <v>-0.23538843278949861</v>
      </c>
      <c r="AG12" s="602">
        <f t="shared" si="87"/>
        <v>-32.811248308848597</v>
      </c>
      <c r="AH12" s="603">
        <f t="shared" si="88"/>
        <v>16.264434667000337</v>
      </c>
      <c r="AI12" s="585">
        <f t="shared" si="89"/>
        <v>-76.385479344050822</v>
      </c>
      <c r="AJ12" s="586">
        <f t="shared" si="90"/>
        <v>81.016471250054948</v>
      </c>
      <c r="AK12" s="635">
        <f t="shared" ref="AK12:AK105" si="211">IF(M12="","",(COS(RADIANS((90-$Q$8)-W12))*AD12)+(-SIN(RADIANS((90-$Q$8)-W12))*AE12))</f>
        <v>0.96255229045151824</v>
      </c>
      <c r="AL12" s="629">
        <f>IF(M12="","",(SIN(RADIANS((90-$Q$8)-W12))*AD12)+(COS(RADIANS((90-$Q$8)-W12))*AE12))</f>
        <v>-0.13448187184687696</v>
      </c>
      <c r="AM12" s="634">
        <f t="shared" si="92"/>
        <v>-0.23538843278949861</v>
      </c>
      <c r="AN12" s="581">
        <f>IF(M12="","",DEGREES(ATAN2(-AM12,AL12)))</f>
        <v>-29.740146205916297</v>
      </c>
      <c r="AO12" s="582">
        <f t="shared" si="94"/>
        <v>15.729500792922698</v>
      </c>
      <c r="AP12" s="585">
        <f t="shared" si="95"/>
        <v>-7.9535288986586377</v>
      </c>
      <c r="AQ12" s="586">
        <f t="shared" si="9"/>
        <v>0.84225218698269932</v>
      </c>
      <c r="AS12" s="52">
        <f t="shared" si="116"/>
        <v>0</v>
      </c>
      <c r="AT12" s="72">
        <f>IF(M12="","",Y12+(((AS12-$AS$9)*$AS$6)*-1))</f>
        <v>-0.11708507761136698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0.1174769342968594</v>
      </c>
      <c r="C13" s="708">
        <v>3.347349279667104</v>
      </c>
      <c r="D13" s="709">
        <v>-0.55700167991706662</v>
      </c>
      <c r="E13" s="710">
        <v>-0.94348503188001442</v>
      </c>
      <c r="F13" s="708">
        <v>0.29264802537863099</v>
      </c>
      <c r="G13" s="711">
        <v>0.1555414023993501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0.1174769342968594</v>
      </c>
      <c r="O13" s="629">
        <f t="shared" si="3"/>
        <v>3.347349279667104</v>
      </c>
      <c r="P13" s="633">
        <f t="shared" si="4"/>
        <v>-0.55700167991706662</v>
      </c>
      <c r="Q13" s="585">
        <f t="shared" si="113"/>
        <v>87.990000290208059</v>
      </c>
      <c r="R13" s="629">
        <f t="shared" si="79"/>
        <v>3.3494101018208666</v>
      </c>
      <c r="S13" s="634">
        <f t="shared" si="80"/>
        <v>-0.55700167991706662</v>
      </c>
      <c r="T13" s="635">
        <f>IF(M13="","",X13*COS(RADIANS(W13)))</f>
        <v>3.3489201712908159</v>
      </c>
      <c r="U13" s="629">
        <f t="shared" si="82"/>
        <v>-5.7286267998172588E-2</v>
      </c>
      <c r="V13" s="636">
        <f t="shared" si="114"/>
        <v>-0.55700167991706662</v>
      </c>
      <c r="W13" s="585">
        <f t="shared" si="5"/>
        <v>359.02000014149451</v>
      </c>
      <c r="X13" s="629">
        <f t="shared" si="83"/>
        <v>3.3494101018208666</v>
      </c>
      <c r="Y13" s="630">
        <f>IF(M13="","",S13)</f>
        <v>-0.55700167991706662</v>
      </c>
      <c r="Z13" s="632">
        <f t="shared" si="6"/>
        <v>0.94348503188001442</v>
      </c>
      <c r="AA13" s="629">
        <f t="shared" si="7"/>
        <v>-0.29264802537863099</v>
      </c>
      <c r="AB13" s="629">
        <f t="shared" si="8"/>
        <v>-0.1555414023993501</v>
      </c>
      <c r="AC13" s="636">
        <f t="shared" si="84"/>
        <v>1</v>
      </c>
      <c r="AD13" s="637">
        <f>IF(M13="","",Z13*(1/SQRT(Z13^2+AA13^2+AB13^2)))</f>
        <v>0.94348503188001442</v>
      </c>
      <c r="AE13" s="629">
        <f t="shared" si="85"/>
        <v>-0.29264802537863099</v>
      </c>
      <c r="AF13" s="633">
        <f t="shared" si="86"/>
        <v>-0.1555414023993501</v>
      </c>
      <c r="AG13" s="602">
        <f>IF(M13="","",DEGREES(ATAN2(-AF13,AE13)))</f>
        <v>-62.009511802928891</v>
      </c>
      <c r="AH13" s="603">
        <f t="shared" si="88"/>
        <v>19.354691212302576</v>
      </c>
      <c r="AI13" s="585">
        <f t="shared" si="89"/>
        <v>-81.051802842667058</v>
      </c>
      <c r="AJ13" s="586">
        <f t="shared" si="90"/>
        <v>72.767275015395953</v>
      </c>
      <c r="AK13" s="635">
        <f t="shared" si="211"/>
        <v>0.95316883798558394</v>
      </c>
      <c r="AL13" s="629">
        <f t="shared" si="91"/>
        <v>-0.25937624878322102</v>
      </c>
      <c r="AM13" s="634">
        <f t="shared" si="92"/>
        <v>-0.1555414023993501</v>
      </c>
      <c r="AN13" s="581">
        <f t="shared" si="93"/>
        <v>-59.049945494206952</v>
      </c>
      <c r="AO13" s="582">
        <f t="shared" si="94"/>
        <v>17.604136038579369</v>
      </c>
      <c r="AP13" s="585">
        <f t="shared" si="95"/>
        <v>-15.222725274812122</v>
      </c>
      <c r="AQ13" s="586">
        <f t="shared" si="9"/>
        <v>0.68060325090409668</v>
      </c>
      <c r="AS13" s="52">
        <f t="shared" si="116"/>
        <v>-0.97999985850549365</v>
      </c>
      <c r="AT13" s="72">
        <f t="shared" si="10"/>
        <v>-0.5556058467852667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0.15989583260988227</v>
      </c>
      <c r="C14" s="708">
        <v>3.647608112563907</v>
      </c>
      <c r="D14" s="709">
        <v>-1.2666038200771212</v>
      </c>
      <c r="E14" s="710">
        <v>-0.86817284090769886</v>
      </c>
      <c r="F14" s="708">
        <v>0.48263110375385698</v>
      </c>
      <c r="G14" s="711">
        <v>0.11551249282908445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0.15989583260988227</v>
      </c>
      <c r="O14" s="629">
        <f t="shared" si="3"/>
        <v>3.647608112563907</v>
      </c>
      <c r="P14" s="633">
        <f t="shared" si="4"/>
        <v>-1.2666038200771212</v>
      </c>
      <c r="Q14" s="585">
        <f t="shared" si="113"/>
        <v>87.490000362399101</v>
      </c>
      <c r="R14" s="629">
        <f t="shared" si="79"/>
        <v>3.6511110117508121</v>
      </c>
      <c r="S14" s="634">
        <f t="shared" si="80"/>
        <v>-1.2666038200771212</v>
      </c>
      <c r="T14" s="635">
        <f t="shared" si="81"/>
        <v>3.6498930071336408</v>
      </c>
      <c r="U14" s="629">
        <f t="shared" si="82"/>
        <v>-9.4300883373308844E-2</v>
      </c>
      <c r="V14" s="636">
        <f t="shared" si="114"/>
        <v>-1.2666038200771212</v>
      </c>
      <c r="W14" s="585">
        <f t="shared" si="5"/>
        <v>358.52000021368553</v>
      </c>
      <c r="X14" s="629">
        <f t="shared" si="83"/>
        <v>3.6511110117508121</v>
      </c>
      <c r="Y14" s="630">
        <f t="shared" ref="Y14:Y75" si="223">IF(M14="","",S14)</f>
        <v>-1.2666038200771212</v>
      </c>
      <c r="Z14" s="632">
        <f t="shared" si="6"/>
        <v>0.86817284090769886</v>
      </c>
      <c r="AA14" s="629">
        <f t="shared" si="7"/>
        <v>-0.48263110375385698</v>
      </c>
      <c r="AB14" s="629">
        <f t="shared" si="8"/>
        <v>-0.11551249282908445</v>
      </c>
      <c r="AC14" s="636">
        <f t="shared" si="84"/>
        <v>1</v>
      </c>
      <c r="AD14" s="637">
        <f>IF(M14="","",Z14*(1/SQRT(Z14^2+AA14^2+AB14^2)))</f>
        <v>0.86817284090769886</v>
      </c>
      <c r="AE14" s="629">
        <f t="shared" si="85"/>
        <v>-0.48263110375385698</v>
      </c>
      <c r="AF14" s="633">
        <f t="shared" si="86"/>
        <v>-0.11551249282908445</v>
      </c>
      <c r="AG14" s="602">
        <f t="shared" si="87"/>
        <v>-76.540076661843202</v>
      </c>
      <c r="AH14" s="603">
        <f t="shared" si="88"/>
        <v>29.752998909642432</v>
      </c>
      <c r="AI14" s="585">
        <f t="shared" si="89"/>
        <v>-83.366814276333315</v>
      </c>
      <c r="AJ14" s="586">
        <f t="shared" si="90"/>
        <v>60.929620604582546</v>
      </c>
      <c r="AK14" s="635">
        <f>IF(M14="","",(COS(RADIANS((90-$Q$8)-W14))*AD14)+(-SIN(RADIANS((90-$Q$8)-W14))*AE14))</f>
        <v>0.88847613489165678</v>
      </c>
      <c r="AL14" s="629">
        <f t="shared" si="91"/>
        <v>-0.44414752248368267</v>
      </c>
      <c r="AM14" s="634">
        <f t="shared" si="92"/>
        <v>-0.11551249282908445</v>
      </c>
      <c r="AN14" s="581">
        <f t="shared" si="93"/>
        <v>-75.421658993053455</v>
      </c>
      <c r="AO14" s="582">
        <f t="shared" si="94"/>
        <v>27.317621075933733</v>
      </c>
      <c r="AP14" s="585">
        <f>IF(M14="","",DEGREES(ATAN2(AK14,AL14)))</f>
        <v>-26.560379757816513</v>
      </c>
      <c r="AQ14" s="586">
        <f t="shared" si="9"/>
        <v>0.62436786618217044</v>
      </c>
      <c r="AS14" s="52">
        <f t="shared" si="116"/>
        <v>-1.4799997863144654</v>
      </c>
      <c r="AT14" s="72">
        <f t="shared" si="10"/>
        <v>-1.2648607647732317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0.16612567320298272</v>
      </c>
      <c r="C15" s="708">
        <v>3.6867702214335671</v>
      </c>
      <c r="D15" s="709">
        <v>-2.0462061713578126</v>
      </c>
      <c r="E15" s="710">
        <v>-0.8317652532255333</v>
      </c>
      <c r="F15" s="708">
        <v>0.55077745248487975</v>
      </c>
      <c r="G15" s="711">
        <v>6.9359652254973148E-2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0.16612567320298272</v>
      </c>
      <c r="O15" s="629">
        <f t="shared" si="3"/>
        <v>3.6867702214335671</v>
      </c>
      <c r="P15" s="633">
        <f t="shared" si="4"/>
        <v>-2.0462061713578126</v>
      </c>
      <c r="Q15" s="585">
        <f t="shared" si="113"/>
        <v>87.420000372505854</v>
      </c>
      <c r="R15" s="629">
        <f t="shared" si="79"/>
        <v>3.6905111305815699</v>
      </c>
      <c r="S15" s="634">
        <f t="shared" si="80"/>
        <v>-2.0462061713578126</v>
      </c>
      <c r="T15" s="635">
        <f t="shared" si="81"/>
        <v>3.6891607753121383</v>
      </c>
      <c r="U15" s="629">
        <f t="shared" si="82"/>
        <v>-9.9825742395428227E-2</v>
      </c>
      <c r="V15" s="636">
        <f t="shared" si="114"/>
        <v>-2.0462061713578126</v>
      </c>
      <c r="W15" s="585">
        <f t="shared" ref="W15:W78" si="224">IF(M15="","",IF(Q15-$Q$8&lt;0,360+Q15-$Q$8,Q15-$Q$8))</f>
        <v>358.45000022379224</v>
      </c>
      <c r="X15" s="629">
        <f>IF(M15="","",R15)</f>
        <v>3.6905111305815699</v>
      </c>
      <c r="Y15" s="630">
        <f>IF(M15="","",S15)</f>
        <v>-2.0462061713578126</v>
      </c>
      <c r="Z15" s="632">
        <f t="shared" si="6"/>
        <v>0.8317652532255333</v>
      </c>
      <c r="AA15" s="629">
        <f t="shared" si="7"/>
        <v>-0.55077745248487975</v>
      </c>
      <c r="AB15" s="629">
        <f t="shared" si="8"/>
        <v>-6.9359652254973148E-2</v>
      </c>
      <c r="AC15" s="636">
        <f t="shared" si="84"/>
        <v>1</v>
      </c>
      <c r="AD15" s="637">
        <f t="shared" si="115"/>
        <v>0.8317652532255333</v>
      </c>
      <c r="AE15" s="629">
        <f t="shared" si="85"/>
        <v>-0.55077745248487975</v>
      </c>
      <c r="AF15" s="633">
        <f t="shared" si="86"/>
        <v>-6.9359652254973148E-2</v>
      </c>
      <c r="AG15" s="602">
        <f t="shared" si="87"/>
        <v>-82.82249900423929</v>
      </c>
      <c r="AH15" s="603">
        <f t="shared" si="88"/>
        <v>33.719498494632624</v>
      </c>
      <c r="AI15" s="585">
        <f t="shared" si="89"/>
        <v>-86.022791399643395</v>
      </c>
      <c r="AJ15" s="586">
        <f t="shared" si="90"/>
        <v>56.48831202399473</v>
      </c>
      <c r="AK15" s="635">
        <f t="shared" si="211"/>
        <v>0.85571497555582898</v>
      </c>
      <c r="AL15" s="629">
        <f t="shared" si="91"/>
        <v>-0.51277784590264475</v>
      </c>
      <c r="AM15" s="634">
        <f t="shared" si="92"/>
        <v>-6.9359652254973148E-2</v>
      </c>
      <c r="AN15" s="581">
        <f>IF(M15="","",DEGREES(ATAN2(-AM15,AL15)))</f>
        <v>-82.296777537235755</v>
      </c>
      <c r="AO15" s="582">
        <f t="shared" si="94"/>
        <v>31.16118781937822</v>
      </c>
      <c r="AP15" s="585">
        <f t="shared" si="95"/>
        <v>-30.931688348511067</v>
      </c>
      <c r="AQ15" s="586">
        <f t="shared" si="9"/>
        <v>0.61770259656298487</v>
      </c>
      <c r="AS15" s="52">
        <f t="shared" si="116"/>
        <v>-1.5499997762077555</v>
      </c>
      <c r="AT15" s="72">
        <f t="shared" si="10"/>
        <v>-2.0444145049498306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30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0.88392559313328523</v>
      </c>
      <c r="C16" s="708">
        <v>1.7162475916382138</v>
      </c>
      <c r="D16" s="709">
        <v>-2.7100000000000093E-2</v>
      </c>
      <c r="E16" s="710">
        <v>-7.9508970961282288E-2</v>
      </c>
      <c r="F16" s="708">
        <v>-0.15437620653366163</v>
      </c>
      <c r="G16" s="711">
        <v>0.98480775301220813</v>
      </c>
      <c r="H16" s="710">
        <v>0.22499999999999998</v>
      </c>
      <c r="I16" s="708">
        <v>0.33200000000000002</v>
      </c>
      <c r="J16" s="570">
        <v>1.2070000000000001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1.2070000000000001</v>
      </c>
      <c r="N16" s="632">
        <f t="shared" si="2"/>
        <v>0.88392559313328523</v>
      </c>
      <c r="O16" s="629">
        <f t="shared" si="3"/>
        <v>1.7162475916382138</v>
      </c>
      <c r="P16" s="633">
        <f t="shared" si="4"/>
        <v>-2.7100000000000093E-2</v>
      </c>
      <c r="Q16" s="585">
        <f>IF(M16="","",IF(DEGREES(ATAN2(N16,O16))&lt;0,DEGREES(ATAN2(N16,O16))+360,IF(DEGREES(ATAN2(N16,O16))&gt;360,DEGREES(ATAN2(N16,O16))-360,DEGREES(ATAN2(N16,O16)))))</f>
        <v>62.749999999999993</v>
      </c>
      <c r="R16" s="629">
        <f t="shared" si="79"/>
        <v>1.9304999999999999</v>
      </c>
      <c r="S16" s="634">
        <f t="shared" si="80"/>
        <v>-2.7100000000000093E-2</v>
      </c>
      <c r="T16" s="635">
        <f t="shared" si="81"/>
        <v>1.7318596566533462</v>
      </c>
      <c r="U16" s="629">
        <f t="shared" si="82"/>
        <v>-0.85293163832545993</v>
      </c>
      <c r="V16" s="636">
        <f t="shared" si="114"/>
        <v>-2.7100000000000093E-2</v>
      </c>
      <c r="W16" s="585">
        <f>IF(M16="","",IF(Q16-$Q$8&lt;0,360+Q16-$Q$8,Q16-$Q$8))</f>
        <v>333.77999985128645</v>
      </c>
      <c r="X16" s="629">
        <f t="shared" si="83"/>
        <v>1.9304999999999999</v>
      </c>
      <c r="Y16" s="630">
        <f t="shared" si="223"/>
        <v>-2.7100000000000093E-2</v>
      </c>
      <c r="Z16" s="632">
        <f t="shared" si="6"/>
        <v>7.9508970961282288E-2</v>
      </c>
      <c r="AA16" s="629">
        <f t="shared" si="7"/>
        <v>0.15437620653366163</v>
      </c>
      <c r="AB16" s="629">
        <f t="shared" si="8"/>
        <v>-0.98480775301220813</v>
      </c>
      <c r="AC16" s="636">
        <f t="shared" si="84"/>
        <v>1</v>
      </c>
      <c r="AD16" s="637">
        <f t="shared" si="115"/>
        <v>7.9508970961282288E-2</v>
      </c>
      <c r="AE16" s="629">
        <f t="shared" si="85"/>
        <v>0.15437620653366163</v>
      </c>
      <c r="AF16" s="633">
        <f t="shared" si="86"/>
        <v>-0.98480775301220813</v>
      </c>
      <c r="AG16" s="602">
        <f t="shared" si="87"/>
        <v>8.9090532269334357</v>
      </c>
      <c r="AH16" s="603">
        <f t="shared" si="88"/>
        <v>85.439658061891848</v>
      </c>
      <c r="AI16" s="585">
        <f t="shared" si="89"/>
        <v>-9.9999999999999751</v>
      </c>
      <c r="AJ16" s="586">
        <f t="shared" si="90"/>
        <v>152.75</v>
      </c>
      <c r="AK16" s="635">
        <f t="shared" si="211"/>
        <v>4.163336342344337E-17</v>
      </c>
      <c r="AL16" s="629">
        <f t="shared" si="91"/>
        <v>0.17364817766693028</v>
      </c>
      <c r="AM16" s="634">
        <f t="shared" si="92"/>
        <v>-0.98480775301220813</v>
      </c>
      <c r="AN16" s="581">
        <f t="shared" si="93"/>
        <v>9.9999999999999964</v>
      </c>
      <c r="AO16" s="582">
        <f t="shared" si="94"/>
        <v>0</v>
      </c>
      <c r="AP16" s="585">
        <f t="shared" si="95"/>
        <v>89.999999999999986</v>
      </c>
      <c r="AQ16" s="586">
        <f t="shared" si="9"/>
        <v>1.1807324049554564</v>
      </c>
      <c r="AS16" s="52">
        <f t="shared" si="116"/>
        <v>-26.220000148713552</v>
      </c>
      <c r="AT16" s="72">
        <f t="shared" si="10"/>
        <v>-8.1763888888890003E-3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1.2070000000000001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1.107</v>
      </c>
      <c r="II16" s="734" cm="1">
        <f t="array" ref="II16">IFERROR(ROUND(VALUE(IF($IH16&lt;1,$IH16+LARGE((IF($M$9:$M$150="",0,$M$9:$M$150)-MOD(IF($M$9:$M$150="",0,$M$9:$M$150),1)),1),$IH16)),4),"")</f>
        <v>1.107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27.090000023101084</v>
      </c>
      <c r="IM16" s="759">
        <v>8.9218968014093004E-3</v>
      </c>
      <c r="IN16" s="5">
        <f>IF(ISNUMBER($II16),(($IO16*12)/60)/$AS$3,"")</f>
        <v>0.1</v>
      </c>
      <c r="IO16" s="771">
        <v>50</v>
      </c>
      <c r="IP16" s="9">
        <f>IF(ISNUMBER($II16),(INDEX($X$9:$X$150,MATCH($II16,$M$9:$M$150,0))*-1),"")</f>
        <v>-1.9305058224055607</v>
      </c>
      <c r="IQ16" s="5">
        <f>IF(ISNUMBER($II16),INDEX($Y$9:$Y$150,MATCH($II16,$M$9:$M$150,0)),"")</f>
        <v>-9.6400290743276884E-2</v>
      </c>
      <c r="IR16" s="5">
        <f t="shared" si="71"/>
        <v>0.314</v>
      </c>
      <c r="IS16" s="5">
        <f>IF(ISNUMBER($II16),$IR16*COS(RADIANS(INDEX($AO$9:$AO$150,MATCH($II16,$M$9:$M$150,0)))),"")</f>
        <v>0.30318246014060918</v>
      </c>
      <c r="IT16" s="727">
        <f>IF(ISNUMBER($II16),(-1*INDEX($AN$9:$AN$150,MATCH($II16,$M$9:$M$150,0))),"")</f>
        <v>-3.8403058917047961</v>
      </c>
      <c r="IU16" s="9">
        <f>IF(ISNUMBER($II16),-$X16,"")</f>
        <v>-1.9304999999999999</v>
      </c>
      <c r="IV16" s="5">
        <f>IF(ISNUMBER($II16),$Y16,"")</f>
        <v>-2.7100000000000093E-2</v>
      </c>
      <c r="IW16" s="5">
        <f t="shared" si="76"/>
        <v>0.22499999999999998</v>
      </c>
      <c r="IX16" s="5">
        <f>IF(ISNUMBER($II16),$IW16*COS(RADIANS($AO16)),"")</f>
        <v>0.22499999999999998</v>
      </c>
      <c r="IY16" s="762">
        <f>IF(ISNUMBER($II16),(-1*$AN16),"")</f>
        <v>-9.9999999999999964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1.0138758029295878</v>
      </c>
      <c r="C17" s="708">
        <v>2.5094306708279142</v>
      </c>
      <c r="D17" s="709">
        <v>-9.0100355285871597E-2</v>
      </c>
      <c r="E17" s="710">
        <v>7.6605348163234513E-2</v>
      </c>
      <c r="F17" s="708">
        <v>0.18960549556172931</v>
      </c>
      <c r="G17" s="711">
        <v>0.97886739484241725</v>
      </c>
      <c r="H17" s="710">
        <v>0.26250000000000001</v>
      </c>
      <c r="I17" s="708">
        <v>0.40699999999999997</v>
      </c>
      <c r="J17" s="570">
        <v>1.212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1.212</v>
      </c>
      <c r="N17" s="632">
        <f t="shared" si="2"/>
        <v>1.0138758029295878</v>
      </c>
      <c r="O17" s="629">
        <f t="shared" si="3"/>
        <v>2.5094306708279142</v>
      </c>
      <c r="P17" s="633">
        <f t="shared" si="4"/>
        <v>-9.0100355285871597E-2</v>
      </c>
      <c r="Q17" s="585">
        <f>IF(M17="","",IF(DEGREES(ATAN2(N17,O17))&lt;0,DEGREES(ATAN2(N17,O17))+360,IF(DEGREES(ATAN2(N17,O17))&gt;360,DEGREES(ATAN2(N17,O17))-360,DEGREES(ATAN2(N17,O17)))))</f>
        <v>68</v>
      </c>
      <c r="R17" s="629">
        <f>IF(M17="","",SQRT(N17^2+O17^2))</f>
        <v>2.7065081628286198</v>
      </c>
      <c r="S17" s="634">
        <f>IF(M17="","",P17)</f>
        <v>-9.0100355285871597E-2</v>
      </c>
      <c r="T17" s="635">
        <f>IF(M17="","",X17*COS(RADIANS(W17)))</f>
        <v>2.5272505480251963</v>
      </c>
      <c r="U17" s="629">
        <f>IF(M17="","",X17*SIN(RADIANS(W17)))</f>
        <v>-0.96860265484061892</v>
      </c>
      <c r="V17" s="636">
        <f>IF(M17="","",Y17)</f>
        <v>-9.0100355285871597E-2</v>
      </c>
      <c r="W17" s="585">
        <f t="shared" si="224"/>
        <v>339.02999985128645</v>
      </c>
      <c r="X17" s="629">
        <f>IF(M17="","",R17)</f>
        <v>2.7065081628286198</v>
      </c>
      <c r="Y17" s="630">
        <f t="shared" si="223"/>
        <v>-9.0100355285871597E-2</v>
      </c>
      <c r="Z17" s="632">
        <f t="shared" si="6"/>
        <v>-7.6605348163234513E-2</v>
      </c>
      <c r="AA17" s="629">
        <f t="shared" si="7"/>
        <v>-0.18960549556172931</v>
      </c>
      <c r="AB17" s="629">
        <f t="shared" si="8"/>
        <v>-0.97886739484241725</v>
      </c>
      <c r="AC17" s="636">
        <f>IF(M17="","",SQRT(Z17^2+AA17^2+AB17^2))</f>
        <v>1</v>
      </c>
      <c r="AD17" s="637">
        <f>IF(M17="","",Z17*(1/SQRT(Z17^2+AA17^2+AB17^2)))</f>
        <v>-7.6605348163234513E-2</v>
      </c>
      <c r="AE17" s="629">
        <f>IF(M17="","",AA17*(1/SQRT(Z17^2+AA17^2+AB17^2)))</f>
        <v>-0.18960549556172931</v>
      </c>
      <c r="AF17" s="633">
        <f>IF(M17="","",AB17*(1/SQRT(Z17^2+AA17^2+AB17^2)))</f>
        <v>-0.97886739484241725</v>
      </c>
      <c r="AG17" s="602">
        <f>IF(M17="","",DEGREES(ATAN2(-AF17,AE17)))</f>
        <v>-10.962372401592205</v>
      </c>
      <c r="AH17" s="603">
        <f>IF(M17="","",DEGREES(ACOS(AD17)))</f>
        <v>94.393467393217392</v>
      </c>
      <c r="AI17" s="585">
        <f>IF(M17="","",DEGREES(-ACOS(-AF17)))</f>
        <v>-11.799998296298066</v>
      </c>
      <c r="AJ17" s="586">
        <f>IF(M17="","",DEGREES(ATAN2(-AE17,AD17)))</f>
        <v>-21.999936456512835</v>
      </c>
      <c r="AK17" s="635">
        <f>IF(M17="","",(COS(RADIANS((90-$Q$8)-W17))*AD17)+(-SIN(RADIANS((90-$Q$8)-W17))*AE17))</f>
        <v>2.2679489677934761E-7</v>
      </c>
      <c r="AL17" s="629">
        <f>IF(M17="","",(SIN(RADIANS((90-$Q$8)-W17))*AD17)+(COS(RADIANS((90-$Q$8)-W17))*AE17))</f>
        <v>-0.20449602273483927</v>
      </c>
      <c r="AM17" s="634">
        <f>IF(M17="","",AF17)</f>
        <v>-0.97886739484241725</v>
      </c>
      <c r="AN17" s="581">
        <f>IF(M17="","",DEGREES(ATAN2(-AM17,AL17)))</f>
        <v>-11.799998296291037</v>
      </c>
      <c r="AO17" s="582">
        <f t="shared" si="94"/>
        <v>0</v>
      </c>
      <c r="AP17" s="585">
        <f>IF(M17="","",DEGREES(ATAN2(AK17,AL17)))</f>
        <v>-89.999936456512813</v>
      </c>
      <c r="AQ17" s="586">
        <f t="shared" si="9"/>
        <v>0.8422521869826991</v>
      </c>
      <c r="AS17" s="52">
        <f t="shared" si="116"/>
        <v>-20.970000148713552</v>
      </c>
      <c r="AT17" s="72">
        <f t="shared" si="10"/>
        <v>-7.4822577508093846E-2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1.1120000000000001</v>
      </c>
      <c r="II17" s="734" cm="1">
        <f t="array" ref="II17">IFERROR(ROUND(VALUE(IF($IH17&lt;1,$IH17+LARGE((IF($M$9:$M$150="",0,$M$9:$M$150)-MOD(IF($M$9:$M$150="",0,$M$9:$M$150),1)),1),$IH17)),4),"")</f>
        <v>1.1120000000000001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20.970000148713552</v>
      </c>
      <c r="IM17" s="759">
        <v>1.37434413612378E-2</v>
      </c>
      <c r="IN17" s="5">
        <f t="shared" ref="IN17:IN80" si="226">IF(ISNUMBER($II17),(($IO17*12)/60)/$AS$3,"")</f>
        <v>0.22</v>
      </c>
      <c r="IO17" s="771">
        <v>110</v>
      </c>
      <c r="IP17" s="9">
        <f t="shared" ref="IP17:IP80" si="227">IF(ISNUMBER($II17),(INDEX($X$9:$X$150,MATCH($II17,$M$9:$M$150,0))*-1),"")</f>
        <v>-2.7065081628286194</v>
      </c>
      <c r="IQ17" s="5">
        <f t="shared" ref="IQ17:IQ80" si="228">IF(ISNUMBER($II17),INDEX($Y$9:$Y$150,MATCH($II17,$M$9:$M$150,0)),"")</f>
        <v>-0.11780035528587143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0.30224141920177672</v>
      </c>
      <c r="IT17" s="727">
        <f t="shared" ref="IT17:IT80" si="230">IF(ISNUMBER($II17),(-1*INDEX($AN$9:$AN$150,MATCH($II17,$M$9:$M$150,0))),"")</f>
        <v>29.740146205916297</v>
      </c>
      <c r="IU17" s="9">
        <f t="shared" ref="IU17:IU80" si="231">IF(ISNUMBER($II17),-$X17,"")</f>
        <v>-2.7065081628286198</v>
      </c>
      <c r="IV17" s="5">
        <f t="shared" ref="IV17:IV80" si="232">IF(ISNUMBER($II17),$Y17,"")</f>
        <v>-9.0100355285871597E-2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11.799998296291037</v>
      </c>
    </row>
    <row r="18" spans="1:269" ht="15" customHeight="1" x14ac:dyDescent="0.25">
      <c r="A18" s="79"/>
      <c r="B18" s="707">
        <v>2.1339858394028908</v>
      </c>
      <c r="C18" s="708">
        <v>1.446988398681508</v>
      </c>
      <c r="D18" s="709">
        <v>-8.2900250027154093E-2</v>
      </c>
      <c r="E18" s="710">
        <v>-0.4492738110781147</v>
      </c>
      <c r="F18" s="708">
        <v>0.85918075461195087</v>
      </c>
      <c r="G18" s="711">
        <v>0.24487031993237804</v>
      </c>
      <c r="H18" s="710">
        <v>0.314</v>
      </c>
      <c r="I18" s="708">
        <v>0.52</v>
      </c>
      <c r="J18" s="570">
        <v>2.1110000000000002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2.1110000000000002</v>
      </c>
      <c r="N18" s="632">
        <f t="shared" si="2"/>
        <v>2.1339858394028908</v>
      </c>
      <c r="O18" s="629">
        <f t="shared" si="3"/>
        <v>1.446988398681508</v>
      </c>
      <c r="P18" s="633">
        <f t="shared" si="4"/>
        <v>-8.2900250027154093E-2</v>
      </c>
      <c r="Q18" s="585">
        <f t="shared" si="113"/>
        <v>34.139956087623418</v>
      </c>
      <c r="R18" s="629">
        <f>IF(M18="","",SQRT(N18^2+O18^2))</f>
        <v>2.5783077761762532</v>
      </c>
      <c r="S18" s="634">
        <f>IF(M18="","",P18)</f>
        <v>-8.2900250027154093E-2</v>
      </c>
      <c r="T18" s="635">
        <f>IF(M18="","",X18*COS(RADIANS(W18)))</f>
        <v>1.4851149541241182</v>
      </c>
      <c r="U18" s="629">
        <f>IF(M18="","",X18*SIN(RADIANS(W18)))</f>
        <v>-2.1076300818046447</v>
      </c>
      <c r="V18" s="636">
        <f>IF(M18="","",Y18)</f>
        <v>-8.2900250027154093E-2</v>
      </c>
      <c r="W18" s="585">
        <f t="shared" si="224"/>
        <v>305.16995593890988</v>
      </c>
      <c r="X18" s="629">
        <f>IF(M18="","",R18)</f>
        <v>2.5783077761762532</v>
      </c>
      <c r="Y18" s="630">
        <f t="shared" si="223"/>
        <v>-8.2900250027154093E-2</v>
      </c>
      <c r="Z18" s="632">
        <f t="shared" si="6"/>
        <v>0.4492738110781147</v>
      </c>
      <c r="AA18" s="629">
        <f t="shared" si="7"/>
        <v>-0.85918075461195087</v>
      </c>
      <c r="AB18" s="629">
        <f t="shared" si="8"/>
        <v>-0.24487031993237804</v>
      </c>
      <c r="AC18" s="636">
        <f>IF(M18="","",SQRT(Z18^2+AA18^2+AB18^2))</f>
        <v>1</v>
      </c>
      <c r="AD18" s="637">
        <f>IF(M18="","",Z18*(1/SQRT(Z18^2+AA18^2+AB18^2)))</f>
        <v>0.4492738110781147</v>
      </c>
      <c r="AE18" s="629">
        <f>IF(M18="","",AA18*(1/SQRT(Z18^2+AA18^2+AB18^2)))</f>
        <v>-0.85918075461195087</v>
      </c>
      <c r="AF18" s="633">
        <f>IF(M18="","",AB18*(1/SQRT(Z18^2+AA18^2+AB18^2)))</f>
        <v>-0.24487031993237804</v>
      </c>
      <c r="AG18" s="602">
        <f>IF(M18="","",DEGREES(ATAN2(-AF18,AE18)))</f>
        <v>-74.092213397569793</v>
      </c>
      <c r="AH18" s="603">
        <f>IF(M18="","",DEGREES(ACOS(AD18)))</f>
        <v>63.302898035805782</v>
      </c>
      <c r="AI18" s="585">
        <f>IF(M18="","",DEGREES(-ACOS(-AF18)))</f>
        <v>-75.825829828066603</v>
      </c>
      <c r="AJ18" s="586">
        <f>IF(M18="","",DEGREES(ATAN2(-AE18,AD18)))</f>
        <v>27.605497145134773</v>
      </c>
      <c r="AK18" s="635">
        <f>IF(M18="","",(COS(RADIANS((90-$Q$8)-W18))*AD18)+(-SIN(RADIANS((90-$Q$8)-W18))*AE18))</f>
        <v>0.96325721050033219</v>
      </c>
      <c r="AL18" s="629">
        <f>IF(M18="","",(SIN(RADIANS((90-$Q$8)-W18))*AD18)+(COS(RADIANS((90-$Q$8)-W18))*AE18))</f>
        <v>-0.11033618098943526</v>
      </c>
      <c r="AM18" s="634">
        <f>IF(M18="","",AF18)</f>
        <v>-0.24487031993237804</v>
      </c>
      <c r="AN18" s="581">
        <f>IF(M18="","",DEGREES(ATAN2(-AM18,AL18)))</f>
        <v>-24.255863325319723</v>
      </c>
      <c r="AO18" s="582">
        <f t="shared" si="94"/>
        <v>15.579822585018933</v>
      </c>
      <c r="AP18" s="585">
        <f>IF(M18="","",DEGREES(ATAN2(AK18,AL18)))</f>
        <v>-6.5344589424886799</v>
      </c>
      <c r="AQ18" s="586">
        <f t="shared" si="9"/>
        <v>0.88412473735574149</v>
      </c>
      <c r="AS18" s="52">
        <f t="shared" si="116"/>
        <v>-54.830044061090121</v>
      </c>
      <c r="AT18" s="72">
        <f t="shared" si="10"/>
        <v>-4.4108552865781497E-2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2.1110000000000002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2.7319661796537962</v>
      </c>
      <c r="C19" s="708">
        <v>1.7829824114918389</v>
      </c>
      <c r="D19" s="709">
        <v>-0.46020138796738613</v>
      </c>
      <c r="E19" s="710">
        <v>-0.32672213074033307</v>
      </c>
      <c r="F19" s="708">
        <v>0.93141054317061944</v>
      </c>
      <c r="G19" s="711">
        <v>0.16039653785262409</v>
      </c>
      <c r="H19" s="710">
        <v>0.314</v>
      </c>
      <c r="I19" s="708">
        <v>0.52</v>
      </c>
      <c r="J19" s="570">
        <v>2.117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</v>
      </c>
      <c r="N19" s="632">
        <f t="shared" si="2"/>
        <v>2.7319661796537962</v>
      </c>
      <c r="O19" s="629">
        <f t="shared" si="3"/>
        <v>1.7829824114918389</v>
      </c>
      <c r="P19" s="633">
        <f t="shared" si="4"/>
        <v>-0.46020138796738613</v>
      </c>
      <c r="Q19" s="585">
        <f t="shared" si="113"/>
        <v>33.129956233449349</v>
      </c>
      <c r="R19" s="629">
        <f>IF(M19="","",SQRT(N19^2+O19^2))</f>
        <v>3.2623098391264755</v>
      </c>
      <c r="S19" s="634">
        <f>IF(M19="","",P19)</f>
        <v>-0.46020138796738613</v>
      </c>
      <c r="T19" s="635">
        <f>IF(M19="","",X19*COS(RADIANS(W19)))</f>
        <v>1.8318039240813075</v>
      </c>
      <c r="U19" s="629">
        <f>IF(M19="","",X19*SIN(RADIANS(W19)))</f>
        <v>-2.6994739987971239</v>
      </c>
      <c r="V19" s="636">
        <f>IF(M19="","",Y19)</f>
        <v>-0.46020138796738613</v>
      </c>
      <c r="W19" s="585">
        <f t="shared" si="224"/>
        <v>304.15995608473577</v>
      </c>
      <c r="X19" s="629">
        <f>IF(M19="","",R19)</f>
        <v>3.2623098391264755</v>
      </c>
      <c r="Y19" s="630">
        <f t="shared" si="223"/>
        <v>-0.46020138796738613</v>
      </c>
      <c r="Z19" s="632">
        <f t="shared" si="6"/>
        <v>0.32672213074033307</v>
      </c>
      <c r="AA19" s="629">
        <f t="shared" si="7"/>
        <v>-0.93141054317061944</v>
      </c>
      <c r="AB19" s="629">
        <f t="shared" si="8"/>
        <v>-0.16039653785262409</v>
      </c>
      <c r="AC19" s="636">
        <f>IF(M19="","",SQRT(Z19^2+AA19^2+AB19^2))</f>
        <v>1</v>
      </c>
      <c r="AD19" s="637">
        <f>IF(M19="","",Z19*(1/SQRT(Z19^2+AA19^2+AB19^2)))</f>
        <v>0.32672213074033307</v>
      </c>
      <c r="AE19" s="629">
        <f>IF(M19="","",AA19*(1/SQRT(Z19^2+AA19^2+AB19^2)))</f>
        <v>-0.93141054317061944</v>
      </c>
      <c r="AF19" s="633">
        <f>IF(M19="","",AB19*(1/SQRT(Z19^2+AA19^2+AB19^2)))</f>
        <v>-0.16039653785262409</v>
      </c>
      <c r="AG19" s="602">
        <f>IF(M19="","",DEGREES(ATAN2(-AF19,AE19)))</f>
        <v>-80.229032636829047</v>
      </c>
      <c r="AH19" s="603">
        <f>IF(M19="","",DEGREES(ACOS(AD19)))</f>
        <v>70.930057549993137</v>
      </c>
      <c r="AI19" s="585">
        <f>IF(M19="","",DEGREES(-ACOS(-AF19)))</f>
        <v>-80.770086562474958</v>
      </c>
      <c r="AJ19" s="586">
        <f>IF(M19="","",DEGREES(ATAN2(-AE19,AD19)))</f>
        <v>19.329956366591851</v>
      </c>
      <c r="AK19" s="635">
        <f>IF(M19="","",(COS(RADIANS((90-$Q$8)-W19))*AD19)+(-SIN(RADIANS((90-$Q$8)-W19))*AE19))</f>
        <v>0.95856067328895467</v>
      </c>
      <c r="AL19" s="629">
        <f>IF(M19="","",(SIN(RADIANS((90-$Q$8)-W19))*AD19)+(COS(RADIANS((90-$Q$8)-W19))*AE19))</f>
        <v>-0.23544508121580604</v>
      </c>
      <c r="AM19" s="634">
        <f>IF(M19="","",AF19)</f>
        <v>-0.16039653785262409</v>
      </c>
      <c r="AN19" s="581">
        <f>IF(M19="","",DEGREES(ATAN2(-AM19,AL19)))</f>
        <v>-55.735422656335764</v>
      </c>
      <c r="AO19" s="582">
        <f t="shared" si="94"/>
        <v>16.552181524998296</v>
      </c>
      <c r="AP19" s="585">
        <f>IF(M19="","",DEGREES(ATAN2(AK19,AL19)))</f>
        <v>-13.799999866857446</v>
      </c>
      <c r="AQ19" s="586">
        <f t="shared" si="9"/>
        <v>0.69877286789209114</v>
      </c>
      <c r="AS19" s="52">
        <f t="shared" si="116"/>
        <v>-55.840043915264232</v>
      </c>
      <c r="AT19" s="72">
        <f t="shared" si="10"/>
        <v>-0.4207083020183926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3.0602470876032428</v>
      </c>
      <c r="C20" s="708">
        <v>1.9518425456729462</v>
      </c>
      <c r="D20" s="709">
        <v>-1.1382034328215536</v>
      </c>
      <c r="E20" s="710">
        <v>-0.14016281481780624</v>
      </c>
      <c r="F20" s="708">
        <v>0.98196234947845895</v>
      </c>
      <c r="G20" s="711">
        <v>0.12690283507114519</v>
      </c>
      <c r="H20" s="710">
        <v>0.314</v>
      </c>
      <c r="I20" s="708">
        <v>0.52</v>
      </c>
      <c r="J20" s="570">
        <v>2.1230000000000002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50</v>
      </c>
      <c r="M20" s="168">
        <f t="shared" si="1"/>
        <v>2.1230000000000002</v>
      </c>
      <c r="N20" s="632">
        <f t="shared" si="2"/>
        <v>3.0602470876032428</v>
      </c>
      <c r="O20" s="629">
        <f t="shared" si="3"/>
        <v>1.9518425456729462</v>
      </c>
      <c r="P20" s="633">
        <f t="shared" si="4"/>
        <v>-1.1382034328215536</v>
      </c>
      <c r="Q20" s="585">
        <f t="shared" si="113"/>
        <v>32.529956320078611</v>
      </c>
      <c r="R20" s="629">
        <f>IF(M20="","",SQRT(N20^2+O20^2))</f>
        <v>3.6297109472082179</v>
      </c>
      <c r="S20" s="634">
        <f>IF(M20="","",P20)</f>
        <v>-1.1382034328215536</v>
      </c>
      <c r="T20" s="635">
        <f>IF(M20="","",X20*COS(RADIANS(W20)))</f>
        <v>2.0065379253449218</v>
      </c>
      <c r="U20" s="629">
        <f>IF(M20="","",X20*SIN(RADIANS(W20)))</f>
        <v>-3.0246664468062714</v>
      </c>
      <c r="V20" s="636">
        <f>IF(M20="","",Y20)</f>
        <v>-1.1382034328215536</v>
      </c>
      <c r="W20" s="585">
        <f t="shared" si="224"/>
        <v>303.559956171365</v>
      </c>
      <c r="X20" s="629">
        <f>IF(M20="","",R20)</f>
        <v>3.6297109472082179</v>
      </c>
      <c r="Y20" s="630">
        <f t="shared" si="223"/>
        <v>-1.1382034328215536</v>
      </c>
      <c r="Z20" s="632">
        <f t="shared" si="6"/>
        <v>0.14016281481780624</v>
      </c>
      <c r="AA20" s="629">
        <f t="shared" si="7"/>
        <v>-0.98196234947845895</v>
      </c>
      <c r="AB20" s="629">
        <f t="shared" si="8"/>
        <v>-0.12690283507114519</v>
      </c>
      <c r="AC20" s="636">
        <f>IF(M20="","",SQRT(Z20^2+AA20^2+AB20^2))</f>
        <v>1</v>
      </c>
      <c r="AD20" s="637">
        <f>IF(M20="","",Z20*(1/SQRT(Z20^2+AA20^2+AB20^2)))</f>
        <v>0.14016281481780624</v>
      </c>
      <c r="AE20" s="629">
        <f>IF(M20="","",AA20*(1/SQRT(Z20^2+AA20^2+AB20^2)))</f>
        <v>-0.98196234947845895</v>
      </c>
      <c r="AF20" s="633">
        <f>IF(M20="","",AB20*(1/SQRT(Z20^2+AA20^2+AB20^2)))</f>
        <v>-0.12690283507114519</v>
      </c>
      <c r="AG20" s="602">
        <f>IF(M20="","",DEGREES(ATAN2(-AF20,AE20)))</f>
        <v>-82.63625627159827</v>
      </c>
      <c r="AH20" s="603">
        <f>IF(M20="","",DEGREES(ACOS(AD20)))</f>
        <v>81.942732254708176</v>
      </c>
      <c r="AI20" s="585">
        <f>IF(M20="","",DEGREES(-ACOS(-AF20)))</f>
        <v>-82.709344586817664</v>
      </c>
      <c r="AJ20" s="586">
        <f>IF(M20="","",DEGREES(ATAN2(-AE20,AD20)))</f>
        <v>8.1233822505792421</v>
      </c>
      <c r="AK20" s="635">
        <f>IF(M20="","",(COS(RADIANS((90-$Q$8)-W20))*AD20)+(-SIN(RADIANS((90-$Q$8)-W20))*AE20))</f>
        <v>0.9032739006206294</v>
      </c>
      <c r="AL20" s="629">
        <f>IF(M20="","",(SIN(RADIANS((90-$Q$8)-W20))*AD20)+(COS(RADIANS((90-$Q$8)-W20))*AE20))</f>
        <v>-0.40986818723645668</v>
      </c>
      <c r="AM20" s="634">
        <f>IF(M20="","",AF20)</f>
        <v>-0.12690283507114519</v>
      </c>
      <c r="AN20" s="581">
        <f>IF(M20="","",DEGREES(ATAN2(-AM20,AL20)))</f>
        <v>-72.796500005353337</v>
      </c>
      <c r="AO20" s="582">
        <f t="shared" si="94"/>
        <v>25.408199343360138</v>
      </c>
      <c r="AP20" s="585">
        <f>IF(M20="","",DEGREES(ATAN2(AK20,AL20)))</f>
        <v>-24.406574069499296</v>
      </c>
      <c r="AQ20" s="586">
        <f t="shared" si="9"/>
        <v>0.62804872278210744</v>
      </c>
      <c r="AS20" s="52">
        <f t="shared" si="116"/>
        <v>-56.440043828634998</v>
      </c>
      <c r="AT20" s="72">
        <f t="shared" si="10"/>
        <v>-1.0982936802660526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3.115312656021147</v>
      </c>
      <c r="C21" s="708">
        <v>1.97855994606707</v>
      </c>
      <c r="D21" s="709">
        <v>-1.9160057786734286</v>
      </c>
      <c r="E21" s="710">
        <v>-2.5909707201365876E-2</v>
      </c>
      <c r="F21" s="708">
        <v>0.9972551958810788</v>
      </c>
      <c r="G21" s="711">
        <v>6.9359652254972995E-2</v>
      </c>
      <c r="H21" s="710">
        <v>0.314</v>
      </c>
      <c r="I21" s="708">
        <v>0.52</v>
      </c>
      <c r="J21" s="570">
        <v>2.129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2.129</v>
      </c>
      <c r="N21" s="632">
        <f t="shared" si="2"/>
        <v>3.115312656021147</v>
      </c>
      <c r="O21" s="629">
        <f t="shared" si="3"/>
        <v>1.97855994606707</v>
      </c>
      <c r="P21" s="633">
        <f t="shared" si="4"/>
        <v>-1.9160057786734286</v>
      </c>
      <c r="Q21" s="585">
        <f t="shared" si="113"/>
        <v>32.419956335960642</v>
      </c>
      <c r="R21" s="629">
        <f>IF(M21="","",SQRT(N21^2+O21^2))</f>
        <v>3.6905111305815703</v>
      </c>
      <c r="S21" s="634">
        <f>IF(M21="","",P21)</f>
        <v>-1.9160057786734286</v>
      </c>
      <c r="T21" s="635">
        <f>IF(M21="","",X21*COS(RADIANS(W21)))</f>
        <v>2.0342408630215187</v>
      </c>
      <c r="U21" s="629">
        <f>IF(M21="","",X21*SIN(RADIANS(W21)))</f>
        <v>-3.0792428478702241</v>
      </c>
      <c r="V21" s="636">
        <f>IF(M21="","",Y21)</f>
        <v>-1.9160057786734286</v>
      </c>
      <c r="W21" s="585">
        <f t="shared" si="224"/>
        <v>303.44995618724704</v>
      </c>
      <c r="X21" s="629">
        <f>IF(M21="","",R21)</f>
        <v>3.6905111305815703</v>
      </c>
      <c r="Y21" s="630">
        <f t="shared" si="223"/>
        <v>-1.9160057786734286</v>
      </c>
      <c r="Z21" s="632">
        <f t="shared" si="6"/>
        <v>2.5909707201365876E-2</v>
      </c>
      <c r="AA21" s="629">
        <f t="shared" si="7"/>
        <v>-0.9972551958810788</v>
      </c>
      <c r="AB21" s="629">
        <f t="shared" si="8"/>
        <v>-6.9359652254972995E-2</v>
      </c>
      <c r="AC21" s="636">
        <f>IF(M21="","",SQRT(Z21^2+AA21^2+AB21^2))</f>
        <v>1</v>
      </c>
      <c r="AD21" s="637">
        <f>IF(M21="","",Z21*(1/SQRT(Z21^2+AA21^2+AB21^2)))</f>
        <v>2.5909707201365876E-2</v>
      </c>
      <c r="AE21" s="629">
        <f>IF(M21="","",AA21*(1/SQRT(Z21^2+AA21^2+AB21^2)))</f>
        <v>-0.9972551958810788</v>
      </c>
      <c r="AF21" s="633">
        <f>IF(M21="","",AB21*(1/SQRT(Z21^2+AA21^2+AB21^2)))</f>
        <v>-6.9359652254972995E-2</v>
      </c>
      <c r="AG21" s="602">
        <f>IF(M21="","",DEGREES(ATAN2(-AF21,AE21)))</f>
        <v>-86.021453600852666</v>
      </c>
      <c r="AH21" s="603">
        <f>IF(M21="","",DEGREES(ACOS(AD21)))</f>
        <v>88.515316982851544</v>
      </c>
      <c r="AI21" s="585">
        <f>IF(M21="","",DEGREES(-ACOS(-AF21)))</f>
        <v>-86.02279139964341</v>
      </c>
      <c r="AJ21" s="586">
        <f>IF(M21="","",DEGREES(ATAN2(-AE21,AD21)))</f>
        <v>1.4882679874495091</v>
      </c>
      <c r="AK21" s="635">
        <f>IF(M21="","",(COS(RADIANS((90-$Q$8)-W21))*AD21)+(-SIN(RADIANS((90-$Q$8)-W21))*AE21))</f>
        <v>0.85571497555582876</v>
      </c>
      <c r="AL21" s="629">
        <f>IF(M21="","",(SIN(RADIANS((90-$Q$8)-W21))*AD21)+(COS(RADIANS((90-$Q$8)-W21))*AE21))</f>
        <v>-0.51277784590264519</v>
      </c>
      <c r="AM21" s="634">
        <f>IF(M21="","",AF21)</f>
        <v>-6.9359652254972995E-2</v>
      </c>
      <c r="AN21" s="581">
        <f>IF(M21="","",DEGREES(ATAN2(-AM21,AL21)))</f>
        <v>-82.296777537235783</v>
      </c>
      <c r="AO21" s="582">
        <f>IF(ROUND(IF(M21="",0,DEGREES(ACOS(AK21))),4)=90,0,IF(M21="","",DEGREES(ACOS(AK21))))</f>
        <v>31.161187819378231</v>
      </c>
      <c r="AP21" s="585">
        <f>IF(M21="","",DEGREES(ATAN2(AK21,AL21)))</f>
        <v>-30.931688348511098</v>
      </c>
      <c r="AQ21" s="586">
        <f t="shared" si="9"/>
        <v>0.61770259656298476</v>
      </c>
      <c r="AS21" s="52">
        <f t="shared" si="116"/>
        <v>-56.550043812752961</v>
      </c>
      <c r="AT21" s="72">
        <f t="shared" si="10"/>
        <v>-1.8760196372400679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2.5265402609979715</v>
      </c>
      <c r="C22" s="708">
        <v>0.51402840345286316</v>
      </c>
      <c r="D22" s="709">
        <v>-5.6399999999999943E-2</v>
      </c>
      <c r="E22" s="710">
        <v>0.13976563758685409</v>
      </c>
      <c r="F22" s="708">
        <v>2.8435528479551865E-2</v>
      </c>
      <c r="G22" s="711">
        <v>0.9897762309077891</v>
      </c>
      <c r="H22" s="710">
        <v>0.26250000000000001</v>
      </c>
      <c r="I22" s="708">
        <v>0.40699999999999997</v>
      </c>
      <c r="J22" s="570">
        <v>2.2109999999999999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 t="str">
        <f>IF($L21=$JH$22,$JH$30,IF($L21=$JI$22,$JI$30,""))</f>
        <v/>
      </c>
      <c r="M22" s="168">
        <f t="shared" si="1"/>
        <v>2.2109999999999999</v>
      </c>
      <c r="N22" s="632">
        <f t="shared" si="2"/>
        <v>2.5265402609979715</v>
      </c>
      <c r="O22" s="629">
        <f t="shared" si="3"/>
        <v>0.51402840345286316</v>
      </c>
      <c r="P22" s="633">
        <f t="shared" si="4"/>
        <v>-5.6399999999999943E-2</v>
      </c>
      <c r="Q22" s="585">
        <f t="shared" si="113"/>
        <v>11.499955963454799</v>
      </c>
      <c r="R22" s="629">
        <f t="shared" si="79"/>
        <v>2.5782999999999991</v>
      </c>
      <c r="S22" s="634">
        <f t="shared" si="80"/>
        <v>-5.6399999999999943E-2</v>
      </c>
      <c r="T22" s="635">
        <f t="shared" si="81"/>
        <v>0.55936223354632819</v>
      </c>
      <c r="U22" s="629">
        <f t="shared" si="82"/>
        <v>-2.5168918891525829</v>
      </c>
      <c r="V22" s="636">
        <f t="shared" si="114"/>
        <v>-5.6399999999999943E-2</v>
      </c>
      <c r="W22" s="585">
        <f t="shared" si="224"/>
        <v>282.52995581474124</v>
      </c>
      <c r="X22" s="629">
        <f t="shared" si="83"/>
        <v>2.5782999999999991</v>
      </c>
      <c r="Y22" s="630">
        <f t="shared" si="223"/>
        <v>-5.6399999999999943E-2</v>
      </c>
      <c r="Z22" s="632">
        <f t="shared" si="6"/>
        <v>-0.13976563758685409</v>
      </c>
      <c r="AA22" s="629">
        <f t="shared" si="7"/>
        <v>-2.8435528479551865E-2</v>
      </c>
      <c r="AB22" s="629">
        <f t="shared" si="8"/>
        <v>-0.9897762309077891</v>
      </c>
      <c r="AC22" s="636">
        <f t="shared" si="84"/>
        <v>1</v>
      </c>
      <c r="AD22" s="637">
        <f t="shared" si="115"/>
        <v>-0.13976563758685409</v>
      </c>
      <c r="AE22" s="629">
        <f t="shared" si="85"/>
        <v>-2.8435528479551865E-2</v>
      </c>
      <c r="AF22" s="633">
        <f t="shared" si="86"/>
        <v>-0.9897762309077891</v>
      </c>
      <c r="AG22" s="602">
        <f t="shared" si="87"/>
        <v>-1.6456121095124414</v>
      </c>
      <c r="AH22" s="603">
        <f t="shared" si="88"/>
        <v>98.034284936199583</v>
      </c>
      <c r="AI22" s="585">
        <f t="shared" si="89"/>
        <v>-8.1999999999999353</v>
      </c>
      <c r="AJ22" s="586">
        <f t="shared" si="90"/>
        <v>-78.500044036545177</v>
      </c>
      <c r="AK22" s="635">
        <f t="shared" si="211"/>
        <v>9.0205620750793969E-17</v>
      </c>
      <c r="AL22" s="629">
        <f t="shared" si="91"/>
        <v>-0.14262893370551169</v>
      </c>
      <c r="AM22" s="634">
        <f t="shared" si="92"/>
        <v>-0.9897762309077891</v>
      </c>
      <c r="AN22" s="581">
        <f t="shared" si="93"/>
        <v>-8.2000000000000028</v>
      </c>
      <c r="AO22" s="582">
        <f t="shared" si="94"/>
        <v>0</v>
      </c>
      <c r="AP22" s="585">
        <f t="shared" si="95"/>
        <v>-89.999999999999957</v>
      </c>
      <c r="AQ22" s="586">
        <f t="shared" si="9"/>
        <v>0.88412740346072138</v>
      </c>
      <c r="AS22" s="52">
        <f t="shared" si="116"/>
        <v>-77.470044185258757</v>
      </c>
      <c r="AT22" s="72">
        <f t="shared" si="10"/>
        <v>-1.8860805301769007E-3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2.2109999999999999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2.1110000000000002</v>
      </c>
      <c r="II22" s="734" cm="1">
        <f t="array" ref="II22">IFERROR(ROUND(VALUE(IF($IH22&lt;1,$IH22+LARGE((IF($M$9:$M$150="",0,$M$9:$M$150)-MOD(IF($M$9:$M$150="",0,$M$9:$M$150),1)),1),$IH22)),4),"")</f>
        <v>2.1110000000000002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22.640000124168637</v>
      </c>
      <c r="IM22" s="759">
        <v>1.45692481661297E-2</v>
      </c>
      <c r="IN22" s="5">
        <f t="shared" si="226"/>
        <v>0.22</v>
      </c>
      <c r="IO22" s="771">
        <v>110</v>
      </c>
      <c r="IP22" s="9">
        <f t="shared" si="227"/>
        <v>-2.5783077761762532</v>
      </c>
      <c r="IQ22" s="5">
        <f t="shared" si="228"/>
        <v>-8.2900250027154093E-2</v>
      </c>
      <c r="IR22" s="5">
        <f t="shared" si="71"/>
        <v>0.314</v>
      </c>
      <c r="IS22" s="5">
        <f t="shared" si="229"/>
        <v>0.30246276409710432</v>
      </c>
      <c r="IT22" s="727">
        <f t="shared" si="230"/>
        <v>24.255863325319723</v>
      </c>
      <c r="IU22" s="9">
        <f t="shared" si="231"/>
        <v>-2.5782999999999991</v>
      </c>
      <c r="IV22" s="5">
        <f t="shared" si="232"/>
        <v>-5.6399999999999943E-2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8.2000000000000028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0.8005562977361288</v>
      </c>
      <c r="C23" s="708">
        <v>-0.46220139399940469</v>
      </c>
      <c r="D23" s="709">
        <v>-0.36640110506573292</v>
      </c>
      <c r="E23" s="710">
        <v>0.42495023251139558</v>
      </c>
      <c r="F23" s="708">
        <v>0.87000995181435825</v>
      </c>
      <c r="G23" s="711">
        <v>0.24999996726497561</v>
      </c>
      <c r="H23" s="710">
        <v>0.314</v>
      </c>
      <c r="I23" s="708">
        <v>0.52</v>
      </c>
      <c r="J23" s="570">
        <v>3.1030000000000002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3.1030000000000002</v>
      </c>
      <c r="N23" s="632">
        <f t="shared" si="2"/>
        <v>0.8005562977361288</v>
      </c>
      <c r="O23" s="629">
        <f t="shared" si="3"/>
        <v>-0.46220139399940469</v>
      </c>
      <c r="P23" s="633">
        <f t="shared" si="4"/>
        <v>-0.36640110506573292</v>
      </c>
      <c r="Q23" s="585">
        <f t="shared" si="113"/>
        <v>330</v>
      </c>
      <c r="R23" s="629">
        <f t="shared" si="79"/>
        <v>0.92440278799880848</v>
      </c>
      <c r="S23" s="634">
        <f t="shared" si="80"/>
        <v>-0.36640110506573292</v>
      </c>
      <c r="T23" s="635">
        <f t="shared" si="81"/>
        <v>-0.44773597521102282</v>
      </c>
      <c r="U23" s="629">
        <f t="shared" si="82"/>
        <v>-0.80873543941254633</v>
      </c>
      <c r="V23" s="636">
        <f t="shared" si="114"/>
        <v>-0.36640110506573292</v>
      </c>
      <c r="W23" s="585">
        <f t="shared" si="224"/>
        <v>241.02999985128642</v>
      </c>
      <c r="X23" s="629">
        <f t="shared" si="83"/>
        <v>0.92440278799880848</v>
      </c>
      <c r="Y23" s="630">
        <f t="shared" si="223"/>
        <v>-0.36640110506573292</v>
      </c>
      <c r="Z23" s="632">
        <f t="shared" si="6"/>
        <v>-0.42495023251139558</v>
      </c>
      <c r="AA23" s="629">
        <f t="shared" si="7"/>
        <v>-0.87000995181435825</v>
      </c>
      <c r="AB23" s="629">
        <f t="shared" si="8"/>
        <v>-0.24999996726497561</v>
      </c>
      <c r="AC23" s="636">
        <f t="shared" si="84"/>
        <v>1</v>
      </c>
      <c r="AD23" s="637">
        <f t="shared" si="115"/>
        <v>-0.42495023251139558</v>
      </c>
      <c r="AE23" s="629">
        <f t="shared" si="85"/>
        <v>-0.87000995181435825</v>
      </c>
      <c r="AF23" s="633">
        <f t="shared" si="86"/>
        <v>-0.24999996726497561</v>
      </c>
      <c r="AG23" s="602">
        <f t="shared" si="87"/>
        <v>-73.967836603437476</v>
      </c>
      <c r="AH23" s="603">
        <f t="shared" si="88"/>
        <v>115.14751333388448</v>
      </c>
      <c r="AI23" s="585">
        <f t="shared" si="89"/>
        <v>-75.522489751159469</v>
      </c>
      <c r="AJ23" s="586">
        <f t="shared" si="90"/>
        <v>-26.032870354913463</v>
      </c>
      <c r="AK23" s="635">
        <f t="shared" si="211"/>
        <v>0.96592583607220739</v>
      </c>
      <c r="AL23" s="629">
        <f t="shared" si="91"/>
        <v>6.6987279208207184E-2</v>
      </c>
      <c r="AM23" s="634">
        <f t="shared" si="92"/>
        <v>-0.24999996726497561</v>
      </c>
      <c r="AN23" s="581">
        <f t="shared" si="93"/>
        <v>14.999997834268264</v>
      </c>
      <c r="AO23" s="582">
        <f t="shared" si="94"/>
        <v>14.999997834268255</v>
      </c>
      <c r="AP23" s="585">
        <f t="shared" si="95"/>
        <v>3.9671296450865703</v>
      </c>
      <c r="AQ23" s="586">
        <f t="shared" si="9"/>
        <v>2.4646402682631905</v>
      </c>
      <c r="AS23" s="52">
        <f t="shared" si="116"/>
        <v>-118.97000014871358</v>
      </c>
      <c r="AT23" s="72">
        <f t="shared" si="10"/>
        <v>-0.28306777173239961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9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9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50</v>
      </c>
      <c r="JI23" s="801"/>
    </row>
    <row r="24" spans="1:269" ht="15" customHeight="1" x14ac:dyDescent="0.25">
      <c r="A24" s="79"/>
      <c r="B24" s="707">
        <v>1.4585643840839335</v>
      </c>
      <c r="C24" s="708">
        <v>-0.84210253978126071</v>
      </c>
      <c r="D24" s="709">
        <v>-0.16320049221268462</v>
      </c>
      <c r="E24" s="710">
        <v>0.42495023251139574</v>
      </c>
      <c r="F24" s="708">
        <v>0.87000995181435825</v>
      </c>
      <c r="G24" s="711">
        <v>0.24999996726497567</v>
      </c>
      <c r="H24" s="710">
        <v>0.314</v>
      </c>
      <c r="I24" s="708">
        <v>0.52</v>
      </c>
      <c r="J24" s="570">
        <v>3.1059999999999999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3.1059999999999999</v>
      </c>
      <c r="N24" s="632">
        <f t="shared" si="2"/>
        <v>1.4585643840839335</v>
      </c>
      <c r="O24" s="629">
        <f t="shared" si="3"/>
        <v>-0.84210253978126071</v>
      </c>
      <c r="P24" s="633">
        <f t="shared" si="4"/>
        <v>-0.16320049221268462</v>
      </c>
      <c r="Q24" s="585">
        <f t="shared" si="113"/>
        <v>330</v>
      </c>
      <c r="R24" s="629">
        <f t="shared" si="79"/>
        <v>1.6842050795625199</v>
      </c>
      <c r="S24" s="634">
        <f t="shared" si="80"/>
        <v>-0.16320049221268462</v>
      </c>
      <c r="T24" s="635">
        <f t="shared" si="81"/>
        <v>-0.81574743558027341</v>
      </c>
      <c r="U24" s="629">
        <f t="shared" si="82"/>
        <v>-1.4734662776488647</v>
      </c>
      <c r="V24" s="636">
        <f t="shared" si="114"/>
        <v>-0.16320049221268462</v>
      </c>
      <c r="W24" s="585">
        <f t="shared" si="224"/>
        <v>241.02999985128642</v>
      </c>
      <c r="X24" s="629">
        <f t="shared" si="83"/>
        <v>1.6842050795625199</v>
      </c>
      <c r="Y24" s="630">
        <f t="shared" si="223"/>
        <v>-0.16320049221268462</v>
      </c>
      <c r="Z24" s="632">
        <f t="shared" si="6"/>
        <v>-0.42495023251139574</v>
      </c>
      <c r="AA24" s="629">
        <f t="shared" si="7"/>
        <v>-0.87000995181435825</v>
      </c>
      <c r="AB24" s="629">
        <f t="shared" si="8"/>
        <v>-0.24999996726497567</v>
      </c>
      <c r="AC24" s="636">
        <f t="shared" si="84"/>
        <v>1</v>
      </c>
      <c r="AD24" s="637">
        <f t="shared" si="115"/>
        <v>-0.42495023251139574</v>
      </c>
      <c r="AE24" s="629">
        <f t="shared" si="85"/>
        <v>-0.87000995181435825</v>
      </c>
      <c r="AF24" s="633">
        <f t="shared" si="86"/>
        <v>-0.24999996726497567</v>
      </c>
      <c r="AG24" s="602">
        <f t="shared" si="87"/>
        <v>-73.967836603437462</v>
      </c>
      <c r="AH24" s="603">
        <f t="shared" si="88"/>
        <v>115.14751333388448</v>
      </c>
      <c r="AI24" s="585">
        <f t="shared" si="89"/>
        <v>-75.522489751159455</v>
      </c>
      <c r="AJ24" s="586">
        <f t="shared" si="90"/>
        <v>-26.03287035491347</v>
      </c>
      <c r="AK24" s="635">
        <f>IF(M24="","",(COS(RADIANS((90-$Q$8)-W24))*AD24)+(-SIN(RADIANS((90-$Q$8)-W24))*AE24))</f>
        <v>0.96592583607220739</v>
      </c>
      <c r="AL24" s="629">
        <f t="shared" si="91"/>
        <v>6.6987279208207018E-2</v>
      </c>
      <c r="AM24" s="634">
        <f t="shared" si="92"/>
        <v>-0.24999996726497567</v>
      </c>
      <c r="AN24" s="581">
        <f t="shared" si="93"/>
        <v>14.999997834268227</v>
      </c>
      <c r="AO24" s="582">
        <f t="shared" si="94"/>
        <v>14.999997834268255</v>
      </c>
      <c r="AP24" s="585">
        <f t="shared" si="95"/>
        <v>3.967129645086561</v>
      </c>
      <c r="AQ24" s="586">
        <f t="shared" si="9"/>
        <v>1.3533403256854661</v>
      </c>
      <c r="AS24" s="52">
        <f t="shared" si="116"/>
        <v>-118.97000014871358</v>
      </c>
      <c r="AT24" s="72">
        <f t="shared" si="10"/>
        <v>-7.986715887935128E-2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2.1046268465475002</v>
      </c>
      <c r="C25" s="708">
        <v>-1.2491391944967845</v>
      </c>
      <c r="D25" s="709">
        <v>-6.0600182770151022E-2</v>
      </c>
      <c r="E25" s="710">
        <v>0.56538891528868818</v>
      </c>
      <c r="F25" s="708">
        <v>0.78530959840599435</v>
      </c>
      <c r="G25" s="711">
        <v>0.2522383973944024</v>
      </c>
      <c r="H25" s="710">
        <v>0.314</v>
      </c>
      <c r="I25" s="708">
        <v>0.52</v>
      </c>
      <c r="J25" s="570">
        <v>3.11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</v>
      </c>
      <c r="N25" s="632">
        <f t="shared" si="2"/>
        <v>2.1046268465475002</v>
      </c>
      <c r="O25" s="629">
        <f t="shared" si="3"/>
        <v>-1.2491391944967845</v>
      </c>
      <c r="P25" s="633">
        <f t="shared" si="4"/>
        <v>-6.0600182770151022E-2</v>
      </c>
      <c r="Q25" s="585">
        <f t="shared" si="113"/>
        <v>329.31000009962361</v>
      </c>
      <c r="R25" s="629">
        <f>IF(M25="","",SQRT(N25^2+O25^2))</f>
        <v>2.4474073813806623</v>
      </c>
      <c r="S25" s="634">
        <f>IF(M25="","",P25)</f>
        <v>-6.0600182770151022E-2</v>
      </c>
      <c r="T25" s="635">
        <f>IF(M25="","",X25*COS(RADIANS(W25)))</f>
        <v>-1.2111047539147728</v>
      </c>
      <c r="U25" s="629">
        <f>IF(M25="","",X25*SIN(RADIANS(W25)))</f>
        <v>-2.126741207923895</v>
      </c>
      <c r="V25" s="636">
        <f>IF(M25="","",Y25)</f>
        <v>-6.0600182770151022E-2</v>
      </c>
      <c r="W25" s="585">
        <f t="shared" si="224"/>
        <v>240.33999995091003</v>
      </c>
      <c r="X25" s="629">
        <f>IF(M25="","",R25)</f>
        <v>2.4474073813806623</v>
      </c>
      <c r="Y25" s="630">
        <f t="shared" si="223"/>
        <v>-6.0600182770151022E-2</v>
      </c>
      <c r="Z25" s="632">
        <f t="shared" si="6"/>
        <v>-0.56538891528868818</v>
      </c>
      <c r="AA25" s="629">
        <f t="shared" si="7"/>
        <v>-0.78530959840599435</v>
      </c>
      <c r="AB25" s="629">
        <f t="shared" si="8"/>
        <v>-0.2522383973944024</v>
      </c>
      <c r="AC25" s="636">
        <f>IF(M25="","",SQRT(Z25^2+AA25^2+AB25^2))</f>
        <v>1</v>
      </c>
      <c r="AD25" s="637">
        <f>IF(M25="","",Z25*(1/SQRT(Z25^2+AA25^2+AB25^2)))</f>
        <v>-0.56538891528868818</v>
      </c>
      <c r="AE25" s="629">
        <f>IF(M25="","",AA25*(1/SQRT(Z25^2+AA25^2+AB25^2)))</f>
        <v>-0.78530959840599435</v>
      </c>
      <c r="AF25" s="633">
        <f>IF(M25="","",AB25*(1/SQRT(Z25^2+AA25^2+AB25^2)))</f>
        <v>-0.2522383973944024</v>
      </c>
      <c r="AG25" s="602">
        <f>IF(M25="","",DEGREES(ATAN2(-AF25,AE25)))</f>
        <v>-72.193183132282613</v>
      </c>
      <c r="AH25" s="603">
        <f>IF(M25="","",DEGREES(ACOS(AD25)))</f>
        <v>124.42930263966289</v>
      </c>
      <c r="AI25" s="585">
        <f>IF(M25="","",DEGREES(-ACOS(-AF25)))</f>
        <v>-75.389991362448356</v>
      </c>
      <c r="AJ25" s="586">
        <f>IF(M25="","",DEGREES(ATAN2(-AE25,AD25)))</f>
        <v>-35.752253726025344</v>
      </c>
      <c r="AK25" s="635">
        <f>IF(M25="","",(COS(RADIANS((90-$Q$8)-W25))*AD25)+(-SIN(RADIANS((90-$Q$8)-W25))*AE25))</f>
        <v>0.96389066071501639</v>
      </c>
      <c r="AL25" s="629">
        <f>IF(M25="","",(SIN(RADIANS((90-$Q$8)-W25))*AD25)+(COS(RADIANS((90-$Q$8)-W25))*AE25))</f>
        <v>-8.5384922944702846E-2</v>
      </c>
      <c r="AM25" s="634">
        <f>IF(M25="","",AF25)</f>
        <v>-0.2522383973944024</v>
      </c>
      <c r="AN25" s="581">
        <f>IF(M25="","",DEGREES(ATAN2(-AM25,AL25)))</f>
        <v>-18.701413501750579</v>
      </c>
      <c r="AO25" s="582">
        <f>IF(ROUND(IF(M25="",0,DEGREES(ACOS(AK25))),4)=90,0,IF(M25="","",DEGREES(ACOS(AK25))))</f>
        <v>15.44411334441841</v>
      </c>
      <c r="AP25" s="585">
        <f>IF(M25="","",DEGREES(ATAN2(AK25,AL25)))</f>
        <v>-5.0622538256489324</v>
      </c>
      <c r="AQ25" s="586">
        <f t="shared" si="9"/>
        <v>0.93140432292881215</v>
      </c>
      <c r="AS25" s="52">
        <f t="shared" si="116"/>
        <v>-119.66000004908997</v>
      </c>
      <c r="AT25" s="72">
        <f t="shared" si="10"/>
        <v>2.3212317160665914E-2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2.6955525205597515</v>
      </c>
      <c r="C26" s="708">
        <v>-1.6615593099152979</v>
      </c>
      <c r="D26" s="709">
        <v>-0.37200112195538343</v>
      </c>
      <c r="E26" s="710">
        <v>0.68978836977836078</v>
      </c>
      <c r="F26" s="708">
        <v>0.70177189121362726</v>
      </c>
      <c r="G26" s="711">
        <v>0.17806801403104508</v>
      </c>
      <c r="H26" s="710">
        <v>0.314</v>
      </c>
      <c r="I26" s="708">
        <v>0.52</v>
      </c>
      <c r="J26" s="570">
        <v>3.1160000000000001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3.1160000000000001</v>
      </c>
      <c r="N26" s="632">
        <f t="shared" si="2"/>
        <v>2.6955525205597515</v>
      </c>
      <c r="O26" s="629">
        <f t="shared" si="3"/>
        <v>-1.6615593099152979</v>
      </c>
      <c r="P26" s="633">
        <f t="shared" si="4"/>
        <v>-0.37200112195538343</v>
      </c>
      <c r="Q26" s="585">
        <f t="shared" si="113"/>
        <v>328.35000023823045</v>
      </c>
      <c r="R26" s="629">
        <f>IF(M26="","",SQRT(N26^2+O26^2))</f>
        <v>3.1665095501928033</v>
      </c>
      <c r="S26" s="634">
        <f>IF(M26="","",P26)</f>
        <v>-0.37200112195538343</v>
      </c>
      <c r="T26" s="635">
        <f>IF(M26="","",X26*COS(RADIANS(W26)))</f>
        <v>-1.6128357976164891</v>
      </c>
      <c r="U26" s="629">
        <f>IF(M26="","",X26*SIN(RADIANS(W26)))</f>
        <v>-2.7249850314064137</v>
      </c>
      <c r="V26" s="636">
        <f>IF(M26="","",Y26)</f>
        <v>-0.37200112195538343</v>
      </c>
      <c r="W26" s="585">
        <f t="shared" si="224"/>
        <v>239.38000008951687</v>
      </c>
      <c r="X26" s="629">
        <f>IF(M26="","",R26)</f>
        <v>3.1665095501928033</v>
      </c>
      <c r="Y26" s="630">
        <f t="shared" si="223"/>
        <v>-0.37200112195538343</v>
      </c>
      <c r="Z26" s="632">
        <f t="shared" si="6"/>
        <v>-0.68978836977836078</v>
      </c>
      <c r="AA26" s="629">
        <f t="shared" si="7"/>
        <v>-0.70177189121362726</v>
      </c>
      <c r="AB26" s="629">
        <f t="shared" si="8"/>
        <v>-0.17806801403104508</v>
      </c>
      <c r="AC26" s="636">
        <f>IF(M26="","",SQRT(Z26^2+AA26^2+AB26^2))</f>
        <v>1</v>
      </c>
      <c r="AD26" s="637">
        <f>IF(M26="","",Z26*(1/SQRT(Z26^2+AA26^2+AB26^2)))</f>
        <v>-0.68978836977836078</v>
      </c>
      <c r="AE26" s="629">
        <f>IF(M26="","",AA26*(1/SQRT(Z26^2+AA26^2+AB26^2)))</f>
        <v>-0.70177189121362726</v>
      </c>
      <c r="AF26" s="633">
        <f>IF(M26="","",AB26*(1/SQRT(Z26^2+AA26^2+AB26^2)))</f>
        <v>-0.17806801403104508</v>
      </c>
      <c r="AG26" s="602">
        <f>IF(M26="","",DEGREES(ATAN2(-AF26,AE26)))</f>
        <v>-75.76222175892002</v>
      </c>
      <c r="AH26" s="603">
        <f>IF(M26="","",DEGREES(ACOS(AD26)))</f>
        <v>133.61335883689497</v>
      </c>
      <c r="AI26" s="585">
        <f>IF(M26="","",DEGREES(-ACOS(-AF26)))</f>
        <v>-79.74275273410332</v>
      </c>
      <c r="AJ26" s="586">
        <f>IF(M26="","",DEGREES(ATAN2(-AE26,AD26)))</f>
        <v>-44.506605463481883</v>
      </c>
      <c r="AK26" s="635">
        <f>IF(M26="","",(COS(RADIANS((90-$Q$8)-W26))*AD26)+(-SIN(RADIANS((90-$Q$8)-W26))*AE26))</f>
        <v>0.95934884444306912</v>
      </c>
      <c r="AL26" s="629">
        <f>IF(M26="","",(SIN(RADIANS((90-$Q$8)-W26))*AD26)+(COS(RADIANS((90-$Q$8)-W26))*AE26))</f>
        <v>-0.21895565086288088</v>
      </c>
      <c r="AM26" s="634">
        <f>IF(M26="","",AF26)</f>
        <v>-0.17806801403104508</v>
      </c>
      <c r="AN26" s="581">
        <f>IF(M26="","",DEGREES(ATAN2(-AM26,AL26)))</f>
        <v>-50.879899261432968</v>
      </c>
      <c r="AO26" s="582">
        <f t="shared" si="94"/>
        <v>16.39292233714853</v>
      </c>
      <c r="AP26" s="585">
        <f>IF(M26="","",DEGREES(ATAN2(AK26,AL26)))</f>
        <v>-12.856605701712322</v>
      </c>
      <c r="AQ26" s="586">
        <f t="shared" si="9"/>
        <v>0.71991150636105239</v>
      </c>
      <c r="AS26" s="52">
        <f t="shared" si="116"/>
        <v>-120.61999991048313</v>
      </c>
      <c r="AT26" s="72">
        <f t="shared" si="10"/>
        <v>-0.2875219554541546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3.0357084391102407</v>
      </c>
      <c r="C27" s="708">
        <v>-1.9280058928435295</v>
      </c>
      <c r="D27" s="709">
        <v>-1.0124030534076092</v>
      </c>
      <c r="E27" s="710">
        <v>0.80842166800241833</v>
      </c>
      <c r="F27" s="708">
        <v>0.5729882356934014</v>
      </c>
      <c r="G27" s="711">
        <v>0.13468069075094252</v>
      </c>
      <c r="H27" s="710">
        <v>0.314</v>
      </c>
      <c r="I27" s="708">
        <v>0.52</v>
      </c>
      <c r="J27" s="570">
        <v>3.1219999999999999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3.1219999999999999</v>
      </c>
      <c r="N27" s="632">
        <f t="shared" si="2"/>
        <v>3.0357084391102407</v>
      </c>
      <c r="O27" s="629">
        <f t="shared" si="3"/>
        <v>-1.9280058928435295</v>
      </c>
      <c r="P27" s="633">
        <f t="shared" si="4"/>
        <v>-1.0124030534076092</v>
      </c>
      <c r="Q27" s="585">
        <f t="shared" si="113"/>
        <v>327.58000034940471</v>
      </c>
      <c r="R27" s="629">
        <f t="shared" si="79"/>
        <v>3.5962108461719136</v>
      </c>
      <c r="S27" s="634">
        <f t="shared" si="80"/>
        <v>-1.0124030534076092</v>
      </c>
      <c r="T27" s="635">
        <f t="shared" si="81"/>
        <v>-1.8731247123951429</v>
      </c>
      <c r="U27" s="629">
        <f t="shared" si="82"/>
        <v>-3.0698756101736637</v>
      </c>
      <c r="V27" s="636">
        <f t="shared" si="114"/>
        <v>-1.0124030534076092</v>
      </c>
      <c r="W27" s="585">
        <f t="shared" si="224"/>
        <v>238.61000020069113</v>
      </c>
      <c r="X27" s="629">
        <f t="shared" si="83"/>
        <v>3.5962108461719136</v>
      </c>
      <c r="Y27" s="630">
        <f t="shared" si="223"/>
        <v>-1.0124030534076092</v>
      </c>
      <c r="Z27" s="632">
        <f t="shared" si="6"/>
        <v>-0.80842166800241833</v>
      </c>
      <c r="AA27" s="629">
        <f t="shared" si="7"/>
        <v>-0.5729882356934014</v>
      </c>
      <c r="AB27" s="629">
        <f t="shared" si="8"/>
        <v>-0.13468069075094252</v>
      </c>
      <c r="AC27" s="636">
        <f t="shared" si="84"/>
        <v>1</v>
      </c>
      <c r="AD27" s="637">
        <f t="shared" si="115"/>
        <v>-0.80842166800241833</v>
      </c>
      <c r="AE27" s="629">
        <f t="shared" si="85"/>
        <v>-0.5729882356934014</v>
      </c>
      <c r="AF27" s="633">
        <f t="shared" si="86"/>
        <v>-0.13468069075094252</v>
      </c>
      <c r="AG27" s="602">
        <f t="shared" si="87"/>
        <v>-76.772752365173091</v>
      </c>
      <c r="AH27" s="603">
        <f t="shared" si="88"/>
        <v>143.94200951418691</v>
      </c>
      <c r="AI27" s="585">
        <f t="shared" si="89"/>
        <v>-82.259843806516258</v>
      </c>
      <c r="AJ27" s="586">
        <f t="shared" si="90"/>
        <v>-54.671978401558626</v>
      </c>
      <c r="AK27" s="635">
        <f t="shared" si="211"/>
        <v>0.91709499345043199</v>
      </c>
      <c r="AL27" s="629">
        <f t="shared" si="91"/>
        <v>-0.37523044189804394</v>
      </c>
      <c r="AM27" s="634">
        <f t="shared" si="92"/>
        <v>-0.13468069075094252</v>
      </c>
      <c r="AN27" s="581">
        <f t="shared" si="93"/>
        <v>-70.255519274768702</v>
      </c>
      <c r="AO27" s="582">
        <f t="shared" si="94"/>
        <v>23.494982015662227</v>
      </c>
      <c r="AP27" s="585">
        <f t="shared" si="95"/>
        <v>-22.251978750963346</v>
      </c>
      <c r="AQ27" s="586">
        <f t="shared" si="9"/>
        <v>0.63389876540794732</v>
      </c>
      <c r="AS27" s="52">
        <f t="shared" si="116"/>
        <v>-121.38999979930887</v>
      </c>
      <c r="AT27" s="72">
        <f t="shared" si="10"/>
        <v>-0.92738916476136246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3.1219999999999999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3.1097738854432917</v>
      </c>
      <c r="C28" s="708">
        <v>-1.9872542347978184</v>
      </c>
      <c r="D28" s="709">
        <v>-1.7858056055088338</v>
      </c>
      <c r="E28" s="710">
        <v>0.89286989229634917</v>
      </c>
      <c r="F28" s="708">
        <v>0.44494111303606798</v>
      </c>
      <c r="G28" s="711">
        <v>6.9359652254973217E-2</v>
      </c>
      <c r="H28" s="710">
        <v>0.314</v>
      </c>
      <c r="I28" s="708">
        <v>0.52</v>
      </c>
      <c r="J28" s="570">
        <v>3.1280000000000001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3.1280000000000001</v>
      </c>
      <c r="N28" s="632">
        <f t="shared" si="2"/>
        <v>3.1097738854432917</v>
      </c>
      <c r="O28" s="629">
        <f t="shared" si="3"/>
        <v>-1.9872542347978184</v>
      </c>
      <c r="P28" s="633">
        <f t="shared" si="4"/>
        <v>-1.7858056055088338</v>
      </c>
      <c r="Q28" s="585">
        <f t="shared" si="113"/>
        <v>327.41999988320936</v>
      </c>
      <c r="R28" s="629">
        <f t="shared" si="79"/>
        <v>3.6905112128683379</v>
      </c>
      <c r="S28" s="634">
        <f t="shared" si="80"/>
        <v>-1.7858056055088338</v>
      </c>
      <c r="T28" s="635">
        <f t="shared" si="81"/>
        <v>-1.9310320864358104</v>
      </c>
      <c r="U28" s="629">
        <f t="shared" si="82"/>
        <v>-3.1449941325004556</v>
      </c>
      <c r="V28" s="636">
        <f t="shared" si="114"/>
        <v>-1.7858056055088338</v>
      </c>
      <c r="W28" s="585">
        <f t="shared" si="224"/>
        <v>238.44999973449578</v>
      </c>
      <c r="X28" s="629">
        <f t="shared" si="83"/>
        <v>3.6905112128683379</v>
      </c>
      <c r="Y28" s="630">
        <f t="shared" si="223"/>
        <v>-1.7858056055088338</v>
      </c>
      <c r="Z28" s="632">
        <f t="shared" si="6"/>
        <v>-0.89286989229634917</v>
      </c>
      <c r="AA28" s="629">
        <f t="shared" si="7"/>
        <v>-0.44494111303606798</v>
      </c>
      <c r="AB28" s="629">
        <f t="shared" si="8"/>
        <v>-6.9359652254973217E-2</v>
      </c>
      <c r="AC28" s="636">
        <f t="shared" si="84"/>
        <v>1</v>
      </c>
      <c r="AD28" s="637">
        <f t="shared" si="115"/>
        <v>-0.89286989229634917</v>
      </c>
      <c r="AE28" s="629">
        <f t="shared" si="85"/>
        <v>-0.44494111303606798</v>
      </c>
      <c r="AF28" s="633">
        <f t="shared" si="86"/>
        <v>-6.9359652254973217E-2</v>
      </c>
      <c r="AG28" s="602">
        <f t="shared" si="87"/>
        <v>-81.13975568136847</v>
      </c>
      <c r="AH28" s="603">
        <f t="shared" si="88"/>
        <v>153.23612155218566</v>
      </c>
      <c r="AI28" s="585">
        <f t="shared" si="89"/>
        <v>-86.022791399643395</v>
      </c>
      <c r="AJ28" s="586">
        <f t="shared" si="90"/>
        <v>-63.511687976005298</v>
      </c>
      <c r="AK28" s="635">
        <f t="shared" si="211"/>
        <v>0.85571497993486623</v>
      </c>
      <c r="AL28" s="629">
        <f t="shared" si="91"/>
        <v>-0.51277783859498127</v>
      </c>
      <c r="AM28" s="634">
        <f t="shared" si="92"/>
        <v>-6.9359652254973217E-2</v>
      </c>
      <c r="AN28" s="581">
        <f t="shared" si="93"/>
        <v>-82.296777428774263</v>
      </c>
      <c r="AO28" s="582">
        <f t="shared" si="94"/>
        <v>31.161187334497392</v>
      </c>
      <c r="AP28" s="585">
        <f t="shared" si="95"/>
        <v>-30.931687859214655</v>
      </c>
      <c r="AQ28" s="586">
        <f t="shared" si="9"/>
        <v>0.61770258279123103</v>
      </c>
      <c r="AS28" s="52">
        <f t="shared" si="116"/>
        <v>-121.55000026550422</v>
      </c>
      <c r="AT28" s="72">
        <f t="shared" si="10"/>
        <v>-1.7006806054277293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3.1280000000000001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0.79068400604399647</v>
      </c>
      <c r="C29" s="708">
        <v>-1.4870603358930055</v>
      </c>
      <c r="D29" s="709">
        <v>-9.7200000000000022E-2</v>
      </c>
      <c r="E29" s="710">
        <v>-0.12150818158303218</v>
      </c>
      <c r="F29" s="708">
        <v>0.22852365285931683</v>
      </c>
      <c r="G29" s="711">
        <v>0.96592582628906831</v>
      </c>
      <c r="H29" s="710">
        <v>0.22499999999999998</v>
      </c>
      <c r="I29" s="708">
        <v>0.33200000000000002</v>
      </c>
      <c r="J29" s="570">
        <v>3.206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3.206</v>
      </c>
      <c r="N29" s="632">
        <f t="shared" si="2"/>
        <v>0.79068400604399647</v>
      </c>
      <c r="O29" s="629">
        <f t="shared" si="3"/>
        <v>-1.4870603358930055</v>
      </c>
      <c r="P29" s="633">
        <f t="shared" si="4"/>
        <v>-9.7200000000000022E-2</v>
      </c>
      <c r="Q29" s="585">
        <f t="shared" si="113"/>
        <v>297.99999999999994</v>
      </c>
      <c r="R29" s="629">
        <f>IF(M29="","",SQRT(N29^2+O29^2))</f>
        <v>1.6842000000000004</v>
      </c>
      <c r="S29" s="634">
        <f>IF(M29="","",P29)</f>
        <v>-9.7200000000000022E-2</v>
      </c>
      <c r="T29" s="635">
        <f>IF(M29="","",X29*COS(RADIANS(W29)))</f>
        <v>-1.472606784017009</v>
      </c>
      <c r="U29" s="629">
        <f>IF(M29="","",X29*SIN(RADIANS(W29)))</f>
        <v>-0.81728752570137997</v>
      </c>
      <c r="V29" s="636">
        <f>IF(M29="","",Y29)</f>
        <v>-9.7200000000000022E-2</v>
      </c>
      <c r="W29" s="585">
        <f t="shared" si="224"/>
        <v>209.02999985128636</v>
      </c>
      <c r="X29" s="629">
        <f>IF(M29="","",R29)</f>
        <v>1.6842000000000004</v>
      </c>
      <c r="Y29" s="630">
        <f t="shared" si="223"/>
        <v>-9.7200000000000022E-2</v>
      </c>
      <c r="Z29" s="632">
        <f t="shared" si="6"/>
        <v>0.12150818158303218</v>
      </c>
      <c r="AA29" s="629">
        <f t="shared" si="7"/>
        <v>-0.22852365285931683</v>
      </c>
      <c r="AB29" s="629">
        <f t="shared" si="8"/>
        <v>-0.96592582628906831</v>
      </c>
      <c r="AC29" s="636">
        <f>IF(M29="","",SQRT(Z29^2+AA29^2+AB29^2))</f>
        <v>1</v>
      </c>
      <c r="AD29" s="637">
        <f>IF(M29="","",Z29*(1/SQRT(Z29^2+AA29^2+AB29^2)))</f>
        <v>0.12150818158303218</v>
      </c>
      <c r="AE29" s="629">
        <f>IF(M29="","",AA29*(1/SQRT(Z29^2+AA29^2+AB29^2)))</f>
        <v>-0.22852365285931683</v>
      </c>
      <c r="AF29" s="633">
        <f>IF(M29="","",AB29*(1/SQRT(Z29^2+AA29^2+AB29^2)))</f>
        <v>-0.96592582628906831</v>
      </c>
      <c r="AG29" s="602">
        <f>IF(M29="","",DEGREES(ATAN2(-AF29,AE29)))</f>
        <v>-13.310586972883897</v>
      </c>
      <c r="AH29" s="603">
        <f>IF(M29="","",DEGREES(ACOS(AD29)))</f>
        <v>83.0208479840542</v>
      </c>
      <c r="AI29" s="585">
        <f>IF(M29="","",DEGREES(-ACOS(-AF29)))</f>
        <v>-14.999999999999982</v>
      </c>
      <c r="AJ29" s="586">
        <f>IF(M29="","",DEGREES(ATAN2(-AE29,AD29)))</f>
        <v>27.999999999999957</v>
      </c>
      <c r="AK29" s="635">
        <f>IF(M29="","",(COS(RADIANS((90-$Q$8)-W29))*AD29)+(-SIN(RADIANS((90-$Q$8)-W29))*AE29))</f>
        <v>-1.2490009027033011E-16</v>
      </c>
      <c r="AL29" s="629">
        <f>IF(M29="","",(SIN(RADIANS((90-$Q$8)-W29))*AD29)+(COS(RADIANS((90-$Q$8)-W29))*AE29))</f>
        <v>0.25881904510252074</v>
      </c>
      <c r="AM29" s="634">
        <f>IF(M29="","",AF29)</f>
        <v>-0.96592582628906831</v>
      </c>
      <c r="AN29" s="581">
        <f>IF(M29="","",DEGREES(ATAN2(-AM29,AL29)))</f>
        <v>14.999999999999998</v>
      </c>
      <c r="AO29" s="582">
        <f t="shared" si="94"/>
        <v>0</v>
      </c>
      <c r="AP29" s="585">
        <f>IF(M29="","",DEGREES(ATAN2(AK29,AL29)))</f>
        <v>90.000000000000028</v>
      </c>
      <c r="AQ29" s="586">
        <f t="shared" si="9"/>
        <v>1.3533444058542019</v>
      </c>
      <c r="AS29" s="52">
        <f t="shared" si="116"/>
        <v>-150.97000014871364</v>
      </c>
      <c r="AT29" s="72">
        <f t="shared" si="10"/>
        <v>8.3555555555555744E-3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3.206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3.1059999999999999</v>
      </c>
      <c r="II29" s="734" cm="1">
        <f t="array" ref="II29">IFERROR(ROUND(VALUE(IF($IH29&lt;1,$IH29+LARGE((IF($M$9:$M$150="",0,$M$9:$M$150)-MOD(IF($M$9:$M$150="",0,$M$9:$M$150),1)),1),$IH29)),4),"")</f>
        <v>3.1059999999999999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32.000000000000057</v>
      </c>
      <c r="IM29" s="759">
        <v>1.28568864330005E-2</v>
      </c>
      <c r="IN29" s="5">
        <f t="shared" si="226"/>
        <v>0.14000000000000001</v>
      </c>
      <c r="IO29" s="771">
        <v>70</v>
      </c>
      <c r="IP29" s="9">
        <f t="shared" si="227"/>
        <v>-1.6842050795625199</v>
      </c>
      <c r="IQ29" s="5">
        <f t="shared" si="228"/>
        <v>-0.16320049221268462</v>
      </c>
      <c r="IR29" s="5">
        <f t="shared" si="71"/>
        <v>0.314</v>
      </c>
      <c r="IS29" s="5">
        <f t="shared" si="229"/>
        <v>0.30330071252667312</v>
      </c>
      <c r="IT29" s="727">
        <f t="shared" si="230"/>
        <v>-14.999997834268227</v>
      </c>
      <c r="IU29" s="9">
        <f t="shared" si="231"/>
        <v>-1.6842000000000004</v>
      </c>
      <c r="IV29" s="5">
        <f t="shared" si="232"/>
        <v>-9.7200000000000022E-2</v>
      </c>
      <c r="IW29" s="5">
        <f t="shared" si="76"/>
        <v>0.22499999999999998</v>
      </c>
      <c r="IX29" s="5">
        <f t="shared" si="233"/>
        <v>0.22499999999999998</v>
      </c>
      <c r="IY29" s="762">
        <f t="shared" si="234"/>
        <v>-14.999999999999998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1.4557736789086475</v>
      </c>
      <c r="C30" s="708">
        <v>-1.9673652142480649</v>
      </c>
      <c r="D30" s="709">
        <v>-3.4400182770151229E-2</v>
      </c>
      <c r="E30" s="710">
        <v>4.7704323101563355E-2</v>
      </c>
      <c r="F30" s="708">
        <v>-6.4468311345015961E-2</v>
      </c>
      <c r="G30" s="711">
        <v>0.99677887938586651</v>
      </c>
      <c r="H30" s="710">
        <v>0.26250000000000001</v>
      </c>
      <c r="I30" s="708">
        <v>0.40699999999999997</v>
      </c>
      <c r="J30" s="570">
        <v>3.21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3.21</v>
      </c>
      <c r="N30" s="632">
        <f t="shared" si="2"/>
        <v>1.4557736789086475</v>
      </c>
      <c r="O30" s="629">
        <f t="shared" si="3"/>
        <v>-1.9673652142480649</v>
      </c>
      <c r="P30" s="633">
        <f t="shared" si="4"/>
        <v>-3.4400182770151229E-2</v>
      </c>
      <c r="Q30" s="585">
        <f t="shared" si="113"/>
        <v>306.5</v>
      </c>
      <c r="R30" s="629">
        <f>IF(M30="","",SQRT(N30^2+O30^2))</f>
        <v>2.4474073813806627</v>
      </c>
      <c r="S30" s="634">
        <f>IF(M30="","",P30)</f>
        <v>-3.4400182770151229E-2</v>
      </c>
      <c r="T30" s="635">
        <f>IF(M30="","",X30*COS(RADIANS(W30)))</f>
        <v>-1.940878455697254</v>
      </c>
      <c r="U30" s="629">
        <f>IF(M30="","",X30*SIN(RADIANS(W30)))</f>
        <v>-1.490903655722527</v>
      </c>
      <c r="V30" s="636">
        <f>IF(M30="","",Y30)</f>
        <v>-3.4400182770151229E-2</v>
      </c>
      <c r="W30" s="585">
        <f t="shared" si="224"/>
        <v>217.52999985128642</v>
      </c>
      <c r="X30" s="629">
        <f>IF(M30="","",R30)</f>
        <v>2.4474073813806627</v>
      </c>
      <c r="Y30" s="630">
        <f t="shared" si="223"/>
        <v>-3.4400182770151229E-2</v>
      </c>
      <c r="Z30" s="632">
        <f t="shared" si="6"/>
        <v>-4.7704323101563355E-2</v>
      </c>
      <c r="AA30" s="629">
        <f t="shared" si="7"/>
        <v>6.4468311345015961E-2</v>
      </c>
      <c r="AB30" s="629">
        <f t="shared" si="8"/>
        <v>-0.99677887938586651</v>
      </c>
      <c r="AC30" s="636">
        <f>IF(M30="","",SQRT(Z30^2+AA30^2+AB30^2))</f>
        <v>1</v>
      </c>
      <c r="AD30" s="637">
        <f>IF(M30="","",Z30*(1/SQRT(Z30^2+AA30^2+AB30^2)))</f>
        <v>-4.7704323101563355E-2</v>
      </c>
      <c r="AE30" s="629">
        <f>IF(M30="","",AA30*(1/SQRT(Z30^2+AA30^2+AB30^2)))</f>
        <v>6.4468311345015961E-2</v>
      </c>
      <c r="AF30" s="633">
        <f>IF(M30="","",AB30*(1/SQRT(Z30^2+AA30^2+AB30^2)))</f>
        <v>-0.99677887938586651</v>
      </c>
      <c r="AG30" s="602">
        <f>IF(M30="","",DEGREES(ATAN2(-AF30,AE30)))</f>
        <v>3.7005445213384363</v>
      </c>
      <c r="AH30" s="603">
        <f>IF(M30="","",DEGREES(ACOS(AD30)))</f>
        <v>92.734294121019545</v>
      </c>
      <c r="AI30" s="585">
        <f>IF(M30="","",DEGREES(-ACOS(-AF30)))</f>
        <v>-4.5999993358605593</v>
      </c>
      <c r="AJ30" s="586">
        <f>IF(M30="","",DEGREES(ATAN2(-AE30,AD30)))</f>
        <v>-143.49983797298563</v>
      </c>
      <c r="AK30" s="635">
        <f>IF(M30="","",(COS(RADIANS((90-$Q$8)-W30))*AD30)+(-SIN(RADIANS((90-$Q$8)-W30))*AE30))</f>
        <v>2.2679489662669194E-7</v>
      </c>
      <c r="AL30" s="629">
        <f>IF(M30="","",(SIN(RADIANS((90-$Q$8)-W30))*AD30)+(COS(RADIANS((90-$Q$8)-W30))*AE30))</f>
        <v>-8.0198912774456177E-2</v>
      </c>
      <c r="AM30" s="634">
        <f>IF(M30="","",AF30)</f>
        <v>-0.99677887938586651</v>
      </c>
      <c r="AN30" s="581">
        <f>IF(M30="","",DEGREES(ATAN2(-AM30,AL30)))</f>
        <v>-4.5999993358422735</v>
      </c>
      <c r="AO30" s="582">
        <f>IF(ROUND(IF(M30="",0,DEGREES(ACOS(AK30))),4)=90,0,IF(M30="","",DEGREES(ACOS(AK30))))</f>
        <v>0</v>
      </c>
      <c r="AP30" s="585">
        <f>IF(M30="","",DEGREES(ATAN2(AK30,AL30)))</f>
        <v>-89.999837972985645</v>
      </c>
      <c r="AQ30" s="586">
        <f t="shared" si="9"/>
        <v>0.93140432292881215</v>
      </c>
      <c r="AS30" s="52">
        <f t="shared" si="116"/>
        <v>-142.47000014871358</v>
      </c>
      <c r="AT30" s="72">
        <f t="shared" si="10"/>
        <v>6.5252595007626563E-2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Nose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3.11</v>
      </c>
      <c r="II30" s="734" cm="1">
        <f t="array" ref="II30">IFERROR(ROUND(VALUE(IF($IH30&lt;1,$IH30+LARGE((IF($M$9:$M$150="",0,$M$9:$M$150)-MOD(IF($M$9:$M$150="",0,$M$9:$M$150),1)),1),$IH30)),4),"")</f>
        <v>3.11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22.810000099623608</v>
      </c>
      <c r="IM30" s="759">
        <v>1.46128194031189E-2</v>
      </c>
      <c r="IN30" s="5">
        <f t="shared" si="226"/>
        <v>0.22</v>
      </c>
      <c r="IO30" s="771">
        <v>110</v>
      </c>
      <c r="IP30" s="9">
        <f t="shared" si="227"/>
        <v>-2.4474073813806623</v>
      </c>
      <c r="IQ30" s="5">
        <f t="shared" si="228"/>
        <v>-6.0600182770151022E-2</v>
      </c>
      <c r="IR30" s="5">
        <f t="shared" si="71"/>
        <v>0.314</v>
      </c>
      <c r="IS30" s="5">
        <f t="shared" si="229"/>
        <v>0.30266166746451517</v>
      </c>
      <c r="IT30" s="727">
        <f t="shared" si="230"/>
        <v>18.701413501750579</v>
      </c>
      <c r="IU30" s="9">
        <f t="shared" si="231"/>
        <v>-2.4474073813806627</v>
      </c>
      <c r="IV30" s="5">
        <f t="shared" si="232"/>
        <v>-3.4400182770151229E-2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4.5999993358422735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9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50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-2.1415123377129544E-2</v>
      </c>
      <c r="C31" s="708">
        <v>-2.3149079289427887</v>
      </c>
      <c r="D31" s="709">
        <v>-5.1000153816463917E-2</v>
      </c>
      <c r="E31" s="710">
        <v>0.96384658476269958</v>
      </c>
      <c r="F31" s="708">
        <v>-6.8444282669968229E-2</v>
      </c>
      <c r="G31" s="711">
        <v>0.25751726390879848</v>
      </c>
      <c r="H31" s="710">
        <v>0.314</v>
      </c>
      <c r="I31" s="708">
        <v>0.52</v>
      </c>
      <c r="J31" s="570">
        <v>4.109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4.109</v>
      </c>
      <c r="N31" s="632">
        <f t="shared" si="2"/>
        <v>-2.1415123377129544E-2</v>
      </c>
      <c r="O31" s="629">
        <f t="shared" si="3"/>
        <v>-2.3149079289427887</v>
      </c>
      <c r="P31" s="633">
        <f t="shared" si="4"/>
        <v>-5.1000153816463917E-2</v>
      </c>
      <c r="Q31" s="585">
        <f t="shared" si="113"/>
        <v>269.46997408774172</v>
      </c>
      <c r="R31" s="629">
        <f>IF(M31="","",SQRT(N31^2+O31^2))</f>
        <v>2.3150069820610581</v>
      </c>
      <c r="S31" s="634">
        <f>IF(M31="","",P31)</f>
        <v>-5.1000153816463917E-2</v>
      </c>
      <c r="T31" s="635">
        <f>IF(M31="","",X31*COS(RADIANS(W31)))</f>
        <v>-2.3149188428773901</v>
      </c>
      <c r="U31" s="629">
        <f>IF(M31="","",X31*SIN(RADIANS(W31)))</f>
        <v>-2.0200937667649316E-2</v>
      </c>
      <c r="V31" s="636">
        <f>IF(M31="","",Y31)</f>
        <v>-5.1000153816463917E-2</v>
      </c>
      <c r="W31" s="585">
        <f t="shared" si="224"/>
        <v>180.49997393902814</v>
      </c>
      <c r="X31" s="629">
        <f>IF(M31="","",R31)</f>
        <v>2.3150069820610581</v>
      </c>
      <c r="Y31" s="630">
        <f t="shared" si="223"/>
        <v>-5.1000153816463917E-2</v>
      </c>
      <c r="Z31" s="632">
        <f t="shared" si="6"/>
        <v>-0.96384658476269958</v>
      </c>
      <c r="AA31" s="629">
        <f t="shared" si="7"/>
        <v>6.8444282669968229E-2</v>
      </c>
      <c r="AB31" s="629">
        <f t="shared" si="8"/>
        <v>-0.25751726390879848</v>
      </c>
      <c r="AC31" s="636">
        <f>IF(M31="","",SQRT(Z31^2+AA31^2+AB31^2))</f>
        <v>1</v>
      </c>
      <c r="AD31" s="637">
        <f>IF(M31="","",Z31*(1/SQRT(Z31^2+AA31^2+AB31^2)))</f>
        <v>-0.96384658476269958</v>
      </c>
      <c r="AE31" s="629">
        <f>IF(M31="","",AA31*(1/SQRT(Z31^2+AA31^2+AB31^2)))</f>
        <v>6.8444282669968229E-2</v>
      </c>
      <c r="AF31" s="633">
        <f>IF(M31="","",AB31*(1/SQRT(Z31^2+AA31^2+AB31^2)))</f>
        <v>-0.25751726390879848</v>
      </c>
      <c r="AG31" s="602">
        <f>IF(M31="","",DEGREES(ATAN2(-AF31,AE31)))</f>
        <v>14.884256579315023</v>
      </c>
      <c r="AH31" s="603">
        <f>IF(M31="","",DEGREES(ACOS(AD31)))</f>
        <v>164.54640627257712</v>
      </c>
      <c r="AI31" s="585">
        <f>IF(M31="","",DEGREES(-ACOS(-AF31)))</f>
        <v>-75.077203783605242</v>
      </c>
      <c r="AJ31" s="586">
        <f>IF(M31="","",DEGREES(ATAN2(-AE31,AD31)))</f>
        <v>-94.061846323092482</v>
      </c>
      <c r="AK31" s="635">
        <f>IF(M31="","",(COS(RADIANS((90-$Q$8)-W31))*AD31)+(-SIN(RADIANS((90-$Q$8)-W31))*AE31))</f>
        <v>0.96443849258790293</v>
      </c>
      <c r="AL31" s="629">
        <f>IF(M31="","",(SIN(RADIANS((90-$Q$8)-W31))*AD31)+(COS(RADIANS((90-$Q$8)-W31))*AE31))</f>
        <v>-5.9525228296074928E-2</v>
      </c>
      <c r="AM31" s="634">
        <f>IF(M31="","",AF31)</f>
        <v>-0.25751726390879848</v>
      </c>
      <c r="AN31" s="581">
        <f>IF(M31="","",DEGREES(ATAN2(-AM31,AL31)))</f>
        <v>-13.015352265400821</v>
      </c>
      <c r="AO31" s="582">
        <f t="shared" si="94"/>
        <v>15.325801600542539</v>
      </c>
      <c r="AP31" s="585">
        <f>IF(M31="","",DEGREES(ATAN2(AK31,AL31)))</f>
        <v>-3.5318204108341908</v>
      </c>
      <c r="AQ31" s="586">
        <f t="shared" si="9"/>
        <v>0.98466320388485329</v>
      </c>
      <c r="AS31" s="52">
        <f t="shared" si="116"/>
        <v>-179.50002606097186</v>
      </c>
      <c r="AT31" s="72">
        <f t="shared" si="10"/>
        <v>7.4367919733715454E-2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-8.2848234383706157E-2</v>
      </c>
      <c r="C32" s="708">
        <v>-3.061688520238846</v>
      </c>
      <c r="D32" s="709">
        <v>-0.29330088459546794</v>
      </c>
      <c r="E32" s="710">
        <v>0.95439913049683767</v>
      </c>
      <c r="F32" s="708">
        <v>-0.22611765169256115</v>
      </c>
      <c r="G32" s="711">
        <v>0.19491820669173526</v>
      </c>
      <c r="H32" s="710">
        <v>0.314</v>
      </c>
      <c r="I32" s="708">
        <v>0.52</v>
      </c>
      <c r="J32" s="570">
        <v>4.1150000000000002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4.1150000000000002</v>
      </c>
      <c r="N32" s="632">
        <f t="shared" si="2"/>
        <v>-8.2848234383706157E-2</v>
      </c>
      <c r="O32" s="629">
        <f t="shared" si="3"/>
        <v>-3.061688520238846</v>
      </c>
      <c r="P32" s="633">
        <f t="shared" si="4"/>
        <v>-0.29330088459546794</v>
      </c>
      <c r="Q32" s="585">
        <f t="shared" si="113"/>
        <v>268.4499742350115</v>
      </c>
      <c r="R32" s="629">
        <f t="shared" si="79"/>
        <v>3.0628092374326599</v>
      </c>
      <c r="S32" s="634">
        <f t="shared" si="80"/>
        <v>-0.29330088459546794</v>
      </c>
      <c r="T32" s="635">
        <f t="shared" si="81"/>
        <v>-3.0626830861478722</v>
      </c>
      <c r="U32" s="629">
        <f t="shared" si="82"/>
        <v>2.7798178475868771E-2</v>
      </c>
      <c r="V32" s="636">
        <f t="shared" si="114"/>
        <v>-0.29330088459546794</v>
      </c>
      <c r="W32" s="585">
        <f t="shared" si="224"/>
        <v>179.47997408629791</v>
      </c>
      <c r="X32" s="629">
        <f t="shared" si="83"/>
        <v>3.0628092374326599</v>
      </c>
      <c r="Y32" s="630">
        <f t="shared" si="223"/>
        <v>-0.29330088459546794</v>
      </c>
      <c r="Z32" s="632">
        <f t="shared" si="6"/>
        <v>-0.95439913049683767</v>
      </c>
      <c r="AA32" s="629">
        <f t="shared" si="7"/>
        <v>0.22611765169256115</v>
      </c>
      <c r="AB32" s="629">
        <f t="shared" si="8"/>
        <v>-0.19491820669173526</v>
      </c>
      <c r="AC32" s="636">
        <f t="shared" si="84"/>
        <v>1</v>
      </c>
      <c r="AD32" s="637">
        <f t="shared" si="115"/>
        <v>-0.95439913049683767</v>
      </c>
      <c r="AE32" s="629">
        <f t="shared" si="85"/>
        <v>0.22611765169256115</v>
      </c>
      <c r="AF32" s="633">
        <f t="shared" si="86"/>
        <v>-0.19491820669173526</v>
      </c>
      <c r="AG32" s="602">
        <f t="shared" si="87"/>
        <v>49.237965235734883</v>
      </c>
      <c r="AH32" s="603">
        <f t="shared" si="88"/>
        <v>162.63045205229363</v>
      </c>
      <c r="AI32" s="585">
        <f t="shared" si="89"/>
        <v>-78.760054504095407</v>
      </c>
      <c r="AJ32" s="586">
        <f t="shared" si="90"/>
        <v>-103.32883730534526</v>
      </c>
      <c r="AK32" s="635">
        <f t="shared" si="211"/>
        <v>0.96016633156000797</v>
      </c>
      <c r="AL32" s="629">
        <f t="shared" si="91"/>
        <v>-0.20021865157540897</v>
      </c>
      <c r="AM32" s="634">
        <f t="shared" si="92"/>
        <v>-0.19491820669173526</v>
      </c>
      <c r="AN32" s="581">
        <f t="shared" si="93"/>
        <v>-45.768530956802053</v>
      </c>
      <c r="AO32" s="582">
        <f t="shared" si="94"/>
        <v>16.226133916155835</v>
      </c>
      <c r="AP32" s="585">
        <f t="shared" si="95"/>
        <v>-11.778811540356772</v>
      </c>
      <c r="AQ32" s="586">
        <f t="shared" si="9"/>
        <v>0.7442835066726553</v>
      </c>
      <c r="AS32" s="52">
        <f t="shared" si="116"/>
        <v>-180.52002591370209</v>
      </c>
      <c r="AT32" s="72">
        <f t="shared" si="10"/>
        <v>-0.16722447781422592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4.1150000000000002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-0.14498297159703283</v>
      </c>
      <c r="C33" s="708">
        <v>-3.5479496621457782</v>
      </c>
      <c r="D33" s="709">
        <v>-0.89030268515289845</v>
      </c>
      <c r="E33" s="710">
        <v>0.91523082008592249</v>
      </c>
      <c r="F33" s="708">
        <v>-0.37848232105669177</v>
      </c>
      <c r="G33" s="711">
        <v>0.13821605772264378</v>
      </c>
      <c r="H33" s="710">
        <v>0.314</v>
      </c>
      <c r="I33" s="708">
        <v>0.52</v>
      </c>
      <c r="J33" s="570">
        <v>4.1210000000000004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4.1210000000000004</v>
      </c>
      <c r="N33" s="632">
        <f t="shared" si="2"/>
        <v>-0.14498297159703283</v>
      </c>
      <c r="O33" s="629">
        <f t="shared" si="3"/>
        <v>-3.5479496621457782</v>
      </c>
      <c r="P33" s="633">
        <f t="shared" si="4"/>
        <v>-0.89030268515289845</v>
      </c>
      <c r="Q33" s="585">
        <f t="shared" si="113"/>
        <v>267.65997434907337</v>
      </c>
      <c r="R33" s="629">
        <f t="shared" si="79"/>
        <v>3.5509107095467001</v>
      </c>
      <c r="S33" s="634">
        <f t="shared" si="80"/>
        <v>-0.89030268515289845</v>
      </c>
      <c r="T33" s="635">
        <f t="shared" si="81"/>
        <v>-3.5499825871158524</v>
      </c>
      <c r="U33" s="629">
        <f t="shared" si="82"/>
        <v>8.1181884356602785E-2</v>
      </c>
      <c r="V33" s="636">
        <f t="shared" si="114"/>
        <v>-0.89030268515289845</v>
      </c>
      <c r="W33" s="585">
        <f t="shared" si="224"/>
        <v>178.68997420035979</v>
      </c>
      <c r="X33" s="629">
        <f t="shared" si="83"/>
        <v>3.5509107095467001</v>
      </c>
      <c r="Y33" s="630">
        <f t="shared" si="223"/>
        <v>-0.89030268515289845</v>
      </c>
      <c r="Z33" s="632">
        <f t="shared" si="6"/>
        <v>-0.91523082008592249</v>
      </c>
      <c r="AA33" s="629">
        <f t="shared" si="7"/>
        <v>0.37848232105669177</v>
      </c>
      <c r="AB33" s="629">
        <f t="shared" si="8"/>
        <v>-0.13821605772264378</v>
      </c>
      <c r="AC33" s="636">
        <f t="shared" si="84"/>
        <v>1</v>
      </c>
      <c r="AD33" s="637">
        <f t="shared" si="115"/>
        <v>-0.91523082008592249</v>
      </c>
      <c r="AE33" s="629">
        <f t="shared" si="85"/>
        <v>0.37848232105669177</v>
      </c>
      <c r="AF33" s="633">
        <f t="shared" si="86"/>
        <v>-0.13821605772264378</v>
      </c>
      <c r="AG33" s="602">
        <f t="shared" si="87"/>
        <v>69.938565984836472</v>
      </c>
      <c r="AH33" s="603">
        <f t="shared" si="88"/>
        <v>156.23852784865088</v>
      </c>
      <c r="AI33" s="585">
        <f t="shared" si="89"/>
        <v>-82.055369677283878</v>
      </c>
      <c r="AJ33" s="586">
        <f t="shared" si="90"/>
        <v>-112.46693224679741</v>
      </c>
      <c r="AK33" s="635">
        <f t="shared" si="211"/>
        <v>0.92992098101349518</v>
      </c>
      <c r="AL33" s="629">
        <f t="shared" si="91"/>
        <v>-0.34079802003314169</v>
      </c>
      <c r="AM33" s="634">
        <f t="shared" si="92"/>
        <v>-0.13821605772264378</v>
      </c>
      <c r="AN33" s="581">
        <f t="shared" si="93"/>
        <v>-67.92420293351627</v>
      </c>
      <c r="AO33" s="582">
        <f t="shared" si="94"/>
        <v>21.577499276046233</v>
      </c>
      <c r="AP33" s="585">
        <f t="shared" si="95"/>
        <v>-20.126906595870786</v>
      </c>
      <c r="AQ33" s="586">
        <f t="shared" si="9"/>
        <v>0.6419849480206985</v>
      </c>
      <c r="AS33" s="52">
        <f t="shared" si="116"/>
        <v>-181.31002579964021</v>
      </c>
      <c r="AT33" s="72">
        <f t="shared" si="10"/>
        <v>-0.76367766733975495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4.1210000000000004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-0.16612734548430833</v>
      </c>
      <c r="C34" s="708">
        <v>-3.6867701460802778</v>
      </c>
      <c r="D34" s="709">
        <v>-1.6555049930030588</v>
      </c>
      <c r="E34" s="710">
        <v>0.83176500339841664</v>
      </c>
      <c r="F34" s="708">
        <v>-0.55077782976505252</v>
      </c>
      <c r="G34" s="711">
        <v>6.9359652254973203E-2</v>
      </c>
      <c r="H34" s="710">
        <v>0.314</v>
      </c>
      <c r="I34" s="708">
        <v>0.52</v>
      </c>
      <c r="J34" s="570">
        <v>4.1269999999999998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4.1269999999999998</v>
      </c>
      <c r="N34" s="632">
        <f t="shared" si="2"/>
        <v>-0.16612734548430833</v>
      </c>
      <c r="O34" s="629">
        <f t="shared" si="3"/>
        <v>-3.6867701460802778</v>
      </c>
      <c r="P34" s="633">
        <f t="shared" si="4"/>
        <v>-1.6555049930030588</v>
      </c>
      <c r="Q34" s="585">
        <f t="shared" si="113"/>
        <v>267.41997438372505</v>
      </c>
      <c r="R34" s="629">
        <f>IF(M34="","",SQRT(N34^2+O34^2))</f>
        <v>3.6905111305815699</v>
      </c>
      <c r="S34" s="634">
        <f>IF(M34="","",P34)</f>
        <v>-1.6555049930030588</v>
      </c>
      <c r="T34" s="635">
        <f>IF(M34="","",X34*COS(RADIANS(W34)))</f>
        <v>-3.689160730031821</v>
      </c>
      <c r="U34" s="629">
        <f>IF(M34="","",X34*SIN(RADIANS(W34)))</f>
        <v>9.9827415761092594E-2</v>
      </c>
      <c r="V34" s="636">
        <f>IF(M34="","",Y34)</f>
        <v>-1.6555049930030588</v>
      </c>
      <c r="W34" s="585">
        <f t="shared" si="224"/>
        <v>178.44997423501147</v>
      </c>
      <c r="X34" s="629">
        <f>IF(M34="","",R34)</f>
        <v>3.6905111305815699</v>
      </c>
      <c r="Y34" s="630">
        <f t="shared" si="223"/>
        <v>-1.6555049930030588</v>
      </c>
      <c r="Z34" s="632">
        <f t="shared" si="6"/>
        <v>-0.83176500339841664</v>
      </c>
      <c r="AA34" s="629">
        <f t="shared" si="7"/>
        <v>0.55077782976505252</v>
      </c>
      <c r="AB34" s="629">
        <f t="shared" si="8"/>
        <v>-6.9359652254973203E-2</v>
      </c>
      <c r="AC34" s="636">
        <f>IF(M34="","",SQRT(Z34^2+AA34^2+AB34^2))</f>
        <v>1</v>
      </c>
      <c r="AD34" s="637">
        <f>IF(M34="","",Z34*(1/SQRT(Z34^2+AA34^2+AB34^2)))</f>
        <v>-0.83176500339841664</v>
      </c>
      <c r="AE34" s="629">
        <f>IF(M34="","",AA34*(1/SQRT(Z34^2+AA34^2+AB34^2)))</f>
        <v>0.55077782976505252</v>
      </c>
      <c r="AF34" s="633">
        <f>IF(M34="","",AB34*(1/SQRT(Z34^2+AA34^2+AB34^2)))</f>
        <v>-6.9359652254973203E-2</v>
      </c>
      <c r="AG34" s="602">
        <f>IF(M34="","",DEGREES(ATAN2(-AF34,AE34)))</f>
        <v>82.822503869517874</v>
      </c>
      <c r="AH34" s="603">
        <f>IF(M34="","",DEGREES(ACOS(AD34)))</f>
        <v>146.28047572023866</v>
      </c>
      <c r="AI34" s="585">
        <f>IF(M34="","",DEGREES(-ACOS(-AF34)))</f>
        <v>-86.022791399643395</v>
      </c>
      <c r="AJ34" s="586">
        <f>IF(M34="","",DEGREES(ATAN2(-AE34,AD34)))</f>
        <v>-123.51171396478608</v>
      </c>
      <c r="AK34" s="635">
        <f>IF(M34="","",(COS(RADIANS((90-$Q$8)-W34))*AD34)+(-SIN(RADIANS((90-$Q$8)-W34))*AE34))</f>
        <v>0.85571497555582843</v>
      </c>
      <c r="AL34" s="629">
        <f>IF(M34="","",(SIN(RADIANS((90-$Q$8)-W34))*AD34)+(COS(RADIANS((90-$Q$8)-W34))*AE34))</f>
        <v>-0.51277784590264541</v>
      </c>
      <c r="AM34" s="634">
        <f>IF(M34="","",AF34)</f>
        <v>-6.9359652254973203E-2</v>
      </c>
      <c r="AN34" s="581">
        <f>IF(M34="","",DEGREES(ATAN2(-AM34,AL34)))</f>
        <v>-82.296777537235769</v>
      </c>
      <c r="AO34" s="582">
        <f t="shared" si="94"/>
        <v>31.16118781937827</v>
      </c>
      <c r="AP34" s="585">
        <f>IF(M34="","",DEGREES(ATAN2(AK34,AL34)))</f>
        <v>-30.931688348511116</v>
      </c>
      <c r="AQ34" s="586">
        <f t="shared" si="9"/>
        <v>0.61770259656298487</v>
      </c>
      <c r="AS34" s="52">
        <f t="shared" si="116"/>
        <v>-181.55002576498853</v>
      </c>
      <c r="AT34" s="72">
        <f t="shared" si="10"/>
        <v>-1.5287133085473124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4.1269999999999998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-0.97836222760751024</v>
      </c>
      <c r="C35" s="708">
        <v>-2.0981020832149397</v>
      </c>
      <c r="D35" s="709">
        <v>-2.5599999999999987E-2</v>
      </c>
      <c r="E35" s="710">
        <v>-6.6382055960824129E-3</v>
      </c>
      <c r="F35" s="708">
        <v>-1.4235660982137854E-2</v>
      </c>
      <c r="G35" s="711">
        <v>0.99987663248166059</v>
      </c>
      <c r="H35" s="710">
        <v>0.26250000000000001</v>
      </c>
      <c r="I35" s="708">
        <v>0.40699999999999997</v>
      </c>
      <c r="J35" s="570">
        <v>4.2089999999999996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Inactive</v>
      </c>
      <c r="L35" s="320"/>
      <c r="M35" s="168">
        <f t="shared" si="1"/>
        <v>4.2089999999999996</v>
      </c>
      <c r="N35" s="632">
        <f t="shared" si="2"/>
        <v>-0.97836222760751024</v>
      </c>
      <c r="O35" s="629">
        <f t="shared" si="3"/>
        <v>-2.0981020832149397</v>
      </c>
      <c r="P35" s="633">
        <f t="shared" si="4"/>
        <v>-2.5599999999999987E-2</v>
      </c>
      <c r="Q35" s="585">
        <f t="shared" si="113"/>
        <v>244.99997401121919</v>
      </c>
      <c r="R35" s="629">
        <f>IF(M35="","",SQRT(N35^2+O35^2))</f>
        <v>2.3149999999999999</v>
      </c>
      <c r="S35" s="634">
        <f>IF(M35="","",P35)</f>
        <v>-2.5599999999999987E-2</v>
      </c>
      <c r="T35" s="635">
        <f>IF(M35="","",X35*COS(RADIANS(W35)))</f>
        <v>-2.1153500336442086</v>
      </c>
      <c r="U35" s="629">
        <f>IF(M35="","",X35*SIN(RADIANS(W35)))</f>
        <v>0.94048882777066778</v>
      </c>
      <c r="V35" s="636">
        <f>IF(M35="","",Y35)</f>
        <v>-2.5599999999999987E-2</v>
      </c>
      <c r="W35" s="585">
        <f t="shared" si="224"/>
        <v>156.02997386250561</v>
      </c>
      <c r="X35" s="629">
        <f>IF(M35="","",R35)</f>
        <v>2.3149999999999999</v>
      </c>
      <c r="Y35" s="630">
        <f t="shared" si="223"/>
        <v>-2.5599999999999987E-2</v>
      </c>
      <c r="Z35" s="632">
        <f t="shared" si="6"/>
        <v>6.6382055960824129E-3</v>
      </c>
      <c r="AA35" s="629">
        <f t="shared" si="7"/>
        <v>1.4235660982137854E-2</v>
      </c>
      <c r="AB35" s="629">
        <f t="shared" si="8"/>
        <v>-0.99987663248166059</v>
      </c>
      <c r="AC35" s="636">
        <f>IF(M35="","",SQRT(Z35^2+AA35^2+AB35^2))</f>
        <v>1</v>
      </c>
      <c r="AD35" s="637">
        <f>IF(M35="","",Z35*(1/SQRT(Z35^2+AA35^2+AB35^2)))</f>
        <v>6.6382055960824129E-3</v>
      </c>
      <c r="AE35" s="629">
        <f>IF(M35="","",AA35*(1/SQRT(Z35^2+AA35^2+AB35^2)))</f>
        <v>1.4235660982137854E-2</v>
      </c>
      <c r="AF35" s="633">
        <f>IF(M35="","",AB35*(1/SQRT(Z35^2+AA35^2+AB35^2)))</f>
        <v>-0.99987663248166059</v>
      </c>
      <c r="AG35" s="602">
        <f>IF(M35="","",DEGREES(ATAN2(-AF35,AE35)))</f>
        <v>0.81568881766165879</v>
      </c>
      <c r="AH35" s="603">
        <f>IF(M35="","",DEGREES(ACOS(AD35)))</f>
        <v>89.619656042411023</v>
      </c>
      <c r="AI35" s="585">
        <f>IF(M35="","",DEGREES(-ACOS(-AF35)))</f>
        <v>-0.90000000000003311</v>
      </c>
      <c r="AJ35" s="586">
        <f>IF(M35="","",DEGREES(ATAN2(-AE35,AD35)))</f>
        <v>154.99997401121939</v>
      </c>
      <c r="AK35" s="635">
        <f>IF(M35="","",(COS(RADIANS((90-$Q$8)-W35))*AD35)+(-SIN(RADIANS((90-$Q$8)-W35))*AE35))</f>
        <v>6.0715321659188248E-17</v>
      </c>
      <c r="AL35" s="629">
        <f>IF(M35="","",(SIN(RADIANS((90-$Q$8)-W35))*AD35)+(COS(RADIANS((90-$Q$8)-W35))*AE35))</f>
        <v>-1.5707317311820693E-2</v>
      </c>
      <c r="AM35" s="634">
        <f>IF(M35="","",AF35)</f>
        <v>-0.99987663248166059</v>
      </c>
      <c r="AN35" s="581">
        <f>IF(M35="","",DEGREES(ATAN2(-AM35,AL35)))</f>
        <v>-0.90000000000000102</v>
      </c>
      <c r="AO35" s="582">
        <f t="shared" si="94"/>
        <v>0</v>
      </c>
      <c r="AP35" s="585">
        <f>IF(M35="","",DEGREES(ATAN2(AK35,AL35)))</f>
        <v>-89.999999999999787</v>
      </c>
      <c r="AQ35" s="586">
        <f t="shared" si="9"/>
        <v>0.98466617305332982</v>
      </c>
      <c r="AS35" s="52">
        <f t="shared" si="116"/>
        <v>-203.97002613749439</v>
      </c>
      <c r="AT35" s="72">
        <f t="shared" si="10"/>
        <v>0.11676112915887557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4.2089999999999996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4.109</v>
      </c>
      <c r="II35" s="734" cm="1">
        <f t="array" ref="II35">IFERROR(ROUND(VALUE(IF($IH35&lt;1,$IH35+LARGE((IF($M$9:$M$150="",0,$M$9:$M$150)-MOD(IF($M$9:$M$150="",0,$M$9:$M$150),1)),1),$IH35)),4),"")</f>
        <v>4.109</v>
      </c>
      <c r="IJ35" s="533">
        <f t="shared" si="112"/>
        <v>1613</v>
      </c>
      <c r="IK35" s="533" t="str">
        <f t="shared" si="66"/>
        <v>Inactive</v>
      </c>
      <c r="IL35" s="727">
        <f t="shared" si="225"/>
        <v>24.470000076522524</v>
      </c>
      <c r="IM35" s="759">
        <v>1.5247930169197101E-2</v>
      </c>
      <c r="IN35" s="5">
        <f t="shared" si="226"/>
        <v>0.22</v>
      </c>
      <c r="IO35" s="771">
        <v>110</v>
      </c>
      <c r="IP35" s="9">
        <f t="shared" si="227"/>
        <v>-2.3150069820610581</v>
      </c>
      <c r="IQ35" s="5">
        <f t="shared" si="228"/>
        <v>-5.1000153816463917E-2</v>
      </c>
      <c r="IR35" s="5">
        <f t="shared" si="71"/>
        <v>0.314</v>
      </c>
      <c r="IS35" s="5">
        <f t="shared" si="229"/>
        <v>0.30283368667260152</v>
      </c>
      <c r="IT35" s="727">
        <f t="shared" si="230"/>
        <v>13.015352265400821</v>
      </c>
      <c r="IU35" s="9">
        <f t="shared" si="231"/>
        <v>-2.3149999999999999</v>
      </c>
      <c r="IV35" s="5">
        <f t="shared" si="232"/>
        <v>-2.5599999999999987E-2</v>
      </c>
      <c r="IW35" s="5">
        <f t="shared" si="76"/>
        <v>0.26250000000000001</v>
      </c>
      <c r="IX35" s="5">
        <f t="shared" si="233"/>
        <v>0.26250000000000001</v>
      </c>
      <c r="IY35" s="762">
        <f t="shared" si="234"/>
        <v>0.90000000000000102</v>
      </c>
    </row>
    <row r="36" spans="1:267" ht="15" customHeight="1" x14ac:dyDescent="0.25">
      <c r="A36" s="79"/>
      <c r="B36" s="707">
        <v>-0.5784201117026837</v>
      </c>
      <c r="C36" s="708">
        <v>-0.33395100719623777</v>
      </c>
      <c r="D36" s="709">
        <v>-0.43520131256715872</v>
      </c>
      <c r="E36" s="710">
        <v>0.54368569061935235</v>
      </c>
      <c r="F36" s="708">
        <v>-0.79034855119405834</v>
      </c>
      <c r="G36" s="711">
        <v>0.28240934375691407</v>
      </c>
      <c r="H36" s="710">
        <v>0.314</v>
      </c>
      <c r="I36" s="708">
        <v>0.52</v>
      </c>
      <c r="J36" s="570">
        <v>5.1020000000000003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5.1020000000000003</v>
      </c>
      <c r="N36" s="632">
        <f t="shared" si="2"/>
        <v>-0.5784201117026837</v>
      </c>
      <c r="O36" s="629">
        <f t="shared" si="3"/>
        <v>-0.33395100719623777</v>
      </c>
      <c r="P36" s="633">
        <f t="shared" si="4"/>
        <v>-0.43520131256715872</v>
      </c>
      <c r="Q36" s="585">
        <f t="shared" si="113"/>
        <v>210</v>
      </c>
      <c r="R36" s="629">
        <f>IF(M36="","",SQRT(N36^2+O36^2))</f>
        <v>0.66790201439247565</v>
      </c>
      <c r="S36" s="634">
        <f>IF(M36="","",P36)</f>
        <v>-0.43520131256715872</v>
      </c>
      <c r="T36" s="635">
        <f>IF(M36="","",X36*COS(RADIANS(W36)))</f>
        <v>-0.34429468133930297</v>
      </c>
      <c r="U36" s="629">
        <f>IF(M36="","",X36*SIN(RADIANS(W36)))</f>
        <v>0.57232357389067468</v>
      </c>
      <c r="V36" s="636">
        <f>IF(M36="","",Y36)</f>
        <v>-0.43520131256715872</v>
      </c>
      <c r="W36" s="585">
        <f t="shared" si="224"/>
        <v>121.02999985128642</v>
      </c>
      <c r="X36" s="629">
        <f>IF(M36="","",R36)</f>
        <v>0.66790201439247565</v>
      </c>
      <c r="Y36" s="630">
        <f t="shared" si="223"/>
        <v>-0.43520131256715872</v>
      </c>
      <c r="Z36" s="632">
        <f t="shared" si="6"/>
        <v>-0.54368569061935235</v>
      </c>
      <c r="AA36" s="629">
        <f t="shared" si="7"/>
        <v>0.79034855119405834</v>
      </c>
      <c r="AB36" s="629">
        <f t="shared" si="8"/>
        <v>-0.28240934375691407</v>
      </c>
      <c r="AC36" s="636">
        <f>IF(M36="","",SQRT(Z36^2+AA36^2+AB36^2))</f>
        <v>1</v>
      </c>
      <c r="AD36" s="637">
        <f>IF(M36="","",Z36*(1/SQRT(Z36^2+AA36^2+AB36^2)))</f>
        <v>-0.54368569061935235</v>
      </c>
      <c r="AE36" s="629">
        <f>IF(M36="","",AA36*(1/SQRT(Z36^2+AA36^2+AB36^2)))</f>
        <v>0.79034855119405834</v>
      </c>
      <c r="AF36" s="633">
        <f>IF(M36="","",AB36*(1/SQRT(Z36^2+AA36^2+AB36^2)))</f>
        <v>-0.28240934375691407</v>
      </c>
      <c r="AG36" s="602">
        <f>IF(M36="","",DEGREES(ATAN2(-AF36,AE36)))</f>
        <v>70.33704650980998</v>
      </c>
      <c r="AH36" s="603">
        <f>IF(M36="","",DEGREES(ACOS(AD36)))</f>
        <v>122.93489401237042</v>
      </c>
      <c r="AI36" s="585">
        <f>IF(M36="","",DEGREES(-ACOS(-AF36)))</f>
        <v>-73.595945358587798</v>
      </c>
      <c r="AJ36" s="586">
        <f>IF(M36="","",DEGREES(ATAN2(-AE36,AD36)))</f>
        <v>-145.47567513500078</v>
      </c>
      <c r="AK36" s="635">
        <f>IF(M36="","",(COS(RADIANS((90-$Q$8)-W36))*AD36)+(-SIN(RADIANS((90-$Q$8)-W36))*AE36))</f>
        <v>0.95630476848795654</v>
      </c>
      <c r="AL36" s="629">
        <f>IF(M36="","",(SIN(RADIANS((90-$Q$8)-W36))*AD36)+(COS(RADIANS((90-$Q$8)-W36))*AE36))</f>
        <v>7.5671344153417031E-2</v>
      </c>
      <c r="AM36" s="634">
        <f>IF(M36="","",AF36)</f>
        <v>-0.28240934375691407</v>
      </c>
      <c r="AN36" s="581">
        <f>IF(M36="","",DEGREES(ATAN2(-AM36,AL36)))</f>
        <v>14.999997834268264</v>
      </c>
      <c r="AO36" s="582">
        <f t="shared" si="94"/>
        <v>16.999997545504044</v>
      </c>
      <c r="AP36" s="585">
        <f>IF(M36="","",DEGREES(ATAN2(AK36,AL36)))</f>
        <v>4.5243248649992216</v>
      </c>
      <c r="AQ36" s="586">
        <f t="shared" si="9"/>
        <v>3.4092358818915711</v>
      </c>
      <c r="AS36" s="52">
        <f t="shared" si="116"/>
        <v>-238.97000014871358</v>
      </c>
      <c r="AT36" s="72">
        <f t="shared" si="10"/>
        <v>-0.26853464590049203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5.1020000000000003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-1.2405851325259685</v>
      </c>
      <c r="C37" s="708">
        <v>-0.71625216021651528</v>
      </c>
      <c r="D37" s="709">
        <v>-0.23020069428529408</v>
      </c>
      <c r="E37" s="710">
        <v>0.54097560356081209</v>
      </c>
      <c r="F37" s="708">
        <v>-0.80302267260615146</v>
      </c>
      <c r="G37" s="711">
        <v>0.2499999672649757</v>
      </c>
      <c r="H37" s="710">
        <v>0.314</v>
      </c>
      <c r="I37" s="708">
        <v>0.52</v>
      </c>
      <c r="J37" s="570">
        <v>5.1050000000000004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5.1050000000000004</v>
      </c>
      <c r="N37" s="632">
        <f t="shared" si="2"/>
        <v>-1.2405851325259685</v>
      </c>
      <c r="O37" s="629">
        <f t="shared" si="3"/>
        <v>-0.71625216021651528</v>
      </c>
      <c r="P37" s="633">
        <f t="shared" si="4"/>
        <v>-0.23020069428529408</v>
      </c>
      <c r="Q37" s="585">
        <f t="shared" si="113"/>
        <v>210</v>
      </c>
      <c r="R37" s="629">
        <f t="shared" si="79"/>
        <v>1.4325043204330308</v>
      </c>
      <c r="S37" s="634">
        <f t="shared" si="80"/>
        <v>-0.23020069428529408</v>
      </c>
      <c r="T37" s="635">
        <f t="shared" si="81"/>
        <v>-0.73843708791518414</v>
      </c>
      <c r="U37" s="629">
        <f t="shared" si="82"/>
        <v>1.2275093870315785</v>
      </c>
      <c r="V37" s="636">
        <f t="shared" si="114"/>
        <v>-0.23020069428529408</v>
      </c>
      <c r="W37" s="585">
        <f t="shared" si="224"/>
        <v>121.02999985128642</v>
      </c>
      <c r="X37" s="629">
        <f t="shared" si="83"/>
        <v>1.4325043204330308</v>
      </c>
      <c r="Y37" s="630">
        <f t="shared" si="223"/>
        <v>-0.23020069428529408</v>
      </c>
      <c r="Z37" s="632">
        <f t="shared" si="6"/>
        <v>-0.54097560356081209</v>
      </c>
      <c r="AA37" s="629">
        <f t="shared" si="7"/>
        <v>0.80302267260615146</v>
      </c>
      <c r="AB37" s="629">
        <f t="shared" si="8"/>
        <v>-0.2499999672649757</v>
      </c>
      <c r="AC37" s="636">
        <f t="shared" si="84"/>
        <v>1</v>
      </c>
      <c r="AD37" s="637">
        <f t="shared" si="115"/>
        <v>-0.54097560356081209</v>
      </c>
      <c r="AE37" s="629">
        <f t="shared" si="85"/>
        <v>0.80302267260615146</v>
      </c>
      <c r="AF37" s="633">
        <f t="shared" si="86"/>
        <v>-0.2499999672649757</v>
      </c>
      <c r="AG37" s="602">
        <f t="shared" si="87"/>
        <v>72.707398212485458</v>
      </c>
      <c r="AH37" s="603">
        <f t="shared" si="88"/>
        <v>122.75007713066476</v>
      </c>
      <c r="AI37" s="585">
        <f t="shared" si="89"/>
        <v>-75.522489751159455</v>
      </c>
      <c r="AJ37" s="586">
        <f t="shared" si="90"/>
        <v>-146.03287035491343</v>
      </c>
      <c r="AK37" s="635">
        <f t="shared" si="211"/>
        <v>0.96592583607220739</v>
      </c>
      <c r="AL37" s="629">
        <f t="shared" si="91"/>
        <v>6.6987279208207184E-2</v>
      </c>
      <c r="AM37" s="634">
        <f t="shared" si="92"/>
        <v>-0.2499999672649757</v>
      </c>
      <c r="AN37" s="581">
        <f t="shared" si="93"/>
        <v>14.999997834268262</v>
      </c>
      <c r="AO37" s="582">
        <f t="shared" si="94"/>
        <v>14.999997834268255</v>
      </c>
      <c r="AP37" s="585">
        <f t="shared" si="95"/>
        <v>3.9671296450865703</v>
      </c>
      <c r="AQ37" s="586">
        <f t="shared" si="9"/>
        <v>1.5910183383991929</v>
      </c>
      <c r="AS37" s="52">
        <f t="shared" si="116"/>
        <v>-238.97000014871358</v>
      </c>
      <c r="AT37" s="72">
        <f t="shared" si="10"/>
        <v>-6.3534027618627392E-2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5.1050000000000004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-1.8972294017130811</v>
      </c>
      <c r="C38" s="708">
        <v>-1.0782143394382739</v>
      </c>
      <c r="D38" s="709">
        <v>-5.4200163467693213E-2</v>
      </c>
      <c r="E38" s="710">
        <v>0.45184627694403606</v>
      </c>
      <c r="F38" s="708">
        <v>-0.85305569363167266</v>
      </c>
      <c r="G38" s="711">
        <v>0.26101901381776682</v>
      </c>
      <c r="H38" s="710">
        <v>0.314</v>
      </c>
      <c r="I38" s="708">
        <v>0.52</v>
      </c>
      <c r="J38" s="570">
        <v>5.1079999999999997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5.1079999999999997</v>
      </c>
      <c r="N38" s="632">
        <f t="shared" si="2"/>
        <v>-1.8972294017130811</v>
      </c>
      <c r="O38" s="629">
        <f t="shared" si="3"/>
        <v>-1.0782143394382739</v>
      </c>
      <c r="P38" s="633">
        <f t="shared" si="4"/>
        <v>-5.4200163467693213E-2</v>
      </c>
      <c r="Q38" s="585">
        <f t="shared" si="113"/>
        <v>209.61000005630902</v>
      </c>
      <c r="R38" s="629">
        <f t="shared" si="79"/>
        <v>2.1822065815350502</v>
      </c>
      <c r="S38" s="634">
        <f t="shared" si="80"/>
        <v>-5.4200163467693213E-2</v>
      </c>
      <c r="T38" s="635">
        <f t="shared" si="81"/>
        <v>-1.1121445664698828</v>
      </c>
      <c r="U38" s="629">
        <f t="shared" si="82"/>
        <v>1.877540952354011</v>
      </c>
      <c r="V38" s="636">
        <f t="shared" si="114"/>
        <v>-5.4200163467693213E-2</v>
      </c>
      <c r="W38" s="585">
        <f t="shared" si="224"/>
        <v>120.63999990759544</v>
      </c>
      <c r="X38" s="629">
        <f t="shared" si="83"/>
        <v>2.1822065815350502</v>
      </c>
      <c r="Y38" s="630">
        <f t="shared" si="223"/>
        <v>-5.4200163467693213E-2</v>
      </c>
      <c r="Z38" s="632">
        <f t="shared" si="6"/>
        <v>-0.45184627694403606</v>
      </c>
      <c r="AA38" s="629">
        <f t="shared" si="7"/>
        <v>0.85305569363167266</v>
      </c>
      <c r="AB38" s="629">
        <f t="shared" si="8"/>
        <v>-0.26101901381776682</v>
      </c>
      <c r="AC38" s="636">
        <f t="shared" si="84"/>
        <v>1</v>
      </c>
      <c r="AD38" s="637">
        <f t="shared" si="115"/>
        <v>-0.45184627694403606</v>
      </c>
      <c r="AE38" s="629">
        <f t="shared" si="85"/>
        <v>0.85305569363167266</v>
      </c>
      <c r="AF38" s="633">
        <f t="shared" si="86"/>
        <v>-0.26101901381776682</v>
      </c>
      <c r="AG38" s="602">
        <f t="shared" si="87"/>
        <v>72.986873678795348</v>
      </c>
      <c r="AH38" s="603">
        <f t="shared" si="88"/>
        <v>116.86220100255221</v>
      </c>
      <c r="AI38" s="585">
        <f t="shared" si="89"/>
        <v>-74.869464596713811</v>
      </c>
      <c r="AJ38" s="586">
        <f t="shared" si="90"/>
        <v>-152.09073984743219</v>
      </c>
      <c r="AK38" s="635">
        <f t="shared" si="211"/>
        <v>0.96490840789162602</v>
      </c>
      <c r="AL38" s="629">
        <f t="shared" si="91"/>
        <v>-2.8650284564871897E-2</v>
      </c>
      <c r="AM38" s="634">
        <f t="shared" si="92"/>
        <v>-0.26101901381776682</v>
      </c>
      <c r="AN38" s="581">
        <f t="shared" si="93"/>
        <v>-6.2638932191327674</v>
      </c>
      <c r="AO38" s="582">
        <f t="shared" si="94"/>
        <v>15.22360209490863</v>
      </c>
      <c r="AP38" s="585">
        <f t="shared" si="95"/>
        <v>-1.7007399037411848</v>
      </c>
      <c r="AQ38" s="586">
        <f t="shared" si="9"/>
        <v>1.0445729880128989</v>
      </c>
      <c r="AS38" s="52">
        <f t="shared" si="116"/>
        <v>-239.36000009240456</v>
      </c>
      <c r="AT38" s="72">
        <f t="shared" si="10"/>
        <v>0.11273733649320331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5.1079999999999997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-2.5894767129006522</v>
      </c>
      <c r="C39" s="708">
        <v>-1.4130013635888268</v>
      </c>
      <c r="D39" s="709">
        <v>-0.2234006737764323</v>
      </c>
      <c r="E39" s="710">
        <v>0.30235004464090615</v>
      </c>
      <c r="F39" s="708">
        <v>-0.92977686191594944</v>
      </c>
      <c r="G39" s="711">
        <v>0.20999866083232899</v>
      </c>
      <c r="H39" s="710">
        <v>0.314</v>
      </c>
      <c r="I39" s="708">
        <v>0.52</v>
      </c>
      <c r="J39" s="570">
        <v>5.1139999999999999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5.1139999999999999</v>
      </c>
      <c r="N39" s="632">
        <f t="shared" si="2"/>
        <v>-2.5894767129006522</v>
      </c>
      <c r="O39" s="629">
        <f t="shared" si="3"/>
        <v>-1.4130013635888268</v>
      </c>
      <c r="P39" s="633">
        <f t="shared" si="4"/>
        <v>-0.2234006737764323</v>
      </c>
      <c r="Q39" s="585">
        <f t="shared" si="113"/>
        <v>208.6200001992473</v>
      </c>
      <c r="R39" s="629">
        <f t="shared" si="79"/>
        <v>2.9499088969252338</v>
      </c>
      <c r="S39" s="634">
        <f t="shared" si="80"/>
        <v>-0.2234006737764323</v>
      </c>
      <c r="T39" s="635">
        <f t="shared" si="81"/>
        <v>-1.4593212783634963</v>
      </c>
      <c r="U39" s="629">
        <f t="shared" si="82"/>
        <v>2.5636583053664115</v>
      </c>
      <c r="V39" s="636">
        <f t="shared" si="114"/>
        <v>-0.2234006737764323</v>
      </c>
      <c r="W39" s="585">
        <f t="shared" si="224"/>
        <v>119.65000005053372</v>
      </c>
      <c r="X39" s="629">
        <f t="shared" si="83"/>
        <v>2.9499088969252338</v>
      </c>
      <c r="Y39" s="630">
        <f t="shared" si="223"/>
        <v>-0.2234006737764323</v>
      </c>
      <c r="Z39" s="632">
        <f t="shared" si="6"/>
        <v>-0.30235004464090615</v>
      </c>
      <c r="AA39" s="629">
        <f t="shared" si="7"/>
        <v>0.92977686191594944</v>
      </c>
      <c r="AB39" s="629">
        <f t="shared" si="8"/>
        <v>-0.20999866083232899</v>
      </c>
      <c r="AC39" s="636">
        <f t="shared" si="84"/>
        <v>1</v>
      </c>
      <c r="AD39" s="637">
        <f t="shared" si="115"/>
        <v>-0.30235004464090615</v>
      </c>
      <c r="AE39" s="629">
        <f t="shared" si="85"/>
        <v>0.92977686191594944</v>
      </c>
      <c r="AF39" s="633">
        <f t="shared" si="86"/>
        <v>-0.20999866083232899</v>
      </c>
      <c r="AG39" s="602">
        <f t="shared" si="87"/>
        <v>77.272768558002426</v>
      </c>
      <c r="AH39" s="603">
        <f t="shared" si="88"/>
        <v>107.59880706494543</v>
      </c>
      <c r="AI39" s="585">
        <f t="shared" si="89"/>
        <v>-77.877726233819416</v>
      </c>
      <c r="AJ39" s="586">
        <f t="shared" si="90"/>
        <v>-161.98622085734647</v>
      </c>
      <c r="AK39" s="635">
        <f t="shared" si="211"/>
        <v>0.96099800249383405</v>
      </c>
      <c r="AL39" s="629">
        <f t="shared" si="91"/>
        <v>-0.17995388756981406</v>
      </c>
      <c r="AM39" s="634">
        <f t="shared" si="92"/>
        <v>-0.20999866083232899</v>
      </c>
      <c r="AN39" s="581">
        <f t="shared" si="93"/>
        <v>-40.59422170986398</v>
      </c>
      <c r="AO39" s="582">
        <f t="shared" si="94"/>
        <v>16.054721915937037</v>
      </c>
      <c r="AP39" s="585">
        <f t="shared" si="95"/>
        <v>-10.606221056593762</v>
      </c>
      <c r="AQ39" s="586">
        <f t="shared" si="9"/>
        <v>0.77276569442277954</v>
      </c>
      <c r="AS39" s="52">
        <f t="shared" si="116"/>
        <v>-240.34999994946628</v>
      </c>
      <c r="AT39" s="72">
        <f t="shared" si="10"/>
        <v>-5.5775673914798485E-2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5.1139999999999999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-3.0925101181362429</v>
      </c>
      <c r="C40" s="708">
        <v>-1.6270483045358408</v>
      </c>
      <c r="D40" s="709">
        <v>-0.77300233137503216</v>
      </c>
      <c r="E40" s="710">
        <v>0.16718887382191552</v>
      </c>
      <c r="F40" s="708">
        <v>-0.9761296794267712</v>
      </c>
      <c r="G40" s="711">
        <v>0.13863163207705756</v>
      </c>
      <c r="H40" s="710">
        <v>0.314</v>
      </c>
      <c r="I40" s="708">
        <v>0.52</v>
      </c>
      <c r="J40" s="570">
        <v>5.12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5.12</v>
      </c>
      <c r="N40" s="632">
        <f t="shared" si="2"/>
        <v>-3.0925101181362429</v>
      </c>
      <c r="O40" s="629">
        <f t="shared" si="3"/>
        <v>-1.6270483045358408</v>
      </c>
      <c r="P40" s="633">
        <f t="shared" si="4"/>
        <v>-0.77300233137503216</v>
      </c>
      <c r="Q40" s="585">
        <f t="shared" si="113"/>
        <v>207.75000032485974</v>
      </c>
      <c r="R40" s="629">
        <f t="shared" si="79"/>
        <v>3.4944105391421871</v>
      </c>
      <c r="S40" s="634">
        <f t="shared" si="80"/>
        <v>-0.77300233137503216</v>
      </c>
      <c r="T40" s="635">
        <f t="shared" si="81"/>
        <v>-1.6823761221032556</v>
      </c>
      <c r="U40" s="629">
        <f t="shared" si="82"/>
        <v>3.0627627397245125</v>
      </c>
      <c r="V40" s="636">
        <f t="shared" si="114"/>
        <v>-0.77300233137503216</v>
      </c>
      <c r="W40" s="585">
        <f t="shared" si="224"/>
        <v>118.78000017614616</v>
      </c>
      <c r="X40" s="629">
        <f t="shared" si="83"/>
        <v>3.4944105391421871</v>
      </c>
      <c r="Y40" s="630">
        <f t="shared" si="223"/>
        <v>-0.77300233137503216</v>
      </c>
      <c r="Z40" s="632">
        <f t="shared" si="6"/>
        <v>-0.16718887382191552</v>
      </c>
      <c r="AA40" s="629">
        <f t="shared" si="7"/>
        <v>0.9761296794267712</v>
      </c>
      <c r="AB40" s="629">
        <f t="shared" si="8"/>
        <v>-0.13863163207705756</v>
      </c>
      <c r="AC40" s="636">
        <f t="shared" si="84"/>
        <v>1</v>
      </c>
      <c r="AD40" s="637">
        <f t="shared" si="115"/>
        <v>-0.16718887382191552</v>
      </c>
      <c r="AE40" s="629">
        <f t="shared" si="85"/>
        <v>0.9761296794267712</v>
      </c>
      <c r="AF40" s="633">
        <f t="shared" si="86"/>
        <v>-0.13863163207705756</v>
      </c>
      <c r="AG40" s="602">
        <f t="shared" si="87"/>
        <v>81.916811078034016</v>
      </c>
      <c r="AH40" s="603">
        <f t="shared" si="88"/>
        <v>99.624414274810462</v>
      </c>
      <c r="AI40" s="585">
        <f t="shared" si="89"/>
        <v>-82.031327569084013</v>
      </c>
      <c r="AJ40" s="586">
        <f t="shared" si="90"/>
        <v>-170.2808404171731</v>
      </c>
      <c r="AK40" s="635">
        <f t="shared" si="211"/>
        <v>0.94170826440369848</v>
      </c>
      <c r="AL40" s="629">
        <f t="shared" si="91"/>
        <v>-0.30654007134700267</v>
      </c>
      <c r="AM40" s="634">
        <f t="shared" si="92"/>
        <v>-0.13863163207705756</v>
      </c>
      <c r="AN40" s="581">
        <f t="shared" si="93"/>
        <v>-65.665311806040023</v>
      </c>
      <c r="AO40" s="582">
        <f t="shared" si="94"/>
        <v>19.659555141974423</v>
      </c>
      <c r="AP40" s="585">
        <f t="shared" si="95"/>
        <v>-18.030840742032836</v>
      </c>
      <c r="AQ40" s="586">
        <f t="shared" si="9"/>
        <v>0.65236413750366207</v>
      </c>
      <c r="AS40" s="52">
        <f t="shared" si="116"/>
        <v>-241.21999982385384</v>
      </c>
      <c r="AT40" s="72">
        <f t="shared" si="10"/>
        <v>-0.60477316493396249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-3.263679858811313</v>
      </c>
      <c r="C41" s="708">
        <v>-1.6946227048896856</v>
      </c>
      <c r="D41" s="709">
        <v>-1.5260046024298817</v>
      </c>
      <c r="E41" s="710">
        <v>-5.9154772323995297E-2</v>
      </c>
      <c r="F41" s="708">
        <v>-0.99503846647565886</v>
      </c>
      <c r="G41" s="711">
        <v>7.9994769485670095E-2</v>
      </c>
      <c r="H41" s="710">
        <v>0.314</v>
      </c>
      <c r="I41" s="708">
        <v>0.52</v>
      </c>
      <c r="J41" s="570">
        <v>5.1260000000000003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5.1260000000000003</v>
      </c>
      <c r="N41" s="632">
        <f t="shared" ref="N41:N72" si="240">IF(M41="","",B41)</f>
        <v>-3.263679858811313</v>
      </c>
      <c r="O41" s="629">
        <f t="shared" ref="O41:O72" si="241">IF(M41="","",C41)</f>
        <v>-1.6946227048896856</v>
      </c>
      <c r="P41" s="633">
        <f t="shared" ref="P41:P72" si="242">IF(M41="","",D41)</f>
        <v>-1.5260046024298817</v>
      </c>
      <c r="Q41" s="585">
        <f t="shared" si="113"/>
        <v>207.44000036961819</v>
      </c>
      <c r="R41" s="629">
        <f t="shared" si="79"/>
        <v>3.6774110910718516</v>
      </c>
      <c r="S41" s="634">
        <f t="shared" si="80"/>
        <v>-1.5260046024298817</v>
      </c>
      <c r="T41" s="635">
        <f t="shared" si="81"/>
        <v>-1.7530165374340865</v>
      </c>
      <c r="U41" s="629">
        <f t="shared" si="82"/>
        <v>3.2326901107623778</v>
      </c>
      <c r="V41" s="636">
        <f t="shared" si="114"/>
        <v>-1.5260046024298817</v>
      </c>
      <c r="W41" s="585">
        <f t="shared" si="224"/>
        <v>118.47000022090461</v>
      </c>
      <c r="X41" s="629">
        <f t="shared" si="83"/>
        <v>3.6774110910718516</v>
      </c>
      <c r="Y41" s="630">
        <f t="shared" si="223"/>
        <v>-1.5260046024298817</v>
      </c>
      <c r="Z41" s="632">
        <f t="shared" ref="Z41:Z72" si="243">IF(M41="","",-E41)</f>
        <v>5.9154772323995297E-2</v>
      </c>
      <c r="AA41" s="629">
        <f t="shared" ref="AA41:AA72" si="244">IF(M41="","",-F41)</f>
        <v>0.99503846647565886</v>
      </c>
      <c r="AB41" s="629">
        <f t="shared" ref="AB41:AB72" si="245">IF(M41="","",-G41)</f>
        <v>-7.9994769485670095E-2</v>
      </c>
      <c r="AC41" s="636">
        <f t="shared" si="84"/>
        <v>1</v>
      </c>
      <c r="AD41" s="637">
        <f t="shared" si="115"/>
        <v>5.9154772323995297E-2</v>
      </c>
      <c r="AE41" s="629">
        <f t="shared" si="85"/>
        <v>0.99503846647565886</v>
      </c>
      <c r="AF41" s="633">
        <f t="shared" si="86"/>
        <v>-7.9994769485670095E-2</v>
      </c>
      <c r="AG41" s="602">
        <f t="shared" si="87"/>
        <v>85.403668659942483</v>
      </c>
      <c r="AH41" s="603">
        <f t="shared" si="88"/>
        <v>86.60870138869582</v>
      </c>
      <c r="AI41" s="585">
        <f t="shared" si="89"/>
        <v>-85.411734914170978</v>
      </c>
      <c r="AJ41" s="586">
        <f t="shared" si="90"/>
        <v>176.59778548405765</v>
      </c>
      <c r="AK41" s="635">
        <f t="shared" si="211"/>
        <v>0.85583088307349342</v>
      </c>
      <c r="AL41" s="629">
        <f t="shared" si="91"/>
        <v>-0.5110326177775536</v>
      </c>
      <c r="AM41" s="634">
        <f t="shared" si="92"/>
        <v>-7.9994769485670095E-2</v>
      </c>
      <c r="AN41" s="581">
        <f t="shared" si="93"/>
        <v>-81.103370913367669</v>
      </c>
      <c r="AO41" s="582">
        <f t="shared" si="94"/>
        <v>31.148351265838052</v>
      </c>
      <c r="AP41" s="585">
        <f t="shared" si="95"/>
        <v>-30.842214885560516</v>
      </c>
      <c r="AQ41" s="586">
        <f t="shared" ref="AQ41:AQ72" si="246">IF(M41="","",DEGREES(ATAN(($AS$5*SIN(RADIANS(90)))/(($X41*2*PI())-($AS$5*COS(RADIANS(90)))))))</f>
        <v>0.61990286677226858</v>
      </c>
      <c r="AS41" s="52">
        <f t="shared" si="116"/>
        <v>-241.52999977909539</v>
      </c>
      <c r="AT41" s="72">
        <f t="shared" ref="AT41:AT72" si="247">IF(M41="","",Y41+(((AS41-$AS$9)*$AS$6)*-1))</f>
        <v>-1.3575601582421166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5.1260000000000003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-1.4202447639179832</v>
      </c>
      <c r="C42" s="708">
        <v>0.18697877035522423</v>
      </c>
      <c r="D42" s="709">
        <v>-0.16710000000000011</v>
      </c>
      <c r="E42" s="710">
        <v>0.25660481229257065</v>
      </c>
      <c r="F42" s="708">
        <v>-3.3782664431261961E-2</v>
      </c>
      <c r="G42" s="711">
        <v>0.96592582628906831</v>
      </c>
      <c r="H42" s="710">
        <v>0.22499999999999998</v>
      </c>
      <c r="I42" s="708">
        <v>0.33200000000000002</v>
      </c>
      <c r="J42" s="570">
        <v>5.2050000000000001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5.2050000000000001</v>
      </c>
      <c r="N42" s="632">
        <f t="shared" si="240"/>
        <v>-1.4202447639179832</v>
      </c>
      <c r="O42" s="629">
        <f t="shared" si="241"/>
        <v>0.18697877035522423</v>
      </c>
      <c r="P42" s="633">
        <f t="shared" si="242"/>
        <v>-0.16710000000000011</v>
      </c>
      <c r="Q42" s="585">
        <f t="shared" si="113"/>
        <v>172.49999999999997</v>
      </c>
      <c r="R42" s="629">
        <f t="shared" ref="R42:R47" si="385">IF(M42="","",SQRT(N42^2+O42^2))</f>
        <v>1.4324999999999997</v>
      </c>
      <c r="S42" s="634">
        <f t="shared" ref="S42:S47" si="386">IF(M42="","",P42)</f>
        <v>-0.16710000000000011</v>
      </c>
      <c r="T42" s="635">
        <f t="shared" ref="T42:T47" si="387">IF(M42="","",X42*COS(RADIANS(W42)))</f>
        <v>0.16141835143930314</v>
      </c>
      <c r="U42" s="629">
        <f t="shared" ref="U42:U47" si="388">IF(M42="","",X42*SIN(RADIANS(W42)))</f>
        <v>1.4233763963964756</v>
      </c>
      <c r="V42" s="636">
        <f t="shared" ref="V42:V47" si="389">IF(M42="","",Y42)</f>
        <v>-0.16710000000000011</v>
      </c>
      <c r="W42" s="585">
        <f t="shared" si="224"/>
        <v>83.529999851286391</v>
      </c>
      <c r="X42" s="629">
        <f t="shared" ref="X42:X47" si="390">IF(M42="","",R42)</f>
        <v>1.4324999999999997</v>
      </c>
      <c r="Y42" s="630">
        <f t="shared" si="223"/>
        <v>-0.16710000000000011</v>
      </c>
      <c r="Z42" s="632">
        <f t="shared" si="243"/>
        <v>-0.25660481229257065</v>
      </c>
      <c r="AA42" s="629">
        <f t="shared" si="244"/>
        <v>3.3782664431261961E-2</v>
      </c>
      <c r="AB42" s="629">
        <f t="shared" si="245"/>
        <v>-0.96592582628906831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-0.25660481229257065</v>
      </c>
      <c r="AE42" s="629">
        <f t="shared" ref="AE42:AE47" si="393">IF(M42="","",AA42*(1/SQRT(Z42^2+AA42^2+AB42^2)))</f>
        <v>3.3782664431261961E-2</v>
      </c>
      <c r="AF42" s="633">
        <f t="shared" ref="AF42:AF47" si="394">IF(M42="","",AB42*(1/SQRT(Z42^2+AA42^2+AB42^2)))</f>
        <v>-0.96592582628906831</v>
      </c>
      <c r="AG42" s="602">
        <f t="shared" ref="AG42:AG47" si="395">IF(M42="","",DEGREES(ATAN2(-AF42,AE42)))</f>
        <v>2.0030683550805493</v>
      </c>
      <c r="AH42" s="603">
        <f t="shared" ref="AH42:AH47" si="396">IF(M42="","",DEGREES(ACOS(AD42)))</f>
        <v>104.86869864777044</v>
      </c>
      <c r="AI42" s="585">
        <f t="shared" ref="AI42:AI47" si="397">IF(M42="","",DEGREES(-ACOS(-AF42)))</f>
        <v>-14.999999999999982</v>
      </c>
      <c r="AJ42" s="586">
        <f t="shared" ref="AJ42:AJ47" si="398">IF(M42="","",DEGREES(ATAN2(-AE42,AD42)))</f>
        <v>-97.500000000000028</v>
      </c>
      <c r="AK42" s="635">
        <f t="shared" ref="AK42:AK47" si="399">IF(M42="","",(COS(RADIANS((90-$Q$8)-W42))*AD42)+(-SIN(RADIANS((90-$Q$8)-W42))*AE42))</f>
        <v>-6.9388939039072284E-18</v>
      </c>
      <c r="AL42" s="629">
        <f t="shared" ref="AL42:AL47" si="400">IF(M42="","",(SIN(RADIANS((90-$Q$8)-W42))*AD42)+(COS(RADIANS((90-$Q$8)-W42))*AE42))</f>
        <v>0.25881904510252079</v>
      </c>
      <c r="AM42" s="634">
        <f t="shared" ref="AM42:AM47" si="401">IF(M42="","",AF42)</f>
        <v>-0.96592582628906831</v>
      </c>
      <c r="AN42" s="581">
        <f t="shared" ref="AN42:AN47" si="402">IF(M42="","",DEGREES(ATAN2(-AM42,AL42)))</f>
        <v>15.000000000000002</v>
      </c>
      <c r="AO42" s="582">
        <f t="shared" si="94"/>
        <v>0</v>
      </c>
      <c r="AP42" s="585">
        <f t="shared" ref="AP42:AP47" si="403">IF(M42="","",DEGREES(ATAN2(AK42,AL42)))</f>
        <v>90</v>
      </c>
      <c r="AQ42" s="586">
        <f t="shared" si="246"/>
        <v>1.5910231344586137</v>
      </c>
      <c r="AS42" s="52">
        <f t="shared" si="116"/>
        <v>-276.47000014871361</v>
      </c>
      <c r="AT42" s="72">
        <f t="shared" si="247"/>
        <v>2.5608333333333233E-2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5.2050000000000001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5.1050000000000004</v>
      </c>
      <c r="II42" s="734" cm="1">
        <f t="array" ref="II42">IFERROR(ROUND(VALUE(IF($IH42&lt;1,$IH42+LARGE((IF($M$9:$M$150="",0,$M$9:$M$150)-MOD(IF($M$9:$M$150="",0,$M$9:$M$150),1)),1),$IH42)),4),"")</f>
        <v>5.1050000000000004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37.500000000000028</v>
      </c>
      <c r="IM42" s="759">
        <v>1.5752633139764299E-2</v>
      </c>
      <c r="IN42" s="5">
        <f t="shared" si="226"/>
        <v>0.14000000000000001</v>
      </c>
      <c r="IO42" s="771">
        <v>70</v>
      </c>
      <c r="IP42" s="9">
        <f t="shared" si="227"/>
        <v>-1.4325043204330308</v>
      </c>
      <c r="IQ42" s="5">
        <f t="shared" si="228"/>
        <v>-0.23020069428529408</v>
      </c>
      <c r="IR42" s="5">
        <f t="shared" si="383"/>
        <v>0.314</v>
      </c>
      <c r="IS42" s="5">
        <f t="shared" si="229"/>
        <v>0.30330071252667312</v>
      </c>
      <c r="IT42" s="727">
        <f t="shared" si="230"/>
        <v>-14.999997834268262</v>
      </c>
      <c r="IU42" s="9">
        <f t="shared" si="231"/>
        <v>-1.4324999999999997</v>
      </c>
      <c r="IV42" s="5">
        <f t="shared" si="232"/>
        <v>-0.16710000000000011</v>
      </c>
      <c r="IW42" s="5">
        <f t="shared" si="384"/>
        <v>0.22499999999999998</v>
      </c>
      <c r="IX42" s="5">
        <f t="shared" si="233"/>
        <v>0.22499999999999998</v>
      </c>
      <c r="IY42" s="762">
        <f t="shared" si="234"/>
        <v>-15.000000000000002</v>
      </c>
    </row>
    <row r="43" spans="1:267" ht="15" customHeight="1" x14ac:dyDescent="0.25">
      <c r="A43" s="79"/>
      <c r="B43" s="707">
        <v>-2.1754795669188054</v>
      </c>
      <c r="C43" s="708">
        <v>-0.1712139550785913</v>
      </c>
      <c r="D43" s="709">
        <v>-2.8700163467693055E-2</v>
      </c>
      <c r="E43" s="710">
        <v>6.6069608351706083E-2</v>
      </c>
      <c r="F43" s="708">
        <v>5.1995634503217807E-3</v>
      </c>
      <c r="G43" s="711">
        <v>0.997801468926649</v>
      </c>
      <c r="H43" s="710">
        <v>0.26250000000000001</v>
      </c>
      <c r="I43" s="708">
        <v>0.40699999999999997</v>
      </c>
      <c r="J43" s="570">
        <v>5.2080000000000002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5.2080000000000002</v>
      </c>
      <c r="N43" s="632">
        <f t="shared" si="240"/>
        <v>-2.1754795669188054</v>
      </c>
      <c r="O43" s="629">
        <f t="shared" si="241"/>
        <v>-0.1712139550785913</v>
      </c>
      <c r="P43" s="633">
        <f t="shared" si="242"/>
        <v>-2.8700163467693055E-2</v>
      </c>
      <c r="Q43" s="585">
        <f t="shared" si="113"/>
        <v>184.5</v>
      </c>
      <c r="R43" s="629">
        <f t="shared" si="385"/>
        <v>2.1822065815350493</v>
      </c>
      <c r="S43" s="634">
        <f t="shared" si="386"/>
        <v>-2.8700163467693055E-2</v>
      </c>
      <c r="T43" s="635">
        <f t="shared" si="387"/>
        <v>-0.21029253798890341</v>
      </c>
      <c r="U43" s="629">
        <f t="shared" si="388"/>
        <v>2.1720503246842768</v>
      </c>
      <c r="V43" s="636">
        <f t="shared" si="389"/>
        <v>-2.8700163467693055E-2</v>
      </c>
      <c r="W43" s="585">
        <f t="shared" si="224"/>
        <v>95.529999851286419</v>
      </c>
      <c r="X43" s="629">
        <f t="shared" si="390"/>
        <v>2.1822065815350493</v>
      </c>
      <c r="Y43" s="630">
        <f t="shared" si="223"/>
        <v>-2.8700163467693055E-2</v>
      </c>
      <c r="Z43" s="632">
        <f t="shared" si="243"/>
        <v>-6.6069608351706083E-2</v>
      </c>
      <c r="AA43" s="629">
        <f t="shared" si="244"/>
        <v>-5.1995634503217807E-3</v>
      </c>
      <c r="AB43" s="629">
        <f t="shared" si="245"/>
        <v>-0.997801468926649</v>
      </c>
      <c r="AC43" s="636">
        <f t="shared" si="391"/>
        <v>1</v>
      </c>
      <c r="AD43" s="637">
        <f t="shared" si="392"/>
        <v>-6.6069608351706083E-2</v>
      </c>
      <c r="AE43" s="629">
        <f t="shared" si="393"/>
        <v>-5.1995634503217807E-3</v>
      </c>
      <c r="AF43" s="633">
        <f t="shared" si="394"/>
        <v>-0.997801468926649</v>
      </c>
      <c r="AG43" s="602">
        <f t="shared" si="395"/>
        <v>-0.29856675275854527</v>
      </c>
      <c r="AH43" s="603">
        <f t="shared" si="396"/>
        <v>93.788269216851504</v>
      </c>
      <c r="AI43" s="585">
        <f t="shared" si="397"/>
        <v>-3.7999994513700348</v>
      </c>
      <c r="AJ43" s="586">
        <f t="shared" si="398"/>
        <v>-85.50019607103539</v>
      </c>
      <c r="AK43" s="635">
        <f t="shared" si="399"/>
        <v>2.2679489671342812E-7</v>
      </c>
      <c r="AL43" s="629">
        <f t="shared" si="400"/>
        <v>6.6273890845266636E-2</v>
      </c>
      <c r="AM43" s="634">
        <f t="shared" si="401"/>
        <v>-0.997801468926649</v>
      </c>
      <c r="AN43" s="581">
        <f t="shared" si="402"/>
        <v>3.7999994513479649</v>
      </c>
      <c r="AO43" s="582">
        <f t="shared" si="94"/>
        <v>0</v>
      </c>
      <c r="AP43" s="585">
        <f t="shared" si="403"/>
        <v>89.999803928964624</v>
      </c>
      <c r="AQ43" s="586">
        <f t="shared" si="246"/>
        <v>1.0445729880128993</v>
      </c>
      <c r="AS43" s="52">
        <f t="shared" ref="AS43:AS74" si="406">IF(G43="","",IF(AND(W43&lt;(AS42+180),W43&gt;(AS42-180)),W43,IF(W43&gt;(AS42+180),W43-360,IF(W43&lt;(AS42-180),W43+360,"Error"))))</f>
        <v>-264.47000014871355</v>
      </c>
      <c r="AT43" s="72">
        <f t="shared" si="247"/>
        <v>0.15567483653230696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5.2080000000000002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5.1079999999999997</v>
      </c>
      <c r="II43" s="734" cm="1">
        <f t="array" ref="II43">IFERROR(ROUND(VALUE(IF($IH43&lt;1,$IH43+LARGE((IF($M$9:$M$150="",0,$M$9:$M$150)-MOD(IF($M$9:$M$150="",0,$M$9:$M$150),1)),1),$IH43)),4),"")</f>
        <v>5.1079999999999997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25.110000056309019</v>
      </c>
      <c r="IM43" s="759">
        <v>1.5062861535846701E-2</v>
      </c>
      <c r="IN43" s="5">
        <f t="shared" si="226"/>
        <v>0.2</v>
      </c>
      <c r="IO43" s="771">
        <v>100</v>
      </c>
      <c r="IP43" s="9">
        <f t="shared" si="227"/>
        <v>-2.1822065815350502</v>
      </c>
      <c r="IQ43" s="5">
        <f t="shared" si="228"/>
        <v>-5.4200163467693213E-2</v>
      </c>
      <c r="IR43" s="5">
        <f t="shared" si="383"/>
        <v>0.314</v>
      </c>
      <c r="IS43" s="5">
        <f t="shared" si="229"/>
        <v>0.30298124007797056</v>
      </c>
      <c r="IT43" s="727">
        <f t="shared" si="230"/>
        <v>6.2638932191327674</v>
      </c>
      <c r="IU43" s="9">
        <f t="shared" si="231"/>
        <v>-2.1822065815350493</v>
      </c>
      <c r="IV43" s="5">
        <f t="shared" si="232"/>
        <v>-2.8700163467693055E-2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-3.7999994513479649</v>
      </c>
    </row>
    <row r="44" spans="1:267" ht="15" customHeight="1" x14ac:dyDescent="0.25">
      <c r="A44" s="79"/>
      <c r="B44" s="707">
        <v>-2.5396587534571498</v>
      </c>
      <c r="C44" s="708">
        <v>1.2502176446939148</v>
      </c>
      <c r="D44" s="709">
        <v>-0.16470049241312285</v>
      </c>
      <c r="E44" s="710">
        <v>-0.5664378346281862</v>
      </c>
      <c r="F44" s="708">
        <v>-0.79317512845876292</v>
      </c>
      <c r="G44" s="711">
        <v>0.22365463352266302</v>
      </c>
      <c r="H44" s="710">
        <v>0.314</v>
      </c>
      <c r="I44" s="708">
        <v>0.52</v>
      </c>
      <c r="J44" s="570">
        <v>6.1130000000000004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6.1130000000000004</v>
      </c>
      <c r="N44" s="632">
        <f t="shared" si="240"/>
        <v>-2.5396587534571498</v>
      </c>
      <c r="O44" s="629">
        <f t="shared" si="241"/>
        <v>1.2502176446939148</v>
      </c>
      <c r="P44" s="633">
        <f t="shared" si="242"/>
        <v>-0.16470049241312285</v>
      </c>
      <c r="Q44" s="585">
        <f t="shared" si="113"/>
        <v>153.79000020170767</v>
      </c>
      <c r="R44" s="629">
        <f t="shared" si="385"/>
        <v>2.83070852316439</v>
      </c>
      <c r="S44" s="634">
        <f t="shared" si="386"/>
        <v>-0.16470049241312285</v>
      </c>
      <c r="T44" s="635">
        <f t="shared" si="387"/>
        <v>1.2043629309020756</v>
      </c>
      <c r="U44" s="629">
        <f t="shared" si="388"/>
        <v>2.5617222085512092</v>
      </c>
      <c r="V44" s="636">
        <f t="shared" si="389"/>
        <v>-0.16470049241312285</v>
      </c>
      <c r="W44" s="585">
        <f t="shared" si="224"/>
        <v>64.820000052994089</v>
      </c>
      <c r="X44" s="629">
        <f t="shared" si="390"/>
        <v>2.83070852316439</v>
      </c>
      <c r="Y44" s="630">
        <f t="shared" si="223"/>
        <v>-0.16470049241312285</v>
      </c>
      <c r="Z44" s="632">
        <f t="shared" si="243"/>
        <v>0.5664378346281862</v>
      </c>
      <c r="AA44" s="629">
        <f t="shared" si="244"/>
        <v>0.79317512845876292</v>
      </c>
      <c r="AB44" s="629">
        <f t="shared" si="245"/>
        <v>-0.22365463352266302</v>
      </c>
      <c r="AC44" s="636">
        <f t="shared" si="391"/>
        <v>1</v>
      </c>
      <c r="AD44" s="637">
        <f t="shared" si="392"/>
        <v>0.5664378346281862</v>
      </c>
      <c r="AE44" s="629">
        <f t="shared" si="393"/>
        <v>0.79317512845876292</v>
      </c>
      <c r="AF44" s="633">
        <f t="shared" si="394"/>
        <v>-0.22365463352266302</v>
      </c>
      <c r="AG44" s="602">
        <f t="shared" si="395"/>
        <v>74.252936766440016</v>
      </c>
      <c r="AH44" s="603">
        <f t="shared" si="396"/>
        <v>55.49780320183536</v>
      </c>
      <c r="AI44" s="585">
        <f t="shared" si="397"/>
        <v>-77.076221613547318</v>
      </c>
      <c r="AJ44" s="586">
        <f t="shared" si="398"/>
        <v>144.46786289411452</v>
      </c>
      <c r="AK44" s="635">
        <f t="shared" si="399"/>
        <v>0.96179621151727424</v>
      </c>
      <c r="AL44" s="629">
        <f t="shared" si="400"/>
        <v>-0.15788176720211322</v>
      </c>
      <c r="AM44" s="634">
        <f t="shared" si="401"/>
        <v>-0.22365463352266302</v>
      </c>
      <c r="AN44" s="581">
        <f t="shared" si="402"/>
        <v>-35.218945126547808</v>
      </c>
      <c r="AO44" s="582">
        <f t="shared" si="94"/>
        <v>15.888513770841282</v>
      </c>
      <c r="AP44" s="585">
        <f t="shared" si="403"/>
        <v>-9.3221373075931595</v>
      </c>
      <c r="AQ44" s="586">
        <f t="shared" si="246"/>
        <v>0.80530245088606067</v>
      </c>
      <c r="AS44" s="52">
        <f t="shared" si="406"/>
        <v>-295.17999994700591</v>
      </c>
      <c r="AT44" s="72">
        <f t="shared" si="247"/>
        <v>4.1000896335691261E-2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6.1130000000000004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-3.0496778543198584</v>
      </c>
      <c r="C45" s="708">
        <v>1.5632865466650847</v>
      </c>
      <c r="D45" s="709">
        <v>-0.6616019953916179</v>
      </c>
      <c r="E45" s="710">
        <v>-0.68427345216918778</v>
      </c>
      <c r="F45" s="708">
        <v>-0.71402254121389452</v>
      </c>
      <c r="G45" s="711">
        <v>0.14812715245664662</v>
      </c>
      <c r="H45" s="710">
        <v>0.314</v>
      </c>
      <c r="I45" s="708">
        <v>0.52</v>
      </c>
      <c r="J45" s="570">
        <v>6.1189999999999998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6.1189999999999998</v>
      </c>
      <c r="N45" s="632">
        <f t="shared" si="240"/>
        <v>-3.0496778543198584</v>
      </c>
      <c r="O45" s="629">
        <f t="shared" si="241"/>
        <v>1.5632865466650847</v>
      </c>
      <c r="P45" s="633">
        <f t="shared" si="242"/>
        <v>-0.6616019953916179</v>
      </c>
      <c r="Q45" s="585">
        <f t="shared" si="113"/>
        <v>152.8600003089777</v>
      </c>
      <c r="R45" s="629">
        <f t="shared" si="385"/>
        <v>3.4270103358631738</v>
      </c>
      <c r="S45" s="634">
        <f t="shared" si="386"/>
        <v>-0.6616019953916179</v>
      </c>
      <c r="T45" s="635">
        <f t="shared" si="387"/>
        <v>1.50821318444</v>
      </c>
      <c r="U45" s="629">
        <f t="shared" si="388"/>
        <v>3.0772866022511418</v>
      </c>
      <c r="V45" s="636">
        <f t="shared" si="389"/>
        <v>-0.6616019953916179</v>
      </c>
      <c r="W45" s="585">
        <f t="shared" si="224"/>
        <v>63.890000160264123</v>
      </c>
      <c r="X45" s="629">
        <f t="shared" si="390"/>
        <v>3.4270103358631738</v>
      </c>
      <c r="Y45" s="630">
        <f t="shared" si="223"/>
        <v>-0.6616019953916179</v>
      </c>
      <c r="Z45" s="632">
        <f t="shared" si="243"/>
        <v>0.68427345216918778</v>
      </c>
      <c r="AA45" s="629">
        <f t="shared" si="244"/>
        <v>0.71402254121389452</v>
      </c>
      <c r="AB45" s="629">
        <f t="shared" si="245"/>
        <v>-0.14812715245664662</v>
      </c>
      <c r="AC45" s="636">
        <f t="shared" si="391"/>
        <v>1</v>
      </c>
      <c r="AD45" s="637">
        <f t="shared" si="392"/>
        <v>0.68427345216918778</v>
      </c>
      <c r="AE45" s="629">
        <f t="shared" si="393"/>
        <v>0.71402254121389452</v>
      </c>
      <c r="AF45" s="633">
        <f t="shared" si="394"/>
        <v>-0.14812715245664662</v>
      </c>
      <c r="AG45" s="602">
        <f t="shared" si="395"/>
        <v>78.279981230672718</v>
      </c>
      <c r="AH45" s="603">
        <f t="shared" si="396"/>
        <v>46.821504962739816</v>
      </c>
      <c r="AI45" s="585">
        <f t="shared" si="397"/>
        <v>-81.481592131047449</v>
      </c>
      <c r="AJ45" s="586">
        <f t="shared" si="398"/>
        <v>136.21879784553451</v>
      </c>
      <c r="AK45" s="635">
        <f t="shared" si="399"/>
        <v>0.94754724824121972</v>
      </c>
      <c r="AL45" s="629">
        <f t="shared" si="400"/>
        <v>-0.28321821808559161</v>
      </c>
      <c r="AM45" s="634">
        <f t="shared" si="401"/>
        <v>-0.14812715245664662</v>
      </c>
      <c r="AN45" s="581">
        <f t="shared" si="402"/>
        <v>-62.389793539487414</v>
      </c>
      <c r="AO45" s="582">
        <f t="shared" si="94"/>
        <v>18.639687224550169</v>
      </c>
      <c r="AP45" s="585">
        <f t="shared" si="403"/>
        <v>-16.641202463443193</v>
      </c>
      <c r="AQ45" s="586">
        <f t="shared" si="246"/>
        <v>0.66519326795369915</v>
      </c>
      <c r="AS45" s="52">
        <f t="shared" si="406"/>
        <v>-296.10999983973591</v>
      </c>
      <c r="AT45" s="72">
        <f t="shared" si="247"/>
        <v>-0.45525477338396347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6.1189999999999998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-3.2493972399885092</v>
      </c>
      <c r="C46" s="708">
        <v>1.693692138304784</v>
      </c>
      <c r="D46" s="709">
        <v>-1.3964042115551025</v>
      </c>
      <c r="E46" s="710">
        <v>-0.82724922314912541</v>
      </c>
      <c r="F46" s="708">
        <v>-0.5529394316605879</v>
      </c>
      <c r="G46" s="711">
        <v>9.9582667739094063E-2</v>
      </c>
      <c r="H46" s="710">
        <v>0.314</v>
      </c>
      <c r="I46" s="708">
        <v>0.52</v>
      </c>
      <c r="J46" s="570">
        <v>6.125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6.125</v>
      </c>
      <c r="N46" s="632">
        <f t="shared" si="240"/>
        <v>-3.2493972399885092</v>
      </c>
      <c r="O46" s="629">
        <f t="shared" si="241"/>
        <v>1.693692138304784</v>
      </c>
      <c r="P46" s="633">
        <f t="shared" si="242"/>
        <v>-1.3964042115551025</v>
      </c>
      <c r="Q46" s="585">
        <f t="shared" si="113"/>
        <v>152.47000036528675</v>
      </c>
      <c r="R46" s="629">
        <f t="shared" si="385"/>
        <v>3.6643110515621311</v>
      </c>
      <c r="S46" s="634">
        <f t="shared" si="386"/>
        <v>-1.3964042115551025</v>
      </c>
      <c r="T46" s="635">
        <f t="shared" si="387"/>
        <v>1.6350075653655842</v>
      </c>
      <c r="U46" s="629">
        <f t="shared" si="388"/>
        <v>3.2793178778211907</v>
      </c>
      <c r="V46" s="636">
        <f t="shared" si="389"/>
        <v>-1.3964042115551025</v>
      </c>
      <c r="W46" s="585">
        <f t="shared" si="224"/>
        <v>63.50000021657317</v>
      </c>
      <c r="X46" s="629">
        <f t="shared" si="390"/>
        <v>3.6643110515621311</v>
      </c>
      <c r="Y46" s="630">
        <f t="shared" si="223"/>
        <v>-1.3964042115551025</v>
      </c>
      <c r="Z46" s="632">
        <f t="shared" si="243"/>
        <v>0.82724922314912541</v>
      </c>
      <c r="AA46" s="629">
        <f t="shared" si="244"/>
        <v>0.5529394316605879</v>
      </c>
      <c r="AB46" s="629">
        <f t="shared" si="245"/>
        <v>-9.9582667739094063E-2</v>
      </c>
      <c r="AC46" s="636">
        <f t="shared" si="391"/>
        <v>1</v>
      </c>
      <c r="AD46" s="637">
        <f t="shared" si="392"/>
        <v>0.82724922314912541</v>
      </c>
      <c r="AE46" s="629">
        <f t="shared" si="393"/>
        <v>0.5529394316605879</v>
      </c>
      <c r="AF46" s="633">
        <f t="shared" si="394"/>
        <v>-9.9582667739094063E-2</v>
      </c>
      <c r="AG46" s="602">
        <f t="shared" si="395"/>
        <v>79.790649628969362</v>
      </c>
      <c r="AH46" s="603">
        <f t="shared" si="396"/>
        <v>34.182805036985457</v>
      </c>
      <c r="AI46" s="585">
        <f t="shared" si="397"/>
        <v>-84.284860855236289</v>
      </c>
      <c r="AJ46" s="586">
        <f t="shared" si="398"/>
        <v>123.75905714232445</v>
      </c>
      <c r="AK46" s="635">
        <f t="shared" si="399"/>
        <v>0.87269484598527169</v>
      </c>
      <c r="AL46" s="629">
        <f t="shared" si="400"/>
        <v>-0.47800313605321509</v>
      </c>
      <c r="AM46" s="634">
        <f t="shared" si="401"/>
        <v>-9.9582667739094063E-2</v>
      </c>
      <c r="AN46" s="581">
        <f t="shared" si="402"/>
        <v>-78.231862586155898</v>
      </c>
      <c r="AO46" s="582">
        <f t="shared" si="94"/>
        <v>29.226675649718477</v>
      </c>
      <c r="AP46" s="585">
        <f t="shared" si="403"/>
        <v>-28.7109432229623</v>
      </c>
      <c r="AQ46" s="586">
        <f t="shared" si="246"/>
        <v>0.62211886721857013</v>
      </c>
      <c r="AS46" s="52">
        <f t="shared" si="406"/>
        <v>-296.4999997834268</v>
      </c>
      <c r="AT46" s="72">
        <f t="shared" si="247"/>
        <v>-1.1897861562532184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6.125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-1.9305327578289144</v>
      </c>
      <c r="C47" s="708">
        <v>2.0702429231733861</v>
      </c>
      <c r="D47" s="709">
        <v>-0.13689999999999997</v>
      </c>
      <c r="E47" s="710">
        <v>-0.1822561342311364</v>
      </c>
      <c r="F47" s="708">
        <v>0.19544577555952908</v>
      </c>
      <c r="G47" s="711">
        <v>0.96363045320862306</v>
      </c>
      <c r="H47" s="710">
        <v>0.26250000000000001</v>
      </c>
      <c r="I47" s="708">
        <v>0.40699999999999997</v>
      </c>
      <c r="J47" s="570">
        <v>6.2130000000000001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6.2130000000000001</v>
      </c>
      <c r="N47" s="632">
        <f t="shared" si="240"/>
        <v>-1.9305327578289144</v>
      </c>
      <c r="O47" s="629">
        <f t="shared" si="241"/>
        <v>2.0702429231733861</v>
      </c>
      <c r="P47" s="633">
        <f t="shared" si="242"/>
        <v>-0.13689999999999997</v>
      </c>
      <c r="Q47" s="585">
        <f t="shared" si="113"/>
        <v>133</v>
      </c>
      <c r="R47" s="629">
        <f t="shared" si="385"/>
        <v>2.8306999999999998</v>
      </c>
      <c r="S47" s="634">
        <f t="shared" si="386"/>
        <v>-0.13689999999999997</v>
      </c>
      <c r="T47" s="635">
        <f t="shared" si="387"/>
        <v>2.0352053102135086</v>
      </c>
      <c r="U47" s="629">
        <f t="shared" si="388"/>
        <v>1.9674353446247568</v>
      </c>
      <c r="V47" s="636">
        <f t="shared" si="389"/>
        <v>-0.13689999999999997</v>
      </c>
      <c r="W47" s="585">
        <f t="shared" si="224"/>
        <v>44.029999851286419</v>
      </c>
      <c r="X47" s="629">
        <f t="shared" si="390"/>
        <v>2.8306999999999998</v>
      </c>
      <c r="Y47" s="630">
        <f t="shared" si="223"/>
        <v>-0.13689999999999997</v>
      </c>
      <c r="Z47" s="632">
        <f t="shared" si="243"/>
        <v>0.1822561342311364</v>
      </c>
      <c r="AA47" s="629">
        <f t="shared" si="244"/>
        <v>-0.19544577555952908</v>
      </c>
      <c r="AB47" s="629">
        <f t="shared" si="245"/>
        <v>-0.96363045320862306</v>
      </c>
      <c r="AC47" s="636">
        <f t="shared" si="391"/>
        <v>1</v>
      </c>
      <c r="AD47" s="637">
        <f t="shared" si="392"/>
        <v>0.1822561342311364</v>
      </c>
      <c r="AE47" s="629">
        <f t="shared" si="393"/>
        <v>-0.19544577555952908</v>
      </c>
      <c r="AF47" s="633">
        <f t="shared" si="394"/>
        <v>-0.96363045320862306</v>
      </c>
      <c r="AG47" s="602">
        <f t="shared" si="395"/>
        <v>-11.465335922786609</v>
      </c>
      <c r="AH47" s="603">
        <f t="shared" si="396"/>
        <v>79.498799094670503</v>
      </c>
      <c r="AI47" s="585">
        <f t="shared" si="397"/>
        <v>-15.499999999999977</v>
      </c>
      <c r="AJ47" s="586">
        <f t="shared" si="398"/>
        <v>43.000000000000007</v>
      </c>
      <c r="AK47" s="635">
        <f t="shared" si="399"/>
        <v>5.5511151231257827E-17</v>
      </c>
      <c r="AL47" s="629">
        <f t="shared" si="400"/>
        <v>-0.26723837607825679</v>
      </c>
      <c r="AM47" s="634">
        <f t="shared" si="401"/>
        <v>-0.96363045320862306</v>
      </c>
      <c r="AN47" s="581">
        <f t="shared" si="402"/>
        <v>-15.499999999999996</v>
      </c>
      <c r="AO47" s="582">
        <f t="shared" si="94"/>
        <v>0</v>
      </c>
      <c r="AP47" s="585">
        <f t="shared" si="403"/>
        <v>-89.999999999999986</v>
      </c>
      <c r="AQ47" s="586">
        <f t="shared" si="246"/>
        <v>0.80530487531155981</v>
      </c>
      <c r="AS47" s="52">
        <f t="shared" si="406"/>
        <v>-315.97000014871355</v>
      </c>
      <c r="AT47" s="72">
        <f t="shared" si="247"/>
        <v>8.3238888888888918E-2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6.2130000000000001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0.113</v>
      </c>
      <c r="II47" s="734" cm="1">
        <f t="array" ref="II47">IFERROR(ROUND(VALUE(IF($IH47&lt;1,$IH47+LARGE((IF($M$9:$M$150="",0,$M$9:$M$150)-MOD(IF($M$9:$M$150="",0,$M$9:$M$150),1)),1),$IH47)),4),"")</f>
        <v>6.1130000000000004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20.79000020170767</v>
      </c>
      <c r="IM47" s="759">
        <v>1.41078096562051E-2</v>
      </c>
      <c r="IN47" s="5">
        <f t="shared" si="226"/>
        <v>0.24</v>
      </c>
      <c r="IO47" s="771">
        <v>120</v>
      </c>
      <c r="IP47" s="9">
        <f t="shared" si="227"/>
        <v>-2.83070852316439</v>
      </c>
      <c r="IQ47" s="5">
        <f t="shared" si="228"/>
        <v>-0.16470049241312285</v>
      </c>
      <c r="IR47" s="5">
        <f t="shared" si="383"/>
        <v>0.314</v>
      </c>
      <c r="IS47" s="5">
        <f t="shared" si="229"/>
        <v>0.30200401041642411</v>
      </c>
      <c r="IT47" s="727">
        <f t="shared" si="230"/>
        <v>35.218945126547808</v>
      </c>
      <c r="IU47" s="9">
        <f t="shared" si="231"/>
        <v>-2.8306999999999998</v>
      </c>
      <c r="IV47" s="5">
        <f t="shared" si="232"/>
        <v>-0.13689999999999997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15.499999999999996</v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8.8521302156295611E-2</v>
      </c>
      <c r="G154" s="170">
        <f t="shared" si="929"/>
        <v>-0.33036604714967333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0.96559414075354888</v>
      </c>
      <c r="F156" s="170">
        <f t="shared" si="929"/>
        <v>1.4732087394821057E-2</v>
      </c>
      <c r="G156" s="170">
        <f t="shared" si="929"/>
        <v>-0.25963613181413547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0.95997932590606116</v>
      </c>
      <c r="F157" s="170">
        <f t="shared" si="929"/>
        <v>-0.15176290568465062</v>
      </c>
      <c r="G157" s="170">
        <f t="shared" si="929"/>
        <v>-0.23538843278949861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0.94348503188001442</v>
      </c>
      <c r="F158" s="170">
        <f t="shared" si="929"/>
        <v>-0.29264802537863099</v>
      </c>
      <c r="G158" s="170">
        <f t="shared" si="929"/>
        <v>-0.1555414023993501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0.86817284090769886</v>
      </c>
      <c r="F159" s="170">
        <f t="shared" si="929"/>
        <v>-0.48263110375385698</v>
      </c>
      <c r="G159" s="170">
        <f t="shared" si="929"/>
        <v>-0.11551249282908445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0.8317652532255333</v>
      </c>
      <c r="F160" s="170">
        <f t="shared" si="929"/>
        <v>-0.55077745248487975</v>
      </c>
      <c r="G160" s="170">
        <f t="shared" si="929"/>
        <v>-6.9359652254973148E-2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7.9508970961282288E-2</v>
      </c>
      <c r="F161" s="170">
        <f t="shared" si="929"/>
        <v>0.15437620653366163</v>
      </c>
      <c r="G161" s="170">
        <f t="shared" si="929"/>
        <v>-0.98480775301220813</v>
      </c>
      <c r="H161" s="139"/>
      <c r="I161" s="86"/>
      <c r="J161" s="79">
        <f t="shared" si="930"/>
        <v>1.2070000000000001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-7.6605348163234513E-2</v>
      </c>
      <c r="F162" s="170">
        <f t="shared" si="929"/>
        <v>-0.18960549556172931</v>
      </c>
      <c r="G162" s="170">
        <f t="shared" si="929"/>
        <v>-0.97886739484241725</v>
      </c>
      <c r="H162" s="139"/>
      <c r="I162" s="86"/>
      <c r="J162" s="79">
        <f t="shared" si="930"/>
        <v>1.212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0.4492738110781147</v>
      </c>
      <c r="F163" s="170">
        <f t="shared" si="929"/>
        <v>-0.85918075461195087</v>
      </c>
      <c r="G163" s="170">
        <f t="shared" si="929"/>
        <v>-0.24487031993237804</v>
      </c>
      <c r="H163" s="139"/>
      <c r="I163" s="86"/>
      <c r="J163" s="79">
        <f t="shared" si="930"/>
        <v>2.1110000000000002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0.32672213074033307</v>
      </c>
      <c r="F164" s="170">
        <f t="shared" si="929"/>
        <v>-0.93141054317061944</v>
      </c>
      <c r="G164" s="170">
        <f t="shared" si="929"/>
        <v>-0.16039653785262409</v>
      </c>
      <c r="H164" s="139"/>
      <c r="I164" s="86"/>
      <c r="J164" s="79">
        <f t="shared" si="930"/>
        <v>2.117</v>
      </c>
    </row>
    <row r="165" spans="5:16" x14ac:dyDescent="0.25">
      <c r="E165" s="170">
        <f t="shared" si="929"/>
        <v>0.14016281481780624</v>
      </c>
      <c r="F165" s="170">
        <f t="shared" si="929"/>
        <v>-0.98196234947845895</v>
      </c>
      <c r="G165" s="170">
        <f t="shared" si="929"/>
        <v>-0.12690283507114519</v>
      </c>
      <c r="H165" s="139"/>
      <c r="I165" s="86"/>
      <c r="J165" s="79">
        <f t="shared" si="930"/>
        <v>2.1230000000000002</v>
      </c>
    </row>
    <row r="166" spans="5:16" x14ac:dyDescent="0.25">
      <c r="E166" s="170">
        <f t="shared" si="929"/>
        <v>2.5909707201365876E-2</v>
      </c>
      <c r="F166" s="170">
        <f t="shared" si="929"/>
        <v>-0.9972551958810788</v>
      </c>
      <c r="G166" s="170">
        <f t="shared" si="929"/>
        <v>-6.9359652254972995E-2</v>
      </c>
      <c r="H166" s="139"/>
      <c r="I166" s="86"/>
      <c r="J166" s="79">
        <f t="shared" si="930"/>
        <v>2.129</v>
      </c>
    </row>
    <row r="167" spans="5:16" x14ac:dyDescent="0.25">
      <c r="E167" s="170">
        <f t="shared" si="929"/>
        <v>-0.13976563758685409</v>
      </c>
      <c r="F167" s="170">
        <f t="shared" si="929"/>
        <v>-2.8435528479551865E-2</v>
      </c>
      <c r="G167" s="170">
        <f t="shared" si="929"/>
        <v>-0.9897762309077891</v>
      </c>
      <c r="H167" s="139"/>
      <c r="I167" s="86"/>
      <c r="J167" s="79">
        <f t="shared" si="930"/>
        <v>2.2109999999999999</v>
      </c>
    </row>
    <row r="168" spans="5:16" x14ac:dyDescent="0.25">
      <c r="E168" s="170">
        <f t="shared" si="929"/>
        <v>-0.42495023251139558</v>
      </c>
      <c r="F168" s="170">
        <f t="shared" si="929"/>
        <v>-0.87000995181435825</v>
      </c>
      <c r="G168" s="170">
        <f t="shared" si="929"/>
        <v>-0.24999996726497561</v>
      </c>
      <c r="H168" s="139"/>
      <c r="I168" s="86"/>
      <c r="J168" s="79">
        <f t="shared" si="930"/>
        <v>3.1030000000000002</v>
      </c>
    </row>
    <row r="169" spans="5:16" x14ac:dyDescent="0.25">
      <c r="E169" s="170">
        <f t="shared" si="929"/>
        <v>-0.42495023251139574</v>
      </c>
      <c r="F169" s="170">
        <f t="shared" si="929"/>
        <v>-0.87000995181435825</v>
      </c>
      <c r="G169" s="170">
        <f t="shared" si="929"/>
        <v>-0.24999996726497567</v>
      </c>
      <c r="H169" s="139"/>
      <c r="I169" s="86"/>
      <c r="J169" s="79">
        <f t="shared" si="930"/>
        <v>3.1059999999999999</v>
      </c>
    </row>
    <row r="170" spans="5:16" x14ac:dyDescent="0.25">
      <c r="E170" s="170">
        <f t="shared" si="929"/>
        <v>-0.56538891528868818</v>
      </c>
      <c r="F170" s="170">
        <f t="shared" si="929"/>
        <v>-0.78530959840599435</v>
      </c>
      <c r="G170" s="170">
        <f t="shared" si="929"/>
        <v>-0.2522383973944024</v>
      </c>
      <c r="H170" s="139"/>
      <c r="I170" s="86"/>
      <c r="J170" s="79">
        <f t="shared" si="930"/>
        <v>3.11</v>
      </c>
    </row>
    <row r="171" spans="5:16" x14ac:dyDescent="0.25">
      <c r="E171" s="170">
        <f t="shared" si="929"/>
        <v>-0.68978836977836078</v>
      </c>
      <c r="F171" s="170">
        <f t="shared" si="929"/>
        <v>-0.70177189121362726</v>
      </c>
      <c r="G171" s="170">
        <f t="shared" si="929"/>
        <v>-0.17806801403104508</v>
      </c>
      <c r="H171" s="139"/>
      <c r="I171" s="86"/>
      <c r="J171" s="79">
        <f t="shared" si="930"/>
        <v>3.1160000000000001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-0.80842166800241833</v>
      </c>
      <c r="F172" s="170">
        <f t="shared" si="929"/>
        <v>-0.5729882356934014</v>
      </c>
      <c r="G172" s="170">
        <f t="shared" si="929"/>
        <v>-0.13468069075094252</v>
      </c>
      <c r="H172" s="139"/>
      <c r="I172" s="86"/>
      <c r="J172" s="79">
        <f t="shared" si="930"/>
        <v>3.1219999999999999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-0.89286989229634917</v>
      </c>
      <c r="F173" s="170">
        <f t="shared" si="929"/>
        <v>-0.44494111303606798</v>
      </c>
      <c r="G173" s="170">
        <f t="shared" si="929"/>
        <v>-6.9359652254973217E-2</v>
      </c>
      <c r="H173" s="139"/>
      <c r="I173" s="86"/>
      <c r="J173" s="79">
        <f t="shared" si="930"/>
        <v>3.1280000000000001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0.12150818158303218</v>
      </c>
      <c r="F174" s="170">
        <f t="shared" si="933"/>
        <v>-0.22852365285931683</v>
      </c>
      <c r="G174" s="170">
        <f t="shared" si="933"/>
        <v>-0.96592582628906831</v>
      </c>
      <c r="H174" s="139"/>
      <c r="I174" s="86"/>
      <c r="J174" s="79">
        <f t="shared" si="930"/>
        <v>3.206</v>
      </c>
    </row>
    <row r="175" spans="5:16" x14ac:dyDescent="0.25">
      <c r="E175" s="170">
        <f t="shared" si="933"/>
        <v>-4.7704323101563355E-2</v>
      </c>
      <c r="F175" s="170">
        <f t="shared" si="933"/>
        <v>6.4468311345015961E-2</v>
      </c>
      <c r="G175" s="170">
        <f t="shared" si="933"/>
        <v>-0.99677887938586651</v>
      </c>
      <c r="H175" s="139"/>
      <c r="I175" s="86"/>
      <c r="J175" s="79">
        <f t="shared" si="930"/>
        <v>3.21</v>
      </c>
    </row>
    <row r="176" spans="5:16" x14ac:dyDescent="0.25">
      <c r="E176" s="170">
        <f t="shared" si="933"/>
        <v>-0.96384658476269958</v>
      </c>
      <c r="F176" s="170">
        <f t="shared" si="933"/>
        <v>6.8444282669968229E-2</v>
      </c>
      <c r="G176" s="170">
        <f t="shared" si="933"/>
        <v>-0.25751726390879848</v>
      </c>
      <c r="H176" s="139"/>
      <c r="I176" s="86"/>
      <c r="J176" s="79">
        <f t="shared" si="930"/>
        <v>4.109</v>
      </c>
    </row>
    <row r="177" spans="5:10" x14ac:dyDescent="0.25">
      <c r="E177" s="170">
        <f t="shared" si="933"/>
        <v>-0.95439913049683767</v>
      </c>
      <c r="F177" s="170">
        <f t="shared" si="933"/>
        <v>0.22611765169256115</v>
      </c>
      <c r="G177" s="170">
        <f t="shared" si="933"/>
        <v>-0.19491820669173526</v>
      </c>
      <c r="H177" s="139"/>
      <c r="I177" s="86"/>
      <c r="J177" s="79">
        <f t="shared" si="930"/>
        <v>4.1150000000000002</v>
      </c>
    </row>
    <row r="178" spans="5:10" x14ac:dyDescent="0.25">
      <c r="E178" s="170">
        <f t="shared" si="933"/>
        <v>-0.91523082008592249</v>
      </c>
      <c r="F178" s="170">
        <f t="shared" si="933"/>
        <v>0.37848232105669177</v>
      </c>
      <c r="G178" s="170">
        <f t="shared" si="933"/>
        <v>-0.13821605772264378</v>
      </c>
      <c r="H178" s="139"/>
      <c r="I178" s="86"/>
      <c r="J178" s="79">
        <f t="shared" si="930"/>
        <v>4.1210000000000004</v>
      </c>
    </row>
    <row r="179" spans="5:10" x14ac:dyDescent="0.25">
      <c r="E179" s="170">
        <f t="shared" si="933"/>
        <v>-0.83176500339841664</v>
      </c>
      <c r="F179" s="170">
        <f t="shared" si="933"/>
        <v>0.55077782976505252</v>
      </c>
      <c r="G179" s="170">
        <f t="shared" si="933"/>
        <v>-6.9359652254973203E-2</v>
      </c>
      <c r="H179" s="139"/>
      <c r="I179" s="86"/>
      <c r="J179" s="79">
        <f t="shared" si="930"/>
        <v>4.1269999999999998</v>
      </c>
    </row>
    <row r="180" spans="5:10" x14ac:dyDescent="0.25">
      <c r="E180" s="170">
        <f t="shared" si="933"/>
        <v>6.6382055960824129E-3</v>
      </c>
      <c r="F180" s="170">
        <f t="shared" si="933"/>
        <v>1.4235660982137854E-2</v>
      </c>
      <c r="G180" s="170">
        <f t="shared" si="933"/>
        <v>-0.99987663248166059</v>
      </c>
      <c r="H180" s="139"/>
      <c r="I180" s="86"/>
      <c r="J180" s="79">
        <f t="shared" si="930"/>
        <v>4.2089999999999996</v>
      </c>
    </row>
    <row r="181" spans="5:10" x14ac:dyDescent="0.25">
      <c r="E181" s="170">
        <f t="shared" si="933"/>
        <v>-0.54368569061935235</v>
      </c>
      <c r="F181" s="170">
        <f t="shared" si="933"/>
        <v>0.79034855119405834</v>
      </c>
      <c r="G181" s="170">
        <f t="shared" si="933"/>
        <v>-0.28240934375691407</v>
      </c>
      <c r="H181" s="139"/>
      <c r="I181" s="86"/>
      <c r="J181" s="79">
        <f t="shared" si="930"/>
        <v>5.1020000000000003</v>
      </c>
    </row>
    <row r="182" spans="5:10" x14ac:dyDescent="0.25">
      <c r="E182" s="170">
        <f t="shared" si="933"/>
        <v>-0.54097560356081209</v>
      </c>
      <c r="F182" s="170">
        <f t="shared" si="933"/>
        <v>0.80302267260615146</v>
      </c>
      <c r="G182" s="170">
        <f t="shared" si="933"/>
        <v>-0.2499999672649757</v>
      </c>
      <c r="H182" s="139"/>
      <c r="I182" s="86"/>
      <c r="J182" s="79">
        <f t="shared" si="930"/>
        <v>5.1050000000000004</v>
      </c>
    </row>
    <row r="183" spans="5:10" x14ac:dyDescent="0.25">
      <c r="E183" s="170">
        <f t="shared" si="933"/>
        <v>-0.45184627694403606</v>
      </c>
      <c r="F183" s="170">
        <f t="shared" si="933"/>
        <v>0.85305569363167266</v>
      </c>
      <c r="G183" s="170">
        <f t="shared" si="933"/>
        <v>-0.26101901381776682</v>
      </c>
      <c r="H183" s="139"/>
      <c r="I183" s="86"/>
      <c r="J183" s="79">
        <f t="shared" si="930"/>
        <v>5.1079999999999997</v>
      </c>
    </row>
    <row r="184" spans="5:10" x14ac:dyDescent="0.25">
      <c r="E184" s="170">
        <f t="shared" si="933"/>
        <v>-0.30235004464090615</v>
      </c>
      <c r="F184" s="170">
        <f t="shared" si="933"/>
        <v>0.92977686191594944</v>
      </c>
      <c r="G184" s="170">
        <f t="shared" si="933"/>
        <v>-0.20999866083232899</v>
      </c>
      <c r="H184" s="139"/>
      <c r="I184" s="86"/>
      <c r="J184" s="79">
        <f t="shared" si="930"/>
        <v>5.1139999999999999</v>
      </c>
    </row>
    <row r="185" spans="5:10" x14ac:dyDescent="0.25">
      <c r="E185" s="170">
        <f t="shared" si="933"/>
        <v>-0.16718887382191552</v>
      </c>
      <c r="F185" s="170">
        <f t="shared" si="933"/>
        <v>0.9761296794267712</v>
      </c>
      <c r="G185" s="170">
        <f t="shared" si="933"/>
        <v>-0.13863163207705756</v>
      </c>
      <c r="H185" s="139"/>
      <c r="I185" s="86"/>
      <c r="J185" s="79">
        <f t="shared" si="930"/>
        <v>5.12</v>
      </c>
    </row>
    <row r="186" spans="5:10" x14ac:dyDescent="0.25">
      <c r="E186" s="170">
        <f t="shared" si="933"/>
        <v>5.9154772323995297E-2</v>
      </c>
      <c r="F186" s="170">
        <f t="shared" si="933"/>
        <v>0.99503846647565886</v>
      </c>
      <c r="G186" s="170">
        <f t="shared" si="933"/>
        <v>-7.9994769485670095E-2</v>
      </c>
      <c r="H186" s="139"/>
      <c r="I186" s="86"/>
      <c r="J186" s="79">
        <f t="shared" si="930"/>
        <v>5.1260000000000003</v>
      </c>
    </row>
    <row r="187" spans="5:10" x14ac:dyDescent="0.25">
      <c r="E187" s="170">
        <f t="shared" si="933"/>
        <v>-0.25660481229257065</v>
      </c>
      <c r="F187" s="170">
        <f t="shared" si="933"/>
        <v>3.3782664431261961E-2</v>
      </c>
      <c r="G187" s="170">
        <f t="shared" si="933"/>
        <v>-0.96592582628906831</v>
      </c>
      <c r="H187" s="139"/>
      <c r="I187" s="86"/>
      <c r="J187" s="79">
        <f t="shared" si="930"/>
        <v>5.2050000000000001</v>
      </c>
    </row>
    <row r="188" spans="5:10" x14ac:dyDescent="0.25">
      <c r="E188" s="170">
        <f t="shared" si="933"/>
        <v>-6.6069608351706083E-2</v>
      </c>
      <c r="F188" s="170">
        <f t="shared" si="933"/>
        <v>-5.1995634503217807E-3</v>
      </c>
      <c r="G188" s="170">
        <f t="shared" si="933"/>
        <v>-0.997801468926649</v>
      </c>
      <c r="H188" s="139"/>
      <c r="I188" s="86"/>
      <c r="J188" s="79">
        <f t="shared" si="930"/>
        <v>5.2080000000000002</v>
      </c>
    </row>
    <row r="189" spans="5:10" x14ac:dyDescent="0.25">
      <c r="E189" s="170">
        <f t="shared" si="933"/>
        <v>0.5664378346281862</v>
      </c>
      <c r="F189" s="170">
        <f t="shared" si="933"/>
        <v>0.79317512845876292</v>
      </c>
      <c r="G189" s="170">
        <f t="shared" si="933"/>
        <v>-0.22365463352266302</v>
      </c>
      <c r="H189" s="139"/>
      <c r="I189" s="86"/>
      <c r="J189" s="79">
        <f t="shared" si="930"/>
        <v>6.1130000000000004</v>
      </c>
    </row>
    <row r="190" spans="5:10" x14ac:dyDescent="0.25">
      <c r="E190" s="170">
        <f t="shared" si="933"/>
        <v>0.68427345216918778</v>
      </c>
      <c r="F190" s="170">
        <f t="shared" si="933"/>
        <v>0.71402254121389452</v>
      </c>
      <c r="G190" s="170">
        <f t="shared" si="933"/>
        <v>-0.14812715245664662</v>
      </c>
      <c r="H190" s="139"/>
      <c r="I190" s="86"/>
      <c r="J190" s="79">
        <f t="shared" si="930"/>
        <v>6.1189999999999998</v>
      </c>
    </row>
    <row r="191" spans="5:10" x14ac:dyDescent="0.25">
      <c r="E191" s="170">
        <f t="shared" si="933"/>
        <v>0.82724922314912541</v>
      </c>
      <c r="F191" s="170">
        <f t="shared" si="933"/>
        <v>0.5529394316605879</v>
      </c>
      <c r="G191" s="170">
        <f t="shared" si="933"/>
        <v>-9.9582667739094063E-2</v>
      </c>
      <c r="H191" s="139"/>
      <c r="I191" s="86"/>
      <c r="J191" s="79">
        <f t="shared" si="930"/>
        <v>6.125</v>
      </c>
    </row>
    <row r="192" spans="5:10" x14ac:dyDescent="0.25">
      <c r="E192" s="170">
        <f t="shared" si="933"/>
        <v>0.1822561342311364</v>
      </c>
      <c r="F192" s="170">
        <f t="shared" si="933"/>
        <v>-0.19544577555952908</v>
      </c>
      <c r="G192" s="170">
        <f t="shared" si="933"/>
        <v>-0.96363045320862306</v>
      </c>
      <c r="H192" s="139"/>
      <c r="I192" s="86"/>
      <c r="J192" s="79">
        <f t="shared" si="930"/>
        <v>6.2130000000000001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E20D0DC-7C1F-4422-B41C-A2895B9315A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431127A9-8047-494E-A1DF-72DEECBAC68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7.875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1.2070000000000001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1.212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2.1110000000000002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2.2109999999999999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3.1030000000000002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3.1059999999999999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3.1160000000000001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3.1219999999999999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3.1280000000000001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3.206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3.21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4.1150000000000002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4.1210000000000004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4.1269999999999998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4.2089999999999996</v>
      </c>
      <c r="N190" s="869" t="str">
        <f>Assy.Model!K35</f>
        <v>Inactive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5.1020000000000003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5.1050000000000004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5.1079999999999997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5.1139999999999999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5.1260000000000003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5.2050000000000001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5.2080000000000002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6.1130000000000004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6.1189999999999998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6.125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6.2130000000000001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2023-03-30T12:42:10Z</dcterms:modified>
</cp:coreProperties>
</file>